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다운로드\공사비자료\"/>
    </mc:Choice>
  </mc:AlternateContent>
  <xr:revisionPtr revIDLastSave="0" documentId="13_ncr:1_{CDADA9B7-BEF1-4520-9D9B-949D3D03DE92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Q33" i="4" l="1"/>
  <c r="GR33" i="4" s="1"/>
  <c r="GS33" i="4" s="1"/>
  <c r="GT33" i="4" s="1"/>
  <c r="GU33" i="4" s="1"/>
  <c r="GV33" i="4" s="1"/>
  <c r="GW33" i="4" s="1"/>
  <c r="GX33" i="4" s="1"/>
  <c r="GY33" i="4" s="1"/>
  <c r="GZ33" i="4" s="1"/>
  <c r="HA33" i="4" s="1"/>
  <c r="HB33" i="4" s="1"/>
  <c r="HC33" i="4" s="1"/>
  <c r="HD33" i="4" s="1"/>
  <c r="HE33" i="4" s="1"/>
  <c r="HF33" i="4" s="1"/>
  <c r="HG33" i="4" s="1"/>
  <c r="HH33" i="4" s="1"/>
  <c r="DY33" i="4"/>
  <c r="DZ33" i="4" s="1"/>
  <c r="EA33" i="4" s="1"/>
  <c r="EB33" i="4" s="1"/>
  <c r="EC33" i="4" s="1"/>
  <c r="ED33" i="4" s="1"/>
  <c r="EE33" i="4" s="1"/>
  <c r="EF33" i="4" s="1"/>
  <c r="EG33" i="4" s="1"/>
  <c r="EH33" i="4" s="1"/>
  <c r="EI33" i="4" s="1"/>
  <c r="EJ33" i="4" s="1"/>
  <c r="EK33" i="4" s="1"/>
  <c r="EL33" i="4" s="1"/>
  <c r="EM33" i="4" s="1"/>
  <c r="EN33" i="4" s="1"/>
  <c r="EO33" i="4" s="1"/>
  <c r="EP33" i="4" s="1"/>
  <c r="BZ33" i="4"/>
  <c r="ER33" i="4" s="1"/>
  <c r="BG33" i="4"/>
  <c r="BH33" i="4" s="1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GQ32" i="4"/>
  <c r="GR32" i="4" s="1"/>
  <c r="GS32" i="4" s="1"/>
  <c r="GT32" i="4" s="1"/>
  <c r="GU32" i="4" s="1"/>
  <c r="GV32" i="4" s="1"/>
  <c r="GW32" i="4" s="1"/>
  <c r="GX32" i="4" s="1"/>
  <c r="GY32" i="4" s="1"/>
  <c r="GZ32" i="4" s="1"/>
  <c r="HA32" i="4" s="1"/>
  <c r="HB32" i="4" s="1"/>
  <c r="HC32" i="4" s="1"/>
  <c r="HD32" i="4" s="1"/>
  <c r="HE32" i="4" s="1"/>
  <c r="HF32" i="4" s="1"/>
  <c r="HG32" i="4" s="1"/>
  <c r="HH32" i="4" s="1"/>
  <c r="DZ32" i="4"/>
  <c r="EA32" i="4" s="1"/>
  <c r="EB32" i="4" s="1"/>
  <c r="EC32" i="4" s="1"/>
  <c r="ED32" i="4" s="1"/>
  <c r="EE32" i="4" s="1"/>
  <c r="EF32" i="4" s="1"/>
  <c r="EG32" i="4" s="1"/>
  <c r="EH32" i="4" s="1"/>
  <c r="EI32" i="4" s="1"/>
  <c r="EJ32" i="4" s="1"/>
  <c r="EK32" i="4" s="1"/>
  <c r="EL32" i="4" s="1"/>
  <c r="EM32" i="4" s="1"/>
  <c r="EN32" i="4" s="1"/>
  <c r="EO32" i="4" s="1"/>
  <c r="EP32" i="4" s="1"/>
  <c r="DY32" i="4"/>
  <c r="BZ32" i="4"/>
  <c r="ER32" i="4" s="1"/>
  <c r="BG32" i="4"/>
  <c r="BH32" i="4" s="1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E154" i="4" l="1"/>
  <c r="E152" i="4"/>
  <c r="E151" i="4"/>
  <c r="E147" i="4"/>
  <c r="E145" i="4"/>
  <c r="E144" i="4"/>
  <c r="E143" i="4"/>
  <c r="E139" i="4"/>
  <c r="E138" i="4"/>
  <c r="E137" i="4"/>
  <c r="E136" i="4"/>
  <c r="E135" i="4"/>
  <c r="E134" i="4"/>
  <c r="E133" i="4"/>
  <c r="E132" i="4"/>
  <c r="E130" i="4"/>
  <c r="E124" i="4"/>
  <c r="E123" i="4"/>
  <c r="E122" i="4"/>
  <c r="E121" i="4"/>
  <c r="E120" i="4"/>
  <c r="E119" i="4"/>
  <c r="E118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2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D125" i="4" l="1"/>
  <c r="E125" i="4" s="1"/>
  <c r="D111" i="4"/>
  <c r="E111" i="4" s="1"/>
  <c r="D53" i="4"/>
  <c r="E53" i="4" s="1"/>
  <c r="D153" i="4"/>
  <c r="E153" i="4" s="1"/>
  <c r="E155" i="4" s="1"/>
  <c r="D155" i="4"/>
  <c r="D26" i="4"/>
  <c r="E26" i="4" s="1"/>
  <c r="D146" i="4"/>
  <c r="E146" i="4" s="1"/>
  <c r="E148" i="4" s="1"/>
  <c r="D131" i="4"/>
  <c r="E131" i="4" s="1"/>
  <c r="E140" i="4" s="1"/>
  <c r="D140" i="4"/>
  <c r="D24" i="4" s="1"/>
  <c r="E24" i="4" s="1"/>
  <c r="D126" i="4"/>
  <c r="E126" i="4" s="1"/>
  <c r="D117" i="4"/>
  <c r="E117" i="4" s="1"/>
  <c r="D116" i="4"/>
  <c r="E116" i="4" s="1"/>
  <c r="D112" i="4"/>
  <c r="E112" i="4" s="1"/>
  <c r="D93" i="4"/>
  <c r="E93" i="4" s="1"/>
  <c r="E113" i="4" s="1"/>
  <c r="D88" i="4"/>
  <c r="E88" i="4" s="1"/>
  <c r="E89" i="4" s="1"/>
  <c r="D60" i="4"/>
  <c r="D20" i="4"/>
  <c r="E20" i="4" s="1"/>
  <c r="D52" i="4"/>
  <c r="E52" i="4" s="1"/>
  <c r="E54" i="4" s="1"/>
  <c r="D54" i="4"/>
  <c r="D19" i="4" s="1"/>
  <c r="E19" i="4" s="1"/>
  <c r="D18" i="4"/>
  <c r="E18" i="4" s="1"/>
  <c r="D7" i="4"/>
  <c r="GP150" i="4"/>
  <c r="GQ150" i="4" s="1"/>
  <c r="GR150" i="4" s="1"/>
  <c r="GS150" i="4" s="1"/>
  <c r="GT150" i="4" s="1"/>
  <c r="GU150" i="4" s="1"/>
  <c r="GV150" i="4" s="1"/>
  <c r="GW150" i="4" s="1"/>
  <c r="GX150" i="4" s="1"/>
  <c r="GY150" i="4" s="1"/>
  <c r="GZ150" i="4" s="1"/>
  <c r="HA150" i="4" s="1"/>
  <c r="HB150" i="4" s="1"/>
  <c r="HC150" i="4" s="1"/>
  <c r="HD150" i="4" s="1"/>
  <c r="HE150" i="4" s="1"/>
  <c r="HF150" i="4" s="1"/>
  <c r="HG150" i="4" s="1"/>
  <c r="BY150" i="4"/>
  <c r="EQ150" i="4" s="1"/>
  <c r="DX150" i="4"/>
  <c r="DY150" i="4" s="1"/>
  <c r="DZ150" i="4" s="1"/>
  <c r="EA150" i="4" s="1"/>
  <c r="EB150" i="4" s="1"/>
  <c r="EC150" i="4" s="1"/>
  <c r="ED150" i="4" s="1"/>
  <c r="EE150" i="4" s="1"/>
  <c r="EF150" i="4" s="1"/>
  <c r="EG150" i="4" s="1"/>
  <c r="EH150" i="4" s="1"/>
  <c r="EI150" i="4" s="1"/>
  <c r="EJ150" i="4" s="1"/>
  <c r="EK150" i="4" s="1"/>
  <c r="EL150" i="4" s="1"/>
  <c r="EM150" i="4" s="1"/>
  <c r="EN150" i="4" s="1"/>
  <c r="EO150" i="4" s="1"/>
  <c r="GP149" i="4"/>
  <c r="GQ149" i="4" s="1"/>
  <c r="GR149" i="4" s="1"/>
  <c r="GS149" i="4" s="1"/>
  <c r="GT149" i="4" s="1"/>
  <c r="GU149" i="4" s="1"/>
  <c r="GV149" i="4" s="1"/>
  <c r="GW149" i="4" s="1"/>
  <c r="GX149" i="4" s="1"/>
  <c r="GY149" i="4" s="1"/>
  <c r="GZ149" i="4" s="1"/>
  <c r="HA149" i="4" s="1"/>
  <c r="HB149" i="4" s="1"/>
  <c r="HC149" i="4" s="1"/>
  <c r="HD149" i="4" s="1"/>
  <c r="HE149" i="4" s="1"/>
  <c r="HF149" i="4" s="1"/>
  <c r="HG149" i="4" s="1"/>
  <c r="BY149" i="4"/>
  <c r="EQ149" i="4" s="1"/>
  <c r="DX149" i="4"/>
  <c r="DY149" i="4" s="1"/>
  <c r="DZ149" i="4" s="1"/>
  <c r="EA149" i="4" s="1"/>
  <c r="EB149" i="4" s="1"/>
  <c r="EC149" i="4" s="1"/>
  <c r="ED149" i="4" s="1"/>
  <c r="EE149" i="4" s="1"/>
  <c r="EF149" i="4" s="1"/>
  <c r="EG149" i="4" s="1"/>
  <c r="EH149" i="4" s="1"/>
  <c r="EI149" i="4" s="1"/>
  <c r="EJ149" i="4" s="1"/>
  <c r="EK149" i="4" s="1"/>
  <c r="EL149" i="4" s="1"/>
  <c r="EM149" i="4" s="1"/>
  <c r="EN149" i="4" s="1"/>
  <c r="EO149" i="4" s="1"/>
  <c r="GP142" i="4"/>
  <c r="GQ142" i="4" s="1"/>
  <c r="GR142" i="4" s="1"/>
  <c r="GS142" i="4" s="1"/>
  <c r="GT142" i="4" s="1"/>
  <c r="GU142" i="4" s="1"/>
  <c r="GV142" i="4" s="1"/>
  <c r="GW142" i="4" s="1"/>
  <c r="GX142" i="4" s="1"/>
  <c r="GY142" i="4" s="1"/>
  <c r="GZ142" i="4" s="1"/>
  <c r="HA142" i="4" s="1"/>
  <c r="HB142" i="4" s="1"/>
  <c r="HC142" i="4" s="1"/>
  <c r="HD142" i="4" s="1"/>
  <c r="HE142" i="4" s="1"/>
  <c r="HF142" i="4" s="1"/>
  <c r="HG142" i="4" s="1"/>
  <c r="BY142" i="4"/>
  <c r="EQ142" i="4" s="1"/>
  <c r="DX142" i="4"/>
  <c r="DY142" i="4" s="1"/>
  <c r="DZ142" i="4" s="1"/>
  <c r="EA142" i="4" s="1"/>
  <c r="EB142" i="4" s="1"/>
  <c r="EC142" i="4" s="1"/>
  <c r="ED142" i="4" s="1"/>
  <c r="EE142" i="4" s="1"/>
  <c r="EF142" i="4" s="1"/>
  <c r="EG142" i="4" s="1"/>
  <c r="EH142" i="4" s="1"/>
  <c r="EI142" i="4" s="1"/>
  <c r="EJ142" i="4" s="1"/>
  <c r="EK142" i="4" s="1"/>
  <c r="EL142" i="4" s="1"/>
  <c r="EM142" i="4" s="1"/>
  <c r="EN142" i="4" s="1"/>
  <c r="EO142" i="4" s="1"/>
  <c r="GP141" i="4"/>
  <c r="GQ141" i="4" s="1"/>
  <c r="GR141" i="4" s="1"/>
  <c r="GS141" i="4" s="1"/>
  <c r="GT141" i="4" s="1"/>
  <c r="GU141" i="4" s="1"/>
  <c r="GV141" i="4" s="1"/>
  <c r="GW141" i="4" s="1"/>
  <c r="GX141" i="4" s="1"/>
  <c r="GY141" i="4" s="1"/>
  <c r="GZ141" i="4" s="1"/>
  <c r="HA141" i="4" s="1"/>
  <c r="HB141" i="4" s="1"/>
  <c r="HC141" i="4" s="1"/>
  <c r="HD141" i="4" s="1"/>
  <c r="HE141" i="4" s="1"/>
  <c r="HF141" i="4" s="1"/>
  <c r="HG141" i="4" s="1"/>
  <c r="BY141" i="4"/>
  <c r="EQ141" i="4" s="1"/>
  <c r="DX141" i="4"/>
  <c r="DY141" i="4" s="1"/>
  <c r="DZ141" i="4" s="1"/>
  <c r="EA141" i="4" s="1"/>
  <c r="EB141" i="4" s="1"/>
  <c r="EC141" i="4" s="1"/>
  <c r="ED141" i="4" s="1"/>
  <c r="EE141" i="4" s="1"/>
  <c r="EF141" i="4" s="1"/>
  <c r="EG141" i="4" s="1"/>
  <c r="EH141" i="4" s="1"/>
  <c r="EI141" i="4" s="1"/>
  <c r="EJ141" i="4" s="1"/>
  <c r="EK141" i="4" s="1"/>
  <c r="EL141" i="4" s="1"/>
  <c r="EM141" i="4" s="1"/>
  <c r="EN141" i="4" s="1"/>
  <c r="EO141" i="4" s="1"/>
  <c r="GP129" i="4"/>
  <c r="GQ129" i="4" s="1"/>
  <c r="GR129" i="4" s="1"/>
  <c r="GS129" i="4" s="1"/>
  <c r="GT129" i="4" s="1"/>
  <c r="GU129" i="4" s="1"/>
  <c r="GV129" i="4" s="1"/>
  <c r="GW129" i="4" s="1"/>
  <c r="GX129" i="4" s="1"/>
  <c r="GY129" i="4" s="1"/>
  <c r="GZ129" i="4" s="1"/>
  <c r="HA129" i="4" s="1"/>
  <c r="HB129" i="4" s="1"/>
  <c r="HC129" i="4" s="1"/>
  <c r="HD129" i="4" s="1"/>
  <c r="HE129" i="4" s="1"/>
  <c r="HF129" i="4" s="1"/>
  <c r="HG129" i="4" s="1"/>
  <c r="BY129" i="4"/>
  <c r="EQ129" i="4" s="1"/>
  <c r="DX129" i="4"/>
  <c r="DY129" i="4" s="1"/>
  <c r="DZ129" i="4" s="1"/>
  <c r="EA129" i="4" s="1"/>
  <c r="EB129" i="4" s="1"/>
  <c r="EC129" i="4" s="1"/>
  <c r="ED129" i="4" s="1"/>
  <c r="EE129" i="4" s="1"/>
  <c r="EF129" i="4" s="1"/>
  <c r="EG129" i="4" s="1"/>
  <c r="EH129" i="4" s="1"/>
  <c r="EI129" i="4" s="1"/>
  <c r="EJ129" i="4" s="1"/>
  <c r="EK129" i="4" s="1"/>
  <c r="EL129" i="4" s="1"/>
  <c r="EM129" i="4" s="1"/>
  <c r="EN129" i="4" s="1"/>
  <c r="EO129" i="4" s="1"/>
  <c r="GP128" i="4"/>
  <c r="GQ128" i="4" s="1"/>
  <c r="GR128" i="4" s="1"/>
  <c r="GS128" i="4" s="1"/>
  <c r="GT128" i="4" s="1"/>
  <c r="GU128" i="4" s="1"/>
  <c r="GV128" i="4" s="1"/>
  <c r="GW128" i="4" s="1"/>
  <c r="GX128" i="4" s="1"/>
  <c r="GY128" i="4" s="1"/>
  <c r="GZ128" i="4" s="1"/>
  <c r="HA128" i="4" s="1"/>
  <c r="HB128" i="4" s="1"/>
  <c r="HC128" i="4" s="1"/>
  <c r="HD128" i="4" s="1"/>
  <c r="HE128" i="4" s="1"/>
  <c r="HF128" i="4" s="1"/>
  <c r="HG128" i="4" s="1"/>
  <c r="BY128" i="4"/>
  <c r="EQ128" i="4" s="1"/>
  <c r="DX128" i="4"/>
  <c r="DY128" i="4" s="1"/>
  <c r="DZ128" i="4" s="1"/>
  <c r="EA128" i="4" s="1"/>
  <c r="EB128" i="4" s="1"/>
  <c r="EC128" i="4" s="1"/>
  <c r="ED128" i="4" s="1"/>
  <c r="EE128" i="4" s="1"/>
  <c r="EF128" i="4" s="1"/>
  <c r="EG128" i="4" s="1"/>
  <c r="EH128" i="4" s="1"/>
  <c r="EI128" i="4" s="1"/>
  <c r="EJ128" i="4" s="1"/>
  <c r="EK128" i="4" s="1"/>
  <c r="EL128" i="4" s="1"/>
  <c r="EM128" i="4" s="1"/>
  <c r="EN128" i="4" s="1"/>
  <c r="EO128" i="4" s="1"/>
  <c r="GP115" i="4"/>
  <c r="GQ115" i="4" s="1"/>
  <c r="GR115" i="4" s="1"/>
  <c r="GS115" i="4" s="1"/>
  <c r="GT115" i="4" s="1"/>
  <c r="GU115" i="4" s="1"/>
  <c r="GV115" i="4" s="1"/>
  <c r="GW115" i="4" s="1"/>
  <c r="GX115" i="4" s="1"/>
  <c r="GY115" i="4" s="1"/>
  <c r="GZ115" i="4" s="1"/>
  <c r="HA115" i="4" s="1"/>
  <c r="HB115" i="4" s="1"/>
  <c r="HC115" i="4" s="1"/>
  <c r="HD115" i="4" s="1"/>
  <c r="HE115" i="4" s="1"/>
  <c r="HF115" i="4" s="1"/>
  <c r="HG115" i="4" s="1"/>
  <c r="BY115" i="4"/>
  <c r="EQ115" i="4"/>
  <c r="DX115" i="4"/>
  <c r="DY115" i="4" s="1"/>
  <c r="DZ115" i="4" s="1"/>
  <c r="EA115" i="4" s="1"/>
  <c r="EB115" i="4" s="1"/>
  <c r="EC115" i="4" s="1"/>
  <c r="ED115" i="4" s="1"/>
  <c r="EE115" i="4" s="1"/>
  <c r="EF115" i="4" s="1"/>
  <c r="EG115" i="4" s="1"/>
  <c r="EH115" i="4" s="1"/>
  <c r="EI115" i="4" s="1"/>
  <c r="EJ115" i="4" s="1"/>
  <c r="EK115" i="4" s="1"/>
  <c r="EL115" i="4" s="1"/>
  <c r="EM115" i="4" s="1"/>
  <c r="EN115" i="4" s="1"/>
  <c r="EO115" i="4" s="1"/>
  <c r="GP114" i="4"/>
  <c r="GQ114" i="4" s="1"/>
  <c r="GR114" i="4" s="1"/>
  <c r="GS114" i="4" s="1"/>
  <c r="GT114" i="4" s="1"/>
  <c r="GU114" i="4" s="1"/>
  <c r="GV114" i="4" s="1"/>
  <c r="GW114" i="4" s="1"/>
  <c r="GX114" i="4" s="1"/>
  <c r="GY114" i="4" s="1"/>
  <c r="GZ114" i="4" s="1"/>
  <c r="HA114" i="4" s="1"/>
  <c r="HB114" i="4" s="1"/>
  <c r="HC114" i="4" s="1"/>
  <c r="HD114" i="4" s="1"/>
  <c r="HE114" i="4" s="1"/>
  <c r="HF114" i="4" s="1"/>
  <c r="HG114" i="4" s="1"/>
  <c r="BY114" i="4"/>
  <c r="EQ114" i="4" s="1"/>
  <c r="DX114" i="4"/>
  <c r="DY114" i="4" s="1"/>
  <c r="DZ114" i="4" s="1"/>
  <c r="EA114" i="4" s="1"/>
  <c r="EB114" i="4" s="1"/>
  <c r="EC114" i="4" s="1"/>
  <c r="ED114" i="4" s="1"/>
  <c r="EE114" i="4" s="1"/>
  <c r="EF114" i="4" s="1"/>
  <c r="EG114" i="4" s="1"/>
  <c r="EH114" i="4" s="1"/>
  <c r="EI114" i="4" s="1"/>
  <c r="EJ114" i="4" s="1"/>
  <c r="EK114" i="4" s="1"/>
  <c r="EL114" i="4" s="1"/>
  <c r="EM114" i="4" s="1"/>
  <c r="EN114" i="4" s="1"/>
  <c r="EO114" i="4" s="1"/>
  <c r="GP91" i="4"/>
  <c r="GQ91" i="4" s="1"/>
  <c r="GR91" i="4" s="1"/>
  <c r="GS91" i="4" s="1"/>
  <c r="GT91" i="4" s="1"/>
  <c r="GU91" i="4" s="1"/>
  <c r="GV91" i="4" s="1"/>
  <c r="GW91" i="4" s="1"/>
  <c r="GX91" i="4" s="1"/>
  <c r="GY91" i="4" s="1"/>
  <c r="GZ91" i="4" s="1"/>
  <c r="HA91" i="4" s="1"/>
  <c r="HB91" i="4" s="1"/>
  <c r="HC91" i="4" s="1"/>
  <c r="HD91" i="4" s="1"/>
  <c r="HE91" i="4" s="1"/>
  <c r="HF91" i="4" s="1"/>
  <c r="HG91" i="4" s="1"/>
  <c r="BY91" i="4"/>
  <c r="EQ91" i="4"/>
  <c r="DX91" i="4"/>
  <c r="DY91" i="4" s="1"/>
  <c r="DZ91" i="4" s="1"/>
  <c r="EA91" i="4" s="1"/>
  <c r="EB91" i="4" s="1"/>
  <c r="EC91" i="4" s="1"/>
  <c r="ED91" i="4" s="1"/>
  <c r="EE91" i="4" s="1"/>
  <c r="EF91" i="4" s="1"/>
  <c r="EG91" i="4" s="1"/>
  <c r="EH91" i="4" s="1"/>
  <c r="EI91" i="4" s="1"/>
  <c r="EJ91" i="4" s="1"/>
  <c r="EK91" i="4" s="1"/>
  <c r="EL91" i="4" s="1"/>
  <c r="EM91" i="4" s="1"/>
  <c r="EN91" i="4" s="1"/>
  <c r="EO91" i="4" s="1"/>
  <c r="GP90" i="4"/>
  <c r="GQ90" i="4"/>
  <c r="GR90" i="4" s="1"/>
  <c r="GS90" i="4" s="1"/>
  <c r="GT90" i="4" s="1"/>
  <c r="GU90" i="4" s="1"/>
  <c r="GV90" i="4" s="1"/>
  <c r="GW90" i="4" s="1"/>
  <c r="GX90" i="4" s="1"/>
  <c r="GY90" i="4" s="1"/>
  <c r="GZ90" i="4" s="1"/>
  <c r="HA90" i="4" s="1"/>
  <c r="HB90" i="4" s="1"/>
  <c r="HC90" i="4" s="1"/>
  <c r="HD90" i="4" s="1"/>
  <c r="HE90" i="4" s="1"/>
  <c r="HF90" i="4" s="1"/>
  <c r="HG90" i="4" s="1"/>
  <c r="BY90" i="4"/>
  <c r="EQ90" i="4" s="1"/>
  <c r="DX90" i="4"/>
  <c r="DY90" i="4"/>
  <c r="DZ90" i="4" s="1"/>
  <c r="EA90" i="4" s="1"/>
  <c r="EB90" i="4" s="1"/>
  <c r="EC90" i="4" s="1"/>
  <c r="ED90" i="4" s="1"/>
  <c r="EE90" i="4" s="1"/>
  <c r="EF90" i="4" s="1"/>
  <c r="EG90" i="4" s="1"/>
  <c r="EH90" i="4" s="1"/>
  <c r="EI90" i="4" s="1"/>
  <c r="EJ90" i="4" s="1"/>
  <c r="EK90" i="4" s="1"/>
  <c r="EL90" i="4" s="1"/>
  <c r="EM90" i="4" s="1"/>
  <c r="EN90" i="4" s="1"/>
  <c r="EO90" i="4" s="1"/>
  <c r="GP62" i="4"/>
  <c r="GQ62" i="4" s="1"/>
  <c r="GR62" i="4" s="1"/>
  <c r="GS62" i="4" s="1"/>
  <c r="GT62" i="4" s="1"/>
  <c r="GU62" i="4" s="1"/>
  <c r="GV62" i="4" s="1"/>
  <c r="GW62" i="4" s="1"/>
  <c r="GX62" i="4" s="1"/>
  <c r="GY62" i="4" s="1"/>
  <c r="GZ62" i="4" s="1"/>
  <c r="HA62" i="4" s="1"/>
  <c r="HB62" i="4" s="1"/>
  <c r="HC62" i="4" s="1"/>
  <c r="HD62" i="4" s="1"/>
  <c r="HE62" i="4" s="1"/>
  <c r="HF62" i="4" s="1"/>
  <c r="HG62" i="4" s="1"/>
  <c r="BY62" i="4"/>
  <c r="EQ62" i="4"/>
  <c r="DX62" i="4"/>
  <c r="DY62" i="4" s="1"/>
  <c r="DZ62" i="4" s="1"/>
  <c r="EA62" i="4" s="1"/>
  <c r="EB62" i="4" s="1"/>
  <c r="EC62" i="4" s="1"/>
  <c r="ED62" i="4" s="1"/>
  <c r="EE62" i="4" s="1"/>
  <c r="EF62" i="4" s="1"/>
  <c r="EG62" i="4" s="1"/>
  <c r="EH62" i="4" s="1"/>
  <c r="EI62" i="4" s="1"/>
  <c r="EJ62" i="4" s="1"/>
  <c r="EK62" i="4" s="1"/>
  <c r="EL62" i="4" s="1"/>
  <c r="EM62" i="4" s="1"/>
  <c r="EN62" i="4" s="1"/>
  <c r="EO62" i="4" s="1"/>
  <c r="GP61" i="4"/>
  <c r="GQ61" i="4"/>
  <c r="GR61" i="4" s="1"/>
  <c r="GS61" i="4" s="1"/>
  <c r="GT61" i="4" s="1"/>
  <c r="GU61" i="4" s="1"/>
  <c r="GV61" i="4" s="1"/>
  <c r="GW61" i="4" s="1"/>
  <c r="GX61" i="4" s="1"/>
  <c r="GY61" i="4" s="1"/>
  <c r="GZ61" i="4" s="1"/>
  <c r="HA61" i="4" s="1"/>
  <c r="HB61" i="4" s="1"/>
  <c r="HC61" i="4" s="1"/>
  <c r="HD61" i="4" s="1"/>
  <c r="HE61" i="4" s="1"/>
  <c r="HF61" i="4" s="1"/>
  <c r="HG61" i="4" s="1"/>
  <c r="BY61" i="4"/>
  <c r="EQ61" i="4"/>
  <c r="DX61" i="4"/>
  <c r="DY61" i="4"/>
  <c r="DZ61" i="4" s="1"/>
  <c r="EA61" i="4" s="1"/>
  <c r="EB61" i="4" s="1"/>
  <c r="EC61" i="4" s="1"/>
  <c r="ED61" i="4" s="1"/>
  <c r="EE61" i="4" s="1"/>
  <c r="EF61" i="4" s="1"/>
  <c r="EG61" i="4" s="1"/>
  <c r="EH61" i="4" s="1"/>
  <c r="EI61" i="4" s="1"/>
  <c r="EJ61" i="4" s="1"/>
  <c r="EK61" i="4" s="1"/>
  <c r="EL61" i="4" s="1"/>
  <c r="EM61" i="4" s="1"/>
  <c r="EN61" i="4" s="1"/>
  <c r="EO61" i="4" s="1"/>
  <c r="GP56" i="4"/>
  <c r="GQ56" i="4" s="1"/>
  <c r="GR56" i="4" s="1"/>
  <c r="GS56" i="4" s="1"/>
  <c r="GT56" i="4" s="1"/>
  <c r="GU56" i="4" s="1"/>
  <c r="GV56" i="4" s="1"/>
  <c r="GW56" i="4" s="1"/>
  <c r="GX56" i="4" s="1"/>
  <c r="GY56" i="4" s="1"/>
  <c r="GZ56" i="4" s="1"/>
  <c r="HA56" i="4" s="1"/>
  <c r="HB56" i="4" s="1"/>
  <c r="HC56" i="4" s="1"/>
  <c r="HD56" i="4" s="1"/>
  <c r="HE56" i="4" s="1"/>
  <c r="HF56" i="4" s="1"/>
  <c r="HG56" i="4" s="1"/>
  <c r="BY56" i="4"/>
  <c r="EQ56" i="4"/>
  <c r="DX56" i="4"/>
  <c r="DY56" i="4" s="1"/>
  <c r="DZ56" i="4" s="1"/>
  <c r="EA56" i="4" s="1"/>
  <c r="EB56" i="4" s="1"/>
  <c r="EC56" i="4" s="1"/>
  <c r="ED56" i="4" s="1"/>
  <c r="EE56" i="4" s="1"/>
  <c r="EF56" i="4" s="1"/>
  <c r="EG56" i="4" s="1"/>
  <c r="EH56" i="4" s="1"/>
  <c r="EI56" i="4" s="1"/>
  <c r="EJ56" i="4" s="1"/>
  <c r="EK56" i="4" s="1"/>
  <c r="EL56" i="4" s="1"/>
  <c r="EM56" i="4" s="1"/>
  <c r="EN56" i="4" s="1"/>
  <c r="EO56" i="4" s="1"/>
  <c r="GP55" i="4"/>
  <c r="GQ55" i="4"/>
  <c r="GR55" i="4" s="1"/>
  <c r="GS55" i="4" s="1"/>
  <c r="GT55" i="4" s="1"/>
  <c r="GU55" i="4" s="1"/>
  <c r="GV55" i="4" s="1"/>
  <c r="GW55" i="4" s="1"/>
  <c r="GX55" i="4" s="1"/>
  <c r="GY55" i="4" s="1"/>
  <c r="GZ55" i="4" s="1"/>
  <c r="HA55" i="4" s="1"/>
  <c r="HB55" i="4" s="1"/>
  <c r="HC55" i="4" s="1"/>
  <c r="HD55" i="4" s="1"/>
  <c r="HE55" i="4" s="1"/>
  <c r="HF55" i="4" s="1"/>
  <c r="HG55" i="4" s="1"/>
  <c r="BY55" i="4"/>
  <c r="EQ55" i="4" s="1"/>
  <c r="DX55" i="4"/>
  <c r="DY55" i="4"/>
  <c r="DZ55" i="4" s="1"/>
  <c r="EA55" i="4" s="1"/>
  <c r="EB55" i="4" s="1"/>
  <c r="EC55" i="4" s="1"/>
  <c r="ED55" i="4" s="1"/>
  <c r="EE55" i="4" s="1"/>
  <c r="EF55" i="4" s="1"/>
  <c r="EG55" i="4" s="1"/>
  <c r="EH55" i="4" s="1"/>
  <c r="EI55" i="4" s="1"/>
  <c r="EJ55" i="4" s="1"/>
  <c r="EK55" i="4" s="1"/>
  <c r="EL55" i="4" s="1"/>
  <c r="EM55" i="4" s="1"/>
  <c r="EN55" i="4" s="1"/>
  <c r="EO55" i="4" s="1"/>
  <c r="GQ155" i="4"/>
  <c r="GR155" i="4" s="1"/>
  <c r="GS155" i="4" s="1"/>
  <c r="GT155" i="4" s="1"/>
  <c r="GU155" i="4" s="1"/>
  <c r="GV155" i="4" s="1"/>
  <c r="GW155" i="4" s="1"/>
  <c r="GX155" i="4" s="1"/>
  <c r="GY155" i="4" s="1"/>
  <c r="GZ155" i="4" s="1"/>
  <c r="HA155" i="4" s="1"/>
  <c r="HB155" i="4" s="1"/>
  <c r="HC155" i="4" s="1"/>
  <c r="HD155" i="4" s="1"/>
  <c r="HE155" i="4" s="1"/>
  <c r="HF155" i="4" s="1"/>
  <c r="HG155" i="4" s="1"/>
  <c r="HH155" i="4" s="1"/>
  <c r="H155" i="4"/>
  <c r="DY155" i="4"/>
  <c r="DZ155" i="4" s="1"/>
  <c r="EA155" i="4" s="1"/>
  <c r="EB155" i="4" s="1"/>
  <c r="EC155" i="4" s="1"/>
  <c r="ED155" i="4" s="1"/>
  <c r="EE155" i="4" s="1"/>
  <c r="EF155" i="4" s="1"/>
  <c r="EG155" i="4" s="1"/>
  <c r="EH155" i="4" s="1"/>
  <c r="EI155" i="4" s="1"/>
  <c r="EJ155" i="4" s="1"/>
  <c r="EK155" i="4" s="1"/>
  <c r="EL155" i="4" s="1"/>
  <c r="EM155" i="4" s="1"/>
  <c r="EN155" i="4" s="1"/>
  <c r="EO155" i="4" s="1"/>
  <c r="EP155" i="4" s="1"/>
  <c r="BG155" i="4"/>
  <c r="BH155" i="4" s="1"/>
  <c r="BI155" i="4" s="1"/>
  <c r="BJ155" i="4" s="1"/>
  <c r="BK155" i="4" s="1"/>
  <c r="BL155" i="4" s="1"/>
  <c r="BM155" i="4" s="1"/>
  <c r="BN155" i="4" s="1"/>
  <c r="BO155" i="4" s="1"/>
  <c r="BP155" i="4" s="1"/>
  <c r="BQ155" i="4" s="1"/>
  <c r="BR155" i="4" s="1"/>
  <c r="BS155" i="4" s="1"/>
  <c r="BT155" i="4" s="1"/>
  <c r="BU155" i="4" s="1"/>
  <c r="BV155" i="4" s="1"/>
  <c r="BW155" i="4" s="1"/>
  <c r="BX155" i="4" s="1"/>
  <c r="GQ154" i="4"/>
  <c r="GR154" i="4" s="1"/>
  <c r="GS154" i="4" s="1"/>
  <c r="GT154" i="4" s="1"/>
  <c r="GU154" i="4" s="1"/>
  <c r="GV154" i="4" s="1"/>
  <c r="GW154" i="4" s="1"/>
  <c r="GX154" i="4" s="1"/>
  <c r="GY154" i="4" s="1"/>
  <c r="GZ154" i="4" s="1"/>
  <c r="HA154" i="4" s="1"/>
  <c r="HB154" i="4" s="1"/>
  <c r="HC154" i="4" s="1"/>
  <c r="HD154" i="4" s="1"/>
  <c r="HE154" i="4" s="1"/>
  <c r="HF154" i="4" s="1"/>
  <c r="HG154" i="4" s="1"/>
  <c r="HH154" i="4" s="1"/>
  <c r="H154" i="4"/>
  <c r="DY154" i="4"/>
  <c r="DZ154" i="4"/>
  <c r="EA154" i="4" s="1"/>
  <c r="EB154" i="4" s="1"/>
  <c r="EC154" i="4" s="1"/>
  <c r="ED154" i="4" s="1"/>
  <c r="EE154" i="4" s="1"/>
  <c r="EF154" i="4" s="1"/>
  <c r="EG154" i="4" s="1"/>
  <c r="EH154" i="4" s="1"/>
  <c r="EI154" i="4" s="1"/>
  <c r="EJ154" i="4" s="1"/>
  <c r="EK154" i="4" s="1"/>
  <c r="EL154" i="4" s="1"/>
  <c r="EM154" i="4" s="1"/>
  <c r="EN154" i="4" s="1"/>
  <c r="EO154" i="4" s="1"/>
  <c r="EP154" i="4" s="1"/>
  <c r="BG154" i="4"/>
  <c r="BH154" i="4" s="1"/>
  <c r="BI154" i="4" s="1"/>
  <c r="BJ154" i="4" s="1"/>
  <c r="BK154" i="4" s="1"/>
  <c r="BL154" i="4" s="1"/>
  <c r="BM154" i="4" s="1"/>
  <c r="BN154" i="4" s="1"/>
  <c r="BO154" i="4" s="1"/>
  <c r="BP154" i="4" s="1"/>
  <c r="BQ154" i="4" s="1"/>
  <c r="BR154" i="4" s="1"/>
  <c r="BS154" i="4" s="1"/>
  <c r="BT154" i="4" s="1"/>
  <c r="BU154" i="4" s="1"/>
  <c r="BV154" i="4" s="1"/>
  <c r="BW154" i="4" s="1"/>
  <c r="BX154" i="4" s="1"/>
  <c r="GQ153" i="4"/>
  <c r="GR153" i="4" s="1"/>
  <c r="GS153" i="4" s="1"/>
  <c r="GT153" i="4" s="1"/>
  <c r="GU153" i="4" s="1"/>
  <c r="GV153" i="4" s="1"/>
  <c r="GW153" i="4" s="1"/>
  <c r="GX153" i="4" s="1"/>
  <c r="GY153" i="4" s="1"/>
  <c r="GZ153" i="4" s="1"/>
  <c r="HA153" i="4" s="1"/>
  <c r="HB153" i="4" s="1"/>
  <c r="HC153" i="4" s="1"/>
  <c r="HD153" i="4" s="1"/>
  <c r="HE153" i="4" s="1"/>
  <c r="HF153" i="4" s="1"/>
  <c r="HG153" i="4" s="1"/>
  <c r="HH153" i="4" s="1"/>
  <c r="H153" i="4"/>
  <c r="DY153" i="4"/>
  <c r="DZ153" i="4" s="1"/>
  <c r="EA153" i="4" s="1"/>
  <c r="EB153" i="4" s="1"/>
  <c r="EC153" i="4" s="1"/>
  <c r="ED153" i="4" s="1"/>
  <c r="EE153" i="4" s="1"/>
  <c r="EF153" i="4" s="1"/>
  <c r="EG153" i="4" s="1"/>
  <c r="EH153" i="4" s="1"/>
  <c r="EI153" i="4" s="1"/>
  <c r="EJ153" i="4" s="1"/>
  <c r="EK153" i="4" s="1"/>
  <c r="EL153" i="4" s="1"/>
  <c r="EM153" i="4" s="1"/>
  <c r="EN153" i="4" s="1"/>
  <c r="EO153" i="4" s="1"/>
  <c r="EP153" i="4" s="1"/>
  <c r="BG153" i="4"/>
  <c r="BH153" i="4" s="1"/>
  <c r="BI153" i="4" s="1"/>
  <c r="BJ153" i="4" s="1"/>
  <c r="BK153" i="4" s="1"/>
  <c r="BL153" i="4" s="1"/>
  <c r="BM153" i="4" s="1"/>
  <c r="BN153" i="4" s="1"/>
  <c r="BO153" i="4" s="1"/>
  <c r="BP153" i="4" s="1"/>
  <c r="BQ153" i="4" s="1"/>
  <c r="BR153" i="4" s="1"/>
  <c r="BS153" i="4" s="1"/>
  <c r="BT153" i="4" s="1"/>
  <c r="BU153" i="4" s="1"/>
  <c r="BV153" i="4" s="1"/>
  <c r="BW153" i="4" s="1"/>
  <c r="BX153" i="4" s="1"/>
  <c r="GQ152" i="4"/>
  <c r="GR152" i="4" s="1"/>
  <c r="GS152" i="4" s="1"/>
  <c r="GT152" i="4" s="1"/>
  <c r="GU152" i="4" s="1"/>
  <c r="GV152" i="4" s="1"/>
  <c r="GW152" i="4" s="1"/>
  <c r="GX152" i="4"/>
  <c r="GY152" i="4"/>
  <c r="GZ152" i="4"/>
  <c r="HA152" i="4" s="1"/>
  <c r="HB152" i="4" s="1"/>
  <c r="HC152" i="4" s="1"/>
  <c r="HD152" i="4" s="1"/>
  <c r="HE152" i="4" s="1"/>
  <c r="HF152" i="4" s="1"/>
  <c r="HG152" i="4" s="1"/>
  <c r="HH152" i="4" s="1"/>
  <c r="H152" i="4"/>
  <c r="I152" i="4" s="1"/>
  <c r="BZ152" i="4"/>
  <c r="DY152" i="4"/>
  <c r="DZ152" i="4"/>
  <c r="EA152" i="4" s="1"/>
  <c r="EB152" i="4" s="1"/>
  <c r="EC152" i="4" s="1"/>
  <c r="ED152" i="4" s="1"/>
  <c r="EE152" i="4" s="1"/>
  <c r="EF152" i="4" s="1"/>
  <c r="EG152" i="4" s="1"/>
  <c r="EH152" i="4" s="1"/>
  <c r="EI152" i="4" s="1"/>
  <c r="EJ152" i="4" s="1"/>
  <c r="EK152" i="4" s="1"/>
  <c r="EL152" i="4" s="1"/>
  <c r="EM152" i="4" s="1"/>
  <c r="EN152" i="4" s="1"/>
  <c r="EO152" i="4" s="1"/>
  <c r="EP152" i="4" s="1"/>
  <c r="BG152" i="4"/>
  <c r="BH152" i="4"/>
  <c r="BI152" i="4"/>
  <c r="BJ152" i="4"/>
  <c r="BK152" i="4" s="1"/>
  <c r="BL152" i="4" s="1"/>
  <c r="S152" i="4"/>
  <c r="T152" i="4" s="1"/>
  <c r="K152" i="4"/>
  <c r="L152" i="4" s="1"/>
  <c r="GQ151" i="4"/>
  <c r="GR151" i="4"/>
  <c r="GS151" i="4"/>
  <c r="GT151" i="4"/>
  <c r="GU151" i="4" s="1"/>
  <c r="GV151" i="4" s="1"/>
  <c r="GW151" i="4" s="1"/>
  <c r="GX151" i="4" s="1"/>
  <c r="GY151" i="4" s="1"/>
  <c r="GZ151" i="4" s="1"/>
  <c r="HA151" i="4" s="1"/>
  <c r="HB151" i="4" s="1"/>
  <c r="HC151" i="4" s="1"/>
  <c r="HD151" i="4" s="1"/>
  <c r="HE151" i="4" s="1"/>
  <c r="HF151" i="4" s="1"/>
  <c r="HG151" i="4" s="1"/>
  <c r="HH151" i="4" s="1"/>
  <c r="H151" i="4"/>
  <c r="DY151" i="4"/>
  <c r="DZ151" i="4" s="1"/>
  <c r="EA151" i="4" s="1"/>
  <c r="EB151" i="4" s="1"/>
  <c r="EC151" i="4" s="1"/>
  <c r="ED151" i="4" s="1"/>
  <c r="EE151" i="4" s="1"/>
  <c r="EF151" i="4" s="1"/>
  <c r="EG151" i="4" s="1"/>
  <c r="EH151" i="4" s="1"/>
  <c r="EI151" i="4" s="1"/>
  <c r="EJ151" i="4" s="1"/>
  <c r="EK151" i="4" s="1"/>
  <c r="EL151" i="4" s="1"/>
  <c r="EM151" i="4" s="1"/>
  <c r="EN151" i="4" s="1"/>
  <c r="EO151" i="4" s="1"/>
  <c r="EP151" i="4" s="1"/>
  <c r="BG151" i="4"/>
  <c r="BH151" i="4"/>
  <c r="BI151" i="4"/>
  <c r="BJ151" i="4" s="1"/>
  <c r="BK151" i="4" s="1"/>
  <c r="BL151" i="4" s="1"/>
  <c r="BM151" i="4" s="1"/>
  <c r="BN151" i="4" s="1"/>
  <c r="BO151" i="4" s="1"/>
  <c r="BP151" i="4" s="1"/>
  <c r="BQ151" i="4" s="1"/>
  <c r="BR151" i="4" s="1"/>
  <c r="BS151" i="4" s="1"/>
  <c r="BT151" i="4" s="1"/>
  <c r="BU151" i="4" s="1"/>
  <c r="BV151" i="4" s="1"/>
  <c r="BW151" i="4" s="1"/>
  <c r="BX151" i="4" s="1"/>
  <c r="GQ148" i="4"/>
  <c r="GR148" i="4" s="1"/>
  <c r="GS148" i="4" s="1"/>
  <c r="GT148" i="4" s="1"/>
  <c r="GU148" i="4" s="1"/>
  <c r="GV148" i="4" s="1"/>
  <c r="GW148" i="4" s="1"/>
  <c r="GX148" i="4" s="1"/>
  <c r="GY148" i="4" s="1"/>
  <c r="GZ148" i="4" s="1"/>
  <c r="HA148" i="4" s="1"/>
  <c r="HB148" i="4" s="1"/>
  <c r="HC148" i="4" s="1"/>
  <c r="HD148" i="4" s="1"/>
  <c r="HE148" i="4" s="1"/>
  <c r="HF148" i="4" s="1"/>
  <c r="HG148" i="4" s="1"/>
  <c r="HH148" i="4" s="1"/>
  <c r="H144" i="4"/>
  <c r="H148" i="4"/>
  <c r="DY148" i="4"/>
  <c r="DZ148" i="4" s="1"/>
  <c r="EA148" i="4" s="1"/>
  <c r="EB148" i="4" s="1"/>
  <c r="EC148" i="4" s="1"/>
  <c r="ED148" i="4" s="1"/>
  <c r="EE148" i="4" s="1"/>
  <c r="EF148" i="4" s="1"/>
  <c r="EG148" i="4" s="1"/>
  <c r="EH148" i="4" s="1"/>
  <c r="EI148" i="4" s="1"/>
  <c r="EJ148" i="4" s="1"/>
  <c r="EK148" i="4" s="1"/>
  <c r="EL148" i="4" s="1"/>
  <c r="EM148" i="4" s="1"/>
  <c r="EN148" i="4" s="1"/>
  <c r="EO148" i="4" s="1"/>
  <c r="EP148" i="4" s="1"/>
  <c r="BG148" i="4"/>
  <c r="BH148" i="4"/>
  <c r="BI148" i="4"/>
  <c r="BJ148" i="4" s="1"/>
  <c r="BK148" i="4" s="1"/>
  <c r="BL148" i="4" s="1"/>
  <c r="BM148" i="4" s="1"/>
  <c r="BN148" i="4" s="1"/>
  <c r="BO148" i="4" s="1"/>
  <c r="BP148" i="4" s="1"/>
  <c r="BQ148" i="4" s="1"/>
  <c r="BR148" i="4" s="1"/>
  <c r="BS148" i="4" s="1"/>
  <c r="BT148" i="4" s="1"/>
  <c r="BU148" i="4" s="1"/>
  <c r="BV148" i="4" s="1"/>
  <c r="BW148" i="4" s="1"/>
  <c r="BX148" i="4" s="1"/>
  <c r="GQ147" i="4"/>
  <c r="GR147" i="4" s="1"/>
  <c r="GS147" i="4" s="1"/>
  <c r="GT147" i="4" s="1"/>
  <c r="GU147" i="4" s="1"/>
  <c r="GV147" i="4" s="1"/>
  <c r="GW147" i="4" s="1"/>
  <c r="GX147" i="4" s="1"/>
  <c r="GY147" i="4" s="1"/>
  <c r="GZ147" i="4" s="1"/>
  <c r="HA147" i="4" s="1"/>
  <c r="HB147" i="4" s="1"/>
  <c r="HC147" i="4" s="1"/>
  <c r="HD147" i="4" s="1"/>
  <c r="HE147" i="4" s="1"/>
  <c r="HF147" i="4" s="1"/>
  <c r="HG147" i="4" s="1"/>
  <c r="HH147" i="4" s="1"/>
  <c r="H147" i="4"/>
  <c r="DY147" i="4"/>
  <c r="DZ147" i="4"/>
  <c r="EA147" i="4" s="1"/>
  <c r="EB147" i="4" s="1"/>
  <c r="EC147" i="4" s="1"/>
  <c r="ED147" i="4" s="1"/>
  <c r="EE147" i="4" s="1"/>
  <c r="EF147" i="4" s="1"/>
  <c r="EG147" i="4" s="1"/>
  <c r="EH147" i="4" s="1"/>
  <c r="EI147" i="4" s="1"/>
  <c r="EJ147" i="4" s="1"/>
  <c r="EK147" i="4" s="1"/>
  <c r="EL147" i="4" s="1"/>
  <c r="EM147" i="4" s="1"/>
  <c r="EN147" i="4" s="1"/>
  <c r="EO147" i="4" s="1"/>
  <c r="EP147" i="4" s="1"/>
  <c r="BG147" i="4"/>
  <c r="BH147" i="4"/>
  <c r="BI147" i="4"/>
  <c r="BJ147" i="4"/>
  <c r="BK147" i="4" s="1"/>
  <c r="BL147" i="4" s="1"/>
  <c r="BM147" i="4" s="1"/>
  <c r="BN147" i="4" s="1"/>
  <c r="BO147" i="4" s="1"/>
  <c r="BP147" i="4" s="1"/>
  <c r="BQ147" i="4" s="1"/>
  <c r="BR147" i="4" s="1"/>
  <c r="BS147" i="4" s="1"/>
  <c r="BT147" i="4" s="1"/>
  <c r="BU147" i="4" s="1"/>
  <c r="BV147" i="4" s="1"/>
  <c r="BW147" i="4" s="1"/>
  <c r="BX147" i="4" s="1"/>
  <c r="GQ146" i="4"/>
  <c r="GR146" i="4"/>
  <c r="GS146" i="4" s="1"/>
  <c r="GT146" i="4" s="1"/>
  <c r="GU146" i="4" s="1"/>
  <c r="GV146" i="4" s="1"/>
  <c r="GW146" i="4" s="1"/>
  <c r="GX146" i="4" s="1"/>
  <c r="GY146" i="4" s="1"/>
  <c r="GZ146" i="4" s="1"/>
  <c r="HA146" i="4" s="1"/>
  <c r="HB146" i="4" s="1"/>
  <c r="HC146" i="4" s="1"/>
  <c r="HD146" i="4" s="1"/>
  <c r="HE146" i="4" s="1"/>
  <c r="HF146" i="4" s="1"/>
  <c r="HG146" i="4" s="1"/>
  <c r="HH146" i="4" s="1"/>
  <c r="H146" i="4"/>
  <c r="BZ146" i="4"/>
  <c r="CA146" i="4"/>
  <c r="DY146" i="4"/>
  <c r="DZ146" i="4" s="1"/>
  <c r="EA146" i="4" s="1"/>
  <c r="EB146" i="4" s="1"/>
  <c r="EC146" i="4" s="1"/>
  <c r="ED146" i="4" s="1"/>
  <c r="EE146" i="4" s="1"/>
  <c r="EF146" i="4" s="1"/>
  <c r="EG146" i="4" s="1"/>
  <c r="EH146" i="4" s="1"/>
  <c r="EI146" i="4" s="1"/>
  <c r="EJ146" i="4" s="1"/>
  <c r="EK146" i="4" s="1"/>
  <c r="EL146" i="4" s="1"/>
  <c r="EM146" i="4" s="1"/>
  <c r="EN146" i="4" s="1"/>
  <c r="EO146" i="4" s="1"/>
  <c r="EP146" i="4" s="1"/>
  <c r="BG146" i="4"/>
  <c r="BH146" i="4"/>
  <c r="BI146" i="4"/>
  <c r="BJ146" i="4" s="1"/>
  <c r="BK146" i="4" s="1"/>
  <c r="BL146" i="4" s="1"/>
  <c r="BM146" i="4" s="1"/>
  <c r="BN146" i="4" s="1"/>
  <c r="BO146" i="4" s="1"/>
  <c r="BP146" i="4" s="1"/>
  <c r="BQ146" i="4" s="1"/>
  <c r="BR146" i="4" s="1"/>
  <c r="BS146" i="4" s="1"/>
  <c r="BT146" i="4" s="1"/>
  <c r="BU146" i="4" s="1"/>
  <c r="BV146" i="4" s="1"/>
  <c r="BW146" i="4" s="1"/>
  <c r="BX146" i="4" s="1"/>
  <c r="I146" i="4"/>
  <c r="J146" i="4" s="1"/>
  <c r="GQ145" i="4"/>
  <c r="GR145" i="4" s="1"/>
  <c r="GS145" i="4" s="1"/>
  <c r="GT145" i="4" s="1"/>
  <c r="GU145" i="4" s="1"/>
  <c r="GV145" i="4" s="1"/>
  <c r="GW145" i="4" s="1"/>
  <c r="GX145" i="4" s="1"/>
  <c r="GY145" i="4" s="1"/>
  <c r="GZ145" i="4" s="1"/>
  <c r="HA145" i="4" s="1"/>
  <c r="HB145" i="4" s="1"/>
  <c r="HC145" i="4" s="1"/>
  <c r="HD145" i="4" s="1"/>
  <c r="HE145" i="4" s="1"/>
  <c r="HF145" i="4" s="1"/>
  <c r="HG145" i="4" s="1"/>
  <c r="HH145" i="4" s="1"/>
  <c r="H145" i="4"/>
  <c r="I145" i="4" s="1"/>
  <c r="BZ145" i="4"/>
  <c r="DY145" i="4"/>
  <c r="DZ145" i="4" s="1"/>
  <c r="EA145" i="4" s="1"/>
  <c r="EB145" i="4" s="1"/>
  <c r="EC145" i="4" s="1"/>
  <c r="ED145" i="4" s="1"/>
  <c r="EE145" i="4" s="1"/>
  <c r="EF145" i="4" s="1"/>
  <c r="EG145" i="4" s="1"/>
  <c r="EH145" i="4" s="1"/>
  <c r="EI145" i="4" s="1"/>
  <c r="EJ145" i="4" s="1"/>
  <c r="EK145" i="4" s="1"/>
  <c r="EL145" i="4" s="1"/>
  <c r="EM145" i="4" s="1"/>
  <c r="EN145" i="4" s="1"/>
  <c r="EO145" i="4" s="1"/>
  <c r="EP145" i="4" s="1"/>
  <c r="BG145" i="4"/>
  <c r="BH145" i="4"/>
  <c r="BI145" i="4" s="1"/>
  <c r="BJ145" i="4" s="1"/>
  <c r="BK145" i="4" s="1"/>
  <c r="BL145" i="4" s="1"/>
  <c r="BM145" i="4" s="1"/>
  <c r="BN145" i="4" s="1"/>
  <c r="BO145" i="4" s="1"/>
  <c r="BP145" i="4" s="1"/>
  <c r="BQ145" i="4" s="1"/>
  <c r="BR145" i="4" s="1"/>
  <c r="BS145" i="4" s="1"/>
  <c r="BT145" i="4" s="1"/>
  <c r="BU145" i="4" s="1"/>
  <c r="BV145" i="4" s="1"/>
  <c r="BW145" i="4" s="1"/>
  <c r="BX145" i="4" s="1"/>
  <c r="GQ144" i="4"/>
  <c r="GR144" i="4"/>
  <c r="GS144" i="4"/>
  <c r="GT144" i="4" s="1"/>
  <c r="GU144" i="4" s="1"/>
  <c r="GV144" i="4" s="1"/>
  <c r="GW144" i="4" s="1"/>
  <c r="GX144" i="4" s="1"/>
  <c r="GY144" i="4" s="1"/>
  <c r="GZ144" i="4" s="1"/>
  <c r="HA144" i="4" s="1"/>
  <c r="HB144" i="4" s="1"/>
  <c r="HC144" i="4" s="1"/>
  <c r="HD144" i="4" s="1"/>
  <c r="HE144" i="4" s="1"/>
  <c r="HF144" i="4" s="1"/>
  <c r="HG144" i="4" s="1"/>
  <c r="HH144" i="4" s="1"/>
  <c r="DY144" i="4"/>
  <c r="DZ144" i="4" s="1"/>
  <c r="EA144" i="4" s="1"/>
  <c r="EB144" i="4" s="1"/>
  <c r="EC144" i="4" s="1"/>
  <c r="ED144" i="4" s="1"/>
  <c r="EE144" i="4" s="1"/>
  <c r="EF144" i="4" s="1"/>
  <c r="EG144" i="4" s="1"/>
  <c r="EH144" i="4" s="1"/>
  <c r="EI144" i="4" s="1"/>
  <c r="EJ144" i="4" s="1"/>
  <c r="EK144" i="4" s="1"/>
  <c r="EL144" i="4" s="1"/>
  <c r="EM144" i="4" s="1"/>
  <c r="EN144" i="4" s="1"/>
  <c r="EO144" i="4" s="1"/>
  <c r="EP144" i="4" s="1"/>
  <c r="BG144" i="4"/>
  <c r="BH144" i="4"/>
  <c r="BI144" i="4"/>
  <c r="BJ144" i="4" s="1"/>
  <c r="BK144" i="4" s="1"/>
  <c r="BL144" i="4" s="1"/>
  <c r="BM144" i="4" s="1"/>
  <c r="BN144" i="4" s="1"/>
  <c r="BO144" i="4" s="1"/>
  <c r="BP144" i="4" s="1"/>
  <c r="BQ144" i="4" s="1"/>
  <c r="BR144" i="4" s="1"/>
  <c r="BS144" i="4" s="1"/>
  <c r="BT144" i="4" s="1"/>
  <c r="BU144" i="4"/>
  <c r="BV144" i="4" s="1"/>
  <c r="BW144" i="4" s="1"/>
  <c r="BX144" i="4" s="1"/>
  <c r="GQ143" i="4"/>
  <c r="GR143" i="4" s="1"/>
  <c r="GS143" i="4" s="1"/>
  <c r="GT143" i="4" s="1"/>
  <c r="GU143" i="4"/>
  <c r="GV143" i="4" s="1"/>
  <c r="GW143" i="4" s="1"/>
  <c r="GX143" i="4" s="1"/>
  <c r="GY143" i="4" s="1"/>
  <c r="GZ143" i="4" s="1"/>
  <c r="HA143" i="4" s="1"/>
  <c r="HB143" i="4" s="1"/>
  <c r="HC143" i="4" s="1"/>
  <c r="HD143" i="4" s="1"/>
  <c r="HE143" i="4" s="1"/>
  <c r="HF143" i="4" s="1"/>
  <c r="HG143" i="4" s="1"/>
  <c r="HH143" i="4" s="1"/>
  <c r="H143" i="4"/>
  <c r="BZ143" i="4" s="1"/>
  <c r="ER143" i="4" s="1"/>
  <c r="ES143" i="4" s="1"/>
  <c r="DY143" i="4"/>
  <c r="DZ143" i="4"/>
  <c r="EA143" i="4" s="1"/>
  <c r="EB143" i="4" s="1"/>
  <c r="EC143" i="4" s="1"/>
  <c r="ED143" i="4" s="1"/>
  <c r="EE143" i="4" s="1"/>
  <c r="EF143" i="4" s="1"/>
  <c r="EG143" i="4" s="1"/>
  <c r="EH143" i="4" s="1"/>
  <c r="EI143" i="4" s="1"/>
  <c r="EJ143" i="4" s="1"/>
  <c r="EK143" i="4" s="1"/>
  <c r="EL143" i="4" s="1"/>
  <c r="EM143" i="4" s="1"/>
  <c r="EN143" i="4" s="1"/>
  <c r="EO143" i="4" s="1"/>
  <c r="EP143" i="4" s="1"/>
  <c r="BG143" i="4"/>
  <c r="BH143" i="4"/>
  <c r="BI143" i="4"/>
  <c r="BJ143" i="4"/>
  <c r="BK143" i="4" s="1"/>
  <c r="BL143" i="4" s="1"/>
  <c r="BM143" i="4" s="1"/>
  <c r="BN143" i="4" s="1"/>
  <c r="BO143" i="4" s="1"/>
  <c r="BP143" i="4" s="1"/>
  <c r="BQ143" i="4" s="1"/>
  <c r="BR143" i="4" s="1"/>
  <c r="BS143" i="4" s="1"/>
  <c r="BT143" i="4" s="1"/>
  <c r="BU143" i="4" s="1"/>
  <c r="BV143" i="4" s="1"/>
  <c r="BW143" i="4" s="1"/>
  <c r="BX143" i="4" s="1"/>
  <c r="I143" i="4"/>
  <c r="GQ140" i="4"/>
  <c r="GR140" i="4" s="1"/>
  <c r="GS140" i="4" s="1"/>
  <c r="GT140" i="4" s="1"/>
  <c r="GU140" i="4" s="1"/>
  <c r="GV140" i="4" s="1"/>
  <c r="GW140" i="4" s="1"/>
  <c r="GX140" i="4" s="1"/>
  <c r="GY140" i="4" s="1"/>
  <c r="GZ140" i="4" s="1"/>
  <c r="HA140" i="4" s="1"/>
  <c r="HB140" i="4" s="1"/>
  <c r="HC140" i="4" s="1"/>
  <c r="HD140" i="4" s="1"/>
  <c r="HE140" i="4" s="1"/>
  <c r="HF140" i="4" s="1"/>
  <c r="HG140" i="4" s="1"/>
  <c r="HH140" i="4" s="1"/>
  <c r="H140" i="4"/>
  <c r="H139" i="4"/>
  <c r="DY140" i="4"/>
  <c r="DZ140" i="4" s="1"/>
  <c r="EA140" i="4" s="1"/>
  <c r="EB140" i="4"/>
  <c r="EC140" i="4" s="1"/>
  <c r="ED140" i="4" s="1"/>
  <c r="EE140" i="4" s="1"/>
  <c r="EF140" i="4" s="1"/>
  <c r="EG140" i="4" s="1"/>
  <c r="EH140" i="4" s="1"/>
  <c r="EI140" i="4" s="1"/>
  <c r="EJ140" i="4" s="1"/>
  <c r="EK140" i="4" s="1"/>
  <c r="EL140" i="4" s="1"/>
  <c r="EM140" i="4" s="1"/>
  <c r="EN140" i="4" s="1"/>
  <c r="EO140" i="4" s="1"/>
  <c r="EP140" i="4" s="1"/>
  <c r="BG140" i="4"/>
  <c r="BH140" i="4"/>
  <c r="BI140" i="4"/>
  <c r="BJ140" i="4" s="1"/>
  <c r="BK140" i="4" s="1"/>
  <c r="BL140" i="4" s="1"/>
  <c r="BM140" i="4" s="1"/>
  <c r="BN140" i="4" s="1"/>
  <c r="BO140" i="4" s="1"/>
  <c r="BP140" i="4" s="1"/>
  <c r="BQ140" i="4" s="1"/>
  <c r="BR140" i="4" s="1"/>
  <c r="BS140" i="4" s="1"/>
  <c r="BT140" i="4" s="1"/>
  <c r="BU140" i="4" s="1"/>
  <c r="BV140" i="4" s="1"/>
  <c r="BW140" i="4" s="1"/>
  <c r="BX140" i="4" s="1"/>
  <c r="GQ139" i="4"/>
  <c r="GR139" i="4" s="1"/>
  <c r="GS139" i="4" s="1"/>
  <c r="GT139" i="4" s="1"/>
  <c r="GU139" i="4" s="1"/>
  <c r="GV139" i="4" s="1"/>
  <c r="GW139" i="4" s="1"/>
  <c r="GX139" i="4" s="1"/>
  <c r="GY139" i="4" s="1"/>
  <c r="GZ139" i="4" s="1"/>
  <c r="HA139" i="4" s="1"/>
  <c r="HB139" i="4" s="1"/>
  <c r="HC139" i="4" s="1"/>
  <c r="HD139" i="4" s="1"/>
  <c r="HE139" i="4" s="1"/>
  <c r="HF139" i="4" s="1"/>
  <c r="HG139" i="4" s="1"/>
  <c r="HH139" i="4" s="1"/>
  <c r="DY139" i="4"/>
  <c r="DZ139" i="4"/>
  <c r="EA139" i="4" s="1"/>
  <c r="EB139" i="4" s="1"/>
  <c r="EC139" i="4" s="1"/>
  <c r="ED139" i="4" s="1"/>
  <c r="EE139" i="4" s="1"/>
  <c r="EF139" i="4" s="1"/>
  <c r="EG139" i="4" s="1"/>
  <c r="EH139" i="4" s="1"/>
  <c r="EI139" i="4" s="1"/>
  <c r="EJ139" i="4" s="1"/>
  <c r="EK139" i="4" s="1"/>
  <c r="EL139" i="4" s="1"/>
  <c r="EM139" i="4" s="1"/>
  <c r="EN139" i="4" s="1"/>
  <c r="EO139" i="4" s="1"/>
  <c r="EP139" i="4" s="1"/>
  <c r="BG139" i="4"/>
  <c r="BH139" i="4"/>
  <c r="BI139" i="4" s="1"/>
  <c r="BJ139" i="4" s="1"/>
  <c r="BK139" i="4" s="1"/>
  <c r="BL139" i="4" s="1"/>
  <c r="BM139" i="4" s="1"/>
  <c r="BN139" i="4" s="1"/>
  <c r="BO139" i="4" s="1"/>
  <c r="BP139" i="4" s="1"/>
  <c r="BQ139" i="4" s="1"/>
  <c r="BR139" i="4" s="1"/>
  <c r="BS139" i="4" s="1"/>
  <c r="BT139" i="4" s="1"/>
  <c r="BU139" i="4" s="1"/>
  <c r="BV139" i="4" s="1"/>
  <c r="BW139" i="4" s="1"/>
  <c r="BX139" i="4" s="1"/>
  <c r="GQ138" i="4"/>
  <c r="GR138" i="4"/>
  <c r="GS138" i="4" s="1"/>
  <c r="GT138" i="4" s="1"/>
  <c r="GU138" i="4" s="1"/>
  <c r="GV138" i="4" s="1"/>
  <c r="GW138" i="4" s="1"/>
  <c r="GX138" i="4" s="1"/>
  <c r="GY138" i="4" s="1"/>
  <c r="GZ138" i="4" s="1"/>
  <c r="HA138" i="4" s="1"/>
  <c r="HB138" i="4" s="1"/>
  <c r="HC138" i="4" s="1"/>
  <c r="HD138" i="4" s="1"/>
  <c r="HE138" i="4" s="1"/>
  <c r="HF138" i="4" s="1"/>
  <c r="HG138" i="4" s="1"/>
  <c r="HH138" i="4" s="1"/>
  <c r="H138" i="4"/>
  <c r="I138" i="4" s="1"/>
  <c r="DY138" i="4"/>
  <c r="DZ138" i="4" s="1"/>
  <c r="EA138" i="4" s="1"/>
  <c r="EB138" i="4" s="1"/>
  <c r="EC138" i="4" s="1"/>
  <c r="ED138" i="4" s="1"/>
  <c r="EE138" i="4" s="1"/>
  <c r="EF138" i="4" s="1"/>
  <c r="EG138" i="4" s="1"/>
  <c r="EH138" i="4" s="1"/>
  <c r="EI138" i="4" s="1"/>
  <c r="EJ138" i="4" s="1"/>
  <c r="EK138" i="4" s="1"/>
  <c r="EL138" i="4" s="1"/>
  <c r="EM138" i="4" s="1"/>
  <c r="EN138" i="4" s="1"/>
  <c r="EO138" i="4" s="1"/>
  <c r="EP138" i="4" s="1"/>
  <c r="BG138" i="4"/>
  <c r="BH138" i="4" s="1"/>
  <c r="BI138" i="4" s="1"/>
  <c r="Q138" i="4"/>
  <c r="R138" i="4" s="1"/>
  <c r="M138" i="4"/>
  <c r="N138" i="4" s="1"/>
  <c r="J138" i="4"/>
  <c r="GQ137" i="4"/>
  <c r="GR137" i="4"/>
  <c r="GS137" i="4" s="1"/>
  <c r="GT137" i="4" s="1"/>
  <c r="GU137" i="4" s="1"/>
  <c r="GV137" i="4" s="1"/>
  <c r="GW137" i="4" s="1"/>
  <c r="GX137" i="4" s="1"/>
  <c r="GY137" i="4" s="1"/>
  <c r="GZ137" i="4" s="1"/>
  <c r="HA137" i="4" s="1"/>
  <c r="HB137" i="4" s="1"/>
  <c r="HC137" i="4" s="1"/>
  <c r="HD137" i="4" s="1"/>
  <c r="HE137" i="4" s="1"/>
  <c r="HF137" i="4" s="1"/>
  <c r="HG137" i="4" s="1"/>
  <c r="HH137" i="4" s="1"/>
  <c r="H137" i="4"/>
  <c r="DY137" i="4"/>
  <c r="DZ137" i="4" s="1"/>
  <c r="EA137" i="4" s="1"/>
  <c r="EB137" i="4" s="1"/>
  <c r="EC137" i="4" s="1"/>
  <c r="ED137" i="4" s="1"/>
  <c r="EE137" i="4" s="1"/>
  <c r="EF137" i="4" s="1"/>
  <c r="EG137" i="4" s="1"/>
  <c r="EH137" i="4" s="1"/>
  <c r="EI137" i="4" s="1"/>
  <c r="EJ137" i="4" s="1"/>
  <c r="EK137" i="4" s="1"/>
  <c r="EL137" i="4" s="1"/>
  <c r="EM137" i="4" s="1"/>
  <c r="EN137" i="4" s="1"/>
  <c r="EO137" i="4" s="1"/>
  <c r="EP137" i="4" s="1"/>
  <c r="BG137" i="4"/>
  <c r="BH137" i="4" s="1"/>
  <c r="BI137" i="4" s="1"/>
  <c r="BJ137" i="4" s="1"/>
  <c r="BK137" i="4" s="1"/>
  <c r="BL137" i="4" s="1"/>
  <c r="BM137" i="4" s="1"/>
  <c r="BN137" i="4" s="1"/>
  <c r="BO137" i="4" s="1"/>
  <c r="BP137" i="4" s="1"/>
  <c r="BQ137" i="4" s="1"/>
  <c r="BR137" i="4" s="1"/>
  <c r="BS137" i="4" s="1"/>
  <c r="BT137" i="4" s="1"/>
  <c r="BU137" i="4" s="1"/>
  <c r="BV137" i="4" s="1"/>
  <c r="BW137" i="4" s="1"/>
  <c r="BX137" i="4" s="1"/>
  <c r="GQ136" i="4"/>
  <c r="GR136" i="4" s="1"/>
  <c r="GS136" i="4" s="1"/>
  <c r="GT136" i="4" s="1"/>
  <c r="GU136" i="4" s="1"/>
  <c r="GV136" i="4" s="1"/>
  <c r="GW136" i="4" s="1"/>
  <c r="GX136" i="4" s="1"/>
  <c r="GY136" i="4" s="1"/>
  <c r="GZ136" i="4" s="1"/>
  <c r="HA136" i="4" s="1"/>
  <c r="HB136" i="4" s="1"/>
  <c r="HC136" i="4" s="1"/>
  <c r="HD136" i="4" s="1"/>
  <c r="HE136" i="4" s="1"/>
  <c r="HF136" i="4" s="1"/>
  <c r="HG136" i="4" s="1"/>
  <c r="HH136" i="4" s="1"/>
  <c r="H136" i="4"/>
  <c r="I136" i="4" s="1"/>
  <c r="DY136" i="4"/>
  <c r="DZ136" i="4"/>
  <c r="EA136" i="4" s="1"/>
  <c r="EB136" i="4" s="1"/>
  <c r="EC136" i="4" s="1"/>
  <c r="ED136" i="4" s="1"/>
  <c r="EE136" i="4" s="1"/>
  <c r="EF136" i="4" s="1"/>
  <c r="EG136" i="4" s="1"/>
  <c r="EH136" i="4" s="1"/>
  <c r="EI136" i="4" s="1"/>
  <c r="EJ136" i="4" s="1"/>
  <c r="EK136" i="4" s="1"/>
  <c r="EL136" i="4" s="1"/>
  <c r="EM136" i="4" s="1"/>
  <c r="EN136" i="4" s="1"/>
  <c r="EO136" i="4" s="1"/>
  <c r="EP136" i="4" s="1"/>
  <c r="BG136" i="4"/>
  <c r="BH136" i="4"/>
  <c r="BI136" i="4" s="1"/>
  <c r="BJ136" i="4" s="1"/>
  <c r="BK136" i="4" s="1"/>
  <c r="BL136" i="4"/>
  <c r="BM136" i="4" s="1"/>
  <c r="BN136" i="4" s="1"/>
  <c r="BO136" i="4" s="1"/>
  <c r="BP136" i="4" s="1"/>
  <c r="BQ136" i="4" s="1"/>
  <c r="BR136" i="4" s="1"/>
  <c r="BS136" i="4" s="1"/>
  <c r="BT136" i="4" s="1"/>
  <c r="BU136" i="4" s="1"/>
  <c r="BV136" i="4" s="1"/>
  <c r="BW136" i="4" s="1"/>
  <c r="BX136" i="4" s="1"/>
  <c r="GQ135" i="4"/>
  <c r="GR135" i="4"/>
  <c r="GS135" i="4" s="1"/>
  <c r="GT135" i="4"/>
  <c r="GU135" i="4" s="1"/>
  <c r="GV135" i="4" s="1"/>
  <c r="GW135" i="4" s="1"/>
  <c r="GX135" i="4" s="1"/>
  <c r="GY135" i="4" s="1"/>
  <c r="GZ135" i="4" s="1"/>
  <c r="HA135" i="4" s="1"/>
  <c r="HB135" i="4" s="1"/>
  <c r="HC135" i="4" s="1"/>
  <c r="HD135" i="4" s="1"/>
  <c r="HE135" i="4" s="1"/>
  <c r="HF135" i="4" s="1"/>
  <c r="HG135" i="4" s="1"/>
  <c r="HH135" i="4" s="1"/>
  <c r="H135" i="4"/>
  <c r="DY135" i="4"/>
  <c r="DZ135" i="4" s="1"/>
  <c r="EA135" i="4" s="1"/>
  <c r="EB135" i="4" s="1"/>
  <c r="EC135" i="4"/>
  <c r="ED135" i="4" s="1"/>
  <c r="EE135" i="4" s="1"/>
  <c r="EF135" i="4" s="1"/>
  <c r="EG135" i="4" s="1"/>
  <c r="EH135" i="4" s="1"/>
  <c r="EI135" i="4" s="1"/>
  <c r="EJ135" i="4" s="1"/>
  <c r="EK135" i="4" s="1"/>
  <c r="EL135" i="4" s="1"/>
  <c r="EM135" i="4" s="1"/>
  <c r="EN135" i="4" s="1"/>
  <c r="EO135" i="4" s="1"/>
  <c r="EP135" i="4" s="1"/>
  <c r="BG135" i="4"/>
  <c r="BH135" i="4" s="1"/>
  <c r="BI135" i="4" s="1"/>
  <c r="BJ135" i="4" s="1"/>
  <c r="BK135" i="4" s="1"/>
  <c r="BL135" i="4" s="1"/>
  <c r="BM135" i="4" s="1"/>
  <c r="BN135" i="4" s="1"/>
  <c r="BO135" i="4" s="1"/>
  <c r="BP135" i="4" s="1"/>
  <c r="BQ135" i="4" s="1"/>
  <c r="BR135" i="4" s="1"/>
  <c r="BS135" i="4" s="1"/>
  <c r="BT135" i="4" s="1"/>
  <c r="BU135" i="4" s="1"/>
  <c r="BV135" i="4" s="1"/>
  <c r="BW135" i="4" s="1"/>
  <c r="BX135" i="4" s="1"/>
  <c r="GQ134" i="4"/>
  <c r="GR134" i="4" s="1"/>
  <c r="GS134" i="4" s="1"/>
  <c r="GT134" i="4" s="1"/>
  <c r="GU134" i="4"/>
  <c r="GV134" i="4" s="1"/>
  <c r="GW134" i="4" s="1"/>
  <c r="GX134" i="4" s="1"/>
  <c r="GY134" i="4" s="1"/>
  <c r="GZ134" i="4" s="1"/>
  <c r="HA134" i="4" s="1"/>
  <c r="HB134" i="4" s="1"/>
  <c r="HC134" i="4" s="1"/>
  <c r="HD134" i="4" s="1"/>
  <c r="HE134" i="4" s="1"/>
  <c r="HF134" i="4" s="1"/>
  <c r="HG134" i="4" s="1"/>
  <c r="HH134" i="4" s="1"/>
  <c r="H134" i="4"/>
  <c r="DY134" i="4"/>
  <c r="DZ134" i="4"/>
  <c r="EA134" i="4" s="1"/>
  <c r="EB134" i="4" s="1"/>
  <c r="EC134" i="4" s="1"/>
  <c r="ED134" i="4" s="1"/>
  <c r="EE134" i="4" s="1"/>
  <c r="EF134" i="4" s="1"/>
  <c r="EG134" i="4" s="1"/>
  <c r="EH134" i="4" s="1"/>
  <c r="EI134" i="4" s="1"/>
  <c r="EJ134" i="4" s="1"/>
  <c r="EK134" i="4" s="1"/>
  <c r="EL134" i="4" s="1"/>
  <c r="EM134" i="4" s="1"/>
  <c r="EN134" i="4" s="1"/>
  <c r="EO134" i="4" s="1"/>
  <c r="EP134" i="4" s="1"/>
  <c r="BG134" i="4"/>
  <c r="BH134" i="4"/>
  <c r="BI134" i="4" s="1"/>
  <c r="BJ134" i="4" s="1"/>
  <c r="BK134" i="4" s="1"/>
  <c r="BL134" i="4" s="1"/>
  <c r="BM134" i="4" s="1"/>
  <c r="BN134" i="4" s="1"/>
  <c r="BO134" i="4" s="1"/>
  <c r="BP134" i="4" s="1"/>
  <c r="BQ134" i="4" s="1"/>
  <c r="BR134" i="4" s="1"/>
  <c r="BS134" i="4" s="1"/>
  <c r="BT134" i="4" s="1"/>
  <c r="BU134" i="4" s="1"/>
  <c r="BV134" i="4" s="1"/>
  <c r="BW134" i="4" s="1"/>
  <c r="BX134" i="4" s="1"/>
  <c r="GQ133" i="4"/>
  <c r="GR133" i="4"/>
  <c r="GS133" i="4" s="1"/>
  <c r="GT133" i="4" s="1"/>
  <c r="GU133" i="4" s="1"/>
  <c r="GV133" i="4" s="1"/>
  <c r="GW133" i="4" s="1"/>
  <c r="GX133" i="4" s="1"/>
  <c r="GY133" i="4" s="1"/>
  <c r="GZ133" i="4" s="1"/>
  <c r="HA133" i="4" s="1"/>
  <c r="HB133" i="4" s="1"/>
  <c r="HC133" i="4" s="1"/>
  <c r="HD133" i="4" s="1"/>
  <c r="HE133" i="4" s="1"/>
  <c r="HF133" i="4" s="1"/>
  <c r="HG133" i="4" s="1"/>
  <c r="HH133" i="4" s="1"/>
  <c r="H133" i="4"/>
  <c r="I133" i="4" s="1"/>
  <c r="DY133" i="4"/>
  <c r="DZ133" i="4" s="1"/>
  <c r="EA133" i="4"/>
  <c r="EB133" i="4" s="1"/>
  <c r="EC133" i="4" s="1"/>
  <c r="ED133" i="4" s="1"/>
  <c r="EE133" i="4" s="1"/>
  <c r="EF133" i="4" s="1"/>
  <c r="EG133" i="4" s="1"/>
  <c r="EH133" i="4" s="1"/>
  <c r="EI133" i="4" s="1"/>
  <c r="EJ133" i="4" s="1"/>
  <c r="EK133" i="4" s="1"/>
  <c r="EL133" i="4" s="1"/>
  <c r="EM133" i="4" s="1"/>
  <c r="EN133" i="4" s="1"/>
  <c r="EO133" i="4" s="1"/>
  <c r="EP133" i="4" s="1"/>
  <c r="BG133" i="4"/>
  <c r="BH133" i="4" s="1"/>
  <c r="BI133" i="4" s="1"/>
  <c r="BJ133" i="4" s="1"/>
  <c r="BK133" i="4" s="1"/>
  <c r="BL133" i="4" s="1"/>
  <c r="BM133" i="4" s="1"/>
  <c r="BN133" i="4" s="1"/>
  <c r="BO133" i="4" s="1"/>
  <c r="BP133" i="4" s="1"/>
  <c r="BQ133" i="4" s="1"/>
  <c r="BR133" i="4" s="1"/>
  <c r="BS133" i="4" s="1"/>
  <c r="BT133" i="4" s="1"/>
  <c r="BU133" i="4" s="1"/>
  <c r="BV133" i="4" s="1"/>
  <c r="BW133" i="4" s="1"/>
  <c r="BX133" i="4" s="1"/>
  <c r="GQ132" i="4"/>
  <c r="GR132" i="4" s="1"/>
  <c r="GS132" i="4"/>
  <c r="GT132" i="4" s="1"/>
  <c r="GU132" i="4" s="1"/>
  <c r="GV132" i="4" s="1"/>
  <c r="GW132" i="4" s="1"/>
  <c r="GX132" i="4" s="1"/>
  <c r="GY132" i="4" s="1"/>
  <c r="GZ132" i="4" s="1"/>
  <c r="HA132" i="4" s="1"/>
  <c r="HB132" i="4" s="1"/>
  <c r="HC132" i="4" s="1"/>
  <c r="HD132" i="4" s="1"/>
  <c r="HE132" i="4" s="1"/>
  <c r="HF132" i="4" s="1"/>
  <c r="HG132" i="4" s="1"/>
  <c r="HH132" i="4" s="1"/>
  <c r="H132" i="4"/>
  <c r="DY132" i="4"/>
  <c r="DZ132" i="4"/>
  <c r="EA132" i="4" s="1"/>
  <c r="EB132" i="4" s="1"/>
  <c r="EC132" i="4" s="1"/>
  <c r="ED132" i="4" s="1"/>
  <c r="EE132" i="4" s="1"/>
  <c r="EF132" i="4" s="1"/>
  <c r="EG132" i="4" s="1"/>
  <c r="EH132" i="4" s="1"/>
  <c r="EI132" i="4" s="1"/>
  <c r="EJ132" i="4" s="1"/>
  <c r="EK132" i="4" s="1"/>
  <c r="EL132" i="4" s="1"/>
  <c r="EM132" i="4" s="1"/>
  <c r="EN132" i="4" s="1"/>
  <c r="EO132" i="4" s="1"/>
  <c r="EP132" i="4" s="1"/>
  <c r="BG132" i="4"/>
  <c r="BH132" i="4"/>
  <c r="BI132" i="4" s="1"/>
  <c r="BJ132" i="4" s="1"/>
  <c r="BK132" i="4" s="1"/>
  <c r="BL132" i="4" s="1"/>
  <c r="BM132" i="4" s="1"/>
  <c r="BN132" i="4" s="1"/>
  <c r="BO132" i="4" s="1"/>
  <c r="BP132" i="4" s="1"/>
  <c r="BQ132" i="4" s="1"/>
  <c r="BR132" i="4" s="1"/>
  <c r="BS132" i="4" s="1"/>
  <c r="BT132" i="4" s="1"/>
  <c r="BU132" i="4" s="1"/>
  <c r="BV132" i="4" s="1"/>
  <c r="BW132" i="4" s="1"/>
  <c r="BX132" i="4" s="1"/>
  <c r="GQ131" i="4"/>
  <c r="GR131" i="4"/>
  <c r="GS131" i="4" s="1"/>
  <c r="GT131" i="4" s="1"/>
  <c r="GU131" i="4" s="1"/>
  <c r="GV131" i="4" s="1"/>
  <c r="GW131" i="4" s="1"/>
  <c r="GX131" i="4" s="1"/>
  <c r="GY131" i="4" s="1"/>
  <c r="GZ131" i="4" s="1"/>
  <c r="HA131" i="4" s="1"/>
  <c r="HB131" i="4" s="1"/>
  <c r="HC131" i="4" s="1"/>
  <c r="HD131" i="4" s="1"/>
  <c r="HE131" i="4" s="1"/>
  <c r="HF131" i="4" s="1"/>
  <c r="HG131" i="4" s="1"/>
  <c r="HH131" i="4" s="1"/>
  <c r="H131" i="4"/>
  <c r="DY131" i="4"/>
  <c r="DZ131" i="4" s="1"/>
  <c r="EA131" i="4" s="1"/>
  <c r="EB131" i="4" s="1"/>
  <c r="EC131" i="4" s="1"/>
  <c r="ED131" i="4" s="1"/>
  <c r="EE131" i="4" s="1"/>
  <c r="EF131" i="4" s="1"/>
  <c r="EG131" i="4" s="1"/>
  <c r="EH131" i="4" s="1"/>
  <c r="EI131" i="4" s="1"/>
  <c r="EJ131" i="4" s="1"/>
  <c r="EK131" i="4" s="1"/>
  <c r="EL131" i="4" s="1"/>
  <c r="EM131" i="4" s="1"/>
  <c r="EN131" i="4" s="1"/>
  <c r="EO131" i="4" s="1"/>
  <c r="EP131" i="4" s="1"/>
  <c r="BG131" i="4"/>
  <c r="BH131" i="4" s="1"/>
  <c r="BI131" i="4"/>
  <c r="BJ131" i="4" s="1"/>
  <c r="BK131" i="4" s="1"/>
  <c r="BL131" i="4" s="1"/>
  <c r="BM131" i="4" s="1"/>
  <c r="BN131" i="4" s="1"/>
  <c r="BO131" i="4" s="1"/>
  <c r="BP131" i="4" s="1"/>
  <c r="BQ131" i="4" s="1"/>
  <c r="BR131" i="4" s="1"/>
  <c r="BS131" i="4" s="1"/>
  <c r="BT131" i="4" s="1"/>
  <c r="BU131" i="4" s="1"/>
  <c r="BV131" i="4" s="1"/>
  <c r="BW131" i="4" s="1"/>
  <c r="BX131" i="4" s="1"/>
  <c r="GQ130" i="4"/>
  <c r="GR130" i="4" s="1"/>
  <c r="GS130" i="4" s="1"/>
  <c r="GT130" i="4" s="1"/>
  <c r="GU130" i="4" s="1"/>
  <c r="GV130" i="4" s="1"/>
  <c r="GW130" i="4" s="1"/>
  <c r="GX130" i="4" s="1"/>
  <c r="GY130" i="4" s="1"/>
  <c r="GZ130" i="4" s="1"/>
  <c r="HA130" i="4" s="1"/>
  <c r="HB130" i="4" s="1"/>
  <c r="HC130" i="4" s="1"/>
  <c r="HD130" i="4" s="1"/>
  <c r="HE130" i="4" s="1"/>
  <c r="HF130" i="4" s="1"/>
  <c r="HG130" i="4" s="1"/>
  <c r="HH130" i="4" s="1"/>
  <c r="H130" i="4"/>
  <c r="I130" i="4" s="1"/>
  <c r="DY130" i="4"/>
  <c r="DZ130" i="4"/>
  <c r="EA130" i="4" s="1"/>
  <c r="EB130" i="4" s="1"/>
  <c r="EC130" i="4" s="1"/>
  <c r="ED130" i="4" s="1"/>
  <c r="EE130" i="4" s="1"/>
  <c r="EF130" i="4" s="1"/>
  <c r="EG130" i="4" s="1"/>
  <c r="EH130" i="4" s="1"/>
  <c r="EI130" i="4" s="1"/>
  <c r="EJ130" i="4" s="1"/>
  <c r="EK130" i="4" s="1"/>
  <c r="EL130" i="4" s="1"/>
  <c r="EM130" i="4" s="1"/>
  <c r="EN130" i="4" s="1"/>
  <c r="EO130" i="4" s="1"/>
  <c r="EP130" i="4" s="1"/>
  <c r="BG130" i="4"/>
  <c r="BH130" i="4"/>
  <c r="BI130" i="4" s="1"/>
  <c r="BJ130" i="4" s="1"/>
  <c r="BK130" i="4" s="1"/>
  <c r="BL130" i="4" s="1"/>
  <c r="BM130" i="4" s="1"/>
  <c r="BN130" i="4" s="1"/>
  <c r="BO130" i="4" s="1"/>
  <c r="BP130" i="4" s="1"/>
  <c r="BQ130" i="4" s="1"/>
  <c r="BR130" i="4" s="1"/>
  <c r="BS130" i="4" s="1"/>
  <c r="BT130" i="4" s="1"/>
  <c r="BU130" i="4" s="1"/>
  <c r="BV130" i="4" s="1"/>
  <c r="BW130" i="4" s="1"/>
  <c r="BX130" i="4" s="1"/>
  <c r="GQ127" i="4"/>
  <c r="GR127" i="4"/>
  <c r="GS127" i="4" s="1"/>
  <c r="GT127" i="4" s="1"/>
  <c r="GU127" i="4" s="1"/>
  <c r="GV127" i="4" s="1"/>
  <c r="GW127" i="4" s="1"/>
  <c r="GX127" i="4" s="1"/>
  <c r="GY127" i="4" s="1"/>
  <c r="GZ127" i="4" s="1"/>
  <c r="HA127" i="4" s="1"/>
  <c r="HB127" i="4" s="1"/>
  <c r="HC127" i="4" s="1"/>
  <c r="HD127" i="4" s="1"/>
  <c r="HE127" i="4" s="1"/>
  <c r="HF127" i="4" s="1"/>
  <c r="HG127" i="4" s="1"/>
  <c r="HH127" i="4" s="1"/>
  <c r="H124" i="4"/>
  <c r="DY127" i="4"/>
  <c r="DZ127" i="4" s="1"/>
  <c r="EA127" i="4" s="1"/>
  <c r="EB127" i="4" s="1"/>
  <c r="EC127" i="4" s="1"/>
  <c r="ED127" i="4" s="1"/>
  <c r="EE127" i="4" s="1"/>
  <c r="EF127" i="4" s="1"/>
  <c r="EG127" i="4" s="1"/>
  <c r="EH127" i="4" s="1"/>
  <c r="EI127" i="4" s="1"/>
  <c r="EJ127" i="4" s="1"/>
  <c r="EK127" i="4" s="1"/>
  <c r="EL127" i="4" s="1"/>
  <c r="EM127" i="4" s="1"/>
  <c r="EN127" i="4" s="1"/>
  <c r="EO127" i="4" s="1"/>
  <c r="EP127" i="4" s="1"/>
  <c r="BG127" i="4"/>
  <c r="BH127" i="4" s="1"/>
  <c r="BI127" i="4" s="1"/>
  <c r="BJ127" i="4" s="1"/>
  <c r="BK127" i="4" s="1"/>
  <c r="BL127" i="4" s="1"/>
  <c r="BM127" i="4" s="1"/>
  <c r="BN127" i="4" s="1"/>
  <c r="BO127" i="4" s="1"/>
  <c r="BP127" i="4" s="1"/>
  <c r="BQ127" i="4" s="1"/>
  <c r="BR127" i="4" s="1"/>
  <c r="BS127" i="4" s="1"/>
  <c r="BT127" i="4" s="1"/>
  <c r="BU127" i="4" s="1"/>
  <c r="BV127" i="4" s="1"/>
  <c r="BW127" i="4" s="1"/>
  <c r="BX127" i="4" s="1"/>
  <c r="GQ126" i="4"/>
  <c r="GR126" i="4" s="1"/>
  <c r="GS126" i="4" s="1"/>
  <c r="GT126" i="4" s="1"/>
  <c r="GU126" i="4" s="1"/>
  <c r="GV126" i="4" s="1"/>
  <c r="GW126" i="4" s="1"/>
  <c r="GX126" i="4" s="1"/>
  <c r="GY126" i="4" s="1"/>
  <c r="GZ126" i="4" s="1"/>
  <c r="HA126" i="4" s="1"/>
  <c r="HB126" i="4" s="1"/>
  <c r="HC126" i="4" s="1"/>
  <c r="HD126" i="4" s="1"/>
  <c r="HE126" i="4" s="1"/>
  <c r="HF126" i="4" s="1"/>
  <c r="HG126" i="4" s="1"/>
  <c r="HH126" i="4" s="1"/>
  <c r="H126" i="4"/>
  <c r="BZ126" i="4" s="1"/>
  <c r="DY126" i="4"/>
  <c r="DZ126" i="4"/>
  <c r="EA126" i="4" s="1"/>
  <c r="EB126" i="4" s="1"/>
  <c r="EC126" i="4" s="1"/>
  <c r="ED126" i="4" s="1"/>
  <c r="EE126" i="4" s="1"/>
  <c r="EF126" i="4" s="1"/>
  <c r="EG126" i="4" s="1"/>
  <c r="EH126" i="4" s="1"/>
  <c r="EI126" i="4" s="1"/>
  <c r="EJ126" i="4" s="1"/>
  <c r="EK126" i="4" s="1"/>
  <c r="EL126" i="4" s="1"/>
  <c r="EM126" i="4" s="1"/>
  <c r="EN126" i="4" s="1"/>
  <c r="EO126" i="4" s="1"/>
  <c r="EP126" i="4" s="1"/>
  <c r="BG126" i="4"/>
  <c r="BH126" i="4"/>
  <c r="BI126" i="4" s="1"/>
  <c r="BJ126" i="4" s="1"/>
  <c r="BK126" i="4" s="1"/>
  <c r="BL126" i="4" s="1"/>
  <c r="BM126" i="4" s="1"/>
  <c r="BN126" i="4" s="1"/>
  <c r="BO126" i="4" s="1"/>
  <c r="BP126" i="4" s="1"/>
  <c r="BQ126" i="4" s="1"/>
  <c r="BR126" i="4" s="1"/>
  <c r="BS126" i="4" s="1"/>
  <c r="BT126" i="4" s="1"/>
  <c r="BU126" i="4" s="1"/>
  <c r="BV126" i="4" s="1"/>
  <c r="BW126" i="4" s="1"/>
  <c r="BX126" i="4" s="1"/>
  <c r="GQ125" i="4"/>
  <c r="GR125" i="4"/>
  <c r="GS125" i="4" s="1"/>
  <c r="GT125" i="4" s="1"/>
  <c r="GU125" i="4" s="1"/>
  <c r="GV125" i="4" s="1"/>
  <c r="GW125" i="4" s="1"/>
  <c r="GX125" i="4" s="1"/>
  <c r="GY125" i="4" s="1"/>
  <c r="GZ125" i="4" s="1"/>
  <c r="HA125" i="4" s="1"/>
  <c r="HB125" i="4" s="1"/>
  <c r="HC125" i="4" s="1"/>
  <c r="HD125" i="4" s="1"/>
  <c r="HE125" i="4" s="1"/>
  <c r="HF125" i="4" s="1"/>
  <c r="HG125" i="4" s="1"/>
  <c r="HH125" i="4" s="1"/>
  <c r="H125" i="4"/>
  <c r="DY125" i="4"/>
  <c r="DZ125" i="4" s="1"/>
  <c r="EA125" i="4" s="1"/>
  <c r="EB125" i="4" s="1"/>
  <c r="EC125" i="4" s="1"/>
  <c r="ED125" i="4" s="1"/>
  <c r="EE125" i="4" s="1"/>
  <c r="EF125" i="4" s="1"/>
  <c r="EG125" i="4" s="1"/>
  <c r="EH125" i="4" s="1"/>
  <c r="EI125" i="4" s="1"/>
  <c r="EJ125" i="4" s="1"/>
  <c r="EK125" i="4" s="1"/>
  <c r="EL125" i="4" s="1"/>
  <c r="EM125" i="4" s="1"/>
  <c r="EN125" i="4" s="1"/>
  <c r="EO125" i="4" s="1"/>
  <c r="EP125" i="4" s="1"/>
  <c r="BG125" i="4"/>
  <c r="BH125" i="4" s="1"/>
  <c r="BI125" i="4" s="1"/>
  <c r="BJ125" i="4" s="1"/>
  <c r="BK125" i="4" s="1"/>
  <c r="BL125" i="4" s="1"/>
  <c r="BM125" i="4" s="1"/>
  <c r="BN125" i="4" s="1"/>
  <c r="BO125" i="4" s="1"/>
  <c r="BP125" i="4" s="1"/>
  <c r="BQ125" i="4" s="1"/>
  <c r="BR125" i="4" s="1"/>
  <c r="BS125" i="4" s="1"/>
  <c r="BT125" i="4" s="1"/>
  <c r="BU125" i="4" s="1"/>
  <c r="BV125" i="4" s="1"/>
  <c r="BW125" i="4" s="1"/>
  <c r="BX125" i="4" s="1"/>
  <c r="GQ124" i="4"/>
  <c r="GR124" i="4" s="1"/>
  <c r="GS124" i="4" s="1"/>
  <c r="GT124" i="4" s="1"/>
  <c r="GU124" i="4" s="1"/>
  <c r="GV124" i="4" s="1"/>
  <c r="GW124" i="4" s="1"/>
  <c r="GX124" i="4" s="1"/>
  <c r="GY124" i="4" s="1"/>
  <c r="GZ124" i="4" s="1"/>
  <c r="HA124" i="4" s="1"/>
  <c r="HB124" i="4" s="1"/>
  <c r="HC124" i="4" s="1"/>
  <c r="HD124" i="4" s="1"/>
  <c r="HE124" i="4" s="1"/>
  <c r="HF124" i="4" s="1"/>
  <c r="HG124" i="4" s="1"/>
  <c r="HH124" i="4" s="1"/>
  <c r="DY124" i="4"/>
  <c r="DZ124" i="4" s="1"/>
  <c r="EA124" i="4" s="1"/>
  <c r="EB124" i="4" s="1"/>
  <c r="EC124" i="4" s="1"/>
  <c r="ED124" i="4" s="1"/>
  <c r="EE124" i="4" s="1"/>
  <c r="EF124" i="4" s="1"/>
  <c r="EG124" i="4" s="1"/>
  <c r="EH124" i="4" s="1"/>
  <c r="EI124" i="4" s="1"/>
  <c r="EJ124" i="4" s="1"/>
  <c r="EK124" i="4" s="1"/>
  <c r="EL124" i="4" s="1"/>
  <c r="EM124" i="4" s="1"/>
  <c r="EN124" i="4" s="1"/>
  <c r="EO124" i="4" s="1"/>
  <c r="EP124" i="4" s="1"/>
  <c r="BG124" i="4"/>
  <c r="BH124" i="4" s="1"/>
  <c r="BI124" i="4" s="1"/>
  <c r="BJ124" i="4" s="1"/>
  <c r="BK124" i="4" s="1"/>
  <c r="BL124" i="4" s="1"/>
  <c r="BM124" i="4" s="1"/>
  <c r="BN124" i="4" s="1"/>
  <c r="BO124" i="4" s="1"/>
  <c r="BP124" i="4" s="1"/>
  <c r="BQ124" i="4" s="1"/>
  <c r="BR124" i="4" s="1"/>
  <c r="BS124" i="4" s="1"/>
  <c r="BT124" i="4" s="1"/>
  <c r="BU124" i="4" s="1"/>
  <c r="BV124" i="4" s="1"/>
  <c r="BW124" i="4" s="1"/>
  <c r="BX124" i="4" s="1"/>
  <c r="GQ123" i="4"/>
  <c r="GR123" i="4" s="1"/>
  <c r="GS123" i="4" s="1"/>
  <c r="GT123" i="4" s="1"/>
  <c r="GU123" i="4" s="1"/>
  <c r="GV123" i="4" s="1"/>
  <c r="GW123" i="4" s="1"/>
  <c r="GX123" i="4" s="1"/>
  <c r="GY123" i="4" s="1"/>
  <c r="GZ123" i="4" s="1"/>
  <c r="HA123" i="4" s="1"/>
  <c r="HB123" i="4" s="1"/>
  <c r="HC123" i="4" s="1"/>
  <c r="HD123" i="4" s="1"/>
  <c r="HE123" i="4" s="1"/>
  <c r="HF123" i="4" s="1"/>
  <c r="HG123" i="4" s="1"/>
  <c r="HH123" i="4" s="1"/>
  <c r="H123" i="4"/>
  <c r="I123" i="4" s="1"/>
  <c r="DY123" i="4"/>
  <c r="DZ123" i="4"/>
  <c r="EA123" i="4" s="1"/>
  <c r="EB123" i="4" s="1"/>
  <c r="EC123" i="4" s="1"/>
  <c r="ED123" i="4" s="1"/>
  <c r="EE123" i="4" s="1"/>
  <c r="EF123" i="4" s="1"/>
  <c r="EG123" i="4" s="1"/>
  <c r="EH123" i="4" s="1"/>
  <c r="EI123" i="4" s="1"/>
  <c r="EJ123" i="4" s="1"/>
  <c r="EK123" i="4" s="1"/>
  <c r="EL123" i="4" s="1"/>
  <c r="EM123" i="4" s="1"/>
  <c r="EN123" i="4" s="1"/>
  <c r="EO123" i="4" s="1"/>
  <c r="EP123" i="4" s="1"/>
  <c r="BG123" i="4"/>
  <c r="BH123" i="4"/>
  <c r="BI123" i="4" s="1"/>
  <c r="BJ123" i="4" s="1"/>
  <c r="BK123" i="4" s="1"/>
  <c r="S123" i="4"/>
  <c r="T123" i="4" s="1"/>
  <c r="J123" i="4"/>
  <c r="GQ122" i="4"/>
  <c r="GR122" i="4"/>
  <c r="GS122" i="4" s="1"/>
  <c r="GT122" i="4" s="1"/>
  <c r="GU122" i="4" s="1"/>
  <c r="GV122" i="4" s="1"/>
  <c r="GW122" i="4" s="1"/>
  <c r="GX122" i="4" s="1"/>
  <c r="GY122" i="4" s="1"/>
  <c r="GZ122" i="4" s="1"/>
  <c r="HA122" i="4" s="1"/>
  <c r="HB122" i="4" s="1"/>
  <c r="HC122" i="4" s="1"/>
  <c r="HD122" i="4" s="1"/>
  <c r="HE122" i="4" s="1"/>
  <c r="HF122" i="4" s="1"/>
  <c r="HG122" i="4" s="1"/>
  <c r="HH122" i="4" s="1"/>
  <c r="H122" i="4"/>
  <c r="BZ122" i="4"/>
  <c r="DY122" i="4"/>
  <c r="DZ122" i="4"/>
  <c r="EA122" i="4" s="1"/>
  <c r="EB122" i="4" s="1"/>
  <c r="EC122" i="4" s="1"/>
  <c r="ED122" i="4" s="1"/>
  <c r="EE122" i="4" s="1"/>
  <c r="EF122" i="4" s="1"/>
  <c r="EG122" i="4" s="1"/>
  <c r="EH122" i="4" s="1"/>
  <c r="EI122" i="4" s="1"/>
  <c r="EJ122" i="4" s="1"/>
  <c r="EK122" i="4" s="1"/>
  <c r="EL122" i="4" s="1"/>
  <c r="EM122" i="4" s="1"/>
  <c r="EN122" i="4" s="1"/>
  <c r="EO122" i="4" s="1"/>
  <c r="EP122" i="4" s="1"/>
  <c r="BG122" i="4"/>
  <c r="BH122" i="4"/>
  <c r="BI122" i="4" s="1"/>
  <c r="BJ122" i="4" s="1"/>
  <c r="BK122" i="4" s="1"/>
  <c r="BL122" i="4" s="1"/>
  <c r="I122" i="4"/>
  <c r="S122" i="4"/>
  <c r="T122" i="4" s="1"/>
  <c r="O122" i="4"/>
  <c r="P122" i="4"/>
  <c r="K122" i="4"/>
  <c r="L122" i="4" s="1"/>
  <c r="GQ121" i="4"/>
  <c r="GR121" i="4" s="1"/>
  <c r="GS121" i="4" s="1"/>
  <c r="GT121" i="4" s="1"/>
  <c r="GU121" i="4" s="1"/>
  <c r="GV121" i="4" s="1"/>
  <c r="GW121" i="4" s="1"/>
  <c r="GX121" i="4" s="1"/>
  <c r="GY121" i="4" s="1"/>
  <c r="GZ121" i="4" s="1"/>
  <c r="HA121" i="4" s="1"/>
  <c r="HB121" i="4" s="1"/>
  <c r="HC121" i="4" s="1"/>
  <c r="HD121" i="4" s="1"/>
  <c r="HE121" i="4" s="1"/>
  <c r="HF121" i="4" s="1"/>
  <c r="HG121" i="4" s="1"/>
  <c r="HH121" i="4" s="1"/>
  <c r="H121" i="4"/>
  <c r="DY121" i="4"/>
  <c r="DZ121" i="4"/>
  <c r="EA121" i="4" s="1"/>
  <c r="EB121" i="4" s="1"/>
  <c r="EC121" i="4" s="1"/>
  <c r="ED121" i="4" s="1"/>
  <c r="EE121" i="4" s="1"/>
  <c r="EF121" i="4" s="1"/>
  <c r="EG121" i="4" s="1"/>
  <c r="EH121" i="4" s="1"/>
  <c r="EI121" i="4" s="1"/>
  <c r="EJ121" i="4" s="1"/>
  <c r="EK121" i="4" s="1"/>
  <c r="EL121" i="4" s="1"/>
  <c r="EM121" i="4" s="1"/>
  <c r="EN121" i="4" s="1"/>
  <c r="EO121" i="4" s="1"/>
  <c r="EP121" i="4" s="1"/>
  <c r="BG121" i="4"/>
  <c r="BH121" i="4"/>
  <c r="BI121" i="4" s="1"/>
  <c r="BJ121" i="4" s="1"/>
  <c r="BK121" i="4" s="1"/>
  <c r="BL121" i="4" s="1"/>
  <c r="BM121" i="4" s="1"/>
  <c r="BN121" i="4" s="1"/>
  <c r="BO121" i="4" s="1"/>
  <c r="BP121" i="4" s="1"/>
  <c r="BQ121" i="4" s="1"/>
  <c r="BR121" i="4" s="1"/>
  <c r="BS121" i="4" s="1"/>
  <c r="BT121" i="4" s="1"/>
  <c r="BU121" i="4" s="1"/>
  <c r="BV121" i="4" s="1"/>
  <c r="BW121" i="4" s="1"/>
  <c r="BX121" i="4" s="1"/>
  <c r="GQ120" i="4"/>
  <c r="GR120" i="4"/>
  <c r="GS120" i="4" s="1"/>
  <c r="GT120" i="4" s="1"/>
  <c r="GU120" i="4" s="1"/>
  <c r="GV120" i="4" s="1"/>
  <c r="GW120" i="4" s="1"/>
  <c r="GX120" i="4" s="1"/>
  <c r="GY120" i="4" s="1"/>
  <c r="GZ120" i="4" s="1"/>
  <c r="HA120" i="4" s="1"/>
  <c r="HB120" i="4" s="1"/>
  <c r="HC120" i="4" s="1"/>
  <c r="HD120" i="4" s="1"/>
  <c r="HE120" i="4" s="1"/>
  <c r="HF120" i="4" s="1"/>
  <c r="HG120" i="4" s="1"/>
  <c r="HH120" i="4" s="1"/>
  <c r="H120" i="4"/>
  <c r="BZ120" i="4" s="1"/>
  <c r="CA120" i="4" s="1"/>
  <c r="DY120" i="4"/>
  <c r="DZ120" i="4" s="1"/>
  <c r="EA120" i="4" s="1"/>
  <c r="EB120" i="4" s="1"/>
  <c r="EC120" i="4" s="1"/>
  <c r="ED120" i="4" s="1"/>
  <c r="EE120" i="4" s="1"/>
  <c r="EF120" i="4" s="1"/>
  <c r="EG120" i="4" s="1"/>
  <c r="EH120" i="4" s="1"/>
  <c r="EI120" i="4" s="1"/>
  <c r="EJ120" i="4" s="1"/>
  <c r="CG120" i="4"/>
  <c r="CH120" i="4" s="1"/>
  <c r="BG120" i="4"/>
  <c r="BH120" i="4"/>
  <c r="BI120" i="4" s="1"/>
  <c r="BJ120" i="4" s="1"/>
  <c r="BK120" i="4" s="1"/>
  <c r="BL120" i="4" s="1"/>
  <c r="BM120" i="4" s="1"/>
  <c r="BN120" i="4" s="1"/>
  <c r="BO120" i="4" s="1"/>
  <c r="BP120" i="4" s="1"/>
  <c r="BQ120" i="4" s="1"/>
  <c r="BR120" i="4" s="1"/>
  <c r="BS120" i="4" s="1"/>
  <c r="BT120" i="4" s="1"/>
  <c r="BU120" i="4" s="1"/>
  <c r="BV120" i="4" s="1"/>
  <c r="BW120" i="4" s="1"/>
  <c r="BX120" i="4" s="1"/>
  <c r="GQ119" i="4"/>
  <c r="GR119" i="4"/>
  <c r="GS119" i="4" s="1"/>
  <c r="GT119" i="4"/>
  <c r="GU119" i="4" s="1"/>
  <c r="GV119" i="4" s="1"/>
  <c r="GW119" i="4" s="1"/>
  <c r="GX119" i="4" s="1"/>
  <c r="GY119" i="4" s="1"/>
  <c r="GZ119" i="4" s="1"/>
  <c r="HA119" i="4" s="1"/>
  <c r="HB119" i="4" s="1"/>
  <c r="HC119" i="4" s="1"/>
  <c r="HD119" i="4" s="1"/>
  <c r="HE119" i="4" s="1"/>
  <c r="HF119" i="4" s="1"/>
  <c r="HG119" i="4" s="1"/>
  <c r="HH119" i="4" s="1"/>
  <c r="H119" i="4"/>
  <c r="BZ119" i="4" s="1"/>
  <c r="DY119" i="4"/>
  <c r="DZ119" i="4" s="1"/>
  <c r="EA119" i="4" s="1"/>
  <c r="EB119" i="4" s="1"/>
  <c r="EC119" i="4" s="1"/>
  <c r="ED119" i="4" s="1"/>
  <c r="EE119" i="4" s="1"/>
  <c r="EF119" i="4" s="1"/>
  <c r="EG119" i="4" s="1"/>
  <c r="EH119" i="4" s="1"/>
  <c r="EI119" i="4" s="1"/>
  <c r="EJ119" i="4" s="1"/>
  <c r="EK119" i="4" s="1"/>
  <c r="EL119" i="4" s="1"/>
  <c r="EM119" i="4" s="1"/>
  <c r="EN119" i="4" s="1"/>
  <c r="EO119" i="4" s="1"/>
  <c r="EP119" i="4" s="1"/>
  <c r="BG119" i="4"/>
  <c r="BH119" i="4" s="1"/>
  <c r="BI119" i="4"/>
  <c r="BJ119" i="4" s="1"/>
  <c r="BK119" i="4"/>
  <c r="BL119" i="4" s="1"/>
  <c r="BM119" i="4" s="1"/>
  <c r="BN119" i="4" s="1"/>
  <c r="BO119" i="4" s="1"/>
  <c r="I119" i="4"/>
  <c r="Q119" i="4" s="1"/>
  <c r="R119" i="4" s="1"/>
  <c r="GQ118" i="4"/>
  <c r="GR118" i="4" s="1"/>
  <c r="GS118" i="4"/>
  <c r="GT118" i="4" s="1"/>
  <c r="GU118" i="4"/>
  <c r="GV118" i="4" s="1"/>
  <c r="GW118" i="4" s="1"/>
  <c r="GX118" i="4" s="1"/>
  <c r="GY118" i="4" s="1"/>
  <c r="GZ118" i="4" s="1"/>
  <c r="HA118" i="4" s="1"/>
  <c r="HB118" i="4" s="1"/>
  <c r="HC118" i="4" s="1"/>
  <c r="HD118" i="4" s="1"/>
  <c r="HE118" i="4" s="1"/>
  <c r="HF118" i="4" s="1"/>
  <c r="HG118" i="4" s="1"/>
  <c r="HH118" i="4" s="1"/>
  <c r="H118" i="4"/>
  <c r="I118" i="4" s="1"/>
  <c r="DY118" i="4"/>
  <c r="DZ118" i="4"/>
  <c r="EA118" i="4" s="1"/>
  <c r="EB118" i="4"/>
  <c r="EC118" i="4" s="1"/>
  <c r="ED118" i="4"/>
  <c r="EE118" i="4" s="1"/>
  <c r="EF118" i="4"/>
  <c r="EG118" i="4" s="1"/>
  <c r="EH118" i="4" s="1"/>
  <c r="EI118" i="4" s="1"/>
  <c r="EJ118" i="4" s="1"/>
  <c r="EK118" i="4" s="1"/>
  <c r="EL118" i="4" s="1"/>
  <c r="EM118" i="4" s="1"/>
  <c r="EN118" i="4" s="1"/>
  <c r="EO118" i="4" s="1"/>
  <c r="EP118" i="4" s="1"/>
  <c r="BG118" i="4"/>
  <c r="BH118" i="4"/>
  <c r="BI118" i="4" s="1"/>
  <c r="BJ118" i="4" s="1"/>
  <c r="BK118" i="4" s="1"/>
  <c r="BL118" i="4" s="1"/>
  <c r="BM118" i="4" s="1"/>
  <c r="BN118" i="4" s="1"/>
  <c r="BO118" i="4" s="1"/>
  <c r="BP118" i="4" s="1"/>
  <c r="BQ118" i="4" s="1"/>
  <c r="BR118" i="4" s="1"/>
  <c r="BS118" i="4" s="1"/>
  <c r="BT118" i="4" s="1"/>
  <c r="BU118" i="4" s="1"/>
  <c r="BV118" i="4" s="1"/>
  <c r="BW118" i="4" s="1"/>
  <c r="BX118" i="4" s="1"/>
  <c r="GQ117" i="4"/>
  <c r="GR117" i="4"/>
  <c r="GS117" i="4"/>
  <c r="GT117" i="4"/>
  <c r="GU117" i="4" s="1"/>
  <c r="GV117" i="4" s="1"/>
  <c r="GW117" i="4" s="1"/>
  <c r="GX117" i="4" s="1"/>
  <c r="GY117" i="4" s="1"/>
  <c r="GZ117" i="4" s="1"/>
  <c r="HA117" i="4" s="1"/>
  <c r="HB117" i="4" s="1"/>
  <c r="HC117" i="4" s="1"/>
  <c r="HD117" i="4" s="1"/>
  <c r="HE117" i="4" s="1"/>
  <c r="HF117" i="4" s="1"/>
  <c r="HG117" i="4" s="1"/>
  <c r="HH117" i="4" s="1"/>
  <c r="H117" i="4"/>
  <c r="DY117" i="4"/>
  <c r="DZ117" i="4" s="1"/>
  <c r="EA117" i="4" s="1"/>
  <c r="EB117" i="4" s="1"/>
  <c r="EC117" i="4" s="1"/>
  <c r="ED117" i="4" s="1"/>
  <c r="EE117" i="4" s="1"/>
  <c r="EF117" i="4" s="1"/>
  <c r="EG117" i="4" s="1"/>
  <c r="EH117" i="4" s="1"/>
  <c r="EI117" i="4" s="1"/>
  <c r="EJ117" i="4" s="1"/>
  <c r="EK117" i="4" s="1"/>
  <c r="EL117" i="4" s="1"/>
  <c r="EM117" i="4" s="1"/>
  <c r="EN117" i="4" s="1"/>
  <c r="EO117" i="4" s="1"/>
  <c r="EP117" i="4" s="1"/>
  <c r="BG117" i="4"/>
  <c r="BH117" i="4"/>
  <c r="BI117" i="4"/>
  <c r="BJ117" i="4" s="1"/>
  <c r="BK117" i="4" s="1"/>
  <c r="BL117" i="4" s="1"/>
  <c r="BM117" i="4" s="1"/>
  <c r="BN117" i="4" s="1"/>
  <c r="BO117" i="4" s="1"/>
  <c r="BP117" i="4" s="1"/>
  <c r="BQ117" i="4" s="1"/>
  <c r="BR117" i="4" s="1"/>
  <c r="BS117" i="4" s="1"/>
  <c r="BT117" i="4" s="1"/>
  <c r="BU117" i="4" s="1"/>
  <c r="BV117" i="4" s="1"/>
  <c r="BW117" i="4" s="1"/>
  <c r="BX117" i="4" s="1"/>
  <c r="GQ116" i="4"/>
  <c r="GR116" i="4" s="1"/>
  <c r="GS116" i="4" s="1"/>
  <c r="GT116" i="4" s="1"/>
  <c r="GU116" i="4" s="1"/>
  <c r="GV116" i="4" s="1"/>
  <c r="GW116" i="4" s="1"/>
  <c r="GX116" i="4" s="1"/>
  <c r="GY116" i="4" s="1"/>
  <c r="GZ116" i="4" s="1"/>
  <c r="HA116" i="4" s="1"/>
  <c r="HB116" i="4" s="1"/>
  <c r="HC116" i="4" s="1"/>
  <c r="HD116" i="4" s="1"/>
  <c r="HE116" i="4" s="1"/>
  <c r="HF116" i="4" s="1"/>
  <c r="HG116" i="4" s="1"/>
  <c r="HH116" i="4" s="1"/>
  <c r="H116" i="4"/>
  <c r="BZ116" i="4" s="1"/>
  <c r="CA116" i="4" s="1"/>
  <c r="DY116" i="4"/>
  <c r="DZ116" i="4" s="1"/>
  <c r="CC116" i="4"/>
  <c r="CD116" i="4" s="1"/>
  <c r="BG116" i="4"/>
  <c r="BH116" i="4" s="1"/>
  <c r="BI116" i="4" s="1"/>
  <c r="BJ116" i="4" s="1"/>
  <c r="BK116" i="4" s="1"/>
  <c r="BL116" i="4" s="1"/>
  <c r="BM116" i="4" s="1"/>
  <c r="BN116" i="4" s="1"/>
  <c r="BO116" i="4" s="1"/>
  <c r="BP116" i="4" s="1"/>
  <c r="BQ116" i="4" s="1"/>
  <c r="BR116" i="4" s="1"/>
  <c r="BS116" i="4" s="1"/>
  <c r="BT116" i="4" s="1"/>
  <c r="BU116" i="4" s="1"/>
  <c r="BV116" i="4" s="1"/>
  <c r="BW116" i="4" s="1"/>
  <c r="BX116" i="4" s="1"/>
  <c r="I116" i="4"/>
  <c r="GQ113" i="4"/>
  <c r="GR113" i="4" s="1"/>
  <c r="GS113" i="4" s="1"/>
  <c r="GT113" i="4" s="1"/>
  <c r="GU113" i="4" s="1"/>
  <c r="GV113" i="4" s="1"/>
  <c r="GW113" i="4" s="1"/>
  <c r="GX113" i="4" s="1"/>
  <c r="GY113" i="4" s="1"/>
  <c r="GZ113" i="4" s="1"/>
  <c r="HA113" i="4" s="1"/>
  <c r="HB113" i="4" s="1"/>
  <c r="HC113" i="4" s="1"/>
  <c r="HD113" i="4" s="1"/>
  <c r="HE113" i="4" s="1"/>
  <c r="HF113" i="4" s="1"/>
  <c r="HG113" i="4" s="1"/>
  <c r="HH113" i="4" s="1"/>
  <c r="H104" i="4"/>
  <c r="H108" i="4"/>
  <c r="H112" i="4"/>
  <c r="DY113" i="4"/>
  <c r="DZ113" i="4"/>
  <c r="EA113" i="4" s="1"/>
  <c r="EB113" i="4" s="1"/>
  <c r="EC113" i="4" s="1"/>
  <c r="ED113" i="4" s="1"/>
  <c r="EE113" i="4" s="1"/>
  <c r="EF113" i="4" s="1"/>
  <c r="EG113" i="4" s="1"/>
  <c r="EH113" i="4" s="1"/>
  <c r="EI113" i="4" s="1"/>
  <c r="EJ113" i="4" s="1"/>
  <c r="EK113" i="4" s="1"/>
  <c r="EL113" i="4" s="1"/>
  <c r="EM113" i="4" s="1"/>
  <c r="EN113" i="4" s="1"/>
  <c r="EO113" i="4" s="1"/>
  <c r="EP113" i="4" s="1"/>
  <c r="BG113" i="4"/>
  <c r="BH113" i="4" s="1"/>
  <c r="BI113" i="4" s="1"/>
  <c r="BJ113" i="4" s="1"/>
  <c r="BK113" i="4" s="1"/>
  <c r="BL113" i="4" s="1"/>
  <c r="BM113" i="4" s="1"/>
  <c r="BN113" i="4" s="1"/>
  <c r="BO113" i="4" s="1"/>
  <c r="BP113" i="4" s="1"/>
  <c r="BQ113" i="4" s="1"/>
  <c r="BR113" i="4" s="1"/>
  <c r="BS113" i="4" s="1"/>
  <c r="BT113" i="4" s="1"/>
  <c r="BU113" i="4" s="1"/>
  <c r="BV113" i="4" s="1"/>
  <c r="BW113" i="4" s="1"/>
  <c r="BX113" i="4" s="1"/>
  <c r="GQ112" i="4"/>
  <c r="GR112" i="4" s="1"/>
  <c r="GS112" i="4" s="1"/>
  <c r="GT112" i="4" s="1"/>
  <c r="GU112" i="4" s="1"/>
  <c r="GV112" i="4" s="1"/>
  <c r="GW112" i="4" s="1"/>
  <c r="GX112" i="4" s="1"/>
  <c r="GY112" i="4" s="1"/>
  <c r="GZ112" i="4" s="1"/>
  <c r="HA112" i="4" s="1"/>
  <c r="HB112" i="4" s="1"/>
  <c r="HC112" i="4" s="1"/>
  <c r="HD112" i="4" s="1"/>
  <c r="HE112" i="4" s="1"/>
  <c r="HF112" i="4" s="1"/>
  <c r="HG112" i="4" s="1"/>
  <c r="HH112" i="4" s="1"/>
  <c r="DY112" i="4"/>
  <c r="DZ112" i="4" s="1"/>
  <c r="EA112" i="4" s="1"/>
  <c r="EB112" i="4" s="1"/>
  <c r="EC112" i="4" s="1"/>
  <c r="ED112" i="4" s="1"/>
  <c r="EE112" i="4" s="1"/>
  <c r="EF112" i="4" s="1"/>
  <c r="EG112" i="4" s="1"/>
  <c r="EH112" i="4" s="1"/>
  <c r="EI112" i="4" s="1"/>
  <c r="EJ112" i="4" s="1"/>
  <c r="EK112" i="4" s="1"/>
  <c r="EL112" i="4" s="1"/>
  <c r="EM112" i="4" s="1"/>
  <c r="EN112" i="4" s="1"/>
  <c r="EO112" i="4" s="1"/>
  <c r="EP112" i="4" s="1"/>
  <c r="BG112" i="4"/>
  <c r="BH112" i="4" s="1"/>
  <c r="BI112" i="4" s="1"/>
  <c r="BJ112" i="4" s="1"/>
  <c r="BK112" i="4" s="1"/>
  <c r="BL112" i="4" s="1"/>
  <c r="BM112" i="4" s="1"/>
  <c r="BN112" i="4" s="1"/>
  <c r="BO112" i="4" s="1"/>
  <c r="BP112" i="4" s="1"/>
  <c r="BQ112" i="4" s="1"/>
  <c r="BR112" i="4" s="1"/>
  <c r="BS112" i="4" s="1"/>
  <c r="BT112" i="4" s="1"/>
  <c r="BU112" i="4" s="1"/>
  <c r="BV112" i="4" s="1"/>
  <c r="BW112" i="4" s="1"/>
  <c r="BX112" i="4" s="1"/>
  <c r="GQ111" i="4"/>
  <c r="GR111" i="4" s="1"/>
  <c r="GS111" i="4" s="1"/>
  <c r="GT111" i="4" s="1"/>
  <c r="GU111" i="4" s="1"/>
  <c r="GV111" i="4" s="1"/>
  <c r="GW111" i="4" s="1"/>
  <c r="GX111" i="4" s="1"/>
  <c r="GY111" i="4" s="1"/>
  <c r="GZ111" i="4" s="1"/>
  <c r="HA111" i="4" s="1"/>
  <c r="HB111" i="4" s="1"/>
  <c r="HC111" i="4" s="1"/>
  <c r="HD111" i="4" s="1"/>
  <c r="HE111" i="4" s="1"/>
  <c r="HF111" i="4" s="1"/>
  <c r="HG111" i="4" s="1"/>
  <c r="HH111" i="4" s="1"/>
  <c r="H111" i="4"/>
  <c r="DY111" i="4"/>
  <c r="DZ111" i="4" s="1"/>
  <c r="EA111" i="4" s="1"/>
  <c r="EB111" i="4" s="1"/>
  <c r="EC111" i="4" s="1"/>
  <c r="ED111" i="4" s="1"/>
  <c r="EE111" i="4" s="1"/>
  <c r="EF111" i="4" s="1"/>
  <c r="EG111" i="4" s="1"/>
  <c r="EH111" i="4" s="1"/>
  <c r="EI111" i="4" s="1"/>
  <c r="EJ111" i="4" s="1"/>
  <c r="EK111" i="4" s="1"/>
  <c r="EL111" i="4" s="1"/>
  <c r="EM111" i="4" s="1"/>
  <c r="EN111" i="4" s="1"/>
  <c r="EO111" i="4" s="1"/>
  <c r="EP111" i="4" s="1"/>
  <c r="BG111" i="4"/>
  <c r="BH111" i="4" s="1"/>
  <c r="BI111" i="4" s="1"/>
  <c r="BJ111" i="4" s="1"/>
  <c r="BK111" i="4" s="1"/>
  <c r="BL111" i="4" s="1"/>
  <c r="BM111" i="4" s="1"/>
  <c r="BN111" i="4" s="1"/>
  <c r="BO111" i="4" s="1"/>
  <c r="BP111" i="4" s="1"/>
  <c r="BQ111" i="4" s="1"/>
  <c r="BR111" i="4" s="1"/>
  <c r="BS111" i="4" s="1"/>
  <c r="BT111" i="4" s="1"/>
  <c r="BU111" i="4" s="1"/>
  <c r="BV111" i="4" s="1"/>
  <c r="BW111" i="4" s="1"/>
  <c r="BX111" i="4" s="1"/>
  <c r="GQ110" i="4"/>
  <c r="GR110" i="4" s="1"/>
  <c r="GS110" i="4" s="1"/>
  <c r="GT110" i="4" s="1"/>
  <c r="GU110" i="4" s="1"/>
  <c r="GV110" i="4" s="1"/>
  <c r="GW110" i="4" s="1"/>
  <c r="GX110" i="4" s="1"/>
  <c r="GY110" i="4" s="1"/>
  <c r="GZ110" i="4" s="1"/>
  <c r="HA110" i="4" s="1"/>
  <c r="HB110" i="4" s="1"/>
  <c r="HC110" i="4" s="1"/>
  <c r="HD110" i="4" s="1"/>
  <c r="HE110" i="4" s="1"/>
  <c r="HF110" i="4" s="1"/>
  <c r="HG110" i="4" s="1"/>
  <c r="HH110" i="4" s="1"/>
  <c r="H110" i="4"/>
  <c r="I110" i="4" s="1"/>
  <c r="DY110" i="4"/>
  <c r="DZ110" i="4" s="1"/>
  <c r="EA110" i="4" s="1"/>
  <c r="EB110" i="4" s="1"/>
  <c r="EC110" i="4" s="1"/>
  <c r="ED110" i="4" s="1"/>
  <c r="EE110" i="4" s="1"/>
  <c r="EF110" i="4" s="1"/>
  <c r="EG110" i="4" s="1"/>
  <c r="EH110" i="4" s="1"/>
  <c r="EI110" i="4" s="1"/>
  <c r="EJ110" i="4" s="1"/>
  <c r="EK110" i="4" s="1"/>
  <c r="EL110" i="4" s="1"/>
  <c r="EM110" i="4" s="1"/>
  <c r="EN110" i="4" s="1"/>
  <c r="EO110" i="4" s="1"/>
  <c r="EP110" i="4" s="1"/>
  <c r="BG110" i="4"/>
  <c r="BH110" i="4" s="1"/>
  <c r="BI110" i="4" s="1"/>
  <c r="BJ110" i="4" s="1"/>
  <c r="BK110" i="4" s="1"/>
  <c r="BL110" i="4" s="1"/>
  <c r="BM110" i="4" s="1"/>
  <c r="BN110" i="4" s="1"/>
  <c r="BO110" i="4" s="1"/>
  <c r="BP110" i="4" s="1"/>
  <c r="BQ110" i="4" s="1"/>
  <c r="BR110" i="4" s="1"/>
  <c r="BS110" i="4" s="1"/>
  <c r="BT110" i="4" s="1"/>
  <c r="BU110" i="4" s="1"/>
  <c r="BV110" i="4" s="1"/>
  <c r="BW110" i="4" s="1"/>
  <c r="BX110" i="4" s="1"/>
  <c r="GQ109" i="4"/>
  <c r="GR109" i="4" s="1"/>
  <c r="GS109" i="4" s="1"/>
  <c r="GT109" i="4" s="1"/>
  <c r="GU109" i="4" s="1"/>
  <c r="GV109" i="4" s="1"/>
  <c r="GW109" i="4" s="1"/>
  <c r="GX109" i="4" s="1"/>
  <c r="GY109" i="4" s="1"/>
  <c r="GZ109" i="4" s="1"/>
  <c r="HA109" i="4" s="1"/>
  <c r="HB109" i="4" s="1"/>
  <c r="HC109" i="4" s="1"/>
  <c r="HD109" i="4" s="1"/>
  <c r="HE109" i="4" s="1"/>
  <c r="HF109" i="4" s="1"/>
  <c r="HG109" i="4" s="1"/>
  <c r="HH109" i="4" s="1"/>
  <c r="H109" i="4"/>
  <c r="BZ109" i="4"/>
  <c r="DY109" i="4"/>
  <c r="DZ109" i="4"/>
  <c r="EA109" i="4" s="1"/>
  <c r="EB109" i="4" s="1"/>
  <c r="EC109" i="4" s="1"/>
  <c r="ED109" i="4" s="1"/>
  <c r="EE109" i="4" s="1"/>
  <c r="EF109" i="4" s="1"/>
  <c r="EG109" i="4" s="1"/>
  <c r="EH109" i="4" s="1"/>
  <c r="EI109" i="4" s="1"/>
  <c r="EJ109" i="4" s="1"/>
  <c r="EK109" i="4" s="1"/>
  <c r="EL109" i="4" s="1"/>
  <c r="EM109" i="4" s="1"/>
  <c r="EN109" i="4" s="1"/>
  <c r="EO109" i="4" s="1"/>
  <c r="EP109" i="4" s="1"/>
  <c r="BG109" i="4"/>
  <c r="BH109" i="4" s="1"/>
  <c r="I109" i="4"/>
  <c r="O109" i="4"/>
  <c r="P109" i="4" s="1"/>
  <c r="K109" i="4"/>
  <c r="L109" i="4" s="1"/>
  <c r="GQ108" i="4"/>
  <c r="GR108" i="4" s="1"/>
  <c r="GS108" i="4" s="1"/>
  <c r="GT108" i="4" s="1"/>
  <c r="GU108" i="4" s="1"/>
  <c r="GV108" i="4" s="1"/>
  <c r="GW108" i="4" s="1"/>
  <c r="GX108" i="4" s="1"/>
  <c r="GY108" i="4" s="1"/>
  <c r="GZ108" i="4" s="1"/>
  <c r="HA108" i="4" s="1"/>
  <c r="HB108" i="4" s="1"/>
  <c r="HC108" i="4" s="1"/>
  <c r="HD108" i="4" s="1"/>
  <c r="HE108" i="4" s="1"/>
  <c r="HF108" i="4" s="1"/>
  <c r="HG108" i="4" s="1"/>
  <c r="HH108" i="4" s="1"/>
  <c r="BZ108" i="4"/>
  <c r="ER108" i="4" s="1"/>
  <c r="ES108" i="4" s="1"/>
  <c r="DY108" i="4"/>
  <c r="DZ108" i="4" s="1"/>
  <c r="EA108" i="4" s="1"/>
  <c r="EB108" i="4" s="1"/>
  <c r="EC108" i="4" s="1"/>
  <c r="ED108" i="4" s="1"/>
  <c r="EE108" i="4" s="1"/>
  <c r="EF108" i="4" s="1"/>
  <c r="EG108" i="4" s="1"/>
  <c r="EH108" i="4" s="1"/>
  <c r="EI108" i="4" s="1"/>
  <c r="EJ108" i="4" s="1"/>
  <c r="EK108" i="4" s="1"/>
  <c r="EL108" i="4" s="1"/>
  <c r="EM108" i="4" s="1"/>
  <c r="EN108" i="4" s="1"/>
  <c r="EO108" i="4" s="1"/>
  <c r="EP108" i="4" s="1"/>
  <c r="CA108" i="4"/>
  <c r="BG108" i="4"/>
  <c r="BH108" i="4" s="1"/>
  <c r="BI108" i="4" s="1"/>
  <c r="BJ108" i="4" s="1"/>
  <c r="BK108" i="4" s="1"/>
  <c r="BL108" i="4" s="1"/>
  <c r="BM108" i="4" s="1"/>
  <c r="BN108" i="4" s="1"/>
  <c r="BO108" i="4" s="1"/>
  <c r="I108" i="4"/>
  <c r="Q108" i="4"/>
  <c r="R108" i="4" s="1"/>
  <c r="GQ107" i="4"/>
  <c r="GR107" i="4" s="1"/>
  <c r="GS107" i="4" s="1"/>
  <c r="GT107" i="4" s="1"/>
  <c r="GU107" i="4" s="1"/>
  <c r="GV107" i="4" s="1"/>
  <c r="GW107" i="4" s="1"/>
  <c r="GX107" i="4" s="1"/>
  <c r="GY107" i="4" s="1"/>
  <c r="GZ107" i="4" s="1"/>
  <c r="HA107" i="4" s="1"/>
  <c r="HB107" i="4" s="1"/>
  <c r="HC107" i="4" s="1"/>
  <c r="HD107" i="4" s="1"/>
  <c r="HE107" i="4" s="1"/>
  <c r="HF107" i="4" s="1"/>
  <c r="HG107" i="4" s="1"/>
  <c r="HH107" i="4" s="1"/>
  <c r="H107" i="4"/>
  <c r="DY107" i="4"/>
  <c r="DZ107" i="4" s="1"/>
  <c r="EA107" i="4" s="1"/>
  <c r="EB107" i="4" s="1"/>
  <c r="EC107" i="4" s="1"/>
  <c r="ED107" i="4" s="1"/>
  <c r="EE107" i="4" s="1"/>
  <c r="EF107" i="4" s="1"/>
  <c r="EG107" i="4" s="1"/>
  <c r="EH107" i="4" s="1"/>
  <c r="EI107" i="4" s="1"/>
  <c r="EJ107" i="4" s="1"/>
  <c r="EK107" i="4" s="1"/>
  <c r="EL107" i="4" s="1"/>
  <c r="EM107" i="4" s="1"/>
  <c r="EN107" i="4" s="1"/>
  <c r="EO107" i="4" s="1"/>
  <c r="EP107" i="4" s="1"/>
  <c r="BG107" i="4"/>
  <c r="BH107" i="4" s="1"/>
  <c r="BI107" i="4" s="1"/>
  <c r="BJ107" i="4" s="1"/>
  <c r="BK107" i="4" s="1"/>
  <c r="BL107" i="4" s="1"/>
  <c r="BM107" i="4" s="1"/>
  <c r="BN107" i="4" s="1"/>
  <c r="BO107" i="4" s="1"/>
  <c r="BP107" i="4" s="1"/>
  <c r="BQ107" i="4" s="1"/>
  <c r="BR107" i="4" s="1"/>
  <c r="BS107" i="4" s="1"/>
  <c r="BT107" i="4" s="1"/>
  <c r="BU107" i="4" s="1"/>
  <c r="BV107" i="4" s="1"/>
  <c r="BW107" i="4" s="1"/>
  <c r="BX107" i="4" s="1"/>
  <c r="GQ106" i="4"/>
  <c r="GR106" i="4" s="1"/>
  <c r="GS106" i="4" s="1"/>
  <c r="GT106" i="4" s="1"/>
  <c r="GU106" i="4" s="1"/>
  <c r="GV106" i="4" s="1"/>
  <c r="GW106" i="4" s="1"/>
  <c r="GX106" i="4" s="1"/>
  <c r="GY106" i="4" s="1"/>
  <c r="GZ106" i="4" s="1"/>
  <c r="HA106" i="4" s="1"/>
  <c r="HB106" i="4" s="1"/>
  <c r="HC106" i="4" s="1"/>
  <c r="HD106" i="4" s="1"/>
  <c r="HE106" i="4" s="1"/>
  <c r="HF106" i="4" s="1"/>
  <c r="HG106" i="4" s="1"/>
  <c r="HH106" i="4" s="1"/>
  <c r="H106" i="4"/>
  <c r="DY106" i="4"/>
  <c r="DZ106" i="4"/>
  <c r="EA106" i="4" s="1"/>
  <c r="EB106" i="4" s="1"/>
  <c r="EC106" i="4" s="1"/>
  <c r="ED106" i="4" s="1"/>
  <c r="EE106" i="4" s="1"/>
  <c r="EF106" i="4" s="1"/>
  <c r="EG106" i="4" s="1"/>
  <c r="EH106" i="4" s="1"/>
  <c r="EI106" i="4" s="1"/>
  <c r="EJ106" i="4" s="1"/>
  <c r="EK106" i="4" s="1"/>
  <c r="EL106" i="4" s="1"/>
  <c r="EM106" i="4" s="1"/>
  <c r="EN106" i="4" s="1"/>
  <c r="EO106" i="4" s="1"/>
  <c r="EP106" i="4" s="1"/>
  <c r="BG106" i="4"/>
  <c r="BH106" i="4" s="1"/>
  <c r="BI106" i="4" s="1"/>
  <c r="BJ106" i="4" s="1"/>
  <c r="BK106" i="4" s="1"/>
  <c r="BL106" i="4" s="1"/>
  <c r="BM106" i="4" s="1"/>
  <c r="BN106" i="4" s="1"/>
  <c r="BO106" i="4" s="1"/>
  <c r="BP106" i="4" s="1"/>
  <c r="BQ106" i="4" s="1"/>
  <c r="BR106" i="4" s="1"/>
  <c r="BS106" i="4" s="1"/>
  <c r="BT106" i="4" s="1"/>
  <c r="BU106" i="4" s="1"/>
  <c r="BV106" i="4" s="1"/>
  <c r="BW106" i="4" s="1"/>
  <c r="BX106" i="4" s="1"/>
  <c r="GQ105" i="4"/>
  <c r="GR105" i="4" s="1"/>
  <c r="GS105" i="4" s="1"/>
  <c r="GT105" i="4" s="1"/>
  <c r="GU105" i="4" s="1"/>
  <c r="GV105" i="4" s="1"/>
  <c r="GW105" i="4" s="1"/>
  <c r="GX105" i="4" s="1"/>
  <c r="GY105" i="4" s="1"/>
  <c r="GZ105" i="4" s="1"/>
  <c r="HA105" i="4" s="1"/>
  <c r="HB105" i="4" s="1"/>
  <c r="HC105" i="4" s="1"/>
  <c r="HD105" i="4" s="1"/>
  <c r="HE105" i="4" s="1"/>
  <c r="HF105" i="4" s="1"/>
  <c r="HG105" i="4" s="1"/>
  <c r="HH105" i="4" s="1"/>
  <c r="H105" i="4"/>
  <c r="DY105" i="4"/>
  <c r="DZ105" i="4" s="1"/>
  <c r="EA105" i="4" s="1"/>
  <c r="EB105" i="4" s="1"/>
  <c r="EC105" i="4" s="1"/>
  <c r="ED105" i="4" s="1"/>
  <c r="EE105" i="4" s="1"/>
  <c r="EF105" i="4" s="1"/>
  <c r="EG105" i="4" s="1"/>
  <c r="EH105" i="4" s="1"/>
  <c r="EI105" i="4" s="1"/>
  <c r="EJ105" i="4" s="1"/>
  <c r="EK105" i="4" s="1"/>
  <c r="EL105" i="4" s="1"/>
  <c r="EM105" i="4" s="1"/>
  <c r="EN105" i="4" s="1"/>
  <c r="EO105" i="4" s="1"/>
  <c r="EP105" i="4" s="1"/>
  <c r="BG105" i="4"/>
  <c r="BH105" i="4" s="1"/>
  <c r="BI105" i="4" s="1"/>
  <c r="BJ105" i="4" s="1"/>
  <c r="BK105" i="4" s="1"/>
  <c r="BL105" i="4" s="1"/>
  <c r="BM105" i="4" s="1"/>
  <c r="BN105" i="4" s="1"/>
  <c r="BO105" i="4" s="1"/>
  <c r="BP105" i="4" s="1"/>
  <c r="BQ105" i="4" s="1"/>
  <c r="BR105" i="4" s="1"/>
  <c r="BS105" i="4" s="1"/>
  <c r="BT105" i="4" s="1"/>
  <c r="BU105" i="4" s="1"/>
  <c r="BV105" i="4" s="1"/>
  <c r="BW105" i="4" s="1"/>
  <c r="BX105" i="4" s="1"/>
  <c r="GQ104" i="4"/>
  <c r="GR104" i="4" s="1"/>
  <c r="GS104" i="4" s="1"/>
  <c r="GT104" i="4" s="1"/>
  <c r="GU104" i="4" s="1"/>
  <c r="GV104" i="4" s="1"/>
  <c r="GW104" i="4" s="1"/>
  <c r="GX104" i="4" s="1"/>
  <c r="GY104" i="4" s="1"/>
  <c r="GZ104" i="4" s="1"/>
  <c r="HA104" i="4" s="1"/>
  <c r="HB104" i="4" s="1"/>
  <c r="HC104" i="4" s="1"/>
  <c r="HD104" i="4" s="1"/>
  <c r="HE104" i="4" s="1"/>
  <c r="HF104" i="4" s="1"/>
  <c r="HG104" i="4" s="1"/>
  <c r="HH104" i="4" s="1"/>
  <c r="DY104" i="4"/>
  <c r="DZ104" i="4" s="1"/>
  <c r="EA104" i="4" s="1"/>
  <c r="EB104" i="4" s="1"/>
  <c r="EC104" i="4" s="1"/>
  <c r="ED104" i="4" s="1"/>
  <c r="EE104" i="4" s="1"/>
  <c r="EF104" i="4" s="1"/>
  <c r="EG104" i="4" s="1"/>
  <c r="EH104" i="4" s="1"/>
  <c r="EI104" i="4" s="1"/>
  <c r="EJ104" i="4" s="1"/>
  <c r="EK104" i="4" s="1"/>
  <c r="EL104" i="4" s="1"/>
  <c r="EM104" i="4" s="1"/>
  <c r="EN104" i="4" s="1"/>
  <c r="EO104" i="4" s="1"/>
  <c r="EP104" i="4" s="1"/>
  <c r="BG104" i="4"/>
  <c r="BH104" i="4" s="1"/>
  <c r="BI104" i="4" s="1"/>
  <c r="BJ104" i="4" s="1"/>
  <c r="BK104" i="4" s="1"/>
  <c r="BL104" i="4"/>
  <c r="BM104" i="4" s="1"/>
  <c r="BN104" i="4" s="1"/>
  <c r="BO104" i="4" s="1"/>
  <c r="BP104" i="4" s="1"/>
  <c r="BQ104" i="4" s="1"/>
  <c r="BR104" i="4" s="1"/>
  <c r="BS104" i="4" s="1"/>
  <c r="BT104" i="4" s="1"/>
  <c r="BU104" i="4" s="1"/>
  <c r="BV104" i="4" s="1"/>
  <c r="BW104" i="4" s="1"/>
  <c r="BX104" i="4" s="1"/>
  <c r="GQ103" i="4"/>
  <c r="GR103" i="4"/>
  <c r="GS103" i="4"/>
  <c r="GT103" i="4"/>
  <c r="GU103" i="4" s="1"/>
  <c r="GV103" i="4" s="1"/>
  <c r="GW103" i="4" s="1"/>
  <c r="GX103" i="4" s="1"/>
  <c r="GY103" i="4" s="1"/>
  <c r="GZ103" i="4" s="1"/>
  <c r="HA103" i="4" s="1"/>
  <c r="HB103" i="4" s="1"/>
  <c r="HC103" i="4" s="1"/>
  <c r="HD103" i="4" s="1"/>
  <c r="HE103" i="4" s="1"/>
  <c r="HF103" i="4" s="1"/>
  <c r="HG103" i="4" s="1"/>
  <c r="HH103" i="4" s="1"/>
  <c r="H103" i="4"/>
  <c r="I103" i="4" s="1"/>
  <c r="BZ103" i="4"/>
  <c r="DY103" i="4"/>
  <c r="DZ103" i="4"/>
  <c r="EA103" i="4"/>
  <c r="EB103" i="4"/>
  <c r="EC103" i="4" s="1"/>
  <c r="ED103" i="4" s="1"/>
  <c r="EE103" i="4" s="1"/>
  <c r="EF103" i="4" s="1"/>
  <c r="EG103" i="4" s="1"/>
  <c r="EH103" i="4" s="1"/>
  <c r="EI103" i="4" s="1"/>
  <c r="EJ103" i="4" s="1"/>
  <c r="EK103" i="4" s="1"/>
  <c r="EL103" i="4" s="1"/>
  <c r="EM103" i="4" s="1"/>
  <c r="EN103" i="4" s="1"/>
  <c r="EO103" i="4" s="1"/>
  <c r="EP103" i="4" s="1"/>
  <c r="BG103" i="4"/>
  <c r="BH103" i="4"/>
  <c r="BI103" i="4" s="1"/>
  <c r="BJ103" i="4" s="1"/>
  <c r="BK103" i="4" s="1"/>
  <c r="BL103" i="4" s="1"/>
  <c r="BM103" i="4" s="1"/>
  <c r="BN103" i="4" s="1"/>
  <c r="BO103" i="4" s="1"/>
  <c r="BP103" i="4" s="1"/>
  <c r="BQ103" i="4" s="1"/>
  <c r="BR103" i="4" s="1"/>
  <c r="BS103" i="4" s="1"/>
  <c r="BT103" i="4" s="1"/>
  <c r="BU103" i="4" s="1"/>
  <c r="BV103" i="4" s="1"/>
  <c r="BW103" i="4" s="1"/>
  <c r="BX103" i="4" s="1"/>
  <c r="GQ102" i="4"/>
  <c r="GR102" i="4"/>
  <c r="GS102" i="4"/>
  <c r="GT102" i="4" s="1"/>
  <c r="GU102" i="4" s="1"/>
  <c r="GV102" i="4" s="1"/>
  <c r="GW102" i="4" s="1"/>
  <c r="GX102" i="4" s="1"/>
  <c r="GY102" i="4" s="1"/>
  <c r="GZ102" i="4" s="1"/>
  <c r="HA102" i="4" s="1"/>
  <c r="HB102" i="4" s="1"/>
  <c r="HC102" i="4" s="1"/>
  <c r="HD102" i="4" s="1"/>
  <c r="HE102" i="4" s="1"/>
  <c r="HF102" i="4" s="1"/>
  <c r="HG102" i="4" s="1"/>
  <c r="HH102" i="4" s="1"/>
  <c r="H102" i="4"/>
  <c r="DY102" i="4"/>
  <c r="DZ102" i="4"/>
  <c r="EA102" i="4"/>
  <c r="EB102" i="4"/>
  <c r="EC102" i="4" s="1"/>
  <c r="ED102" i="4" s="1"/>
  <c r="EE102" i="4" s="1"/>
  <c r="EF102" i="4" s="1"/>
  <c r="EG102" i="4" s="1"/>
  <c r="EH102" i="4" s="1"/>
  <c r="EI102" i="4" s="1"/>
  <c r="EJ102" i="4" s="1"/>
  <c r="EK102" i="4" s="1"/>
  <c r="EL102" i="4" s="1"/>
  <c r="EM102" i="4" s="1"/>
  <c r="EN102" i="4" s="1"/>
  <c r="EO102" i="4" s="1"/>
  <c r="EP102" i="4" s="1"/>
  <c r="BG102" i="4"/>
  <c r="BH102" i="4"/>
  <c r="BI102" i="4" s="1"/>
  <c r="BJ102" i="4" s="1"/>
  <c r="BK102" i="4" s="1"/>
  <c r="BL102" i="4" s="1"/>
  <c r="BM102" i="4" s="1"/>
  <c r="BN102" i="4" s="1"/>
  <c r="BO102" i="4" s="1"/>
  <c r="BP102" i="4" s="1"/>
  <c r="BQ102" i="4" s="1"/>
  <c r="BR102" i="4" s="1"/>
  <c r="BS102" i="4" s="1"/>
  <c r="BT102" i="4" s="1"/>
  <c r="BU102" i="4" s="1"/>
  <c r="BV102" i="4" s="1"/>
  <c r="BW102" i="4" s="1"/>
  <c r="BX102" i="4" s="1"/>
  <c r="GQ101" i="4"/>
  <c r="GR101" i="4"/>
  <c r="GS101" i="4"/>
  <c r="GT101" i="4"/>
  <c r="GU101" i="4" s="1"/>
  <c r="GV101" i="4" s="1"/>
  <c r="GW101" i="4" s="1"/>
  <c r="GX101" i="4" s="1"/>
  <c r="GY101" i="4" s="1"/>
  <c r="GZ101" i="4" s="1"/>
  <c r="HA101" i="4" s="1"/>
  <c r="HB101" i="4" s="1"/>
  <c r="HC101" i="4" s="1"/>
  <c r="HD101" i="4" s="1"/>
  <c r="HE101" i="4" s="1"/>
  <c r="HF101" i="4" s="1"/>
  <c r="HG101" i="4" s="1"/>
  <c r="HH101" i="4" s="1"/>
  <c r="H101" i="4"/>
  <c r="DY101" i="4"/>
  <c r="DZ101" i="4" s="1"/>
  <c r="EA101" i="4" s="1"/>
  <c r="EB101" i="4" s="1"/>
  <c r="EC101" i="4" s="1"/>
  <c r="ED101" i="4" s="1"/>
  <c r="EE101" i="4" s="1"/>
  <c r="EF101" i="4" s="1"/>
  <c r="EG101" i="4" s="1"/>
  <c r="EH101" i="4" s="1"/>
  <c r="EI101" i="4" s="1"/>
  <c r="EJ101" i="4" s="1"/>
  <c r="EK101" i="4" s="1"/>
  <c r="EL101" i="4" s="1"/>
  <c r="EM101" i="4" s="1"/>
  <c r="EN101" i="4" s="1"/>
  <c r="EO101" i="4" s="1"/>
  <c r="EP101" i="4" s="1"/>
  <c r="BG101" i="4"/>
  <c r="BH101" i="4"/>
  <c r="BI101" i="4"/>
  <c r="BJ101" i="4" s="1"/>
  <c r="BK101" i="4" s="1"/>
  <c r="BL101" i="4" s="1"/>
  <c r="BM101" i="4" s="1"/>
  <c r="BN101" i="4" s="1"/>
  <c r="BO101" i="4" s="1"/>
  <c r="BP101" i="4" s="1"/>
  <c r="BQ101" i="4" s="1"/>
  <c r="BR101" i="4" s="1"/>
  <c r="BS101" i="4" s="1"/>
  <c r="BT101" i="4" s="1"/>
  <c r="BU101" i="4" s="1"/>
  <c r="BV101" i="4" s="1"/>
  <c r="BW101" i="4" s="1"/>
  <c r="BX101" i="4" s="1"/>
  <c r="GQ100" i="4"/>
  <c r="GR100" i="4" s="1"/>
  <c r="GS100" i="4" s="1"/>
  <c r="GT100" i="4" s="1"/>
  <c r="GU100" i="4" s="1"/>
  <c r="GV100" i="4" s="1"/>
  <c r="GW100" i="4" s="1"/>
  <c r="GX100" i="4" s="1"/>
  <c r="GY100" i="4" s="1"/>
  <c r="GZ100" i="4" s="1"/>
  <c r="HA100" i="4" s="1"/>
  <c r="HB100" i="4" s="1"/>
  <c r="HC100" i="4" s="1"/>
  <c r="HD100" i="4" s="1"/>
  <c r="HE100" i="4" s="1"/>
  <c r="HF100" i="4" s="1"/>
  <c r="HG100" i="4" s="1"/>
  <c r="HH100" i="4" s="1"/>
  <c r="H100" i="4"/>
  <c r="BZ100" i="4" s="1"/>
  <c r="CA100" i="4" s="1"/>
  <c r="ER100" i="4"/>
  <c r="ES100" i="4" s="1"/>
  <c r="DY100" i="4"/>
  <c r="DZ100" i="4" s="1"/>
  <c r="EA100" i="4" s="1"/>
  <c r="EB100" i="4" s="1"/>
  <c r="EC100" i="4" s="1"/>
  <c r="ED100" i="4" s="1"/>
  <c r="EE100" i="4" s="1"/>
  <c r="EF100" i="4" s="1"/>
  <c r="EG100" i="4" s="1"/>
  <c r="EH100" i="4" s="1"/>
  <c r="EI100" i="4" s="1"/>
  <c r="BG100" i="4"/>
  <c r="BH100" i="4"/>
  <c r="BI100" i="4" s="1"/>
  <c r="BJ100" i="4" s="1"/>
  <c r="BK100" i="4" s="1"/>
  <c r="BL100" i="4" s="1"/>
  <c r="BM100" i="4" s="1"/>
  <c r="BN100" i="4" s="1"/>
  <c r="BO100" i="4" s="1"/>
  <c r="BP100" i="4" s="1"/>
  <c r="BQ100" i="4" s="1"/>
  <c r="BR100" i="4" s="1"/>
  <c r="BS100" i="4" s="1"/>
  <c r="BT100" i="4" s="1"/>
  <c r="BU100" i="4" s="1"/>
  <c r="BV100" i="4" s="1"/>
  <c r="BW100" i="4" s="1"/>
  <c r="BX100" i="4" s="1"/>
  <c r="I100" i="4"/>
  <c r="GQ99" i="4"/>
  <c r="GR99" i="4"/>
  <c r="GS99" i="4"/>
  <c r="GT99" i="4" s="1"/>
  <c r="GU99" i="4" s="1"/>
  <c r="GV99" i="4" s="1"/>
  <c r="GW99" i="4" s="1"/>
  <c r="GX99" i="4" s="1"/>
  <c r="GY99" i="4" s="1"/>
  <c r="GZ99" i="4" s="1"/>
  <c r="HA99" i="4" s="1"/>
  <c r="HB99" i="4" s="1"/>
  <c r="HC99" i="4" s="1"/>
  <c r="HD99" i="4" s="1"/>
  <c r="HE99" i="4" s="1"/>
  <c r="HF99" i="4" s="1"/>
  <c r="HG99" i="4" s="1"/>
  <c r="HH99" i="4" s="1"/>
  <c r="H99" i="4"/>
  <c r="DY99" i="4"/>
  <c r="DZ99" i="4"/>
  <c r="EA99" i="4"/>
  <c r="EB99" i="4"/>
  <c r="EC99" i="4" s="1"/>
  <c r="ED99" i="4" s="1"/>
  <c r="EE99" i="4" s="1"/>
  <c r="EF99" i="4" s="1"/>
  <c r="EG99" i="4" s="1"/>
  <c r="EH99" i="4" s="1"/>
  <c r="EI99" i="4" s="1"/>
  <c r="EJ99" i="4" s="1"/>
  <c r="EK99" i="4" s="1"/>
  <c r="EL99" i="4" s="1"/>
  <c r="EM99" i="4" s="1"/>
  <c r="EN99" i="4" s="1"/>
  <c r="EO99" i="4" s="1"/>
  <c r="EP99" i="4" s="1"/>
  <c r="BG99" i="4"/>
  <c r="BH99" i="4"/>
  <c r="BI99" i="4" s="1"/>
  <c r="BJ99" i="4" s="1"/>
  <c r="BK99" i="4" s="1"/>
  <c r="BL99" i="4" s="1"/>
  <c r="BM99" i="4" s="1"/>
  <c r="BN99" i="4" s="1"/>
  <c r="BO99" i="4" s="1"/>
  <c r="BP99" i="4" s="1"/>
  <c r="BQ99" i="4" s="1"/>
  <c r="BR99" i="4" s="1"/>
  <c r="BS99" i="4" s="1"/>
  <c r="BT99" i="4" s="1"/>
  <c r="BU99" i="4" s="1"/>
  <c r="BV99" i="4" s="1"/>
  <c r="BW99" i="4" s="1"/>
  <c r="BX99" i="4" s="1"/>
  <c r="GQ98" i="4"/>
  <c r="GR98" i="4" s="1"/>
  <c r="GS98" i="4" s="1"/>
  <c r="GT98" i="4" s="1"/>
  <c r="GU98" i="4" s="1"/>
  <c r="GV98" i="4" s="1"/>
  <c r="GW98" i="4" s="1"/>
  <c r="GX98" i="4" s="1"/>
  <c r="GY98" i="4" s="1"/>
  <c r="GZ98" i="4" s="1"/>
  <c r="HA98" i="4" s="1"/>
  <c r="HB98" i="4" s="1"/>
  <c r="HC98" i="4" s="1"/>
  <c r="HD98" i="4" s="1"/>
  <c r="HE98" i="4" s="1"/>
  <c r="HF98" i="4" s="1"/>
  <c r="HG98" i="4" s="1"/>
  <c r="HH98" i="4" s="1"/>
  <c r="H98" i="4"/>
  <c r="DY98" i="4"/>
  <c r="DZ98" i="4" s="1"/>
  <c r="EA98" i="4" s="1"/>
  <c r="EB98" i="4" s="1"/>
  <c r="EC98" i="4" s="1"/>
  <c r="ED98" i="4" s="1"/>
  <c r="EE98" i="4" s="1"/>
  <c r="EF98" i="4" s="1"/>
  <c r="EG98" i="4" s="1"/>
  <c r="EH98" i="4" s="1"/>
  <c r="EI98" i="4" s="1"/>
  <c r="EJ98" i="4" s="1"/>
  <c r="EK98" i="4" s="1"/>
  <c r="EL98" i="4" s="1"/>
  <c r="EM98" i="4" s="1"/>
  <c r="EN98" i="4" s="1"/>
  <c r="EO98" i="4" s="1"/>
  <c r="EP98" i="4" s="1"/>
  <c r="BG98" i="4"/>
  <c r="BH98" i="4"/>
  <c r="BI98" i="4"/>
  <c r="BJ98" i="4" s="1"/>
  <c r="BK98" i="4" s="1"/>
  <c r="BL98" i="4" s="1"/>
  <c r="BM98" i="4" s="1"/>
  <c r="BN98" i="4" s="1"/>
  <c r="BO98" i="4" s="1"/>
  <c r="BP98" i="4" s="1"/>
  <c r="BQ98" i="4" s="1"/>
  <c r="BR98" i="4" s="1"/>
  <c r="BS98" i="4" s="1"/>
  <c r="BT98" i="4" s="1"/>
  <c r="BU98" i="4" s="1"/>
  <c r="BV98" i="4" s="1"/>
  <c r="BW98" i="4" s="1"/>
  <c r="BX98" i="4" s="1"/>
  <c r="GQ97" i="4"/>
  <c r="GR97" i="4" s="1"/>
  <c r="GS97" i="4" s="1"/>
  <c r="GT97" i="4" s="1"/>
  <c r="GU97" i="4" s="1"/>
  <c r="GV97" i="4" s="1"/>
  <c r="GW97" i="4" s="1"/>
  <c r="GX97" i="4" s="1"/>
  <c r="GY97" i="4" s="1"/>
  <c r="GZ97" i="4" s="1"/>
  <c r="HA97" i="4" s="1"/>
  <c r="HB97" i="4" s="1"/>
  <c r="HC97" i="4" s="1"/>
  <c r="HD97" i="4" s="1"/>
  <c r="HE97" i="4" s="1"/>
  <c r="HF97" i="4" s="1"/>
  <c r="HG97" i="4" s="1"/>
  <c r="HH97" i="4" s="1"/>
  <c r="H97" i="4"/>
  <c r="DY97" i="4"/>
  <c r="DZ97" i="4"/>
  <c r="EA97" i="4" s="1"/>
  <c r="EB97" i="4" s="1"/>
  <c r="EC97" i="4" s="1"/>
  <c r="ED97" i="4" s="1"/>
  <c r="EE97" i="4" s="1"/>
  <c r="EF97" i="4" s="1"/>
  <c r="EG97" i="4" s="1"/>
  <c r="EH97" i="4" s="1"/>
  <c r="EI97" i="4" s="1"/>
  <c r="EJ97" i="4" s="1"/>
  <c r="EK97" i="4" s="1"/>
  <c r="EL97" i="4" s="1"/>
  <c r="EM97" i="4" s="1"/>
  <c r="EN97" i="4" s="1"/>
  <c r="EO97" i="4" s="1"/>
  <c r="EP97" i="4" s="1"/>
  <c r="BG97" i="4"/>
  <c r="BH97" i="4" s="1"/>
  <c r="BI97" i="4" s="1"/>
  <c r="BJ97" i="4" s="1"/>
  <c r="BK97" i="4" s="1"/>
  <c r="BL97" i="4" s="1"/>
  <c r="BM97" i="4" s="1"/>
  <c r="BN97" i="4" s="1"/>
  <c r="BO97" i="4" s="1"/>
  <c r="BP97" i="4" s="1"/>
  <c r="BQ97" i="4" s="1"/>
  <c r="BR97" i="4" s="1"/>
  <c r="BS97" i="4" s="1"/>
  <c r="BT97" i="4" s="1"/>
  <c r="BU97" i="4" s="1"/>
  <c r="BV97" i="4" s="1"/>
  <c r="BW97" i="4" s="1"/>
  <c r="BX97" i="4" s="1"/>
  <c r="GQ96" i="4"/>
  <c r="GR96" i="4"/>
  <c r="GS96" i="4" s="1"/>
  <c r="GT96" i="4" s="1"/>
  <c r="GU96" i="4" s="1"/>
  <c r="GV96" i="4" s="1"/>
  <c r="GW96" i="4" s="1"/>
  <c r="GX96" i="4" s="1"/>
  <c r="GY96" i="4" s="1"/>
  <c r="GZ96" i="4" s="1"/>
  <c r="HA96" i="4" s="1"/>
  <c r="HB96" i="4" s="1"/>
  <c r="HC96" i="4" s="1"/>
  <c r="HD96" i="4" s="1"/>
  <c r="HE96" i="4" s="1"/>
  <c r="HF96" i="4" s="1"/>
  <c r="HG96" i="4" s="1"/>
  <c r="HH96" i="4" s="1"/>
  <c r="H96" i="4"/>
  <c r="DY96" i="4"/>
  <c r="DZ96" i="4"/>
  <c r="EA96" i="4"/>
  <c r="EB96" i="4" s="1"/>
  <c r="EC96" i="4" s="1"/>
  <c r="ED96" i="4" s="1"/>
  <c r="EE96" i="4" s="1"/>
  <c r="EF96" i="4" s="1"/>
  <c r="EG96" i="4" s="1"/>
  <c r="EH96" i="4" s="1"/>
  <c r="EI96" i="4" s="1"/>
  <c r="EJ96" i="4" s="1"/>
  <c r="EK96" i="4" s="1"/>
  <c r="EL96" i="4" s="1"/>
  <c r="EM96" i="4" s="1"/>
  <c r="EN96" i="4" s="1"/>
  <c r="EO96" i="4" s="1"/>
  <c r="EP96" i="4" s="1"/>
  <c r="BG96" i="4"/>
  <c r="BH96" i="4" s="1"/>
  <c r="BI96" i="4" s="1"/>
  <c r="BJ96" i="4" s="1"/>
  <c r="BK96" i="4" s="1"/>
  <c r="BL96" i="4" s="1"/>
  <c r="BM96" i="4" s="1"/>
  <c r="BN96" i="4" s="1"/>
  <c r="BO96" i="4" s="1"/>
  <c r="BP96" i="4" s="1"/>
  <c r="BQ96" i="4" s="1"/>
  <c r="BR96" i="4" s="1"/>
  <c r="BS96" i="4" s="1"/>
  <c r="BT96" i="4" s="1"/>
  <c r="BU96" i="4" s="1"/>
  <c r="BV96" i="4" s="1"/>
  <c r="BW96" i="4" s="1"/>
  <c r="BX96" i="4" s="1"/>
  <c r="GQ95" i="4"/>
  <c r="GR95" i="4"/>
  <c r="GS95" i="4"/>
  <c r="GT95" i="4" s="1"/>
  <c r="GU95" i="4" s="1"/>
  <c r="GV95" i="4" s="1"/>
  <c r="GW95" i="4" s="1"/>
  <c r="GX95" i="4" s="1"/>
  <c r="GY95" i="4" s="1"/>
  <c r="GZ95" i="4" s="1"/>
  <c r="HA95" i="4" s="1"/>
  <c r="HB95" i="4" s="1"/>
  <c r="HC95" i="4" s="1"/>
  <c r="HD95" i="4" s="1"/>
  <c r="HE95" i="4" s="1"/>
  <c r="HF95" i="4" s="1"/>
  <c r="HG95" i="4" s="1"/>
  <c r="HH95" i="4" s="1"/>
  <c r="H95" i="4"/>
  <c r="BZ95" i="4" s="1"/>
  <c r="CA95" i="4" s="1"/>
  <c r="CS95" i="4" s="1"/>
  <c r="CT95" i="4" s="1"/>
  <c r="DY95" i="4"/>
  <c r="DZ95" i="4"/>
  <c r="EA95" i="4"/>
  <c r="EB95" i="4" s="1"/>
  <c r="EC95" i="4" s="1"/>
  <c r="ED95" i="4" s="1"/>
  <c r="EE95" i="4" s="1"/>
  <c r="EF95" i="4" s="1"/>
  <c r="EG95" i="4" s="1"/>
  <c r="EH95" i="4" s="1"/>
  <c r="EI95" i="4" s="1"/>
  <c r="EJ95" i="4" s="1"/>
  <c r="CC95" i="4"/>
  <c r="CD95" i="4" s="1"/>
  <c r="BG95" i="4"/>
  <c r="BH95" i="4"/>
  <c r="BI95" i="4"/>
  <c r="BJ95" i="4" s="1"/>
  <c r="BK95" i="4" s="1"/>
  <c r="BL95" i="4" s="1"/>
  <c r="BM95" i="4" s="1"/>
  <c r="BN95" i="4" s="1"/>
  <c r="BO95" i="4" s="1"/>
  <c r="BP95" i="4" s="1"/>
  <c r="BQ95" i="4" s="1"/>
  <c r="BR95" i="4" s="1"/>
  <c r="BS95" i="4" s="1"/>
  <c r="BT95" i="4" s="1"/>
  <c r="BU95" i="4" s="1"/>
  <c r="BV95" i="4" s="1"/>
  <c r="BW95" i="4" s="1"/>
  <c r="BX95" i="4" s="1"/>
  <c r="I95" i="4"/>
  <c r="Q95" i="4"/>
  <c r="R95" i="4" s="1"/>
  <c r="GQ94" i="4"/>
  <c r="GR94" i="4"/>
  <c r="GS94" i="4"/>
  <c r="GT94" i="4" s="1"/>
  <c r="GU94" i="4" s="1"/>
  <c r="GV94" i="4" s="1"/>
  <c r="GW94" i="4" s="1"/>
  <c r="GX94" i="4" s="1"/>
  <c r="GY94" i="4" s="1"/>
  <c r="GZ94" i="4" s="1"/>
  <c r="HA94" i="4" s="1"/>
  <c r="HB94" i="4" s="1"/>
  <c r="HC94" i="4" s="1"/>
  <c r="HD94" i="4" s="1"/>
  <c r="HE94" i="4" s="1"/>
  <c r="HF94" i="4" s="1"/>
  <c r="HG94" i="4" s="1"/>
  <c r="HH94" i="4" s="1"/>
  <c r="H94" i="4"/>
  <c r="DY94" i="4"/>
  <c r="DZ94" i="4"/>
  <c r="EA94" i="4"/>
  <c r="EB94" i="4"/>
  <c r="EC94" i="4" s="1"/>
  <c r="ED94" i="4" s="1"/>
  <c r="EE94" i="4" s="1"/>
  <c r="EF94" i="4" s="1"/>
  <c r="EG94" i="4" s="1"/>
  <c r="EH94" i="4" s="1"/>
  <c r="EI94" i="4" s="1"/>
  <c r="EJ94" i="4" s="1"/>
  <c r="EK94" i="4" s="1"/>
  <c r="EL94" i="4" s="1"/>
  <c r="EM94" i="4" s="1"/>
  <c r="EN94" i="4" s="1"/>
  <c r="EO94" i="4" s="1"/>
  <c r="EP94" i="4" s="1"/>
  <c r="BG94" i="4"/>
  <c r="BH94" i="4"/>
  <c r="BI94" i="4" s="1"/>
  <c r="BJ94" i="4" s="1"/>
  <c r="BK94" i="4" s="1"/>
  <c r="BL94" i="4" s="1"/>
  <c r="BM94" i="4" s="1"/>
  <c r="BN94" i="4" s="1"/>
  <c r="BO94" i="4" s="1"/>
  <c r="BP94" i="4" s="1"/>
  <c r="BQ94" i="4" s="1"/>
  <c r="BR94" i="4" s="1"/>
  <c r="BS94" i="4" s="1"/>
  <c r="BT94" i="4" s="1"/>
  <c r="BU94" i="4" s="1"/>
  <c r="BV94" i="4" s="1"/>
  <c r="BW94" i="4" s="1"/>
  <c r="BX94" i="4" s="1"/>
  <c r="GQ93" i="4"/>
  <c r="GR93" i="4"/>
  <c r="GS93" i="4"/>
  <c r="GT93" i="4"/>
  <c r="GU93" i="4" s="1"/>
  <c r="GV93" i="4" s="1"/>
  <c r="GW93" i="4" s="1"/>
  <c r="GX93" i="4" s="1"/>
  <c r="GY93" i="4" s="1"/>
  <c r="GZ93" i="4" s="1"/>
  <c r="HA93" i="4" s="1"/>
  <c r="HB93" i="4" s="1"/>
  <c r="HC93" i="4" s="1"/>
  <c r="HD93" i="4" s="1"/>
  <c r="HE93" i="4" s="1"/>
  <c r="HF93" i="4" s="1"/>
  <c r="HG93" i="4" s="1"/>
  <c r="HH93" i="4" s="1"/>
  <c r="H93" i="4"/>
  <c r="I93" i="4" s="1"/>
  <c r="DY93" i="4"/>
  <c r="DZ93" i="4"/>
  <c r="EA93" i="4"/>
  <c r="EB93" i="4"/>
  <c r="EC93" i="4" s="1"/>
  <c r="ED93" i="4" s="1"/>
  <c r="EE93" i="4" s="1"/>
  <c r="EF93" i="4" s="1"/>
  <c r="EG93" i="4" s="1"/>
  <c r="EH93" i="4" s="1"/>
  <c r="EI93" i="4" s="1"/>
  <c r="EJ93" i="4" s="1"/>
  <c r="EK93" i="4" s="1"/>
  <c r="EL93" i="4" s="1"/>
  <c r="EM93" i="4" s="1"/>
  <c r="EN93" i="4" s="1"/>
  <c r="EO93" i="4" s="1"/>
  <c r="EP93" i="4" s="1"/>
  <c r="BG93" i="4"/>
  <c r="BH93" i="4"/>
  <c r="BI93" i="4" s="1"/>
  <c r="BJ93" i="4" s="1"/>
  <c r="BK93" i="4" s="1"/>
  <c r="BL93" i="4" s="1"/>
  <c r="BM93" i="4" s="1"/>
  <c r="BN93" i="4" s="1"/>
  <c r="BO93" i="4" s="1"/>
  <c r="BP93" i="4" s="1"/>
  <c r="BQ93" i="4" s="1"/>
  <c r="BR93" i="4" s="1"/>
  <c r="BS93" i="4" s="1"/>
  <c r="BT93" i="4" s="1"/>
  <c r="BU93" i="4" s="1"/>
  <c r="BV93" i="4" s="1"/>
  <c r="BW93" i="4" s="1"/>
  <c r="GQ92" i="4"/>
  <c r="GR92" i="4"/>
  <c r="GS92" i="4" s="1"/>
  <c r="GT92" i="4" s="1"/>
  <c r="GU92" i="4" s="1"/>
  <c r="GV92" i="4" s="1"/>
  <c r="GW92" i="4" s="1"/>
  <c r="GX92" i="4" s="1"/>
  <c r="GY92" i="4" s="1"/>
  <c r="GZ92" i="4" s="1"/>
  <c r="HA92" i="4" s="1"/>
  <c r="HB92" i="4" s="1"/>
  <c r="HC92" i="4" s="1"/>
  <c r="HD92" i="4" s="1"/>
  <c r="HE92" i="4" s="1"/>
  <c r="HF92" i="4" s="1"/>
  <c r="HG92" i="4" s="1"/>
  <c r="HH92" i="4" s="1"/>
  <c r="H92" i="4"/>
  <c r="I92" i="4" s="1"/>
  <c r="DY92" i="4"/>
  <c r="DZ92" i="4"/>
  <c r="EA92" i="4"/>
  <c r="EB92" i="4" s="1"/>
  <c r="EC92" i="4" s="1"/>
  <c r="ED92" i="4" s="1"/>
  <c r="EE92" i="4" s="1"/>
  <c r="EF92" i="4" s="1"/>
  <c r="EG92" i="4" s="1"/>
  <c r="EH92" i="4" s="1"/>
  <c r="EI92" i="4" s="1"/>
  <c r="EJ92" i="4" s="1"/>
  <c r="EK92" i="4" s="1"/>
  <c r="EL92" i="4" s="1"/>
  <c r="EM92" i="4" s="1"/>
  <c r="EN92" i="4" s="1"/>
  <c r="EO92" i="4" s="1"/>
  <c r="EP92" i="4" s="1"/>
  <c r="BG92" i="4"/>
  <c r="BH92" i="4" s="1"/>
  <c r="BI92" i="4" s="1"/>
  <c r="BJ92" i="4" s="1"/>
  <c r="BK92" i="4" s="1"/>
  <c r="BL92" i="4" s="1"/>
  <c r="BM92" i="4" s="1"/>
  <c r="BN92" i="4" s="1"/>
  <c r="O92" i="4"/>
  <c r="P92" i="4" s="1"/>
  <c r="GQ89" i="4"/>
  <c r="GR89" i="4" s="1"/>
  <c r="GS89" i="4" s="1"/>
  <c r="GT89" i="4"/>
  <c r="GU89" i="4" s="1"/>
  <c r="GV89" i="4" s="1"/>
  <c r="GW89" i="4" s="1"/>
  <c r="GX89" i="4" s="1"/>
  <c r="GY89" i="4" s="1"/>
  <c r="GZ89" i="4" s="1"/>
  <c r="HA89" i="4" s="1"/>
  <c r="HB89" i="4" s="1"/>
  <c r="HC89" i="4" s="1"/>
  <c r="HD89" i="4" s="1"/>
  <c r="HE89" i="4" s="1"/>
  <c r="HF89" i="4" s="1"/>
  <c r="HG89" i="4" s="1"/>
  <c r="HH89" i="4" s="1"/>
  <c r="H82" i="4"/>
  <c r="H87" i="4"/>
  <c r="I87" i="4" s="1"/>
  <c r="DY89" i="4"/>
  <c r="DZ89" i="4" s="1"/>
  <c r="EA89" i="4" s="1"/>
  <c r="EB89" i="4"/>
  <c r="EC89" i="4" s="1"/>
  <c r="ED89" i="4" s="1"/>
  <c r="EE89" i="4" s="1"/>
  <c r="EF89" i="4"/>
  <c r="EG89" i="4" s="1"/>
  <c r="EH89" i="4" s="1"/>
  <c r="EI89" i="4" s="1"/>
  <c r="EJ89" i="4" s="1"/>
  <c r="EK89" i="4" s="1"/>
  <c r="EL89" i="4" s="1"/>
  <c r="EM89" i="4" s="1"/>
  <c r="EN89" i="4" s="1"/>
  <c r="EO89" i="4" s="1"/>
  <c r="EP89" i="4" s="1"/>
  <c r="BG89" i="4"/>
  <c r="BH89" i="4"/>
  <c r="BI89" i="4" s="1"/>
  <c r="BJ89" i="4" s="1"/>
  <c r="BK89" i="4" s="1"/>
  <c r="BL89" i="4" s="1"/>
  <c r="BM89" i="4" s="1"/>
  <c r="BN89" i="4" s="1"/>
  <c r="BO89" i="4" s="1"/>
  <c r="BP89" i="4" s="1"/>
  <c r="BQ89" i="4" s="1"/>
  <c r="BR89" i="4" s="1"/>
  <c r="BS89" i="4" s="1"/>
  <c r="BT89" i="4" s="1"/>
  <c r="BU89" i="4" s="1"/>
  <c r="BV89" i="4" s="1"/>
  <c r="BW89" i="4" s="1"/>
  <c r="BX89" i="4" s="1"/>
  <c r="GQ88" i="4"/>
  <c r="GR88" i="4" s="1"/>
  <c r="GS88" i="4" s="1"/>
  <c r="GT88" i="4" s="1"/>
  <c r="GU88" i="4" s="1"/>
  <c r="GV88" i="4" s="1"/>
  <c r="GW88" i="4" s="1"/>
  <c r="GX88" i="4" s="1"/>
  <c r="GY88" i="4" s="1"/>
  <c r="GZ88" i="4" s="1"/>
  <c r="HA88" i="4" s="1"/>
  <c r="HB88" i="4" s="1"/>
  <c r="HC88" i="4" s="1"/>
  <c r="HD88" i="4" s="1"/>
  <c r="HE88" i="4" s="1"/>
  <c r="HF88" i="4" s="1"/>
  <c r="HG88" i="4" s="1"/>
  <c r="HH88" i="4" s="1"/>
  <c r="H88" i="4"/>
  <c r="I88" i="4" s="1"/>
  <c r="DY88" i="4"/>
  <c r="DZ88" i="4" s="1"/>
  <c r="EA88" i="4" s="1"/>
  <c r="EB88" i="4" s="1"/>
  <c r="EC88" i="4"/>
  <c r="ED88" i="4" s="1"/>
  <c r="EE88" i="4" s="1"/>
  <c r="EF88" i="4" s="1"/>
  <c r="EG88" i="4" s="1"/>
  <c r="EH88" i="4" s="1"/>
  <c r="EI88" i="4" s="1"/>
  <c r="EJ88" i="4" s="1"/>
  <c r="EK88" i="4" s="1"/>
  <c r="EL88" i="4" s="1"/>
  <c r="EM88" i="4" s="1"/>
  <c r="EN88" i="4" s="1"/>
  <c r="EO88" i="4" s="1"/>
  <c r="EP88" i="4" s="1"/>
  <c r="BG88" i="4"/>
  <c r="BH88" i="4"/>
  <c r="BI88" i="4"/>
  <c r="GQ87" i="4"/>
  <c r="GR87" i="4"/>
  <c r="GS87" i="4"/>
  <c r="GT87" i="4" s="1"/>
  <c r="GU87" i="4" s="1"/>
  <c r="GV87" i="4" s="1"/>
  <c r="GW87" i="4" s="1"/>
  <c r="GX87" i="4" s="1"/>
  <c r="GY87" i="4" s="1"/>
  <c r="GZ87" i="4" s="1"/>
  <c r="HA87" i="4" s="1"/>
  <c r="HB87" i="4" s="1"/>
  <c r="HC87" i="4" s="1"/>
  <c r="HD87" i="4" s="1"/>
  <c r="HE87" i="4" s="1"/>
  <c r="HF87" i="4" s="1"/>
  <c r="HG87" i="4" s="1"/>
  <c r="HH87" i="4" s="1"/>
  <c r="BZ87" i="4"/>
  <c r="ER87" i="4" s="1"/>
  <c r="ES87" i="4" s="1"/>
  <c r="DY87" i="4"/>
  <c r="DZ87" i="4"/>
  <c r="EA87" i="4" s="1"/>
  <c r="EB87" i="4" s="1"/>
  <c r="EC87" i="4" s="1"/>
  <c r="ED87" i="4" s="1"/>
  <c r="EE87" i="4" s="1"/>
  <c r="EF87" i="4" s="1"/>
  <c r="EG87" i="4" s="1"/>
  <c r="EH87" i="4" s="1"/>
  <c r="EI87" i="4" s="1"/>
  <c r="EJ87" i="4" s="1"/>
  <c r="EK87" i="4" s="1"/>
  <c r="EL87" i="4" s="1"/>
  <c r="EM87" i="4" s="1"/>
  <c r="EN87" i="4" s="1"/>
  <c r="EO87" i="4" s="1"/>
  <c r="EP87" i="4" s="1"/>
  <c r="BG87" i="4"/>
  <c r="BH87" i="4"/>
  <c r="BI87" i="4" s="1"/>
  <c r="BJ87" i="4" s="1"/>
  <c r="BK87" i="4" s="1"/>
  <c r="BL87" i="4" s="1"/>
  <c r="BM87" i="4" s="1"/>
  <c r="BN87" i="4" s="1"/>
  <c r="BO87" i="4" s="1"/>
  <c r="BP87" i="4" s="1"/>
  <c r="BQ87" i="4" s="1"/>
  <c r="BR87" i="4" s="1"/>
  <c r="BS87" i="4" s="1"/>
  <c r="BT87" i="4" s="1"/>
  <c r="BU87" i="4" s="1"/>
  <c r="BV87" i="4" s="1"/>
  <c r="BW87" i="4" s="1"/>
  <c r="BX87" i="4" s="1"/>
  <c r="GQ86" i="4"/>
  <c r="GR86" i="4" s="1"/>
  <c r="GS86" i="4" s="1"/>
  <c r="GT86" i="4" s="1"/>
  <c r="GU86" i="4" s="1"/>
  <c r="GV86" i="4" s="1"/>
  <c r="GW86" i="4" s="1"/>
  <c r="GX86" i="4" s="1"/>
  <c r="GY86" i="4" s="1"/>
  <c r="GZ86" i="4" s="1"/>
  <c r="HA86" i="4" s="1"/>
  <c r="HB86" i="4" s="1"/>
  <c r="HC86" i="4" s="1"/>
  <c r="HD86" i="4" s="1"/>
  <c r="HE86" i="4" s="1"/>
  <c r="HF86" i="4" s="1"/>
  <c r="HG86" i="4" s="1"/>
  <c r="HH86" i="4" s="1"/>
  <c r="H86" i="4"/>
  <c r="DY86" i="4"/>
  <c r="DZ86" i="4" s="1"/>
  <c r="EA86" i="4" s="1"/>
  <c r="EB86" i="4" s="1"/>
  <c r="EC86" i="4" s="1"/>
  <c r="ED86" i="4" s="1"/>
  <c r="EE86" i="4" s="1"/>
  <c r="EF86" i="4" s="1"/>
  <c r="EG86" i="4" s="1"/>
  <c r="EH86" i="4" s="1"/>
  <c r="EI86" i="4" s="1"/>
  <c r="EJ86" i="4" s="1"/>
  <c r="EK86" i="4" s="1"/>
  <c r="EL86" i="4" s="1"/>
  <c r="EM86" i="4" s="1"/>
  <c r="EN86" i="4" s="1"/>
  <c r="EO86" i="4" s="1"/>
  <c r="EP86" i="4" s="1"/>
  <c r="BG86" i="4"/>
  <c r="BH86" i="4"/>
  <c r="BI86" i="4"/>
  <c r="BJ86" i="4" s="1"/>
  <c r="BK86" i="4" s="1"/>
  <c r="BL86" i="4" s="1"/>
  <c r="BM86" i="4" s="1"/>
  <c r="BN86" i="4" s="1"/>
  <c r="BO86" i="4" s="1"/>
  <c r="BP86" i="4" s="1"/>
  <c r="BQ86" i="4" s="1"/>
  <c r="BR86" i="4" s="1"/>
  <c r="BS86" i="4" s="1"/>
  <c r="BT86" i="4" s="1"/>
  <c r="BU86" i="4" s="1"/>
  <c r="BV86" i="4" s="1"/>
  <c r="BW86" i="4" s="1"/>
  <c r="BX86" i="4" s="1"/>
  <c r="GQ85" i="4"/>
  <c r="GR85" i="4" s="1"/>
  <c r="GS85" i="4" s="1"/>
  <c r="GT85" i="4" s="1"/>
  <c r="GU85" i="4" s="1"/>
  <c r="GV85" i="4" s="1"/>
  <c r="GW85" i="4" s="1"/>
  <c r="GX85" i="4" s="1"/>
  <c r="GY85" i="4" s="1"/>
  <c r="GZ85" i="4" s="1"/>
  <c r="HA85" i="4" s="1"/>
  <c r="HB85" i="4" s="1"/>
  <c r="HC85" i="4" s="1"/>
  <c r="HD85" i="4" s="1"/>
  <c r="HE85" i="4" s="1"/>
  <c r="HF85" i="4" s="1"/>
  <c r="HG85" i="4" s="1"/>
  <c r="HH85" i="4" s="1"/>
  <c r="H85" i="4"/>
  <c r="BZ85" i="4" s="1"/>
  <c r="DY85" i="4"/>
  <c r="DZ85" i="4"/>
  <c r="EA85" i="4" s="1"/>
  <c r="EB85" i="4" s="1"/>
  <c r="EC85" i="4" s="1"/>
  <c r="ED85" i="4" s="1"/>
  <c r="EE85" i="4" s="1"/>
  <c r="EF85" i="4" s="1"/>
  <c r="EG85" i="4" s="1"/>
  <c r="EH85" i="4" s="1"/>
  <c r="EI85" i="4" s="1"/>
  <c r="EJ85" i="4" s="1"/>
  <c r="EK85" i="4" s="1"/>
  <c r="EL85" i="4" s="1"/>
  <c r="EM85" i="4" s="1"/>
  <c r="EN85" i="4" s="1"/>
  <c r="EO85" i="4" s="1"/>
  <c r="EP85" i="4" s="1"/>
  <c r="BG85" i="4"/>
  <c r="BH85" i="4" s="1"/>
  <c r="BI85" i="4" s="1"/>
  <c r="BJ85" i="4" s="1"/>
  <c r="BK85" i="4" s="1"/>
  <c r="BL85" i="4" s="1"/>
  <c r="BM85" i="4" s="1"/>
  <c r="BN85" i="4" s="1"/>
  <c r="BO85" i="4" s="1"/>
  <c r="BP85" i="4" s="1"/>
  <c r="BQ85" i="4" s="1"/>
  <c r="BR85" i="4" s="1"/>
  <c r="BS85" i="4" s="1"/>
  <c r="BT85" i="4" s="1"/>
  <c r="BU85" i="4" s="1"/>
  <c r="BV85" i="4" s="1"/>
  <c r="BW85" i="4" s="1"/>
  <c r="BX85" i="4" s="1"/>
  <c r="I85" i="4"/>
  <c r="GQ84" i="4"/>
  <c r="GR84" i="4" s="1"/>
  <c r="GS84" i="4" s="1"/>
  <c r="GT84" i="4" s="1"/>
  <c r="GU84" i="4" s="1"/>
  <c r="GV84" i="4" s="1"/>
  <c r="GW84" i="4" s="1"/>
  <c r="GX84" i="4" s="1"/>
  <c r="GY84" i="4" s="1"/>
  <c r="GZ84" i="4" s="1"/>
  <c r="HA84" i="4" s="1"/>
  <c r="HB84" i="4" s="1"/>
  <c r="HC84" i="4" s="1"/>
  <c r="HD84" i="4" s="1"/>
  <c r="HE84" i="4" s="1"/>
  <c r="HF84" i="4" s="1"/>
  <c r="HG84" i="4" s="1"/>
  <c r="HH84" i="4" s="1"/>
  <c r="H84" i="4"/>
  <c r="I84" i="4"/>
  <c r="DY84" i="4"/>
  <c r="DZ84" i="4" s="1"/>
  <c r="EA84" i="4" s="1"/>
  <c r="EB84" i="4" s="1"/>
  <c r="EC84" i="4" s="1"/>
  <c r="ED84" i="4" s="1"/>
  <c r="EE84" i="4" s="1"/>
  <c r="EF84" i="4" s="1"/>
  <c r="EG84" i="4" s="1"/>
  <c r="EH84" i="4" s="1"/>
  <c r="EI84" i="4" s="1"/>
  <c r="EJ84" i="4" s="1"/>
  <c r="EK84" i="4" s="1"/>
  <c r="EL84" i="4" s="1"/>
  <c r="EM84" i="4" s="1"/>
  <c r="EN84" i="4" s="1"/>
  <c r="EO84" i="4" s="1"/>
  <c r="EP84" i="4" s="1"/>
  <c r="BG84" i="4"/>
  <c r="BH84" i="4" s="1"/>
  <c r="BI84" i="4" s="1"/>
  <c r="BJ84" i="4" s="1"/>
  <c r="BK84" i="4" s="1"/>
  <c r="BL84" i="4" s="1"/>
  <c r="BM84" i="4" s="1"/>
  <c r="BN84" i="4" s="1"/>
  <c r="BO84" i="4" s="1"/>
  <c r="BP84" i="4" s="1"/>
  <c r="BQ84" i="4" s="1"/>
  <c r="BR84" i="4" s="1"/>
  <c r="BS84" i="4" s="1"/>
  <c r="BT84" i="4" s="1"/>
  <c r="BU84" i="4" s="1"/>
  <c r="BV84" i="4" s="1"/>
  <c r="BW84" i="4" s="1"/>
  <c r="Q84" i="4"/>
  <c r="R84" i="4" s="1"/>
  <c r="GQ83" i="4"/>
  <c r="GR83" i="4"/>
  <c r="GS83" i="4" s="1"/>
  <c r="GT83" i="4" s="1"/>
  <c r="GU83" i="4" s="1"/>
  <c r="GV83" i="4" s="1"/>
  <c r="GW83" i="4" s="1"/>
  <c r="GX83" i="4" s="1"/>
  <c r="GY83" i="4" s="1"/>
  <c r="GZ83" i="4" s="1"/>
  <c r="HA83" i="4" s="1"/>
  <c r="HB83" i="4" s="1"/>
  <c r="HC83" i="4" s="1"/>
  <c r="HD83" i="4" s="1"/>
  <c r="HE83" i="4" s="1"/>
  <c r="HF83" i="4" s="1"/>
  <c r="HG83" i="4" s="1"/>
  <c r="HH83" i="4" s="1"/>
  <c r="H83" i="4"/>
  <c r="DY83" i="4"/>
  <c r="DZ83" i="4" s="1"/>
  <c r="EA83" i="4" s="1"/>
  <c r="EB83" i="4" s="1"/>
  <c r="EC83" i="4" s="1"/>
  <c r="ED83" i="4" s="1"/>
  <c r="EE83" i="4" s="1"/>
  <c r="EF83" i="4" s="1"/>
  <c r="EG83" i="4" s="1"/>
  <c r="EH83" i="4" s="1"/>
  <c r="EI83" i="4" s="1"/>
  <c r="EJ83" i="4" s="1"/>
  <c r="EK83" i="4" s="1"/>
  <c r="EL83" i="4" s="1"/>
  <c r="EM83" i="4" s="1"/>
  <c r="EN83" i="4" s="1"/>
  <c r="EO83" i="4" s="1"/>
  <c r="EP83" i="4" s="1"/>
  <c r="BG83" i="4"/>
  <c r="BH83" i="4" s="1"/>
  <c r="BI83" i="4" s="1"/>
  <c r="BJ83" i="4" s="1"/>
  <c r="BK83" i="4" s="1"/>
  <c r="BL83" i="4" s="1"/>
  <c r="BM83" i="4" s="1"/>
  <c r="BN83" i="4" s="1"/>
  <c r="BO83" i="4" s="1"/>
  <c r="BP83" i="4" s="1"/>
  <c r="BQ83" i="4" s="1"/>
  <c r="BR83" i="4" s="1"/>
  <c r="BS83" i="4" s="1"/>
  <c r="BT83" i="4" s="1"/>
  <c r="BU83" i="4" s="1"/>
  <c r="BV83" i="4" s="1"/>
  <c r="BW83" i="4" s="1"/>
  <c r="BX83" i="4" s="1"/>
  <c r="GQ82" i="4"/>
  <c r="GR82" i="4" s="1"/>
  <c r="GS82" i="4" s="1"/>
  <c r="GT82" i="4" s="1"/>
  <c r="GU82" i="4" s="1"/>
  <c r="GV82" i="4" s="1"/>
  <c r="GW82" i="4" s="1"/>
  <c r="GX82" i="4" s="1"/>
  <c r="GY82" i="4" s="1"/>
  <c r="GZ82" i="4" s="1"/>
  <c r="HA82" i="4" s="1"/>
  <c r="HB82" i="4" s="1"/>
  <c r="HC82" i="4" s="1"/>
  <c r="HD82" i="4" s="1"/>
  <c r="HE82" i="4" s="1"/>
  <c r="HF82" i="4" s="1"/>
  <c r="HG82" i="4" s="1"/>
  <c r="HH82" i="4" s="1"/>
  <c r="DY82" i="4"/>
  <c r="DZ82" i="4" s="1"/>
  <c r="EA82" i="4" s="1"/>
  <c r="EB82" i="4" s="1"/>
  <c r="EC82" i="4" s="1"/>
  <c r="ED82" i="4" s="1"/>
  <c r="EE82" i="4" s="1"/>
  <c r="EF82" i="4" s="1"/>
  <c r="EG82" i="4" s="1"/>
  <c r="EH82" i="4" s="1"/>
  <c r="EI82" i="4" s="1"/>
  <c r="EJ82" i="4" s="1"/>
  <c r="EK82" i="4" s="1"/>
  <c r="EL82" i="4" s="1"/>
  <c r="EM82" i="4" s="1"/>
  <c r="EN82" i="4" s="1"/>
  <c r="EO82" i="4" s="1"/>
  <c r="EP82" i="4" s="1"/>
  <c r="BG82" i="4"/>
  <c r="BH82" i="4" s="1"/>
  <c r="BI82" i="4" s="1"/>
  <c r="BJ82" i="4" s="1"/>
  <c r="BK82" i="4" s="1"/>
  <c r="BL82" i="4" s="1"/>
  <c r="BM82" i="4" s="1"/>
  <c r="BN82" i="4" s="1"/>
  <c r="BO82" i="4" s="1"/>
  <c r="BP82" i="4" s="1"/>
  <c r="BQ82" i="4" s="1"/>
  <c r="BR82" i="4" s="1"/>
  <c r="BS82" i="4" s="1"/>
  <c r="BT82" i="4" s="1"/>
  <c r="BU82" i="4" s="1"/>
  <c r="BV82" i="4" s="1"/>
  <c r="BW82" i="4" s="1"/>
  <c r="BX82" i="4" s="1"/>
  <c r="GQ81" i="4"/>
  <c r="GR81" i="4" s="1"/>
  <c r="GS81" i="4" s="1"/>
  <c r="GT81" i="4" s="1"/>
  <c r="GU81" i="4" s="1"/>
  <c r="GV81" i="4" s="1"/>
  <c r="GW81" i="4" s="1"/>
  <c r="GX81" i="4" s="1"/>
  <c r="GY81" i="4" s="1"/>
  <c r="GZ81" i="4" s="1"/>
  <c r="HA81" i="4" s="1"/>
  <c r="HB81" i="4" s="1"/>
  <c r="HC81" i="4" s="1"/>
  <c r="HD81" i="4" s="1"/>
  <c r="HE81" i="4" s="1"/>
  <c r="HF81" i="4" s="1"/>
  <c r="HG81" i="4" s="1"/>
  <c r="HH81" i="4" s="1"/>
  <c r="H81" i="4"/>
  <c r="BZ81" i="4" s="1"/>
  <c r="ER81" i="4" s="1"/>
  <c r="ES81" i="4" s="1"/>
  <c r="DY81" i="4"/>
  <c r="DZ81" i="4" s="1"/>
  <c r="EA81" i="4" s="1"/>
  <c r="EB81" i="4" s="1"/>
  <c r="EC81" i="4" s="1"/>
  <c r="ED81" i="4" s="1"/>
  <c r="EE81" i="4" s="1"/>
  <c r="EF81" i="4" s="1"/>
  <c r="EG81" i="4" s="1"/>
  <c r="EH81" i="4" s="1"/>
  <c r="EI81" i="4" s="1"/>
  <c r="EJ81" i="4" s="1"/>
  <c r="EK81" i="4" s="1"/>
  <c r="EL81" i="4" s="1"/>
  <c r="EM81" i="4" s="1"/>
  <c r="EN81" i="4" s="1"/>
  <c r="EO81" i="4" s="1"/>
  <c r="EP81" i="4" s="1"/>
  <c r="BG81" i="4"/>
  <c r="BH81" i="4"/>
  <c r="BI81" i="4" s="1"/>
  <c r="BJ81" i="4" s="1"/>
  <c r="BK81" i="4" s="1"/>
  <c r="BL81" i="4" s="1"/>
  <c r="BM81" i="4" s="1"/>
  <c r="BN81" i="4" s="1"/>
  <c r="BO81" i="4" s="1"/>
  <c r="BP81" i="4" s="1"/>
  <c r="BQ81" i="4" s="1"/>
  <c r="BR81" i="4" s="1"/>
  <c r="BS81" i="4" s="1"/>
  <c r="BT81" i="4" s="1"/>
  <c r="BU81" i="4" s="1"/>
  <c r="BV81" i="4" s="1"/>
  <c r="BW81" i="4" s="1"/>
  <c r="BX81" i="4" s="1"/>
  <c r="GQ80" i="4"/>
  <c r="GR80" i="4" s="1"/>
  <c r="GS80" i="4" s="1"/>
  <c r="GT80" i="4" s="1"/>
  <c r="GU80" i="4" s="1"/>
  <c r="GV80" i="4" s="1"/>
  <c r="GW80" i="4" s="1"/>
  <c r="GX80" i="4" s="1"/>
  <c r="GY80" i="4" s="1"/>
  <c r="GZ80" i="4" s="1"/>
  <c r="HA80" i="4" s="1"/>
  <c r="HB80" i="4" s="1"/>
  <c r="HC80" i="4" s="1"/>
  <c r="HD80" i="4" s="1"/>
  <c r="HE80" i="4" s="1"/>
  <c r="HF80" i="4" s="1"/>
  <c r="HG80" i="4" s="1"/>
  <c r="HH80" i="4" s="1"/>
  <c r="H80" i="4"/>
  <c r="DY80" i="4"/>
  <c r="DZ80" i="4" s="1"/>
  <c r="EA80" i="4" s="1"/>
  <c r="EB80" i="4" s="1"/>
  <c r="EC80" i="4" s="1"/>
  <c r="ED80" i="4" s="1"/>
  <c r="EE80" i="4" s="1"/>
  <c r="EF80" i="4" s="1"/>
  <c r="EG80" i="4" s="1"/>
  <c r="EH80" i="4" s="1"/>
  <c r="EI80" i="4" s="1"/>
  <c r="EJ80" i="4" s="1"/>
  <c r="EK80" i="4" s="1"/>
  <c r="EL80" i="4" s="1"/>
  <c r="EM80" i="4" s="1"/>
  <c r="EN80" i="4" s="1"/>
  <c r="EO80" i="4" s="1"/>
  <c r="EP80" i="4" s="1"/>
  <c r="BG80" i="4"/>
  <c r="BH80" i="4" s="1"/>
  <c r="BI80" i="4" s="1"/>
  <c r="BJ80" i="4" s="1"/>
  <c r="BK80" i="4" s="1"/>
  <c r="BL80" i="4" s="1"/>
  <c r="BM80" i="4" s="1"/>
  <c r="BN80" i="4" s="1"/>
  <c r="BO80" i="4" s="1"/>
  <c r="BP80" i="4" s="1"/>
  <c r="BQ80" i="4" s="1"/>
  <c r="BR80" i="4" s="1"/>
  <c r="BS80" i="4" s="1"/>
  <c r="BT80" i="4" s="1"/>
  <c r="BU80" i="4" s="1"/>
  <c r="BV80" i="4" s="1"/>
  <c r="BW80" i="4" s="1"/>
  <c r="BX80" i="4" s="1"/>
  <c r="GQ79" i="4"/>
  <c r="GR79" i="4" s="1"/>
  <c r="GS79" i="4" s="1"/>
  <c r="GT79" i="4" s="1"/>
  <c r="GU79" i="4" s="1"/>
  <c r="GV79" i="4" s="1"/>
  <c r="GW79" i="4" s="1"/>
  <c r="GX79" i="4" s="1"/>
  <c r="GY79" i="4" s="1"/>
  <c r="GZ79" i="4" s="1"/>
  <c r="HA79" i="4" s="1"/>
  <c r="HB79" i="4" s="1"/>
  <c r="HC79" i="4" s="1"/>
  <c r="HD79" i="4" s="1"/>
  <c r="HE79" i="4" s="1"/>
  <c r="HF79" i="4" s="1"/>
  <c r="HG79" i="4" s="1"/>
  <c r="HH79" i="4" s="1"/>
  <c r="H79" i="4"/>
  <c r="I79" i="4" s="1"/>
  <c r="DY79" i="4"/>
  <c r="DZ79" i="4" s="1"/>
  <c r="EA79" i="4" s="1"/>
  <c r="EB79" i="4" s="1"/>
  <c r="EC79" i="4" s="1"/>
  <c r="ED79" i="4" s="1"/>
  <c r="EE79" i="4" s="1"/>
  <c r="EF79" i="4" s="1"/>
  <c r="EG79" i="4" s="1"/>
  <c r="EH79" i="4" s="1"/>
  <c r="EI79" i="4" s="1"/>
  <c r="EJ79" i="4" s="1"/>
  <c r="EK79" i="4" s="1"/>
  <c r="EL79" i="4" s="1"/>
  <c r="EM79" i="4" s="1"/>
  <c r="EN79" i="4" s="1"/>
  <c r="EO79" i="4" s="1"/>
  <c r="EP79" i="4" s="1"/>
  <c r="BG79" i="4"/>
  <c r="BH79" i="4" s="1"/>
  <c r="BI79" i="4" s="1"/>
  <c r="J79" i="4"/>
  <c r="GQ78" i="4"/>
  <c r="GR78" i="4" s="1"/>
  <c r="GS78" i="4" s="1"/>
  <c r="GT78" i="4" s="1"/>
  <c r="GU78" i="4" s="1"/>
  <c r="GV78" i="4" s="1"/>
  <c r="GW78" i="4" s="1"/>
  <c r="GX78" i="4" s="1"/>
  <c r="GY78" i="4" s="1"/>
  <c r="GZ78" i="4" s="1"/>
  <c r="HA78" i="4" s="1"/>
  <c r="HB78" i="4" s="1"/>
  <c r="HC78" i="4" s="1"/>
  <c r="HD78" i="4" s="1"/>
  <c r="HE78" i="4" s="1"/>
  <c r="HF78" i="4" s="1"/>
  <c r="HG78" i="4" s="1"/>
  <c r="HH78" i="4" s="1"/>
  <c r="H78" i="4"/>
  <c r="DY78" i="4"/>
  <c r="DZ78" i="4" s="1"/>
  <c r="EA78" i="4" s="1"/>
  <c r="EB78" i="4" s="1"/>
  <c r="EC78" i="4" s="1"/>
  <c r="ED78" i="4" s="1"/>
  <c r="EE78" i="4" s="1"/>
  <c r="EF78" i="4" s="1"/>
  <c r="EG78" i="4" s="1"/>
  <c r="EH78" i="4" s="1"/>
  <c r="EI78" i="4" s="1"/>
  <c r="EJ78" i="4" s="1"/>
  <c r="EK78" i="4" s="1"/>
  <c r="EL78" i="4" s="1"/>
  <c r="EM78" i="4" s="1"/>
  <c r="EN78" i="4" s="1"/>
  <c r="EO78" i="4" s="1"/>
  <c r="EP78" i="4" s="1"/>
  <c r="BG78" i="4"/>
  <c r="BH78" i="4" s="1"/>
  <c r="BI78" i="4" s="1"/>
  <c r="BJ78" i="4" s="1"/>
  <c r="BK78" i="4" s="1"/>
  <c r="BL78" i="4" s="1"/>
  <c r="BM78" i="4" s="1"/>
  <c r="BN78" i="4" s="1"/>
  <c r="BO78" i="4" s="1"/>
  <c r="BP78" i="4" s="1"/>
  <c r="BQ78" i="4" s="1"/>
  <c r="BR78" i="4" s="1"/>
  <c r="BS78" i="4" s="1"/>
  <c r="BT78" i="4" s="1"/>
  <c r="BU78" i="4" s="1"/>
  <c r="BV78" i="4" s="1"/>
  <c r="BW78" i="4" s="1"/>
  <c r="BX78" i="4" s="1"/>
  <c r="GQ77" i="4"/>
  <c r="GR77" i="4" s="1"/>
  <c r="GS77" i="4" s="1"/>
  <c r="GT77" i="4" s="1"/>
  <c r="GU77" i="4" s="1"/>
  <c r="GV77" i="4" s="1"/>
  <c r="GW77" i="4" s="1"/>
  <c r="GX77" i="4" s="1"/>
  <c r="GY77" i="4" s="1"/>
  <c r="GZ77" i="4" s="1"/>
  <c r="HA77" i="4" s="1"/>
  <c r="HB77" i="4" s="1"/>
  <c r="HC77" i="4" s="1"/>
  <c r="HD77" i="4" s="1"/>
  <c r="HE77" i="4" s="1"/>
  <c r="HF77" i="4" s="1"/>
  <c r="HG77" i="4" s="1"/>
  <c r="HH77" i="4" s="1"/>
  <c r="H77" i="4"/>
  <c r="BZ77" i="4" s="1"/>
  <c r="DY77" i="4"/>
  <c r="DZ77" i="4" s="1"/>
  <c r="EA77" i="4" s="1"/>
  <c r="EB77" i="4" s="1"/>
  <c r="EC77" i="4" s="1"/>
  <c r="ED77" i="4" s="1"/>
  <c r="EE77" i="4" s="1"/>
  <c r="EF77" i="4" s="1"/>
  <c r="EG77" i="4" s="1"/>
  <c r="EH77" i="4" s="1"/>
  <c r="EI77" i="4" s="1"/>
  <c r="EJ77" i="4" s="1"/>
  <c r="EK77" i="4" s="1"/>
  <c r="EL77" i="4" s="1"/>
  <c r="EM77" i="4" s="1"/>
  <c r="EN77" i="4" s="1"/>
  <c r="EO77" i="4" s="1"/>
  <c r="EP77" i="4" s="1"/>
  <c r="BG77" i="4"/>
  <c r="BH77" i="4" s="1"/>
  <c r="BI77" i="4" s="1"/>
  <c r="BJ77" i="4" s="1"/>
  <c r="BK77" i="4" s="1"/>
  <c r="BL77" i="4" s="1"/>
  <c r="BM77" i="4" s="1"/>
  <c r="BN77" i="4" s="1"/>
  <c r="BO77" i="4" s="1"/>
  <c r="BP77" i="4" s="1"/>
  <c r="BQ77" i="4" s="1"/>
  <c r="BR77" i="4" s="1"/>
  <c r="BS77" i="4" s="1"/>
  <c r="BT77" i="4" s="1"/>
  <c r="BU77" i="4" s="1"/>
  <c r="BV77" i="4" s="1"/>
  <c r="BW77" i="4" s="1"/>
  <c r="BX77" i="4" s="1"/>
  <c r="I77" i="4"/>
  <c r="GQ76" i="4"/>
  <c r="GR76" i="4" s="1"/>
  <c r="GS76" i="4" s="1"/>
  <c r="GT76" i="4" s="1"/>
  <c r="GU76" i="4" s="1"/>
  <c r="GV76" i="4" s="1"/>
  <c r="GW76" i="4" s="1"/>
  <c r="GX76" i="4" s="1"/>
  <c r="GY76" i="4" s="1"/>
  <c r="GZ76" i="4" s="1"/>
  <c r="HA76" i="4" s="1"/>
  <c r="HB76" i="4" s="1"/>
  <c r="HC76" i="4" s="1"/>
  <c r="HD76" i="4" s="1"/>
  <c r="HE76" i="4" s="1"/>
  <c r="HF76" i="4" s="1"/>
  <c r="HG76" i="4" s="1"/>
  <c r="HH76" i="4" s="1"/>
  <c r="H76" i="4"/>
  <c r="BZ76" i="4" s="1"/>
  <c r="DY76" i="4"/>
  <c r="DZ76" i="4" s="1"/>
  <c r="EA76" i="4" s="1"/>
  <c r="EB76" i="4" s="1"/>
  <c r="EC76" i="4" s="1"/>
  <c r="ED76" i="4" s="1"/>
  <c r="EE76" i="4" s="1"/>
  <c r="EF76" i="4" s="1"/>
  <c r="EG76" i="4" s="1"/>
  <c r="EH76" i="4" s="1"/>
  <c r="EI76" i="4" s="1"/>
  <c r="EJ76" i="4" s="1"/>
  <c r="EK76" i="4" s="1"/>
  <c r="EL76" i="4" s="1"/>
  <c r="EM76" i="4" s="1"/>
  <c r="EN76" i="4" s="1"/>
  <c r="EO76" i="4" s="1"/>
  <c r="EP76" i="4" s="1"/>
  <c r="BG76" i="4"/>
  <c r="BH76" i="4" s="1"/>
  <c r="I76" i="4"/>
  <c r="Q76" i="4"/>
  <c r="R76" i="4" s="1"/>
  <c r="O76" i="4"/>
  <c r="P76" i="4" s="1"/>
  <c r="M76" i="4"/>
  <c r="N76" i="4" s="1"/>
  <c r="K76" i="4"/>
  <c r="L76" i="4" s="1"/>
  <c r="J76" i="4"/>
  <c r="GQ75" i="4"/>
  <c r="GR75" i="4" s="1"/>
  <c r="GS75" i="4" s="1"/>
  <c r="GT75" i="4" s="1"/>
  <c r="GU75" i="4" s="1"/>
  <c r="GV75" i="4" s="1"/>
  <c r="GW75" i="4" s="1"/>
  <c r="GX75" i="4" s="1"/>
  <c r="GY75" i="4" s="1"/>
  <c r="GZ75" i="4" s="1"/>
  <c r="HA75" i="4" s="1"/>
  <c r="HB75" i="4" s="1"/>
  <c r="HC75" i="4" s="1"/>
  <c r="HD75" i="4" s="1"/>
  <c r="HE75" i="4" s="1"/>
  <c r="HF75" i="4" s="1"/>
  <c r="HG75" i="4" s="1"/>
  <c r="HH75" i="4" s="1"/>
  <c r="H75" i="4"/>
  <c r="BZ75" i="4" s="1"/>
  <c r="DY75" i="4"/>
  <c r="DZ75" i="4" s="1"/>
  <c r="EA75" i="4" s="1"/>
  <c r="EB75" i="4" s="1"/>
  <c r="EC75" i="4" s="1"/>
  <c r="ED75" i="4" s="1"/>
  <c r="EE75" i="4" s="1"/>
  <c r="EF75" i="4" s="1"/>
  <c r="EG75" i="4" s="1"/>
  <c r="EH75" i="4" s="1"/>
  <c r="EI75" i="4" s="1"/>
  <c r="EJ75" i="4" s="1"/>
  <c r="EK75" i="4" s="1"/>
  <c r="EL75" i="4" s="1"/>
  <c r="EM75" i="4" s="1"/>
  <c r="EN75" i="4" s="1"/>
  <c r="EO75" i="4" s="1"/>
  <c r="EP75" i="4" s="1"/>
  <c r="BG75" i="4"/>
  <c r="BH75" i="4" s="1"/>
  <c r="BI75" i="4" s="1"/>
  <c r="BJ75" i="4" s="1"/>
  <c r="BK75" i="4" s="1"/>
  <c r="BL75" i="4" s="1"/>
  <c r="BM75" i="4" s="1"/>
  <c r="BN75" i="4" s="1"/>
  <c r="BO75" i="4" s="1"/>
  <c r="BP75" i="4" s="1"/>
  <c r="BQ75" i="4" s="1"/>
  <c r="BR75" i="4" s="1"/>
  <c r="BS75" i="4" s="1"/>
  <c r="BT75" i="4" s="1"/>
  <c r="BU75" i="4" s="1"/>
  <c r="BV75" i="4" s="1"/>
  <c r="BW75" i="4" s="1"/>
  <c r="BX75" i="4" s="1"/>
  <c r="I75" i="4"/>
  <c r="GQ74" i="4"/>
  <c r="GR74" i="4"/>
  <c r="GS74" i="4"/>
  <c r="GT74" i="4" s="1"/>
  <c r="GU74" i="4" s="1"/>
  <c r="GV74" i="4" s="1"/>
  <c r="GW74" i="4" s="1"/>
  <c r="GX74" i="4" s="1"/>
  <c r="GY74" i="4" s="1"/>
  <c r="GZ74" i="4" s="1"/>
  <c r="HA74" i="4" s="1"/>
  <c r="HB74" i="4" s="1"/>
  <c r="HC74" i="4" s="1"/>
  <c r="HD74" i="4" s="1"/>
  <c r="HE74" i="4" s="1"/>
  <c r="HF74" i="4" s="1"/>
  <c r="HG74" i="4" s="1"/>
  <c r="HH74" i="4" s="1"/>
  <c r="H74" i="4"/>
  <c r="DY74" i="4"/>
  <c r="DZ74" i="4" s="1"/>
  <c r="EA74" i="4" s="1"/>
  <c r="EB74" i="4" s="1"/>
  <c r="EC74" i="4" s="1"/>
  <c r="ED74" i="4" s="1"/>
  <c r="EE74" i="4" s="1"/>
  <c r="EF74" i="4" s="1"/>
  <c r="EG74" i="4" s="1"/>
  <c r="EH74" i="4" s="1"/>
  <c r="EI74" i="4" s="1"/>
  <c r="EJ74" i="4" s="1"/>
  <c r="EK74" i="4" s="1"/>
  <c r="EL74" i="4" s="1"/>
  <c r="EM74" i="4" s="1"/>
  <c r="EN74" i="4" s="1"/>
  <c r="EO74" i="4" s="1"/>
  <c r="EP74" i="4" s="1"/>
  <c r="BG74" i="4"/>
  <c r="BH74" i="4"/>
  <c r="BI74" i="4" s="1"/>
  <c r="BJ74" i="4" s="1"/>
  <c r="BK74" i="4" s="1"/>
  <c r="BL74" i="4" s="1"/>
  <c r="BM74" i="4" s="1"/>
  <c r="BN74" i="4" s="1"/>
  <c r="BO74" i="4" s="1"/>
  <c r="BP74" i="4" s="1"/>
  <c r="BQ74" i="4" s="1"/>
  <c r="BR74" i="4" s="1"/>
  <c r="BS74" i="4" s="1"/>
  <c r="BT74" i="4" s="1"/>
  <c r="BU74" i="4" s="1"/>
  <c r="BV74" i="4" s="1"/>
  <c r="BW74" i="4" s="1"/>
  <c r="BX74" i="4" s="1"/>
  <c r="GQ73" i="4"/>
  <c r="GR73" i="4" s="1"/>
  <c r="GS73" i="4" s="1"/>
  <c r="GT73" i="4" s="1"/>
  <c r="GU73" i="4" s="1"/>
  <c r="GV73" i="4" s="1"/>
  <c r="GW73" i="4" s="1"/>
  <c r="GX73" i="4" s="1"/>
  <c r="GY73" i="4" s="1"/>
  <c r="GZ73" i="4" s="1"/>
  <c r="HA73" i="4" s="1"/>
  <c r="HB73" i="4" s="1"/>
  <c r="HC73" i="4" s="1"/>
  <c r="HD73" i="4" s="1"/>
  <c r="HE73" i="4" s="1"/>
  <c r="HF73" i="4" s="1"/>
  <c r="HG73" i="4" s="1"/>
  <c r="HH73" i="4" s="1"/>
  <c r="H73" i="4"/>
  <c r="BZ73" i="4" s="1"/>
  <c r="DY73" i="4"/>
  <c r="DZ73" i="4" s="1"/>
  <c r="EA73" i="4" s="1"/>
  <c r="EB73" i="4" s="1"/>
  <c r="EC73" i="4" s="1"/>
  <c r="ED73" i="4" s="1"/>
  <c r="EE73" i="4" s="1"/>
  <c r="EF73" i="4" s="1"/>
  <c r="EG73" i="4" s="1"/>
  <c r="EH73" i="4" s="1"/>
  <c r="EI73" i="4" s="1"/>
  <c r="EJ73" i="4" s="1"/>
  <c r="EK73" i="4" s="1"/>
  <c r="EL73" i="4" s="1"/>
  <c r="EM73" i="4" s="1"/>
  <c r="EN73" i="4" s="1"/>
  <c r="EO73" i="4" s="1"/>
  <c r="EP73" i="4" s="1"/>
  <c r="BG73" i="4"/>
  <c r="BH73" i="4"/>
  <c r="BI73" i="4"/>
  <c r="BJ73" i="4" s="1"/>
  <c r="BK73" i="4" s="1"/>
  <c r="BL73" i="4" s="1"/>
  <c r="BM73" i="4" s="1"/>
  <c r="BN73" i="4" s="1"/>
  <c r="BO73" i="4" s="1"/>
  <c r="BP73" i="4" s="1"/>
  <c r="BQ73" i="4" s="1"/>
  <c r="BR73" i="4" s="1"/>
  <c r="BS73" i="4" s="1"/>
  <c r="BT73" i="4" s="1"/>
  <c r="BU73" i="4" s="1"/>
  <c r="BV73" i="4" s="1"/>
  <c r="BW73" i="4" s="1"/>
  <c r="BX73" i="4" s="1"/>
  <c r="GQ72" i="4"/>
  <c r="GR72" i="4" s="1"/>
  <c r="GS72" i="4" s="1"/>
  <c r="GT72" i="4" s="1"/>
  <c r="GU72" i="4" s="1"/>
  <c r="GV72" i="4" s="1"/>
  <c r="GW72" i="4" s="1"/>
  <c r="GX72" i="4" s="1"/>
  <c r="GY72" i="4" s="1"/>
  <c r="GZ72" i="4" s="1"/>
  <c r="HA72" i="4" s="1"/>
  <c r="HB72" i="4" s="1"/>
  <c r="HC72" i="4" s="1"/>
  <c r="HD72" i="4" s="1"/>
  <c r="HE72" i="4" s="1"/>
  <c r="HF72" i="4" s="1"/>
  <c r="HG72" i="4" s="1"/>
  <c r="HH72" i="4" s="1"/>
  <c r="H72" i="4"/>
  <c r="I72" i="4" s="1"/>
  <c r="BZ72" i="4"/>
  <c r="DY72" i="4"/>
  <c r="DZ72" i="4" s="1"/>
  <c r="EA72" i="4" s="1"/>
  <c r="EB72" i="4" s="1"/>
  <c r="EC72" i="4" s="1"/>
  <c r="ED72" i="4" s="1"/>
  <c r="EE72" i="4" s="1"/>
  <c r="EF72" i="4" s="1"/>
  <c r="EG72" i="4" s="1"/>
  <c r="EH72" i="4" s="1"/>
  <c r="EI72" i="4" s="1"/>
  <c r="EJ72" i="4" s="1"/>
  <c r="EK72" i="4" s="1"/>
  <c r="EL72" i="4" s="1"/>
  <c r="EM72" i="4" s="1"/>
  <c r="EN72" i="4" s="1"/>
  <c r="EO72" i="4" s="1"/>
  <c r="EP72" i="4" s="1"/>
  <c r="BG72" i="4"/>
  <c r="BH72" i="4"/>
  <c r="BI72" i="4"/>
  <c r="BJ72" i="4" s="1"/>
  <c r="BK72" i="4" s="1"/>
  <c r="BL72" i="4" s="1"/>
  <c r="BM72" i="4" s="1"/>
  <c r="BN72" i="4" s="1"/>
  <c r="BO72" i="4" s="1"/>
  <c r="BP72" i="4" s="1"/>
  <c r="BQ72" i="4" s="1"/>
  <c r="BR72" i="4" s="1"/>
  <c r="BS72" i="4" s="1"/>
  <c r="BT72" i="4" s="1"/>
  <c r="BU72" i="4" s="1"/>
  <c r="BV72" i="4" s="1"/>
  <c r="BW72" i="4" s="1"/>
  <c r="BX72" i="4" s="1"/>
  <c r="GQ71" i="4"/>
  <c r="GR71" i="4" s="1"/>
  <c r="GS71" i="4" s="1"/>
  <c r="GT71" i="4" s="1"/>
  <c r="GU71" i="4" s="1"/>
  <c r="GV71" i="4" s="1"/>
  <c r="GW71" i="4" s="1"/>
  <c r="GX71" i="4" s="1"/>
  <c r="GY71" i="4" s="1"/>
  <c r="GZ71" i="4" s="1"/>
  <c r="HA71" i="4" s="1"/>
  <c r="HB71" i="4" s="1"/>
  <c r="HC71" i="4" s="1"/>
  <c r="HD71" i="4" s="1"/>
  <c r="HE71" i="4" s="1"/>
  <c r="HF71" i="4" s="1"/>
  <c r="HG71" i="4" s="1"/>
  <c r="HH71" i="4" s="1"/>
  <c r="H71" i="4"/>
  <c r="I71" i="4" s="1"/>
  <c r="DY71" i="4"/>
  <c r="DZ71" i="4"/>
  <c r="EA71" i="4" s="1"/>
  <c r="EB71" i="4" s="1"/>
  <c r="EC71" i="4" s="1"/>
  <c r="ED71" i="4" s="1"/>
  <c r="EE71" i="4" s="1"/>
  <c r="EF71" i="4" s="1"/>
  <c r="EG71" i="4" s="1"/>
  <c r="EH71" i="4" s="1"/>
  <c r="EI71" i="4" s="1"/>
  <c r="EJ71" i="4" s="1"/>
  <c r="EK71" i="4" s="1"/>
  <c r="EL71" i="4" s="1"/>
  <c r="EM71" i="4" s="1"/>
  <c r="EN71" i="4" s="1"/>
  <c r="EO71" i="4" s="1"/>
  <c r="EP71" i="4" s="1"/>
  <c r="BG71" i="4"/>
  <c r="BH71" i="4" s="1"/>
  <c r="BI71" i="4" s="1"/>
  <c r="BJ71" i="4" s="1"/>
  <c r="BK71" i="4" s="1"/>
  <c r="BL71" i="4" s="1"/>
  <c r="BM71" i="4" s="1"/>
  <c r="BN71" i="4" s="1"/>
  <c r="BO71" i="4" s="1"/>
  <c r="BP71" i="4" s="1"/>
  <c r="BQ71" i="4" s="1"/>
  <c r="BR71" i="4" s="1"/>
  <c r="BS71" i="4" s="1"/>
  <c r="BT71" i="4" s="1"/>
  <c r="BU71" i="4" s="1"/>
  <c r="BV71" i="4" s="1"/>
  <c r="BW71" i="4" s="1"/>
  <c r="BX71" i="4" s="1"/>
  <c r="GQ70" i="4"/>
  <c r="GR70" i="4"/>
  <c r="GS70" i="4" s="1"/>
  <c r="GT70" i="4" s="1"/>
  <c r="GU70" i="4" s="1"/>
  <c r="GV70" i="4" s="1"/>
  <c r="GW70" i="4" s="1"/>
  <c r="GX70" i="4" s="1"/>
  <c r="GY70" i="4" s="1"/>
  <c r="GZ70" i="4" s="1"/>
  <c r="HA70" i="4" s="1"/>
  <c r="HB70" i="4" s="1"/>
  <c r="HC70" i="4" s="1"/>
  <c r="HD70" i="4" s="1"/>
  <c r="HE70" i="4" s="1"/>
  <c r="HF70" i="4" s="1"/>
  <c r="HG70" i="4" s="1"/>
  <c r="HH70" i="4" s="1"/>
  <c r="H70" i="4"/>
  <c r="BZ70" i="4" s="1"/>
  <c r="DY70" i="4"/>
  <c r="DZ70" i="4"/>
  <c r="EA70" i="4"/>
  <c r="EB70" i="4" s="1"/>
  <c r="EC70" i="4" s="1"/>
  <c r="ED70" i="4" s="1"/>
  <c r="EE70" i="4" s="1"/>
  <c r="EF70" i="4" s="1"/>
  <c r="EG70" i="4" s="1"/>
  <c r="EH70" i="4" s="1"/>
  <c r="EI70" i="4" s="1"/>
  <c r="EJ70" i="4" s="1"/>
  <c r="EK70" i="4" s="1"/>
  <c r="EL70" i="4" s="1"/>
  <c r="EM70" i="4" s="1"/>
  <c r="EN70" i="4" s="1"/>
  <c r="EO70" i="4" s="1"/>
  <c r="EP70" i="4" s="1"/>
  <c r="BG70" i="4"/>
  <c r="BH70" i="4" s="1"/>
  <c r="BI70" i="4" s="1"/>
  <c r="BJ70" i="4" s="1"/>
  <c r="BK70" i="4" s="1"/>
  <c r="BL70" i="4" s="1"/>
  <c r="BM70" i="4" s="1"/>
  <c r="BN70" i="4" s="1"/>
  <c r="BO70" i="4" s="1"/>
  <c r="BP70" i="4" s="1"/>
  <c r="BQ70" i="4" s="1"/>
  <c r="BR70" i="4" s="1"/>
  <c r="BS70" i="4" s="1"/>
  <c r="BT70" i="4" s="1"/>
  <c r="BU70" i="4" s="1"/>
  <c r="BV70" i="4" s="1"/>
  <c r="BW70" i="4" s="1"/>
  <c r="BX70" i="4" s="1"/>
  <c r="GQ69" i="4"/>
  <c r="GR69" i="4"/>
  <c r="GS69" i="4" s="1"/>
  <c r="GT69" i="4" s="1"/>
  <c r="GU69" i="4" s="1"/>
  <c r="GV69" i="4" s="1"/>
  <c r="GW69" i="4" s="1"/>
  <c r="GX69" i="4" s="1"/>
  <c r="GY69" i="4" s="1"/>
  <c r="GZ69" i="4" s="1"/>
  <c r="HA69" i="4" s="1"/>
  <c r="HB69" i="4" s="1"/>
  <c r="HC69" i="4" s="1"/>
  <c r="HD69" i="4" s="1"/>
  <c r="HE69" i="4" s="1"/>
  <c r="HF69" i="4" s="1"/>
  <c r="HG69" i="4" s="1"/>
  <c r="HH69" i="4" s="1"/>
  <c r="H69" i="4"/>
  <c r="DY69" i="4"/>
  <c r="DZ69" i="4" s="1"/>
  <c r="EA69" i="4" s="1"/>
  <c r="EB69" i="4" s="1"/>
  <c r="EC69" i="4" s="1"/>
  <c r="ED69" i="4" s="1"/>
  <c r="EE69" i="4" s="1"/>
  <c r="EF69" i="4" s="1"/>
  <c r="EG69" i="4" s="1"/>
  <c r="EH69" i="4" s="1"/>
  <c r="EI69" i="4" s="1"/>
  <c r="EJ69" i="4" s="1"/>
  <c r="EK69" i="4" s="1"/>
  <c r="EL69" i="4" s="1"/>
  <c r="EM69" i="4" s="1"/>
  <c r="EN69" i="4" s="1"/>
  <c r="EO69" i="4" s="1"/>
  <c r="EP69" i="4" s="1"/>
  <c r="BG69" i="4"/>
  <c r="BH69" i="4" s="1"/>
  <c r="BI69" i="4" s="1"/>
  <c r="BJ69" i="4" s="1"/>
  <c r="BK69" i="4" s="1"/>
  <c r="BL69" i="4" s="1"/>
  <c r="BM69" i="4" s="1"/>
  <c r="BN69" i="4" s="1"/>
  <c r="BO69" i="4" s="1"/>
  <c r="BP69" i="4" s="1"/>
  <c r="BQ69" i="4" s="1"/>
  <c r="BR69" i="4" s="1"/>
  <c r="BS69" i="4" s="1"/>
  <c r="BT69" i="4" s="1"/>
  <c r="BU69" i="4" s="1"/>
  <c r="BV69" i="4" s="1"/>
  <c r="BW69" i="4" s="1"/>
  <c r="BX69" i="4" s="1"/>
  <c r="GQ68" i="4"/>
  <c r="GR68" i="4" s="1"/>
  <c r="GS68" i="4" s="1"/>
  <c r="GT68" i="4" s="1"/>
  <c r="GU68" i="4" s="1"/>
  <c r="GV68" i="4" s="1"/>
  <c r="GW68" i="4" s="1"/>
  <c r="GX68" i="4" s="1"/>
  <c r="GY68" i="4" s="1"/>
  <c r="GZ68" i="4" s="1"/>
  <c r="HA68" i="4" s="1"/>
  <c r="HB68" i="4" s="1"/>
  <c r="HC68" i="4" s="1"/>
  <c r="HD68" i="4" s="1"/>
  <c r="HE68" i="4" s="1"/>
  <c r="HF68" i="4" s="1"/>
  <c r="HG68" i="4" s="1"/>
  <c r="HH68" i="4" s="1"/>
  <c r="H68" i="4"/>
  <c r="DY68" i="4"/>
  <c r="DZ68" i="4" s="1"/>
  <c r="EA68" i="4" s="1"/>
  <c r="EB68" i="4" s="1"/>
  <c r="EC68" i="4" s="1"/>
  <c r="ED68" i="4" s="1"/>
  <c r="EE68" i="4" s="1"/>
  <c r="EF68" i="4" s="1"/>
  <c r="EG68" i="4" s="1"/>
  <c r="EH68" i="4" s="1"/>
  <c r="EI68" i="4" s="1"/>
  <c r="EJ68" i="4" s="1"/>
  <c r="EK68" i="4" s="1"/>
  <c r="EL68" i="4" s="1"/>
  <c r="EM68" i="4" s="1"/>
  <c r="EN68" i="4" s="1"/>
  <c r="EO68" i="4" s="1"/>
  <c r="EP68" i="4" s="1"/>
  <c r="BG68" i="4"/>
  <c r="BH68" i="4"/>
  <c r="BI68" i="4" s="1"/>
  <c r="BJ68" i="4" s="1"/>
  <c r="BK68" i="4" s="1"/>
  <c r="BL68" i="4" s="1"/>
  <c r="BM68" i="4" s="1"/>
  <c r="BN68" i="4" s="1"/>
  <c r="BO68" i="4" s="1"/>
  <c r="BP68" i="4" s="1"/>
  <c r="BQ68" i="4" s="1"/>
  <c r="BR68" i="4" s="1"/>
  <c r="BS68" i="4" s="1"/>
  <c r="BT68" i="4" s="1"/>
  <c r="BU68" i="4" s="1"/>
  <c r="BV68" i="4" s="1"/>
  <c r="BW68" i="4" s="1"/>
  <c r="BX68" i="4" s="1"/>
  <c r="GQ67" i="4"/>
  <c r="GR67" i="4" s="1"/>
  <c r="GS67" i="4" s="1"/>
  <c r="GT67" i="4" s="1"/>
  <c r="GU67" i="4" s="1"/>
  <c r="GV67" i="4" s="1"/>
  <c r="GW67" i="4" s="1"/>
  <c r="GX67" i="4" s="1"/>
  <c r="GY67" i="4" s="1"/>
  <c r="GZ67" i="4" s="1"/>
  <c r="HA67" i="4" s="1"/>
  <c r="HB67" i="4" s="1"/>
  <c r="HC67" i="4" s="1"/>
  <c r="HD67" i="4" s="1"/>
  <c r="HE67" i="4" s="1"/>
  <c r="HF67" i="4" s="1"/>
  <c r="HG67" i="4" s="1"/>
  <c r="HH67" i="4" s="1"/>
  <c r="H67" i="4"/>
  <c r="I67" i="4" s="1"/>
  <c r="DY67" i="4"/>
  <c r="DZ67" i="4" s="1"/>
  <c r="EA67" i="4" s="1"/>
  <c r="EB67" i="4" s="1"/>
  <c r="EC67" i="4" s="1"/>
  <c r="ED67" i="4" s="1"/>
  <c r="EE67" i="4" s="1"/>
  <c r="EF67" i="4" s="1"/>
  <c r="EG67" i="4" s="1"/>
  <c r="EH67" i="4" s="1"/>
  <c r="EI67" i="4" s="1"/>
  <c r="EJ67" i="4" s="1"/>
  <c r="EK67" i="4" s="1"/>
  <c r="EL67" i="4" s="1"/>
  <c r="EM67" i="4" s="1"/>
  <c r="EN67" i="4" s="1"/>
  <c r="EO67" i="4" s="1"/>
  <c r="EP67" i="4" s="1"/>
  <c r="BG67" i="4"/>
  <c r="BH67" i="4"/>
  <c r="BI67" i="4"/>
  <c r="BJ67" i="4" s="1"/>
  <c r="BK67" i="4" s="1"/>
  <c r="J67" i="4"/>
  <c r="GQ66" i="4"/>
  <c r="GR66" i="4"/>
  <c r="GS66" i="4"/>
  <c r="GT66" i="4" s="1"/>
  <c r="GU66" i="4" s="1"/>
  <c r="GV66" i="4" s="1"/>
  <c r="GW66" i="4" s="1"/>
  <c r="GX66" i="4" s="1"/>
  <c r="GY66" i="4" s="1"/>
  <c r="GZ66" i="4" s="1"/>
  <c r="HA66" i="4" s="1"/>
  <c r="HB66" i="4" s="1"/>
  <c r="HC66" i="4" s="1"/>
  <c r="HD66" i="4" s="1"/>
  <c r="HE66" i="4" s="1"/>
  <c r="HF66" i="4" s="1"/>
  <c r="HG66" i="4" s="1"/>
  <c r="HH66" i="4" s="1"/>
  <c r="H66" i="4"/>
  <c r="DY66" i="4"/>
  <c r="DZ66" i="4"/>
  <c r="EA66" i="4"/>
  <c r="EB66" i="4"/>
  <c r="EC66" i="4" s="1"/>
  <c r="ED66" i="4" s="1"/>
  <c r="EE66" i="4" s="1"/>
  <c r="EF66" i="4" s="1"/>
  <c r="EG66" i="4" s="1"/>
  <c r="EH66" i="4" s="1"/>
  <c r="EI66" i="4" s="1"/>
  <c r="EJ66" i="4" s="1"/>
  <c r="EK66" i="4" s="1"/>
  <c r="EL66" i="4" s="1"/>
  <c r="EM66" i="4" s="1"/>
  <c r="EN66" i="4" s="1"/>
  <c r="EO66" i="4" s="1"/>
  <c r="EP66" i="4" s="1"/>
  <c r="BG66" i="4"/>
  <c r="BH66" i="4"/>
  <c r="BI66" i="4" s="1"/>
  <c r="BJ66" i="4" s="1"/>
  <c r="BK66" i="4" s="1"/>
  <c r="BL66" i="4" s="1"/>
  <c r="BM66" i="4" s="1"/>
  <c r="BN66" i="4" s="1"/>
  <c r="BO66" i="4" s="1"/>
  <c r="BP66" i="4" s="1"/>
  <c r="BQ66" i="4" s="1"/>
  <c r="BR66" i="4" s="1"/>
  <c r="BS66" i="4" s="1"/>
  <c r="BT66" i="4" s="1"/>
  <c r="BU66" i="4" s="1"/>
  <c r="BV66" i="4" s="1"/>
  <c r="BW66" i="4" s="1"/>
  <c r="BX66" i="4" s="1"/>
  <c r="GQ65" i="4"/>
  <c r="GR65" i="4" s="1"/>
  <c r="GS65" i="4" s="1"/>
  <c r="GT65" i="4" s="1"/>
  <c r="GU65" i="4" s="1"/>
  <c r="GV65" i="4" s="1"/>
  <c r="GW65" i="4" s="1"/>
  <c r="GX65" i="4" s="1"/>
  <c r="GY65" i="4" s="1"/>
  <c r="GZ65" i="4" s="1"/>
  <c r="HA65" i="4" s="1"/>
  <c r="HB65" i="4" s="1"/>
  <c r="HC65" i="4" s="1"/>
  <c r="HD65" i="4" s="1"/>
  <c r="HE65" i="4" s="1"/>
  <c r="HF65" i="4" s="1"/>
  <c r="HG65" i="4" s="1"/>
  <c r="HH65" i="4" s="1"/>
  <c r="H65" i="4"/>
  <c r="DY65" i="4"/>
  <c r="DZ65" i="4" s="1"/>
  <c r="EA65" i="4" s="1"/>
  <c r="EB65" i="4" s="1"/>
  <c r="EC65" i="4" s="1"/>
  <c r="ED65" i="4" s="1"/>
  <c r="EE65" i="4" s="1"/>
  <c r="EF65" i="4" s="1"/>
  <c r="EG65" i="4" s="1"/>
  <c r="EH65" i="4" s="1"/>
  <c r="EI65" i="4" s="1"/>
  <c r="EJ65" i="4" s="1"/>
  <c r="EK65" i="4" s="1"/>
  <c r="EL65" i="4" s="1"/>
  <c r="EM65" i="4" s="1"/>
  <c r="EN65" i="4" s="1"/>
  <c r="EO65" i="4" s="1"/>
  <c r="EP65" i="4" s="1"/>
  <c r="BG65" i="4"/>
  <c r="BH65" i="4"/>
  <c r="BI65" i="4"/>
  <c r="BJ65" i="4" s="1"/>
  <c r="BK65" i="4" s="1"/>
  <c r="BL65" i="4" s="1"/>
  <c r="BM65" i="4" s="1"/>
  <c r="BN65" i="4" s="1"/>
  <c r="BO65" i="4" s="1"/>
  <c r="BP65" i="4" s="1"/>
  <c r="BQ65" i="4" s="1"/>
  <c r="BR65" i="4" s="1"/>
  <c r="BS65" i="4" s="1"/>
  <c r="BT65" i="4" s="1"/>
  <c r="BU65" i="4" s="1"/>
  <c r="BV65" i="4" s="1"/>
  <c r="BW65" i="4" s="1"/>
  <c r="BX65" i="4" s="1"/>
  <c r="GQ64" i="4"/>
  <c r="GR64" i="4" s="1"/>
  <c r="GS64" i="4" s="1"/>
  <c r="GT64" i="4" s="1"/>
  <c r="GU64" i="4" s="1"/>
  <c r="GV64" i="4" s="1"/>
  <c r="GW64" i="4" s="1"/>
  <c r="GX64" i="4" s="1"/>
  <c r="GY64" i="4" s="1"/>
  <c r="GZ64" i="4" s="1"/>
  <c r="HA64" i="4" s="1"/>
  <c r="HB64" i="4" s="1"/>
  <c r="HC64" i="4" s="1"/>
  <c r="HD64" i="4" s="1"/>
  <c r="HE64" i="4" s="1"/>
  <c r="HF64" i="4" s="1"/>
  <c r="HG64" i="4" s="1"/>
  <c r="HH64" i="4" s="1"/>
  <c r="H64" i="4"/>
  <c r="BZ64" i="4" s="1"/>
  <c r="DY64" i="4"/>
  <c r="DZ64" i="4"/>
  <c r="EA64" i="4" s="1"/>
  <c r="EB64" i="4" s="1"/>
  <c r="EC64" i="4" s="1"/>
  <c r="ED64" i="4" s="1"/>
  <c r="EE64" i="4" s="1"/>
  <c r="EF64" i="4" s="1"/>
  <c r="EG64" i="4" s="1"/>
  <c r="EH64" i="4" s="1"/>
  <c r="EI64" i="4" s="1"/>
  <c r="EJ64" i="4" s="1"/>
  <c r="EK64" i="4" s="1"/>
  <c r="EL64" i="4" s="1"/>
  <c r="EM64" i="4" s="1"/>
  <c r="EN64" i="4" s="1"/>
  <c r="EO64" i="4" s="1"/>
  <c r="EP64" i="4" s="1"/>
  <c r="BG64" i="4"/>
  <c r="BH64" i="4"/>
  <c r="BI64" i="4"/>
  <c r="BJ64" i="4"/>
  <c r="BK64" i="4" s="1"/>
  <c r="BL64" i="4" s="1"/>
  <c r="BM64" i="4" s="1"/>
  <c r="BN64" i="4" s="1"/>
  <c r="BO64" i="4" s="1"/>
  <c r="BP64" i="4" s="1"/>
  <c r="BQ64" i="4" s="1"/>
  <c r="BR64" i="4" s="1"/>
  <c r="BS64" i="4" s="1"/>
  <c r="BT64" i="4" s="1"/>
  <c r="BU64" i="4" s="1"/>
  <c r="BV64" i="4" s="1"/>
  <c r="BW64" i="4" s="1"/>
  <c r="BX64" i="4" s="1"/>
  <c r="I64" i="4"/>
  <c r="GQ63" i="4"/>
  <c r="GR63" i="4" s="1"/>
  <c r="GS63" i="4" s="1"/>
  <c r="GT63" i="4" s="1"/>
  <c r="GU63" i="4" s="1"/>
  <c r="GV63" i="4" s="1"/>
  <c r="GW63" i="4" s="1"/>
  <c r="GX63" i="4" s="1"/>
  <c r="GY63" i="4" s="1"/>
  <c r="GZ63" i="4" s="1"/>
  <c r="HA63" i="4" s="1"/>
  <c r="HB63" i="4" s="1"/>
  <c r="HC63" i="4" s="1"/>
  <c r="HD63" i="4" s="1"/>
  <c r="HE63" i="4" s="1"/>
  <c r="HF63" i="4" s="1"/>
  <c r="HG63" i="4" s="1"/>
  <c r="HH63" i="4" s="1"/>
  <c r="H63" i="4"/>
  <c r="DY63" i="4"/>
  <c r="DZ63" i="4"/>
  <c r="EA63" i="4" s="1"/>
  <c r="EB63" i="4" s="1"/>
  <c r="EC63" i="4" s="1"/>
  <c r="ED63" i="4" s="1"/>
  <c r="EE63" i="4" s="1"/>
  <c r="EF63" i="4" s="1"/>
  <c r="EG63" i="4" s="1"/>
  <c r="EH63" i="4" s="1"/>
  <c r="EI63" i="4" s="1"/>
  <c r="EJ63" i="4" s="1"/>
  <c r="EK63" i="4" s="1"/>
  <c r="EL63" i="4" s="1"/>
  <c r="EM63" i="4" s="1"/>
  <c r="EN63" i="4" s="1"/>
  <c r="EO63" i="4" s="1"/>
  <c r="EP63" i="4" s="1"/>
  <c r="BG63" i="4"/>
  <c r="BH63" i="4" s="1"/>
  <c r="BI63" i="4" s="1"/>
  <c r="BJ63" i="4" s="1"/>
  <c r="BK63" i="4" s="1"/>
  <c r="BL63" i="4" s="1"/>
  <c r="BM63" i="4" s="1"/>
  <c r="BN63" i="4" s="1"/>
  <c r="BO63" i="4" s="1"/>
  <c r="BP63" i="4" s="1"/>
  <c r="BQ63" i="4" s="1"/>
  <c r="BR63" i="4" s="1"/>
  <c r="BS63" i="4" s="1"/>
  <c r="BT63" i="4" s="1"/>
  <c r="BU63" i="4" s="1"/>
  <c r="BV63" i="4" s="1"/>
  <c r="BW63" i="4" s="1"/>
  <c r="BX63" i="4" s="1"/>
  <c r="GQ60" i="4"/>
  <c r="GR60" i="4"/>
  <c r="GS60" i="4" s="1"/>
  <c r="GT60" i="4" s="1"/>
  <c r="GU60" i="4" s="1"/>
  <c r="GV60" i="4" s="1"/>
  <c r="GW60" i="4" s="1"/>
  <c r="GX60" i="4" s="1"/>
  <c r="GY60" i="4" s="1"/>
  <c r="GZ60" i="4" s="1"/>
  <c r="HA60" i="4" s="1"/>
  <c r="HB60" i="4" s="1"/>
  <c r="HC60" i="4" s="1"/>
  <c r="HD60" i="4" s="1"/>
  <c r="HE60" i="4" s="1"/>
  <c r="HF60" i="4" s="1"/>
  <c r="HG60" i="4" s="1"/>
  <c r="HH60" i="4" s="1"/>
  <c r="H60" i="4"/>
  <c r="DY60" i="4"/>
  <c r="DZ60" i="4" s="1"/>
  <c r="EA60" i="4" s="1"/>
  <c r="EB60" i="4" s="1"/>
  <c r="EC60" i="4" s="1"/>
  <c r="ED60" i="4" s="1"/>
  <c r="EE60" i="4" s="1"/>
  <c r="EF60" i="4" s="1"/>
  <c r="EG60" i="4" s="1"/>
  <c r="EH60" i="4" s="1"/>
  <c r="EI60" i="4" s="1"/>
  <c r="EJ60" i="4" s="1"/>
  <c r="EK60" i="4" s="1"/>
  <c r="EL60" i="4" s="1"/>
  <c r="EM60" i="4" s="1"/>
  <c r="EN60" i="4" s="1"/>
  <c r="EO60" i="4" s="1"/>
  <c r="EP60" i="4" s="1"/>
  <c r="BG60" i="4"/>
  <c r="BH60" i="4" s="1"/>
  <c r="BI60" i="4" s="1"/>
  <c r="BJ60" i="4" s="1"/>
  <c r="BK60" i="4" s="1"/>
  <c r="BL60" i="4" s="1"/>
  <c r="BM60" i="4" s="1"/>
  <c r="BN60" i="4" s="1"/>
  <c r="BO60" i="4" s="1"/>
  <c r="BP60" i="4" s="1"/>
  <c r="BQ60" i="4" s="1"/>
  <c r="BR60" i="4" s="1"/>
  <c r="BS60" i="4" s="1"/>
  <c r="BT60" i="4" s="1"/>
  <c r="BU60" i="4" s="1"/>
  <c r="BV60" i="4" s="1"/>
  <c r="BW60" i="4" s="1"/>
  <c r="BX60" i="4" s="1"/>
  <c r="GQ59" i="4"/>
  <c r="GR59" i="4" s="1"/>
  <c r="GS59" i="4" s="1"/>
  <c r="GT59" i="4" s="1"/>
  <c r="GU59" i="4" s="1"/>
  <c r="GV59" i="4" s="1"/>
  <c r="GW59" i="4" s="1"/>
  <c r="GX59" i="4" s="1"/>
  <c r="GY59" i="4" s="1"/>
  <c r="GZ59" i="4" s="1"/>
  <c r="HA59" i="4" s="1"/>
  <c r="HB59" i="4" s="1"/>
  <c r="HC59" i="4" s="1"/>
  <c r="HD59" i="4" s="1"/>
  <c r="HE59" i="4" s="1"/>
  <c r="HF59" i="4" s="1"/>
  <c r="HG59" i="4" s="1"/>
  <c r="HH59" i="4" s="1"/>
  <c r="H59" i="4"/>
  <c r="DY59" i="4"/>
  <c r="DZ59" i="4" s="1"/>
  <c r="EA59" i="4" s="1"/>
  <c r="EB59" i="4" s="1"/>
  <c r="EC59" i="4" s="1"/>
  <c r="ED59" i="4" s="1"/>
  <c r="EE59" i="4" s="1"/>
  <c r="EF59" i="4" s="1"/>
  <c r="EG59" i="4" s="1"/>
  <c r="EH59" i="4" s="1"/>
  <c r="EI59" i="4" s="1"/>
  <c r="EJ59" i="4" s="1"/>
  <c r="EK59" i="4" s="1"/>
  <c r="EL59" i="4" s="1"/>
  <c r="EM59" i="4" s="1"/>
  <c r="EN59" i="4" s="1"/>
  <c r="EO59" i="4" s="1"/>
  <c r="EP59" i="4" s="1"/>
  <c r="BG59" i="4"/>
  <c r="BH59" i="4"/>
  <c r="BI59" i="4" s="1"/>
  <c r="BJ59" i="4" s="1"/>
  <c r="BK59" i="4" s="1"/>
  <c r="BL59" i="4" s="1"/>
  <c r="BM59" i="4" s="1"/>
  <c r="BN59" i="4" s="1"/>
  <c r="BO59" i="4" s="1"/>
  <c r="BP59" i="4" s="1"/>
  <c r="BQ59" i="4" s="1"/>
  <c r="BR59" i="4" s="1"/>
  <c r="BS59" i="4" s="1"/>
  <c r="BT59" i="4" s="1"/>
  <c r="BU59" i="4" s="1"/>
  <c r="BV59" i="4" s="1"/>
  <c r="BW59" i="4" s="1"/>
  <c r="BX59" i="4" s="1"/>
  <c r="GQ58" i="4"/>
  <c r="GR58" i="4" s="1"/>
  <c r="GS58" i="4" s="1"/>
  <c r="GT58" i="4" s="1"/>
  <c r="GU58" i="4" s="1"/>
  <c r="GV58" i="4" s="1"/>
  <c r="GW58" i="4" s="1"/>
  <c r="GX58" i="4" s="1"/>
  <c r="GY58" i="4" s="1"/>
  <c r="GZ58" i="4" s="1"/>
  <c r="HA58" i="4" s="1"/>
  <c r="HB58" i="4" s="1"/>
  <c r="HC58" i="4" s="1"/>
  <c r="HD58" i="4" s="1"/>
  <c r="HE58" i="4" s="1"/>
  <c r="HF58" i="4" s="1"/>
  <c r="HG58" i="4" s="1"/>
  <c r="HH58" i="4" s="1"/>
  <c r="H58" i="4"/>
  <c r="BZ58" i="4" s="1"/>
  <c r="DY58" i="4"/>
  <c r="DZ58" i="4" s="1"/>
  <c r="EA58" i="4" s="1"/>
  <c r="EB58" i="4" s="1"/>
  <c r="EC58" i="4" s="1"/>
  <c r="ED58" i="4" s="1"/>
  <c r="EE58" i="4" s="1"/>
  <c r="EF58" i="4" s="1"/>
  <c r="EG58" i="4" s="1"/>
  <c r="EH58" i="4" s="1"/>
  <c r="EI58" i="4" s="1"/>
  <c r="EJ58" i="4" s="1"/>
  <c r="EK58" i="4" s="1"/>
  <c r="EL58" i="4" s="1"/>
  <c r="EM58" i="4" s="1"/>
  <c r="EN58" i="4" s="1"/>
  <c r="EO58" i="4" s="1"/>
  <c r="EP58" i="4" s="1"/>
  <c r="BG58" i="4"/>
  <c r="BH58" i="4" s="1"/>
  <c r="BI58" i="4" s="1"/>
  <c r="BJ58" i="4" s="1"/>
  <c r="BK58" i="4" s="1"/>
  <c r="BL58" i="4" s="1"/>
  <c r="BM58" i="4" s="1"/>
  <c r="BN58" i="4" s="1"/>
  <c r="BO58" i="4" s="1"/>
  <c r="BP58" i="4" s="1"/>
  <c r="BQ58" i="4" s="1"/>
  <c r="BR58" i="4" s="1"/>
  <c r="BS58" i="4" s="1"/>
  <c r="BT58" i="4" s="1"/>
  <c r="BU58" i="4" s="1"/>
  <c r="BV58" i="4" s="1"/>
  <c r="BW58" i="4" s="1"/>
  <c r="BX58" i="4" s="1"/>
  <c r="GQ57" i="4"/>
  <c r="GR57" i="4" s="1"/>
  <c r="GS57" i="4" s="1"/>
  <c r="GT57" i="4" s="1"/>
  <c r="GU57" i="4" s="1"/>
  <c r="GV57" i="4" s="1"/>
  <c r="GW57" i="4" s="1"/>
  <c r="GX57" i="4" s="1"/>
  <c r="GY57" i="4" s="1"/>
  <c r="GZ57" i="4" s="1"/>
  <c r="HA57" i="4" s="1"/>
  <c r="HB57" i="4" s="1"/>
  <c r="HC57" i="4" s="1"/>
  <c r="HD57" i="4" s="1"/>
  <c r="HE57" i="4" s="1"/>
  <c r="HF57" i="4" s="1"/>
  <c r="HG57" i="4" s="1"/>
  <c r="HH57" i="4" s="1"/>
  <c r="H57" i="4"/>
  <c r="DY57" i="4"/>
  <c r="DZ57" i="4" s="1"/>
  <c r="EA57" i="4" s="1"/>
  <c r="EB57" i="4" s="1"/>
  <c r="EC57" i="4" s="1"/>
  <c r="ED57" i="4" s="1"/>
  <c r="EE57" i="4" s="1"/>
  <c r="EF57" i="4" s="1"/>
  <c r="EG57" i="4" s="1"/>
  <c r="EH57" i="4" s="1"/>
  <c r="EI57" i="4" s="1"/>
  <c r="EJ57" i="4" s="1"/>
  <c r="EK57" i="4" s="1"/>
  <c r="EL57" i="4" s="1"/>
  <c r="EM57" i="4" s="1"/>
  <c r="EN57" i="4" s="1"/>
  <c r="EO57" i="4" s="1"/>
  <c r="EP57" i="4" s="1"/>
  <c r="BG57" i="4"/>
  <c r="BH57" i="4" s="1"/>
  <c r="BI57" i="4" s="1"/>
  <c r="BJ57" i="4" s="1"/>
  <c r="BK57" i="4" s="1"/>
  <c r="BL57" i="4" s="1"/>
  <c r="BM57" i="4" s="1"/>
  <c r="BN57" i="4" s="1"/>
  <c r="BO57" i="4" s="1"/>
  <c r="BP57" i="4" s="1"/>
  <c r="BQ57" i="4" s="1"/>
  <c r="BR57" i="4" s="1"/>
  <c r="BS57" i="4" s="1"/>
  <c r="BT57" i="4" s="1"/>
  <c r="BU57" i="4" s="1"/>
  <c r="BV57" i="4" s="1"/>
  <c r="BW57" i="4" s="1"/>
  <c r="BX57" i="4" s="1"/>
  <c r="GQ54" i="4"/>
  <c r="GR54" i="4" s="1"/>
  <c r="GS54" i="4" s="1"/>
  <c r="GT54" i="4" s="1"/>
  <c r="GU54" i="4" s="1"/>
  <c r="GV54" i="4" s="1"/>
  <c r="GW54" i="4" s="1"/>
  <c r="GX54" i="4" s="1"/>
  <c r="GY54" i="4" s="1"/>
  <c r="GZ54" i="4" s="1"/>
  <c r="HA54" i="4" s="1"/>
  <c r="HB54" i="4" s="1"/>
  <c r="HC54" i="4" s="1"/>
  <c r="HD54" i="4" s="1"/>
  <c r="HE54" i="4" s="1"/>
  <c r="HF54" i="4" s="1"/>
  <c r="HG54" i="4" s="1"/>
  <c r="HH54" i="4" s="1"/>
  <c r="H36" i="4"/>
  <c r="H40" i="4"/>
  <c r="I40" i="4" s="1"/>
  <c r="H44" i="4"/>
  <c r="I44" i="4" s="1"/>
  <c r="H48" i="4"/>
  <c r="H52" i="4"/>
  <c r="I52" i="4" s="1"/>
  <c r="DY54" i="4"/>
  <c r="DZ54" i="4"/>
  <c r="EA54" i="4" s="1"/>
  <c r="EB54" i="4" s="1"/>
  <c r="EC54" i="4" s="1"/>
  <c r="ED54" i="4" s="1"/>
  <c r="EE54" i="4" s="1"/>
  <c r="EF54" i="4" s="1"/>
  <c r="EG54" i="4" s="1"/>
  <c r="EH54" i="4" s="1"/>
  <c r="EI54" i="4" s="1"/>
  <c r="EJ54" i="4" s="1"/>
  <c r="EK54" i="4" s="1"/>
  <c r="EL54" i="4" s="1"/>
  <c r="EM54" i="4" s="1"/>
  <c r="EN54" i="4" s="1"/>
  <c r="EO54" i="4" s="1"/>
  <c r="EP54" i="4" s="1"/>
  <c r="BG54" i="4"/>
  <c r="BH54" i="4"/>
  <c r="BI54" i="4" s="1"/>
  <c r="BJ54" i="4" s="1"/>
  <c r="BK54" i="4" s="1"/>
  <c r="BL54" i="4" s="1"/>
  <c r="BM54" i="4" s="1"/>
  <c r="BN54" i="4" s="1"/>
  <c r="BO54" i="4" s="1"/>
  <c r="BP54" i="4" s="1"/>
  <c r="BQ54" i="4" s="1"/>
  <c r="BR54" i="4" s="1"/>
  <c r="BS54" i="4" s="1"/>
  <c r="BT54" i="4" s="1"/>
  <c r="BU54" i="4" s="1"/>
  <c r="BV54" i="4" s="1"/>
  <c r="BW54" i="4" s="1"/>
  <c r="BX54" i="4" s="1"/>
  <c r="GQ53" i="4"/>
  <c r="GR53" i="4" s="1"/>
  <c r="GS53" i="4" s="1"/>
  <c r="GT53" i="4" s="1"/>
  <c r="GU53" i="4" s="1"/>
  <c r="GV53" i="4" s="1"/>
  <c r="GW53" i="4" s="1"/>
  <c r="GX53" i="4" s="1"/>
  <c r="GY53" i="4" s="1"/>
  <c r="GZ53" i="4" s="1"/>
  <c r="HA53" i="4" s="1"/>
  <c r="HB53" i="4" s="1"/>
  <c r="HC53" i="4" s="1"/>
  <c r="HD53" i="4" s="1"/>
  <c r="HE53" i="4" s="1"/>
  <c r="HF53" i="4" s="1"/>
  <c r="HG53" i="4" s="1"/>
  <c r="HH53" i="4" s="1"/>
  <c r="H53" i="4"/>
  <c r="I53" i="4" s="1"/>
  <c r="DY53" i="4"/>
  <c r="DZ53" i="4" s="1"/>
  <c r="EA53" i="4" s="1"/>
  <c r="EB53" i="4" s="1"/>
  <c r="EC53" i="4" s="1"/>
  <c r="ED53" i="4" s="1"/>
  <c r="EE53" i="4" s="1"/>
  <c r="EF53" i="4" s="1"/>
  <c r="EG53" i="4" s="1"/>
  <c r="EH53" i="4" s="1"/>
  <c r="EI53" i="4" s="1"/>
  <c r="EJ53" i="4" s="1"/>
  <c r="EK53" i="4" s="1"/>
  <c r="EL53" i="4" s="1"/>
  <c r="EM53" i="4" s="1"/>
  <c r="EN53" i="4" s="1"/>
  <c r="EO53" i="4" s="1"/>
  <c r="EP53" i="4" s="1"/>
  <c r="BG53" i="4"/>
  <c r="BH53" i="4"/>
  <c r="BI53" i="4" s="1"/>
  <c r="BJ53" i="4" s="1"/>
  <c r="BK53" i="4" s="1"/>
  <c r="BL53" i="4" s="1"/>
  <c r="BM53" i="4" s="1"/>
  <c r="BN53" i="4" s="1"/>
  <c r="BO53" i="4" s="1"/>
  <c r="BP53" i="4" s="1"/>
  <c r="BQ53" i="4" s="1"/>
  <c r="BR53" i="4" s="1"/>
  <c r="BS53" i="4" s="1"/>
  <c r="BT53" i="4" s="1"/>
  <c r="BU53" i="4" s="1"/>
  <c r="BV53" i="4" s="1"/>
  <c r="BW53" i="4" s="1"/>
  <c r="BX53" i="4" s="1"/>
  <c r="GQ52" i="4"/>
  <c r="GR52" i="4" s="1"/>
  <c r="GS52" i="4" s="1"/>
  <c r="GT52" i="4" s="1"/>
  <c r="GU52" i="4" s="1"/>
  <c r="GV52" i="4" s="1"/>
  <c r="GW52" i="4" s="1"/>
  <c r="GX52" i="4" s="1"/>
  <c r="GY52" i="4" s="1"/>
  <c r="GZ52" i="4" s="1"/>
  <c r="HA52" i="4" s="1"/>
  <c r="HB52" i="4" s="1"/>
  <c r="HC52" i="4" s="1"/>
  <c r="HD52" i="4" s="1"/>
  <c r="HE52" i="4" s="1"/>
  <c r="HF52" i="4" s="1"/>
  <c r="HG52" i="4" s="1"/>
  <c r="HH52" i="4" s="1"/>
  <c r="BZ52" i="4"/>
  <c r="ER52" i="4" s="1"/>
  <c r="ES52" i="4" s="1"/>
  <c r="DY52" i="4"/>
  <c r="DZ52" i="4" s="1"/>
  <c r="EA52" i="4" s="1"/>
  <c r="EB52" i="4" s="1"/>
  <c r="EC52" i="4" s="1"/>
  <c r="ED52" i="4" s="1"/>
  <c r="EE52" i="4" s="1"/>
  <c r="EF52" i="4" s="1"/>
  <c r="EG52" i="4" s="1"/>
  <c r="EH52" i="4" s="1"/>
  <c r="EI52" i="4" s="1"/>
  <c r="EJ52" i="4" s="1"/>
  <c r="EK52" i="4" s="1"/>
  <c r="EL52" i="4" s="1"/>
  <c r="EM52" i="4" s="1"/>
  <c r="EN52" i="4" s="1"/>
  <c r="EO52" i="4" s="1"/>
  <c r="EP52" i="4" s="1"/>
  <c r="CA52" i="4"/>
  <c r="BG52" i="4"/>
  <c r="BH52" i="4" s="1"/>
  <c r="BI52" i="4" s="1"/>
  <c r="BJ52" i="4" s="1"/>
  <c r="BK52" i="4" s="1"/>
  <c r="BL52" i="4" s="1"/>
  <c r="BM52" i="4" s="1"/>
  <c r="BN52" i="4" s="1"/>
  <c r="BO52" i="4" s="1"/>
  <c r="BP52" i="4" s="1"/>
  <c r="BQ52" i="4" s="1"/>
  <c r="BR52" i="4" s="1"/>
  <c r="BS52" i="4" s="1"/>
  <c r="BT52" i="4" s="1"/>
  <c r="BU52" i="4" s="1"/>
  <c r="BV52" i="4" s="1"/>
  <c r="BW52" i="4" s="1"/>
  <c r="BX52" i="4" s="1"/>
  <c r="GQ51" i="4"/>
  <c r="GR51" i="4" s="1"/>
  <c r="GS51" i="4" s="1"/>
  <c r="GT51" i="4" s="1"/>
  <c r="GU51" i="4" s="1"/>
  <c r="GV51" i="4" s="1"/>
  <c r="GW51" i="4" s="1"/>
  <c r="GX51" i="4" s="1"/>
  <c r="GY51" i="4" s="1"/>
  <c r="GZ51" i="4" s="1"/>
  <c r="HA51" i="4" s="1"/>
  <c r="HB51" i="4" s="1"/>
  <c r="HC51" i="4" s="1"/>
  <c r="HD51" i="4" s="1"/>
  <c r="HE51" i="4" s="1"/>
  <c r="HF51" i="4" s="1"/>
  <c r="HG51" i="4" s="1"/>
  <c r="HH51" i="4" s="1"/>
  <c r="H51" i="4"/>
  <c r="DY51" i="4"/>
  <c r="DZ51" i="4" s="1"/>
  <c r="EA51" i="4" s="1"/>
  <c r="EB51" i="4" s="1"/>
  <c r="EC51" i="4" s="1"/>
  <c r="ED51" i="4" s="1"/>
  <c r="EE51" i="4" s="1"/>
  <c r="EF51" i="4" s="1"/>
  <c r="EG51" i="4" s="1"/>
  <c r="EH51" i="4" s="1"/>
  <c r="EI51" i="4" s="1"/>
  <c r="EJ51" i="4" s="1"/>
  <c r="EK51" i="4" s="1"/>
  <c r="EL51" i="4" s="1"/>
  <c r="EM51" i="4" s="1"/>
  <c r="EN51" i="4" s="1"/>
  <c r="EO51" i="4" s="1"/>
  <c r="EP51" i="4" s="1"/>
  <c r="BG51" i="4"/>
  <c r="BH51" i="4" s="1"/>
  <c r="BI51" i="4" s="1"/>
  <c r="BJ51" i="4" s="1"/>
  <c r="BK51" i="4" s="1"/>
  <c r="BL51" i="4" s="1"/>
  <c r="BM51" i="4" s="1"/>
  <c r="BN51" i="4" s="1"/>
  <c r="BO51" i="4" s="1"/>
  <c r="BP51" i="4" s="1"/>
  <c r="BQ51" i="4" s="1"/>
  <c r="BR51" i="4" s="1"/>
  <c r="BS51" i="4" s="1"/>
  <c r="BT51" i="4" s="1"/>
  <c r="BU51" i="4" s="1"/>
  <c r="BV51" i="4" s="1"/>
  <c r="BW51" i="4" s="1"/>
  <c r="BX51" i="4" s="1"/>
  <c r="GQ50" i="4"/>
  <c r="GR50" i="4" s="1"/>
  <c r="GS50" i="4" s="1"/>
  <c r="GT50" i="4" s="1"/>
  <c r="GU50" i="4" s="1"/>
  <c r="GV50" i="4" s="1"/>
  <c r="GW50" i="4" s="1"/>
  <c r="GX50" i="4" s="1"/>
  <c r="GY50" i="4" s="1"/>
  <c r="GZ50" i="4" s="1"/>
  <c r="HA50" i="4" s="1"/>
  <c r="HB50" i="4" s="1"/>
  <c r="HC50" i="4" s="1"/>
  <c r="HD50" i="4" s="1"/>
  <c r="HE50" i="4" s="1"/>
  <c r="HF50" i="4" s="1"/>
  <c r="HG50" i="4" s="1"/>
  <c r="HH50" i="4" s="1"/>
  <c r="H50" i="4"/>
  <c r="DY50" i="4"/>
  <c r="DZ50" i="4" s="1"/>
  <c r="EA50" i="4" s="1"/>
  <c r="EB50" i="4" s="1"/>
  <c r="EC50" i="4" s="1"/>
  <c r="ED50" i="4" s="1"/>
  <c r="EE50" i="4" s="1"/>
  <c r="EF50" i="4" s="1"/>
  <c r="EG50" i="4" s="1"/>
  <c r="EH50" i="4" s="1"/>
  <c r="EI50" i="4" s="1"/>
  <c r="EJ50" i="4" s="1"/>
  <c r="EK50" i="4" s="1"/>
  <c r="EL50" i="4" s="1"/>
  <c r="EM50" i="4" s="1"/>
  <c r="EN50" i="4" s="1"/>
  <c r="EO50" i="4" s="1"/>
  <c r="EP50" i="4" s="1"/>
  <c r="BG50" i="4"/>
  <c r="BH50" i="4" s="1"/>
  <c r="BI50" i="4" s="1"/>
  <c r="BJ50" i="4" s="1"/>
  <c r="BK50" i="4" s="1"/>
  <c r="BL50" i="4" s="1"/>
  <c r="BM50" i="4" s="1"/>
  <c r="BN50" i="4" s="1"/>
  <c r="BO50" i="4" s="1"/>
  <c r="BP50" i="4" s="1"/>
  <c r="BQ50" i="4" s="1"/>
  <c r="BR50" i="4" s="1"/>
  <c r="BS50" i="4" s="1"/>
  <c r="BT50" i="4" s="1"/>
  <c r="BU50" i="4" s="1"/>
  <c r="BV50" i="4" s="1"/>
  <c r="BW50" i="4" s="1"/>
  <c r="BX50" i="4" s="1"/>
  <c r="GQ49" i="4"/>
  <c r="GR49" i="4" s="1"/>
  <c r="GS49" i="4" s="1"/>
  <c r="GT49" i="4" s="1"/>
  <c r="GU49" i="4" s="1"/>
  <c r="GV49" i="4" s="1"/>
  <c r="GW49" i="4" s="1"/>
  <c r="GX49" i="4" s="1"/>
  <c r="GY49" i="4" s="1"/>
  <c r="GZ49" i="4" s="1"/>
  <c r="HA49" i="4" s="1"/>
  <c r="HB49" i="4" s="1"/>
  <c r="HC49" i="4" s="1"/>
  <c r="HD49" i="4" s="1"/>
  <c r="HE49" i="4" s="1"/>
  <c r="HF49" i="4" s="1"/>
  <c r="HG49" i="4" s="1"/>
  <c r="HH49" i="4" s="1"/>
  <c r="H49" i="4"/>
  <c r="I49" i="4" s="1"/>
  <c r="DY49" i="4"/>
  <c r="DZ49" i="4" s="1"/>
  <c r="EA49" i="4" s="1"/>
  <c r="EB49" i="4" s="1"/>
  <c r="EC49" i="4" s="1"/>
  <c r="ED49" i="4" s="1"/>
  <c r="EE49" i="4" s="1"/>
  <c r="EF49" i="4" s="1"/>
  <c r="EG49" i="4" s="1"/>
  <c r="EH49" i="4" s="1"/>
  <c r="EI49" i="4" s="1"/>
  <c r="EJ49" i="4" s="1"/>
  <c r="EK49" i="4" s="1"/>
  <c r="EL49" i="4" s="1"/>
  <c r="EM49" i="4" s="1"/>
  <c r="EN49" i="4" s="1"/>
  <c r="EO49" i="4" s="1"/>
  <c r="EP49" i="4" s="1"/>
  <c r="BG49" i="4"/>
  <c r="BH49" i="4" s="1"/>
  <c r="BI49" i="4" s="1"/>
  <c r="BJ49" i="4" s="1"/>
  <c r="BK49" i="4" s="1"/>
  <c r="BL49" i="4" s="1"/>
  <c r="BM49" i="4" s="1"/>
  <c r="BN49" i="4" s="1"/>
  <c r="BO49" i="4" s="1"/>
  <c r="BP49" i="4" s="1"/>
  <c r="BQ49" i="4" s="1"/>
  <c r="BR49" i="4" s="1"/>
  <c r="BS49" i="4" s="1"/>
  <c r="BT49" i="4" s="1"/>
  <c r="BU49" i="4" s="1"/>
  <c r="BV49" i="4" s="1"/>
  <c r="BW49" i="4" s="1"/>
  <c r="BX49" i="4" s="1"/>
  <c r="GQ48" i="4"/>
  <c r="GR48" i="4" s="1"/>
  <c r="GS48" i="4" s="1"/>
  <c r="GT48" i="4" s="1"/>
  <c r="GU48" i="4" s="1"/>
  <c r="GV48" i="4" s="1"/>
  <c r="GW48" i="4" s="1"/>
  <c r="GX48" i="4" s="1"/>
  <c r="GY48" i="4" s="1"/>
  <c r="GZ48" i="4" s="1"/>
  <c r="HA48" i="4" s="1"/>
  <c r="HB48" i="4" s="1"/>
  <c r="HC48" i="4" s="1"/>
  <c r="HD48" i="4" s="1"/>
  <c r="HE48" i="4" s="1"/>
  <c r="HF48" i="4" s="1"/>
  <c r="HG48" i="4" s="1"/>
  <c r="HH48" i="4" s="1"/>
  <c r="DY48" i="4"/>
  <c r="DZ48" i="4" s="1"/>
  <c r="EA48" i="4" s="1"/>
  <c r="EB48" i="4" s="1"/>
  <c r="EC48" i="4" s="1"/>
  <c r="ED48" i="4" s="1"/>
  <c r="EE48" i="4" s="1"/>
  <c r="EF48" i="4" s="1"/>
  <c r="EG48" i="4" s="1"/>
  <c r="EH48" i="4" s="1"/>
  <c r="EI48" i="4" s="1"/>
  <c r="EJ48" i="4" s="1"/>
  <c r="EK48" i="4" s="1"/>
  <c r="EL48" i="4" s="1"/>
  <c r="EM48" i="4" s="1"/>
  <c r="EN48" i="4" s="1"/>
  <c r="EO48" i="4" s="1"/>
  <c r="EP48" i="4" s="1"/>
  <c r="BG48" i="4"/>
  <c r="BH48" i="4" s="1"/>
  <c r="BI48" i="4" s="1"/>
  <c r="BJ48" i="4" s="1"/>
  <c r="BK48" i="4" s="1"/>
  <c r="BL48" i="4" s="1"/>
  <c r="BM48" i="4" s="1"/>
  <c r="BN48" i="4" s="1"/>
  <c r="BO48" i="4" s="1"/>
  <c r="BP48" i="4" s="1"/>
  <c r="BQ48" i="4" s="1"/>
  <c r="BR48" i="4" s="1"/>
  <c r="BS48" i="4" s="1"/>
  <c r="BT48" i="4" s="1"/>
  <c r="BU48" i="4" s="1"/>
  <c r="BV48" i="4" s="1"/>
  <c r="BW48" i="4" s="1"/>
  <c r="BX48" i="4" s="1"/>
  <c r="GQ47" i="4"/>
  <c r="GR47" i="4" s="1"/>
  <c r="GS47" i="4" s="1"/>
  <c r="GT47" i="4" s="1"/>
  <c r="GU47" i="4" s="1"/>
  <c r="GV47" i="4" s="1"/>
  <c r="GW47" i="4" s="1"/>
  <c r="GX47" i="4" s="1"/>
  <c r="GY47" i="4" s="1"/>
  <c r="GZ47" i="4" s="1"/>
  <c r="HA47" i="4" s="1"/>
  <c r="HB47" i="4" s="1"/>
  <c r="HC47" i="4" s="1"/>
  <c r="HD47" i="4" s="1"/>
  <c r="HE47" i="4" s="1"/>
  <c r="HF47" i="4" s="1"/>
  <c r="HG47" i="4" s="1"/>
  <c r="HH47" i="4" s="1"/>
  <c r="H47" i="4"/>
  <c r="DY47" i="4"/>
  <c r="DZ47" i="4" s="1"/>
  <c r="EA47" i="4" s="1"/>
  <c r="EB47" i="4" s="1"/>
  <c r="EC47" i="4" s="1"/>
  <c r="ED47" i="4" s="1"/>
  <c r="EE47" i="4" s="1"/>
  <c r="EF47" i="4" s="1"/>
  <c r="EG47" i="4" s="1"/>
  <c r="EH47" i="4" s="1"/>
  <c r="EI47" i="4" s="1"/>
  <c r="EJ47" i="4" s="1"/>
  <c r="EK47" i="4" s="1"/>
  <c r="EL47" i="4" s="1"/>
  <c r="EM47" i="4" s="1"/>
  <c r="EN47" i="4" s="1"/>
  <c r="EO47" i="4" s="1"/>
  <c r="EP47" i="4" s="1"/>
  <c r="BG47" i="4"/>
  <c r="BH47" i="4" s="1"/>
  <c r="BI47" i="4" s="1"/>
  <c r="BJ47" i="4" s="1"/>
  <c r="BK47" i="4" s="1"/>
  <c r="BL47" i="4" s="1"/>
  <c r="BM47" i="4" s="1"/>
  <c r="BN47" i="4" s="1"/>
  <c r="BO47" i="4" s="1"/>
  <c r="BP47" i="4" s="1"/>
  <c r="BQ47" i="4" s="1"/>
  <c r="BR47" i="4" s="1"/>
  <c r="BS47" i="4" s="1"/>
  <c r="BT47" i="4" s="1"/>
  <c r="BU47" i="4" s="1"/>
  <c r="BV47" i="4" s="1"/>
  <c r="BW47" i="4" s="1"/>
  <c r="BX47" i="4" s="1"/>
  <c r="GQ46" i="4"/>
  <c r="GR46" i="4"/>
  <c r="GS46" i="4" s="1"/>
  <c r="GT46" i="4" s="1"/>
  <c r="GU46" i="4" s="1"/>
  <c r="GV46" i="4" s="1"/>
  <c r="GW46" i="4" s="1"/>
  <c r="GX46" i="4" s="1"/>
  <c r="GY46" i="4" s="1"/>
  <c r="GZ46" i="4" s="1"/>
  <c r="HA46" i="4" s="1"/>
  <c r="HB46" i="4" s="1"/>
  <c r="HC46" i="4" s="1"/>
  <c r="HD46" i="4" s="1"/>
  <c r="HE46" i="4" s="1"/>
  <c r="HF46" i="4" s="1"/>
  <c r="HG46" i="4" s="1"/>
  <c r="HH46" i="4" s="1"/>
  <c r="H46" i="4"/>
  <c r="BZ46" i="4" s="1"/>
  <c r="ER46" i="4" s="1"/>
  <c r="ES46" i="4" s="1"/>
  <c r="DY46" i="4"/>
  <c r="DZ46" i="4" s="1"/>
  <c r="EA46" i="4" s="1"/>
  <c r="EB46" i="4" s="1"/>
  <c r="EC46" i="4" s="1"/>
  <c r="ED46" i="4" s="1"/>
  <c r="EE46" i="4" s="1"/>
  <c r="EF46" i="4" s="1"/>
  <c r="EG46" i="4" s="1"/>
  <c r="EH46" i="4" s="1"/>
  <c r="EI46" i="4" s="1"/>
  <c r="EJ46" i="4" s="1"/>
  <c r="EK46" i="4" s="1"/>
  <c r="EL46" i="4" s="1"/>
  <c r="EM46" i="4" s="1"/>
  <c r="EN46" i="4" s="1"/>
  <c r="EO46" i="4" s="1"/>
  <c r="EP46" i="4" s="1"/>
  <c r="BG46" i="4"/>
  <c r="BH46" i="4"/>
  <c r="BI46" i="4" s="1"/>
  <c r="BJ46" i="4" s="1"/>
  <c r="BK46" i="4" s="1"/>
  <c r="BL46" i="4" s="1"/>
  <c r="BM46" i="4" s="1"/>
  <c r="BN46" i="4" s="1"/>
  <c r="BO46" i="4" s="1"/>
  <c r="BP46" i="4" s="1"/>
  <c r="BQ46" i="4" s="1"/>
  <c r="BR46" i="4" s="1"/>
  <c r="BS46" i="4" s="1"/>
  <c r="BT46" i="4" s="1"/>
  <c r="BU46" i="4" s="1"/>
  <c r="BV46" i="4" s="1"/>
  <c r="BW46" i="4" s="1"/>
  <c r="BX46" i="4" s="1"/>
  <c r="I46" i="4"/>
  <c r="GQ45" i="4"/>
  <c r="GR45" i="4" s="1"/>
  <c r="GS45" i="4" s="1"/>
  <c r="GT45" i="4" s="1"/>
  <c r="GU45" i="4" s="1"/>
  <c r="GV45" i="4" s="1"/>
  <c r="GW45" i="4" s="1"/>
  <c r="GX45" i="4" s="1"/>
  <c r="GY45" i="4" s="1"/>
  <c r="GZ45" i="4" s="1"/>
  <c r="HA45" i="4" s="1"/>
  <c r="HB45" i="4" s="1"/>
  <c r="HC45" i="4" s="1"/>
  <c r="HD45" i="4" s="1"/>
  <c r="HE45" i="4" s="1"/>
  <c r="HF45" i="4" s="1"/>
  <c r="HG45" i="4" s="1"/>
  <c r="HH45" i="4" s="1"/>
  <c r="H45" i="4"/>
  <c r="I45" i="4" s="1"/>
  <c r="DY45" i="4"/>
  <c r="DZ45" i="4" s="1"/>
  <c r="EA45" i="4" s="1"/>
  <c r="EB45" i="4" s="1"/>
  <c r="EC45" i="4" s="1"/>
  <c r="ED45" i="4" s="1"/>
  <c r="EE45" i="4" s="1"/>
  <c r="EF45" i="4" s="1"/>
  <c r="EG45" i="4" s="1"/>
  <c r="EH45" i="4" s="1"/>
  <c r="EI45" i="4" s="1"/>
  <c r="EJ45" i="4" s="1"/>
  <c r="EK45" i="4" s="1"/>
  <c r="EL45" i="4" s="1"/>
  <c r="EM45" i="4" s="1"/>
  <c r="EN45" i="4" s="1"/>
  <c r="EO45" i="4" s="1"/>
  <c r="EP45" i="4" s="1"/>
  <c r="BG45" i="4"/>
  <c r="BH45" i="4" s="1"/>
  <c r="BI45" i="4" s="1"/>
  <c r="M45" i="4"/>
  <c r="N45" i="4" s="1"/>
  <c r="GQ44" i="4"/>
  <c r="GR44" i="4" s="1"/>
  <c r="GS44" i="4" s="1"/>
  <c r="GT44" i="4" s="1"/>
  <c r="GU44" i="4" s="1"/>
  <c r="GV44" i="4" s="1"/>
  <c r="GW44" i="4" s="1"/>
  <c r="GX44" i="4" s="1"/>
  <c r="GY44" i="4" s="1"/>
  <c r="GZ44" i="4" s="1"/>
  <c r="HA44" i="4" s="1"/>
  <c r="HB44" i="4" s="1"/>
  <c r="HC44" i="4" s="1"/>
  <c r="HD44" i="4" s="1"/>
  <c r="HE44" i="4" s="1"/>
  <c r="HF44" i="4" s="1"/>
  <c r="HG44" i="4" s="1"/>
  <c r="HH44" i="4" s="1"/>
  <c r="BZ44" i="4"/>
  <c r="ER44" i="4" s="1"/>
  <c r="ES44" i="4" s="1"/>
  <c r="DY44" i="4"/>
  <c r="DZ44" i="4" s="1"/>
  <c r="EA44" i="4" s="1"/>
  <c r="EB44" i="4" s="1"/>
  <c r="EC44" i="4" s="1"/>
  <c r="ED44" i="4" s="1"/>
  <c r="EE44" i="4" s="1"/>
  <c r="EF44" i="4" s="1"/>
  <c r="EG44" i="4" s="1"/>
  <c r="EH44" i="4" s="1"/>
  <c r="EI44" i="4" s="1"/>
  <c r="EJ44" i="4" s="1"/>
  <c r="EK44" i="4" s="1"/>
  <c r="EL44" i="4" s="1"/>
  <c r="EM44" i="4" s="1"/>
  <c r="EN44" i="4"/>
  <c r="EO44" i="4" s="1"/>
  <c r="EP44" i="4" s="1"/>
  <c r="BG44" i="4"/>
  <c r="BH44" i="4"/>
  <c r="BI44" i="4"/>
  <c r="BJ44" i="4" s="1"/>
  <c r="BK44" i="4"/>
  <c r="BL44" i="4" s="1"/>
  <c r="BM44" i="4" s="1"/>
  <c r="BN44" i="4" s="1"/>
  <c r="BO44" i="4" s="1"/>
  <c r="GQ43" i="4"/>
  <c r="GR43" i="4"/>
  <c r="GS43" i="4"/>
  <c r="GT43" i="4" s="1"/>
  <c r="GU43" i="4" s="1"/>
  <c r="GV43" i="4" s="1"/>
  <c r="GW43" i="4" s="1"/>
  <c r="GX43" i="4" s="1"/>
  <c r="GY43" i="4" s="1"/>
  <c r="GZ43" i="4" s="1"/>
  <c r="HA43" i="4" s="1"/>
  <c r="HB43" i="4" s="1"/>
  <c r="HC43" i="4" s="1"/>
  <c r="HD43" i="4" s="1"/>
  <c r="HE43" i="4" s="1"/>
  <c r="HF43" i="4" s="1"/>
  <c r="HG43" i="4" s="1"/>
  <c r="HH43" i="4" s="1"/>
  <c r="H43" i="4"/>
  <c r="DY43" i="4"/>
  <c r="DZ43" i="4" s="1"/>
  <c r="EA43" i="4" s="1"/>
  <c r="EB43" i="4" s="1"/>
  <c r="EC43" i="4" s="1"/>
  <c r="ED43" i="4" s="1"/>
  <c r="EE43" i="4" s="1"/>
  <c r="EF43" i="4" s="1"/>
  <c r="EG43" i="4" s="1"/>
  <c r="EH43" i="4" s="1"/>
  <c r="EI43" i="4" s="1"/>
  <c r="EJ43" i="4" s="1"/>
  <c r="EK43" i="4" s="1"/>
  <c r="EL43" i="4" s="1"/>
  <c r="EM43" i="4" s="1"/>
  <c r="EN43" i="4" s="1"/>
  <c r="EO43" i="4" s="1"/>
  <c r="EP43" i="4" s="1"/>
  <c r="BG43" i="4"/>
  <c r="BH43" i="4"/>
  <c r="BI43" i="4" s="1"/>
  <c r="BJ43" i="4" s="1"/>
  <c r="BK43" i="4" s="1"/>
  <c r="BL43" i="4" s="1"/>
  <c r="BM43" i="4" s="1"/>
  <c r="BN43" i="4" s="1"/>
  <c r="BO43" i="4" s="1"/>
  <c r="BP43" i="4" s="1"/>
  <c r="BQ43" i="4" s="1"/>
  <c r="BR43" i="4" s="1"/>
  <c r="BS43" i="4" s="1"/>
  <c r="BT43" i="4" s="1"/>
  <c r="BU43" i="4" s="1"/>
  <c r="BV43" i="4" s="1"/>
  <c r="BW43" i="4" s="1"/>
  <c r="BX43" i="4" s="1"/>
  <c r="GQ42" i="4"/>
  <c r="GR42" i="4" s="1"/>
  <c r="GS42" i="4" s="1"/>
  <c r="GT42" i="4" s="1"/>
  <c r="GU42" i="4" s="1"/>
  <c r="GV42" i="4" s="1"/>
  <c r="GW42" i="4" s="1"/>
  <c r="GX42" i="4" s="1"/>
  <c r="GY42" i="4" s="1"/>
  <c r="GZ42" i="4" s="1"/>
  <c r="HA42" i="4" s="1"/>
  <c r="HB42" i="4" s="1"/>
  <c r="HC42" i="4" s="1"/>
  <c r="HD42" i="4" s="1"/>
  <c r="HE42" i="4" s="1"/>
  <c r="HF42" i="4" s="1"/>
  <c r="HG42" i="4" s="1"/>
  <c r="HH42" i="4" s="1"/>
  <c r="H42" i="4"/>
  <c r="BZ42" i="4" s="1"/>
  <c r="DY42" i="4"/>
  <c r="DZ42" i="4" s="1"/>
  <c r="EA42" i="4" s="1"/>
  <c r="EB42" i="4" s="1"/>
  <c r="EC42" i="4" s="1"/>
  <c r="ED42" i="4" s="1"/>
  <c r="EE42" i="4" s="1"/>
  <c r="EF42" i="4" s="1"/>
  <c r="EG42" i="4" s="1"/>
  <c r="EH42" i="4" s="1"/>
  <c r="EI42" i="4" s="1"/>
  <c r="EJ42" i="4" s="1"/>
  <c r="EK42" i="4" s="1"/>
  <c r="EL42" i="4" s="1"/>
  <c r="EM42" i="4" s="1"/>
  <c r="EN42" i="4" s="1"/>
  <c r="EO42" i="4" s="1"/>
  <c r="EP42" i="4" s="1"/>
  <c r="BG42" i="4"/>
  <c r="BH42" i="4"/>
  <c r="BI42" i="4"/>
  <c r="BJ42" i="4" s="1"/>
  <c r="BK42" i="4" s="1"/>
  <c r="BL42" i="4" s="1"/>
  <c r="BM42" i="4" s="1"/>
  <c r="BN42" i="4" s="1"/>
  <c r="BO42" i="4" s="1"/>
  <c r="BP42" i="4" s="1"/>
  <c r="BQ42" i="4" s="1"/>
  <c r="BR42" i="4" s="1"/>
  <c r="BS42" i="4" s="1"/>
  <c r="BT42" i="4" s="1"/>
  <c r="BU42" i="4" s="1"/>
  <c r="BV42" i="4" s="1"/>
  <c r="BW42" i="4" s="1"/>
  <c r="BX42" i="4" s="1"/>
  <c r="I42" i="4"/>
  <c r="GQ41" i="4"/>
  <c r="GR41" i="4" s="1"/>
  <c r="GS41" i="4" s="1"/>
  <c r="GT41" i="4" s="1"/>
  <c r="GU41" i="4" s="1"/>
  <c r="GV41" i="4" s="1"/>
  <c r="GW41" i="4" s="1"/>
  <c r="GX41" i="4" s="1"/>
  <c r="GY41" i="4" s="1"/>
  <c r="GZ41" i="4" s="1"/>
  <c r="HA41" i="4" s="1"/>
  <c r="HB41" i="4" s="1"/>
  <c r="HC41" i="4" s="1"/>
  <c r="HD41" i="4" s="1"/>
  <c r="HE41" i="4" s="1"/>
  <c r="HF41" i="4" s="1"/>
  <c r="HG41" i="4" s="1"/>
  <c r="HH41" i="4" s="1"/>
  <c r="H41" i="4"/>
  <c r="I41" i="4"/>
  <c r="DY41" i="4"/>
  <c r="DZ41" i="4" s="1"/>
  <c r="EA41" i="4" s="1"/>
  <c r="EB41" i="4" s="1"/>
  <c r="EC41" i="4" s="1"/>
  <c r="ED41" i="4" s="1"/>
  <c r="EE41" i="4" s="1"/>
  <c r="EF41" i="4" s="1"/>
  <c r="EG41" i="4" s="1"/>
  <c r="EH41" i="4" s="1"/>
  <c r="EI41" i="4" s="1"/>
  <c r="EJ41" i="4" s="1"/>
  <c r="EK41" i="4" s="1"/>
  <c r="EL41" i="4" s="1"/>
  <c r="EM41" i="4" s="1"/>
  <c r="EN41" i="4" s="1"/>
  <c r="EO41" i="4" s="1"/>
  <c r="EP41" i="4" s="1"/>
  <c r="BG41" i="4"/>
  <c r="BH41" i="4"/>
  <c r="BI41" i="4" s="1"/>
  <c r="GQ40" i="4"/>
  <c r="GR40" i="4"/>
  <c r="GS40" i="4" s="1"/>
  <c r="GT40" i="4" s="1"/>
  <c r="GU40" i="4" s="1"/>
  <c r="GV40" i="4" s="1"/>
  <c r="GW40" i="4" s="1"/>
  <c r="GX40" i="4" s="1"/>
  <c r="GY40" i="4" s="1"/>
  <c r="GZ40" i="4" s="1"/>
  <c r="HA40" i="4" s="1"/>
  <c r="HB40" i="4" s="1"/>
  <c r="HC40" i="4" s="1"/>
  <c r="HD40" i="4" s="1"/>
  <c r="HE40" i="4" s="1"/>
  <c r="HF40" i="4" s="1"/>
  <c r="HG40" i="4" s="1"/>
  <c r="HH40" i="4" s="1"/>
  <c r="BZ40" i="4"/>
  <c r="DY40" i="4"/>
  <c r="DZ40" i="4" s="1"/>
  <c r="EA40" i="4" s="1"/>
  <c r="EB40" i="4" s="1"/>
  <c r="EC40" i="4" s="1"/>
  <c r="ED40" i="4" s="1"/>
  <c r="EE40" i="4" s="1"/>
  <c r="EF40" i="4" s="1"/>
  <c r="EG40" i="4" s="1"/>
  <c r="EH40" i="4" s="1"/>
  <c r="EI40" i="4" s="1"/>
  <c r="EJ40" i="4" s="1"/>
  <c r="EK40" i="4" s="1"/>
  <c r="EL40" i="4" s="1"/>
  <c r="EM40" i="4" s="1"/>
  <c r="EN40" i="4" s="1"/>
  <c r="EO40" i="4" s="1"/>
  <c r="EP40" i="4" s="1"/>
  <c r="BG40" i="4"/>
  <c r="BH40" i="4" s="1"/>
  <c r="BI40" i="4" s="1"/>
  <c r="BJ40" i="4" s="1"/>
  <c r="BK40" i="4" s="1"/>
  <c r="BL40" i="4" s="1"/>
  <c r="BM40" i="4" s="1"/>
  <c r="BN40" i="4" s="1"/>
  <c r="BO40" i="4" s="1"/>
  <c r="BP40" i="4" s="1"/>
  <c r="BQ40" i="4" s="1"/>
  <c r="BR40" i="4" s="1"/>
  <c r="BS40" i="4" s="1"/>
  <c r="BT40" i="4" s="1"/>
  <c r="BU40" i="4" s="1"/>
  <c r="BV40" i="4" s="1"/>
  <c r="BW40" i="4" s="1"/>
  <c r="BX40" i="4" s="1"/>
  <c r="GQ39" i="4"/>
  <c r="GR39" i="4" s="1"/>
  <c r="GS39" i="4" s="1"/>
  <c r="GT39" i="4" s="1"/>
  <c r="GU39" i="4" s="1"/>
  <c r="GV39" i="4" s="1"/>
  <c r="GW39" i="4" s="1"/>
  <c r="GX39" i="4" s="1"/>
  <c r="GY39" i="4" s="1"/>
  <c r="GZ39" i="4" s="1"/>
  <c r="HA39" i="4" s="1"/>
  <c r="HB39" i="4" s="1"/>
  <c r="HC39" i="4" s="1"/>
  <c r="HD39" i="4" s="1"/>
  <c r="HE39" i="4" s="1"/>
  <c r="HF39" i="4" s="1"/>
  <c r="HG39" i="4" s="1"/>
  <c r="HH39" i="4" s="1"/>
  <c r="H39" i="4"/>
  <c r="I39" i="4" s="1"/>
  <c r="DY39" i="4"/>
  <c r="DZ39" i="4" s="1"/>
  <c r="EA39" i="4" s="1"/>
  <c r="EB39" i="4" s="1"/>
  <c r="EC39" i="4" s="1"/>
  <c r="ED39" i="4" s="1"/>
  <c r="EE39" i="4" s="1"/>
  <c r="EF39" i="4" s="1"/>
  <c r="EG39" i="4" s="1"/>
  <c r="EH39" i="4" s="1"/>
  <c r="EI39" i="4" s="1"/>
  <c r="EJ39" i="4" s="1"/>
  <c r="EK39" i="4" s="1"/>
  <c r="EL39" i="4" s="1"/>
  <c r="EM39" i="4" s="1"/>
  <c r="EN39" i="4" s="1"/>
  <c r="EO39" i="4" s="1"/>
  <c r="EP39" i="4" s="1"/>
  <c r="BG39" i="4"/>
  <c r="BH39" i="4"/>
  <c r="BI39" i="4" s="1"/>
  <c r="BJ39" i="4" s="1"/>
  <c r="BK39" i="4" s="1"/>
  <c r="BL39" i="4" s="1"/>
  <c r="BM39" i="4" s="1"/>
  <c r="BN39" i="4" s="1"/>
  <c r="BO39" i="4" s="1"/>
  <c r="BP39" i="4" s="1"/>
  <c r="BQ39" i="4" s="1"/>
  <c r="BR39" i="4" s="1"/>
  <c r="BS39" i="4" s="1"/>
  <c r="BT39" i="4" s="1"/>
  <c r="BU39" i="4" s="1"/>
  <c r="BV39" i="4" s="1"/>
  <c r="BW39" i="4" s="1"/>
  <c r="BX39" i="4" s="1"/>
  <c r="GQ38" i="4"/>
  <c r="GR38" i="4" s="1"/>
  <c r="GS38" i="4" s="1"/>
  <c r="GT38" i="4" s="1"/>
  <c r="GU38" i="4" s="1"/>
  <c r="GV38" i="4" s="1"/>
  <c r="GW38" i="4" s="1"/>
  <c r="GX38" i="4" s="1"/>
  <c r="GY38" i="4" s="1"/>
  <c r="GZ38" i="4" s="1"/>
  <c r="HA38" i="4" s="1"/>
  <c r="HB38" i="4" s="1"/>
  <c r="HC38" i="4" s="1"/>
  <c r="HD38" i="4" s="1"/>
  <c r="HE38" i="4" s="1"/>
  <c r="HF38" i="4" s="1"/>
  <c r="HG38" i="4" s="1"/>
  <c r="HH38" i="4" s="1"/>
  <c r="H38" i="4"/>
  <c r="BZ38" i="4" s="1"/>
  <c r="ER38" i="4" s="1"/>
  <c r="ES38" i="4" s="1"/>
  <c r="DY38" i="4"/>
  <c r="DZ38" i="4" s="1"/>
  <c r="EA38" i="4" s="1"/>
  <c r="EB38" i="4" s="1"/>
  <c r="EC38" i="4" s="1"/>
  <c r="ED38" i="4" s="1"/>
  <c r="EE38" i="4" s="1"/>
  <c r="EF38" i="4" s="1"/>
  <c r="EG38" i="4" s="1"/>
  <c r="EH38" i="4" s="1"/>
  <c r="EI38" i="4" s="1"/>
  <c r="EJ38" i="4" s="1"/>
  <c r="EK38" i="4" s="1"/>
  <c r="EL38" i="4" s="1"/>
  <c r="EM38" i="4" s="1"/>
  <c r="EN38" i="4" s="1"/>
  <c r="EO38" i="4" s="1"/>
  <c r="EP38" i="4" s="1"/>
  <c r="BG38" i="4"/>
  <c r="BH38" i="4"/>
  <c r="BI38" i="4"/>
  <c r="BJ38" i="4" s="1"/>
  <c r="BK38" i="4" s="1"/>
  <c r="I38" i="4"/>
  <c r="GQ37" i="4"/>
  <c r="GR37" i="4" s="1"/>
  <c r="GS37" i="4" s="1"/>
  <c r="GT37" i="4" s="1"/>
  <c r="GU37" i="4" s="1"/>
  <c r="GV37" i="4" s="1"/>
  <c r="GW37" i="4" s="1"/>
  <c r="GX37" i="4" s="1"/>
  <c r="GY37" i="4" s="1"/>
  <c r="GZ37" i="4" s="1"/>
  <c r="HA37" i="4" s="1"/>
  <c r="HB37" i="4" s="1"/>
  <c r="HC37" i="4" s="1"/>
  <c r="HD37" i="4" s="1"/>
  <c r="HE37" i="4" s="1"/>
  <c r="HF37" i="4" s="1"/>
  <c r="HG37" i="4" s="1"/>
  <c r="HH37" i="4" s="1"/>
  <c r="H37" i="4"/>
  <c r="BZ37" i="4" s="1"/>
  <c r="ER37" i="4" s="1"/>
  <c r="ES37" i="4" s="1"/>
  <c r="DY37" i="4"/>
  <c r="DZ37" i="4" s="1"/>
  <c r="EA37" i="4" s="1"/>
  <c r="EB37" i="4" s="1"/>
  <c r="EC37" i="4" s="1"/>
  <c r="ED37" i="4" s="1"/>
  <c r="EE37" i="4" s="1"/>
  <c r="EF37" i="4" s="1"/>
  <c r="EG37" i="4" s="1"/>
  <c r="EH37" i="4" s="1"/>
  <c r="EI37" i="4" s="1"/>
  <c r="EJ37" i="4" s="1"/>
  <c r="EK37" i="4" s="1"/>
  <c r="EL37" i="4" s="1"/>
  <c r="EM37" i="4" s="1"/>
  <c r="EN37" i="4" s="1"/>
  <c r="EO37" i="4" s="1"/>
  <c r="EP37" i="4" s="1"/>
  <c r="BG37" i="4"/>
  <c r="BH37" i="4" s="1"/>
  <c r="I37" i="4"/>
  <c r="J37" i="4" s="1"/>
  <c r="GQ36" i="4"/>
  <c r="GR36" i="4" s="1"/>
  <c r="GS36" i="4" s="1"/>
  <c r="GT36" i="4" s="1"/>
  <c r="GU36" i="4" s="1"/>
  <c r="GV36" i="4" s="1"/>
  <c r="GW36" i="4" s="1"/>
  <c r="GX36" i="4" s="1"/>
  <c r="GY36" i="4" s="1"/>
  <c r="GZ36" i="4" s="1"/>
  <c r="HA36" i="4" s="1"/>
  <c r="HB36" i="4" s="1"/>
  <c r="HC36" i="4" s="1"/>
  <c r="HD36" i="4" s="1"/>
  <c r="HE36" i="4" s="1"/>
  <c r="HF36" i="4" s="1"/>
  <c r="HG36" i="4" s="1"/>
  <c r="HH36" i="4" s="1"/>
  <c r="DY36" i="4"/>
  <c r="DZ36" i="4" s="1"/>
  <c r="EA36" i="4" s="1"/>
  <c r="EB36" i="4" s="1"/>
  <c r="EC36" i="4" s="1"/>
  <c r="ED36" i="4" s="1"/>
  <c r="EE36" i="4" s="1"/>
  <c r="EF36" i="4" s="1"/>
  <c r="EG36" i="4" s="1"/>
  <c r="EH36" i="4" s="1"/>
  <c r="EI36" i="4" s="1"/>
  <c r="EJ36" i="4" s="1"/>
  <c r="EK36" i="4" s="1"/>
  <c r="EL36" i="4" s="1"/>
  <c r="EM36" i="4" s="1"/>
  <c r="EN36" i="4" s="1"/>
  <c r="EO36" i="4" s="1"/>
  <c r="EP36" i="4" s="1"/>
  <c r="BG36" i="4"/>
  <c r="BH36" i="4" s="1"/>
  <c r="BI36" i="4" s="1"/>
  <c r="BJ36" i="4" s="1"/>
  <c r="BK36" i="4" s="1"/>
  <c r="BL36" i="4" s="1"/>
  <c r="BM36" i="4" s="1"/>
  <c r="BN36" i="4" s="1"/>
  <c r="BO36" i="4" s="1"/>
  <c r="BP36" i="4" s="1"/>
  <c r="BQ36" i="4" s="1"/>
  <c r="BR36" i="4" s="1"/>
  <c r="BS36" i="4" s="1"/>
  <c r="BT36" i="4" s="1"/>
  <c r="BU36" i="4" s="1"/>
  <c r="BV36" i="4" s="1"/>
  <c r="BW36" i="4" s="1"/>
  <c r="BX36" i="4" s="1"/>
  <c r="GQ35" i="4"/>
  <c r="GR35" i="4" s="1"/>
  <c r="GS35" i="4" s="1"/>
  <c r="GT35" i="4" s="1"/>
  <c r="GU35" i="4" s="1"/>
  <c r="GV35" i="4" s="1"/>
  <c r="GW35" i="4" s="1"/>
  <c r="GX35" i="4" s="1"/>
  <c r="GY35" i="4" s="1"/>
  <c r="GZ35" i="4" s="1"/>
  <c r="HA35" i="4" s="1"/>
  <c r="HB35" i="4" s="1"/>
  <c r="HC35" i="4" s="1"/>
  <c r="HD35" i="4" s="1"/>
  <c r="HE35" i="4" s="1"/>
  <c r="HF35" i="4" s="1"/>
  <c r="HG35" i="4" s="1"/>
  <c r="HH35" i="4" s="1"/>
  <c r="H35" i="4"/>
  <c r="I35" i="4" s="1"/>
  <c r="DY35" i="4"/>
  <c r="DZ35" i="4" s="1"/>
  <c r="EA35" i="4" s="1"/>
  <c r="EB35" i="4" s="1"/>
  <c r="EC35" i="4" s="1"/>
  <c r="ED35" i="4" s="1"/>
  <c r="EE35" i="4" s="1"/>
  <c r="EF35" i="4" s="1"/>
  <c r="EG35" i="4" s="1"/>
  <c r="EH35" i="4" s="1"/>
  <c r="EI35" i="4" s="1"/>
  <c r="EJ35" i="4" s="1"/>
  <c r="EK35" i="4" s="1"/>
  <c r="EL35" i="4" s="1"/>
  <c r="EM35" i="4" s="1"/>
  <c r="EN35" i="4" s="1"/>
  <c r="EO35" i="4" s="1"/>
  <c r="EP35" i="4" s="1"/>
  <c r="BG35" i="4"/>
  <c r="BH35" i="4" s="1"/>
  <c r="BI35" i="4" s="1"/>
  <c r="BJ35" i="4" s="1"/>
  <c r="BK35" i="4" s="1"/>
  <c r="BL35" i="4" s="1"/>
  <c r="BM35" i="4" s="1"/>
  <c r="BN35" i="4" s="1"/>
  <c r="BO35" i="4" s="1"/>
  <c r="BP35" i="4" s="1"/>
  <c r="BQ35" i="4" s="1"/>
  <c r="BR35" i="4" s="1"/>
  <c r="BS35" i="4" s="1"/>
  <c r="BT35" i="4" s="1"/>
  <c r="BU35" i="4" s="1"/>
  <c r="BV35" i="4" s="1"/>
  <c r="BW35" i="4" s="1"/>
  <c r="BX35" i="4" s="1"/>
  <c r="GQ34" i="4"/>
  <c r="GR34" i="4" s="1"/>
  <c r="GS34" i="4" s="1"/>
  <c r="GT34" i="4" s="1"/>
  <c r="GU34" i="4" s="1"/>
  <c r="GV34" i="4" s="1"/>
  <c r="GW34" i="4" s="1"/>
  <c r="GX34" i="4" s="1"/>
  <c r="GY34" i="4" s="1"/>
  <c r="GZ34" i="4" s="1"/>
  <c r="HA34" i="4" s="1"/>
  <c r="HB34" i="4" s="1"/>
  <c r="HC34" i="4" s="1"/>
  <c r="HD34" i="4" s="1"/>
  <c r="HE34" i="4" s="1"/>
  <c r="HF34" i="4" s="1"/>
  <c r="HG34" i="4" s="1"/>
  <c r="HH34" i="4" s="1"/>
  <c r="H34" i="4"/>
  <c r="DY34" i="4"/>
  <c r="DZ34" i="4" s="1"/>
  <c r="EA34" i="4" s="1"/>
  <c r="EB34" i="4" s="1"/>
  <c r="EC34" i="4" s="1"/>
  <c r="ED34" i="4" s="1"/>
  <c r="EE34" i="4" s="1"/>
  <c r="EF34" i="4" s="1"/>
  <c r="EG34" i="4" s="1"/>
  <c r="EH34" i="4" s="1"/>
  <c r="EI34" i="4" s="1"/>
  <c r="EJ34" i="4" s="1"/>
  <c r="EK34" i="4" s="1"/>
  <c r="EL34" i="4" s="1"/>
  <c r="EM34" i="4" s="1"/>
  <c r="EN34" i="4" s="1"/>
  <c r="EO34" i="4" s="1"/>
  <c r="EP34" i="4" s="1"/>
  <c r="BG34" i="4"/>
  <c r="BH34" i="4"/>
  <c r="BI34" i="4" s="1"/>
  <c r="BJ34" i="4" s="1"/>
  <c r="BK34" i="4" s="1"/>
  <c r="BL34" i="4" s="1"/>
  <c r="BM34" i="4" s="1"/>
  <c r="BN34" i="4" s="1"/>
  <c r="BO34" i="4" s="1"/>
  <c r="BP34" i="4" s="1"/>
  <c r="BQ34" i="4" s="1"/>
  <c r="BR34" i="4" s="1"/>
  <c r="BS34" i="4" s="1"/>
  <c r="BT34" i="4" s="1"/>
  <c r="BU34" i="4" s="1"/>
  <c r="BV34" i="4" s="1"/>
  <c r="BW34" i="4" s="1"/>
  <c r="BX34" i="4" s="1"/>
  <c r="GQ31" i="4"/>
  <c r="GR31" i="4" s="1"/>
  <c r="GS31" i="4" s="1"/>
  <c r="GT31" i="4" s="1"/>
  <c r="GU31" i="4" s="1"/>
  <c r="GV31" i="4" s="1"/>
  <c r="GW31" i="4" s="1"/>
  <c r="GX31" i="4" s="1"/>
  <c r="GY31" i="4" s="1"/>
  <c r="GZ31" i="4" s="1"/>
  <c r="HA31" i="4" s="1"/>
  <c r="HB31" i="4" s="1"/>
  <c r="HC31" i="4" s="1"/>
  <c r="HD31" i="4" s="1"/>
  <c r="HE31" i="4" s="1"/>
  <c r="HF31" i="4" s="1"/>
  <c r="HG31" i="4" s="1"/>
  <c r="HH31" i="4" s="1"/>
  <c r="H31" i="4"/>
  <c r="I31" i="4" s="1"/>
  <c r="DY31" i="4"/>
  <c r="DZ31" i="4" s="1"/>
  <c r="EA31" i="4" s="1"/>
  <c r="EB31" i="4" s="1"/>
  <c r="EC31" i="4" s="1"/>
  <c r="ED31" i="4" s="1"/>
  <c r="EE31" i="4" s="1"/>
  <c r="EF31" i="4" s="1"/>
  <c r="EG31" i="4" s="1"/>
  <c r="EH31" i="4" s="1"/>
  <c r="EI31" i="4" s="1"/>
  <c r="EJ31" i="4" s="1"/>
  <c r="EK31" i="4" s="1"/>
  <c r="EL31" i="4" s="1"/>
  <c r="EM31" i="4" s="1"/>
  <c r="EN31" i="4" s="1"/>
  <c r="EO31" i="4" s="1"/>
  <c r="EP31" i="4" s="1"/>
  <c r="BG31" i="4"/>
  <c r="BH31" i="4" s="1"/>
  <c r="BI31" i="4" s="1"/>
  <c r="BJ31" i="4" s="1"/>
  <c r="BK31" i="4" s="1"/>
  <c r="BL31" i="4" s="1"/>
  <c r="BM31" i="4" s="1"/>
  <c r="BN31" i="4" s="1"/>
  <c r="BO31" i="4" s="1"/>
  <c r="BP31" i="4" s="1"/>
  <c r="BQ31" i="4" s="1"/>
  <c r="BR31" i="4" s="1"/>
  <c r="BS31" i="4" s="1"/>
  <c r="BT31" i="4" s="1"/>
  <c r="BU31" i="4" s="1"/>
  <c r="BV31" i="4" s="1"/>
  <c r="BW31" i="4" s="1"/>
  <c r="BX31" i="4" s="1"/>
  <c r="GQ30" i="4"/>
  <c r="GR30" i="4" s="1"/>
  <c r="GS30" i="4" s="1"/>
  <c r="GT30" i="4" s="1"/>
  <c r="GU30" i="4" s="1"/>
  <c r="GV30" i="4" s="1"/>
  <c r="GW30" i="4" s="1"/>
  <c r="GX30" i="4" s="1"/>
  <c r="GY30" i="4" s="1"/>
  <c r="GZ30" i="4" s="1"/>
  <c r="HA30" i="4" s="1"/>
  <c r="HB30" i="4" s="1"/>
  <c r="HC30" i="4" s="1"/>
  <c r="HD30" i="4" s="1"/>
  <c r="HE30" i="4" s="1"/>
  <c r="HF30" i="4" s="1"/>
  <c r="HG30" i="4" s="1"/>
  <c r="HH30" i="4" s="1"/>
  <c r="BZ30" i="4"/>
  <c r="ER30" i="4" s="1"/>
  <c r="DY30" i="4"/>
  <c r="DZ30" i="4" s="1"/>
  <c r="EA30" i="4" s="1"/>
  <c r="EB30" i="4" s="1"/>
  <c r="EC30" i="4" s="1"/>
  <c r="ED30" i="4" s="1"/>
  <c r="EE30" i="4" s="1"/>
  <c r="EF30" i="4" s="1"/>
  <c r="EG30" i="4" s="1"/>
  <c r="EH30" i="4" s="1"/>
  <c r="EI30" i="4" s="1"/>
  <c r="EJ30" i="4" s="1"/>
  <c r="EK30" i="4" s="1"/>
  <c r="EL30" i="4" s="1"/>
  <c r="EM30" i="4" s="1"/>
  <c r="EN30" i="4" s="1"/>
  <c r="EO30" i="4" s="1"/>
  <c r="EP30" i="4" s="1"/>
  <c r="GQ29" i="4"/>
  <c r="GR29" i="4" s="1"/>
  <c r="GS29" i="4" s="1"/>
  <c r="GT29" i="4" s="1"/>
  <c r="GU29" i="4" s="1"/>
  <c r="GV29" i="4" s="1"/>
  <c r="GW29" i="4" s="1"/>
  <c r="GX29" i="4" s="1"/>
  <c r="GY29" i="4" s="1"/>
  <c r="GZ29" i="4" s="1"/>
  <c r="HA29" i="4" s="1"/>
  <c r="HB29" i="4" s="1"/>
  <c r="HC29" i="4" s="1"/>
  <c r="HD29" i="4" s="1"/>
  <c r="HE29" i="4" s="1"/>
  <c r="HF29" i="4" s="1"/>
  <c r="HG29" i="4" s="1"/>
  <c r="HH29" i="4" s="1"/>
  <c r="BZ29" i="4"/>
  <c r="ER29" i="4" s="1"/>
  <c r="DY29" i="4"/>
  <c r="DZ29" i="4" s="1"/>
  <c r="EA29" i="4" s="1"/>
  <c r="EB29" i="4" s="1"/>
  <c r="EC29" i="4" s="1"/>
  <c r="ED29" i="4" s="1"/>
  <c r="EE29" i="4" s="1"/>
  <c r="EF29" i="4" s="1"/>
  <c r="EG29" i="4" s="1"/>
  <c r="EH29" i="4" s="1"/>
  <c r="EI29" i="4" s="1"/>
  <c r="EJ29" i="4" s="1"/>
  <c r="EK29" i="4" s="1"/>
  <c r="EL29" i="4" s="1"/>
  <c r="EM29" i="4" s="1"/>
  <c r="EN29" i="4" s="1"/>
  <c r="EO29" i="4" s="1"/>
  <c r="EP29" i="4" s="1"/>
  <c r="GQ28" i="4"/>
  <c r="GR28" i="4" s="1"/>
  <c r="GS28" i="4" s="1"/>
  <c r="GT28" i="4" s="1"/>
  <c r="GU28" i="4" s="1"/>
  <c r="GV28" i="4" s="1"/>
  <c r="GW28" i="4" s="1"/>
  <c r="GX28" i="4" s="1"/>
  <c r="GY28" i="4" s="1"/>
  <c r="GZ28" i="4" s="1"/>
  <c r="HA28" i="4" s="1"/>
  <c r="HB28" i="4" s="1"/>
  <c r="HC28" i="4" s="1"/>
  <c r="HD28" i="4" s="1"/>
  <c r="HE28" i="4" s="1"/>
  <c r="HF28" i="4" s="1"/>
  <c r="HG28" i="4" s="1"/>
  <c r="HH28" i="4" s="1"/>
  <c r="H18" i="4"/>
  <c r="I18" i="4" s="1"/>
  <c r="H19" i="4"/>
  <c r="H20" i="4"/>
  <c r="H24" i="4"/>
  <c r="H26" i="4"/>
  <c r="BZ26" i="4" s="1"/>
  <c r="DY28" i="4"/>
  <c r="DZ28" i="4" s="1"/>
  <c r="EA28" i="4" s="1"/>
  <c r="EB28" i="4" s="1"/>
  <c r="EC28" i="4" s="1"/>
  <c r="ED28" i="4" s="1"/>
  <c r="EE28" i="4" s="1"/>
  <c r="EF28" i="4" s="1"/>
  <c r="EG28" i="4" s="1"/>
  <c r="EH28" i="4" s="1"/>
  <c r="EI28" i="4" s="1"/>
  <c r="EJ28" i="4" s="1"/>
  <c r="EK28" i="4" s="1"/>
  <c r="EL28" i="4" s="1"/>
  <c r="EM28" i="4" s="1"/>
  <c r="EN28" i="4" s="1"/>
  <c r="EO28" i="4" s="1"/>
  <c r="EP28" i="4" s="1"/>
  <c r="BG28" i="4"/>
  <c r="BH28" i="4" s="1"/>
  <c r="BI28" i="4" s="1"/>
  <c r="BJ28" i="4" s="1"/>
  <c r="BK28" i="4" s="1"/>
  <c r="BL28" i="4" s="1"/>
  <c r="BM28" i="4" s="1"/>
  <c r="BN28" i="4" s="1"/>
  <c r="BO28" i="4" s="1"/>
  <c r="BP28" i="4" s="1"/>
  <c r="BQ28" i="4" s="1"/>
  <c r="BR28" i="4" s="1"/>
  <c r="BS28" i="4" s="1"/>
  <c r="BT28" i="4" s="1"/>
  <c r="BU28" i="4" s="1"/>
  <c r="BV28" i="4" s="1"/>
  <c r="BW28" i="4" s="1"/>
  <c r="BX28" i="4" s="1"/>
  <c r="GQ27" i="4"/>
  <c r="GR27" i="4" s="1"/>
  <c r="GS27" i="4" s="1"/>
  <c r="GT27" i="4" s="1"/>
  <c r="GU27" i="4" s="1"/>
  <c r="GV27" i="4" s="1"/>
  <c r="GW27" i="4" s="1"/>
  <c r="GX27" i="4" s="1"/>
  <c r="GY27" i="4" s="1"/>
  <c r="GZ27" i="4" s="1"/>
  <c r="HA27" i="4" s="1"/>
  <c r="HB27" i="4" s="1"/>
  <c r="HC27" i="4" s="1"/>
  <c r="HD27" i="4" s="1"/>
  <c r="HE27" i="4" s="1"/>
  <c r="HF27" i="4" s="1"/>
  <c r="HG27" i="4" s="1"/>
  <c r="HH27" i="4" s="1"/>
  <c r="DY27" i="4"/>
  <c r="DZ27" i="4" s="1"/>
  <c r="EA27" i="4" s="1"/>
  <c r="EB27" i="4" s="1"/>
  <c r="EC27" i="4" s="1"/>
  <c r="ED27" i="4" s="1"/>
  <c r="EE27" i="4" s="1"/>
  <c r="EF27" i="4" s="1"/>
  <c r="EG27" i="4" s="1"/>
  <c r="EH27" i="4" s="1"/>
  <c r="EI27" i="4" s="1"/>
  <c r="EJ27" i="4" s="1"/>
  <c r="EK27" i="4" s="1"/>
  <c r="EL27" i="4" s="1"/>
  <c r="EM27" i="4" s="1"/>
  <c r="EN27" i="4" s="1"/>
  <c r="EO27" i="4" s="1"/>
  <c r="EP27" i="4" s="1"/>
  <c r="BG27" i="4"/>
  <c r="BH27" i="4" s="1"/>
  <c r="BI27" i="4" s="1"/>
  <c r="BJ27" i="4" s="1"/>
  <c r="BK27" i="4" s="1"/>
  <c r="BL27" i="4" s="1"/>
  <c r="BM27" i="4" s="1"/>
  <c r="BN27" i="4" s="1"/>
  <c r="BO27" i="4" s="1"/>
  <c r="BP27" i="4" s="1"/>
  <c r="BQ27" i="4" s="1"/>
  <c r="BR27" i="4" s="1"/>
  <c r="BS27" i="4" s="1"/>
  <c r="BT27" i="4" s="1"/>
  <c r="BU27" i="4" s="1"/>
  <c r="BV27" i="4" s="1"/>
  <c r="BW27" i="4" s="1"/>
  <c r="BX27" i="4" s="1"/>
  <c r="GQ26" i="4"/>
  <c r="GR26" i="4" s="1"/>
  <c r="GS26" i="4" s="1"/>
  <c r="GT26" i="4" s="1"/>
  <c r="GU26" i="4" s="1"/>
  <c r="GV26" i="4" s="1"/>
  <c r="GW26" i="4" s="1"/>
  <c r="GX26" i="4" s="1"/>
  <c r="GY26" i="4" s="1"/>
  <c r="GZ26" i="4" s="1"/>
  <c r="HA26" i="4" s="1"/>
  <c r="HB26" i="4" s="1"/>
  <c r="HC26" i="4" s="1"/>
  <c r="HD26" i="4" s="1"/>
  <c r="HE26" i="4" s="1"/>
  <c r="HF26" i="4" s="1"/>
  <c r="HG26" i="4" s="1"/>
  <c r="HH26" i="4" s="1"/>
  <c r="DY26" i="4"/>
  <c r="DZ26" i="4" s="1"/>
  <c r="EA26" i="4" s="1"/>
  <c r="EB26" i="4" s="1"/>
  <c r="EC26" i="4" s="1"/>
  <c r="ED26" i="4" s="1"/>
  <c r="EE26" i="4" s="1"/>
  <c r="EF26" i="4" s="1"/>
  <c r="EG26" i="4" s="1"/>
  <c r="EH26" i="4" s="1"/>
  <c r="EI26" i="4" s="1"/>
  <c r="EJ26" i="4" s="1"/>
  <c r="EK26" i="4" s="1"/>
  <c r="EL26" i="4" s="1"/>
  <c r="EM26" i="4" s="1"/>
  <c r="EN26" i="4" s="1"/>
  <c r="EO26" i="4" s="1"/>
  <c r="EP26" i="4" s="1"/>
  <c r="BG26" i="4"/>
  <c r="BH26" i="4" s="1"/>
  <c r="BI26" i="4" s="1"/>
  <c r="BJ26" i="4" s="1"/>
  <c r="BK26" i="4" s="1"/>
  <c r="BL26" i="4" s="1"/>
  <c r="BM26" i="4" s="1"/>
  <c r="BN26" i="4" s="1"/>
  <c r="BO26" i="4" s="1"/>
  <c r="BP26" i="4" s="1"/>
  <c r="BQ26" i="4" s="1"/>
  <c r="BR26" i="4" s="1"/>
  <c r="BS26" i="4" s="1"/>
  <c r="BT26" i="4" s="1"/>
  <c r="BU26" i="4" s="1"/>
  <c r="BV26" i="4" s="1"/>
  <c r="BW26" i="4" s="1"/>
  <c r="BX26" i="4" s="1"/>
  <c r="GQ25" i="4"/>
  <c r="GR25" i="4" s="1"/>
  <c r="GS25" i="4" s="1"/>
  <c r="GT25" i="4" s="1"/>
  <c r="GU25" i="4" s="1"/>
  <c r="GV25" i="4" s="1"/>
  <c r="GW25" i="4" s="1"/>
  <c r="GX25" i="4" s="1"/>
  <c r="GY25" i="4" s="1"/>
  <c r="GZ25" i="4" s="1"/>
  <c r="HA25" i="4" s="1"/>
  <c r="HB25" i="4" s="1"/>
  <c r="HC25" i="4" s="1"/>
  <c r="HD25" i="4" s="1"/>
  <c r="HE25" i="4" s="1"/>
  <c r="HF25" i="4" s="1"/>
  <c r="HG25" i="4" s="1"/>
  <c r="HH25" i="4" s="1"/>
  <c r="DY25" i="4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EM25" i="4" s="1"/>
  <c r="EN25" i="4" s="1"/>
  <c r="EO25" i="4" s="1"/>
  <c r="EP25" i="4" s="1"/>
  <c r="BG25" i="4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GQ24" i="4"/>
  <c r="GR24" i="4" s="1"/>
  <c r="GS24" i="4" s="1"/>
  <c r="GT24" i="4" s="1"/>
  <c r="GU24" i="4" s="1"/>
  <c r="GV24" i="4" s="1"/>
  <c r="GW24" i="4" s="1"/>
  <c r="GX24" i="4" s="1"/>
  <c r="GY24" i="4" s="1"/>
  <c r="GZ24" i="4" s="1"/>
  <c r="HA24" i="4" s="1"/>
  <c r="HB24" i="4" s="1"/>
  <c r="HC24" i="4" s="1"/>
  <c r="HD24" i="4" s="1"/>
  <c r="HE24" i="4" s="1"/>
  <c r="HF24" i="4" s="1"/>
  <c r="HG24" i="4" s="1"/>
  <c r="HH24" i="4" s="1"/>
  <c r="DY24" i="4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EM24" i="4" s="1"/>
  <c r="EN24" i="4" s="1"/>
  <c r="EO24" i="4" s="1"/>
  <c r="EP24" i="4" s="1"/>
  <c r="BG24" i="4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GQ23" i="4"/>
  <c r="GR23" i="4" s="1"/>
  <c r="GS23" i="4" s="1"/>
  <c r="GT23" i="4" s="1"/>
  <c r="GU23" i="4" s="1"/>
  <c r="GV23" i="4" s="1"/>
  <c r="GW23" i="4" s="1"/>
  <c r="GX23" i="4" s="1"/>
  <c r="GY23" i="4" s="1"/>
  <c r="GZ23" i="4" s="1"/>
  <c r="HA23" i="4" s="1"/>
  <c r="HB23" i="4" s="1"/>
  <c r="HC23" i="4" s="1"/>
  <c r="HD23" i="4" s="1"/>
  <c r="HE23" i="4" s="1"/>
  <c r="HF23" i="4" s="1"/>
  <c r="HG23" i="4" s="1"/>
  <c r="HH23" i="4" s="1"/>
  <c r="DY23" i="4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EM23" i="4" s="1"/>
  <c r="EN23" i="4" s="1"/>
  <c r="EO23" i="4" s="1"/>
  <c r="EP23" i="4" s="1"/>
  <c r="BG23" i="4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GQ22" i="4"/>
  <c r="GR22" i="4" s="1"/>
  <c r="GS22" i="4" s="1"/>
  <c r="GT22" i="4" s="1"/>
  <c r="GU22" i="4" s="1"/>
  <c r="GV22" i="4" s="1"/>
  <c r="GW22" i="4" s="1"/>
  <c r="GX22" i="4" s="1"/>
  <c r="GY22" i="4" s="1"/>
  <c r="GZ22" i="4" s="1"/>
  <c r="HA22" i="4" s="1"/>
  <c r="HB22" i="4" s="1"/>
  <c r="HC22" i="4" s="1"/>
  <c r="HD22" i="4" s="1"/>
  <c r="HE22" i="4" s="1"/>
  <c r="HF22" i="4" s="1"/>
  <c r="HG22" i="4" s="1"/>
  <c r="HH22" i="4" s="1"/>
  <c r="DY22" i="4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EM22" i="4" s="1"/>
  <c r="EN22" i="4" s="1"/>
  <c r="EO22" i="4" s="1"/>
  <c r="EP22" i="4" s="1"/>
  <c r="BG22" i="4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GQ21" i="4"/>
  <c r="GR21" i="4" s="1"/>
  <c r="GS21" i="4" s="1"/>
  <c r="GT21" i="4" s="1"/>
  <c r="GU21" i="4" s="1"/>
  <c r="GV21" i="4" s="1"/>
  <c r="GW21" i="4" s="1"/>
  <c r="GX21" i="4" s="1"/>
  <c r="GY21" i="4" s="1"/>
  <c r="GZ21" i="4" s="1"/>
  <c r="HA21" i="4" s="1"/>
  <c r="HB21" i="4" s="1"/>
  <c r="HC21" i="4" s="1"/>
  <c r="HD21" i="4" s="1"/>
  <c r="HE21" i="4" s="1"/>
  <c r="HF21" i="4" s="1"/>
  <c r="HG21" i="4" s="1"/>
  <c r="HH21" i="4" s="1"/>
  <c r="DY21" i="4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EM21" i="4" s="1"/>
  <c r="EN21" i="4" s="1"/>
  <c r="EO21" i="4" s="1"/>
  <c r="EP21" i="4" s="1"/>
  <c r="BG21" i="4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GQ20" i="4"/>
  <c r="GR20" i="4" s="1"/>
  <c r="GS20" i="4" s="1"/>
  <c r="GT20" i="4" s="1"/>
  <c r="GU20" i="4" s="1"/>
  <c r="GV20" i="4" s="1"/>
  <c r="GW20" i="4" s="1"/>
  <c r="GX20" i="4" s="1"/>
  <c r="GY20" i="4" s="1"/>
  <c r="GZ20" i="4" s="1"/>
  <c r="HA20" i="4" s="1"/>
  <c r="HB20" i="4" s="1"/>
  <c r="HC20" i="4" s="1"/>
  <c r="HD20" i="4" s="1"/>
  <c r="HE20" i="4" s="1"/>
  <c r="HF20" i="4" s="1"/>
  <c r="HG20" i="4" s="1"/>
  <c r="HH20" i="4" s="1"/>
  <c r="DY20" i="4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EM20" i="4" s="1"/>
  <c r="EN20" i="4" s="1"/>
  <c r="EO20" i="4" s="1"/>
  <c r="EP20" i="4" s="1"/>
  <c r="BG20" i="4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GQ19" i="4"/>
  <c r="GR19" i="4" s="1"/>
  <c r="GS19" i="4" s="1"/>
  <c r="GT19" i="4" s="1"/>
  <c r="GU19" i="4" s="1"/>
  <c r="GV19" i="4" s="1"/>
  <c r="GW19" i="4" s="1"/>
  <c r="GX19" i="4" s="1"/>
  <c r="GY19" i="4" s="1"/>
  <c r="GZ19" i="4" s="1"/>
  <c r="HA19" i="4" s="1"/>
  <c r="HB19" i="4" s="1"/>
  <c r="HC19" i="4" s="1"/>
  <c r="HD19" i="4" s="1"/>
  <c r="HE19" i="4" s="1"/>
  <c r="HF19" i="4" s="1"/>
  <c r="HG19" i="4" s="1"/>
  <c r="HH19" i="4" s="1"/>
  <c r="DY19" i="4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EM19" i="4" s="1"/>
  <c r="EN19" i="4" s="1"/>
  <c r="EO19" i="4" s="1"/>
  <c r="EP19" i="4" s="1"/>
  <c r="BG19" i="4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GQ18" i="4"/>
  <c r="GR18" i="4" s="1"/>
  <c r="GS18" i="4" s="1"/>
  <c r="GT18" i="4" s="1"/>
  <c r="GU18" i="4" s="1"/>
  <c r="GV18" i="4" s="1"/>
  <c r="GW18" i="4" s="1"/>
  <c r="GX18" i="4" s="1"/>
  <c r="GY18" i="4" s="1"/>
  <c r="GZ18" i="4" s="1"/>
  <c r="HA18" i="4" s="1"/>
  <c r="HB18" i="4" s="1"/>
  <c r="HC18" i="4" s="1"/>
  <c r="HD18" i="4" s="1"/>
  <c r="HE18" i="4" s="1"/>
  <c r="HF18" i="4" s="1"/>
  <c r="HG18" i="4" s="1"/>
  <c r="HH18" i="4" s="1"/>
  <c r="DY18" i="4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EM18" i="4" s="1"/>
  <c r="EN18" i="4" s="1"/>
  <c r="EO18" i="4" s="1"/>
  <c r="EP18" i="4" s="1"/>
  <c r="BG18" i="4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O31" i="1"/>
  <c r="M31" i="1"/>
  <c r="U53" i="4"/>
  <c r="V53" i="4" s="1"/>
  <c r="O130" i="4"/>
  <c r="P130" i="4" s="1"/>
  <c r="AK130" i="4"/>
  <c r="AL130" i="4" s="1"/>
  <c r="AM130" i="4"/>
  <c r="AN130" i="4" s="1"/>
  <c r="K130" i="4"/>
  <c r="L130" i="4" s="1"/>
  <c r="I24" i="4"/>
  <c r="BZ24" i="4"/>
  <c r="BZ20" i="4"/>
  <c r="I20" i="4"/>
  <c r="CA38" i="4"/>
  <c r="BZ31" i="4"/>
  <c r="I26" i="4"/>
  <c r="BZ18" i="4"/>
  <c r="GG44" i="4"/>
  <c r="GH44" i="4" s="1"/>
  <c r="GC44" i="4"/>
  <c r="GD44" i="4"/>
  <c r="FY44" i="4"/>
  <c r="FZ44" i="4" s="1"/>
  <c r="FU44" i="4"/>
  <c r="FV44" i="4"/>
  <c r="FQ44" i="4"/>
  <c r="FR44" i="4" s="1"/>
  <c r="FM44" i="4"/>
  <c r="FN44" i="4"/>
  <c r="FI44" i="4"/>
  <c r="FJ44" i="4" s="1"/>
  <c r="FE44" i="4"/>
  <c r="FF44" i="4"/>
  <c r="FA44" i="4"/>
  <c r="FB44" i="4" s="1"/>
  <c r="EW44" i="4"/>
  <c r="EX44" i="4"/>
  <c r="ET44" i="4"/>
  <c r="GI44" i="4"/>
  <c r="GJ44" i="4" s="1"/>
  <c r="GE44" i="4"/>
  <c r="GF44" i="4" s="1"/>
  <c r="GA44" i="4"/>
  <c r="GB44" i="4" s="1"/>
  <c r="FW44" i="4"/>
  <c r="FX44" i="4" s="1"/>
  <c r="FS44" i="4"/>
  <c r="FT44" i="4" s="1"/>
  <c r="FO44" i="4"/>
  <c r="FP44" i="4" s="1"/>
  <c r="FK44" i="4"/>
  <c r="FL44" i="4" s="1"/>
  <c r="FG44" i="4"/>
  <c r="FH44" i="4" s="1"/>
  <c r="FC44" i="4"/>
  <c r="FD44" i="4" s="1"/>
  <c r="EY44" i="4"/>
  <c r="EZ44" i="4" s="1"/>
  <c r="EU44" i="4"/>
  <c r="EV44" i="4" s="1"/>
  <c r="AY49" i="4"/>
  <c r="AZ49" i="4" s="1"/>
  <c r="AU49" i="4"/>
  <c r="AV49" i="4" s="1"/>
  <c r="AQ49" i="4"/>
  <c r="AR49" i="4" s="1"/>
  <c r="AM49" i="4"/>
  <c r="AN49" i="4" s="1"/>
  <c r="AI49" i="4"/>
  <c r="AJ49" i="4" s="1"/>
  <c r="AE49" i="4"/>
  <c r="AF49" i="4" s="1"/>
  <c r="AA49" i="4"/>
  <c r="AB49" i="4" s="1"/>
  <c r="W49" i="4"/>
  <c r="X49" i="4" s="1"/>
  <c r="S49" i="4"/>
  <c r="T49" i="4" s="1"/>
  <c r="O49" i="4"/>
  <c r="P49" i="4" s="1"/>
  <c r="K49" i="4"/>
  <c r="L49" i="4" s="1"/>
  <c r="AY53" i="4"/>
  <c r="AZ53" i="4" s="1"/>
  <c r="AI53" i="4"/>
  <c r="AJ53" i="4" s="1"/>
  <c r="S53" i="4"/>
  <c r="T53" i="4" s="1"/>
  <c r="S38" i="4"/>
  <c r="T38" i="4" s="1"/>
  <c r="BZ39" i="4"/>
  <c r="J41" i="4"/>
  <c r="Q41" i="4"/>
  <c r="R41" i="4" s="1"/>
  <c r="S45" i="4"/>
  <c r="T45" i="4" s="1"/>
  <c r="O45" i="4"/>
  <c r="P45" i="4" s="1"/>
  <c r="K45" i="4"/>
  <c r="L45" i="4" s="1"/>
  <c r="U49" i="4"/>
  <c r="V49" i="4" s="1"/>
  <c r="AK49" i="4"/>
  <c r="AL49" i="4"/>
  <c r="M37" i="4"/>
  <c r="N37" i="4" s="1"/>
  <c r="U38" i="4"/>
  <c r="V38" i="4" s="1"/>
  <c r="Q38" i="4"/>
  <c r="R38" i="4" s="1"/>
  <c r="M38" i="4"/>
  <c r="N38" i="4" s="1"/>
  <c r="J38" i="4"/>
  <c r="CA44" i="4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AW46" i="4"/>
  <c r="AX46" i="4" s="1"/>
  <c r="AS46" i="4"/>
  <c r="AT46" i="4" s="1"/>
  <c r="AO46" i="4"/>
  <c r="AP46" i="4" s="1"/>
  <c r="AK46" i="4"/>
  <c r="AL46" i="4" s="1"/>
  <c r="AG46" i="4"/>
  <c r="AH46" i="4" s="1"/>
  <c r="AC46" i="4"/>
  <c r="AD46" i="4" s="1"/>
  <c r="Y46" i="4"/>
  <c r="Z46" i="4" s="1"/>
  <c r="U46" i="4"/>
  <c r="V46" i="4" s="1"/>
  <c r="Q46" i="4"/>
  <c r="R46" i="4" s="1"/>
  <c r="M46" i="4"/>
  <c r="N46" i="4" s="1"/>
  <c r="J46" i="4"/>
  <c r="J49" i="4"/>
  <c r="Y49" i="4"/>
  <c r="Z49" i="4" s="1"/>
  <c r="AO49" i="4"/>
  <c r="AP49" i="4" s="1"/>
  <c r="BZ51" i="4"/>
  <c r="I51" i="4"/>
  <c r="FY52" i="4"/>
  <c r="FZ52" i="4" s="1"/>
  <c r="ET52" i="4"/>
  <c r="M53" i="4"/>
  <c r="N53" i="4" s="1"/>
  <c r="AC53" i="4"/>
  <c r="AD53" i="4"/>
  <c r="AS53" i="4"/>
  <c r="AT53" i="4" s="1"/>
  <c r="AW52" i="4"/>
  <c r="AX52" i="4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/>
  <c r="U52" i="4"/>
  <c r="V52" i="4" s="1"/>
  <c r="Q52" i="4"/>
  <c r="R52" i="4" s="1"/>
  <c r="M52" i="4"/>
  <c r="N52" i="4" s="1"/>
  <c r="J52" i="4"/>
  <c r="AY52" i="4"/>
  <c r="AZ52" i="4" s="1"/>
  <c r="AU52" i="4"/>
  <c r="AV52" i="4" s="1"/>
  <c r="AQ52" i="4"/>
  <c r="AR52" i="4" s="1"/>
  <c r="AM52" i="4"/>
  <c r="AN52" i="4" s="1"/>
  <c r="AI52" i="4"/>
  <c r="AJ52" i="4" s="1"/>
  <c r="AE52" i="4"/>
  <c r="AF52" i="4" s="1"/>
  <c r="AA52" i="4"/>
  <c r="AB52" i="4" s="1"/>
  <c r="W52" i="4"/>
  <c r="X52" i="4" s="1"/>
  <c r="S52" i="4"/>
  <c r="T52" i="4" s="1"/>
  <c r="O52" i="4"/>
  <c r="P52" i="4" s="1"/>
  <c r="K52" i="4"/>
  <c r="L52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E44" i="4"/>
  <c r="AF44" i="4" s="1"/>
  <c r="AA44" i="4"/>
  <c r="AB44" i="4" s="1"/>
  <c r="W44" i="4"/>
  <c r="X44" i="4" s="1"/>
  <c r="S44" i="4"/>
  <c r="T44" i="4" s="1"/>
  <c r="O44" i="4"/>
  <c r="P44" i="4" s="1"/>
  <c r="K44" i="4"/>
  <c r="L44" i="4" s="1"/>
  <c r="I58" i="4"/>
  <c r="I59" i="4"/>
  <c r="BZ59" i="4"/>
  <c r="BZ69" i="4"/>
  <c r="I69" i="4"/>
  <c r="AY72" i="4"/>
  <c r="AZ72" i="4" s="1"/>
  <c r="AU72" i="4"/>
  <c r="AV72" i="4" s="1"/>
  <c r="AQ72" i="4"/>
  <c r="AR72" i="4" s="1"/>
  <c r="AM72" i="4"/>
  <c r="AN72" i="4" s="1"/>
  <c r="AI72" i="4"/>
  <c r="AJ72" i="4" s="1"/>
  <c r="AE72" i="4"/>
  <c r="AF72" i="4" s="1"/>
  <c r="AA72" i="4"/>
  <c r="AB72" i="4" s="1"/>
  <c r="W72" i="4"/>
  <c r="X72" i="4" s="1"/>
  <c r="S72" i="4"/>
  <c r="T72" i="4" s="1"/>
  <c r="O72" i="4"/>
  <c r="P72" i="4" s="1"/>
  <c r="K72" i="4"/>
  <c r="L72" i="4" s="1"/>
  <c r="AW72" i="4"/>
  <c r="AX72" i="4" s="1"/>
  <c r="AS72" i="4"/>
  <c r="AT72" i="4" s="1"/>
  <c r="AO72" i="4"/>
  <c r="AP72" i="4" s="1"/>
  <c r="AK72" i="4"/>
  <c r="AL72" i="4" s="1"/>
  <c r="AG72" i="4"/>
  <c r="AH72" i="4" s="1"/>
  <c r="AC72" i="4"/>
  <c r="AD72" i="4"/>
  <c r="Y72" i="4"/>
  <c r="Z72" i="4" s="1"/>
  <c r="U72" i="4"/>
  <c r="V72" i="4"/>
  <c r="Q72" i="4"/>
  <c r="R72" i="4" s="1"/>
  <c r="M72" i="4"/>
  <c r="N72" i="4"/>
  <c r="J72" i="4"/>
  <c r="BZ43" i="4"/>
  <c r="I43" i="4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BZ47" i="4"/>
  <c r="I47" i="4"/>
  <c r="M49" i="4"/>
  <c r="N49" i="4" s="1"/>
  <c r="AC49" i="4"/>
  <c r="AD49" i="4" s="1"/>
  <c r="AS49" i="4"/>
  <c r="AT49" i="4" s="1"/>
  <c r="Q53" i="4"/>
  <c r="R53" i="4" s="1"/>
  <c r="AG53" i="4"/>
  <c r="AH53" i="4" s="1"/>
  <c r="AW53" i="4"/>
  <c r="AX53" i="4" s="1"/>
  <c r="ER58" i="4"/>
  <c r="ES58" i="4" s="1"/>
  <c r="CA58" i="4"/>
  <c r="BZ60" i="4"/>
  <c r="I60" i="4"/>
  <c r="BZ41" i="4"/>
  <c r="BZ45" i="4"/>
  <c r="BZ49" i="4"/>
  <c r="BZ53" i="4"/>
  <c r="H54" i="4"/>
  <c r="I63" i="4"/>
  <c r="BZ63" i="4"/>
  <c r="AY64" i="4"/>
  <c r="AZ64" i="4" s="1"/>
  <c r="AU64" i="4"/>
  <c r="AV64" i="4" s="1"/>
  <c r="AQ64" i="4"/>
  <c r="AR64" i="4" s="1"/>
  <c r="AM64" i="4"/>
  <c r="AN64" i="4" s="1"/>
  <c r="AI64" i="4"/>
  <c r="AJ64" i="4" s="1"/>
  <c r="AE64" i="4"/>
  <c r="AF64" i="4" s="1"/>
  <c r="AA64" i="4"/>
  <c r="AB64" i="4" s="1"/>
  <c r="W64" i="4"/>
  <c r="X64" i="4" s="1"/>
  <c r="S64" i="4"/>
  <c r="T64" i="4" s="1"/>
  <c r="O64" i="4"/>
  <c r="P64" i="4" s="1"/>
  <c r="K64" i="4"/>
  <c r="L64" i="4" s="1"/>
  <c r="AW64" i="4"/>
  <c r="AX64" i="4" s="1"/>
  <c r="AS64" i="4"/>
  <c r="AT64" i="4" s="1"/>
  <c r="AO64" i="4"/>
  <c r="AP64" i="4" s="1"/>
  <c r="AK64" i="4"/>
  <c r="AL64" i="4" s="1"/>
  <c r="AG64" i="4"/>
  <c r="AH64" i="4" s="1"/>
  <c r="AC64" i="4"/>
  <c r="AD64" i="4" s="1"/>
  <c r="Y64" i="4"/>
  <c r="Z64" i="4" s="1"/>
  <c r="U64" i="4"/>
  <c r="V64" i="4" s="1"/>
  <c r="Q64" i="4"/>
  <c r="R64" i="4" s="1"/>
  <c r="M64" i="4"/>
  <c r="N64" i="4" s="1"/>
  <c r="J64" i="4"/>
  <c r="M67" i="4"/>
  <c r="N67" i="4" s="1"/>
  <c r="J71" i="4"/>
  <c r="Y71" i="4"/>
  <c r="Z71" i="4"/>
  <c r="I73" i="4"/>
  <c r="BZ96" i="4"/>
  <c r="I96" i="4"/>
  <c r="BZ105" i="4"/>
  <c r="I105" i="4"/>
  <c r="W67" i="4"/>
  <c r="X67" i="4" s="1"/>
  <c r="S67" i="4"/>
  <c r="T67" i="4" s="1"/>
  <c r="O67" i="4"/>
  <c r="P67" i="4" s="1"/>
  <c r="K67" i="4"/>
  <c r="L67" i="4" s="1"/>
  <c r="AW77" i="4"/>
  <c r="AX77" i="4"/>
  <c r="AS77" i="4"/>
  <c r="AT77" i="4" s="1"/>
  <c r="AO77" i="4"/>
  <c r="AP77" i="4"/>
  <c r="AK77" i="4"/>
  <c r="AL77" i="4" s="1"/>
  <c r="AG77" i="4"/>
  <c r="AH77" i="4"/>
  <c r="AC77" i="4"/>
  <c r="AD77" i="4" s="1"/>
  <c r="Y77" i="4"/>
  <c r="Z77" i="4"/>
  <c r="U77" i="4"/>
  <c r="V77" i="4" s="1"/>
  <c r="Q77" i="4"/>
  <c r="R77" i="4"/>
  <c r="M77" i="4"/>
  <c r="N77" i="4" s="1"/>
  <c r="J77" i="4"/>
  <c r="AY77" i="4"/>
  <c r="AZ77" i="4" s="1"/>
  <c r="AI77" i="4"/>
  <c r="AJ77" i="4" s="1"/>
  <c r="S77" i="4"/>
  <c r="T77" i="4" s="1"/>
  <c r="AM77" i="4"/>
  <c r="AN77" i="4" s="1"/>
  <c r="W77" i="4"/>
  <c r="X77" i="4" s="1"/>
  <c r="AQ77" i="4"/>
  <c r="AR77" i="4"/>
  <c r="AA77" i="4"/>
  <c r="AB77" i="4" s="1"/>
  <c r="K77" i="4"/>
  <c r="L77" i="4" s="1"/>
  <c r="I78" i="4"/>
  <c r="BZ78" i="4"/>
  <c r="BZ82" i="4"/>
  <c r="I82" i="4"/>
  <c r="BZ65" i="4"/>
  <c r="I65" i="4"/>
  <c r="U67" i="4"/>
  <c r="V67" i="4" s="1"/>
  <c r="AY71" i="4"/>
  <c r="AZ71" i="4" s="1"/>
  <c r="AU71" i="4"/>
  <c r="AV71" i="4" s="1"/>
  <c r="AQ71" i="4"/>
  <c r="AR71" i="4"/>
  <c r="AM71" i="4"/>
  <c r="AN71" i="4" s="1"/>
  <c r="AI71" i="4"/>
  <c r="AJ71" i="4" s="1"/>
  <c r="AE71" i="4"/>
  <c r="AF71" i="4" s="1"/>
  <c r="AA71" i="4"/>
  <c r="AB71" i="4"/>
  <c r="W71" i="4"/>
  <c r="X71" i="4" s="1"/>
  <c r="S71" i="4"/>
  <c r="T71" i="4" s="1"/>
  <c r="O71" i="4"/>
  <c r="P71" i="4" s="1"/>
  <c r="K71" i="4"/>
  <c r="L71" i="4" s="1"/>
  <c r="O77" i="4"/>
  <c r="P77" i="4" s="1"/>
  <c r="ER77" i="4"/>
  <c r="ES77" i="4" s="1"/>
  <c r="CA77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AU84" i="4"/>
  <c r="AV84" i="4" s="1"/>
  <c r="AQ84" i="4"/>
  <c r="AR84" i="4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S84" i="4"/>
  <c r="AT84" i="4" s="1"/>
  <c r="AC84" i="4"/>
  <c r="AD84" i="4"/>
  <c r="M84" i="4"/>
  <c r="N84" i="4" s="1"/>
  <c r="AO84" i="4"/>
  <c r="AP84" i="4" s="1"/>
  <c r="Y84" i="4"/>
  <c r="Z84" i="4" s="1"/>
  <c r="J84" i="4"/>
  <c r="AK84" i="4"/>
  <c r="AL84" i="4" s="1"/>
  <c r="U84" i="4"/>
  <c r="V84" i="4"/>
  <c r="BZ67" i="4"/>
  <c r="BZ71" i="4"/>
  <c r="Q79" i="4"/>
  <c r="R79" i="4" s="1"/>
  <c r="CA81" i="4"/>
  <c r="AY85" i="4"/>
  <c r="AZ85" i="4" s="1"/>
  <c r="AU85" i="4"/>
  <c r="AV85" i="4" s="1"/>
  <c r="AQ85" i="4"/>
  <c r="AR85" i="4" s="1"/>
  <c r="AM85" i="4"/>
  <c r="AN85" i="4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/>
  <c r="K85" i="4"/>
  <c r="L85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/>
  <c r="M85" i="4"/>
  <c r="N85" i="4" s="1"/>
  <c r="J85" i="4"/>
  <c r="J88" i="4"/>
  <c r="AW87" i="4"/>
  <c r="AX87" i="4" s="1"/>
  <c r="AS87" i="4"/>
  <c r="AT87" i="4" s="1"/>
  <c r="AO87" i="4"/>
  <c r="AP87" i="4"/>
  <c r="AK87" i="4"/>
  <c r="AL87" i="4" s="1"/>
  <c r="AG87" i="4"/>
  <c r="AH87" i="4"/>
  <c r="AC87" i="4"/>
  <c r="AD87" i="4" s="1"/>
  <c r="Y87" i="4"/>
  <c r="Z87" i="4" s="1"/>
  <c r="U87" i="4"/>
  <c r="V87" i="4" s="1"/>
  <c r="Q87" i="4"/>
  <c r="R87" i="4" s="1"/>
  <c r="M87" i="4"/>
  <c r="N87" i="4" s="1"/>
  <c r="J87" i="4"/>
  <c r="AY87" i="4"/>
  <c r="AZ87" i="4" s="1"/>
  <c r="AU87" i="4"/>
  <c r="AV87" i="4"/>
  <c r="AQ87" i="4"/>
  <c r="AR87" i="4" s="1"/>
  <c r="AM87" i="4"/>
  <c r="AN87" i="4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/>
  <c r="K87" i="4"/>
  <c r="L87" i="4" s="1"/>
  <c r="H89" i="4"/>
  <c r="BZ86" i="4"/>
  <c r="I86" i="4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/>
  <c r="FA87" i="4"/>
  <c r="FB87" i="4" s="1"/>
  <c r="EW87" i="4"/>
  <c r="EX87" i="4"/>
  <c r="ET87" i="4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CA103" i="4"/>
  <c r="ER103" i="4"/>
  <c r="ES103" i="4" s="1"/>
  <c r="S79" i="4"/>
  <c r="T79" i="4" s="1"/>
  <c r="O79" i="4"/>
  <c r="P79" i="4" s="1"/>
  <c r="K79" i="4"/>
  <c r="L79" i="4" s="1"/>
  <c r="S88" i="4"/>
  <c r="T88" i="4" s="1"/>
  <c r="O88" i="4"/>
  <c r="P88" i="4"/>
  <c r="K88" i="4"/>
  <c r="L88" i="4" s="1"/>
  <c r="BZ84" i="4"/>
  <c r="BZ88" i="4"/>
  <c r="S92" i="4"/>
  <c r="T92" i="4" s="1"/>
  <c r="J93" i="4"/>
  <c r="S93" i="4"/>
  <c r="T93" i="4" s="1"/>
  <c r="Y93" i="4"/>
  <c r="Z93" i="4" s="1"/>
  <c r="AI93" i="4"/>
  <c r="AJ93" i="4" s="1"/>
  <c r="AO93" i="4"/>
  <c r="AP93" i="4" s="1"/>
  <c r="BZ93" i="4"/>
  <c r="BZ97" i="4"/>
  <c r="I97" i="4"/>
  <c r="AY100" i="4"/>
  <c r="AZ100" i="4"/>
  <c r="AU100" i="4"/>
  <c r="AV100" i="4" s="1"/>
  <c r="AQ100" i="4"/>
  <c r="AR100" i="4" s="1"/>
  <c r="AM100" i="4"/>
  <c r="AN100" i="4" s="1"/>
  <c r="AI100" i="4"/>
  <c r="AJ100" i="4" s="1"/>
  <c r="AE100" i="4"/>
  <c r="AF100" i="4" s="1"/>
  <c r="AA100" i="4"/>
  <c r="AB100" i="4" s="1"/>
  <c r="W100" i="4"/>
  <c r="X100" i="4" s="1"/>
  <c r="S100" i="4"/>
  <c r="T100" i="4" s="1"/>
  <c r="O100" i="4"/>
  <c r="P100" i="4" s="1"/>
  <c r="K100" i="4"/>
  <c r="L100" i="4"/>
  <c r="AW100" i="4"/>
  <c r="AX100" i="4" s="1"/>
  <c r="AS100" i="4"/>
  <c r="AT100" i="4"/>
  <c r="AO100" i="4"/>
  <c r="AP100" i="4" s="1"/>
  <c r="AK100" i="4"/>
  <c r="AL100" i="4" s="1"/>
  <c r="AG100" i="4"/>
  <c r="AH100" i="4" s="1"/>
  <c r="AC100" i="4"/>
  <c r="AD100" i="4" s="1"/>
  <c r="Y100" i="4"/>
  <c r="Z100" i="4" s="1"/>
  <c r="U100" i="4"/>
  <c r="V100" i="4"/>
  <c r="Q100" i="4"/>
  <c r="R100" i="4" s="1"/>
  <c r="M100" i="4"/>
  <c r="N100" i="4"/>
  <c r="J100" i="4"/>
  <c r="BZ101" i="4"/>
  <c r="I101" i="4"/>
  <c r="AE108" i="4"/>
  <c r="AF108" i="4" s="1"/>
  <c r="AA108" i="4"/>
  <c r="AB108" i="4" s="1"/>
  <c r="W108" i="4"/>
  <c r="X108" i="4" s="1"/>
  <c r="S108" i="4"/>
  <c r="T108" i="4" s="1"/>
  <c r="O108" i="4"/>
  <c r="P108" i="4"/>
  <c r="K108" i="4"/>
  <c r="L108" i="4" s="1"/>
  <c r="U108" i="4"/>
  <c r="V108" i="4" s="1"/>
  <c r="Y108" i="4"/>
  <c r="Z108" i="4" s="1"/>
  <c r="J108" i="4"/>
  <c r="AC108" i="4"/>
  <c r="AD108" i="4" s="1"/>
  <c r="M108" i="4"/>
  <c r="N108" i="4" s="1"/>
  <c r="DQ108" i="4"/>
  <c r="DR108" i="4" s="1"/>
  <c r="DM108" i="4"/>
  <c r="DN108" i="4" s="1"/>
  <c r="DI108" i="4"/>
  <c r="DJ108" i="4" s="1"/>
  <c r="DE108" i="4"/>
  <c r="DF108" i="4"/>
  <c r="DA108" i="4"/>
  <c r="DB108" i="4" s="1"/>
  <c r="CW108" i="4"/>
  <c r="CX108" i="4" s="1"/>
  <c r="CS108" i="4"/>
  <c r="CT108" i="4" s="1"/>
  <c r="CO108" i="4"/>
  <c r="CP108" i="4" s="1"/>
  <c r="CK108" i="4"/>
  <c r="CL108" i="4" s="1"/>
  <c r="CG108" i="4"/>
  <c r="CH108" i="4" s="1"/>
  <c r="CC108" i="4"/>
  <c r="CD108" i="4" s="1"/>
  <c r="DO108" i="4"/>
  <c r="DP108" i="4" s="1"/>
  <c r="DK108" i="4"/>
  <c r="DL108" i="4" s="1"/>
  <c r="DG108" i="4"/>
  <c r="DH108" i="4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/>
  <c r="CE108" i="4"/>
  <c r="CF108" i="4" s="1"/>
  <c r="CB108" i="4"/>
  <c r="CA109" i="4"/>
  <c r="ER109" i="4"/>
  <c r="ES109" i="4" s="1"/>
  <c r="AC92" i="4"/>
  <c r="AD92" i="4" s="1"/>
  <c r="Y92" i="4"/>
  <c r="Z92" i="4"/>
  <c r="U92" i="4"/>
  <c r="V92" i="4" s="1"/>
  <c r="Q92" i="4"/>
  <c r="R92" i="4" s="1"/>
  <c r="M92" i="4"/>
  <c r="N92" i="4" s="1"/>
  <c r="J92" i="4"/>
  <c r="K92" i="4"/>
  <c r="L92" i="4" s="1"/>
  <c r="AA92" i="4"/>
  <c r="AB92" i="4"/>
  <c r="K93" i="4"/>
  <c r="L93" i="4"/>
  <c r="Q93" i="4"/>
  <c r="R93" i="4" s="1"/>
  <c r="AA93" i="4"/>
  <c r="AB93" i="4" s="1"/>
  <c r="AG93" i="4"/>
  <c r="AH93" i="4" s="1"/>
  <c r="AQ93" i="4"/>
  <c r="AR93" i="4"/>
  <c r="CC100" i="4"/>
  <c r="CD100" i="4" s="1"/>
  <c r="CG100" i="4"/>
  <c r="CH100" i="4"/>
  <c r="CK100" i="4"/>
  <c r="CL100" i="4" s="1"/>
  <c r="CO100" i="4"/>
  <c r="CP100" i="4" s="1"/>
  <c r="CS100" i="4"/>
  <c r="CT100" i="4" s="1"/>
  <c r="CW100" i="4"/>
  <c r="CX100" i="4" s="1"/>
  <c r="DA100" i="4"/>
  <c r="DB100" i="4" s="1"/>
  <c r="AY110" i="4"/>
  <c r="AZ110" i="4" s="1"/>
  <c r="AU110" i="4"/>
  <c r="AV110" i="4" s="1"/>
  <c r="AQ110" i="4"/>
  <c r="AR110" i="4" s="1"/>
  <c r="AM110" i="4"/>
  <c r="AN110" i="4" s="1"/>
  <c r="AI110" i="4"/>
  <c r="AJ110" i="4" s="1"/>
  <c r="AE110" i="4"/>
  <c r="AF110" i="4"/>
  <c r="AA110" i="4"/>
  <c r="AB110" i="4" s="1"/>
  <c r="W110" i="4"/>
  <c r="X110" i="4"/>
  <c r="S110" i="4"/>
  <c r="T110" i="4" s="1"/>
  <c r="O110" i="4"/>
  <c r="P110" i="4" s="1"/>
  <c r="K110" i="4"/>
  <c r="L110" i="4" s="1"/>
  <c r="AW110" i="4"/>
  <c r="AX110" i="4" s="1"/>
  <c r="AS110" i="4"/>
  <c r="AT110" i="4" s="1"/>
  <c r="AO110" i="4"/>
  <c r="AP110" i="4"/>
  <c r="AK110" i="4"/>
  <c r="AL110" i="4" s="1"/>
  <c r="AG110" i="4"/>
  <c r="AH110" i="4"/>
  <c r="AC110" i="4"/>
  <c r="AD110" i="4" s="1"/>
  <c r="Y110" i="4"/>
  <c r="Z110" i="4" s="1"/>
  <c r="U110" i="4"/>
  <c r="V110" i="4" s="1"/>
  <c r="Q110" i="4"/>
  <c r="R110" i="4" s="1"/>
  <c r="M110" i="4"/>
  <c r="N110" i="4" s="1"/>
  <c r="J110" i="4"/>
  <c r="BZ111" i="4"/>
  <c r="I111" i="4"/>
  <c r="GG108" i="4"/>
  <c r="GH108" i="4" s="1"/>
  <c r="GC108" i="4"/>
  <c r="GD108" i="4" s="1"/>
  <c r="FY108" i="4"/>
  <c r="FZ108" i="4" s="1"/>
  <c r="FU108" i="4"/>
  <c r="FV108" i="4" s="1"/>
  <c r="FQ108" i="4"/>
  <c r="FR108" i="4" s="1"/>
  <c r="FM108" i="4"/>
  <c r="FN108" i="4" s="1"/>
  <c r="FI108" i="4"/>
  <c r="FJ108" i="4" s="1"/>
  <c r="FE108" i="4"/>
  <c r="FF108" i="4" s="1"/>
  <c r="FA108" i="4"/>
  <c r="FB108" i="4" s="1"/>
  <c r="EW108" i="4"/>
  <c r="EX108" i="4"/>
  <c r="ET108" i="4"/>
  <c r="GI108" i="4"/>
  <c r="GJ108" i="4" s="1"/>
  <c r="GE108" i="4"/>
  <c r="GF108" i="4" s="1"/>
  <c r="GA108" i="4"/>
  <c r="GB108" i="4" s="1"/>
  <c r="FW108" i="4"/>
  <c r="FX108" i="4" s="1"/>
  <c r="FS108" i="4"/>
  <c r="FT108" i="4"/>
  <c r="FO108" i="4"/>
  <c r="FP108" i="4" s="1"/>
  <c r="FK108" i="4"/>
  <c r="FL108" i="4"/>
  <c r="FG108" i="4"/>
  <c r="FH108" i="4" s="1"/>
  <c r="FC108" i="4"/>
  <c r="FD108" i="4" s="1"/>
  <c r="EY108" i="4"/>
  <c r="EZ108" i="4" s="1"/>
  <c r="EU108" i="4"/>
  <c r="EV108" i="4" s="1"/>
  <c r="H113" i="4"/>
  <c r="K116" i="4"/>
  <c r="L116" i="4" s="1"/>
  <c r="O116" i="4"/>
  <c r="P116" i="4" s="1"/>
  <c r="S116" i="4"/>
  <c r="T116" i="4" s="1"/>
  <c r="W116" i="4"/>
  <c r="X116" i="4" s="1"/>
  <c r="AA116" i="4"/>
  <c r="AB116" i="4" s="1"/>
  <c r="AE116" i="4"/>
  <c r="AF116" i="4"/>
  <c r="AI116" i="4"/>
  <c r="AJ116" i="4" s="1"/>
  <c r="AM116" i="4"/>
  <c r="AN116" i="4"/>
  <c r="AQ116" i="4"/>
  <c r="AR116" i="4" s="1"/>
  <c r="AU116" i="4"/>
  <c r="AV116" i="4"/>
  <c r="AY116" i="4"/>
  <c r="AZ116" i="4" s="1"/>
  <c r="CB116" i="4"/>
  <c r="CE116" i="4"/>
  <c r="CF116" i="4" s="1"/>
  <c r="CI116" i="4"/>
  <c r="CJ116" i="4" s="1"/>
  <c r="J118" i="4"/>
  <c r="S118" i="4"/>
  <c r="T118" i="4" s="1"/>
  <c r="Y118" i="4"/>
  <c r="Z118" i="4"/>
  <c r="AI118" i="4"/>
  <c r="AJ118" i="4" s="1"/>
  <c r="AO118" i="4"/>
  <c r="AP118" i="4" s="1"/>
  <c r="AY118" i="4"/>
  <c r="AZ118" i="4" s="1"/>
  <c r="BZ118" i="4"/>
  <c r="AE119" i="4"/>
  <c r="AF119" i="4"/>
  <c r="AA119" i="4"/>
  <c r="AB119" i="4" s="1"/>
  <c r="W119" i="4"/>
  <c r="X119" i="4" s="1"/>
  <c r="S119" i="4"/>
  <c r="T119" i="4" s="1"/>
  <c r="O119" i="4"/>
  <c r="P119" i="4" s="1"/>
  <c r="K119" i="4"/>
  <c r="L119" i="4" s="1"/>
  <c r="I126" i="4"/>
  <c r="ER126" i="4"/>
  <c r="ES126" i="4" s="1"/>
  <c r="CA126" i="4"/>
  <c r="BZ124" i="4"/>
  <c r="I124" i="4"/>
  <c r="BZ139" i="4"/>
  <c r="I139" i="4"/>
  <c r="J116" i="4"/>
  <c r="M116" i="4"/>
  <c r="N116" i="4"/>
  <c r="Q116" i="4"/>
  <c r="R116" i="4" s="1"/>
  <c r="U116" i="4"/>
  <c r="V116" i="4"/>
  <c r="Y116" i="4"/>
  <c r="Z116" i="4" s="1"/>
  <c r="AC116" i="4"/>
  <c r="AD116" i="4" s="1"/>
  <c r="AG116" i="4"/>
  <c r="AH116" i="4" s="1"/>
  <c r="AK116" i="4"/>
  <c r="AL116" i="4"/>
  <c r="AO116" i="4"/>
  <c r="AP116" i="4" s="1"/>
  <c r="AS116" i="4"/>
  <c r="AT116" i="4"/>
  <c r="Q118" i="4"/>
  <c r="R118" i="4" s="1"/>
  <c r="AA118" i="4"/>
  <c r="AB118" i="4"/>
  <c r="AG118" i="4"/>
  <c r="AH118" i="4" s="1"/>
  <c r="AQ118" i="4"/>
  <c r="AR118" i="4" s="1"/>
  <c r="W122" i="4"/>
  <c r="X122" i="4" s="1"/>
  <c r="M123" i="4"/>
  <c r="N123" i="4" s="1"/>
  <c r="W123" i="4"/>
  <c r="X123" i="4" s="1"/>
  <c r="Y122" i="4"/>
  <c r="Z122" i="4" s="1"/>
  <c r="U122" i="4"/>
  <c r="V122" i="4"/>
  <c r="Q122" i="4"/>
  <c r="R122" i="4" s="1"/>
  <c r="M122" i="4"/>
  <c r="N122" i="4" s="1"/>
  <c r="J122" i="4"/>
  <c r="J130" i="4"/>
  <c r="S130" i="4"/>
  <c r="T130" i="4" s="1"/>
  <c r="Y130" i="4"/>
  <c r="Z130" i="4" s="1"/>
  <c r="AI130" i="4"/>
  <c r="AJ130" i="4"/>
  <c r="AO130" i="4"/>
  <c r="AP130" i="4" s="1"/>
  <c r="BZ130" i="4"/>
  <c r="ER145" i="4"/>
  <c r="ES145" i="4" s="1"/>
  <c r="CA145" i="4"/>
  <c r="AW146" i="4"/>
  <c r="AX146" i="4" s="1"/>
  <c r="AM146" i="4"/>
  <c r="AN146" i="4" s="1"/>
  <c r="AG146" i="4"/>
  <c r="AH146" i="4"/>
  <c r="W146" i="4"/>
  <c r="X146" i="4" s="1"/>
  <c r="Q146" i="4"/>
  <c r="R146" i="4" s="1"/>
  <c r="AQ146" i="4"/>
  <c r="AR146" i="4" s="1"/>
  <c r="AK146" i="4"/>
  <c r="AL146" i="4" s="1"/>
  <c r="AA146" i="4"/>
  <c r="AB146" i="4" s="1"/>
  <c r="U146" i="4"/>
  <c r="V146" i="4" s="1"/>
  <c r="K146" i="4"/>
  <c r="L146" i="4" s="1"/>
  <c r="AY146" i="4"/>
  <c r="AZ146" i="4"/>
  <c r="AC146" i="4"/>
  <c r="AD146" i="4" s="1"/>
  <c r="S146" i="4"/>
  <c r="T146" i="4" s="1"/>
  <c r="AU146" i="4"/>
  <c r="AV146" i="4" s="1"/>
  <c r="Y146" i="4"/>
  <c r="Z146" i="4" s="1"/>
  <c r="O146" i="4"/>
  <c r="P146" i="4" s="1"/>
  <c r="AS146" i="4"/>
  <c r="AT146" i="4" s="1"/>
  <c r="AI146" i="4"/>
  <c r="AJ146" i="4" s="1"/>
  <c r="M146" i="4"/>
  <c r="N146" i="4"/>
  <c r="AO146" i="4"/>
  <c r="AP146" i="4" s="1"/>
  <c r="AE146" i="4"/>
  <c r="AF146" i="4" s="1"/>
  <c r="BZ144" i="4"/>
  <c r="I144" i="4"/>
  <c r="BZ134" i="4"/>
  <c r="I134" i="4"/>
  <c r="GI143" i="4"/>
  <c r="GJ143" i="4"/>
  <c r="GE143" i="4"/>
  <c r="GF143" i="4" s="1"/>
  <c r="GA143" i="4"/>
  <c r="GB143" i="4"/>
  <c r="FW143" i="4"/>
  <c r="FX143" i="4" s="1"/>
  <c r="FS143" i="4"/>
  <c r="FT143" i="4"/>
  <c r="FO143" i="4"/>
  <c r="FP143" i="4" s="1"/>
  <c r="FK143" i="4"/>
  <c r="FL143" i="4" s="1"/>
  <c r="FG143" i="4"/>
  <c r="FH143" i="4" s="1"/>
  <c r="FC143" i="4"/>
  <c r="FD143" i="4"/>
  <c r="EY143" i="4"/>
  <c r="EZ143" i="4" s="1"/>
  <c r="EU143" i="4"/>
  <c r="EV143" i="4" s="1"/>
  <c r="GC143" i="4"/>
  <c r="GD143" i="4" s="1"/>
  <c r="FM143" i="4"/>
  <c r="FN143" i="4"/>
  <c r="EW143" i="4"/>
  <c r="EX143" i="4" s="1"/>
  <c r="GG143" i="4"/>
  <c r="GH143" i="4" s="1"/>
  <c r="FQ143" i="4"/>
  <c r="FR143" i="4" s="1"/>
  <c r="FA143" i="4"/>
  <c r="FB143" i="4"/>
  <c r="FU143" i="4"/>
  <c r="FV143" i="4" s="1"/>
  <c r="FE143" i="4"/>
  <c r="FF143" i="4" s="1"/>
  <c r="ET143" i="4"/>
  <c r="FI143" i="4"/>
  <c r="FJ143" i="4"/>
  <c r="J136" i="4"/>
  <c r="S136" i="4"/>
  <c r="T136" i="4" s="1"/>
  <c r="Y136" i="4"/>
  <c r="Z136" i="4"/>
  <c r="AI136" i="4"/>
  <c r="AJ136" i="4" s="1"/>
  <c r="AO136" i="4"/>
  <c r="AP136" i="4" s="1"/>
  <c r="BZ136" i="4"/>
  <c r="CA143" i="4"/>
  <c r="AY145" i="4"/>
  <c r="AZ145" i="4" s="1"/>
  <c r="AU145" i="4"/>
  <c r="AV145" i="4" s="1"/>
  <c r="AQ145" i="4"/>
  <c r="AR145" i="4" s="1"/>
  <c r="AM145" i="4"/>
  <c r="AN145" i="4" s="1"/>
  <c r="AI145" i="4"/>
  <c r="AJ145" i="4" s="1"/>
  <c r="AE145" i="4"/>
  <c r="AF145" i="4" s="1"/>
  <c r="AA145" i="4"/>
  <c r="AB145" i="4"/>
  <c r="W145" i="4"/>
  <c r="X145" i="4" s="1"/>
  <c r="S145" i="4"/>
  <c r="T145" i="4" s="1"/>
  <c r="O145" i="4"/>
  <c r="P145" i="4" s="1"/>
  <c r="K145" i="4"/>
  <c r="L145" i="4" s="1"/>
  <c r="AK145" i="4"/>
  <c r="AL145" i="4" s="1"/>
  <c r="U145" i="4"/>
  <c r="V145" i="4" s="1"/>
  <c r="CQ146" i="4"/>
  <c r="CR146" i="4" s="1"/>
  <c r="DA146" i="4"/>
  <c r="DB146" i="4" s="1"/>
  <c r="CG146" i="4"/>
  <c r="CH146" i="4" s="1"/>
  <c r="DC146" i="4"/>
  <c r="DD146" i="4" s="1"/>
  <c r="ER146" i="4"/>
  <c r="ES146" i="4" s="1"/>
  <c r="DK146" i="4"/>
  <c r="DL146" i="4" s="1"/>
  <c r="DE146" i="4"/>
  <c r="DF146" i="4"/>
  <c r="CU146" i="4"/>
  <c r="CV146" i="4" s="1"/>
  <c r="CO146" i="4"/>
  <c r="CP146" i="4" s="1"/>
  <c r="CE146" i="4"/>
  <c r="CF146" i="4" s="1"/>
  <c r="DO146" i="4"/>
  <c r="DP146" i="4" s="1"/>
  <c r="DI146" i="4"/>
  <c r="DJ146" i="4" s="1"/>
  <c r="CY146" i="4"/>
  <c r="CZ146" i="4" s="1"/>
  <c r="CS146" i="4"/>
  <c r="CT146" i="4" s="1"/>
  <c r="CI146" i="4"/>
  <c r="CJ146" i="4" s="1"/>
  <c r="CC146" i="4"/>
  <c r="CD146" i="4" s="1"/>
  <c r="BZ148" i="4"/>
  <c r="I148" i="4"/>
  <c r="I151" i="4"/>
  <c r="BZ151" i="4"/>
  <c r="J152" i="4"/>
  <c r="M152" i="4"/>
  <c r="N152" i="4" s="1"/>
  <c r="Q152" i="4"/>
  <c r="R152" i="4" s="1"/>
  <c r="U152" i="4"/>
  <c r="V152" i="4" s="1"/>
  <c r="Y152" i="4"/>
  <c r="Z152" i="4" s="1"/>
  <c r="BZ155" i="4"/>
  <c r="I155" i="4"/>
  <c r="I154" i="4"/>
  <c r="BZ154" i="4"/>
  <c r="CA130" i="4"/>
  <c r="ER130" i="4"/>
  <c r="ES130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/>
  <c r="CG126" i="4"/>
  <c r="CH126" i="4" s="1"/>
  <c r="CC126" i="4"/>
  <c r="CD126" i="4" s="1"/>
  <c r="DG126" i="4"/>
  <c r="DH126" i="4" s="1"/>
  <c r="CQ126" i="4"/>
  <c r="CR126" i="4"/>
  <c r="CB126" i="4"/>
  <c r="DK126" i="4"/>
  <c r="DL126" i="4" s="1"/>
  <c r="CU126" i="4"/>
  <c r="CV126" i="4"/>
  <c r="CE126" i="4"/>
  <c r="CF126" i="4" s="1"/>
  <c r="DO126" i="4"/>
  <c r="DP126" i="4" s="1"/>
  <c r="CY126" i="4"/>
  <c r="CZ126" i="4" s="1"/>
  <c r="CI126" i="4"/>
  <c r="CJ126" i="4" s="1"/>
  <c r="CM126" i="4"/>
  <c r="CN126" i="4" s="1"/>
  <c r="DC126" i="4"/>
  <c r="DD126" i="4" s="1"/>
  <c r="AY105" i="4"/>
  <c r="AZ105" i="4" s="1"/>
  <c r="AS105" i="4"/>
  <c r="AT105" i="4" s="1"/>
  <c r="AI105" i="4"/>
  <c r="AJ105" i="4" s="1"/>
  <c r="AC105" i="4"/>
  <c r="AD105" i="4" s="1"/>
  <c r="S105" i="4"/>
  <c r="T105" i="4" s="1"/>
  <c r="M105" i="4"/>
  <c r="N105" i="4" s="1"/>
  <c r="AW105" i="4"/>
  <c r="AX105" i="4" s="1"/>
  <c r="AM105" i="4"/>
  <c r="AN105" i="4" s="1"/>
  <c r="AG105" i="4"/>
  <c r="AH105" i="4" s="1"/>
  <c r="W105" i="4"/>
  <c r="X105" i="4" s="1"/>
  <c r="Q105" i="4"/>
  <c r="R105" i="4" s="1"/>
  <c r="AQ105" i="4"/>
  <c r="AR105" i="4" s="1"/>
  <c r="AK105" i="4"/>
  <c r="AL105" i="4"/>
  <c r="AA105" i="4"/>
  <c r="AB105" i="4" s="1"/>
  <c r="U105" i="4"/>
  <c r="V105" i="4" s="1"/>
  <c r="K105" i="4"/>
  <c r="L105" i="4" s="1"/>
  <c r="AE105" i="4"/>
  <c r="AF105" i="4" s="1"/>
  <c r="J105" i="4"/>
  <c r="AU105" i="4"/>
  <c r="AV105" i="4" s="1"/>
  <c r="Y105" i="4"/>
  <c r="Z105" i="4" s="1"/>
  <c r="AO105" i="4"/>
  <c r="AP105" i="4" s="1"/>
  <c r="O105" i="4"/>
  <c r="P105" i="4" s="1"/>
  <c r="AW96" i="4"/>
  <c r="AX96" i="4"/>
  <c r="AS96" i="4"/>
  <c r="AT96" i="4" s="1"/>
  <c r="AO96" i="4"/>
  <c r="AP96" i="4" s="1"/>
  <c r="AK96" i="4"/>
  <c r="AL96" i="4" s="1"/>
  <c r="AG96" i="4"/>
  <c r="AH96" i="4"/>
  <c r="AC96" i="4"/>
  <c r="AD96" i="4" s="1"/>
  <c r="Y96" i="4"/>
  <c r="Z96" i="4" s="1"/>
  <c r="U96" i="4"/>
  <c r="V96" i="4" s="1"/>
  <c r="Q96" i="4"/>
  <c r="R96" i="4" s="1"/>
  <c r="M96" i="4"/>
  <c r="N96" i="4" s="1"/>
  <c r="J96" i="4"/>
  <c r="AY96" i="4"/>
  <c r="AZ96" i="4" s="1"/>
  <c r="AI96" i="4"/>
  <c r="AJ96" i="4" s="1"/>
  <c r="S96" i="4"/>
  <c r="T96" i="4" s="1"/>
  <c r="AM96" i="4"/>
  <c r="AN96" i="4" s="1"/>
  <c r="W96" i="4"/>
  <c r="X96" i="4" s="1"/>
  <c r="AQ96" i="4"/>
  <c r="AR96" i="4" s="1"/>
  <c r="AA96" i="4"/>
  <c r="AB96" i="4" s="1"/>
  <c r="K96" i="4"/>
  <c r="L96" i="4" s="1"/>
  <c r="AE96" i="4"/>
  <c r="AF96" i="4" s="1"/>
  <c r="AU96" i="4"/>
  <c r="AV96" i="4" s="1"/>
  <c r="O96" i="4"/>
  <c r="P96" i="4" s="1"/>
  <c r="CA73" i="4"/>
  <c r="ER73" i="4"/>
  <c r="ES73" i="4" s="1"/>
  <c r="ER53" i="4"/>
  <c r="ES53" i="4" s="1"/>
  <c r="CA53" i="4"/>
  <c r="CA49" i="4"/>
  <c r="ER49" i="4"/>
  <c r="ES49" i="4" s="1"/>
  <c r="CA45" i="4"/>
  <c r="ER45" i="4"/>
  <c r="ES45" i="4" s="1"/>
  <c r="CA41" i="4"/>
  <c r="ER41" i="4"/>
  <c r="ES41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/>
  <c r="GI58" i="4"/>
  <c r="GJ58" i="4" s="1"/>
  <c r="FS58" i="4"/>
  <c r="FT58" i="4" s="1"/>
  <c r="FC58" i="4"/>
  <c r="FD58" i="4" s="1"/>
  <c r="FG58" i="4"/>
  <c r="FH58" i="4"/>
  <c r="FW58" i="4"/>
  <c r="FX58" i="4" s="1"/>
  <c r="AY59" i="4"/>
  <c r="AZ59" i="4" s="1"/>
  <c r="AO59" i="4"/>
  <c r="AP59" i="4" s="1"/>
  <c r="AI59" i="4"/>
  <c r="AJ59" i="4" s="1"/>
  <c r="Y59" i="4"/>
  <c r="Z59" i="4" s="1"/>
  <c r="S59" i="4"/>
  <c r="T59" i="4"/>
  <c r="J59" i="4"/>
  <c r="AS59" i="4"/>
  <c r="AT59" i="4" s="1"/>
  <c r="AM59" i="4"/>
  <c r="AN59" i="4" s="1"/>
  <c r="AC59" i="4"/>
  <c r="AD59" i="4" s="1"/>
  <c r="W59" i="4"/>
  <c r="X59" i="4" s="1"/>
  <c r="M59" i="4"/>
  <c r="N59" i="4" s="1"/>
  <c r="AW59" i="4"/>
  <c r="AX59" i="4"/>
  <c r="AQ59" i="4"/>
  <c r="AR59" i="4" s="1"/>
  <c r="AG59" i="4"/>
  <c r="AH59" i="4"/>
  <c r="AA59" i="4"/>
  <c r="AB59" i="4" s="1"/>
  <c r="Q59" i="4"/>
  <c r="R59" i="4" s="1"/>
  <c r="K59" i="4"/>
  <c r="L59" i="4" s="1"/>
  <c r="AK59" i="4"/>
  <c r="AL59" i="4" s="1"/>
  <c r="O59" i="4"/>
  <c r="P59" i="4" s="1"/>
  <c r="AE59" i="4"/>
  <c r="AF59" i="4" s="1"/>
  <c r="AU59" i="4"/>
  <c r="AV59" i="4" s="1"/>
  <c r="U59" i="4"/>
  <c r="V59" i="4" s="1"/>
  <c r="ER39" i="4"/>
  <c r="ES39" i="4" s="1"/>
  <c r="CA39" i="4"/>
  <c r="AW31" i="4"/>
  <c r="AX31" i="4"/>
  <c r="AS31" i="4"/>
  <c r="AT31" i="4" s="1"/>
  <c r="AO31" i="4"/>
  <c r="AP31" i="4"/>
  <c r="AK31" i="4"/>
  <c r="AL31" i="4" s="1"/>
  <c r="AG31" i="4"/>
  <c r="AH31" i="4" s="1"/>
  <c r="AC31" i="4"/>
  <c r="AD31" i="4" s="1"/>
  <c r="Y31" i="4"/>
  <c r="Z31" i="4" s="1"/>
  <c r="U31" i="4"/>
  <c r="V31" i="4" s="1"/>
  <c r="Q31" i="4"/>
  <c r="R31" i="4" s="1"/>
  <c r="M31" i="4"/>
  <c r="N31" i="4" s="1"/>
  <c r="J31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DQ38" i="4"/>
  <c r="DR38" i="4" s="1"/>
  <c r="DM38" i="4"/>
  <c r="DN38" i="4" s="1"/>
  <c r="DI38" i="4"/>
  <c r="DJ38" i="4" s="1"/>
  <c r="DE38" i="4"/>
  <c r="DF38" i="4" s="1"/>
  <c r="DA38" i="4"/>
  <c r="DB38" i="4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DO38" i="4"/>
  <c r="DP38" i="4" s="1"/>
  <c r="CY38" i="4"/>
  <c r="CZ38" i="4" s="1"/>
  <c r="CI38" i="4"/>
  <c r="CJ38" i="4" s="1"/>
  <c r="DK38" i="4"/>
  <c r="DL38" i="4" s="1"/>
  <c r="CE38" i="4"/>
  <c r="CF38" i="4" s="1"/>
  <c r="DC38" i="4"/>
  <c r="DD38" i="4" s="1"/>
  <c r="CM38" i="4"/>
  <c r="CN38" i="4" s="1"/>
  <c r="DG38" i="4"/>
  <c r="DH38" i="4" s="1"/>
  <c r="CQ38" i="4"/>
  <c r="CR38" i="4" s="1"/>
  <c r="CB38" i="4"/>
  <c r="CU38" i="4"/>
  <c r="CV38" i="4" s="1"/>
  <c r="CA24" i="4"/>
  <c r="ER24" i="4"/>
  <c r="ES24" i="4" s="1"/>
  <c r="ER148" i="4"/>
  <c r="ES148" i="4" s="1"/>
  <c r="CA148" i="4"/>
  <c r="GE146" i="4"/>
  <c r="GF146" i="4" s="1"/>
  <c r="FY146" i="4"/>
  <c r="FZ146" i="4" s="1"/>
  <c r="FO146" i="4"/>
  <c r="FP146" i="4" s="1"/>
  <c r="FI146" i="4"/>
  <c r="FJ146" i="4"/>
  <c r="EY146" i="4"/>
  <c r="EZ146" i="4"/>
  <c r="ET146" i="4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FQ146" i="4"/>
  <c r="FR146" i="4"/>
  <c r="FG146" i="4"/>
  <c r="FH146" i="4" s="1"/>
  <c r="GA146" i="4"/>
  <c r="GB146" i="4" s="1"/>
  <c r="FE146" i="4"/>
  <c r="FF146" i="4" s="1"/>
  <c r="EU146" i="4"/>
  <c r="EV146" i="4" s="1"/>
  <c r="GG146" i="4"/>
  <c r="GH146" i="4" s="1"/>
  <c r="FW146" i="4"/>
  <c r="FX146" i="4" s="1"/>
  <c r="FA146" i="4"/>
  <c r="FB146" i="4" s="1"/>
  <c r="FU146" i="4"/>
  <c r="FV146" i="4" s="1"/>
  <c r="FK146" i="4"/>
  <c r="FL146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AY134" i="4"/>
  <c r="AZ134" i="4"/>
  <c r="AQ134" i="4"/>
  <c r="AR134" i="4" s="1"/>
  <c r="AI134" i="4"/>
  <c r="AJ134" i="4" s="1"/>
  <c r="AA134" i="4"/>
  <c r="AB134" i="4" s="1"/>
  <c r="S134" i="4"/>
  <c r="T134" i="4" s="1"/>
  <c r="K134" i="4"/>
  <c r="L134" i="4" s="1"/>
  <c r="AE134" i="4"/>
  <c r="AF134" i="4" s="1"/>
  <c r="W134" i="4"/>
  <c r="X134" i="4" s="1"/>
  <c r="AU134" i="4"/>
  <c r="AV134" i="4" s="1"/>
  <c r="O134" i="4"/>
  <c r="P134" i="4" s="1"/>
  <c r="AM134" i="4"/>
  <c r="AN134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/>
  <c r="FI126" i="4"/>
  <c r="FJ126" i="4" s="1"/>
  <c r="FE126" i="4"/>
  <c r="FF126" i="4" s="1"/>
  <c r="FA126" i="4"/>
  <c r="FB126" i="4" s="1"/>
  <c r="EW126" i="4"/>
  <c r="EX126" i="4"/>
  <c r="ET126" i="4"/>
  <c r="GA126" i="4"/>
  <c r="GB126" i="4" s="1"/>
  <c r="FK126" i="4"/>
  <c r="FL126" i="4" s="1"/>
  <c r="EU126" i="4"/>
  <c r="EV126" i="4" s="1"/>
  <c r="GE126" i="4"/>
  <c r="GF126" i="4" s="1"/>
  <c r="FO126" i="4"/>
  <c r="FP126" i="4" s="1"/>
  <c r="EY126" i="4"/>
  <c r="EZ126" i="4" s="1"/>
  <c r="GI126" i="4"/>
  <c r="GJ126" i="4" s="1"/>
  <c r="FS126" i="4"/>
  <c r="FT126" i="4" s="1"/>
  <c r="FC126" i="4"/>
  <c r="FD126" i="4" s="1"/>
  <c r="FW126" i="4"/>
  <c r="FX126" i="4" s="1"/>
  <c r="FG126" i="4"/>
  <c r="FH126" i="4" s="1"/>
  <c r="DO109" i="4"/>
  <c r="DP109" i="4" s="1"/>
  <c r="DK109" i="4"/>
  <c r="DL109" i="4" s="1"/>
  <c r="DG109" i="4"/>
  <c r="DH109" i="4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I109" i="4"/>
  <c r="DJ109" i="4" s="1"/>
  <c r="CS109" i="4"/>
  <c r="CT109" i="4" s="1"/>
  <c r="CC109" i="4"/>
  <c r="CD109" i="4" s="1"/>
  <c r="DE109" i="4"/>
  <c r="DF109" i="4" s="1"/>
  <c r="CO109" i="4"/>
  <c r="CP109" i="4" s="1"/>
  <c r="DQ109" i="4"/>
  <c r="DR109" i="4" s="1"/>
  <c r="DA109" i="4"/>
  <c r="DB109" i="4" s="1"/>
  <c r="CK109" i="4"/>
  <c r="CL109" i="4" s="1"/>
  <c r="DM109" i="4"/>
  <c r="DN109" i="4" s="1"/>
  <c r="CW109" i="4"/>
  <c r="CX109" i="4" s="1"/>
  <c r="CG109" i="4"/>
  <c r="CH109" i="4" s="1"/>
  <c r="CA101" i="4"/>
  <c r="ER101" i="4"/>
  <c r="ES101" i="4" s="1"/>
  <c r="CA97" i="4"/>
  <c r="ER97" i="4"/>
  <c r="ES97" i="4" s="1"/>
  <c r="CA93" i="4"/>
  <c r="ER93" i="4"/>
  <c r="ES93" i="4" s="1"/>
  <c r="BZ89" i="4"/>
  <c r="I89" i="4"/>
  <c r="CA71" i="4"/>
  <c r="ER71" i="4"/>
  <c r="ES71" i="4"/>
  <c r="AW65" i="4"/>
  <c r="AX65" i="4"/>
  <c r="AS65" i="4"/>
  <c r="AT65" i="4"/>
  <c r="AO65" i="4"/>
  <c r="AP65" i="4"/>
  <c r="AK65" i="4"/>
  <c r="AL65" i="4"/>
  <c r="AG65" i="4"/>
  <c r="AH65" i="4"/>
  <c r="AC65" i="4"/>
  <c r="AD65" i="4"/>
  <c r="Y65" i="4"/>
  <c r="Z65" i="4"/>
  <c r="U65" i="4"/>
  <c r="V65" i="4"/>
  <c r="Q65" i="4"/>
  <c r="R65" i="4"/>
  <c r="M65" i="4"/>
  <c r="N65" i="4"/>
  <c r="J65" i="4"/>
  <c r="AU65" i="4"/>
  <c r="AV65" i="4" s="1"/>
  <c r="AE65" i="4"/>
  <c r="AF65" i="4"/>
  <c r="O65" i="4"/>
  <c r="P65" i="4" s="1"/>
  <c r="AQ65" i="4"/>
  <c r="AR65" i="4" s="1"/>
  <c r="AA65" i="4"/>
  <c r="AB65" i="4" s="1"/>
  <c r="K65" i="4"/>
  <c r="L65" i="4" s="1"/>
  <c r="AM65" i="4"/>
  <c r="AN65" i="4" s="1"/>
  <c r="W65" i="4"/>
  <c r="X65" i="4" s="1"/>
  <c r="AY65" i="4"/>
  <c r="AZ65" i="4" s="1"/>
  <c r="AI65" i="4"/>
  <c r="AJ65" i="4"/>
  <c r="S65" i="4"/>
  <c r="T65" i="4" s="1"/>
  <c r="ER78" i="4"/>
  <c r="ES78" i="4" s="1"/>
  <c r="CA78" i="4"/>
  <c r="DI78" i="4" s="1"/>
  <c r="DJ78" i="4" s="1"/>
  <c r="CA105" i="4"/>
  <c r="ER105" i="4"/>
  <c r="ES105" i="4" s="1"/>
  <c r="ER96" i="4"/>
  <c r="ES96" i="4" s="1"/>
  <c r="FO96" i="4" s="1"/>
  <c r="FP96" i="4" s="1"/>
  <c r="CA96" i="4"/>
  <c r="CA63" i="4"/>
  <c r="ER63" i="4"/>
  <c r="ES63" i="4" s="1"/>
  <c r="AY60" i="4"/>
  <c r="AZ60" i="4" s="1"/>
  <c r="AU60" i="4"/>
  <c r="AV60" i="4" s="1"/>
  <c r="AQ60" i="4"/>
  <c r="AR60" i="4"/>
  <c r="AM60" i="4"/>
  <c r="AN60" i="4" s="1"/>
  <c r="AI60" i="4"/>
  <c r="AJ60" i="4" s="1"/>
  <c r="AE60" i="4"/>
  <c r="AF60" i="4" s="1"/>
  <c r="AA60" i="4"/>
  <c r="AB60" i="4"/>
  <c r="W60" i="4"/>
  <c r="X60" i="4" s="1"/>
  <c r="S60" i="4"/>
  <c r="T60" i="4" s="1"/>
  <c r="O60" i="4"/>
  <c r="P60" i="4" s="1"/>
  <c r="K60" i="4"/>
  <c r="L60" i="4" s="1"/>
  <c r="AO60" i="4"/>
  <c r="AP60" i="4" s="1"/>
  <c r="Y60" i="4"/>
  <c r="Z60" i="4" s="1"/>
  <c r="J60" i="4"/>
  <c r="AS60" i="4"/>
  <c r="AT60" i="4"/>
  <c r="AC60" i="4"/>
  <c r="AD60" i="4"/>
  <c r="M60" i="4"/>
  <c r="N60" i="4"/>
  <c r="AW60" i="4"/>
  <c r="AX60" i="4"/>
  <c r="AG60" i="4"/>
  <c r="AH60" i="4"/>
  <c r="Q60" i="4"/>
  <c r="R60" i="4"/>
  <c r="U60" i="4"/>
  <c r="V60" i="4"/>
  <c r="AK60" i="4"/>
  <c r="AL60" i="4"/>
  <c r="AW47" i="4"/>
  <c r="AX47" i="4" s="1"/>
  <c r="AS47" i="4"/>
  <c r="AT47" i="4"/>
  <c r="AO47" i="4"/>
  <c r="AP47" i="4"/>
  <c r="AK47" i="4"/>
  <c r="AL47" i="4"/>
  <c r="AG47" i="4"/>
  <c r="AH47" i="4"/>
  <c r="AC47" i="4"/>
  <c r="AD47" i="4"/>
  <c r="Y47" i="4"/>
  <c r="Z47" i="4"/>
  <c r="U47" i="4"/>
  <c r="V47" i="4"/>
  <c r="Q47" i="4"/>
  <c r="R47" i="4"/>
  <c r="M47" i="4"/>
  <c r="N47" i="4"/>
  <c r="J47" i="4"/>
  <c r="AU47" i="4"/>
  <c r="AV47" i="4" s="1"/>
  <c r="AE47" i="4"/>
  <c r="AF47" i="4" s="1"/>
  <c r="O47" i="4"/>
  <c r="P47" i="4" s="1"/>
  <c r="AQ47" i="4"/>
  <c r="AR47" i="4" s="1"/>
  <c r="AA47" i="4"/>
  <c r="AB47" i="4" s="1"/>
  <c r="K47" i="4"/>
  <c r="L47" i="4" s="1"/>
  <c r="AM47" i="4"/>
  <c r="AN47" i="4"/>
  <c r="W47" i="4"/>
  <c r="X47" i="4" s="1"/>
  <c r="AY47" i="4"/>
  <c r="AZ47" i="4" s="1"/>
  <c r="AI47" i="4"/>
  <c r="AJ47" i="4" s="1"/>
  <c r="S47" i="4"/>
  <c r="T47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/>
  <c r="U43" i="4"/>
  <c r="V43" i="4" s="1"/>
  <c r="Q43" i="4"/>
  <c r="R43" i="4" s="1"/>
  <c r="M43" i="4"/>
  <c r="N43" i="4" s="1"/>
  <c r="J43" i="4"/>
  <c r="AQ43" i="4"/>
  <c r="AR43" i="4" s="1"/>
  <c r="AA43" i="4"/>
  <c r="AB43" i="4" s="1"/>
  <c r="K43" i="4"/>
  <c r="L43" i="4" s="1"/>
  <c r="AE43" i="4"/>
  <c r="AF43" i="4" s="1"/>
  <c r="O43" i="4"/>
  <c r="P43" i="4" s="1"/>
  <c r="AM43" i="4"/>
  <c r="AN43" i="4" s="1"/>
  <c r="W43" i="4"/>
  <c r="X43" i="4" s="1"/>
  <c r="AY43" i="4"/>
  <c r="AZ43" i="4" s="1"/>
  <c r="AI43" i="4"/>
  <c r="AJ43" i="4" s="1"/>
  <c r="S43" i="4"/>
  <c r="T43" i="4" s="1"/>
  <c r="AU43" i="4"/>
  <c r="AV43" i="4" s="1"/>
  <c r="AW69" i="4"/>
  <c r="AX69" i="4" s="1"/>
  <c r="AS69" i="4"/>
  <c r="AT69" i="4" s="1"/>
  <c r="AO69" i="4"/>
  <c r="AP69" i="4" s="1"/>
  <c r="AK69" i="4"/>
  <c r="AL69" i="4" s="1"/>
  <c r="AG69" i="4"/>
  <c r="AH69" i="4" s="1"/>
  <c r="AC69" i="4"/>
  <c r="AD69" i="4" s="1"/>
  <c r="Y69" i="4"/>
  <c r="Z69" i="4" s="1"/>
  <c r="U69" i="4"/>
  <c r="V69" i="4" s="1"/>
  <c r="Q69" i="4"/>
  <c r="R69" i="4" s="1"/>
  <c r="M69" i="4"/>
  <c r="N69" i="4" s="1"/>
  <c r="J69" i="4"/>
  <c r="AQ69" i="4"/>
  <c r="AR69" i="4" s="1"/>
  <c r="AA69" i="4"/>
  <c r="AB69" i="4" s="1"/>
  <c r="K69" i="4"/>
  <c r="L69" i="4" s="1"/>
  <c r="AM69" i="4"/>
  <c r="AN69" i="4" s="1"/>
  <c r="W69" i="4"/>
  <c r="X69" i="4"/>
  <c r="AY69" i="4"/>
  <c r="AZ69" i="4" s="1"/>
  <c r="AI69" i="4"/>
  <c r="AJ69" i="4" s="1"/>
  <c r="S69" i="4"/>
  <c r="T69" i="4" s="1"/>
  <c r="AE69" i="4"/>
  <c r="AF69" i="4" s="1"/>
  <c r="O69" i="4"/>
  <c r="P69" i="4" s="1"/>
  <c r="AU69" i="4"/>
  <c r="AV69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/>
  <c r="J58" i="4"/>
  <c r="AY58" i="4"/>
  <c r="AZ58" i="4" s="1"/>
  <c r="AI58" i="4"/>
  <c r="AJ58" i="4" s="1"/>
  <c r="S58" i="4"/>
  <c r="T58" i="4" s="1"/>
  <c r="AM58" i="4"/>
  <c r="AN58" i="4" s="1"/>
  <c r="W58" i="4"/>
  <c r="X58" i="4" s="1"/>
  <c r="AQ58" i="4"/>
  <c r="AR58" i="4" s="1"/>
  <c r="AA58" i="4"/>
  <c r="AB58" i="4" s="1"/>
  <c r="K58" i="4"/>
  <c r="L58" i="4" s="1"/>
  <c r="O58" i="4"/>
  <c r="P58" i="4" s="1"/>
  <c r="AE58" i="4"/>
  <c r="AF58" i="4" s="1"/>
  <c r="AU58" i="4"/>
  <c r="AV58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O44" i="4"/>
  <c r="DP44" i="4" s="1"/>
  <c r="DK44" i="4"/>
  <c r="DL44" i="4" s="1"/>
  <c r="DG44" i="4"/>
  <c r="DH44" i="4" s="1"/>
  <c r="DC44" i="4"/>
  <c r="DD44" i="4" s="1"/>
  <c r="CY44" i="4"/>
  <c r="CZ44" i="4" s="1"/>
  <c r="CU44" i="4"/>
  <c r="CV44" i="4" s="1"/>
  <c r="CQ44" i="4"/>
  <c r="CR44" i="4" s="1"/>
  <c r="CM44" i="4"/>
  <c r="CN44" i="4" s="1"/>
  <c r="CI44" i="4"/>
  <c r="CJ44" i="4" s="1"/>
  <c r="CE44" i="4"/>
  <c r="CF44" i="4" s="1"/>
  <c r="CB44" i="4"/>
  <c r="GG37" i="4"/>
  <c r="GH37" i="4"/>
  <c r="FW37" i="4"/>
  <c r="FX37" i="4" s="1"/>
  <c r="FQ37" i="4"/>
  <c r="FR37" i="4" s="1"/>
  <c r="FG37" i="4"/>
  <c r="FH37" i="4" s="1"/>
  <c r="FA37" i="4"/>
  <c r="FB37" i="4" s="1"/>
  <c r="GC37" i="4"/>
  <c r="GD37" i="4" s="1"/>
  <c r="FS37" i="4"/>
  <c r="FT37" i="4" s="1"/>
  <c r="EW37" i="4"/>
  <c r="EX37" i="4" s="1"/>
  <c r="GA37" i="4"/>
  <c r="GB37" i="4" s="1"/>
  <c r="FU37" i="4"/>
  <c r="FV37" i="4" s="1"/>
  <c r="FK37" i="4"/>
  <c r="FL37" i="4" s="1"/>
  <c r="FE37" i="4"/>
  <c r="FF37" i="4" s="1"/>
  <c r="EU37" i="4"/>
  <c r="EV37" i="4" s="1"/>
  <c r="GE37" i="4"/>
  <c r="GF37" i="4" s="1"/>
  <c r="FY37" i="4"/>
  <c r="FZ37" i="4" s="1"/>
  <c r="FO37" i="4"/>
  <c r="FP37" i="4" s="1"/>
  <c r="FI37" i="4"/>
  <c r="FJ37" i="4"/>
  <c r="EY37" i="4"/>
  <c r="EZ37" i="4" s="1"/>
  <c r="ET37" i="4"/>
  <c r="GI37" i="4"/>
  <c r="GJ37" i="4"/>
  <c r="FM37" i="4"/>
  <c r="FN37" i="4" s="1"/>
  <c r="FC37" i="4"/>
  <c r="FD37" i="4"/>
  <c r="ER31" i="4"/>
  <c r="ES31" i="4" s="1"/>
  <c r="CA31" i="4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GI38" i="4"/>
  <c r="GJ38" i="4" s="1"/>
  <c r="FS38" i="4"/>
  <c r="FT38" i="4" s="1"/>
  <c r="FC38" i="4"/>
  <c r="FD38" i="4" s="1"/>
  <c r="FW38" i="4"/>
  <c r="FX38" i="4" s="1"/>
  <c r="FG38" i="4"/>
  <c r="FH38" i="4"/>
  <c r="GA38" i="4"/>
  <c r="GB38" i="4" s="1"/>
  <c r="FK38" i="4"/>
  <c r="FL38" i="4" s="1"/>
  <c r="EU38" i="4"/>
  <c r="EV38" i="4" s="1"/>
  <c r="GE38" i="4"/>
  <c r="GF38" i="4"/>
  <c r="FO38" i="4"/>
  <c r="FP38" i="4" s="1"/>
  <c r="EY38" i="4"/>
  <c r="EZ38" i="4" s="1"/>
  <c r="AY24" i="4"/>
  <c r="AZ24" i="4" s="1"/>
  <c r="AU24" i="4"/>
  <c r="AV24" i="4" s="1"/>
  <c r="AQ24" i="4"/>
  <c r="AR24" i="4" s="1"/>
  <c r="AM24" i="4"/>
  <c r="AN24" i="4" s="1"/>
  <c r="AI24" i="4"/>
  <c r="AJ24" i="4" s="1"/>
  <c r="AE24" i="4"/>
  <c r="AF24" i="4" s="1"/>
  <c r="AA24" i="4"/>
  <c r="AB24" i="4" s="1"/>
  <c r="W24" i="4"/>
  <c r="X24" i="4" s="1"/>
  <c r="S24" i="4"/>
  <c r="T24" i="4" s="1"/>
  <c r="O24" i="4"/>
  <c r="P24" i="4" s="1"/>
  <c r="K24" i="4"/>
  <c r="L24" i="4" s="1"/>
  <c r="AW24" i="4"/>
  <c r="AX24" i="4" s="1"/>
  <c r="AS24" i="4"/>
  <c r="AT24" i="4"/>
  <c r="AO24" i="4"/>
  <c r="AP24" i="4" s="1"/>
  <c r="AK24" i="4"/>
  <c r="AL24" i="4" s="1"/>
  <c r="AG24" i="4"/>
  <c r="AH24" i="4" s="1"/>
  <c r="AC24" i="4"/>
  <c r="AD24" i="4" s="1"/>
  <c r="Y24" i="4"/>
  <c r="Z24" i="4" s="1"/>
  <c r="U24" i="4"/>
  <c r="V24" i="4" s="1"/>
  <c r="Q24" i="4"/>
  <c r="R24" i="4" s="1"/>
  <c r="M24" i="4"/>
  <c r="N24" i="4"/>
  <c r="J24" i="4"/>
  <c r="CA139" i="4"/>
  <c r="ER139" i="4"/>
  <c r="ES139" i="4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/>
  <c r="Q126" i="4"/>
  <c r="R126" i="4" s="1"/>
  <c r="M126" i="4"/>
  <c r="N126" i="4" s="1"/>
  <c r="J126" i="4"/>
  <c r="AY126" i="4"/>
  <c r="AZ126" i="4" s="1"/>
  <c r="AI126" i="4"/>
  <c r="AJ126" i="4" s="1"/>
  <c r="S126" i="4"/>
  <c r="T126" i="4" s="1"/>
  <c r="AM126" i="4"/>
  <c r="AN126" i="4" s="1"/>
  <c r="W126" i="4"/>
  <c r="X126" i="4" s="1"/>
  <c r="AQ126" i="4"/>
  <c r="AR126" i="4" s="1"/>
  <c r="AA126" i="4"/>
  <c r="AB126" i="4" s="1"/>
  <c r="K126" i="4"/>
  <c r="L126" i="4" s="1"/>
  <c r="O126" i="4"/>
  <c r="P126" i="4"/>
  <c r="AE126" i="4"/>
  <c r="AF126" i="4" s="1"/>
  <c r="AU126" i="4"/>
  <c r="AV126" i="4" s="1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AM101" i="4"/>
  <c r="AN101" i="4" s="1"/>
  <c r="W101" i="4"/>
  <c r="X101" i="4" s="1"/>
  <c r="AY101" i="4"/>
  <c r="AZ101" i="4"/>
  <c r="AI101" i="4"/>
  <c r="AJ101" i="4" s="1"/>
  <c r="S101" i="4"/>
  <c r="T101" i="4" s="1"/>
  <c r="AU101" i="4"/>
  <c r="AV101" i="4" s="1"/>
  <c r="AE101" i="4"/>
  <c r="AF101" i="4" s="1"/>
  <c r="O101" i="4"/>
  <c r="P101" i="4" s="1"/>
  <c r="AQ101" i="4"/>
  <c r="AR101" i="4" s="1"/>
  <c r="AA101" i="4"/>
  <c r="AB101" i="4" s="1"/>
  <c r="K101" i="4"/>
  <c r="L101" i="4"/>
  <c r="ER154" i="4"/>
  <c r="ES154" i="4" s="1"/>
  <c r="CA154" i="4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/>
  <c r="CB143" i="4"/>
  <c r="DE143" i="4"/>
  <c r="DF143" i="4" s="1"/>
  <c r="CO143" i="4"/>
  <c r="CP143" i="4"/>
  <c r="DI143" i="4"/>
  <c r="DJ143" i="4" s="1"/>
  <c r="CS143" i="4"/>
  <c r="CT143" i="4" s="1"/>
  <c r="CC143" i="4"/>
  <c r="CD143" i="4" s="1"/>
  <c r="DM143" i="4"/>
  <c r="DN143" i="4" s="1"/>
  <c r="CW143" i="4"/>
  <c r="CX143" i="4" s="1"/>
  <c r="CG143" i="4"/>
  <c r="CH143" i="4" s="1"/>
  <c r="DQ143" i="4"/>
  <c r="DR143" i="4" s="1"/>
  <c r="CK143" i="4"/>
  <c r="CL143" i="4"/>
  <c r="DA143" i="4"/>
  <c r="DB143" i="4" s="1"/>
  <c r="CA134" i="4"/>
  <c r="ER134" i="4"/>
  <c r="ES134" i="4" s="1"/>
  <c r="AQ144" i="4"/>
  <c r="AR144" i="4" s="1"/>
  <c r="AK144" i="4"/>
  <c r="AL144" i="4" s="1"/>
  <c r="AA144" i="4"/>
  <c r="AB144" i="4"/>
  <c r="U144" i="4"/>
  <c r="V144" i="4" s="1"/>
  <c r="K144" i="4"/>
  <c r="L144" i="4" s="1"/>
  <c r="AU144" i="4"/>
  <c r="AV144" i="4" s="1"/>
  <c r="AO144" i="4"/>
  <c r="AP144" i="4" s="1"/>
  <c r="AE144" i="4"/>
  <c r="AF144" i="4" s="1"/>
  <c r="Y144" i="4"/>
  <c r="Z144" i="4" s="1"/>
  <c r="O144" i="4"/>
  <c r="P144" i="4" s="1"/>
  <c r="J144" i="4"/>
  <c r="AY144" i="4"/>
  <c r="AZ144" i="4" s="1"/>
  <c r="AS144" i="4"/>
  <c r="AT144" i="4" s="1"/>
  <c r="AI144" i="4"/>
  <c r="AJ144" i="4"/>
  <c r="AC144" i="4"/>
  <c r="AD144" i="4" s="1"/>
  <c r="S144" i="4"/>
  <c r="T144" i="4" s="1"/>
  <c r="M144" i="4"/>
  <c r="N144" i="4" s="1"/>
  <c r="AG144" i="4"/>
  <c r="AH144" i="4" s="1"/>
  <c r="AW144" i="4"/>
  <c r="AX144" i="4" s="1"/>
  <c r="W144" i="4"/>
  <c r="X144" i="4" s="1"/>
  <c r="Q144" i="4"/>
  <c r="R144" i="4" s="1"/>
  <c r="AM144" i="4"/>
  <c r="AN144" i="4" s="1"/>
  <c r="DO145" i="4"/>
  <c r="DP145" i="4" s="1"/>
  <c r="DK145" i="4"/>
  <c r="DL145" i="4" s="1"/>
  <c r="DG145" i="4"/>
  <c r="DH145" i="4" s="1"/>
  <c r="DC145" i="4"/>
  <c r="DD145" i="4" s="1"/>
  <c r="CY145" i="4"/>
  <c r="CZ145" i="4" s="1"/>
  <c r="CU145" i="4"/>
  <c r="CV145" i="4" s="1"/>
  <c r="CQ145" i="4"/>
  <c r="CR145" i="4" s="1"/>
  <c r="CM145" i="4"/>
  <c r="CN145" i="4"/>
  <c r="CI145" i="4"/>
  <c r="CJ145" i="4" s="1"/>
  <c r="CE145" i="4"/>
  <c r="CF145" i="4" s="1"/>
  <c r="CB145" i="4"/>
  <c r="DQ145" i="4"/>
  <c r="DR145" i="4" s="1"/>
  <c r="DA145" i="4"/>
  <c r="DB145" i="4" s="1"/>
  <c r="DE145" i="4"/>
  <c r="DF145" i="4" s="1"/>
  <c r="CO145" i="4"/>
  <c r="CP145" i="4" s="1"/>
  <c r="CG145" i="4"/>
  <c r="CH145" i="4" s="1"/>
  <c r="DM145" i="4"/>
  <c r="DN145" i="4"/>
  <c r="CS145" i="4"/>
  <c r="CT145" i="4" s="1"/>
  <c r="DI145" i="4"/>
  <c r="DJ145" i="4" s="1"/>
  <c r="CK145" i="4"/>
  <c r="CL145" i="4" s="1"/>
  <c r="CC145" i="4"/>
  <c r="CD145" i="4" s="1"/>
  <c r="CW145" i="4"/>
  <c r="CX145" i="4" s="1"/>
  <c r="AY124" i="4"/>
  <c r="AZ124" i="4" s="1"/>
  <c r="AU124" i="4"/>
  <c r="AV124" i="4" s="1"/>
  <c r="AQ124" i="4"/>
  <c r="AR124" i="4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/>
  <c r="AK124" i="4"/>
  <c r="AL124" i="4" s="1"/>
  <c r="U124" i="4"/>
  <c r="V124" i="4" s="1"/>
  <c r="AO124" i="4"/>
  <c r="AP124" i="4" s="1"/>
  <c r="Y124" i="4"/>
  <c r="Z124" i="4" s="1"/>
  <c r="J124" i="4"/>
  <c r="AS124" i="4"/>
  <c r="AT124" i="4" s="1"/>
  <c r="AC124" i="4"/>
  <c r="AD124" i="4" s="1"/>
  <c r="M124" i="4"/>
  <c r="N124" i="4" s="1"/>
  <c r="AW124" i="4"/>
  <c r="AX124" i="4" s="1"/>
  <c r="Q124" i="4"/>
  <c r="R124" i="4" s="1"/>
  <c r="AG124" i="4"/>
  <c r="AH124" i="4" s="1"/>
  <c r="I113" i="4"/>
  <c r="BZ113" i="4"/>
  <c r="AW111" i="4"/>
  <c r="AX111" i="4" s="1"/>
  <c r="AS111" i="4"/>
  <c r="AT111" i="4" s="1"/>
  <c r="AO111" i="4"/>
  <c r="AP111" i="4" s="1"/>
  <c r="AK111" i="4"/>
  <c r="AL111" i="4" s="1"/>
  <c r="AG111" i="4"/>
  <c r="AH111" i="4" s="1"/>
  <c r="AC111" i="4"/>
  <c r="AD111" i="4" s="1"/>
  <c r="Y111" i="4"/>
  <c r="Z111" i="4" s="1"/>
  <c r="U111" i="4"/>
  <c r="V111" i="4"/>
  <c r="Q111" i="4"/>
  <c r="R111" i="4" s="1"/>
  <c r="M111" i="4"/>
  <c r="N111" i="4" s="1"/>
  <c r="J111" i="4"/>
  <c r="AY111" i="4"/>
  <c r="AZ111" i="4" s="1"/>
  <c r="AI111" i="4"/>
  <c r="AJ111" i="4" s="1"/>
  <c r="S111" i="4"/>
  <c r="T111" i="4" s="1"/>
  <c r="AU111" i="4"/>
  <c r="AV111" i="4" s="1"/>
  <c r="AE111" i="4"/>
  <c r="AF111" i="4" s="1"/>
  <c r="O111" i="4"/>
  <c r="P111" i="4" s="1"/>
  <c r="AQ111" i="4"/>
  <c r="AR111" i="4" s="1"/>
  <c r="AA111" i="4"/>
  <c r="AB111" i="4" s="1"/>
  <c r="K111" i="4"/>
  <c r="L111" i="4" s="1"/>
  <c r="W111" i="4"/>
  <c r="X111" i="4" s="1"/>
  <c r="AM111" i="4"/>
  <c r="AN111" i="4" s="1"/>
  <c r="CA88" i="4"/>
  <c r="ER88" i="4"/>
  <c r="ES88" i="4" s="1"/>
  <c r="CA84" i="4"/>
  <c r="ER84" i="4"/>
  <c r="ES84" i="4" s="1"/>
  <c r="GI103" i="4"/>
  <c r="GJ103" i="4" s="1"/>
  <c r="GE103" i="4"/>
  <c r="GF103" i="4" s="1"/>
  <c r="GA103" i="4"/>
  <c r="GB103" i="4" s="1"/>
  <c r="FW103" i="4"/>
  <c r="FX103" i="4"/>
  <c r="FS103" i="4"/>
  <c r="FT103" i="4" s="1"/>
  <c r="FO103" i="4"/>
  <c r="FP103" i="4" s="1"/>
  <c r="FK103" i="4"/>
  <c r="FL103" i="4" s="1"/>
  <c r="FG103" i="4"/>
  <c r="FH103" i="4" s="1"/>
  <c r="FC103" i="4"/>
  <c r="FD103" i="4" s="1"/>
  <c r="EY103" i="4"/>
  <c r="EZ103" i="4" s="1"/>
  <c r="EU103" i="4"/>
  <c r="EV103" i="4" s="1"/>
  <c r="FU103" i="4"/>
  <c r="FV103" i="4" s="1"/>
  <c r="FE103" i="4"/>
  <c r="FF103" i="4" s="1"/>
  <c r="GG103" i="4"/>
  <c r="GH103" i="4" s="1"/>
  <c r="FQ103" i="4"/>
  <c r="FR103" i="4" s="1"/>
  <c r="FA103" i="4"/>
  <c r="FB103" i="4" s="1"/>
  <c r="GC103" i="4"/>
  <c r="GD103" i="4" s="1"/>
  <c r="FM103" i="4"/>
  <c r="FN103" i="4" s="1"/>
  <c r="EW103" i="4"/>
  <c r="EX103" i="4" s="1"/>
  <c r="ET103" i="4"/>
  <c r="FY103" i="4"/>
  <c r="FZ103" i="4" s="1"/>
  <c r="FI103" i="4"/>
  <c r="FJ103" i="4"/>
  <c r="AW86" i="4"/>
  <c r="AX86" i="4" s="1"/>
  <c r="AS86" i="4"/>
  <c r="AT86" i="4" s="1"/>
  <c r="AO86" i="4"/>
  <c r="AP86" i="4" s="1"/>
  <c r="AK86" i="4"/>
  <c r="AL86" i="4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Y86" i="4"/>
  <c r="AZ86" i="4" s="1"/>
  <c r="AI86" i="4"/>
  <c r="AJ86" i="4" s="1"/>
  <c r="S86" i="4"/>
  <c r="T86" i="4" s="1"/>
  <c r="AU86" i="4"/>
  <c r="AV86" i="4" s="1"/>
  <c r="AE86" i="4"/>
  <c r="AF86" i="4" s="1"/>
  <c r="O86" i="4"/>
  <c r="P86" i="4" s="1"/>
  <c r="AQ86" i="4"/>
  <c r="AR86" i="4" s="1"/>
  <c r="AA86" i="4"/>
  <c r="AB86" i="4"/>
  <c r="K86" i="4"/>
  <c r="L86" i="4" s="1"/>
  <c r="AM86" i="4"/>
  <c r="AN86" i="4"/>
  <c r="W86" i="4"/>
  <c r="X86" i="4" s="1"/>
  <c r="DQ77" i="4"/>
  <c r="DR77" i="4" s="1"/>
  <c r="DM77" i="4"/>
  <c r="DN77" i="4" s="1"/>
  <c r="DI77" i="4"/>
  <c r="DJ77" i="4" s="1"/>
  <c r="DE77" i="4"/>
  <c r="DF77" i="4" s="1"/>
  <c r="DA77" i="4"/>
  <c r="DB77" i="4" s="1"/>
  <c r="CW77" i="4"/>
  <c r="CX77" i="4" s="1"/>
  <c r="CS77" i="4"/>
  <c r="CT77" i="4" s="1"/>
  <c r="CO77" i="4"/>
  <c r="CP77" i="4" s="1"/>
  <c r="CK77" i="4"/>
  <c r="CL77" i="4" s="1"/>
  <c r="CG77" i="4"/>
  <c r="CH77" i="4" s="1"/>
  <c r="CC77" i="4"/>
  <c r="CD77" i="4" s="1"/>
  <c r="DG77" i="4"/>
  <c r="DH77" i="4" s="1"/>
  <c r="CQ77" i="4"/>
  <c r="CR77" i="4"/>
  <c r="CB77" i="4"/>
  <c r="DK77" i="4"/>
  <c r="DL77" i="4" s="1"/>
  <c r="CU77" i="4"/>
  <c r="CV77" i="4" s="1"/>
  <c r="CE77" i="4"/>
  <c r="CF77" i="4" s="1"/>
  <c r="DO77" i="4"/>
  <c r="DP77" i="4" s="1"/>
  <c r="CY77" i="4"/>
  <c r="CZ77" i="4" s="1"/>
  <c r="CI77" i="4"/>
  <c r="CJ77" i="4" s="1"/>
  <c r="CM77" i="4"/>
  <c r="CN77" i="4"/>
  <c r="DC77" i="4"/>
  <c r="DD77" i="4" s="1"/>
  <c r="CA65" i="4"/>
  <c r="ER65" i="4"/>
  <c r="ES65" i="4"/>
  <c r="AY82" i="4"/>
  <c r="AZ82" i="4" s="1"/>
  <c r="AQ82" i="4"/>
  <c r="AR82" i="4"/>
  <c r="AI82" i="4"/>
  <c r="AJ82" i="4" s="1"/>
  <c r="AA82" i="4"/>
  <c r="AB82" i="4" s="1"/>
  <c r="S82" i="4"/>
  <c r="T82" i="4" s="1"/>
  <c r="K82" i="4"/>
  <c r="L82" i="4" s="1"/>
  <c r="AW82" i="4"/>
  <c r="AX82" i="4" s="1"/>
  <c r="AO82" i="4"/>
  <c r="AP82" i="4" s="1"/>
  <c r="AG82" i="4"/>
  <c r="AH82" i="4" s="1"/>
  <c r="Y82" i="4"/>
  <c r="Z82" i="4" s="1"/>
  <c r="Q82" i="4"/>
  <c r="R82" i="4" s="1"/>
  <c r="J82" i="4"/>
  <c r="AU82" i="4"/>
  <c r="AV82" i="4" s="1"/>
  <c r="AM82" i="4"/>
  <c r="AN82" i="4" s="1"/>
  <c r="AE82" i="4"/>
  <c r="AF82" i="4"/>
  <c r="W82" i="4"/>
  <c r="X82" i="4" s="1"/>
  <c r="O82" i="4"/>
  <c r="P82" i="4" s="1"/>
  <c r="AS82" i="4"/>
  <c r="AT82" i="4" s="1"/>
  <c r="M82" i="4"/>
  <c r="N82" i="4" s="1"/>
  <c r="AK82" i="4"/>
  <c r="AL82" i="4" s="1"/>
  <c r="AC82" i="4"/>
  <c r="AD82" i="4" s="1"/>
  <c r="U82" i="4"/>
  <c r="V82" i="4" s="1"/>
  <c r="AY78" i="4"/>
  <c r="AZ78" i="4"/>
  <c r="AO78" i="4"/>
  <c r="AP78" i="4" s="1"/>
  <c r="AI78" i="4"/>
  <c r="AJ78" i="4" s="1"/>
  <c r="Y78" i="4"/>
  <c r="Z78" i="4" s="1"/>
  <c r="S78" i="4"/>
  <c r="T78" i="4" s="1"/>
  <c r="J78" i="4"/>
  <c r="AS78" i="4"/>
  <c r="AT78" i="4" s="1"/>
  <c r="AM78" i="4"/>
  <c r="AN78" i="4" s="1"/>
  <c r="AC78" i="4"/>
  <c r="AD78" i="4" s="1"/>
  <c r="W78" i="4"/>
  <c r="X78" i="4" s="1"/>
  <c r="M78" i="4"/>
  <c r="N78" i="4" s="1"/>
  <c r="AW78" i="4"/>
  <c r="AX78" i="4" s="1"/>
  <c r="AQ78" i="4"/>
  <c r="AR78" i="4"/>
  <c r="AG78" i="4"/>
  <c r="AH78" i="4" s="1"/>
  <c r="AA78" i="4"/>
  <c r="AB78" i="4" s="1"/>
  <c r="Q78" i="4"/>
  <c r="R78" i="4" s="1"/>
  <c r="K78" i="4"/>
  <c r="L78" i="4" s="1"/>
  <c r="AK78" i="4"/>
  <c r="AL78" i="4" s="1"/>
  <c r="O78" i="4"/>
  <c r="P78" i="4" s="1"/>
  <c r="AE78" i="4"/>
  <c r="AF78" i="4" s="1"/>
  <c r="AU78" i="4"/>
  <c r="AV78" i="4" s="1"/>
  <c r="U78" i="4"/>
  <c r="V78" i="4" s="1"/>
  <c r="AY63" i="4"/>
  <c r="AZ63" i="4" s="1"/>
  <c r="AQ63" i="4"/>
  <c r="AR63" i="4" s="1"/>
  <c r="AI63" i="4"/>
  <c r="AJ63" i="4" s="1"/>
  <c r="AA63" i="4"/>
  <c r="AB63" i="4" s="1"/>
  <c r="S63" i="4"/>
  <c r="T63" i="4" s="1"/>
  <c r="K63" i="4"/>
  <c r="L63" i="4" s="1"/>
  <c r="AW63" i="4"/>
  <c r="AX63" i="4"/>
  <c r="AO63" i="4"/>
  <c r="AP63" i="4" s="1"/>
  <c r="AG63" i="4"/>
  <c r="AH63" i="4" s="1"/>
  <c r="Y63" i="4"/>
  <c r="Z63" i="4" s="1"/>
  <c r="Q63" i="4"/>
  <c r="R63" i="4" s="1"/>
  <c r="J63" i="4"/>
  <c r="AU63" i="4"/>
  <c r="AV63" i="4" s="1"/>
  <c r="AM63" i="4"/>
  <c r="AN63" i="4" s="1"/>
  <c r="AE63" i="4"/>
  <c r="AF63" i="4" s="1"/>
  <c r="W63" i="4"/>
  <c r="X63" i="4" s="1"/>
  <c r="O63" i="4"/>
  <c r="P63" i="4" s="1"/>
  <c r="AC63" i="4"/>
  <c r="AD63" i="4" s="1"/>
  <c r="U63" i="4"/>
  <c r="V63" i="4"/>
  <c r="AS63" i="4"/>
  <c r="AT63" i="4" s="1"/>
  <c r="M63" i="4"/>
  <c r="N63" i="4" s="1"/>
  <c r="AK63" i="4"/>
  <c r="AL63" i="4" s="1"/>
  <c r="ER60" i="4"/>
  <c r="ES60" i="4" s="1"/>
  <c r="CA60" i="4"/>
  <c r="CA47" i="4"/>
  <c r="ER47" i="4"/>
  <c r="ES47" i="4" s="1"/>
  <c r="CA43" i="4"/>
  <c r="ER43" i="4"/>
  <c r="ES43" i="4" s="1"/>
  <c r="CA69" i="4"/>
  <c r="ER69" i="4"/>
  <c r="ES69" i="4" s="1"/>
  <c r="AW51" i="4"/>
  <c r="AX51" i="4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/>
  <c r="M51" i="4"/>
  <c r="N51" i="4" s="1"/>
  <c r="J51" i="4"/>
  <c r="AY51" i="4"/>
  <c r="AZ51" i="4"/>
  <c r="AI51" i="4"/>
  <c r="AJ51" i="4" s="1"/>
  <c r="S51" i="4"/>
  <c r="T51" i="4" s="1"/>
  <c r="AU51" i="4"/>
  <c r="AV51" i="4" s="1"/>
  <c r="AE51" i="4"/>
  <c r="AF51" i="4" s="1"/>
  <c r="O51" i="4"/>
  <c r="P51" i="4" s="1"/>
  <c r="AQ51" i="4"/>
  <c r="AR51" i="4" s="1"/>
  <c r="AA51" i="4"/>
  <c r="AB51" i="4" s="1"/>
  <c r="K51" i="4"/>
  <c r="L51" i="4" s="1"/>
  <c r="AM51" i="4"/>
  <c r="AN51" i="4" s="1"/>
  <c r="W51" i="4"/>
  <c r="X51" i="4" s="1"/>
  <c r="CA18" i="4"/>
  <c r="ER18" i="4"/>
  <c r="AY26" i="4"/>
  <c r="AZ26" i="4" s="1"/>
  <c r="AU26" i="4"/>
  <c r="AV26" i="4"/>
  <c r="AQ26" i="4"/>
  <c r="AR26" i="4" s="1"/>
  <c r="AM26" i="4"/>
  <c r="AN26" i="4" s="1"/>
  <c r="AI26" i="4"/>
  <c r="AJ26" i="4" s="1"/>
  <c r="AE26" i="4"/>
  <c r="AF26" i="4" s="1"/>
  <c r="AA26" i="4"/>
  <c r="AB26" i="4" s="1"/>
  <c r="W26" i="4"/>
  <c r="X26" i="4" s="1"/>
  <c r="S26" i="4"/>
  <c r="T26" i="4" s="1"/>
  <c r="O26" i="4"/>
  <c r="P26" i="4"/>
  <c r="K26" i="4"/>
  <c r="L26" i="4" s="1"/>
  <c r="AW26" i="4"/>
  <c r="AX26" i="4" s="1"/>
  <c r="AS26" i="4"/>
  <c r="AT26" i="4" s="1"/>
  <c r="AO26" i="4"/>
  <c r="AP26" i="4" s="1"/>
  <c r="AK26" i="4"/>
  <c r="AL26" i="4" s="1"/>
  <c r="AG26" i="4"/>
  <c r="AH26" i="4" s="1"/>
  <c r="AC26" i="4"/>
  <c r="AD26" i="4" s="1"/>
  <c r="Y26" i="4"/>
  <c r="Z26" i="4"/>
  <c r="U26" i="4"/>
  <c r="V26" i="4" s="1"/>
  <c r="Q26" i="4"/>
  <c r="R26" i="4" s="1"/>
  <c r="M26" i="4"/>
  <c r="N26" i="4" s="1"/>
  <c r="J26" i="4"/>
  <c r="AY20" i="4"/>
  <c r="AZ20" i="4" s="1"/>
  <c r="AU20" i="4"/>
  <c r="AV20" i="4" s="1"/>
  <c r="AQ20" i="4"/>
  <c r="AR20" i="4" s="1"/>
  <c r="AM20" i="4"/>
  <c r="AN20" i="4" s="1"/>
  <c r="AI20" i="4"/>
  <c r="AJ20" i="4" s="1"/>
  <c r="AE20" i="4"/>
  <c r="AF20" i="4" s="1"/>
  <c r="AA20" i="4"/>
  <c r="AB20" i="4" s="1"/>
  <c r="W20" i="4"/>
  <c r="X20" i="4" s="1"/>
  <c r="S20" i="4"/>
  <c r="T20" i="4" s="1"/>
  <c r="O20" i="4"/>
  <c r="P20" i="4" s="1"/>
  <c r="K20" i="4"/>
  <c r="L20" i="4"/>
  <c r="AW20" i="4"/>
  <c r="AX20" i="4" s="1"/>
  <c r="AS20" i="4"/>
  <c r="AT20" i="4" s="1"/>
  <c r="AO20" i="4"/>
  <c r="AP20" i="4" s="1"/>
  <c r="AK20" i="4"/>
  <c r="AL20" i="4" s="1"/>
  <c r="AG20" i="4"/>
  <c r="AH20" i="4" s="1"/>
  <c r="AC20" i="4"/>
  <c r="AD20" i="4" s="1"/>
  <c r="Y20" i="4"/>
  <c r="Z20" i="4" s="1"/>
  <c r="U20" i="4"/>
  <c r="V20" i="4" s="1"/>
  <c r="Q20" i="4"/>
  <c r="R20" i="4" s="1"/>
  <c r="M20" i="4"/>
  <c r="N20" i="4" s="1"/>
  <c r="J20" i="4"/>
  <c r="CA155" i="4"/>
  <c r="DI155" i="4" s="1"/>
  <c r="DJ155" i="4" s="1"/>
  <c r="ER155" i="4"/>
  <c r="ES155" i="4" s="1"/>
  <c r="AW148" i="4"/>
  <c r="AX148" i="4"/>
  <c r="AS148" i="4"/>
  <c r="AT148" i="4" s="1"/>
  <c r="AO148" i="4"/>
  <c r="AP148" i="4"/>
  <c r="AK148" i="4"/>
  <c r="AL148" i="4" s="1"/>
  <c r="AG148" i="4"/>
  <c r="AH148" i="4" s="1"/>
  <c r="AC148" i="4"/>
  <c r="AD148" i="4" s="1"/>
  <c r="Y148" i="4"/>
  <c r="Z148" i="4" s="1"/>
  <c r="U148" i="4"/>
  <c r="V148" i="4" s="1"/>
  <c r="Q148" i="4"/>
  <c r="R148" i="4"/>
  <c r="M148" i="4"/>
  <c r="N148" i="4" s="1"/>
  <c r="J148" i="4"/>
  <c r="AY148" i="4"/>
  <c r="AZ148" i="4" s="1"/>
  <c r="AU148" i="4"/>
  <c r="AV148" i="4" s="1"/>
  <c r="AE148" i="4"/>
  <c r="AF148" i="4" s="1"/>
  <c r="O148" i="4"/>
  <c r="P148" i="4" s="1"/>
  <c r="W148" i="4"/>
  <c r="X148" i="4" s="1"/>
  <c r="AI148" i="4"/>
  <c r="AJ148" i="4" s="1"/>
  <c r="AQ148" i="4"/>
  <c r="AR148" i="4" s="1"/>
  <c r="AA148" i="4"/>
  <c r="AB148" i="4" s="1"/>
  <c r="S148" i="4"/>
  <c r="T148" i="4" s="1"/>
  <c r="AM148" i="4"/>
  <c r="AN148" i="4" s="1"/>
  <c r="K148" i="4"/>
  <c r="L148" i="4" s="1"/>
  <c r="CA118" i="4"/>
  <c r="ER118" i="4"/>
  <c r="ES118" i="4" s="1"/>
  <c r="AY97" i="4"/>
  <c r="AZ97" i="4" s="1"/>
  <c r="AO97" i="4"/>
  <c r="AP97" i="4" s="1"/>
  <c r="AI97" i="4"/>
  <c r="AJ97" i="4" s="1"/>
  <c r="Y97" i="4"/>
  <c r="Z97" i="4" s="1"/>
  <c r="S97" i="4"/>
  <c r="T97" i="4" s="1"/>
  <c r="J97" i="4"/>
  <c r="AS97" i="4"/>
  <c r="AT97" i="4" s="1"/>
  <c r="AM97" i="4"/>
  <c r="AN97" i="4" s="1"/>
  <c r="AC97" i="4"/>
  <c r="AD97" i="4" s="1"/>
  <c r="W97" i="4"/>
  <c r="X97" i="4" s="1"/>
  <c r="M97" i="4"/>
  <c r="N97" i="4" s="1"/>
  <c r="AW97" i="4"/>
  <c r="AX97" i="4" s="1"/>
  <c r="AQ97" i="4"/>
  <c r="AR97" i="4" s="1"/>
  <c r="AG97" i="4"/>
  <c r="AH97" i="4"/>
  <c r="AA97" i="4"/>
  <c r="AB97" i="4" s="1"/>
  <c r="Q97" i="4"/>
  <c r="R97" i="4"/>
  <c r="K97" i="4"/>
  <c r="L97" i="4" s="1"/>
  <c r="AE97" i="4"/>
  <c r="AF97" i="4" s="1"/>
  <c r="AU97" i="4"/>
  <c r="AV97" i="4" s="1"/>
  <c r="U97" i="4"/>
  <c r="V97" i="4" s="1"/>
  <c r="AK97" i="4"/>
  <c r="AL97" i="4" s="1"/>
  <c r="O97" i="4"/>
  <c r="P97" i="4" s="1"/>
  <c r="DO81" i="4"/>
  <c r="DP81" i="4" s="1"/>
  <c r="DK81" i="4"/>
  <c r="DL81" i="4" s="1"/>
  <c r="DG81" i="4"/>
  <c r="DH81" i="4" s="1"/>
  <c r="DC81" i="4"/>
  <c r="DD81" i="4" s="1"/>
  <c r="CY81" i="4"/>
  <c r="CZ81" i="4" s="1"/>
  <c r="CU81" i="4"/>
  <c r="CV81" i="4" s="1"/>
  <c r="CQ81" i="4"/>
  <c r="CR81" i="4" s="1"/>
  <c r="CM81" i="4"/>
  <c r="CN81" i="4"/>
  <c r="CI81" i="4"/>
  <c r="CJ81" i="4" s="1"/>
  <c r="CE81" i="4"/>
  <c r="CF81" i="4"/>
  <c r="CB81" i="4"/>
  <c r="DQ81" i="4"/>
  <c r="DR81" i="4" s="1"/>
  <c r="DM81" i="4"/>
  <c r="DN81" i="4"/>
  <c r="DI81" i="4"/>
  <c r="DJ81" i="4" s="1"/>
  <c r="DE81" i="4"/>
  <c r="DF81" i="4" s="1"/>
  <c r="DA81" i="4"/>
  <c r="DB81" i="4" s="1"/>
  <c r="CW81" i="4"/>
  <c r="CX81" i="4" s="1"/>
  <c r="CS81" i="4"/>
  <c r="CT81" i="4" s="1"/>
  <c r="CO81" i="4"/>
  <c r="CP81" i="4"/>
  <c r="CK81" i="4"/>
  <c r="CL81" i="4" s="1"/>
  <c r="CG81" i="4"/>
  <c r="CH81" i="4"/>
  <c r="CC81" i="4"/>
  <c r="CD81" i="4" s="1"/>
  <c r="CA67" i="4"/>
  <c r="ER67" i="4"/>
  <c r="ES67" i="4" s="1"/>
  <c r="AW154" i="4"/>
  <c r="AX154" i="4" s="1"/>
  <c r="AS154" i="4"/>
  <c r="AT154" i="4" s="1"/>
  <c r="AO154" i="4"/>
  <c r="AP154" i="4" s="1"/>
  <c r="AK154" i="4"/>
  <c r="AL154" i="4" s="1"/>
  <c r="AG154" i="4"/>
  <c r="AH154" i="4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M154" i="4"/>
  <c r="AN154" i="4" s="1"/>
  <c r="AA154" i="4"/>
  <c r="AB154" i="4" s="1"/>
  <c r="AU154" i="4"/>
  <c r="AV154" i="4" s="1"/>
  <c r="AI154" i="4"/>
  <c r="AJ154" i="4" s="1"/>
  <c r="O154" i="4"/>
  <c r="P154" i="4" s="1"/>
  <c r="AQ154" i="4"/>
  <c r="AR154" i="4"/>
  <c r="W154" i="4"/>
  <c r="X154" i="4" s="1"/>
  <c r="K154" i="4"/>
  <c r="L154" i="4" s="1"/>
  <c r="AE154" i="4"/>
  <c r="AF154" i="4" s="1"/>
  <c r="S154" i="4"/>
  <c r="T154" i="4" s="1"/>
  <c r="AY154" i="4"/>
  <c r="AZ154" i="4" s="1"/>
  <c r="AY155" i="4"/>
  <c r="AZ155" i="4" s="1"/>
  <c r="AU155" i="4"/>
  <c r="AV155" i="4" s="1"/>
  <c r="AQ155" i="4"/>
  <c r="AR155" i="4"/>
  <c r="AM155" i="4"/>
  <c r="AN155" i="4" s="1"/>
  <c r="AI155" i="4"/>
  <c r="AJ155" i="4" s="1"/>
  <c r="AE155" i="4"/>
  <c r="AF155" i="4" s="1"/>
  <c r="AA155" i="4"/>
  <c r="AB155" i="4" s="1"/>
  <c r="W155" i="4"/>
  <c r="X155" i="4" s="1"/>
  <c r="S155" i="4"/>
  <c r="T155" i="4" s="1"/>
  <c r="O155" i="4"/>
  <c r="P155" i="4" s="1"/>
  <c r="K155" i="4"/>
  <c r="L155" i="4" s="1"/>
  <c r="AW155" i="4"/>
  <c r="AX155" i="4" s="1"/>
  <c r="AO155" i="4"/>
  <c r="AP155" i="4" s="1"/>
  <c r="AG155" i="4"/>
  <c r="AH155" i="4" s="1"/>
  <c r="Y155" i="4"/>
  <c r="Z155" i="4" s="1"/>
  <c r="Q155" i="4"/>
  <c r="R155" i="4" s="1"/>
  <c r="J155" i="4"/>
  <c r="AS155" i="4"/>
  <c r="AT155" i="4" s="1"/>
  <c r="M155" i="4"/>
  <c r="N155" i="4" s="1"/>
  <c r="U155" i="4"/>
  <c r="V155" i="4" s="1"/>
  <c r="AC155" i="4"/>
  <c r="AD155" i="4" s="1"/>
  <c r="AK155" i="4"/>
  <c r="AL155" i="4" s="1"/>
  <c r="CA151" i="4"/>
  <c r="ER151" i="4"/>
  <c r="ES151" i="4" s="1"/>
  <c r="CA136" i="4"/>
  <c r="ER136" i="4"/>
  <c r="ES136" i="4" s="1"/>
  <c r="ER144" i="4"/>
  <c r="ES144" i="4" s="1"/>
  <c r="CA144" i="4"/>
  <c r="DO144" i="4" s="1"/>
  <c r="DP144" i="4" s="1"/>
  <c r="GI145" i="4"/>
  <c r="GJ145" i="4" s="1"/>
  <c r="GE145" i="4"/>
  <c r="GF145" i="4"/>
  <c r="GA145" i="4"/>
  <c r="GB145" i="4" s="1"/>
  <c r="FW145" i="4"/>
  <c r="FX145" i="4" s="1"/>
  <c r="FS145" i="4"/>
  <c r="FT145" i="4" s="1"/>
  <c r="FO145" i="4"/>
  <c r="FP145" i="4" s="1"/>
  <c r="FK145" i="4"/>
  <c r="FL145" i="4" s="1"/>
  <c r="FG145" i="4"/>
  <c r="FH145" i="4"/>
  <c r="FC145" i="4"/>
  <c r="FD145" i="4" s="1"/>
  <c r="EY145" i="4"/>
  <c r="EZ145" i="4"/>
  <c r="EU145" i="4"/>
  <c r="EV145" i="4" s="1"/>
  <c r="FY145" i="4"/>
  <c r="FZ145" i="4" s="1"/>
  <c r="FI145" i="4"/>
  <c r="FJ145" i="4" s="1"/>
  <c r="ET145" i="4"/>
  <c r="GC145" i="4"/>
  <c r="GD145" i="4" s="1"/>
  <c r="FM145" i="4"/>
  <c r="FN145" i="4" s="1"/>
  <c r="EW145" i="4"/>
  <c r="EX145" i="4" s="1"/>
  <c r="FE145" i="4"/>
  <c r="FF145" i="4" s="1"/>
  <c r="GG145" i="4"/>
  <c r="GH145" i="4" s="1"/>
  <c r="FA145" i="4"/>
  <c r="FB145" i="4"/>
  <c r="FU145" i="4"/>
  <c r="FV145" i="4" s="1"/>
  <c r="FQ145" i="4"/>
  <c r="FR145" i="4" s="1"/>
  <c r="AW139" i="4"/>
  <c r="AX139" i="4" s="1"/>
  <c r="AS139" i="4"/>
  <c r="AT139" i="4" s="1"/>
  <c r="AO139" i="4"/>
  <c r="AP139" i="4" s="1"/>
  <c r="AK139" i="4"/>
  <c r="AL139" i="4"/>
  <c r="AG139" i="4"/>
  <c r="AH139" i="4" s="1"/>
  <c r="AC139" i="4"/>
  <c r="AD139" i="4" s="1"/>
  <c r="Y139" i="4"/>
  <c r="Z139" i="4" s="1"/>
  <c r="U139" i="4"/>
  <c r="V139" i="4" s="1"/>
  <c r="Q139" i="4"/>
  <c r="R139" i="4" s="1"/>
  <c r="M139" i="4"/>
  <c r="N139" i="4"/>
  <c r="J139" i="4"/>
  <c r="AY139" i="4"/>
  <c r="AZ139" i="4" s="1"/>
  <c r="AI139" i="4"/>
  <c r="AJ139" i="4" s="1"/>
  <c r="S139" i="4"/>
  <c r="T139" i="4" s="1"/>
  <c r="AM139" i="4"/>
  <c r="AN139" i="4" s="1"/>
  <c r="W139" i="4"/>
  <c r="X139" i="4" s="1"/>
  <c r="AQ139" i="4"/>
  <c r="AR139" i="4" s="1"/>
  <c r="AA139" i="4"/>
  <c r="AB139" i="4" s="1"/>
  <c r="K139" i="4"/>
  <c r="L139" i="4" s="1"/>
  <c r="AE139" i="4"/>
  <c r="AF139" i="4" s="1"/>
  <c r="AU139" i="4"/>
  <c r="AV139" i="4" s="1"/>
  <c r="O139" i="4"/>
  <c r="P139" i="4" s="1"/>
  <c r="ER124" i="4"/>
  <c r="ES124" i="4" s="1"/>
  <c r="CA124" i="4"/>
  <c r="CA111" i="4"/>
  <c r="ER111" i="4"/>
  <c r="ES111" i="4" s="1"/>
  <c r="DO103" i="4"/>
  <c r="DP103" i="4"/>
  <c r="DK103" i="4"/>
  <c r="DL103" i="4" s="1"/>
  <c r="DG103" i="4"/>
  <c r="DH103" i="4" s="1"/>
  <c r="DC103" i="4"/>
  <c r="DD103" i="4" s="1"/>
  <c r="CY103" i="4"/>
  <c r="CZ103" i="4" s="1"/>
  <c r="CU103" i="4"/>
  <c r="CV103" i="4" s="1"/>
  <c r="CQ103" i="4"/>
  <c r="CR103" i="4" s="1"/>
  <c r="CM103" i="4"/>
  <c r="CN103" i="4" s="1"/>
  <c r="CI103" i="4"/>
  <c r="CJ103" i="4" s="1"/>
  <c r="CE103" i="4"/>
  <c r="CF103" i="4" s="1"/>
  <c r="CB103" i="4"/>
  <c r="DI103" i="4"/>
  <c r="DJ103" i="4" s="1"/>
  <c r="CS103" i="4"/>
  <c r="CT103" i="4" s="1"/>
  <c r="CC103" i="4"/>
  <c r="CD103" i="4" s="1"/>
  <c r="DE103" i="4"/>
  <c r="DF103" i="4" s="1"/>
  <c r="CO103" i="4"/>
  <c r="CP103" i="4" s="1"/>
  <c r="DQ103" i="4"/>
  <c r="DR103" i="4"/>
  <c r="DA103" i="4"/>
  <c r="DB103" i="4" s="1"/>
  <c r="CK103" i="4"/>
  <c r="CL103" i="4" s="1"/>
  <c r="CW103" i="4"/>
  <c r="CX103" i="4" s="1"/>
  <c r="CG103" i="4"/>
  <c r="CH103" i="4" s="1"/>
  <c r="DM103" i="4"/>
  <c r="DN103" i="4" s="1"/>
  <c r="CA86" i="4"/>
  <c r="ER86" i="4"/>
  <c r="ES86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/>
  <c r="FI77" i="4"/>
  <c r="FJ77" i="4" s="1"/>
  <c r="FE77" i="4"/>
  <c r="FF77" i="4"/>
  <c r="FA77" i="4"/>
  <c r="FB77" i="4" s="1"/>
  <c r="EW77" i="4"/>
  <c r="EX77" i="4" s="1"/>
  <c r="ET77" i="4"/>
  <c r="GA77" i="4"/>
  <c r="GB77" i="4" s="1"/>
  <c r="FK77" i="4"/>
  <c r="FL77" i="4" s="1"/>
  <c r="EU77" i="4"/>
  <c r="EV77" i="4" s="1"/>
  <c r="GE77" i="4"/>
  <c r="GF77" i="4" s="1"/>
  <c r="FO77" i="4"/>
  <c r="FP77" i="4" s="1"/>
  <c r="EY77" i="4"/>
  <c r="EZ77" i="4" s="1"/>
  <c r="GI77" i="4"/>
  <c r="GJ77" i="4" s="1"/>
  <c r="FS77" i="4"/>
  <c r="FT77" i="4" s="1"/>
  <c r="FC77" i="4"/>
  <c r="FD77" i="4" s="1"/>
  <c r="FG77" i="4"/>
  <c r="FH77" i="4" s="1"/>
  <c r="FW77" i="4"/>
  <c r="FX77" i="4" s="1"/>
  <c r="CA82" i="4"/>
  <c r="ER82" i="4"/>
  <c r="ES82" i="4" s="1"/>
  <c r="AW73" i="4"/>
  <c r="AX73" i="4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/>
  <c r="U73" i="4"/>
  <c r="V73" i="4" s="1"/>
  <c r="Q73" i="4"/>
  <c r="R73" i="4"/>
  <c r="M73" i="4"/>
  <c r="N73" i="4" s="1"/>
  <c r="J73" i="4"/>
  <c r="AM73" i="4"/>
  <c r="AN73" i="4" s="1"/>
  <c r="W73" i="4"/>
  <c r="X73" i="4" s="1"/>
  <c r="AY73" i="4"/>
  <c r="AZ73" i="4" s="1"/>
  <c r="AI73" i="4"/>
  <c r="AJ73" i="4" s="1"/>
  <c r="S73" i="4"/>
  <c r="T73" i="4" s="1"/>
  <c r="AU73" i="4"/>
  <c r="AV73" i="4" s="1"/>
  <c r="AE73" i="4"/>
  <c r="AF73" i="4" s="1"/>
  <c r="O73" i="4"/>
  <c r="P73" i="4" s="1"/>
  <c r="AQ73" i="4"/>
  <c r="AR73" i="4"/>
  <c r="AA73" i="4"/>
  <c r="AB73" i="4" s="1"/>
  <c r="K73" i="4"/>
  <c r="L73" i="4" s="1"/>
  <c r="I54" i="4"/>
  <c r="BZ54" i="4"/>
  <c r="DQ58" i="4"/>
  <c r="DR58" i="4" s="1"/>
  <c r="DM58" i="4"/>
  <c r="DN58" i="4" s="1"/>
  <c r="DI58" i="4"/>
  <c r="DJ58" i="4" s="1"/>
  <c r="DE58" i="4"/>
  <c r="DF58" i="4" s="1"/>
  <c r="DA58" i="4"/>
  <c r="DB58" i="4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G58" i="4"/>
  <c r="DH58" i="4" s="1"/>
  <c r="CQ58" i="4"/>
  <c r="CR58" i="4" s="1"/>
  <c r="CB58" i="4"/>
  <c r="CU58" i="4"/>
  <c r="CV58" i="4" s="1"/>
  <c r="DO58" i="4"/>
  <c r="DP58" i="4" s="1"/>
  <c r="CI58" i="4"/>
  <c r="CJ58" i="4" s="1"/>
  <c r="DC58" i="4"/>
  <c r="DD58" i="4" s="1"/>
  <c r="ER59" i="4"/>
  <c r="ES59" i="4" s="1"/>
  <c r="CA59" i="4"/>
  <c r="DI59" i="4" s="1"/>
  <c r="DJ59" i="4" s="1"/>
  <c r="CA51" i="4"/>
  <c r="ER51" i="4"/>
  <c r="ES51" i="4" s="1"/>
  <c r="AY18" i="4"/>
  <c r="AZ18" i="4" s="1"/>
  <c r="AU18" i="4"/>
  <c r="AV18" i="4" s="1"/>
  <c r="AQ18" i="4"/>
  <c r="AR18" i="4" s="1"/>
  <c r="AM18" i="4"/>
  <c r="AN18" i="4" s="1"/>
  <c r="AI18" i="4"/>
  <c r="AJ18" i="4" s="1"/>
  <c r="AE18" i="4"/>
  <c r="AF18" i="4" s="1"/>
  <c r="AA18" i="4"/>
  <c r="AB18" i="4" s="1"/>
  <c r="W18" i="4"/>
  <c r="X18" i="4" s="1"/>
  <c r="S18" i="4"/>
  <c r="T18" i="4" s="1"/>
  <c r="O18" i="4"/>
  <c r="P18" i="4" s="1"/>
  <c r="K18" i="4"/>
  <c r="L18" i="4" s="1"/>
  <c r="AW18" i="4"/>
  <c r="AX18" i="4" s="1"/>
  <c r="AS18" i="4"/>
  <c r="AT18" i="4" s="1"/>
  <c r="AO18" i="4"/>
  <c r="AP18" i="4" s="1"/>
  <c r="AK18" i="4"/>
  <c r="AL18" i="4" s="1"/>
  <c r="AG18" i="4"/>
  <c r="AH18" i="4" s="1"/>
  <c r="AC18" i="4"/>
  <c r="AD18" i="4" s="1"/>
  <c r="Y18" i="4"/>
  <c r="Z18" i="4" s="1"/>
  <c r="U18" i="4"/>
  <c r="V18" i="4"/>
  <c r="Q18" i="4"/>
  <c r="R18" i="4" s="1"/>
  <c r="M18" i="4"/>
  <c r="N18" i="4" s="1"/>
  <c r="J18" i="4"/>
  <c r="CA26" i="4"/>
  <c r="DG26" i="4" s="1"/>
  <c r="ER26" i="4"/>
  <c r="ES26" i="4" s="1"/>
  <c r="CA20" i="4"/>
  <c r="DK20" i="4" s="1"/>
  <c r="DL20" i="4" s="1"/>
  <c r="ER20" i="4"/>
  <c r="ES20" i="4" s="1"/>
  <c r="DQ31" i="4"/>
  <c r="DR31" i="4" s="1"/>
  <c r="DM31" i="4"/>
  <c r="DN31" i="4" s="1"/>
  <c r="DI31" i="4"/>
  <c r="DJ31" i="4" s="1"/>
  <c r="DE31" i="4"/>
  <c r="DF31" i="4" s="1"/>
  <c r="DA31" i="4"/>
  <c r="DB31" i="4" s="1"/>
  <c r="CW31" i="4"/>
  <c r="CX31" i="4" s="1"/>
  <c r="CS31" i="4"/>
  <c r="CT31" i="4" s="1"/>
  <c r="CO31" i="4"/>
  <c r="CP31" i="4" s="1"/>
  <c r="CK31" i="4"/>
  <c r="CL31" i="4" s="1"/>
  <c r="CG31" i="4"/>
  <c r="CH31" i="4" s="1"/>
  <c r="CC31" i="4"/>
  <c r="CD31" i="4" s="1"/>
  <c r="DO31" i="4"/>
  <c r="DP31" i="4" s="1"/>
  <c r="DK31" i="4"/>
  <c r="DL31" i="4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/>
  <c r="CI31" i="4"/>
  <c r="CJ31" i="4" s="1"/>
  <c r="CE31" i="4"/>
  <c r="CF31" i="4" s="1"/>
  <c r="CB31" i="4"/>
  <c r="GA63" i="4"/>
  <c r="GB63" i="4" s="1"/>
  <c r="FK63" i="4"/>
  <c r="FL63" i="4" s="1"/>
  <c r="EU63" i="4"/>
  <c r="EV63" i="4" s="1"/>
  <c r="FY63" i="4"/>
  <c r="FZ63" i="4"/>
  <c r="FI63" i="4"/>
  <c r="FJ63" i="4" s="1"/>
  <c r="ET63" i="4"/>
  <c r="GE63" i="4"/>
  <c r="GF63" i="4" s="1"/>
  <c r="FW63" i="4"/>
  <c r="FX63" i="4" s="1"/>
  <c r="FO63" i="4"/>
  <c r="FP63" i="4" s="1"/>
  <c r="FG63" i="4"/>
  <c r="FH63" i="4"/>
  <c r="EY63" i="4"/>
  <c r="EZ63" i="4" s="1"/>
  <c r="GC63" i="4"/>
  <c r="GD63" i="4" s="1"/>
  <c r="EW63" i="4"/>
  <c r="EX63" i="4" s="1"/>
  <c r="FU63" i="4"/>
  <c r="FV63" i="4" s="1"/>
  <c r="FM63" i="4"/>
  <c r="FN63" i="4" s="1"/>
  <c r="FE63" i="4"/>
  <c r="FF63" i="4" s="1"/>
  <c r="FK105" i="4"/>
  <c r="FL105" i="4" s="1"/>
  <c r="FI105" i="4"/>
  <c r="FJ105" i="4" s="1"/>
  <c r="GI105" i="4"/>
  <c r="GJ105" i="4" s="1"/>
  <c r="FS105" i="4"/>
  <c r="FT105" i="4" s="1"/>
  <c r="FC105" i="4"/>
  <c r="FD105" i="4" s="1"/>
  <c r="GG105" i="4"/>
  <c r="GH105" i="4" s="1"/>
  <c r="FW105" i="4"/>
  <c r="FX105" i="4" s="1"/>
  <c r="FQ105" i="4"/>
  <c r="FR105" i="4" s="1"/>
  <c r="AY89" i="4"/>
  <c r="AZ89" i="4"/>
  <c r="AU89" i="4"/>
  <c r="AV89" i="4" s="1"/>
  <c r="AQ89" i="4"/>
  <c r="AR89" i="4" s="1"/>
  <c r="AM89" i="4"/>
  <c r="AN89" i="4" s="1"/>
  <c r="AI89" i="4"/>
  <c r="AJ89" i="4" s="1"/>
  <c r="AE89" i="4"/>
  <c r="AF89" i="4" s="1"/>
  <c r="AA89" i="4"/>
  <c r="AB89" i="4" s="1"/>
  <c r="W89" i="4"/>
  <c r="X89" i="4" s="1"/>
  <c r="S89" i="4"/>
  <c r="T89" i="4"/>
  <c r="O89" i="4"/>
  <c r="P89" i="4" s="1"/>
  <c r="K89" i="4"/>
  <c r="L89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/>
  <c r="Y89" i="4"/>
  <c r="Z89" i="4" s="1"/>
  <c r="U89" i="4"/>
  <c r="V89" i="4" s="1"/>
  <c r="Q89" i="4"/>
  <c r="R89" i="4" s="1"/>
  <c r="M89" i="4"/>
  <c r="N89" i="4" s="1"/>
  <c r="J89" i="4"/>
  <c r="GG97" i="4"/>
  <c r="GH97" i="4" s="1"/>
  <c r="GC97" i="4"/>
  <c r="GD97" i="4" s="1"/>
  <c r="FY97" i="4"/>
  <c r="FZ97" i="4" s="1"/>
  <c r="FU97" i="4"/>
  <c r="FV97" i="4" s="1"/>
  <c r="FQ97" i="4"/>
  <c r="FR97" i="4" s="1"/>
  <c r="FM97" i="4"/>
  <c r="FN97" i="4" s="1"/>
  <c r="GE97" i="4"/>
  <c r="GF97" i="4" s="1"/>
  <c r="FO97" i="4"/>
  <c r="FP97" i="4" s="1"/>
  <c r="FE97" i="4"/>
  <c r="FF97" i="4" s="1"/>
  <c r="EW97" i="4"/>
  <c r="EX97" i="4" s="1"/>
  <c r="GA97" i="4"/>
  <c r="GB97" i="4" s="1"/>
  <c r="FK97" i="4"/>
  <c r="FL97" i="4" s="1"/>
  <c r="FC97" i="4"/>
  <c r="FD97" i="4" s="1"/>
  <c r="EU97" i="4"/>
  <c r="EV97" i="4" s="1"/>
  <c r="FW97" i="4"/>
  <c r="FX97" i="4" s="1"/>
  <c r="FI97" i="4"/>
  <c r="FJ97" i="4" s="1"/>
  <c r="FA97" i="4"/>
  <c r="FB97" i="4" s="1"/>
  <c r="ET97" i="4"/>
  <c r="FG97" i="4"/>
  <c r="FH97" i="4" s="1"/>
  <c r="EY97" i="4"/>
  <c r="EZ97" i="4" s="1"/>
  <c r="GI97" i="4"/>
  <c r="GJ97" i="4"/>
  <c r="FS97" i="4"/>
  <c r="FT97" i="4" s="1"/>
  <c r="DQ148" i="4"/>
  <c r="DR148" i="4" s="1"/>
  <c r="DM148" i="4"/>
  <c r="DN148" i="4" s="1"/>
  <c r="DI148" i="4"/>
  <c r="DJ148" i="4"/>
  <c r="DE148" i="4"/>
  <c r="DF148" i="4" s="1"/>
  <c r="DA148" i="4"/>
  <c r="DB148" i="4" s="1"/>
  <c r="CW148" i="4"/>
  <c r="CX148" i="4" s="1"/>
  <c r="CS148" i="4"/>
  <c r="CT148" i="4"/>
  <c r="CO148" i="4"/>
  <c r="CP148" i="4" s="1"/>
  <c r="CK148" i="4"/>
  <c r="CL148" i="4" s="1"/>
  <c r="CG148" i="4"/>
  <c r="CH148" i="4" s="1"/>
  <c r="CC148" i="4"/>
  <c r="CD148" i="4" s="1"/>
  <c r="DG148" i="4"/>
  <c r="DH148" i="4" s="1"/>
  <c r="CQ148" i="4"/>
  <c r="CR148" i="4" s="1"/>
  <c r="CB148" i="4"/>
  <c r="DC148" i="4"/>
  <c r="DD148" i="4" s="1"/>
  <c r="CM148" i="4"/>
  <c r="CN148" i="4" s="1"/>
  <c r="CY148" i="4"/>
  <c r="CZ148" i="4" s="1"/>
  <c r="CU148" i="4"/>
  <c r="CV148" i="4" s="1"/>
  <c r="DO148" i="4"/>
  <c r="DP148" i="4" s="1"/>
  <c r="CI148" i="4"/>
  <c r="CJ148" i="4" s="1"/>
  <c r="CE148" i="4"/>
  <c r="CF148" i="4" s="1"/>
  <c r="DK148" i="4"/>
  <c r="DL148" i="4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/>
  <c r="FK24" i="4"/>
  <c r="FL24" i="4" s="1"/>
  <c r="FG24" i="4"/>
  <c r="FH24" i="4" s="1"/>
  <c r="FC24" i="4"/>
  <c r="FD24" i="4" s="1"/>
  <c r="EY24" i="4"/>
  <c r="EZ24" i="4" s="1"/>
  <c r="EU24" i="4"/>
  <c r="EV24" i="4" s="1"/>
  <c r="GG24" i="4"/>
  <c r="GH24" i="4"/>
  <c r="GC24" i="4"/>
  <c r="GD24" i="4" s="1"/>
  <c r="FY24" i="4"/>
  <c r="FZ24" i="4" s="1"/>
  <c r="FU24" i="4"/>
  <c r="FV24" i="4" s="1"/>
  <c r="FQ24" i="4"/>
  <c r="FR24" i="4" s="1"/>
  <c r="FM24" i="4"/>
  <c r="FN24" i="4" s="1"/>
  <c r="FI24" i="4"/>
  <c r="FJ24" i="4" s="1"/>
  <c r="FE24" i="4"/>
  <c r="FF24" i="4" s="1"/>
  <c r="FA24" i="4"/>
  <c r="FB24" i="4" s="1"/>
  <c r="EW24" i="4"/>
  <c r="EX24" i="4" s="1"/>
  <c r="ET24" i="4"/>
  <c r="DQ39" i="4"/>
  <c r="DR39" i="4" s="1"/>
  <c r="DK39" i="4"/>
  <c r="DL39" i="4"/>
  <c r="DA39" i="4"/>
  <c r="DB39" i="4" s="1"/>
  <c r="CU39" i="4"/>
  <c r="CV39" i="4" s="1"/>
  <c r="CK39" i="4"/>
  <c r="CL39" i="4" s="1"/>
  <c r="CE39" i="4"/>
  <c r="CF39" i="4" s="1"/>
  <c r="CQ39" i="4"/>
  <c r="CR39" i="4" s="1"/>
  <c r="CG39" i="4"/>
  <c r="CH39" i="4" s="1"/>
  <c r="DO39" i="4"/>
  <c r="DP39" i="4" s="1"/>
  <c r="DE39" i="4"/>
  <c r="DF39" i="4"/>
  <c r="CY39" i="4"/>
  <c r="CZ39" i="4" s="1"/>
  <c r="CO39" i="4"/>
  <c r="CP39" i="4" s="1"/>
  <c r="CI39" i="4"/>
  <c r="CJ39" i="4" s="1"/>
  <c r="DI39" i="4"/>
  <c r="DJ39" i="4" s="1"/>
  <c r="DC39" i="4"/>
  <c r="DD39" i="4" s="1"/>
  <c r="CS39" i="4"/>
  <c r="CT39" i="4" s="1"/>
  <c r="CM39" i="4"/>
  <c r="CN39" i="4" s="1"/>
  <c r="CC39" i="4"/>
  <c r="CD39" i="4"/>
  <c r="DM39" i="4"/>
  <c r="DN39" i="4" s="1"/>
  <c r="DG39" i="4"/>
  <c r="DH39" i="4"/>
  <c r="CW39" i="4"/>
  <c r="CX39" i="4" s="1"/>
  <c r="CB39" i="4"/>
  <c r="DO53" i="4"/>
  <c r="DP53" i="4" s="1"/>
  <c r="DK53" i="4"/>
  <c r="DL53" i="4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/>
  <c r="CB53" i="4"/>
  <c r="DM53" i="4"/>
  <c r="DN53" i="4" s="1"/>
  <c r="CW53" i="4"/>
  <c r="CX53" i="4" s="1"/>
  <c r="CG53" i="4"/>
  <c r="CH53" i="4" s="1"/>
  <c r="DI53" i="4"/>
  <c r="DJ53" i="4" s="1"/>
  <c r="CS53" i="4"/>
  <c r="CT53" i="4" s="1"/>
  <c r="CC53" i="4"/>
  <c r="CD53" i="4" s="1"/>
  <c r="DE53" i="4"/>
  <c r="DF53" i="4" s="1"/>
  <c r="CO53" i="4"/>
  <c r="CP53" i="4" s="1"/>
  <c r="DQ53" i="4"/>
  <c r="DR53" i="4" s="1"/>
  <c r="DA53" i="4"/>
  <c r="DB53" i="4" s="1"/>
  <c r="CK53" i="4"/>
  <c r="CL53" i="4" s="1"/>
  <c r="GI26" i="4"/>
  <c r="GJ26" i="4" s="1"/>
  <c r="GC26" i="4"/>
  <c r="GD26" i="4" s="1"/>
  <c r="FM26" i="4"/>
  <c r="FN26" i="4" s="1"/>
  <c r="DC59" i="4"/>
  <c r="DD59" i="4" s="1"/>
  <c r="CM59" i="4"/>
  <c r="CN59" i="4" s="1"/>
  <c r="DM59" i="4"/>
  <c r="DN59" i="4" s="1"/>
  <c r="CW59" i="4"/>
  <c r="CX59" i="4" s="1"/>
  <c r="CG59" i="4"/>
  <c r="CH59" i="4" s="1"/>
  <c r="CA54" i="4"/>
  <c r="ER54" i="4"/>
  <c r="ES54" i="4" s="1"/>
  <c r="FY86" i="4"/>
  <c r="FZ86" i="4" s="1"/>
  <c r="FQ86" i="4"/>
  <c r="FR86" i="4" s="1"/>
  <c r="ET86" i="4"/>
  <c r="EU86" i="4"/>
  <c r="EV86" i="4" s="1"/>
  <c r="GE86" i="4"/>
  <c r="GF86" i="4" s="1"/>
  <c r="DE144" i="4"/>
  <c r="DF144" i="4" s="1"/>
  <c r="DG144" i="4"/>
  <c r="DH144" i="4" s="1"/>
  <c r="CS144" i="4"/>
  <c r="CT144" i="4" s="1"/>
  <c r="CC144" i="4"/>
  <c r="CD144" i="4" s="1"/>
  <c r="CM144" i="4"/>
  <c r="CN144" i="4" s="1"/>
  <c r="DK144" i="4"/>
  <c r="DL144" i="4" s="1"/>
  <c r="CW144" i="4"/>
  <c r="CX144" i="4" s="1"/>
  <c r="CK144" i="4"/>
  <c r="CL144" i="4" s="1"/>
  <c r="GI151" i="4"/>
  <c r="GJ151" i="4" s="1"/>
  <c r="GA151" i="4"/>
  <c r="GB151" i="4" s="1"/>
  <c r="FS151" i="4"/>
  <c r="FT151" i="4" s="1"/>
  <c r="FK151" i="4"/>
  <c r="FL151" i="4"/>
  <c r="FC151" i="4"/>
  <c r="FD151" i="4" s="1"/>
  <c r="EU151" i="4"/>
  <c r="EV151" i="4" s="1"/>
  <c r="GG151" i="4"/>
  <c r="GH151" i="4" s="1"/>
  <c r="GC151" i="4"/>
  <c r="GD151" i="4"/>
  <c r="FU151" i="4"/>
  <c r="FV151" i="4" s="1"/>
  <c r="FM151" i="4"/>
  <c r="FN151" i="4" s="1"/>
  <c r="FE151" i="4"/>
  <c r="FF151" i="4" s="1"/>
  <c r="EW151" i="4"/>
  <c r="EX151" i="4"/>
  <c r="FQ151" i="4"/>
  <c r="FR151" i="4" s="1"/>
  <c r="FA151" i="4"/>
  <c r="FB151" i="4" s="1"/>
  <c r="GE151" i="4"/>
  <c r="GF151" i="4" s="1"/>
  <c r="FO151" i="4"/>
  <c r="FP151" i="4"/>
  <c r="EY151" i="4"/>
  <c r="EZ151" i="4" s="1"/>
  <c r="FY151" i="4"/>
  <c r="FZ151" i="4" s="1"/>
  <c r="FI151" i="4"/>
  <c r="FJ151" i="4" s="1"/>
  <c r="ET151" i="4"/>
  <c r="FG151" i="4"/>
  <c r="FH151" i="4" s="1"/>
  <c r="FW151" i="4"/>
  <c r="FX151" i="4" s="1"/>
  <c r="GI118" i="4"/>
  <c r="GJ118" i="4" s="1"/>
  <c r="FY118" i="4"/>
  <c r="FZ118" i="4" s="1"/>
  <c r="FS118" i="4"/>
  <c r="FT118" i="4" s="1"/>
  <c r="FI118" i="4"/>
  <c r="FJ118" i="4"/>
  <c r="FC118" i="4"/>
  <c r="FD118" i="4" s="1"/>
  <c r="ET118" i="4"/>
  <c r="GC118" i="4"/>
  <c r="GD118" i="4"/>
  <c r="FW118" i="4"/>
  <c r="FX118" i="4" s="1"/>
  <c r="FM118" i="4"/>
  <c r="FN118" i="4" s="1"/>
  <c r="FG118" i="4"/>
  <c r="FH118" i="4" s="1"/>
  <c r="EW118" i="4"/>
  <c r="EX118" i="4"/>
  <c r="GG118" i="4"/>
  <c r="GH118" i="4" s="1"/>
  <c r="GA118" i="4"/>
  <c r="GB118" i="4"/>
  <c r="FQ118" i="4"/>
  <c r="FR118" i="4" s="1"/>
  <c r="FK118" i="4"/>
  <c r="FL118" i="4" s="1"/>
  <c r="FA118" i="4"/>
  <c r="FB118" i="4" s="1"/>
  <c r="EU118" i="4"/>
  <c r="EV118" i="4" s="1"/>
  <c r="FE118" i="4"/>
  <c r="FF118" i="4" s="1"/>
  <c r="FU118" i="4"/>
  <c r="FV118" i="4"/>
  <c r="EY118" i="4"/>
  <c r="EZ118" i="4" s="1"/>
  <c r="FO118" i="4"/>
  <c r="FP118" i="4"/>
  <c r="GE118" i="4"/>
  <c r="GF118" i="4" s="1"/>
  <c r="GI155" i="4"/>
  <c r="GJ155" i="4" s="1"/>
  <c r="GE155" i="4"/>
  <c r="GF155" i="4" s="1"/>
  <c r="GA155" i="4"/>
  <c r="GB155" i="4"/>
  <c r="FW155" i="4"/>
  <c r="FX155" i="4" s="1"/>
  <c r="FS155" i="4"/>
  <c r="FT155" i="4" s="1"/>
  <c r="FO155" i="4"/>
  <c r="FP155" i="4" s="1"/>
  <c r="FK155" i="4"/>
  <c r="FL155" i="4" s="1"/>
  <c r="FG155" i="4"/>
  <c r="FH155" i="4" s="1"/>
  <c r="FC155" i="4"/>
  <c r="FD155" i="4" s="1"/>
  <c r="EY155" i="4"/>
  <c r="EZ155" i="4" s="1"/>
  <c r="EU155" i="4"/>
  <c r="EV155" i="4" s="1"/>
  <c r="FY155" i="4"/>
  <c r="FZ155" i="4" s="1"/>
  <c r="FQ155" i="4"/>
  <c r="FR155" i="4"/>
  <c r="FI155" i="4"/>
  <c r="FJ155" i="4" s="1"/>
  <c r="FA155" i="4"/>
  <c r="FB155" i="4" s="1"/>
  <c r="ET155" i="4"/>
  <c r="GG155" i="4"/>
  <c r="GH155" i="4" s="1"/>
  <c r="EW155" i="4"/>
  <c r="EX155" i="4" s="1"/>
  <c r="GC155" i="4"/>
  <c r="GD155" i="4" s="1"/>
  <c r="FE155" i="4"/>
  <c r="FF155" i="4" s="1"/>
  <c r="FM155" i="4"/>
  <c r="FN155" i="4" s="1"/>
  <c r="FU155" i="4"/>
  <c r="FV155" i="4" s="1"/>
  <c r="DQ69" i="4"/>
  <c r="DR69" i="4"/>
  <c r="DM69" i="4"/>
  <c r="DN69" i="4" s="1"/>
  <c r="DI69" i="4"/>
  <c r="DJ69" i="4" s="1"/>
  <c r="DE69" i="4"/>
  <c r="DF69" i="4" s="1"/>
  <c r="DA69" i="4"/>
  <c r="DB69" i="4" s="1"/>
  <c r="CW69" i="4"/>
  <c r="CX69" i="4" s="1"/>
  <c r="CS69" i="4"/>
  <c r="CT69" i="4" s="1"/>
  <c r="CO69" i="4"/>
  <c r="CP69" i="4" s="1"/>
  <c r="CK69" i="4"/>
  <c r="CL69" i="4"/>
  <c r="CG69" i="4"/>
  <c r="CH69" i="4" s="1"/>
  <c r="CC69" i="4"/>
  <c r="CD69" i="4" s="1"/>
  <c r="DC69" i="4"/>
  <c r="DD69" i="4" s="1"/>
  <c r="CM69" i="4"/>
  <c r="CN69" i="4" s="1"/>
  <c r="DO69" i="4"/>
  <c r="DP69" i="4" s="1"/>
  <c r="CY69" i="4"/>
  <c r="CZ69" i="4" s="1"/>
  <c r="CI69" i="4"/>
  <c r="CJ69" i="4" s="1"/>
  <c r="DK69" i="4"/>
  <c r="DL69" i="4"/>
  <c r="CU69" i="4"/>
  <c r="CV69" i="4" s="1"/>
  <c r="CE69" i="4"/>
  <c r="CF69" i="4" s="1"/>
  <c r="CB69" i="4"/>
  <c r="DG69" i="4"/>
  <c r="DH69" i="4" s="1"/>
  <c r="CQ69" i="4"/>
  <c r="CR69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/>
  <c r="CC47" i="4"/>
  <c r="CD47" i="4" s="1"/>
  <c r="DG47" i="4"/>
  <c r="DH47" i="4" s="1"/>
  <c r="CQ47" i="4"/>
  <c r="CR47" i="4" s="1"/>
  <c r="CB47" i="4"/>
  <c r="DC47" i="4"/>
  <c r="DD47" i="4" s="1"/>
  <c r="CM47" i="4"/>
  <c r="CN47" i="4" s="1"/>
  <c r="DO47" i="4"/>
  <c r="DP47" i="4" s="1"/>
  <c r="CY47" i="4"/>
  <c r="CZ47" i="4" s="1"/>
  <c r="CI47" i="4"/>
  <c r="CJ47" i="4" s="1"/>
  <c r="DK47" i="4"/>
  <c r="DL47" i="4" s="1"/>
  <c r="CU47" i="4"/>
  <c r="CV47" i="4" s="1"/>
  <c r="CE47" i="4"/>
  <c r="CF47" i="4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/>
  <c r="CI88" i="4"/>
  <c r="CJ88" i="4" s="1"/>
  <c r="CE88" i="4"/>
  <c r="CF88" i="4"/>
  <c r="CB88" i="4"/>
  <c r="DM88" i="4"/>
  <c r="DN88" i="4" s="1"/>
  <c r="CW88" i="4"/>
  <c r="CX88" i="4"/>
  <c r="CG88" i="4"/>
  <c r="CH88" i="4" s="1"/>
  <c r="DI88" i="4"/>
  <c r="DJ88" i="4" s="1"/>
  <c r="CS88" i="4"/>
  <c r="CT88" i="4" s="1"/>
  <c r="CC88" i="4"/>
  <c r="CD88" i="4" s="1"/>
  <c r="DE88" i="4"/>
  <c r="DF88" i="4" s="1"/>
  <c r="CO88" i="4"/>
  <c r="CP88" i="4" s="1"/>
  <c r="DQ88" i="4"/>
  <c r="DR88" i="4" s="1"/>
  <c r="DA88" i="4"/>
  <c r="DB88" i="4" s="1"/>
  <c r="CK88" i="4"/>
  <c r="CL88" i="4" s="1"/>
  <c r="GG31" i="4"/>
  <c r="GH31" i="4"/>
  <c r="GC31" i="4"/>
  <c r="GD31" i="4" s="1"/>
  <c r="FY31" i="4"/>
  <c r="FZ31" i="4" s="1"/>
  <c r="FU31" i="4"/>
  <c r="FV31" i="4" s="1"/>
  <c r="FQ31" i="4"/>
  <c r="FR31" i="4"/>
  <c r="FM31" i="4"/>
  <c r="FN31" i="4" s="1"/>
  <c r="FI31" i="4"/>
  <c r="FJ31" i="4" s="1"/>
  <c r="FE31" i="4"/>
  <c r="FF31" i="4" s="1"/>
  <c r="FA31" i="4"/>
  <c r="FB31" i="4"/>
  <c r="EW31" i="4"/>
  <c r="EX31" i="4" s="1"/>
  <c r="ET31" i="4"/>
  <c r="GI31" i="4"/>
  <c r="GJ31" i="4"/>
  <c r="GE31" i="4"/>
  <c r="GF31" i="4" s="1"/>
  <c r="GA31" i="4"/>
  <c r="GB31" i="4"/>
  <c r="FW31" i="4"/>
  <c r="FX31" i="4" s="1"/>
  <c r="FS31" i="4"/>
  <c r="FT31" i="4"/>
  <c r="FO31" i="4"/>
  <c r="FP31" i="4" s="1"/>
  <c r="FK31" i="4"/>
  <c r="FL31" i="4"/>
  <c r="FG31" i="4"/>
  <c r="FH31" i="4" s="1"/>
  <c r="FC31" i="4"/>
  <c r="FD31" i="4"/>
  <c r="EY31" i="4"/>
  <c r="EZ31" i="4" s="1"/>
  <c r="EU31" i="4"/>
  <c r="EV31" i="4"/>
  <c r="DQ63" i="4"/>
  <c r="DR63" i="4" s="1"/>
  <c r="DI63" i="4"/>
  <c r="DJ63" i="4"/>
  <c r="DA63" i="4"/>
  <c r="DB63" i="4" s="1"/>
  <c r="CS63" i="4"/>
  <c r="CT63" i="4"/>
  <c r="CK63" i="4"/>
  <c r="CL63" i="4" s="1"/>
  <c r="CC63" i="4"/>
  <c r="CD63" i="4" s="1"/>
  <c r="DO63" i="4"/>
  <c r="DP63" i="4" s="1"/>
  <c r="DG63" i="4"/>
  <c r="DH63" i="4" s="1"/>
  <c r="CY63" i="4"/>
  <c r="CZ63" i="4" s="1"/>
  <c r="CQ63" i="4"/>
  <c r="CR63" i="4" s="1"/>
  <c r="CI63" i="4"/>
  <c r="CJ63" i="4" s="1"/>
  <c r="CB63" i="4"/>
  <c r="DM63" i="4"/>
  <c r="DN63" i="4" s="1"/>
  <c r="DE63" i="4"/>
  <c r="DF63" i="4" s="1"/>
  <c r="CW63" i="4"/>
  <c r="CX63" i="4" s="1"/>
  <c r="CO63" i="4"/>
  <c r="CP63" i="4"/>
  <c r="CG63" i="4"/>
  <c r="CH63" i="4" s="1"/>
  <c r="DC63" i="4"/>
  <c r="DD63" i="4" s="1"/>
  <c r="CU63" i="4"/>
  <c r="CV63" i="4" s="1"/>
  <c r="CM63" i="4"/>
  <c r="CN63" i="4" s="1"/>
  <c r="DK63" i="4"/>
  <c r="DL63" i="4" s="1"/>
  <c r="CE63" i="4"/>
  <c r="CF63" i="4"/>
  <c r="DQ105" i="4"/>
  <c r="DR105" i="4" s="1"/>
  <c r="DG105" i="4"/>
  <c r="DH105" i="4" s="1"/>
  <c r="DA105" i="4"/>
  <c r="DB105" i="4" s="1"/>
  <c r="CQ105" i="4"/>
  <c r="CR105" i="4" s="1"/>
  <c r="CK105" i="4"/>
  <c r="CL105" i="4" s="1"/>
  <c r="CB105" i="4"/>
  <c r="DK105" i="4"/>
  <c r="DL105" i="4" s="1"/>
  <c r="DE105" i="4"/>
  <c r="DF105" i="4"/>
  <c r="CU105" i="4"/>
  <c r="CV105" i="4" s="1"/>
  <c r="CO105" i="4"/>
  <c r="CP105" i="4"/>
  <c r="CE105" i="4"/>
  <c r="CF105" i="4" s="1"/>
  <c r="DO105" i="4"/>
  <c r="DP105" i="4"/>
  <c r="DI105" i="4"/>
  <c r="DJ105" i="4" s="1"/>
  <c r="CY105" i="4"/>
  <c r="CZ105" i="4"/>
  <c r="CS105" i="4"/>
  <c r="CT105" i="4" s="1"/>
  <c r="CI105" i="4"/>
  <c r="CJ105" i="4"/>
  <c r="CC105" i="4"/>
  <c r="CD105" i="4" s="1"/>
  <c r="DC105" i="4"/>
  <c r="DD105" i="4"/>
  <c r="CG105" i="4"/>
  <c r="CH105" i="4" s="1"/>
  <c r="CW105" i="4"/>
  <c r="CX105" i="4"/>
  <c r="DM105" i="4"/>
  <c r="DN105" i="4" s="1"/>
  <c r="CM105" i="4"/>
  <c r="CN105" i="4"/>
  <c r="ER89" i="4"/>
  <c r="ES89" i="4" s="1"/>
  <c r="FI89" i="4" s="1"/>
  <c r="FJ89" i="4" s="1"/>
  <c r="CA89" i="4"/>
  <c r="DK97" i="4"/>
  <c r="DL97" i="4" s="1"/>
  <c r="DC97" i="4"/>
  <c r="DD97" i="4" s="1"/>
  <c r="CS97" i="4"/>
  <c r="CT97" i="4" s="1"/>
  <c r="CM97" i="4"/>
  <c r="CN97" i="4" s="1"/>
  <c r="CC97" i="4"/>
  <c r="CD97" i="4"/>
  <c r="DQ97" i="4"/>
  <c r="DR97" i="4" s="1"/>
  <c r="DI97" i="4"/>
  <c r="DJ97" i="4"/>
  <c r="CW97" i="4"/>
  <c r="CX97" i="4" s="1"/>
  <c r="CQ97" i="4"/>
  <c r="CR97" i="4" s="1"/>
  <c r="CG97" i="4"/>
  <c r="CH97" i="4" s="1"/>
  <c r="CB97" i="4"/>
  <c r="DO97" i="4"/>
  <c r="DP97" i="4" s="1"/>
  <c r="DG97" i="4"/>
  <c r="DH97" i="4" s="1"/>
  <c r="DA97" i="4"/>
  <c r="DB97" i="4" s="1"/>
  <c r="CU97" i="4"/>
  <c r="CV97" i="4" s="1"/>
  <c r="CK97" i="4"/>
  <c r="CL97" i="4" s="1"/>
  <c r="CE97" i="4"/>
  <c r="CF97" i="4"/>
  <c r="DM97" i="4"/>
  <c r="DN97" i="4" s="1"/>
  <c r="CO97" i="4"/>
  <c r="CP97" i="4"/>
  <c r="DE97" i="4"/>
  <c r="DF97" i="4" s="1"/>
  <c r="CI97" i="4"/>
  <c r="CJ97" i="4" s="1"/>
  <c r="CY97" i="4"/>
  <c r="CZ97" i="4" s="1"/>
  <c r="GG148" i="4"/>
  <c r="GH148" i="4" s="1"/>
  <c r="GC148" i="4"/>
  <c r="GD148" i="4" s="1"/>
  <c r="FY148" i="4"/>
  <c r="FZ148" i="4"/>
  <c r="FU148" i="4"/>
  <c r="FV148" i="4" s="1"/>
  <c r="FQ148" i="4"/>
  <c r="FR148" i="4"/>
  <c r="FM148" i="4"/>
  <c r="FN148" i="4" s="1"/>
  <c r="FI148" i="4"/>
  <c r="FJ148" i="4" s="1"/>
  <c r="FE148" i="4"/>
  <c r="FF148" i="4" s="1"/>
  <c r="FA148" i="4"/>
  <c r="FB148" i="4" s="1"/>
  <c r="EW148" i="4"/>
  <c r="EX148" i="4" s="1"/>
  <c r="ET148" i="4"/>
  <c r="GA148" i="4"/>
  <c r="GB148" i="4" s="1"/>
  <c r="FK148" i="4"/>
  <c r="FL148" i="4" s="1"/>
  <c r="EU148" i="4"/>
  <c r="EV148" i="4"/>
  <c r="FW148" i="4"/>
  <c r="FX148" i="4" s="1"/>
  <c r="FG148" i="4"/>
  <c r="FH148" i="4" s="1"/>
  <c r="GE148" i="4"/>
  <c r="GF148" i="4" s="1"/>
  <c r="EY148" i="4"/>
  <c r="EZ148" i="4" s="1"/>
  <c r="FS148" i="4"/>
  <c r="FT148" i="4" s="1"/>
  <c r="FO148" i="4"/>
  <c r="FP148" i="4" s="1"/>
  <c r="GI148" i="4"/>
  <c r="GJ148" i="4" s="1"/>
  <c r="FC148" i="4"/>
  <c r="FD148" i="4" s="1"/>
  <c r="DO24" i="4"/>
  <c r="DP24" i="4" s="1"/>
  <c r="DK24" i="4"/>
  <c r="DL24" i="4"/>
  <c r="DG24" i="4"/>
  <c r="DH24" i="4" s="1"/>
  <c r="DC24" i="4"/>
  <c r="DD24" i="4" s="1"/>
  <c r="CY24" i="4"/>
  <c r="CZ24" i="4" s="1"/>
  <c r="CU24" i="4"/>
  <c r="CV24" i="4" s="1"/>
  <c r="CQ24" i="4"/>
  <c r="CR24" i="4" s="1"/>
  <c r="CM24" i="4"/>
  <c r="CN24" i="4"/>
  <c r="CI24" i="4"/>
  <c r="CJ24" i="4" s="1"/>
  <c r="CE24" i="4"/>
  <c r="CF24" i="4" s="1"/>
  <c r="CB24" i="4"/>
  <c r="DQ24" i="4"/>
  <c r="DR24" i="4" s="1"/>
  <c r="DM24" i="4"/>
  <c r="DN24" i="4" s="1"/>
  <c r="DI24" i="4"/>
  <c r="DJ24" i="4" s="1"/>
  <c r="DE24" i="4"/>
  <c r="DF24" i="4" s="1"/>
  <c r="DA24" i="4"/>
  <c r="DB24" i="4" s="1"/>
  <c r="CW24" i="4"/>
  <c r="CX24" i="4"/>
  <c r="CS24" i="4"/>
  <c r="CT24" i="4" s="1"/>
  <c r="CO24" i="4"/>
  <c r="CP24" i="4"/>
  <c r="CK24" i="4"/>
  <c r="CL24" i="4" s="1"/>
  <c r="CG24" i="4"/>
  <c r="CH24" i="4" s="1"/>
  <c r="CC24" i="4"/>
  <c r="CD24" i="4" s="1"/>
  <c r="DO45" i="4"/>
  <c r="DP45" i="4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E45" i="4"/>
  <c r="DF45" i="4" s="1"/>
  <c r="CO45" i="4"/>
  <c r="CP45" i="4" s="1"/>
  <c r="DQ45" i="4"/>
  <c r="DR45" i="4"/>
  <c r="DA45" i="4"/>
  <c r="DB45" i="4" s="1"/>
  <c r="CK45" i="4"/>
  <c r="CL45" i="4"/>
  <c r="DM45" i="4"/>
  <c r="DN45" i="4" s="1"/>
  <c r="CW45" i="4"/>
  <c r="CX45" i="4" s="1"/>
  <c r="CG45" i="4"/>
  <c r="CH45" i="4" s="1"/>
  <c r="DI45" i="4"/>
  <c r="DJ45" i="4" s="1"/>
  <c r="CS45" i="4"/>
  <c r="CT45" i="4" s="1"/>
  <c r="CC45" i="4"/>
  <c r="CD45" i="4"/>
  <c r="GG53" i="4"/>
  <c r="GH53" i="4" s="1"/>
  <c r="GC53" i="4"/>
  <c r="GD53" i="4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/>
  <c r="FA53" i="4"/>
  <c r="FB53" i="4" s="1"/>
  <c r="EW53" i="4"/>
  <c r="EX53" i="4"/>
  <c r="ET53" i="4"/>
  <c r="GI53" i="4"/>
  <c r="GJ53" i="4" s="1"/>
  <c r="FS53" i="4"/>
  <c r="FT53" i="4" s="1"/>
  <c r="FC53" i="4"/>
  <c r="FD53" i="4" s="1"/>
  <c r="FW53" i="4"/>
  <c r="FX53" i="4" s="1"/>
  <c r="FG53" i="4"/>
  <c r="FH53" i="4" s="1"/>
  <c r="GA53" i="4"/>
  <c r="GB53" i="4" s="1"/>
  <c r="FK53" i="4"/>
  <c r="FL53" i="4" s="1"/>
  <c r="EU53" i="4"/>
  <c r="EV53" i="4" s="1"/>
  <c r="FO53" i="4"/>
  <c r="FP53" i="4" s="1"/>
  <c r="GE53" i="4"/>
  <c r="GF53" i="4" s="1"/>
  <c r="EY53" i="4"/>
  <c r="EZ53" i="4" s="1"/>
  <c r="DO20" i="4"/>
  <c r="DP20" i="4" s="1"/>
  <c r="DG20" i="4"/>
  <c r="DH20" i="4" s="1"/>
  <c r="CY20" i="4"/>
  <c r="CZ20" i="4" s="1"/>
  <c r="CQ20" i="4"/>
  <c r="CR20" i="4" s="1"/>
  <c r="CI20" i="4"/>
  <c r="CJ20" i="4" s="1"/>
  <c r="CB20" i="4"/>
  <c r="DI111" i="4"/>
  <c r="DJ111" i="4" s="1"/>
  <c r="CS111" i="4"/>
  <c r="CT111" i="4" s="1"/>
  <c r="CC111" i="4"/>
  <c r="CD111" i="4" s="1"/>
  <c r="DG111" i="4"/>
  <c r="DH111" i="4" s="1"/>
  <c r="DC111" i="4"/>
  <c r="DD111" i="4" s="1"/>
  <c r="CI111" i="4"/>
  <c r="CJ111" i="4" s="1"/>
  <c r="GG69" i="4"/>
  <c r="GH69" i="4" s="1"/>
  <c r="GC69" i="4"/>
  <c r="GD69" i="4" s="1"/>
  <c r="FY69" i="4"/>
  <c r="FZ69" i="4"/>
  <c r="FU69" i="4"/>
  <c r="FV69" i="4" s="1"/>
  <c r="FQ69" i="4"/>
  <c r="FR69" i="4" s="1"/>
  <c r="FM69" i="4"/>
  <c r="FN69" i="4" s="1"/>
  <c r="FI69" i="4"/>
  <c r="FJ69" i="4" s="1"/>
  <c r="FE69" i="4"/>
  <c r="FF69" i="4" s="1"/>
  <c r="FA69" i="4"/>
  <c r="FB69" i="4" s="1"/>
  <c r="EW69" i="4"/>
  <c r="EX69" i="4" s="1"/>
  <c r="ET69" i="4"/>
  <c r="GI69" i="4"/>
  <c r="GJ69" i="4" s="1"/>
  <c r="FS69" i="4"/>
  <c r="FT69" i="4"/>
  <c r="FC69" i="4"/>
  <c r="FD69" i="4" s="1"/>
  <c r="GE69" i="4"/>
  <c r="GF69" i="4" s="1"/>
  <c r="FO69" i="4"/>
  <c r="FP69" i="4" s="1"/>
  <c r="EY69" i="4"/>
  <c r="EZ69" i="4" s="1"/>
  <c r="GA69" i="4"/>
  <c r="GB69" i="4" s="1"/>
  <c r="FK69" i="4"/>
  <c r="FL69" i="4" s="1"/>
  <c r="EU69" i="4"/>
  <c r="EV69" i="4" s="1"/>
  <c r="FW69" i="4"/>
  <c r="FX69" i="4"/>
  <c r="FG69" i="4"/>
  <c r="FH69" i="4" s="1"/>
  <c r="AQ54" i="4"/>
  <c r="AR54" i="4" s="1"/>
  <c r="Q54" i="4"/>
  <c r="R54" i="4" s="1"/>
  <c r="AU54" i="4"/>
  <c r="AV54" i="4" s="1"/>
  <c r="AK54" i="4"/>
  <c r="AL54" i="4" s="1"/>
  <c r="U54" i="4"/>
  <c r="V54" i="4" s="1"/>
  <c r="AO54" i="4"/>
  <c r="AP54" i="4" s="1"/>
  <c r="Y54" i="4"/>
  <c r="Z54" i="4" s="1"/>
  <c r="S54" i="4"/>
  <c r="T54" i="4" s="1"/>
  <c r="M54" i="4"/>
  <c r="N54" i="4" s="1"/>
  <c r="AS54" i="4"/>
  <c r="AT54" i="4" s="1"/>
  <c r="AM54" i="4"/>
  <c r="AN54" i="4" s="1"/>
  <c r="DM86" i="4"/>
  <c r="DN86" i="4"/>
  <c r="DE86" i="4"/>
  <c r="DF86" i="4" s="1"/>
  <c r="CW86" i="4"/>
  <c r="CX86" i="4" s="1"/>
  <c r="CO86" i="4"/>
  <c r="CP86" i="4" s="1"/>
  <c r="CG86" i="4"/>
  <c r="CH86" i="4"/>
  <c r="DK86" i="4"/>
  <c r="DL86" i="4" s="1"/>
  <c r="CE86" i="4"/>
  <c r="CF86" i="4" s="1"/>
  <c r="CQ86" i="4"/>
  <c r="CR86" i="4" s="1"/>
  <c r="CM86" i="4"/>
  <c r="CN86" i="4" s="1"/>
  <c r="CI86" i="4"/>
  <c r="CJ86" i="4" s="1"/>
  <c r="GC144" i="4"/>
  <c r="GD144" i="4"/>
  <c r="FW144" i="4"/>
  <c r="FX144" i="4" s="1"/>
  <c r="FM144" i="4"/>
  <c r="FN144" i="4" s="1"/>
  <c r="FG144" i="4"/>
  <c r="FH144" i="4" s="1"/>
  <c r="EW144" i="4"/>
  <c r="EX144" i="4" s="1"/>
  <c r="GG144" i="4"/>
  <c r="GH144" i="4" s="1"/>
  <c r="FS144" i="4"/>
  <c r="FT144" i="4"/>
  <c r="FK144" i="4"/>
  <c r="FL144" i="4" s="1"/>
  <c r="FE144" i="4"/>
  <c r="FF144" i="4" s="1"/>
  <c r="GE144" i="4"/>
  <c r="GF144" i="4" s="1"/>
  <c r="FY144" i="4"/>
  <c r="FZ144" i="4" s="1"/>
  <c r="FQ144" i="4"/>
  <c r="FR144" i="4" s="1"/>
  <c r="FC144" i="4"/>
  <c r="FD144" i="4"/>
  <c r="EU144" i="4"/>
  <c r="EV144" i="4" s="1"/>
  <c r="FO144" i="4"/>
  <c r="FP144" i="4" s="1"/>
  <c r="FI144" i="4"/>
  <c r="FJ144" i="4" s="1"/>
  <c r="FA144" i="4"/>
  <c r="FB144" i="4" s="1"/>
  <c r="GA144" i="4"/>
  <c r="GB144" i="4" s="1"/>
  <c r="EY144" i="4"/>
  <c r="EZ144" i="4" s="1"/>
  <c r="FU144" i="4"/>
  <c r="FV144" i="4" s="1"/>
  <c r="ET144" i="4"/>
  <c r="GI144" i="4"/>
  <c r="GJ144" i="4" s="1"/>
  <c r="DQ151" i="4"/>
  <c r="DR151" i="4"/>
  <c r="DI151" i="4"/>
  <c r="DJ151" i="4" s="1"/>
  <c r="DA151" i="4"/>
  <c r="DB151" i="4"/>
  <c r="CS151" i="4"/>
  <c r="CT151" i="4" s="1"/>
  <c r="CK151" i="4"/>
  <c r="CL151" i="4" s="1"/>
  <c r="CC151" i="4"/>
  <c r="CD151" i="4" s="1"/>
  <c r="DK151" i="4"/>
  <c r="DL151" i="4" s="1"/>
  <c r="DC151" i="4"/>
  <c r="DD151" i="4" s="1"/>
  <c r="CU151" i="4"/>
  <c r="CV151" i="4"/>
  <c r="CM151" i="4"/>
  <c r="CN151" i="4" s="1"/>
  <c r="CE151" i="4"/>
  <c r="CF151" i="4"/>
  <c r="DE151" i="4"/>
  <c r="DF151" i="4" s="1"/>
  <c r="CO151" i="4"/>
  <c r="CP151" i="4" s="1"/>
  <c r="DO151" i="4"/>
  <c r="DP151" i="4" s="1"/>
  <c r="CY151" i="4"/>
  <c r="CZ151" i="4" s="1"/>
  <c r="CI151" i="4"/>
  <c r="CJ151" i="4" s="1"/>
  <c r="DM151" i="4"/>
  <c r="DN151" i="4"/>
  <c r="CW151" i="4"/>
  <c r="CX151" i="4" s="1"/>
  <c r="CG151" i="4"/>
  <c r="CH151" i="4"/>
  <c r="CQ151" i="4"/>
  <c r="CR151" i="4" s="1"/>
  <c r="CB151" i="4"/>
  <c r="DG151" i="4"/>
  <c r="DH151" i="4"/>
  <c r="DQ118" i="4"/>
  <c r="DR118" i="4" s="1"/>
  <c r="DK118" i="4"/>
  <c r="DL118" i="4" s="1"/>
  <c r="DA118" i="4"/>
  <c r="DB118" i="4" s="1"/>
  <c r="CU118" i="4"/>
  <c r="CV118" i="4" s="1"/>
  <c r="CK118" i="4"/>
  <c r="CL118" i="4" s="1"/>
  <c r="CE118" i="4"/>
  <c r="CF118" i="4" s="1"/>
  <c r="DO118" i="4"/>
  <c r="DP118" i="4" s="1"/>
  <c r="DE118" i="4"/>
  <c r="DF118" i="4" s="1"/>
  <c r="CY118" i="4"/>
  <c r="CZ118" i="4" s="1"/>
  <c r="CO118" i="4"/>
  <c r="CP118" i="4"/>
  <c r="CI118" i="4"/>
  <c r="CJ118" i="4" s="1"/>
  <c r="DI118" i="4"/>
  <c r="DJ118" i="4" s="1"/>
  <c r="DC118" i="4"/>
  <c r="DD118" i="4" s="1"/>
  <c r="CS118" i="4"/>
  <c r="CT118" i="4" s="1"/>
  <c r="CM118" i="4"/>
  <c r="CN118" i="4" s="1"/>
  <c r="CC118" i="4"/>
  <c r="CD118" i="4" s="1"/>
  <c r="CG118" i="4"/>
  <c r="CH118" i="4" s="1"/>
  <c r="CW118" i="4"/>
  <c r="CX118" i="4" s="1"/>
  <c r="CB118" i="4"/>
  <c r="DM118" i="4"/>
  <c r="DN118" i="4"/>
  <c r="CQ118" i="4"/>
  <c r="CR118" i="4" s="1"/>
  <c r="DG118" i="4"/>
  <c r="DH118" i="4"/>
  <c r="CW155" i="4"/>
  <c r="CX155" i="4" s="1"/>
  <c r="ES18" i="4"/>
  <c r="GA18" i="4" s="1"/>
  <c r="GB18" i="4" s="1"/>
  <c r="GG43" i="4"/>
  <c r="GH43" i="4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/>
  <c r="FE43" i="4"/>
  <c r="FF43" i="4" s="1"/>
  <c r="FA43" i="4"/>
  <c r="FB43" i="4"/>
  <c r="EW43" i="4"/>
  <c r="EX43" i="4" s="1"/>
  <c r="ET43" i="4"/>
  <c r="GI43" i="4"/>
  <c r="GJ43" i="4" s="1"/>
  <c r="FS43" i="4"/>
  <c r="FT43" i="4" s="1"/>
  <c r="FC43" i="4"/>
  <c r="FD43" i="4" s="1"/>
  <c r="GE43" i="4"/>
  <c r="GF43" i="4" s="1"/>
  <c r="FO43" i="4"/>
  <c r="FP43" i="4" s="1"/>
  <c r="EY43" i="4"/>
  <c r="EZ43" i="4" s="1"/>
  <c r="GA43" i="4"/>
  <c r="GB43" i="4" s="1"/>
  <c r="FK43" i="4"/>
  <c r="FL43" i="4" s="1"/>
  <c r="EU43" i="4"/>
  <c r="EV43" i="4" s="1"/>
  <c r="FW43" i="4"/>
  <c r="FX43" i="4" s="1"/>
  <c r="FG43" i="4"/>
  <c r="FH43" i="4"/>
  <c r="DO60" i="4"/>
  <c r="DP60" i="4" s="1"/>
  <c r="DK60" i="4"/>
  <c r="DL60" i="4" s="1"/>
  <c r="DG60" i="4"/>
  <c r="DH60" i="4" s="1"/>
  <c r="DC60" i="4"/>
  <c r="DD60" i="4" s="1"/>
  <c r="CY60" i="4"/>
  <c r="CZ60" i="4" s="1"/>
  <c r="CU60" i="4"/>
  <c r="CV60" i="4" s="1"/>
  <c r="CQ60" i="4"/>
  <c r="CR60" i="4" s="1"/>
  <c r="CM60" i="4"/>
  <c r="CN60" i="4"/>
  <c r="CI60" i="4"/>
  <c r="CJ60" i="4" s="1"/>
  <c r="CE60" i="4"/>
  <c r="CF60" i="4" s="1"/>
  <c r="CB60" i="4"/>
  <c r="DI60" i="4"/>
  <c r="DJ60" i="4" s="1"/>
  <c r="CS60" i="4"/>
  <c r="CT60" i="4" s="1"/>
  <c r="CC60" i="4"/>
  <c r="CD60" i="4" s="1"/>
  <c r="DM60" i="4"/>
  <c r="DN60" i="4" s="1"/>
  <c r="CW60" i="4"/>
  <c r="CX60" i="4" s="1"/>
  <c r="CG60" i="4"/>
  <c r="CH60" i="4"/>
  <c r="DQ60" i="4"/>
  <c r="DR60" i="4" s="1"/>
  <c r="DA60" i="4"/>
  <c r="DB60" i="4"/>
  <c r="CK60" i="4"/>
  <c r="CL60" i="4" s="1"/>
  <c r="CO60" i="4"/>
  <c r="CP60" i="4" s="1"/>
  <c r="DE60" i="4"/>
  <c r="DF60" i="4" s="1"/>
  <c r="GG65" i="4"/>
  <c r="GH65" i="4" s="1"/>
  <c r="GC65" i="4"/>
  <c r="GD65" i="4" s="1"/>
  <c r="FY65" i="4"/>
  <c r="FZ65" i="4"/>
  <c r="FU65" i="4"/>
  <c r="FV65" i="4" s="1"/>
  <c r="FQ65" i="4"/>
  <c r="FR65" i="4"/>
  <c r="FM65" i="4"/>
  <c r="FN65" i="4" s="1"/>
  <c r="FI65" i="4"/>
  <c r="FJ65" i="4"/>
  <c r="FE65" i="4"/>
  <c r="FF65" i="4" s="1"/>
  <c r="FA65" i="4"/>
  <c r="FB65" i="4" s="1"/>
  <c r="EW65" i="4"/>
  <c r="EX65" i="4" s="1"/>
  <c r="ET65" i="4"/>
  <c r="FW65" i="4"/>
  <c r="FX65" i="4" s="1"/>
  <c r="FG65" i="4"/>
  <c r="FH65" i="4" s="1"/>
  <c r="GI65" i="4"/>
  <c r="GJ65" i="4" s="1"/>
  <c r="FS65" i="4"/>
  <c r="FT65" i="4"/>
  <c r="FC65" i="4"/>
  <c r="FD65" i="4" s="1"/>
  <c r="GE65" i="4"/>
  <c r="GF65" i="4"/>
  <c r="FO65" i="4"/>
  <c r="FP65" i="4" s="1"/>
  <c r="EY65" i="4"/>
  <c r="EZ65" i="4" s="1"/>
  <c r="FK65" i="4"/>
  <c r="FL65" i="4" s="1"/>
  <c r="EU65" i="4"/>
  <c r="EV65" i="4" s="1"/>
  <c r="GA65" i="4"/>
  <c r="GB65" i="4" s="1"/>
  <c r="GI84" i="4"/>
  <c r="GJ84" i="4" s="1"/>
  <c r="GE84" i="4"/>
  <c r="GF84" i="4" s="1"/>
  <c r="GA84" i="4"/>
  <c r="GB84" i="4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/>
  <c r="EY84" i="4"/>
  <c r="EZ84" i="4" s="1"/>
  <c r="EU84" i="4"/>
  <c r="EV84" i="4" s="1"/>
  <c r="FU84" i="4"/>
  <c r="FV84" i="4" s="1"/>
  <c r="FE84" i="4"/>
  <c r="FF84" i="4" s="1"/>
  <c r="GG84" i="4"/>
  <c r="GH84" i="4" s="1"/>
  <c r="FQ84" i="4"/>
  <c r="FR84" i="4" s="1"/>
  <c r="FA84" i="4"/>
  <c r="FB84" i="4" s="1"/>
  <c r="GC84" i="4"/>
  <c r="GD84" i="4" s="1"/>
  <c r="FM84" i="4"/>
  <c r="FN84" i="4" s="1"/>
  <c r="EW84" i="4"/>
  <c r="EX84" i="4"/>
  <c r="FY84" i="4"/>
  <c r="FZ84" i="4" s="1"/>
  <c r="FI84" i="4"/>
  <c r="FJ84" i="4" s="1"/>
  <c r="ET84" i="4"/>
  <c r="CA113" i="4"/>
  <c r="ER113" i="4"/>
  <c r="ES113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/>
  <c r="FI134" i="4"/>
  <c r="FJ134" i="4" s="1"/>
  <c r="FE134" i="4"/>
  <c r="FF134" i="4" s="1"/>
  <c r="FA134" i="4"/>
  <c r="FB134" i="4" s="1"/>
  <c r="EW134" i="4"/>
  <c r="EX134" i="4" s="1"/>
  <c r="ET134" i="4"/>
  <c r="FW134" i="4"/>
  <c r="FX134" i="4" s="1"/>
  <c r="FG134" i="4"/>
  <c r="FH134" i="4" s="1"/>
  <c r="GI134" i="4"/>
  <c r="GJ134" i="4"/>
  <c r="FS134" i="4"/>
  <c r="FT134" i="4" s="1"/>
  <c r="FC134" i="4"/>
  <c r="FD134" i="4" s="1"/>
  <c r="GE134" i="4"/>
  <c r="GF134" i="4" s="1"/>
  <c r="FO134" i="4"/>
  <c r="FP134" i="4" s="1"/>
  <c r="EY134" i="4"/>
  <c r="EZ134" i="4" s="1"/>
  <c r="EU134" i="4"/>
  <c r="EV134" i="4" s="1"/>
  <c r="GA134" i="4"/>
  <c r="GB134" i="4" s="1"/>
  <c r="FK134" i="4"/>
  <c r="FL134" i="4" s="1"/>
  <c r="FY139" i="4"/>
  <c r="FZ139" i="4" s="1"/>
  <c r="DQ96" i="4"/>
  <c r="DR96" i="4" s="1"/>
  <c r="DM96" i="4"/>
  <c r="DN96" i="4" s="1"/>
  <c r="DI96" i="4"/>
  <c r="DJ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/>
  <c r="CC96" i="4"/>
  <c r="CD96" i="4" s="1"/>
  <c r="DG96" i="4"/>
  <c r="DH96" i="4" s="1"/>
  <c r="CQ96" i="4"/>
  <c r="CR96" i="4" s="1"/>
  <c r="CB96" i="4"/>
  <c r="DK96" i="4"/>
  <c r="DL96" i="4" s="1"/>
  <c r="CU96" i="4"/>
  <c r="CV96" i="4" s="1"/>
  <c r="CE96" i="4"/>
  <c r="CF96" i="4" s="1"/>
  <c r="DO96" i="4"/>
  <c r="DP96" i="4" s="1"/>
  <c r="CY96" i="4"/>
  <c r="CZ96" i="4" s="1"/>
  <c r="CI96" i="4"/>
  <c r="CJ96" i="4" s="1"/>
  <c r="DC96" i="4"/>
  <c r="DD96" i="4" s="1"/>
  <c r="CM96" i="4"/>
  <c r="CN96" i="4" s="1"/>
  <c r="DC78" i="4"/>
  <c r="DD78" i="4" s="1"/>
  <c r="CM78" i="4"/>
  <c r="CN78" i="4" s="1"/>
  <c r="DM78" i="4"/>
  <c r="DN78" i="4" s="1"/>
  <c r="CW78" i="4"/>
  <c r="CX78" i="4" s="1"/>
  <c r="CG78" i="4"/>
  <c r="CH78" i="4" s="1"/>
  <c r="GI71" i="4"/>
  <c r="GJ71" i="4" s="1"/>
  <c r="GE71" i="4"/>
  <c r="GF71" i="4"/>
  <c r="GA71" i="4"/>
  <c r="GB71" i="4" s="1"/>
  <c r="FW71" i="4"/>
  <c r="FX71" i="4"/>
  <c r="FS71" i="4"/>
  <c r="FT71" i="4" s="1"/>
  <c r="FO71" i="4"/>
  <c r="FP71" i="4"/>
  <c r="FK71" i="4"/>
  <c r="FL71" i="4" s="1"/>
  <c r="FG71" i="4"/>
  <c r="FH71" i="4" s="1"/>
  <c r="FC71" i="4"/>
  <c r="FD71" i="4" s="1"/>
  <c r="EY71" i="4"/>
  <c r="EZ71" i="4" s="1"/>
  <c r="EU71" i="4"/>
  <c r="EV71" i="4" s="1"/>
  <c r="FY71" i="4"/>
  <c r="FZ71" i="4"/>
  <c r="FI71" i="4"/>
  <c r="FJ71" i="4" s="1"/>
  <c r="ET71" i="4"/>
  <c r="FU71" i="4"/>
  <c r="FV71" i="4" s="1"/>
  <c r="FE71" i="4"/>
  <c r="FF71" i="4" s="1"/>
  <c r="GG71" i="4"/>
  <c r="GH71" i="4" s="1"/>
  <c r="FQ71" i="4"/>
  <c r="FR71" i="4" s="1"/>
  <c r="FA71" i="4"/>
  <c r="FB71" i="4" s="1"/>
  <c r="FM71" i="4"/>
  <c r="FN71" i="4"/>
  <c r="EW71" i="4"/>
  <c r="EX71" i="4" s="1"/>
  <c r="GC71" i="4"/>
  <c r="GD71" i="4"/>
  <c r="GI93" i="4"/>
  <c r="GJ93" i="4" s="1"/>
  <c r="FY93" i="4"/>
  <c r="FZ93" i="4" s="1"/>
  <c r="FS93" i="4"/>
  <c r="FT93" i="4" s="1"/>
  <c r="FI93" i="4"/>
  <c r="FJ93" i="4"/>
  <c r="FC93" i="4"/>
  <c r="FD93" i="4" s="1"/>
  <c r="ET93" i="4"/>
  <c r="GC93" i="4"/>
  <c r="GD93" i="4"/>
  <c r="FW93" i="4"/>
  <c r="FX93" i="4" s="1"/>
  <c r="FM93" i="4"/>
  <c r="FN93" i="4"/>
  <c r="FG93" i="4"/>
  <c r="FH93" i="4" s="1"/>
  <c r="EW93" i="4"/>
  <c r="EX93" i="4" s="1"/>
  <c r="GG93" i="4"/>
  <c r="GH93" i="4"/>
  <c r="GA93" i="4"/>
  <c r="GB93" i="4" s="1"/>
  <c r="FQ93" i="4"/>
  <c r="FR93" i="4" s="1"/>
  <c r="FK93" i="4"/>
  <c r="FL93" i="4" s="1"/>
  <c r="FA93" i="4"/>
  <c r="FB93" i="4" s="1"/>
  <c r="EU93" i="4"/>
  <c r="EV93" i="4" s="1"/>
  <c r="FU93" i="4"/>
  <c r="FV93" i="4" s="1"/>
  <c r="EY93" i="4"/>
  <c r="EZ93" i="4"/>
  <c r="FO93" i="4"/>
  <c r="FP93" i="4" s="1"/>
  <c r="GE93" i="4"/>
  <c r="GF93" i="4" s="1"/>
  <c r="FE93" i="4"/>
  <c r="FF93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/>
  <c r="FC41" i="4"/>
  <c r="FD41" i="4" s="1"/>
  <c r="EY41" i="4"/>
  <c r="EZ41" i="4" s="1"/>
  <c r="EU41" i="4"/>
  <c r="EV41" i="4" s="1"/>
  <c r="GC41" i="4"/>
  <c r="GD41" i="4" s="1"/>
  <c r="FM41" i="4"/>
  <c r="FN41" i="4" s="1"/>
  <c r="EW41" i="4"/>
  <c r="EX41" i="4" s="1"/>
  <c r="FQ41" i="4"/>
  <c r="FR41" i="4" s="1"/>
  <c r="FY41" i="4"/>
  <c r="FZ41" i="4" s="1"/>
  <c r="FI41" i="4"/>
  <c r="FJ41" i="4" s="1"/>
  <c r="ET41" i="4"/>
  <c r="FU41" i="4"/>
  <c r="FV41" i="4" s="1"/>
  <c r="FE41" i="4"/>
  <c r="FF41" i="4" s="1"/>
  <c r="GG41" i="4"/>
  <c r="GH41" i="4"/>
  <c r="FA41" i="4"/>
  <c r="FB41" i="4" s="1"/>
  <c r="GI49" i="4"/>
  <c r="GJ49" i="4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/>
  <c r="FG49" i="4"/>
  <c r="FH49" i="4" s="1"/>
  <c r="FC49" i="4"/>
  <c r="FD49" i="4"/>
  <c r="EY49" i="4"/>
  <c r="EZ49" i="4" s="1"/>
  <c r="EU49" i="4"/>
  <c r="EV49" i="4" s="1"/>
  <c r="FU49" i="4"/>
  <c r="FV49" i="4" s="1"/>
  <c r="FE49" i="4"/>
  <c r="FF49" i="4"/>
  <c r="FY49" i="4"/>
  <c r="FZ49" i="4" s="1"/>
  <c r="GG49" i="4"/>
  <c r="GH49" i="4" s="1"/>
  <c r="FQ49" i="4"/>
  <c r="FR49" i="4" s="1"/>
  <c r="FA49" i="4"/>
  <c r="FB49" i="4"/>
  <c r="GC49" i="4"/>
  <c r="GD49" i="4" s="1"/>
  <c r="FM49" i="4"/>
  <c r="FN49" i="4" s="1"/>
  <c r="EW49" i="4"/>
  <c r="EX49" i="4" s="1"/>
  <c r="FI49" i="4"/>
  <c r="FJ49" i="4"/>
  <c r="ET49" i="4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E73" i="4"/>
  <c r="GF73" i="4" s="1"/>
  <c r="FO73" i="4"/>
  <c r="FP73" i="4" s="1"/>
  <c r="EY73" i="4"/>
  <c r="EZ73" i="4" s="1"/>
  <c r="GA73" i="4"/>
  <c r="GB73" i="4" s="1"/>
  <c r="FK73" i="4"/>
  <c r="FL73" i="4" s="1"/>
  <c r="EU73" i="4"/>
  <c r="EV73" i="4" s="1"/>
  <c r="FW73" i="4"/>
  <c r="FX73" i="4" s="1"/>
  <c r="FG73" i="4"/>
  <c r="FH73" i="4" s="1"/>
  <c r="FS73" i="4"/>
  <c r="FT73" i="4" s="1"/>
  <c r="FC73" i="4"/>
  <c r="FD73" i="4"/>
  <c r="GI73" i="4"/>
  <c r="GJ73" i="4" s="1"/>
  <c r="GI130" i="4"/>
  <c r="GJ130" i="4" s="1"/>
  <c r="FY130" i="4"/>
  <c r="FZ130" i="4" s="1"/>
  <c r="FS130" i="4"/>
  <c r="FT130" i="4" s="1"/>
  <c r="FI130" i="4"/>
  <c r="FJ130" i="4" s="1"/>
  <c r="FC130" i="4"/>
  <c r="FD130" i="4" s="1"/>
  <c r="ET130" i="4"/>
  <c r="GC130" i="4"/>
  <c r="GD130" i="4" s="1"/>
  <c r="FW130" i="4"/>
  <c r="FX130" i="4" s="1"/>
  <c r="FM130" i="4"/>
  <c r="FN130" i="4" s="1"/>
  <c r="FG130" i="4"/>
  <c r="FH130" i="4" s="1"/>
  <c r="EW130" i="4"/>
  <c r="EX130" i="4" s="1"/>
  <c r="GG130" i="4"/>
  <c r="GH130" i="4" s="1"/>
  <c r="GA130" i="4"/>
  <c r="GB130" i="4" s="1"/>
  <c r="FQ130" i="4"/>
  <c r="FR130" i="4" s="1"/>
  <c r="FK130" i="4"/>
  <c r="FL130" i="4" s="1"/>
  <c r="FA130" i="4"/>
  <c r="FB130" i="4" s="1"/>
  <c r="EU130" i="4"/>
  <c r="EV130" i="4" s="1"/>
  <c r="GE130" i="4"/>
  <c r="GF130" i="4" s="1"/>
  <c r="FE130" i="4"/>
  <c r="FF130" i="4" s="1"/>
  <c r="FU130" i="4"/>
  <c r="FV130" i="4" s="1"/>
  <c r="EY130" i="4"/>
  <c r="EZ130" i="4" s="1"/>
  <c r="FO130" i="4"/>
  <c r="FP130" i="4" s="1"/>
  <c r="DQ51" i="4"/>
  <c r="DR51" i="4" s="1"/>
  <c r="DM51" i="4"/>
  <c r="DN51" i="4" s="1"/>
  <c r="DI51" i="4"/>
  <c r="DJ51" i="4" s="1"/>
  <c r="DE51" i="4"/>
  <c r="DF51" i="4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DK51" i="4"/>
  <c r="DL51" i="4"/>
  <c r="CU51" i="4"/>
  <c r="CV51" i="4" s="1"/>
  <c r="CE51" i="4"/>
  <c r="CF51" i="4" s="1"/>
  <c r="DG51" i="4"/>
  <c r="DH51" i="4" s="1"/>
  <c r="CQ51" i="4"/>
  <c r="CR51" i="4" s="1"/>
  <c r="CB51" i="4"/>
  <c r="DC51" i="4"/>
  <c r="DD51" i="4"/>
  <c r="CM51" i="4"/>
  <c r="CN51" i="4" s="1"/>
  <c r="DO51" i="4"/>
  <c r="DP51" i="4" s="1"/>
  <c r="CY51" i="4"/>
  <c r="CZ51" i="4" s="1"/>
  <c r="CI51" i="4"/>
  <c r="CJ51" i="4" s="1"/>
  <c r="GI124" i="4"/>
  <c r="GJ124" i="4" s="1"/>
  <c r="GE124" i="4"/>
  <c r="GF124" i="4"/>
  <c r="GA124" i="4"/>
  <c r="GB124" i="4" s="1"/>
  <c r="FW124" i="4"/>
  <c r="FX124" i="4" s="1"/>
  <c r="FS124" i="4"/>
  <c r="FT124" i="4" s="1"/>
  <c r="FO124" i="4"/>
  <c r="FP124" i="4"/>
  <c r="FK124" i="4"/>
  <c r="FL124" i="4" s="1"/>
  <c r="FG124" i="4"/>
  <c r="FH124" i="4" s="1"/>
  <c r="FC124" i="4"/>
  <c r="FD124" i="4" s="1"/>
  <c r="EY124" i="4"/>
  <c r="EZ124" i="4" s="1"/>
  <c r="EU124" i="4"/>
  <c r="EV124" i="4" s="1"/>
  <c r="GC124" i="4"/>
  <c r="GD124" i="4"/>
  <c r="FM124" i="4"/>
  <c r="FN124" i="4" s="1"/>
  <c r="EW124" i="4"/>
  <c r="EX124" i="4" s="1"/>
  <c r="GG124" i="4"/>
  <c r="GH124" i="4" s="1"/>
  <c r="FQ124" i="4"/>
  <c r="FR124" i="4" s="1"/>
  <c r="FA124" i="4"/>
  <c r="FB124" i="4" s="1"/>
  <c r="FU124" i="4"/>
  <c r="FV124" i="4"/>
  <c r="FE124" i="4"/>
  <c r="FF124" i="4" s="1"/>
  <c r="FI124" i="4"/>
  <c r="FJ124" i="4" s="1"/>
  <c r="FY124" i="4"/>
  <c r="FZ124" i="4" s="1"/>
  <c r="ET124" i="4"/>
  <c r="DQ136" i="4"/>
  <c r="DR136" i="4" s="1"/>
  <c r="DA136" i="4"/>
  <c r="DB136" i="4" s="1"/>
  <c r="CE136" i="4"/>
  <c r="CF136" i="4" s="1"/>
  <c r="DE136" i="4"/>
  <c r="DF136" i="4" s="1"/>
  <c r="CY136" i="4"/>
  <c r="CZ136" i="4" s="1"/>
  <c r="CS136" i="4"/>
  <c r="CT136" i="4" s="1"/>
  <c r="CW136" i="4"/>
  <c r="CX136" i="4" s="1"/>
  <c r="DM136" i="4"/>
  <c r="DN136" i="4" s="1"/>
  <c r="DO67" i="4"/>
  <c r="DP67" i="4" s="1"/>
  <c r="DK67" i="4"/>
  <c r="DL67" i="4" s="1"/>
  <c r="DG67" i="4"/>
  <c r="DH67" i="4" s="1"/>
  <c r="DC67" i="4"/>
  <c r="DD67" i="4" s="1"/>
  <c r="CY67" i="4"/>
  <c r="CZ67" i="4"/>
  <c r="CU67" i="4"/>
  <c r="CV67" i="4" s="1"/>
  <c r="CQ67" i="4"/>
  <c r="CR67" i="4" s="1"/>
  <c r="CM67" i="4"/>
  <c r="CN67" i="4" s="1"/>
  <c r="CI67" i="4"/>
  <c r="CJ67" i="4" s="1"/>
  <c r="CE67" i="4"/>
  <c r="CF67" i="4" s="1"/>
  <c r="CB67" i="4"/>
  <c r="DQ67" i="4"/>
  <c r="DR67" i="4" s="1"/>
  <c r="DA67" i="4"/>
  <c r="DB67" i="4" s="1"/>
  <c r="CK67" i="4"/>
  <c r="CL67" i="4" s="1"/>
  <c r="DM67" i="4"/>
  <c r="DN67" i="4" s="1"/>
  <c r="CW67" i="4"/>
  <c r="CX67" i="4"/>
  <c r="CG67" i="4"/>
  <c r="CH67" i="4" s="1"/>
  <c r="DI67" i="4"/>
  <c r="DJ67" i="4" s="1"/>
  <c r="CS67" i="4"/>
  <c r="CT67" i="4" s="1"/>
  <c r="CC67" i="4"/>
  <c r="CD67" i="4" s="1"/>
  <c r="DE67" i="4"/>
  <c r="DF67" i="4" s="1"/>
  <c r="CO67" i="4"/>
  <c r="CP67" i="4" s="1"/>
  <c r="DO26" i="4"/>
  <c r="DP26" i="4" s="1"/>
  <c r="DK26" i="4"/>
  <c r="DL26" i="4" s="1"/>
  <c r="DH26" i="4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GG59" i="4"/>
  <c r="GH59" i="4" s="1"/>
  <c r="GA59" i="4"/>
  <c r="GB59" i="4" s="1"/>
  <c r="FQ59" i="4"/>
  <c r="FR59" i="4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I59" i="4"/>
  <c r="GJ59" i="4" s="1"/>
  <c r="FY59" i="4"/>
  <c r="FZ59" i="4" s="1"/>
  <c r="FS59" i="4"/>
  <c r="FT59" i="4" s="1"/>
  <c r="FI59" i="4"/>
  <c r="FJ59" i="4"/>
  <c r="FC59" i="4"/>
  <c r="FD59" i="4" s="1"/>
  <c r="ET59" i="4"/>
  <c r="FW59" i="4"/>
  <c r="FX59" i="4"/>
  <c r="FM59" i="4"/>
  <c r="FN59" i="4" s="1"/>
  <c r="GC59" i="4"/>
  <c r="GD59" i="4" s="1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/>
  <c r="DO82" i="4"/>
  <c r="DP82" i="4" s="1"/>
  <c r="CY82" i="4"/>
  <c r="CZ82" i="4" s="1"/>
  <c r="CK82" i="4"/>
  <c r="CL82" i="4" s="1"/>
  <c r="CC82" i="4"/>
  <c r="CD82" i="4" s="1"/>
  <c r="DK82" i="4"/>
  <c r="DL82" i="4" s="1"/>
  <c r="CU82" i="4"/>
  <c r="CV82" i="4" s="1"/>
  <c r="CI82" i="4"/>
  <c r="CJ82" i="4" s="1"/>
  <c r="CB82" i="4"/>
  <c r="DG82" i="4"/>
  <c r="DH82" i="4" s="1"/>
  <c r="CQ82" i="4"/>
  <c r="CR82" i="4" s="1"/>
  <c r="CG82" i="4"/>
  <c r="CH82" i="4" s="1"/>
  <c r="CM82" i="4"/>
  <c r="CN82" i="4" s="1"/>
  <c r="CE82" i="4"/>
  <c r="CF82" i="4" s="1"/>
  <c r="DC82" i="4"/>
  <c r="DD82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A51" i="4"/>
  <c r="GB51" i="4" s="1"/>
  <c r="FK51" i="4"/>
  <c r="FL51" i="4" s="1"/>
  <c r="EU51" i="4"/>
  <c r="EV51" i="4" s="1"/>
  <c r="FW51" i="4"/>
  <c r="FX51" i="4" s="1"/>
  <c r="FG51" i="4"/>
  <c r="FH51" i="4"/>
  <c r="GI51" i="4"/>
  <c r="GJ51" i="4" s="1"/>
  <c r="FS51" i="4"/>
  <c r="FT51" i="4" s="1"/>
  <c r="FC51" i="4"/>
  <c r="FD51" i="4" s="1"/>
  <c r="GE51" i="4"/>
  <c r="GF51" i="4" s="1"/>
  <c r="FO51" i="4"/>
  <c r="FP51" i="4" s="1"/>
  <c r="EY51" i="4"/>
  <c r="EZ51" i="4" s="1"/>
  <c r="GG111" i="4"/>
  <c r="GH111" i="4" s="1"/>
  <c r="GC111" i="4"/>
  <c r="GD111" i="4"/>
  <c r="FY111" i="4"/>
  <c r="FZ111" i="4" s="1"/>
  <c r="FU111" i="4"/>
  <c r="FV111" i="4" s="1"/>
  <c r="FQ111" i="4"/>
  <c r="FR111" i="4" s="1"/>
  <c r="FM111" i="4"/>
  <c r="FN111" i="4"/>
  <c r="FI111" i="4"/>
  <c r="FJ111" i="4" s="1"/>
  <c r="FE111" i="4"/>
  <c r="FF111" i="4" s="1"/>
  <c r="FA111" i="4"/>
  <c r="FB111" i="4" s="1"/>
  <c r="EW111" i="4"/>
  <c r="EX111" i="4"/>
  <c r="ET111" i="4"/>
  <c r="GA111" i="4"/>
  <c r="GB111" i="4" s="1"/>
  <c r="FK111" i="4"/>
  <c r="FL111" i="4" s="1"/>
  <c r="EU111" i="4"/>
  <c r="EV111" i="4" s="1"/>
  <c r="FW111" i="4"/>
  <c r="FX111" i="4" s="1"/>
  <c r="FG111" i="4"/>
  <c r="FH111" i="4" s="1"/>
  <c r="GI111" i="4"/>
  <c r="GJ111" i="4" s="1"/>
  <c r="FS111" i="4"/>
  <c r="FT111" i="4" s="1"/>
  <c r="FC111" i="4"/>
  <c r="FD111" i="4" s="1"/>
  <c r="GE111" i="4"/>
  <c r="GF111" i="4" s="1"/>
  <c r="FO111" i="4"/>
  <c r="FP111" i="4" s="1"/>
  <c r="EY111" i="4"/>
  <c r="EZ111" i="4" s="1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DE124" i="4"/>
  <c r="DF124" i="4" s="1"/>
  <c r="CO124" i="4"/>
  <c r="CP124" i="4" s="1"/>
  <c r="DI124" i="4"/>
  <c r="DJ124" i="4" s="1"/>
  <c r="CS124" i="4"/>
  <c r="CT124" i="4"/>
  <c r="CC124" i="4"/>
  <c r="CD124" i="4" s="1"/>
  <c r="DM124" i="4"/>
  <c r="DN124" i="4" s="1"/>
  <c r="CW124" i="4"/>
  <c r="CX124" i="4" s="1"/>
  <c r="CG124" i="4"/>
  <c r="CH124" i="4" s="1"/>
  <c r="CK124" i="4"/>
  <c r="CL124" i="4" s="1"/>
  <c r="DA124" i="4"/>
  <c r="DB124" i="4" s="1"/>
  <c r="DQ124" i="4"/>
  <c r="DR124" i="4" s="1"/>
  <c r="GI136" i="4"/>
  <c r="GJ136" i="4" s="1"/>
  <c r="FY136" i="4"/>
  <c r="FZ136" i="4" s="1"/>
  <c r="FS136" i="4"/>
  <c r="FT136" i="4" s="1"/>
  <c r="FI136" i="4"/>
  <c r="FJ136" i="4" s="1"/>
  <c r="FC136" i="4"/>
  <c r="FD136" i="4" s="1"/>
  <c r="ET136" i="4"/>
  <c r="GC136" i="4"/>
  <c r="GD136" i="4" s="1"/>
  <c r="FW136" i="4"/>
  <c r="FX136" i="4" s="1"/>
  <c r="FM136" i="4"/>
  <c r="FN136" i="4" s="1"/>
  <c r="FG136" i="4"/>
  <c r="FH136" i="4" s="1"/>
  <c r="EW136" i="4"/>
  <c r="EX136" i="4" s="1"/>
  <c r="GG136" i="4"/>
  <c r="GH136" i="4" s="1"/>
  <c r="GA136" i="4"/>
  <c r="GB136" i="4" s="1"/>
  <c r="FQ136" i="4"/>
  <c r="FR136" i="4" s="1"/>
  <c r="FK136" i="4"/>
  <c r="FL136" i="4" s="1"/>
  <c r="FA136" i="4"/>
  <c r="FB136" i="4" s="1"/>
  <c r="EU136" i="4"/>
  <c r="EV136" i="4" s="1"/>
  <c r="FU136" i="4"/>
  <c r="FV136" i="4" s="1"/>
  <c r="EY136" i="4"/>
  <c r="EZ136" i="4" s="1"/>
  <c r="FO136" i="4"/>
  <c r="FP136" i="4" s="1"/>
  <c r="GE136" i="4"/>
  <c r="GF136" i="4" s="1"/>
  <c r="FE136" i="4"/>
  <c r="FF136" i="4" s="1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GC67" i="4"/>
  <c r="GD67" i="4" s="1"/>
  <c r="FM67" i="4"/>
  <c r="FN67" i="4" s="1"/>
  <c r="EW67" i="4"/>
  <c r="EX67" i="4" s="1"/>
  <c r="FY67" i="4"/>
  <c r="FZ67" i="4" s="1"/>
  <c r="FI67" i="4"/>
  <c r="FJ67" i="4" s="1"/>
  <c r="ET67" i="4"/>
  <c r="FU67" i="4"/>
  <c r="FV67" i="4" s="1"/>
  <c r="FE67" i="4"/>
  <c r="FF67" i="4" s="1"/>
  <c r="GG67" i="4"/>
  <c r="GH67" i="4" s="1"/>
  <c r="FQ67" i="4"/>
  <c r="FR67" i="4" s="1"/>
  <c r="FA67" i="4"/>
  <c r="FB67" i="4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DQ18" i="4"/>
  <c r="DR18" i="4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Q43" i="4"/>
  <c r="DR43" i="4" s="1"/>
  <c r="DM43" i="4"/>
  <c r="DN43" i="4"/>
  <c r="DI43" i="4"/>
  <c r="DJ43" i="4" s="1"/>
  <c r="DE43" i="4"/>
  <c r="DF43" i="4"/>
  <c r="DA43" i="4"/>
  <c r="DB43" i="4" s="1"/>
  <c r="CW43" i="4"/>
  <c r="CX43" i="4"/>
  <c r="CS43" i="4"/>
  <c r="CT43" i="4" s="1"/>
  <c r="CO43" i="4"/>
  <c r="CP43" i="4"/>
  <c r="CK43" i="4"/>
  <c r="CL43" i="4" s="1"/>
  <c r="CG43" i="4"/>
  <c r="CH43" i="4"/>
  <c r="CC43" i="4"/>
  <c r="CD43" i="4" s="1"/>
  <c r="DC43" i="4"/>
  <c r="DD43" i="4" s="1"/>
  <c r="CM43" i="4"/>
  <c r="CN43" i="4" s="1"/>
  <c r="CQ43" i="4"/>
  <c r="CR43" i="4" s="1"/>
  <c r="DO43" i="4"/>
  <c r="DP43" i="4" s="1"/>
  <c r="CY43" i="4"/>
  <c r="CZ43" i="4" s="1"/>
  <c r="CI43" i="4"/>
  <c r="CJ43" i="4" s="1"/>
  <c r="DK43" i="4"/>
  <c r="DL43" i="4" s="1"/>
  <c r="CU43" i="4"/>
  <c r="CV43" i="4" s="1"/>
  <c r="CE43" i="4"/>
  <c r="CF43" i="4"/>
  <c r="DG43" i="4"/>
  <c r="DH43" i="4" s="1"/>
  <c r="CB43" i="4"/>
  <c r="DQ65" i="4"/>
  <c r="DR65" i="4"/>
  <c r="DM65" i="4"/>
  <c r="DN65" i="4"/>
  <c r="DI65" i="4"/>
  <c r="DJ65" i="4"/>
  <c r="DE65" i="4"/>
  <c r="DF65" i="4"/>
  <c r="DA65" i="4"/>
  <c r="DB65" i="4"/>
  <c r="CW65" i="4"/>
  <c r="CX65" i="4"/>
  <c r="CS65" i="4"/>
  <c r="CT65" i="4"/>
  <c r="CO65" i="4"/>
  <c r="CP65" i="4"/>
  <c r="CK65" i="4"/>
  <c r="CL65" i="4"/>
  <c r="CG65" i="4"/>
  <c r="CH65" i="4"/>
  <c r="CC65" i="4"/>
  <c r="CD65" i="4" s="1"/>
  <c r="DG65" i="4"/>
  <c r="DH65" i="4"/>
  <c r="CQ65" i="4"/>
  <c r="CR65" i="4"/>
  <c r="CB65" i="4"/>
  <c r="DC65" i="4"/>
  <c r="DD65" i="4" s="1"/>
  <c r="CM65" i="4"/>
  <c r="CN65" i="4"/>
  <c r="DO65" i="4"/>
  <c r="DP65" i="4" s="1"/>
  <c r="CY65" i="4"/>
  <c r="CZ65" i="4" s="1"/>
  <c r="CI65" i="4"/>
  <c r="CJ65" i="4" s="1"/>
  <c r="DK65" i="4"/>
  <c r="DL65" i="4" s="1"/>
  <c r="CU65" i="4"/>
  <c r="CV65" i="4" s="1"/>
  <c r="CE65" i="4"/>
  <c r="CF65" i="4" s="1"/>
  <c r="DO84" i="4"/>
  <c r="DP84" i="4" s="1"/>
  <c r="DK84" i="4"/>
  <c r="DL84" i="4"/>
  <c r="DG84" i="4"/>
  <c r="DH84" i="4" s="1"/>
  <c r="DC84" i="4"/>
  <c r="DD84" i="4" s="1"/>
  <c r="CY84" i="4"/>
  <c r="CZ84" i="4" s="1"/>
  <c r="CU84" i="4"/>
  <c r="CV84" i="4"/>
  <c r="CQ84" i="4"/>
  <c r="CR84" i="4" s="1"/>
  <c r="CM84" i="4"/>
  <c r="CN84" i="4" s="1"/>
  <c r="CI84" i="4"/>
  <c r="CJ84" i="4" s="1"/>
  <c r="CE84" i="4"/>
  <c r="CF84" i="4"/>
  <c r="CB84" i="4"/>
  <c r="DI84" i="4"/>
  <c r="DJ84" i="4" s="1"/>
  <c r="CS84" i="4"/>
  <c r="CT84" i="4" s="1"/>
  <c r="CC84" i="4"/>
  <c r="CD84" i="4" s="1"/>
  <c r="DE84" i="4"/>
  <c r="DF84" i="4" s="1"/>
  <c r="CO84" i="4"/>
  <c r="CP84" i="4" s="1"/>
  <c r="DQ84" i="4"/>
  <c r="DR84" i="4" s="1"/>
  <c r="DA84" i="4"/>
  <c r="DB84" i="4" s="1"/>
  <c r="CK84" i="4"/>
  <c r="CL84" i="4" s="1"/>
  <c r="CG84" i="4"/>
  <c r="CH84" i="4" s="1"/>
  <c r="DM84" i="4"/>
  <c r="DN84" i="4" s="1"/>
  <c r="CW84" i="4"/>
  <c r="CX84" i="4" s="1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AW113" i="4"/>
  <c r="AX113" i="4" s="1"/>
  <c r="AG113" i="4"/>
  <c r="AH113" i="4" s="1"/>
  <c r="Q113" i="4"/>
  <c r="R113" i="4" s="1"/>
  <c r="AS113" i="4"/>
  <c r="AT113" i="4" s="1"/>
  <c r="AC113" i="4"/>
  <c r="AD113" i="4" s="1"/>
  <c r="M113" i="4"/>
  <c r="N113" i="4" s="1"/>
  <c r="AO113" i="4"/>
  <c r="AP113" i="4" s="1"/>
  <c r="Y113" i="4"/>
  <c r="Z113" i="4" s="1"/>
  <c r="J113" i="4"/>
  <c r="AK113" i="4"/>
  <c r="AL113" i="4" s="1"/>
  <c r="U113" i="4"/>
  <c r="V113" i="4" s="1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/>
  <c r="CO134" i="4"/>
  <c r="CP134" i="4" s="1"/>
  <c r="CK134" i="4"/>
  <c r="CL134" i="4" s="1"/>
  <c r="CG134" i="4"/>
  <c r="CH134" i="4" s="1"/>
  <c r="CC134" i="4"/>
  <c r="CD134" i="4"/>
  <c r="DK134" i="4"/>
  <c r="DL134" i="4" s="1"/>
  <c r="DC134" i="4"/>
  <c r="DD134" i="4" s="1"/>
  <c r="CU134" i="4"/>
  <c r="CV134" i="4" s="1"/>
  <c r="CM134" i="4"/>
  <c r="CN134" i="4" s="1"/>
  <c r="CE134" i="4"/>
  <c r="CF134" i="4" s="1"/>
  <c r="DO134" i="4"/>
  <c r="DP134" i="4" s="1"/>
  <c r="DG134" i="4"/>
  <c r="DH134" i="4" s="1"/>
  <c r="CY134" i="4"/>
  <c r="CZ134" i="4" s="1"/>
  <c r="CQ134" i="4"/>
  <c r="CR134" i="4" s="1"/>
  <c r="CI134" i="4"/>
  <c r="CJ134" i="4" s="1"/>
  <c r="CB134" i="4"/>
  <c r="DQ139" i="4"/>
  <c r="DR139" i="4" s="1"/>
  <c r="DM139" i="4"/>
  <c r="DN139" i="4" s="1"/>
  <c r="DI139" i="4"/>
  <c r="DJ139" i="4" s="1"/>
  <c r="DE139" i="4"/>
  <c r="DF139" i="4"/>
  <c r="DA139" i="4"/>
  <c r="DB139" i="4" s="1"/>
  <c r="CW139" i="4"/>
  <c r="CX139" i="4" s="1"/>
  <c r="CS139" i="4"/>
  <c r="CT139" i="4" s="1"/>
  <c r="CO139" i="4"/>
  <c r="CP139" i="4" s="1"/>
  <c r="CK139" i="4"/>
  <c r="CL139" i="4" s="1"/>
  <c r="CG139" i="4"/>
  <c r="CH139" i="4" s="1"/>
  <c r="CC139" i="4"/>
  <c r="CD139" i="4" s="1"/>
  <c r="DO139" i="4"/>
  <c r="DP139" i="4"/>
  <c r="DG139" i="4"/>
  <c r="DH139" i="4" s="1"/>
  <c r="CY139" i="4"/>
  <c r="CZ139" i="4" s="1"/>
  <c r="CQ139" i="4"/>
  <c r="CR139" i="4" s="1"/>
  <c r="CB139" i="4"/>
  <c r="CE139" i="4"/>
  <c r="CF139" i="4" s="1"/>
  <c r="DK139" i="4"/>
  <c r="DL139" i="4" s="1"/>
  <c r="DC139" i="4"/>
  <c r="DD139" i="4" s="1"/>
  <c r="CU139" i="4"/>
  <c r="CV139" i="4" s="1"/>
  <c r="CI139" i="4"/>
  <c r="CJ139" i="4" s="1"/>
  <c r="CM139" i="4"/>
  <c r="CN139" i="4" s="1"/>
  <c r="FK96" i="4"/>
  <c r="FL96" i="4" s="1"/>
  <c r="GE96" i="4"/>
  <c r="GF96" i="4" s="1"/>
  <c r="EY96" i="4"/>
  <c r="EZ96" i="4" s="1"/>
  <c r="FS96" i="4"/>
  <c r="FT96" i="4" s="1"/>
  <c r="FG96" i="4"/>
  <c r="FH96" i="4" s="1"/>
  <c r="GG78" i="4"/>
  <c r="GH78" i="4" s="1"/>
  <c r="GA78" i="4"/>
  <c r="GB78" i="4" s="1"/>
  <c r="FQ78" i="4"/>
  <c r="FR78" i="4" s="1"/>
  <c r="FK78" i="4"/>
  <c r="FL78" i="4"/>
  <c r="FA78" i="4"/>
  <c r="FB78" i="4" s="1"/>
  <c r="EU78" i="4"/>
  <c r="EV78" i="4" s="1"/>
  <c r="GE78" i="4"/>
  <c r="GF78" i="4" s="1"/>
  <c r="FU78" i="4"/>
  <c r="FV78" i="4"/>
  <c r="FO78" i="4"/>
  <c r="FP78" i="4" s="1"/>
  <c r="FE78" i="4"/>
  <c r="FF78" i="4" s="1"/>
  <c r="EY78" i="4"/>
  <c r="EZ78" i="4" s="1"/>
  <c r="GI78" i="4"/>
  <c r="GJ78" i="4" s="1"/>
  <c r="FY78" i="4"/>
  <c r="FZ78" i="4" s="1"/>
  <c r="FS78" i="4"/>
  <c r="FT78" i="4" s="1"/>
  <c r="FI78" i="4"/>
  <c r="FJ78" i="4" s="1"/>
  <c r="FC78" i="4"/>
  <c r="FD78" i="4" s="1"/>
  <c r="ET78" i="4"/>
  <c r="FW78" i="4"/>
  <c r="FX78" i="4" s="1"/>
  <c r="EW78" i="4"/>
  <c r="EX78" i="4" s="1"/>
  <c r="FM78" i="4"/>
  <c r="FN78" i="4" s="1"/>
  <c r="FG78" i="4"/>
  <c r="FH78" i="4" s="1"/>
  <c r="GC78" i="4"/>
  <c r="GD78" i="4" s="1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M71" i="4"/>
  <c r="DN71" i="4" s="1"/>
  <c r="CW71" i="4"/>
  <c r="CX71" i="4" s="1"/>
  <c r="CG71" i="4"/>
  <c r="CH71" i="4" s="1"/>
  <c r="DI71" i="4"/>
  <c r="DJ71" i="4"/>
  <c r="CS71" i="4"/>
  <c r="CT71" i="4" s="1"/>
  <c r="CC71" i="4"/>
  <c r="CD71" i="4" s="1"/>
  <c r="DE71" i="4"/>
  <c r="DF71" i="4" s="1"/>
  <c r="CO71" i="4"/>
  <c r="CP71" i="4" s="1"/>
  <c r="DQ71" i="4"/>
  <c r="DR71" i="4" s="1"/>
  <c r="DA71" i="4"/>
  <c r="DB71" i="4" s="1"/>
  <c r="CK71" i="4"/>
  <c r="CL71" i="4" s="1"/>
  <c r="DQ93" i="4"/>
  <c r="DR93" i="4" s="1"/>
  <c r="DK93" i="4"/>
  <c r="DL93" i="4" s="1"/>
  <c r="DA93" i="4"/>
  <c r="DB93" i="4" s="1"/>
  <c r="CU93" i="4"/>
  <c r="CV93" i="4" s="1"/>
  <c r="CK93" i="4"/>
  <c r="CL93" i="4"/>
  <c r="CE93" i="4"/>
  <c r="CF93" i="4" s="1"/>
  <c r="DO93" i="4"/>
  <c r="DP93" i="4" s="1"/>
  <c r="DE93" i="4"/>
  <c r="DF93" i="4" s="1"/>
  <c r="CY93" i="4"/>
  <c r="CZ93" i="4"/>
  <c r="CO93" i="4"/>
  <c r="CP93" i="4" s="1"/>
  <c r="CI93" i="4"/>
  <c r="CJ93" i="4" s="1"/>
  <c r="DI93" i="4"/>
  <c r="DJ93" i="4" s="1"/>
  <c r="DC93" i="4"/>
  <c r="DD93" i="4" s="1"/>
  <c r="CS93" i="4"/>
  <c r="CT93" i="4" s="1"/>
  <c r="CM93" i="4"/>
  <c r="CN93" i="4" s="1"/>
  <c r="CC93" i="4"/>
  <c r="CD93" i="4" s="1"/>
  <c r="CW93" i="4"/>
  <c r="CX93" i="4" s="1"/>
  <c r="CB93" i="4"/>
  <c r="DM93" i="4"/>
  <c r="DN93" i="4" s="1"/>
  <c r="CQ93" i="4"/>
  <c r="CR93" i="4" s="1"/>
  <c r="DG93" i="4"/>
  <c r="DH93" i="4" s="1"/>
  <c r="CG93" i="4"/>
  <c r="CH93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S101" i="4"/>
  <c r="CT101" i="4" s="1"/>
  <c r="CO101" i="4"/>
  <c r="CP101" i="4" s="1"/>
  <c r="CK101" i="4"/>
  <c r="CL101" i="4" s="1"/>
  <c r="CG101" i="4"/>
  <c r="CH101" i="4" s="1"/>
  <c r="CC101" i="4"/>
  <c r="CD101" i="4" s="1"/>
  <c r="DO101" i="4"/>
  <c r="DP101" i="4" s="1"/>
  <c r="CY101" i="4"/>
  <c r="CZ101" i="4" s="1"/>
  <c r="CI101" i="4"/>
  <c r="CJ101" i="4" s="1"/>
  <c r="DK101" i="4"/>
  <c r="DL101" i="4" s="1"/>
  <c r="CU101" i="4"/>
  <c r="CV101" i="4" s="1"/>
  <c r="CE101" i="4"/>
  <c r="CF101" i="4" s="1"/>
  <c r="DG101" i="4"/>
  <c r="DH101" i="4" s="1"/>
  <c r="CQ101" i="4"/>
  <c r="CR101" i="4" s="1"/>
  <c r="CB101" i="4"/>
  <c r="DC101" i="4"/>
  <c r="DD101" i="4" s="1"/>
  <c r="CM101" i="4"/>
  <c r="CN101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/>
  <c r="CE41" i="4"/>
  <c r="CF41" i="4" s="1"/>
  <c r="CB41" i="4"/>
  <c r="DQ41" i="4"/>
  <c r="DR41" i="4"/>
  <c r="DA41" i="4"/>
  <c r="DB41" i="4" s="1"/>
  <c r="CK41" i="4"/>
  <c r="CL41" i="4"/>
  <c r="CO41" i="4"/>
  <c r="CP41" i="4" s="1"/>
  <c r="DM41" i="4"/>
  <c r="DN41" i="4"/>
  <c r="CW41" i="4"/>
  <c r="CX41" i="4" s="1"/>
  <c r="CG41" i="4"/>
  <c r="CH41" i="4"/>
  <c r="DI41" i="4"/>
  <c r="DJ41" i="4" s="1"/>
  <c r="CS41" i="4"/>
  <c r="CT41" i="4"/>
  <c r="CC41" i="4"/>
  <c r="CD41" i="4" s="1"/>
  <c r="DE41" i="4"/>
  <c r="DF41" i="4"/>
  <c r="DO49" i="4"/>
  <c r="DP49" i="4" s="1"/>
  <c r="DK49" i="4"/>
  <c r="DL49" i="4"/>
  <c r="DG49" i="4"/>
  <c r="DH49" i="4" s="1"/>
  <c r="DC49" i="4"/>
  <c r="DD49" i="4"/>
  <c r="CY49" i="4"/>
  <c r="CZ49" i="4" s="1"/>
  <c r="CU49" i="4"/>
  <c r="CV49" i="4"/>
  <c r="CQ49" i="4"/>
  <c r="CR49" i="4" s="1"/>
  <c r="CM49" i="4"/>
  <c r="CN49" i="4"/>
  <c r="CI49" i="4"/>
  <c r="CJ49" i="4" s="1"/>
  <c r="CE49" i="4"/>
  <c r="CF49" i="4"/>
  <c r="CB49" i="4"/>
  <c r="DI49" i="4"/>
  <c r="DJ49" i="4" s="1"/>
  <c r="CS49" i="4"/>
  <c r="CT49" i="4" s="1"/>
  <c r="CC49" i="4"/>
  <c r="CD49" i="4"/>
  <c r="DE49" i="4"/>
  <c r="DF49" i="4" s="1"/>
  <c r="CO49" i="4"/>
  <c r="CP49" i="4" s="1"/>
  <c r="DQ49" i="4"/>
  <c r="DR49" i="4" s="1"/>
  <c r="DA49" i="4"/>
  <c r="DB49" i="4" s="1"/>
  <c r="CK49" i="4"/>
  <c r="CL49" i="4" s="1"/>
  <c r="DM49" i="4"/>
  <c r="DN49" i="4" s="1"/>
  <c r="CW49" i="4"/>
  <c r="CX49" i="4" s="1"/>
  <c r="CG49" i="4"/>
  <c r="CH49" i="4"/>
  <c r="DQ73" i="4"/>
  <c r="DR73" i="4" s="1"/>
  <c r="DM73" i="4"/>
  <c r="DN73" i="4" s="1"/>
  <c r="DI73" i="4"/>
  <c r="DJ73" i="4" s="1"/>
  <c r="DE73" i="4"/>
  <c r="DF73" i="4"/>
  <c r="DA73" i="4"/>
  <c r="DB73" i="4" s="1"/>
  <c r="CW73" i="4"/>
  <c r="CX73" i="4" s="1"/>
  <c r="CS73" i="4"/>
  <c r="CT73" i="4" s="1"/>
  <c r="CO73" i="4"/>
  <c r="CP73" i="4"/>
  <c r="CK73" i="4"/>
  <c r="CL73" i="4" s="1"/>
  <c r="CG73" i="4"/>
  <c r="CH73" i="4" s="1"/>
  <c r="CC73" i="4"/>
  <c r="CD73" i="4" s="1"/>
  <c r="DO73" i="4"/>
  <c r="DP73" i="4" s="1"/>
  <c r="CY73" i="4"/>
  <c r="CZ73" i="4" s="1"/>
  <c r="CI73" i="4"/>
  <c r="CJ73" i="4" s="1"/>
  <c r="DK73" i="4"/>
  <c r="DL73" i="4" s="1"/>
  <c r="CU73" i="4"/>
  <c r="CV73" i="4"/>
  <c r="CE73" i="4"/>
  <c r="CF73" i="4" s="1"/>
  <c r="DG73" i="4"/>
  <c r="DH73" i="4" s="1"/>
  <c r="CQ73" i="4"/>
  <c r="CR73" i="4" s="1"/>
  <c r="CB73" i="4"/>
  <c r="DC73" i="4"/>
  <c r="DD73" i="4" s="1"/>
  <c r="CM73" i="4"/>
  <c r="CN73" i="4" s="1"/>
  <c r="DQ130" i="4"/>
  <c r="DR130" i="4" s="1"/>
  <c r="DK130" i="4"/>
  <c r="DL130" i="4" s="1"/>
  <c r="DA130" i="4"/>
  <c r="DB130" i="4" s="1"/>
  <c r="CU130" i="4"/>
  <c r="CV130" i="4" s="1"/>
  <c r="CK130" i="4"/>
  <c r="CL130" i="4" s="1"/>
  <c r="CE130" i="4"/>
  <c r="CF130" i="4" s="1"/>
  <c r="DO130" i="4"/>
  <c r="DP130" i="4" s="1"/>
  <c r="DE130" i="4"/>
  <c r="DF130" i="4" s="1"/>
  <c r="CY130" i="4"/>
  <c r="CZ130" i="4" s="1"/>
  <c r="CO130" i="4"/>
  <c r="CP130" i="4" s="1"/>
  <c r="CI130" i="4"/>
  <c r="CJ130" i="4" s="1"/>
  <c r="DI130" i="4"/>
  <c r="DJ130" i="4" s="1"/>
  <c r="DC130" i="4"/>
  <c r="DD130" i="4" s="1"/>
  <c r="CS130" i="4"/>
  <c r="CT130" i="4" s="1"/>
  <c r="CM130" i="4"/>
  <c r="CN130" i="4" s="1"/>
  <c r="CC130" i="4"/>
  <c r="CD130" i="4" s="1"/>
  <c r="DG130" i="4"/>
  <c r="DH130" i="4" s="1"/>
  <c r="CG130" i="4"/>
  <c r="CH130" i="4" s="1"/>
  <c r="CW130" i="4"/>
  <c r="CX130" i="4" s="1"/>
  <c r="CB130" i="4"/>
  <c r="DM130" i="4"/>
  <c r="DN130" i="4"/>
  <c r="CQ130" i="4"/>
  <c r="CR130" i="4" s="1"/>
  <c r="GE18" i="4"/>
  <c r="GF18" i="4" s="1"/>
  <c r="FW18" i="4"/>
  <c r="FX18" i="4" s="1"/>
  <c r="FO18" i="4"/>
  <c r="FP18" i="4" s="1"/>
  <c r="FG18" i="4"/>
  <c r="FH18" i="4" s="1"/>
  <c r="EY18" i="4"/>
  <c r="EZ18" i="4" s="1"/>
  <c r="GG18" i="4"/>
  <c r="GH18" i="4" s="1"/>
  <c r="FY18" i="4"/>
  <c r="FZ18" i="4" s="1"/>
  <c r="FQ18" i="4"/>
  <c r="FR18" i="4" s="1"/>
  <c r="FI18" i="4"/>
  <c r="FJ18" i="4" s="1"/>
  <c r="FA18" i="4"/>
  <c r="FB18" i="4" s="1"/>
  <c r="ET18" i="4"/>
  <c r="GI113" i="4"/>
  <c r="GJ113" i="4" s="1"/>
  <c r="GE113" i="4"/>
  <c r="GF113" i="4" s="1"/>
  <c r="GA113" i="4"/>
  <c r="GB113" i="4"/>
  <c r="FW113" i="4"/>
  <c r="FX113" i="4" s="1"/>
  <c r="FS113" i="4"/>
  <c r="FT113" i="4" s="1"/>
  <c r="FO113" i="4"/>
  <c r="FP113" i="4" s="1"/>
  <c r="FK113" i="4"/>
  <c r="FL113" i="4"/>
  <c r="FG113" i="4"/>
  <c r="FH113" i="4" s="1"/>
  <c r="FC113" i="4"/>
  <c r="FD113" i="4" s="1"/>
  <c r="EY113" i="4"/>
  <c r="EZ113" i="4" s="1"/>
  <c r="EU113" i="4"/>
  <c r="EV113" i="4" s="1"/>
  <c r="FY113" i="4"/>
  <c r="FZ113" i="4" s="1"/>
  <c r="FI113" i="4"/>
  <c r="FJ113" i="4" s="1"/>
  <c r="ET113" i="4"/>
  <c r="FU113" i="4"/>
  <c r="FV113" i="4"/>
  <c r="FE113" i="4"/>
  <c r="FF113" i="4"/>
  <c r="GG113" i="4"/>
  <c r="GH113" i="4" s="1"/>
  <c r="FQ113" i="4"/>
  <c r="FR113" i="4"/>
  <c r="FA113" i="4"/>
  <c r="FB113" i="4" s="1"/>
  <c r="FM113" i="4"/>
  <c r="FN113" i="4"/>
  <c r="EW113" i="4"/>
  <c r="EX113" i="4" s="1"/>
  <c r="GC113" i="4"/>
  <c r="GD113" i="4"/>
  <c r="DQ89" i="4"/>
  <c r="DR89" i="4" s="1"/>
  <c r="DM89" i="4"/>
  <c r="DN89" i="4"/>
  <c r="DI89" i="4"/>
  <c r="DJ89" i="4" s="1"/>
  <c r="DG89" i="4"/>
  <c r="DH89" i="4"/>
  <c r="DC89" i="4"/>
  <c r="DD89" i="4" s="1"/>
  <c r="CY89" i="4"/>
  <c r="CZ89" i="4"/>
  <c r="CU89" i="4"/>
  <c r="CV89" i="4" s="1"/>
  <c r="CQ89" i="4"/>
  <c r="CR89" i="4"/>
  <c r="CM89" i="4"/>
  <c r="CN89" i="4"/>
  <c r="CI89" i="4"/>
  <c r="CJ89" i="4"/>
  <c r="CE89" i="4"/>
  <c r="CF89" i="4"/>
  <c r="CB89" i="4"/>
  <c r="DK89" i="4"/>
  <c r="DL89" i="4" s="1"/>
  <c r="DO89" i="4"/>
  <c r="DP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/>
  <c r="GI54" i="4"/>
  <c r="GJ54" i="4" s="1"/>
  <c r="FY54" i="4"/>
  <c r="FZ54" i="4" s="1"/>
  <c r="FS54" i="4"/>
  <c r="FT54" i="4" s="1"/>
  <c r="FI54" i="4"/>
  <c r="FJ54" i="4" s="1"/>
  <c r="FC54" i="4"/>
  <c r="FD54" i="4" s="1"/>
  <c r="ET54" i="4"/>
  <c r="GC54" i="4"/>
  <c r="GD54" i="4" s="1"/>
  <c r="FW54" i="4"/>
  <c r="FX54" i="4" s="1"/>
  <c r="FM54" i="4"/>
  <c r="FN54" i="4" s="1"/>
  <c r="FG54" i="4"/>
  <c r="FH54" i="4" s="1"/>
  <c r="EW54" i="4"/>
  <c r="EX54" i="4" s="1"/>
  <c r="GG54" i="4"/>
  <c r="GH54" i="4" s="1"/>
  <c r="GA54" i="4"/>
  <c r="GB54" i="4" s="1"/>
  <c r="FQ54" i="4"/>
  <c r="FR54" i="4" s="1"/>
  <c r="FK54" i="4"/>
  <c r="FL54" i="4" s="1"/>
  <c r="FA54" i="4"/>
  <c r="FB54" i="4" s="1"/>
  <c r="EU54" i="4"/>
  <c r="EV54" i="4" s="1"/>
  <c r="GE54" i="4"/>
  <c r="GF54" i="4" s="1"/>
  <c r="FE54" i="4"/>
  <c r="FF54" i="4" s="1"/>
  <c r="FU54" i="4"/>
  <c r="FV54" i="4" s="1"/>
  <c r="EY54" i="4"/>
  <c r="EZ54" i="4" s="1"/>
  <c r="FO54" i="4"/>
  <c r="FP54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M113" i="4"/>
  <c r="DN113" i="4" s="1"/>
  <c r="CW113" i="4"/>
  <c r="CX113" i="4" s="1"/>
  <c r="CG113" i="4"/>
  <c r="CH113" i="4" s="1"/>
  <c r="DI113" i="4"/>
  <c r="DJ113" i="4" s="1"/>
  <c r="CS113" i="4"/>
  <c r="CT113" i="4" s="1"/>
  <c r="CC113" i="4"/>
  <c r="CD113" i="4"/>
  <c r="DE113" i="4"/>
  <c r="DF113" i="4" s="1"/>
  <c r="CO113" i="4"/>
  <c r="CP113" i="4" s="1"/>
  <c r="DQ113" i="4"/>
  <c r="DR113" i="4" s="1"/>
  <c r="DA113" i="4"/>
  <c r="DB113" i="4" s="1"/>
  <c r="CK113" i="4"/>
  <c r="CL113" i="4" s="1"/>
  <c r="GC89" i="4"/>
  <c r="GD89" i="4" s="1"/>
  <c r="FU89" i="4"/>
  <c r="FV89" i="4" s="1"/>
  <c r="FM89" i="4"/>
  <c r="FN89" i="4" s="1"/>
  <c r="FE89" i="4"/>
  <c r="FF89" i="4" s="1"/>
  <c r="EW89" i="4"/>
  <c r="EX89" i="4" s="1"/>
  <c r="DQ54" i="4"/>
  <c r="DR54" i="4" s="1"/>
  <c r="DK54" i="4"/>
  <c r="DL54" i="4" s="1"/>
  <c r="DA54" i="4"/>
  <c r="DB54" i="4" s="1"/>
  <c r="CU54" i="4"/>
  <c r="CV54" i="4" s="1"/>
  <c r="CK54" i="4"/>
  <c r="CL54" i="4" s="1"/>
  <c r="CE54" i="4"/>
  <c r="CF54" i="4" s="1"/>
  <c r="DO54" i="4"/>
  <c r="DP54" i="4" s="1"/>
  <c r="DE54" i="4"/>
  <c r="DF54" i="4" s="1"/>
  <c r="CY54" i="4"/>
  <c r="CZ54" i="4" s="1"/>
  <c r="CO54" i="4"/>
  <c r="CP54" i="4" s="1"/>
  <c r="CI54" i="4"/>
  <c r="CJ54" i="4" s="1"/>
  <c r="DI54" i="4"/>
  <c r="DJ54" i="4" s="1"/>
  <c r="DC54" i="4"/>
  <c r="DD54" i="4" s="1"/>
  <c r="CS54" i="4"/>
  <c r="CT54" i="4" s="1"/>
  <c r="CM54" i="4"/>
  <c r="CN54" i="4" s="1"/>
  <c r="CC54" i="4"/>
  <c r="CD54" i="4" s="1"/>
  <c r="DG54" i="4"/>
  <c r="DH54" i="4" s="1"/>
  <c r="CG54" i="4"/>
  <c r="CH54" i="4" s="1"/>
  <c r="CW54" i="4"/>
  <c r="CX54" i="4" s="1"/>
  <c r="CB54" i="4"/>
  <c r="DM54" i="4"/>
  <c r="DN54" i="4" s="1"/>
  <c r="CQ54" i="4"/>
  <c r="CR54" i="4" s="1"/>
  <c r="FY47" i="4" l="1"/>
  <c r="FZ47" i="4" s="1"/>
  <c r="FE47" i="4"/>
  <c r="FF47" i="4" s="1"/>
  <c r="ET47" i="4"/>
  <c r="FS47" i="4"/>
  <c r="FT47" i="4" s="1"/>
  <c r="FK47" i="4"/>
  <c r="FL47" i="4" s="1"/>
  <c r="GG47" i="4"/>
  <c r="GH47" i="4" s="1"/>
  <c r="FM47" i="4"/>
  <c r="FN47" i="4" s="1"/>
  <c r="FA47" i="4"/>
  <c r="FB47" i="4" s="1"/>
  <c r="FW47" i="4"/>
  <c r="FX47" i="4" s="1"/>
  <c r="FO47" i="4"/>
  <c r="FP47" i="4" s="1"/>
  <c r="EU47" i="4"/>
  <c r="EV47" i="4" s="1"/>
  <c r="FU47" i="4"/>
  <c r="FV47" i="4" s="1"/>
  <c r="FI47" i="4"/>
  <c r="FJ47" i="4" s="1"/>
  <c r="FG47" i="4"/>
  <c r="FH47" i="4" s="1"/>
  <c r="FC47" i="4"/>
  <c r="FD47" i="4" s="1"/>
  <c r="EY47" i="4"/>
  <c r="EZ47" i="4" s="1"/>
  <c r="GC47" i="4"/>
  <c r="GD47" i="4" s="1"/>
  <c r="FQ47" i="4"/>
  <c r="FR47" i="4" s="1"/>
  <c r="EW47" i="4"/>
  <c r="EX47" i="4" s="1"/>
  <c r="GI47" i="4"/>
  <c r="GJ47" i="4" s="1"/>
  <c r="GE47" i="4"/>
  <c r="GF47" i="4" s="1"/>
  <c r="GA47" i="4"/>
  <c r="GB47" i="4" s="1"/>
  <c r="FA101" i="4"/>
  <c r="FB101" i="4" s="1"/>
  <c r="GA101" i="4"/>
  <c r="GB101" i="4" s="1"/>
  <c r="FC101" i="4"/>
  <c r="FD101" i="4" s="1"/>
  <c r="FQ101" i="4"/>
  <c r="FR101" i="4" s="1"/>
  <c r="ET101" i="4"/>
  <c r="EU101" i="4"/>
  <c r="EV101" i="4" s="1"/>
  <c r="GG101" i="4"/>
  <c r="GH101" i="4" s="1"/>
  <c r="FI101" i="4"/>
  <c r="FJ101" i="4" s="1"/>
  <c r="GE101" i="4"/>
  <c r="GF101" i="4" s="1"/>
  <c r="FY101" i="4"/>
  <c r="FZ101" i="4" s="1"/>
  <c r="EY101" i="4"/>
  <c r="EZ101" i="4" s="1"/>
  <c r="GI101" i="4"/>
  <c r="GJ101" i="4" s="1"/>
  <c r="GA154" i="4"/>
  <c r="GB154" i="4" s="1"/>
  <c r="GI154" i="4"/>
  <c r="GJ154" i="4" s="1"/>
  <c r="GE154" i="4"/>
  <c r="GF154" i="4" s="1"/>
  <c r="GC154" i="4"/>
  <c r="GD154" i="4" s="1"/>
  <c r="FU154" i="4"/>
  <c r="FV154" i="4" s="1"/>
  <c r="FM154" i="4"/>
  <c r="FN154" i="4" s="1"/>
  <c r="FE154" i="4"/>
  <c r="FF154" i="4" s="1"/>
  <c r="EW154" i="4"/>
  <c r="EX154" i="4" s="1"/>
  <c r="FG154" i="4"/>
  <c r="FH154" i="4" s="1"/>
  <c r="FO154" i="4"/>
  <c r="FP154" i="4" s="1"/>
  <c r="FK154" i="4"/>
  <c r="FL154" i="4" s="1"/>
  <c r="EU154" i="4"/>
  <c r="EV154" i="4" s="1"/>
  <c r="FC154" i="4"/>
  <c r="FD154" i="4" s="1"/>
  <c r="EY154" i="4"/>
  <c r="EZ154" i="4" s="1"/>
  <c r="GG154" i="4"/>
  <c r="GH154" i="4" s="1"/>
  <c r="FY154" i="4"/>
  <c r="FZ154" i="4" s="1"/>
  <c r="FQ154" i="4"/>
  <c r="FR154" i="4" s="1"/>
  <c r="FI154" i="4"/>
  <c r="FJ154" i="4" s="1"/>
  <c r="FA154" i="4"/>
  <c r="FB154" i="4" s="1"/>
  <c r="ET154" i="4"/>
  <c r="FW154" i="4"/>
  <c r="FX154" i="4" s="1"/>
  <c r="FS154" i="4"/>
  <c r="FT154" i="4" s="1"/>
  <c r="FS39" i="4"/>
  <c r="FT39" i="4" s="1"/>
  <c r="FE39" i="4"/>
  <c r="FF39" i="4" s="1"/>
  <c r="GG39" i="4"/>
  <c r="GH39" i="4" s="1"/>
  <c r="FK39" i="4"/>
  <c r="FL39" i="4" s="1"/>
  <c r="FU39" i="4"/>
  <c r="FV39" i="4" s="1"/>
  <c r="GI39" i="4"/>
  <c r="GJ39" i="4" s="1"/>
  <c r="ET39" i="4"/>
  <c r="GC39" i="4"/>
  <c r="GD39" i="4" s="1"/>
  <c r="FG39" i="4"/>
  <c r="FH39" i="4" s="1"/>
  <c r="GA39" i="4"/>
  <c r="GB39" i="4" s="1"/>
  <c r="FA39" i="4"/>
  <c r="FB39" i="4" s="1"/>
  <c r="FI39" i="4"/>
  <c r="FJ39" i="4" s="1"/>
  <c r="FO39" i="4"/>
  <c r="FP39" i="4" s="1"/>
  <c r="FW39" i="4"/>
  <c r="FX39" i="4" s="1"/>
  <c r="EW39" i="4"/>
  <c r="EX39" i="4" s="1"/>
  <c r="EU39" i="4"/>
  <c r="EV39" i="4" s="1"/>
  <c r="EY39" i="4"/>
  <c r="EZ39" i="4" s="1"/>
  <c r="FY39" i="4"/>
  <c r="FZ39" i="4" s="1"/>
  <c r="FC39" i="4"/>
  <c r="FD39" i="4" s="1"/>
  <c r="FM39" i="4"/>
  <c r="FN39" i="4" s="1"/>
  <c r="FQ39" i="4"/>
  <c r="FR39" i="4" s="1"/>
  <c r="GE39" i="4"/>
  <c r="GF39" i="4" s="1"/>
  <c r="GA45" i="4"/>
  <c r="GB45" i="4" s="1"/>
  <c r="FO45" i="4"/>
  <c r="FP45" i="4" s="1"/>
  <c r="GG45" i="4"/>
  <c r="GH45" i="4" s="1"/>
  <c r="FY45" i="4"/>
  <c r="FZ45" i="4" s="1"/>
  <c r="FE45" i="4"/>
  <c r="FF45" i="4" s="1"/>
  <c r="FK45" i="4"/>
  <c r="FL45" i="4" s="1"/>
  <c r="EY45" i="4"/>
  <c r="EZ45" i="4" s="1"/>
  <c r="FQ45" i="4"/>
  <c r="FR45" i="4" s="1"/>
  <c r="FM45" i="4"/>
  <c r="FN45" i="4" s="1"/>
  <c r="FI45" i="4"/>
  <c r="FJ45" i="4" s="1"/>
  <c r="GI45" i="4"/>
  <c r="GJ45" i="4" s="1"/>
  <c r="FW45" i="4"/>
  <c r="FX45" i="4" s="1"/>
  <c r="FG45" i="4"/>
  <c r="FH45" i="4" s="1"/>
  <c r="EU45" i="4"/>
  <c r="EV45" i="4" s="1"/>
  <c r="FA45" i="4"/>
  <c r="FB45" i="4" s="1"/>
  <c r="EW45" i="4"/>
  <c r="EX45" i="4" s="1"/>
  <c r="ET45" i="4"/>
  <c r="GE45" i="4"/>
  <c r="GF45" i="4" s="1"/>
  <c r="FS45" i="4"/>
  <c r="FT45" i="4" s="1"/>
  <c r="FC45" i="4"/>
  <c r="FD45" i="4" s="1"/>
  <c r="GC45" i="4"/>
  <c r="GD45" i="4" s="1"/>
  <c r="FU45" i="4"/>
  <c r="FV45" i="4" s="1"/>
  <c r="GI20" i="4"/>
  <c r="GJ20" i="4" s="1"/>
  <c r="GA20" i="4"/>
  <c r="GB20" i="4" s="1"/>
  <c r="FS20" i="4"/>
  <c r="FT20" i="4" s="1"/>
  <c r="FK20" i="4"/>
  <c r="FL20" i="4" s="1"/>
  <c r="FC20" i="4"/>
  <c r="FD20" i="4" s="1"/>
  <c r="EU20" i="4"/>
  <c r="EV20" i="4" s="1"/>
  <c r="GC20" i="4"/>
  <c r="GD20" i="4" s="1"/>
  <c r="FU20" i="4"/>
  <c r="FV20" i="4" s="1"/>
  <c r="FM20" i="4"/>
  <c r="FN20" i="4" s="1"/>
  <c r="FE20" i="4"/>
  <c r="FF20" i="4" s="1"/>
  <c r="EW20" i="4"/>
  <c r="EX20" i="4" s="1"/>
  <c r="GE20" i="4"/>
  <c r="GF20" i="4" s="1"/>
  <c r="FW20" i="4"/>
  <c r="FX20" i="4" s="1"/>
  <c r="FO20" i="4"/>
  <c r="FP20" i="4" s="1"/>
  <c r="FG20" i="4"/>
  <c r="FH20" i="4" s="1"/>
  <c r="EY20" i="4"/>
  <c r="EZ20" i="4" s="1"/>
  <c r="GG20" i="4"/>
  <c r="GH20" i="4" s="1"/>
  <c r="FY20" i="4"/>
  <c r="FZ20" i="4" s="1"/>
  <c r="FQ20" i="4"/>
  <c r="FR20" i="4" s="1"/>
  <c r="FI20" i="4"/>
  <c r="FJ20" i="4" s="1"/>
  <c r="FA20" i="4"/>
  <c r="FB20" i="4" s="1"/>
  <c r="ET20" i="4"/>
  <c r="GE88" i="4"/>
  <c r="GF88" i="4" s="1"/>
  <c r="GA88" i="4"/>
  <c r="GB88" i="4" s="1"/>
  <c r="EU88" i="4"/>
  <c r="EV88" i="4" s="1"/>
  <c r="FS88" i="4"/>
  <c r="FT88" i="4" s="1"/>
  <c r="FI88" i="4"/>
  <c r="FJ88" i="4" s="1"/>
  <c r="FK88" i="4"/>
  <c r="FL88" i="4" s="1"/>
  <c r="GI88" i="4"/>
  <c r="GJ88" i="4" s="1"/>
  <c r="FC88" i="4"/>
  <c r="FD88" i="4" s="1"/>
  <c r="GC60" i="4"/>
  <c r="GD60" i="4" s="1"/>
  <c r="FQ60" i="4"/>
  <c r="FR60" i="4" s="1"/>
  <c r="GI60" i="4"/>
  <c r="GJ60" i="4" s="1"/>
  <c r="FG60" i="4"/>
  <c r="FH60" i="4" s="1"/>
  <c r="EU60" i="4"/>
  <c r="EV60" i="4" s="1"/>
  <c r="ET60" i="4"/>
  <c r="FY60" i="4"/>
  <c r="FZ60" i="4" s="1"/>
  <c r="FM60" i="4"/>
  <c r="FN60" i="4" s="1"/>
  <c r="GE60" i="4"/>
  <c r="GF60" i="4" s="1"/>
  <c r="FS60" i="4"/>
  <c r="FT60" i="4" s="1"/>
  <c r="FA60" i="4"/>
  <c r="FB60" i="4" s="1"/>
  <c r="EW60" i="4"/>
  <c r="EX60" i="4" s="1"/>
  <c r="FI60" i="4"/>
  <c r="FJ60" i="4" s="1"/>
  <c r="GA60" i="4"/>
  <c r="GB60" i="4" s="1"/>
  <c r="FO60" i="4"/>
  <c r="FP60" i="4" s="1"/>
  <c r="FC60" i="4"/>
  <c r="FD60" i="4" s="1"/>
  <c r="GG60" i="4"/>
  <c r="GH60" i="4" s="1"/>
  <c r="FU60" i="4"/>
  <c r="FV60" i="4" s="1"/>
  <c r="FW60" i="4"/>
  <c r="FX60" i="4" s="1"/>
  <c r="FK60" i="4"/>
  <c r="FL60" i="4" s="1"/>
  <c r="EY60" i="4"/>
  <c r="EZ60" i="4" s="1"/>
  <c r="FE60" i="4"/>
  <c r="FF60" i="4" s="1"/>
  <c r="BI37" i="4"/>
  <c r="BJ37" i="4" s="1"/>
  <c r="BK37" i="4" s="1"/>
  <c r="BL37" i="4" s="1"/>
  <c r="BM37" i="4" s="1"/>
  <c r="S37" i="4"/>
  <c r="T37" i="4" s="1"/>
  <c r="BL38" i="4"/>
  <c r="Y38" i="4"/>
  <c r="Z38" i="4" s="1"/>
  <c r="U41" i="4"/>
  <c r="V41" i="4" s="1"/>
  <c r="BJ41" i="4"/>
  <c r="BK41" i="4" s="1"/>
  <c r="AG44" i="4"/>
  <c r="AH44" i="4" s="1"/>
  <c r="BP44" i="4"/>
  <c r="Y37" i="4"/>
  <c r="Z37" i="4" s="1"/>
  <c r="O38" i="4"/>
  <c r="P38" i="4" s="1"/>
  <c r="K41" i="4"/>
  <c r="L41" i="4" s="1"/>
  <c r="BZ35" i="4"/>
  <c r="W38" i="4"/>
  <c r="X38" i="4" s="1"/>
  <c r="O41" i="4"/>
  <c r="P41" i="4" s="1"/>
  <c r="Y67" i="4"/>
  <c r="Z67" i="4" s="1"/>
  <c r="BL67" i="4"/>
  <c r="CA37" i="4"/>
  <c r="K38" i="4"/>
  <c r="L38" i="4" s="1"/>
  <c r="BJ45" i="4"/>
  <c r="U45" i="4"/>
  <c r="V45" i="4" s="1"/>
  <c r="I70" i="4"/>
  <c r="BI76" i="4"/>
  <c r="S76" i="4"/>
  <c r="T76" i="4" s="1"/>
  <c r="BX84" i="4"/>
  <c r="AY84" i="4" s="1"/>
  <c r="AZ84" i="4" s="1"/>
  <c r="AW84" i="4"/>
  <c r="AX84" i="4" s="1"/>
  <c r="U79" i="4"/>
  <c r="V79" i="4" s="1"/>
  <c r="BJ79" i="4"/>
  <c r="AE92" i="4"/>
  <c r="AF92" i="4" s="1"/>
  <c r="BO92" i="4"/>
  <c r="CA87" i="4"/>
  <c r="BJ88" i="4"/>
  <c r="U88" i="4"/>
  <c r="V88" i="4" s="1"/>
  <c r="AK93" i="4"/>
  <c r="AL93" i="4" s="1"/>
  <c r="AW95" i="4"/>
  <c r="AX95" i="4" s="1"/>
  <c r="AE77" i="4"/>
  <c r="AF77" i="4" s="1"/>
  <c r="DE95" i="4"/>
  <c r="DF95" i="4" s="1"/>
  <c r="EK95" i="4"/>
  <c r="EL95" i="4" s="1"/>
  <c r="EM95" i="4" s="1"/>
  <c r="EN95" i="4" s="1"/>
  <c r="EO95" i="4" s="1"/>
  <c r="EP95" i="4" s="1"/>
  <c r="DQ95" i="4" s="1"/>
  <c r="DR95" i="4" s="1"/>
  <c r="AW93" i="4"/>
  <c r="AX93" i="4" s="1"/>
  <c r="BX93" i="4"/>
  <c r="AY93" i="4" s="1"/>
  <c r="AZ93" i="4" s="1"/>
  <c r="AG84" i="4"/>
  <c r="AH84" i="4" s="1"/>
  <c r="EJ100" i="4"/>
  <c r="DC100" i="4"/>
  <c r="DD100" i="4" s="1"/>
  <c r="U93" i="4"/>
  <c r="V93" i="4" s="1"/>
  <c r="AG95" i="4"/>
  <c r="AH95" i="4" s="1"/>
  <c r="CK95" i="4"/>
  <c r="CL95" i="4" s="1"/>
  <c r="CW95" i="4"/>
  <c r="CX95" i="4" s="1"/>
  <c r="EA116" i="4"/>
  <c r="CK116" i="4"/>
  <c r="CL116" i="4" s="1"/>
  <c r="BP119" i="4"/>
  <c r="AG119" i="4"/>
  <c r="AH119" i="4" s="1"/>
  <c r="J95" i="4"/>
  <c r="CO95" i="4"/>
  <c r="CP95" i="4" s="1"/>
  <c r="DA95" i="4"/>
  <c r="DB95" i="4" s="1"/>
  <c r="ER95" i="4"/>
  <c r="ES95" i="4" s="1"/>
  <c r="BP108" i="4"/>
  <c r="AG108" i="4"/>
  <c r="AH108" i="4" s="1"/>
  <c r="BI109" i="4"/>
  <c r="BJ109" i="4" s="1"/>
  <c r="S109" i="4"/>
  <c r="T109" i="4" s="1"/>
  <c r="AO95" i="4"/>
  <c r="AP95" i="4" s="1"/>
  <c r="Y95" i="4"/>
  <c r="Z95" i="4" s="1"/>
  <c r="CG95" i="4"/>
  <c r="CH95" i="4" s="1"/>
  <c r="BL123" i="4"/>
  <c r="BM123" i="4" s="1"/>
  <c r="Y123" i="4"/>
  <c r="Z123" i="4" s="1"/>
  <c r="AW116" i="4"/>
  <c r="AX116" i="4" s="1"/>
  <c r="ER116" i="4"/>
  <c r="ES116" i="4" s="1"/>
  <c r="Y119" i="4"/>
  <c r="Z119" i="4" s="1"/>
  <c r="J119" i="4"/>
  <c r="BM122" i="4"/>
  <c r="AA122" i="4"/>
  <c r="AB122" i="4" s="1"/>
  <c r="BZ110" i="4"/>
  <c r="DE120" i="4"/>
  <c r="DF120" i="4" s="1"/>
  <c r="EK120" i="4"/>
  <c r="EL120" i="4" s="1"/>
  <c r="EM120" i="4" s="1"/>
  <c r="EN120" i="4" s="1"/>
  <c r="O123" i="4"/>
  <c r="P123" i="4" s="1"/>
  <c r="BJ138" i="4"/>
  <c r="BK138" i="4" s="1"/>
  <c r="U138" i="4"/>
  <c r="V138" i="4" s="1"/>
  <c r="AA152" i="4"/>
  <c r="AB152" i="4" s="1"/>
  <c r="BM152" i="4"/>
  <c r="AE136" i="4"/>
  <c r="AF136" i="4" s="1"/>
  <c r="CM146" i="4"/>
  <c r="CN146" i="4" s="1"/>
  <c r="FY143" i="4"/>
  <c r="FZ143" i="4" s="1"/>
  <c r="D89" i="4"/>
  <c r="D21" i="4" s="1"/>
  <c r="E21" i="4" s="1"/>
  <c r="H21" i="4" s="1"/>
  <c r="D113" i="4"/>
  <c r="D22" i="4" s="1"/>
  <c r="E22" i="4" s="1"/>
  <c r="H22" i="4" s="1"/>
  <c r="E127" i="4"/>
  <c r="H127" i="4" s="1"/>
  <c r="D127" i="4"/>
  <c r="D23" i="4" s="1"/>
  <c r="E23" i="4" s="1"/>
  <c r="H23" i="4" s="1"/>
  <c r="D148" i="4"/>
  <c r="D25" i="4" s="1"/>
  <c r="E25" i="4" s="1"/>
  <c r="H25" i="4" s="1"/>
  <c r="DM155" i="4"/>
  <c r="DN155" i="4" s="1"/>
  <c r="DQ155" i="4"/>
  <c r="DR155" i="4" s="1"/>
  <c r="CK155" i="4"/>
  <c r="CL155" i="4" s="1"/>
  <c r="CO155" i="4"/>
  <c r="CP155" i="4" s="1"/>
  <c r="DA155" i="4"/>
  <c r="DB155" i="4" s="1"/>
  <c r="GE26" i="4"/>
  <c r="GF26" i="4" s="1"/>
  <c r="GA26" i="4"/>
  <c r="GB26" i="4" s="1"/>
  <c r="FK26" i="4"/>
  <c r="FL26" i="4" s="1"/>
  <c r="EU26" i="4"/>
  <c r="EV26" i="4" s="1"/>
  <c r="FU26" i="4"/>
  <c r="FV26" i="4" s="1"/>
  <c r="FE26" i="4"/>
  <c r="FF26" i="4" s="1"/>
  <c r="FS26" i="4"/>
  <c r="FT26" i="4" s="1"/>
  <c r="EW26" i="4"/>
  <c r="EX26" i="4" s="1"/>
  <c r="FC26" i="4"/>
  <c r="FD26" i="4" s="1"/>
  <c r="EW59" i="4"/>
  <c r="EX59" i="4" s="1"/>
  <c r="FG59" i="4"/>
  <c r="FH59" i="4" s="1"/>
  <c r="GC82" i="4"/>
  <c r="GD82" i="4" s="1"/>
  <c r="FY82" i="4"/>
  <c r="FZ82" i="4" s="1"/>
  <c r="ET82" i="4"/>
  <c r="FI82" i="4"/>
  <c r="FJ82" i="4" s="1"/>
  <c r="GG82" i="4"/>
  <c r="GH82" i="4" s="1"/>
  <c r="FA82" i="4"/>
  <c r="FB82" i="4" s="1"/>
  <c r="FQ82" i="4"/>
  <c r="FR82" i="4" s="1"/>
  <c r="FG86" i="4"/>
  <c r="FH86" i="4" s="1"/>
  <c r="FC86" i="4"/>
  <c r="FD86" i="4" s="1"/>
  <c r="GA86" i="4"/>
  <c r="GB86" i="4" s="1"/>
  <c r="FW86" i="4"/>
  <c r="FX86" i="4" s="1"/>
  <c r="FO86" i="4"/>
  <c r="FP86" i="4" s="1"/>
  <c r="GC86" i="4"/>
  <c r="GD86" i="4" s="1"/>
  <c r="FU86" i="4"/>
  <c r="FV86" i="4" s="1"/>
  <c r="FM86" i="4"/>
  <c r="FN86" i="4" s="1"/>
  <c r="FE86" i="4"/>
  <c r="FF86" i="4" s="1"/>
  <c r="EW86" i="4"/>
  <c r="EX86" i="4" s="1"/>
  <c r="FK86" i="4"/>
  <c r="FL86" i="4" s="1"/>
  <c r="FS86" i="4"/>
  <c r="FT86" i="4" s="1"/>
  <c r="EY86" i="4"/>
  <c r="EZ86" i="4" s="1"/>
  <c r="FI86" i="4"/>
  <c r="FJ86" i="4" s="1"/>
  <c r="GI86" i="4"/>
  <c r="GJ86" i="4" s="1"/>
  <c r="GG86" i="4"/>
  <c r="GH86" i="4" s="1"/>
  <c r="FA86" i="4"/>
  <c r="FB86" i="4" s="1"/>
  <c r="CY111" i="4"/>
  <c r="CZ111" i="4" s="1"/>
  <c r="DM111" i="4"/>
  <c r="DN111" i="4" s="1"/>
  <c r="DE111" i="4"/>
  <c r="DF111" i="4" s="1"/>
  <c r="CW111" i="4"/>
  <c r="CX111" i="4" s="1"/>
  <c r="CO111" i="4"/>
  <c r="CP111" i="4" s="1"/>
  <c r="CG111" i="4"/>
  <c r="CH111" i="4" s="1"/>
  <c r="DK111" i="4"/>
  <c r="DL111" i="4" s="1"/>
  <c r="CE111" i="4"/>
  <c r="CF111" i="4" s="1"/>
  <c r="CQ111" i="4"/>
  <c r="CR111" i="4" s="1"/>
  <c r="CM111" i="4"/>
  <c r="CN111" i="4" s="1"/>
  <c r="DO111" i="4"/>
  <c r="DP111" i="4" s="1"/>
  <c r="DQ111" i="4"/>
  <c r="DR111" i="4" s="1"/>
  <c r="DA111" i="4"/>
  <c r="DB111" i="4" s="1"/>
  <c r="CK111" i="4"/>
  <c r="CL111" i="4" s="1"/>
  <c r="CU111" i="4"/>
  <c r="CV111" i="4" s="1"/>
  <c r="CB111" i="4"/>
  <c r="DK136" i="4"/>
  <c r="DL136" i="4" s="1"/>
  <c r="CK136" i="4"/>
  <c r="CL136" i="4" s="1"/>
  <c r="CO136" i="4"/>
  <c r="CP136" i="4" s="1"/>
  <c r="DC136" i="4"/>
  <c r="DD136" i="4" s="1"/>
  <c r="CB136" i="4"/>
  <c r="CU136" i="4"/>
  <c r="CV136" i="4" s="1"/>
  <c r="DO136" i="4"/>
  <c r="DP136" i="4" s="1"/>
  <c r="DI136" i="4"/>
  <c r="DJ136" i="4" s="1"/>
  <c r="CM136" i="4"/>
  <c r="CN136" i="4" s="1"/>
  <c r="CQ136" i="4"/>
  <c r="CR136" i="4" s="1"/>
  <c r="CG136" i="4"/>
  <c r="CH136" i="4" s="1"/>
  <c r="CI136" i="4"/>
  <c r="CJ136" i="4" s="1"/>
  <c r="CC136" i="4"/>
  <c r="CD136" i="4" s="1"/>
  <c r="DG136" i="4"/>
  <c r="DH136" i="4" s="1"/>
  <c r="GI139" i="4"/>
  <c r="GJ139" i="4" s="1"/>
  <c r="FM139" i="4"/>
  <c r="FN139" i="4" s="1"/>
  <c r="GC139" i="4"/>
  <c r="GD139" i="4" s="1"/>
  <c r="FI139" i="4"/>
  <c r="FJ139" i="4" s="1"/>
  <c r="EW139" i="4"/>
  <c r="EX139" i="4" s="1"/>
  <c r="AW54" i="4"/>
  <c r="AX54" i="4" s="1"/>
  <c r="AA54" i="4"/>
  <c r="AB54" i="4" s="1"/>
  <c r="AE54" i="4"/>
  <c r="AF54" i="4" s="1"/>
  <c r="AY54" i="4"/>
  <c r="AZ54" i="4" s="1"/>
  <c r="J54" i="4"/>
  <c r="AG54" i="4"/>
  <c r="AH54" i="4" s="1"/>
  <c r="K54" i="4"/>
  <c r="L54" i="4" s="1"/>
  <c r="O54" i="4"/>
  <c r="P54" i="4" s="1"/>
  <c r="AI54" i="4"/>
  <c r="AJ54" i="4" s="1"/>
  <c r="AC54" i="4"/>
  <c r="AD54" i="4" s="1"/>
  <c r="W54" i="4"/>
  <c r="X54" i="4" s="1"/>
  <c r="DC86" i="4"/>
  <c r="DD86" i="4" s="1"/>
  <c r="CY86" i="4"/>
  <c r="CZ86" i="4" s="1"/>
  <c r="DQ86" i="4"/>
  <c r="DR86" i="4" s="1"/>
  <c r="DI86" i="4"/>
  <c r="DJ86" i="4" s="1"/>
  <c r="DA86" i="4"/>
  <c r="DB86" i="4" s="1"/>
  <c r="CS86" i="4"/>
  <c r="CT86" i="4" s="1"/>
  <c r="CK86" i="4"/>
  <c r="CL86" i="4" s="1"/>
  <c r="CC86" i="4"/>
  <c r="CD86" i="4" s="1"/>
  <c r="CU86" i="4"/>
  <c r="CV86" i="4" s="1"/>
  <c r="DG86" i="4"/>
  <c r="DH86" i="4" s="1"/>
  <c r="CB86" i="4"/>
  <c r="DO86" i="4"/>
  <c r="DP86" i="4" s="1"/>
  <c r="I112" i="4"/>
  <c r="BZ112" i="4"/>
  <c r="O133" i="4"/>
  <c r="P133" i="4" s="1"/>
  <c r="AU133" i="4"/>
  <c r="AV133" i="4" s="1"/>
  <c r="AE133" i="4"/>
  <c r="AF133" i="4" s="1"/>
  <c r="AO133" i="4"/>
  <c r="AP133" i="4" s="1"/>
  <c r="AC133" i="4"/>
  <c r="AD133" i="4" s="1"/>
  <c r="J133" i="4"/>
  <c r="AS133" i="4"/>
  <c r="AT133" i="4" s="1"/>
  <c r="Y133" i="4"/>
  <c r="Z133" i="4" s="1"/>
  <c r="M133" i="4"/>
  <c r="N133" i="4" s="1"/>
  <c r="AG133" i="4"/>
  <c r="AH133" i="4" s="1"/>
  <c r="U133" i="4"/>
  <c r="V133" i="4" s="1"/>
  <c r="AI133" i="4"/>
  <c r="AJ133" i="4" s="1"/>
  <c r="AM133" i="4"/>
  <c r="AN133" i="4" s="1"/>
  <c r="AQ133" i="4"/>
  <c r="AR133" i="4" s="1"/>
  <c r="K133" i="4"/>
  <c r="L133" i="4" s="1"/>
  <c r="AW133" i="4"/>
  <c r="AX133" i="4" s="1"/>
  <c r="AY133" i="4"/>
  <c r="AZ133" i="4" s="1"/>
  <c r="W133" i="4"/>
  <c r="X133" i="4" s="1"/>
  <c r="Q133" i="4"/>
  <c r="R133" i="4" s="1"/>
  <c r="AA133" i="4"/>
  <c r="AB133" i="4" s="1"/>
  <c r="S133" i="4"/>
  <c r="T133" i="4" s="1"/>
  <c r="AK133" i="4"/>
  <c r="AL133" i="4" s="1"/>
  <c r="BZ153" i="4"/>
  <c r="I153" i="4"/>
  <c r="AM153" i="4" s="1"/>
  <c r="AN153" i="4" s="1"/>
  <c r="DO154" i="4"/>
  <c r="DP154" i="4" s="1"/>
  <c r="CY154" i="4"/>
  <c r="CZ154" i="4" s="1"/>
  <c r="CI154" i="4"/>
  <c r="CJ154" i="4" s="1"/>
  <c r="GE105" i="4"/>
  <c r="GF105" i="4" s="1"/>
  <c r="ET105" i="4"/>
  <c r="GA105" i="4"/>
  <c r="GB105" i="4" s="1"/>
  <c r="FE105" i="4"/>
  <c r="FF105" i="4" s="1"/>
  <c r="FY105" i="4"/>
  <c r="FZ105" i="4" s="1"/>
  <c r="EY105" i="4"/>
  <c r="EZ105" i="4" s="1"/>
  <c r="FU105" i="4"/>
  <c r="FV105" i="4" s="1"/>
  <c r="EU105" i="4"/>
  <c r="EV105" i="4" s="1"/>
  <c r="FO105" i="4"/>
  <c r="FP105" i="4" s="1"/>
  <c r="GC105" i="4"/>
  <c r="GD105" i="4" s="1"/>
  <c r="FM105" i="4"/>
  <c r="FN105" i="4" s="1"/>
  <c r="EW105" i="4"/>
  <c r="EX105" i="4" s="1"/>
  <c r="FG105" i="4"/>
  <c r="FH105" i="4" s="1"/>
  <c r="FA105" i="4"/>
  <c r="FB105" i="4" s="1"/>
  <c r="FK101" i="4"/>
  <c r="FL101" i="4" s="1"/>
  <c r="FG101" i="4"/>
  <c r="FH101" i="4" s="1"/>
  <c r="GC101" i="4"/>
  <c r="GD101" i="4" s="1"/>
  <c r="FU101" i="4"/>
  <c r="FV101" i="4" s="1"/>
  <c r="FM101" i="4"/>
  <c r="FN101" i="4" s="1"/>
  <c r="FE101" i="4"/>
  <c r="FF101" i="4" s="1"/>
  <c r="EW101" i="4"/>
  <c r="EX101" i="4" s="1"/>
  <c r="FO101" i="4"/>
  <c r="FP101" i="4" s="1"/>
  <c r="FW101" i="4"/>
  <c r="FX101" i="4" s="1"/>
  <c r="FS101" i="4"/>
  <c r="FT101" i="4" s="1"/>
  <c r="FS109" i="4"/>
  <c r="FT109" i="4" s="1"/>
  <c r="FE109" i="4"/>
  <c r="FF109" i="4" s="1"/>
  <c r="FI109" i="4"/>
  <c r="FJ109" i="4" s="1"/>
  <c r="GI109" i="4"/>
  <c r="GJ109" i="4" s="1"/>
  <c r="FC109" i="4"/>
  <c r="FD109" i="4" s="1"/>
  <c r="GC109" i="4"/>
  <c r="GD109" i="4" s="1"/>
  <c r="ET109" i="4"/>
  <c r="GA109" i="4"/>
  <c r="GB109" i="4" s="1"/>
  <c r="EU109" i="4"/>
  <c r="EV109" i="4" s="1"/>
  <c r="EW109" i="4"/>
  <c r="EX109" i="4" s="1"/>
  <c r="FQ109" i="4"/>
  <c r="FR109" i="4" s="1"/>
  <c r="FK109" i="4"/>
  <c r="FL109" i="4" s="1"/>
  <c r="S151" i="4"/>
  <c r="T151" i="4" s="1"/>
  <c r="Q151" i="4"/>
  <c r="R151" i="4" s="1"/>
  <c r="BZ74" i="4"/>
  <c r="I74" i="4"/>
  <c r="GI100" i="4"/>
  <c r="GJ100" i="4" s="1"/>
  <c r="GA100" i="4"/>
  <c r="GB100" i="4" s="1"/>
  <c r="FS100" i="4"/>
  <c r="FT100" i="4" s="1"/>
  <c r="FK100" i="4"/>
  <c r="FL100" i="4" s="1"/>
  <c r="FC100" i="4"/>
  <c r="FD100" i="4" s="1"/>
  <c r="EU100" i="4"/>
  <c r="EV100" i="4" s="1"/>
  <c r="GC100" i="4"/>
  <c r="GD100" i="4" s="1"/>
  <c r="FU100" i="4"/>
  <c r="FV100" i="4" s="1"/>
  <c r="FM100" i="4"/>
  <c r="FN100" i="4" s="1"/>
  <c r="FE100" i="4"/>
  <c r="FF100" i="4" s="1"/>
  <c r="EW100" i="4"/>
  <c r="EX100" i="4" s="1"/>
  <c r="GE100" i="4"/>
  <c r="GF100" i="4" s="1"/>
  <c r="FW100" i="4"/>
  <c r="FX100" i="4" s="1"/>
  <c r="FO100" i="4"/>
  <c r="FP100" i="4" s="1"/>
  <c r="FG100" i="4"/>
  <c r="FH100" i="4" s="1"/>
  <c r="EY100" i="4"/>
  <c r="EZ100" i="4" s="1"/>
  <c r="GG100" i="4"/>
  <c r="GH100" i="4" s="1"/>
  <c r="FY100" i="4"/>
  <c r="FZ100" i="4" s="1"/>
  <c r="FQ100" i="4"/>
  <c r="FR100" i="4" s="1"/>
  <c r="FI100" i="4"/>
  <c r="FJ100" i="4" s="1"/>
  <c r="FA100" i="4"/>
  <c r="FB100" i="4" s="1"/>
  <c r="ET100" i="4"/>
  <c r="BZ50" i="4"/>
  <c r="I50" i="4"/>
  <c r="DM52" i="4"/>
  <c r="DN52" i="4" s="1"/>
  <c r="DE52" i="4"/>
  <c r="DF52" i="4" s="1"/>
  <c r="CW52" i="4"/>
  <c r="CX52" i="4" s="1"/>
  <c r="CO52" i="4"/>
  <c r="CP52" i="4" s="1"/>
  <c r="CG52" i="4"/>
  <c r="CH52" i="4" s="1"/>
  <c r="DO52" i="4"/>
  <c r="DP52" i="4" s="1"/>
  <c r="DG52" i="4"/>
  <c r="DH52" i="4" s="1"/>
  <c r="CY52" i="4"/>
  <c r="CZ52" i="4" s="1"/>
  <c r="CQ52" i="4"/>
  <c r="CR52" i="4" s="1"/>
  <c r="CI52" i="4"/>
  <c r="CJ52" i="4" s="1"/>
  <c r="CB52" i="4"/>
  <c r="DQ52" i="4"/>
  <c r="DR52" i="4" s="1"/>
  <c r="DI52" i="4"/>
  <c r="DJ52" i="4" s="1"/>
  <c r="DA52" i="4"/>
  <c r="DB52" i="4" s="1"/>
  <c r="CS52" i="4"/>
  <c r="CT52" i="4" s="1"/>
  <c r="CK52" i="4"/>
  <c r="CL52" i="4" s="1"/>
  <c r="CC52" i="4"/>
  <c r="CD52" i="4" s="1"/>
  <c r="DK52" i="4"/>
  <c r="DL52" i="4" s="1"/>
  <c r="DC52" i="4"/>
  <c r="DD52" i="4" s="1"/>
  <c r="CU52" i="4"/>
  <c r="CV52" i="4" s="1"/>
  <c r="CM52" i="4"/>
  <c r="CN52" i="4" s="1"/>
  <c r="CE52" i="4"/>
  <c r="CF52" i="4" s="1"/>
  <c r="I22" i="4"/>
  <c r="BZ22" i="4"/>
  <c r="AK53" i="4"/>
  <c r="AL53" i="4" s="1"/>
  <c r="AM53" i="4"/>
  <c r="AN53" i="4" s="1"/>
  <c r="W53" i="4"/>
  <c r="X53" i="4" s="1"/>
  <c r="AO53" i="4"/>
  <c r="AP53" i="4" s="1"/>
  <c r="AU53" i="4"/>
  <c r="AV53" i="4" s="1"/>
  <c r="AE53" i="4"/>
  <c r="AF53" i="4" s="1"/>
  <c r="O53" i="4"/>
  <c r="P53" i="4" s="1"/>
  <c r="J53" i="4"/>
  <c r="AQ53" i="4"/>
  <c r="AR53" i="4" s="1"/>
  <c r="AA53" i="4"/>
  <c r="AB53" i="4" s="1"/>
  <c r="K53" i="4"/>
  <c r="L53" i="4" s="1"/>
  <c r="Y53" i="4"/>
  <c r="Z53" i="4" s="1"/>
  <c r="I48" i="4"/>
  <c r="BZ48" i="4"/>
  <c r="BZ66" i="4"/>
  <c r="I66" i="4"/>
  <c r="ER76" i="4"/>
  <c r="ES76" i="4" s="1"/>
  <c r="CA76" i="4"/>
  <c r="BZ94" i="4"/>
  <c r="I94" i="4"/>
  <c r="BZ102" i="4"/>
  <c r="I102" i="4"/>
  <c r="AY103" i="4"/>
  <c r="AZ103" i="4" s="1"/>
  <c r="AE103" i="4"/>
  <c r="AF103" i="4" s="1"/>
  <c r="AU103" i="4"/>
  <c r="AV103" i="4" s="1"/>
  <c r="O103" i="4"/>
  <c r="P103" i="4" s="1"/>
  <c r="AM103" i="4"/>
  <c r="AN103" i="4" s="1"/>
  <c r="I135" i="4"/>
  <c r="BZ135" i="4"/>
  <c r="BZ140" i="4"/>
  <c r="I140" i="4"/>
  <c r="AG130" i="4"/>
  <c r="AH130" i="4" s="1"/>
  <c r="AC130" i="4"/>
  <c r="AD130" i="4" s="1"/>
  <c r="AS130" i="4"/>
  <c r="AT130" i="4" s="1"/>
  <c r="AE130" i="4"/>
  <c r="AF130" i="4" s="1"/>
  <c r="AU130" i="4"/>
  <c r="AV130" i="4" s="1"/>
  <c r="Q130" i="4"/>
  <c r="R130" i="4" s="1"/>
  <c r="AQ130" i="4"/>
  <c r="AR130" i="4" s="1"/>
  <c r="M130" i="4"/>
  <c r="N130" i="4" s="1"/>
  <c r="AA130" i="4"/>
  <c r="AB130" i="4" s="1"/>
  <c r="AW130" i="4"/>
  <c r="AX130" i="4" s="1"/>
  <c r="U130" i="4"/>
  <c r="V130" i="4" s="1"/>
  <c r="AY136" i="4"/>
  <c r="AZ136" i="4" s="1"/>
  <c r="AQ136" i="4"/>
  <c r="AR136" i="4" s="1"/>
  <c r="O136" i="4"/>
  <c r="P136" i="4" s="1"/>
  <c r="AA136" i="4"/>
  <c r="AB136" i="4" s="1"/>
  <c r="AU136" i="4"/>
  <c r="AV136" i="4" s="1"/>
  <c r="U136" i="4"/>
  <c r="V136" i="4" s="1"/>
  <c r="AA37" i="4"/>
  <c r="AB37" i="4" s="1"/>
  <c r="K37" i="4"/>
  <c r="L37" i="4" s="1"/>
  <c r="Q37" i="4"/>
  <c r="R37" i="4" s="1"/>
  <c r="U37" i="4"/>
  <c r="V37" i="4" s="1"/>
  <c r="W37" i="4"/>
  <c r="X37" i="4" s="1"/>
  <c r="O37" i="4"/>
  <c r="P37" i="4" s="1"/>
  <c r="BZ36" i="4"/>
  <c r="I36" i="4"/>
  <c r="CM100" i="4"/>
  <c r="CN100" i="4" s="1"/>
  <c r="CE100" i="4"/>
  <c r="CF100" i="4" s="1"/>
  <c r="CU100" i="4"/>
  <c r="CV100" i="4" s="1"/>
  <c r="W103" i="4"/>
  <c r="X103" i="4" s="1"/>
  <c r="K136" i="4"/>
  <c r="L136" i="4" s="1"/>
  <c r="BZ92" i="4"/>
  <c r="CW120" i="4"/>
  <c r="CX120" i="4" s="1"/>
  <c r="CO120" i="4"/>
  <c r="CP120" i="4" s="1"/>
  <c r="BZ123" i="4"/>
  <c r="BZ138" i="4"/>
  <c r="FW89" i="4"/>
  <c r="FX89" i="4" s="1"/>
  <c r="GI89" i="4"/>
  <c r="GJ89" i="4" s="1"/>
  <c r="EU89" i="4"/>
  <c r="EV89" i="4" s="1"/>
  <c r="ET89" i="4"/>
  <c r="FA89" i="4"/>
  <c r="FB89" i="4" s="1"/>
  <c r="FQ89" i="4"/>
  <c r="FR89" i="4" s="1"/>
  <c r="FY89" i="4"/>
  <c r="FZ89" i="4" s="1"/>
  <c r="GG89" i="4"/>
  <c r="GH89" i="4" s="1"/>
  <c r="EW18" i="4"/>
  <c r="EX18" i="4" s="1"/>
  <c r="FM18" i="4"/>
  <c r="FN18" i="4" s="1"/>
  <c r="FU18" i="4"/>
  <c r="FV18" i="4" s="1"/>
  <c r="GC18" i="4"/>
  <c r="GD18" i="4" s="1"/>
  <c r="EU18" i="4"/>
  <c r="EV18" i="4" s="1"/>
  <c r="FK18" i="4"/>
  <c r="FL18" i="4" s="1"/>
  <c r="FS18" i="4"/>
  <c r="FT18" i="4" s="1"/>
  <c r="GI18" i="4"/>
  <c r="GJ18" i="4" s="1"/>
  <c r="FC96" i="4"/>
  <c r="FD96" i="4" s="1"/>
  <c r="GI96" i="4"/>
  <c r="GJ96" i="4" s="1"/>
  <c r="EU96" i="4"/>
  <c r="EV96" i="4" s="1"/>
  <c r="GA96" i="4"/>
  <c r="GB96" i="4" s="1"/>
  <c r="FG89" i="4"/>
  <c r="FH89" i="4" s="1"/>
  <c r="FS89" i="4"/>
  <c r="FT89" i="4" s="1"/>
  <c r="EY89" i="4"/>
  <c r="EZ89" i="4" s="1"/>
  <c r="GE89" i="4"/>
  <c r="GF89" i="4" s="1"/>
  <c r="FK89" i="4"/>
  <c r="FL89" i="4" s="1"/>
  <c r="ET96" i="4"/>
  <c r="FA96" i="4"/>
  <c r="FB96" i="4" s="1"/>
  <c r="FI96" i="4"/>
  <c r="FJ96" i="4" s="1"/>
  <c r="FQ96" i="4"/>
  <c r="FR96" i="4" s="1"/>
  <c r="FY96" i="4"/>
  <c r="FZ96" i="4" s="1"/>
  <c r="GG96" i="4"/>
  <c r="GH96" i="4" s="1"/>
  <c r="GC88" i="4"/>
  <c r="GD88" i="4" s="1"/>
  <c r="FM88" i="4"/>
  <c r="FN88" i="4" s="1"/>
  <c r="FQ88" i="4"/>
  <c r="FR88" i="4" s="1"/>
  <c r="FE88" i="4"/>
  <c r="FF88" i="4" s="1"/>
  <c r="CI78" i="4"/>
  <c r="CJ78" i="4" s="1"/>
  <c r="CO78" i="4"/>
  <c r="CP78" i="4" s="1"/>
  <c r="CE78" i="4"/>
  <c r="CF78" i="4" s="1"/>
  <c r="CU78" i="4"/>
  <c r="CV78" i="4" s="1"/>
  <c r="DK78" i="4"/>
  <c r="DL78" i="4" s="1"/>
  <c r="GA139" i="4"/>
  <c r="GB139" i="4" s="1"/>
  <c r="FU139" i="4"/>
  <c r="FV139" i="4" s="1"/>
  <c r="FA139" i="4"/>
  <c r="FB139" i="4" s="1"/>
  <c r="GG139" i="4"/>
  <c r="GH139" i="4" s="1"/>
  <c r="FE139" i="4"/>
  <c r="FF139" i="4" s="1"/>
  <c r="CB154" i="4"/>
  <c r="CE154" i="4"/>
  <c r="CF154" i="4" s="1"/>
  <c r="CU154" i="4"/>
  <c r="CV154" i="4" s="1"/>
  <c r="DK154" i="4"/>
  <c r="DL154" i="4" s="1"/>
  <c r="CG154" i="4"/>
  <c r="CH154" i="4" s="1"/>
  <c r="CO154" i="4"/>
  <c r="CP154" i="4" s="1"/>
  <c r="CW154" i="4"/>
  <c r="CX154" i="4" s="1"/>
  <c r="DE154" i="4"/>
  <c r="DF154" i="4" s="1"/>
  <c r="DM154" i="4"/>
  <c r="DN154" i="4" s="1"/>
  <c r="CE155" i="4"/>
  <c r="CF155" i="4" s="1"/>
  <c r="CM155" i="4"/>
  <c r="CN155" i="4" s="1"/>
  <c r="CU155" i="4"/>
  <c r="CV155" i="4" s="1"/>
  <c r="DC155" i="4"/>
  <c r="DD155" i="4" s="1"/>
  <c r="DK155" i="4"/>
  <c r="DL155" i="4" s="1"/>
  <c r="CC20" i="4"/>
  <c r="CD20" i="4" s="1"/>
  <c r="CK20" i="4"/>
  <c r="CL20" i="4" s="1"/>
  <c r="CS20" i="4"/>
  <c r="CT20" i="4" s="1"/>
  <c r="DA20" i="4"/>
  <c r="DB20" i="4" s="1"/>
  <c r="DI20" i="4"/>
  <c r="DJ20" i="4" s="1"/>
  <c r="DQ20" i="4"/>
  <c r="DR20" i="4" s="1"/>
  <c r="CE144" i="4"/>
  <c r="CF144" i="4" s="1"/>
  <c r="CO144" i="4"/>
  <c r="CP144" i="4" s="1"/>
  <c r="FS82" i="4"/>
  <c r="FT82" i="4" s="1"/>
  <c r="FC82" i="4"/>
  <c r="FD82" i="4" s="1"/>
  <c r="FW82" i="4"/>
  <c r="FX82" i="4" s="1"/>
  <c r="FK82" i="4"/>
  <c r="FL82" i="4" s="1"/>
  <c r="EY82" i="4"/>
  <c r="EZ82" i="4" s="1"/>
  <c r="GE82" i="4"/>
  <c r="GF82" i="4" s="1"/>
  <c r="DE59" i="4"/>
  <c r="DF59" i="4" s="1"/>
  <c r="CO59" i="4"/>
  <c r="CP59" i="4" s="1"/>
  <c r="CE59" i="4"/>
  <c r="CF59" i="4" s="1"/>
  <c r="CU59" i="4"/>
  <c r="CV59" i="4" s="1"/>
  <c r="DK59" i="4"/>
  <c r="DL59" i="4" s="1"/>
  <c r="ET26" i="4"/>
  <c r="FA26" i="4"/>
  <c r="FB26" i="4" s="1"/>
  <c r="FI26" i="4"/>
  <c r="FJ26" i="4" s="1"/>
  <c r="FQ26" i="4"/>
  <c r="FR26" i="4" s="1"/>
  <c r="FY26" i="4"/>
  <c r="FZ26" i="4" s="1"/>
  <c r="GG26" i="4"/>
  <c r="GH26" i="4" s="1"/>
  <c r="EY26" i="4"/>
  <c r="EZ26" i="4" s="1"/>
  <c r="FG26" i="4"/>
  <c r="FH26" i="4" s="1"/>
  <c r="FO26" i="4"/>
  <c r="FP26" i="4" s="1"/>
  <c r="FW26" i="4"/>
  <c r="FX26" i="4" s="1"/>
  <c r="DK58" i="4"/>
  <c r="DL58" i="4" s="1"/>
  <c r="CE58" i="4"/>
  <c r="CF58" i="4" s="1"/>
  <c r="CY58" i="4"/>
  <c r="CZ58" i="4" s="1"/>
  <c r="CM58" i="4"/>
  <c r="CN58" i="4" s="1"/>
  <c r="AW151" i="4"/>
  <c r="AX151" i="4" s="1"/>
  <c r="AA151" i="4"/>
  <c r="AB151" i="4" s="1"/>
  <c r="Y151" i="4"/>
  <c r="Z151" i="4" s="1"/>
  <c r="AM151" i="4"/>
  <c r="AN151" i="4" s="1"/>
  <c r="W151" i="4"/>
  <c r="X151" i="4" s="1"/>
  <c r="AS151" i="4"/>
  <c r="AT151" i="4" s="1"/>
  <c r="AC151" i="4"/>
  <c r="AD151" i="4" s="1"/>
  <c r="M151" i="4"/>
  <c r="N151" i="4" s="1"/>
  <c r="U151" i="4"/>
  <c r="V151" i="4" s="1"/>
  <c r="AO151" i="4"/>
  <c r="AP151" i="4" s="1"/>
  <c r="J151" i="4"/>
  <c r="AG151" i="4"/>
  <c r="AH151" i="4" s="1"/>
  <c r="AI151" i="4"/>
  <c r="AJ151" i="4" s="1"/>
  <c r="AQ151" i="4"/>
  <c r="AR151" i="4" s="1"/>
  <c r="AE151" i="4"/>
  <c r="AF151" i="4" s="1"/>
  <c r="AU151" i="4"/>
  <c r="AV151" i="4" s="1"/>
  <c r="AK151" i="4"/>
  <c r="AL151" i="4" s="1"/>
  <c r="O151" i="4"/>
  <c r="P151" i="4" s="1"/>
  <c r="AS143" i="4"/>
  <c r="AT143" i="4" s="1"/>
  <c r="AO143" i="4"/>
  <c r="AP143" i="4" s="1"/>
  <c r="AG143" i="4"/>
  <c r="AH143" i="4" s="1"/>
  <c r="U143" i="4"/>
  <c r="V143" i="4" s="1"/>
  <c r="J143" i="4"/>
  <c r="AW143" i="4"/>
  <c r="AX143" i="4" s="1"/>
  <c r="Y143" i="4"/>
  <c r="Z143" i="4" s="1"/>
  <c r="AK143" i="4"/>
  <c r="AL143" i="4" s="1"/>
  <c r="Q143" i="4"/>
  <c r="R143" i="4" s="1"/>
  <c r="AU143" i="4"/>
  <c r="AV143" i="4" s="1"/>
  <c r="AM143" i="4"/>
  <c r="AN143" i="4" s="1"/>
  <c r="AE143" i="4"/>
  <c r="AF143" i="4" s="1"/>
  <c r="W143" i="4"/>
  <c r="X143" i="4" s="1"/>
  <c r="O143" i="4"/>
  <c r="P143" i="4" s="1"/>
  <c r="AC143" i="4"/>
  <c r="AD143" i="4" s="1"/>
  <c r="M143" i="4"/>
  <c r="N143" i="4" s="1"/>
  <c r="AI143" i="4"/>
  <c r="AJ143" i="4" s="1"/>
  <c r="AA143" i="4"/>
  <c r="AB143" i="4" s="1"/>
  <c r="AQ143" i="4"/>
  <c r="AR143" i="4" s="1"/>
  <c r="K143" i="4"/>
  <c r="L143" i="4" s="1"/>
  <c r="FO89" i="4"/>
  <c r="FP89" i="4" s="1"/>
  <c r="EW96" i="4"/>
  <c r="EX96" i="4" s="1"/>
  <c r="FE96" i="4"/>
  <c r="FF96" i="4" s="1"/>
  <c r="FM96" i="4"/>
  <c r="FN96" i="4" s="1"/>
  <c r="FU96" i="4"/>
  <c r="FV96" i="4" s="1"/>
  <c r="GC96" i="4"/>
  <c r="GD96" i="4" s="1"/>
  <c r="EW88" i="4"/>
  <c r="EX88" i="4" s="1"/>
  <c r="FA88" i="4"/>
  <c r="FB88" i="4" s="1"/>
  <c r="GG88" i="4"/>
  <c r="GH88" i="4" s="1"/>
  <c r="FU88" i="4"/>
  <c r="FV88" i="4" s="1"/>
  <c r="CY78" i="4"/>
  <c r="CZ78" i="4" s="1"/>
  <c r="DE78" i="4"/>
  <c r="DF78" i="4" s="1"/>
  <c r="DO78" i="4"/>
  <c r="DP78" i="4" s="1"/>
  <c r="CK78" i="4"/>
  <c r="CL78" i="4" s="1"/>
  <c r="DA78" i="4"/>
  <c r="DB78" i="4" s="1"/>
  <c r="DQ78" i="4"/>
  <c r="DR78" i="4" s="1"/>
  <c r="FQ139" i="4"/>
  <c r="FR139" i="4" s="1"/>
  <c r="EY139" i="4"/>
  <c r="EZ139" i="4" s="1"/>
  <c r="GE139" i="4"/>
  <c r="GF139" i="4" s="1"/>
  <c r="FK139" i="4"/>
  <c r="FL139" i="4" s="1"/>
  <c r="EU139" i="4"/>
  <c r="EV139" i="4" s="1"/>
  <c r="FO139" i="4"/>
  <c r="FP139" i="4" s="1"/>
  <c r="DG154" i="4"/>
  <c r="DH154" i="4" s="1"/>
  <c r="CM154" i="4"/>
  <c r="CN154" i="4" s="1"/>
  <c r="DC154" i="4"/>
  <c r="DD154" i="4" s="1"/>
  <c r="CC154" i="4"/>
  <c r="CD154" i="4" s="1"/>
  <c r="CK154" i="4"/>
  <c r="CL154" i="4" s="1"/>
  <c r="CS154" i="4"/>
  <c r="CT154" i="4" s="1"/>
  <c r="DA154" i="4"/>
  <c r="DB154" i="4" s="1"/>
  <c r="DI154" i="4"/>
  <c r="DJ154" i="4" s="1"/>
  <c r="DQ154" i="4"/>
  <c r="DR154" i="4" s="1"/>
  <c r="CB155" i="4"/>
  <c r="CI155" i="4"/>
  <c r="CJ155" i="4" s="1"/>
  <c r="CQ155" i="4"/>
  <c r="CR155" i="4" s="1"/>
  <c r="CY155" i="4"/>
  <c r="CZ155" i="4" s="1"/>
  <c r="DG155" i="4"/>
  <c r="DH155" i="4" s="1"/>
  <c r="DO155" i="4"/>
  <c r="DP155" i="4" s="1"/>
  <c r="CG20" i="4"/>
  <c r="CH20" i="4" s="1"/>
  <c r="CO20" i="4"/>
  <c r="CP20" i="4" s="1"/>
  <c r="CW20" i="4"/>
  <c r="CX20" i="4" s="1"/>
  <c r="DE20" i="4"/>
  <c r="DF20" i="4" s="1"/>
  <c r="DM20" i="4"/>
  <c r="DN20" i="4" s="1"/>
  <c r="CU144" i="4"/>
  <c r="CV144" i="4" s="1"/>
  <c r="DI144" i="4"/>
  <c r="DJ144" i="4" s="1"/>
  <c r="DQ144" i="4"/>
  <c r="DR144" i="4" s="1"/>
  <c r="GI82" i="4"/>
  <c r="GJ82" i="4" s="1"/>
  <c r="FG82" i="4"/>
  <c r="FH82" i="4" s="1"/>
  <c r="EU82" i="4"/>
  <c r="EV82" i="4" s="1"/>
  <c r="GA82" i="4"/>
  <c r="GB82" i="4" s="1"/>
  <c r="FO82" i="4"/>
  <c r="FP82" i="4" s="1"/>
  <c r="CI59" i="4"/>
  <c r="CJ59" i="4" s="1"/>
  <c r="CY59" i="4"/>
  <c r="CZ59" i="4" s="1"/>
  <c r="DO59" i="4"/>
  <c r="DP59" i="4" s="1"/>
  <c r="CK59" i="4"/>
  <c r="CL59" i="4" s="1"/>
  <c r="DA59" i="4"/>
  <c r="DB59" i="4" s="1"/>
  <c r="DQ59" i="4"/>
  <c r="DR59" i="4" s="1"/>
  <c r="GI63" i="4"/>
  <c r="GJ63" i="4" s="1"/>
  <c r="FS63" i="4"/>
  <c r="FT63" i="4" s="1"/>
  <c r="FC63" i="4"/>
  <c r="FD63" i="4" s="1"/>
  <c r="GG63" i="4"/>
  <c r="GH63" i="4" s="1"/>
  <c r="FQ63" i="4"/>
  <c r="FR63" i="4" s="1"/>
  <c r="FA63" i="4"/>
  <c r="FB63" i="4" s="1"/>
  <c r="AY151" i="4"/>
  <c r="AZ151" i="4" s="1"/>
  <c r="S143" i="4"/>
  <c r="T143" i="4" s="1"/>
  <c r="FC89" i="4"/>
  <c r="FD89" i="4" s="1"/>
  <c r="GA89" i="4"/>
  <c r="GB89" i="4" s="1"/>
  <c r="FE18" i="4"/>
  <c r="FF18" i="4" s="1"/>
  <c r="FC18" i="4"/>
  <c r="FD18" i="4" s="1"/>
  <c r="FW96" i="4"/>
  <c r="FX96" i="4" s="1"/>
  <c r="ET88" i="4"/>
  <c r="FY88" i="4"/>
  <c r="FZ88" i="4" s="1"/>
  <c r="EY88" i="4"/>
  <c r="EZ88" i="4" s="1"/>
  <c r="FG88" i="4"/>
  <c r="FH88" i="4" s="1"/>
  <c r="FO88" i="4"/>
  <c r="FP88" i="4" s="1"/>
  <c r="FW88" i="4"/>
  <c r="FX88" i="4" s="1"/>
  <c r="CB78" i="4"/>
  <c r="CQ78" i="4"/>
  <c r="CR78" i="4" s="1"/>
  <c r="DG78" i="4"/>
  <c r="DH78" i="4" s="1"/>
  <c r="CC78" i="4"/>
  <c r="CD78" i="4" s="1"/>
  <c r="CS78" i="4"/>
  <c r="CT78" i="4" s="1"/>
  <c r="ET139" i="4"/>
  <c r="FG139" i="4"/>
  <c r="FH139" i="4" s="1"/>
  <c r="FW139" i="4"/>
  <c r="FX139" i="4" s="1"/>
  <c r="FC139" i="4"/>
  <c r="FD139" i="4" s="1"/>
  <c r="FS139" i="4"/>
  <c r="FT139" i="4" s="1"/>
  <c r="CQ154" i="4"/>
  <c r="CR154" i="4" s="1"/>
  <c r="CG155" i="4"/>
  <c r="CH155" i="4" s="1"/>
  <c r="DE155" i="4"/>
  <c r="DF155" i="4" s="1"/>
  <c r="CC155" i="4"/>
  <c r="CD155" i="4" s="1"/>
  <c r="CS155" i="4"/>
  <c r="CT155" i="4" s="1"/>
  <c r="CE20" i="4"/>
  <c r="CF20" i="4" s="1"/>
  <c r="CM20" i="4"/>
  <c r="CN20" i="4" s="1"/>
  <c r="CU20" i="4"/>
  <c r="CV20" i="4" s="1"/>
  <c r="DC20" i="4"/>
  <c r="DD20" i="4" s="1"/>
  <c r="CB144" i="4"/>
  <c r="CQ144" i="4"/>
  <c r="CR144" i="4" s="1"/>
  <c r="DC144" i="4"/>
  <c r="DD144" i="4" s="1"/>
  <c r="CG144" i="4"/>
  <c r="CH144" i="4" s="1"/>
  <c r="DM144" i="4"/>
  <c r="DN144" i="4" s="1"/>
  <c r="CI144" i="4"/>
  <c r="CJ144" i="4" s="1"/>
  <c r="DA144" i="4"/>
  <c r="DB144" i="4" s="1"/>
  <c r="CY144" i="4"/>
  <c r="CZ144" i="4" s="1"/>
  <c r="EW82" i="4"/>
  <c r="EX82" i="4" s="1"/>
  <c r="FE82" i="4"/>
  <c r="FF82" i="4" s="1"/>
  <c r="FM82" i="4"/>
  <c r="FN82" i="4" s="1"/>
  <c r="FU82" i="4"/>
  <c r="FV82" i="4" s="1"/>
  <c r="CB59" i="4"/>
  <c r="CQ59" i="4"/>
  <c r="CR59" i="4" s="1"/>
  <c r="DG59" i="4"/>
  <c r="DH59" i="4" s="1"/>
  <c r="CC59" i="4"/>
  <c r="CD59" i="4" s="1"/>
  <c r="CS59" i="4"/>
  <c r="CT59" i="4" s="1"/>
  <c r="K151" i="4"/>
  <c r="L151" i="4" s="1"/>
  <c r="AY143" i="4"/>
  <c r="AZ143" i="4" s="1"/>
  <c r="GE109" i="4"/>
  <c r="GF109" i="4" s="1"/>
  <c r="FW109" i="4"/>
  <c r="FX109" i="4" s="1"/>
  <c r="FO109" i="4"/>
  <c r="FP109" i="4" s="1"/>
  <c r="FG109" i="4"/>
  <c r="FH109" i="4" s="1"/>
  <c r="EY109" i="4"/>
  <c r="EZ109" i="4" s="1"/>
  <c r="FU109" i="4"/>
  <c r="FV109" i="4" s="1"/>
  <c r="GG109" i="4"/>
  <c r="GH109" i="4" s="1"/>
  <c r="FA109" i="4"/>
  <c r="FB109" i="4" s="1"/>
  <c r="FM109" i="4"/>
  <c r="FN109" i="4" s="1"/>
  <c r="FY109" i="4"/>
  <c r="FZ109" i="4" s="1"/>
  <c r="S39" i="4"/>
  <c r="T39" i="4" s="1"/>
  <c r="AI39" i="4"/>
  <c r="AJ39" i="4" s="1"/>
  <c r="AY39" i="4"/>
  <c r="AZ39" i="4" s="1"/>
  <c r="AU39" i="4"/>
  <c r="AV39" i="4" s="1"/>
  <c r="AQ39" i="4"/>
  <c r="AR39" i="4" s="1"/>
  <c r="AK39" i="4"/>
  <c r="AL39" i="4" s="1"/>
  <c r="AE39" i="4"/>
  <c r="AF39" i="4" s="1"/>
  <c r="AA39" i="4"/>
  <c r="AB39" i="4" s="1"/>
  <c r="U39" i="4"/>
  <c r="V39" i="4" s="1"/>
  <c r="O39" i="4"/>
  <c r="P39" i="4" s="1"/>
  <c r="K39" i="4"/>
  <c r="L39" i="4" s="1"/>
  <c r="AW39" i="4"/>
  <c r="AX39" i="4" s="1"/>
  <c r="AS39" i="4"/>
  <c r="AT39" i="4" s="1"/>
  <c r="AM39" i="4"/>
  <c r="AN39" i="4" s="1"/>
  <c r="AG39" i="4"/>
  <c r="AH39" i="4" s="1"/>
  <c r="AC39" i="4"/>
  <c r="AD39" i="4" s="1"/>
  <c r="W39" i="4"/>
  <c r="X39" i="4" s="1"/>
  <c r="Q39" i="4"/>
  <c r="R39" i="4" s="1"/>
  <c r="M39" i="4"/>
  <c r="N39" i="4" s="1"/>
  <c r="J39" i="4"/>
  <c r="AO39" i="4"/>
  <c r="AP39" i="4" s="1"/>
  <c r="Y39" i="4"/>
  <c r="Z39" i="4" s="1"/>
  <c r="GC52" i="4"/>
  <c r="GD52" i="4" s="1"/>
  <c r="FU52" i="4"/>
  <c r="FV52" i="4" s="1"/>
  <c r="FM52" i="4"/>
  <c r="FN52" i="4" s="1"/>
  <c r="FE52" i="4"/>
  <c r="FF52" i="4" s="1"/>
  <c r="EW52" i="4"/>
  <c r="EX52" i="4" s="1"/>
  <c r="GE52" i="4"/>
  <c r="GF52" i="4" s="1"/>
  <c r="FW52" i="4"/>
  <c r="FX52" i="4" s="1"/>
  <c r="FO52" i="4"/>
  <c r="FP52" i="4" s="1"/>
  <c r="FG52" i="4"/>
  <c r="FH52" i="4" s="1"/>
  <c r="EY52" i="4"/>
  <c r="EZ52" i="4" s="1"/>
  <c r="GI52" i="4"/>
  <c r="GJ52" i="4" s="1"/>
  <c r="GA52" i="4"/>
  <c r="GB52" i="4" s="1"/>
  <c r="FS52" i="4"/>
  <c r="FT52" i="4" s="1"/>
  <c r="FK52" i="4"/>
  <c r="FL52" i="4" s="1"/>
  <c r="FC52" i="4"/>
  <c r="FD52" i="4" s="1"/>
  <c r="EU52" i="4"/>
  <c r="EV52" i="4" s="1"/>
  <c r="FI52" i="4"/>
  <c r="FJ52" i="4" s="1"/>
  <c r="GG52" i="4"/>
  <c r="GH52" i="4" s="1"/>
  <c r="FA52" i="4"/>
  <c r="FB52" i="4" s="1"/>
  <c r="FQ52" i="4"/>
  <c r="FR52" i="4" s="1"/>
  <c r="M40" i="4"/>
  <c r="N40" i="4" s="1"/>
  <c r="AU40" i="4"/>
  <c r="AV40" i="4" s="1"/>
  <c r="AM40" i="4"/>
  <c r="AN40" i="4" s="1"/>
  <c r="AE40" i="4"/>
  <c r="AF40" i="4" s="1"/>
  <c r="W40" i="4"/>
  <c r="X40" i="4" s="1"/>
  <c r="O40" i="4"/>
  <c r="P40" i="4" s="1"/>
  <c r="AW40" i="4"/>
  <c r="AX40" i="4" s="1"/>
  <c r="Q40" i="4"/>
  <c r="R40" i="4" s="1"/>
  <c r="AK40" i="4"/>
  <c r="AL40" i="4" s="1"/>
  <c r="AS40" i="4"/>
  <c r="AT40" i="4" s="1"/>
  <c r="Y40" i="4"/>
  <c r="Z40" i="4" s="1"/>
  <c r="AY40" i="4"/>
  <c r="AZ40" i="4" s="1"/>
  <c r="AQ40" i="4"/>
  <c r="AR40" i="4" s="1"/>
  <c r="AI40" i="4"/>
  <c r="AJ40" i="4" s="1"/>
  <c r="AA40" i="4"/>
  <c r="AB40" i="4" s="1"/>
  <c r="S40" i="4"/>
  <c r="T40" i="4" s="1"/>
  <c r="K40" i="4"/>
  <c r="L40" i="4" s="1"/>
  <c r="AG40" i="4"/>
  <c r="AH40" i="4" s="1"/>
  <c r="AC40" i="4"/>
  <c r="AD40" i="4" s="1"/>
  <c r="U40" i="4"/>
  <c r="V40" i="4" s="1"/>
  <c r="AO40" i="4"/>
  <c r="AP40" i="4" s="1"/>
  <c r="J40" i="4"/>
  <c r="CA75" i="4"/>
  <c r="ER75" i="4"/>
  <c r="ES75" i="4" s="1"/>
  <c r="AW118" i="4"/>
  <c r="AX118" i="4" s="1"/>
  <c r="AS118" i="4"/>
  <c r="AT118" i="4" s="1"/>
  <c r="AK118" i="4"/>
  <c r="AL118" i="4" s="1"/>
  <c r="AC118" i="4"/>
  <c r="AD118" i="4" s="1"/>
  <c r="U118" i="4"/>
  <c r="V118" i="4" s="1"/>
  <c r="M118" i="4"/>
  <c r="N118" i="4" s="1"/>
  <c r="AU118" i="4"/>
  <c r="AV118" i="4" s="1"/>
  <c r="AE118" i="4"/>
  <c r="AF118" i="4" s="1"/>
  <c r="O118" i="4"/>
  <c r="P118" i="4" s="1"/>
  <c r="AM118" i="4"/>
  <c r="AN118" i="4" s="1"/>
  <c r="K118" i="4"/>
  <c r="L118" i="4" s="1"/>
  <c r="W118" i="4"/>
  <c r="X118" i="4" s="1"/>
  <c r="I34" i="4"/>
  <c r="BZ34" i="4"/>
  <c r="CA40" i="4"/>
  <c r="ER40" i="4"/>
  <c r="ES40" i="4" s="1"/>
  <c r="ER42" i="4"/>
  <c r="ES42" i="4" s="1"/>
  <c r="CA42" i="4"/>
  <c r="CA46" i="4"/>
  <c r="CA119" i="4"/>
  <c r="ER119" i="4"/>
  <c r="ES119" i="4" s="1"/>
  <c r="BZ23" i="4"/>
  <c r="I23" i="4"/>
  <c r="BZ19" i="4"/>
  <c r="I19" i="4"/>
  <c r="I57" i="4"/>
  <c r="BZ57" i="4"/>
  <c r="AO140" i="4"/>
  <c r="AP140" i="4" s="1"/>
  <c r="AC140" i="4"/>
  <c r="AD140" i="4" s="1"/>
  <c r="M140" i="4"/>
  <c r="N140" i="4" s="1"/>
  <c r="J140" i="4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AW35" i="4"/>
  <c r="AX35" i="4" s="1"/>
  <c r="AS35" i="4"/>
  <c r="AT35" i="4" s="1"/>
  <c r="AO35" i="4"/>
  <c r="AP35" i="4" s="1"/>
  <c r="AK35" i="4"/>
  <c r="AL35" i="4" s="1"/>
  <c r="AG35" i="4"/>
  <c r="AH35" i="4" s="1"/>
  <c r="AC35" i="4"/>
  <c r="AD35" i="4" s="1"/>
  <c r="Y35" i="4"/>
  <c r="Z35" i="4" s="1"/>
  <c r="U35" i="4"/>
  <c r="V35" i="4" s="1"/>
  <c r="Q35" i="4"/>
  <c r="R35" i="4" s="1"/>
  <c r="M35" i="4"/>
  <c r="N35" i="4" s="1"/>
  <c r="J35" i="4"/>
  <c r="CK37" i="4"/>
  <c r="CL37" i="4" s="1"/>
  <c r="DA37" i="4"/>
  <c r="DB37" i="4" s="1"/>
  <c r="DM37" i="4"/>
  <c r="DN37" i="4" s="1"/>
  <c r="DC37" i="4"/>
  <c r="DD37" i="4" s="1"/>
  <c r="CW37" i="4"/>
  <c r="CX37" i="4" s="1"/>
  <c r="CM37" i="4"/>
  <c r="CN37" i="4" s="1"/>
  <c r="CG37" i="4"/>
  <c r="CH37" i="4" s="1"/>
  <c r="CE37" i="4"/>
  <c r="CF37" i="4" s="1"/>
  <c r="CU37" i="4"/>
  <c r="CV37" i="4" s="1"/>
  <c r="DK37" i="4"/>
  <c r="DL37" i="4" s="1"/>
  <c r="DQ37" i="4"/>
  <c r="DR37" i="4" s="1"/>
  <c r="DO37" i="4"/>
  <c r="DP37" i="4" s="1"/>
  <c r="DI37" i="4"/>
  <c r="DJ37" i="4" s="1"/>
  <c r="CY37" i="4"/>
  <c r="CZ37" i="4" s="1"/>
  <c r="CS37" i="4"/>
  <c r="CT37" i="4" s="1"/>
  <c r="CI37" i="4"/>
  <c r="CJ37" i="4" s="1"/>
  <c r="CC37" i="4"/>
  <c r="CD37" i="4" s="1"/>
  <c r="CO37" i="4"/>
  <c r="CP37" i="4" s="1"/>
  <c r="DE37" i="4"/>
  <c r="DF37" i="4" s="1"/>
  <c r="CB37" i="4"/>
  <c r="GI46" i="4"/>
  <c r="GJ46" i="4" s="1"/>
  <c r="GA46" i="4"/>
  <c r="GB46" i="4" s="1"/>
  <c r="FS46" i="4"/>
  <c r="FT46" i="4" s="1"/>
  <c r="FK46" i="4"/>
  <c r="FL46" i="4" s="1"/>
  <c r="FC46" i="4"/>
  <c r="FD46" i="4" s="1"/>
  <c r="EU46" i="4"/>
  <c r="EV46" i="4" s="1"/>
  <c r="GC46" i="4"/>
  <c r="GD46" i="4" s="1"/>
  <c r="FU46" i="4"/>
  <c r="FV46" i="4" s="1"/>
  <c r="FM46" i="4"/>
  <c r="FN46" i="4" s="1"/>
  <c r="FE46" i="4"/>
  <c r="FF46" i="4" s="1"/>
  <c r="EW46" i="4"/>
  <c r="EX46" i="4" s="1"/>
  <c r="GE46" i="4"/>
  <c r="GF46" i="4" s="1"/>
  <c r="FW46" i="4"/>
  <c r="FX46" i="4" s="1"/>
  <c r="FO46" i="4"/>
  <c r="FP46" i="4" s="1"/>
  <c r="FG46" i="4"/>
  <c r="FH46" i="4" s="1"/>
  <c r="EY46" i="4"/>
  <c r="EZ46" i="4" s="1"/>
  <c r="GG46" i="4"/>
  <c r="GH46" i="4" s="1"/>
  <c r="FY46" i="4"/>
  <c r="FZ46" i="4" s="1"/>
  <c r="FQ46" i="4"/>
  <c r="FR46" i="4" s="1"/>
  <c r="FI46" i="4"/>
  <c r="FJ46" i="4" s="1"/>
  <c r="FA46" i="4"/>
  <c r="FB46" i="4" s="1"/>
  <c r="ET46" i="4"/>
  <c r="BZ83" i="4"/>
  <c r="I83" i="4"/>
  <c r="ER110" i="4"/>
  <c r="ES110" i="4" s="1"/>
  <c r="CA110" i="4"/>
  <c r="I104" i="4"/>
  <c r="BZ104" i="4"/>
  <c r="Y36" i="4"/>
  <c r="Z36" i="4" s="1"/>
  <c r="AW49" i="4"/>
  <c r="AX49" i="4" s="1"/>
  <c r="Q49" i="4"/>
  <c r="R49" i="4" s="1"/>
  <c r="CW76" i="4"/>
  <c r="CX76" i="4" s="1"/>
  <c r="I80" i="4"/>
  <c r="BZ80" i="4"/>
  <c r="GA95" i="4"/>
  <c r="GB95" i="4" s="1"/>
  <c r="FK95" i="4"/>
  <c r="FL95" i="4" s="1"/>
  <c r="EU95" i="4"/>
  <c r="EV95" i="4" s="1"/>
  <c r="FU95" i="4"/>
  <c r="FV95" i="4" s="1"/>
  <c r="ER70" i="4"/>
  <c r="ES70" i="4" s="1"/>
  <c r="CA70" i="4"/>
  <c r="ER72" i="4"/>
  <c r="ES72" i="4" s="1"/>
  <c r="CA72" i="4"/>
  <c r="DK76" i="4"/>
  <c r="DL76" i="4" s="1"/>
  <c r="CU76" i="4"/>
  <c r="CV76" i="4" s="1"/>
  <c r="CE76" i="4"/>
  <c r="CF76" i="4" s="1"/>
  <c r="M41" i="4"/>
  <c r="N41" i="4" s="1"/>
  <c r="S41" i="4"/>
  <c r="T41" i="4" s="1"/>
  <c r="W41" i="4"/>
  <c r="X41" i="4" s="1"/>
  <c r="Q45" i="4"/>
  <c r="R45" i="4" s="1"/>
  <c r="J45" i="4"/>
  <c r="AG49" i="4"/>
  <c r="AH49" i="4" s="1"/>
  <c r="ER64" i="4"/>
  <c r="ES64" i="4" s="1"/>
  <c r="CA64" i="4"/>
  <c r="Q67" i="4"/>
  <c r="R67" i="4" s="1"/>
  <c r="I68" i="4"/>
  <c r="BZ68" i="4"/>
  <c r="AO71" i="4"/>
  <c r="AP71" i="4" s="1"/>
  <c r="AS71" i="4"/>
  <c r="AT71" i="4" s="1"/>
  <c r="AG71" i="4"/>
  <c r="AH71" i="4" s="1"/>
  <c r="U71" i="4"/>
  <c r="V71" i="4" s="1"/>
  <c r="M71" i="4"/>
  <c r="N71" i="4" s="1"/>
  <c r="AW71" i="4"/>
  <c r="AX71" i="4" s="1"/>
  <c r="AK71" i="4"/>
  <c r="AL71" i="4" s="1"/>
  <c r="AC71" i="4"/>
  <c r="AD71" i="4" s="1"/>
  <c r="Q71" i="4"/>
  <c r="R71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Y75" i="4"/>
  <c r="AZ75" i="4" s="1"/>
  <c r="AU75" i="4"/>
  <c r="AV75" i="4" s="1"/>
  <c r="AQ75" i="4"/>
  <c r="AR75" i="4" s="1"/>
  <c r="AM75" i="4"/>
  <c r="AN75" i="4" s="1"/>
  <c r="AI75" i="4"/>
  <c r="AJ75" i="4" s="1"/>
  <c r="AE75" i="4"/>
  <c r="AF75" i="4" s="1"/>
  <c r="AA75" i="4"/>
  <c r="AB75" i="4" s="1"/>
  <c r="W75" i="4"/>
  <c r="X75" i="4" s="1"/>
  <c r="S75" i="4"/>
  <c r="T75" i="4" s="1"/>
  <c r="O75" i="4"/>
  <c r="P75" i="4" s="1"/>
  <c r="K75" i="4"/>
  <c r="L75" i="4" s="1"/>
  <c r="CS76" i="4"/>
  <c r="CT76" i="4" s="1"/>
  <c r="CA94" i="4"/>
  <c r="ER94" i="4"/>
  <c r="ES94" i="4" s="1"/>
  <c r="M79" i="4"/>
  <c r="N79" i="4" s="1"/>
  <c r="I81" i="4"/>
  <c r="Q88" i="4"/>
  <c r="R88" i="4" s="1"/>
  <c r="GI116" i="4"/>
  <c r="GJ116" i="4" s="1"/>
  <c r="FS116" i="4"/>
  <c r="FT116" i="4" s="1"/>
  <c r="FC116" i="4"/>
  <c r="FD116" i="4" s="1"/>
  <c r="GC116" i="4"/>
  <c r="GD116" i="4" s="1"/>
  <c r="EW116" i="4"/>
  <c r="EX116" i="4" s="1"/>
  <c r="I117" i="4"/>
  <c r="BZ117" i="4"/>
  <c r="GA76" i="4"/>
  <c r="GB76" i="4" s="1"/>
  <c r="AU93" i="4"/>
  <c r="AV93" i="4" s="1"/>
  <c r="AM93" i="4"/>
  <c r="AN93" i="4" s="1"/>
  <c r="AE93" i="4"/>
  <c r="AF93" i="4" s="1"/>
  <c r="W93" i="4"/>
  <c r="X93" i="4" s="1"/>
  <c r="O93" i="4"/>
  <c r="P93" i="4" s="1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BZ98" i="4"/>
  <c r="I98" i="4"/>
  <c r="I107" i="4"/>
  <c r="BZ107" i="4"/>
  <c r="CA122" i="4"/>
  <c r="ER122" i="4"/>
  <c r="ES122" i="4" s="1"/>
  <c r="BZ132" i="4"/>
  <c r="I132" i="4"/>
  <c r="AU77" i="4"/>
  <c r="AV77" i="4" s="1"/>
  <c r="BZ79" i="4"/>
  <c r="ER85" i="4"/>
  <c r="ES85" i="4" s="1"/>
  <c r="CA85" i="4"/>
  <c r="M88" i="4"/>
  <c r="N88" i="4" s="1"/>
  <c r="W92" i="4"/>
  <c r="X92" i="4" s="1"/>
  <c r="M93" i="4"/>
  <c r="N93" i="4" s="1"/>
  <c r="AC93" i="4"/>
  <c r="AD93" i="4" s="1"/>
  <c r="AS93" i="4"/>
  <c r="AT93" i="4" s="1"/>
  <c r="M95" i="4"/>
  <c r="N95" i="4" s="1"/>
  <c r="U95" i="4"/>
  <c r="V95" i="4" s="1"/>
  <c r="AC95" i="4"/>
  <c r="AD95" i="4" s="1"/>
  <c r="AK95" i="4"/>
  <c r="AL95" i="4" s="1"/>
  <c r="AS95" i="4"/>
  <c r="AT95" i="4" s="1"/>
  <c r="DO95" i="4"/>
  <c r="DP95" i="4" s="1"/>
  <c r="DK95" i="4"/>
  <c r="DL95" i="4" s="1"/>
  <c r="DG95" i="4"/>
  <c r="DH95" i="4" s="1"/>
  <c r="DC95" i="4"/>
  <c r="DD95" i="4" s="1"/>
  <c r="CY95" i="4"/>
  <c r="CZ95" i="4" s="1"/>
  <c r="CU95" i="4"/>
  <c r="CV95" i="4" s="1"/>
  <c r="CQ95" i="4"/>
  <c r="CR95" i="4" s="1"/>
  <c r="CM95" i="4"/>
  <c r="CN95" i="4" s="1"/>
  <c r="CI95" i="4"/>
  <c r="CJ95" i="4" s="1"/>
  <c r="CE95" i="4"/>
  <c r="CF95" i="4" s="1"/>
  <c r="CB95" i="4"/>
  <c r="BZ99" i="4"/>
  <c r="I99" i="4"/>
  <c r="AW135" i="4"/>
  <c r="AX135" i="4" s="1"/>
  <c r="AO135" i="4"/>
  <c r="AP135" i="4" s="1"/>
  <c r="AG135" i="4"/>
  <c r="AH135" i="4" s="1"/>
  <c r="Y135" i="4"/>
  <c r="Z135" i="4" s="1"/>
  <c r="Q135" i="4"/>
  <c r="R135" i="4" s="1"/>
  <c r="J135" i="4"/>
  <c r="AK135" i="4"/>
  <c r="AL135" i="4" s="1"/>
  <c r="AS135" i="4"/>
  <c r="AT135" i="4" s="1"/>
  <c r="M135" i="4"/>
  <c r="N135" i="4" s="1"/>
  <c r="AC135" i="4"/>
  <c r="AD135" i="4" s="1"/>
  <c r="AY135" i="4"/>
  <c r="AZ135" i="4" s="1"/>
  <c r="AW145" i="4"/>
  <c r="AX145" i="4" s="1"/>
  <c r="AO145" i="4"/>
  <c r="AP145" i="4" s="1"/>
  <c r="AC145" i="4"/>
  <c r="AD145" i="4" s="1"/>
  <c r="Q145" i="4"/>
  <c r="R145" i="4" s="1"/>
  <c r="J145" i="4"/>
  <c r="AG145" i="4"/>
  <c r="AH145" i="4" s="1"/>
  <c r="M145" i="4"/>
  <c r="N145" i="4" s="1"/>
  <c r="Y145" i="4"/>
  <c r="Z145" i="4" s="1"/>
  <c r="AS145" i="4"/>
  <c r="AT145" i="4" s="1"/>
  <c r="CY100" i="4"/>
  <c r="CZ100" i="4" s="1"/>
  <c r="CQ100" i="4"/>
  <c r="CR100" i="4" s="1"/>
  <c r="CI100" i="4"/>
  <c r="CJ100" i="4" s="1"/>
  <c r="CB100" i="4"/>
  <c r="K103" i="4"/>
  <c r="L103" i="4" s="1"/>
  <c r="S103" i="4"/>
  <c r="T103" i="4" s="1"/>
  <c r="AA103" i="4"/>
  <c r="AB103" i="4" s="1"/>
  <c r="AI103" i="4"/>
  <c r="AJ103" i="4" s="1"/>
  <c r="AQ103" i="4"/>
  <c r="AR103" i="4" s="1"/>
  <c r="U109" i="4"/>
  <c r="V109" i="4" s="1"/>
  <c r="Q109" i="4"/>
  <c r="R109" i="4" s="1"/>
  <c r="M109" i="4"/>
  <c r="N109" i="4" s="1"/>
  <c r="J109" i="4"/>
  <c r="CG116" i="4"/>
  <c r="CH116" i="4" s="1"/>
  <c r="AC119" i="4"/>
  <c r="AD119" i="4" s="1"/>
  <c r="U119" i="4"/>
  <c r="V119" i="4" s="1"/>
  <c r="M119" i="4"/>
  <c r="N119" i="4" s="1"/>
  <c r="I120" i="4"/>
  <c r="CC120" i="4"/>
  <c r="CD120" i="4" s="1"/>
  <c r="CK120" i="4"/>
  <c r="CL120" i="4" s="1"/>
  <c r="CS120" i="4"/>
  <c r="CT120" i="4" s="1"/>
  <c r="DA120" i="4"/>
  <c r="DB120" i="4" s="1"/>
  <c r="DI120" i="4"/>
  <c r="DJ120" i="4" s="1"/>
  <c r="ER120" i="4"/>
  <c r="ES120" i="4" s="1"/>
  <c r="BZ125" i="4"/>
  <c r="I125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I106" i="4"/>
  <c r="BZ106" i="4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BZ121" i="4"/>
  <c r="I121" i="4"/>
  <c r="AY130" i="4"/>
  <c r="AZ130" i="4" s="1"/>
  <c r="W130" i="4"/>
  <c r="X130" i="4" s="1"/>
  <c r="I131" i="4"/>
  <c r="BZ131" i="4"/>
  <c r="AA123" i="4"/>
  <c r="AB123" i="4" s="1"/>
  <c r="U123" i="4"/>
  <c r="V123" i="4" s="1"/>
  <c r="Q123" i="4"/>
  <c r="R123" i="4" s="1"/>
  <c r="K123" i="4"/>
  <c r="L123" i="4" s="1"/>
  <c r="I137" i="4"/>
  <c r="BZ137" i="4"/>
  <c r="BZ133" i="4"/>
  <c r="M136" i="4"/>
  <c r="N136" i="4" s="1"/>
  <c r="AK136" i="4"/>
  <c r="AL136" i="4" s="1"/>
  <c r="DM146" i="4"/>
  <c r="DN146" i="4" s="1"/>
  <c r="DQ146" i="4"/>
  <c r="DR146" i="4" s="1"/>
  <c r="CW146" i="4"/>
  <c r="CX146" i="4" s="1"/>
  <c r="CK146" i="4"/>
  <c r="CL146" i="4" s="1"/>
  <c r="DG146" i="4"/>
  <c r="DH146" i="4" s="1"/>
  <c r="CB146" i="4"/>
  <c r="AW136" i="4"/>
  <c r="AX136" i="4" s="1"/>
  <c r="AS136" i="4"/>
  <c r="AT136" i="4" s="1"/>
  <c r="AM136" i="4"/>
  <c r="AN136" i="4" s="1"/>
  <c r="AG136" i="4"/>
  <c r="AH136" i="4" s="1"/>
  <c r="AC136" i="4"/>
  <c r="AD136" i="4" s="1"/>
  <c r="W136" i="4"/>
  <c r="X136" i="4" s="1"/>
  <c r="Q136" i="4"/>
  <c r="R136" i="4" s="1"/>
  <c r="I147" i="4"/>
  <c r="BZ147" i="4"/>
  <c r="CA152" i="4"/>
  <c r="ER152" i="4"/>
  <c r="ES152" i="4" s="1"/>
  <c r="W138" i="4"/>
  <c r="X138" i="4" s="1"/>
  <c r="S138" i="4"/>
  <c r="T138" i="4" s="1"/>
  <c r="O138" i="4"/>
  <c r="P138" i="4" s="1"/>
  <c r="K138" i="4"/>
  <c r="L138" i="4" s="1"/>
  <c r="W153" i="4"/>
  <c r="X153" i="4" s="1"/>
  <c r="CA138" i="4"/>
  <c r="ER138" i="4"/>
  <c r="ES138" i="4" s="1"/>
  <c r="W152" i="4"/>
  <c r="X152" i="4" s="1"/>
  <c r="O152" i="4"/>
  <c r="P152" i="4" s="1"/>
  <c r="DM120" i="4" l="1"/>
  <c r="DN120" i="4" s="1"/>
  <c r="EO120" i="4"/>
  <c r="BQ119" i="4"/>
  <c r="AI119" i="4"/>
  <c r="AJ119" i="4" s="1"/>
  <c r="BK88" i="4"/>
  <c r="W88" i="4"/>
  <c r="X88" i="4" s="1"/>
  <c r="BK79" i="4"/>
  <c r="W79" i="4"/>
  <c r="X79" i="4" s="1"/>
  <c r="Y41" i="4"/>
  <c r="Z41" i="4" s="1"/>
  <c r="BL41" i="4"/>
  <c r="BZ127" i="4"/>
  <c r="I127" i="4"/>
  <c r="I21" i="4"/>
  <c r="BZ21" i="4"/>
  <c r="BN122" i="4"/>
  <c r="AC122" i="4"/>
  <c r="AD122" i="4" s="1"/>
  <c r="BQ108" i="4"/>
  <c r="AI108" i="4"/>
  <c r="AJ108" i="4" s="1"/>
  <c r="EK100" i="4"/>
  <c r="DE100" i="4"/>
  <c r="DF100" i="4" s="1"/>
  <c r="DE87" i="4"/>
  <c r="DF87" i="4" s="1"/>
  <c r="CO87" i="4"/>
  <c r="CP87" i="4" s="1"/>
  <c r="DO87" i="4"/>
  <c r="DP87" i="4" s="1"/>
  <c r="CY87" i="4"/>
  <c r="CZ87" i="4" s="1"/>
  <c r="CI87" i="4"/>
  <c r="CJ87" i="4" s="1"/>
  <c r="DQ87" i="4"/>
  <c r="DR87" i="4" s="1"/>
  <c r="DA87" i="4"/>
  <c r="DB87" i="4" s="1"/>
  <c r="CK87" i="4"/>
  <c r="CL87" i="4" s="1"/>
  <c r="DK87" i="4"/>
  <c r="DL87" i="4" s="1"/>
  <c r="CU87" i="4"/>
  <c r="CV87" i="4" s="1"/>
  <c r="CE87" i="4"/>
  <c r="CF87" i="4" s="1"/>
  <c r="DM87" i="4"/>
  <c r="DN87" i="4" s="1"/>
  <c r="CW87" i="4"/>
  <c r="CX87" i="4" s="1"/>
  <c r="CG87" i="4"/>
  <c r="CH87" i="4" s="1"/>
  <c r="DG87" i="4"/>
  <c r="DH87" i="4" s="1"/>
  <c r="CQ87" i="4"/>
  <c r="CR87" i="4" s="1"/>
  <c r="CB87" i="4"/>
  <c r="DI87" i="4"/>
  <c r="DJ87" i="4" s="1"/>
  <c r="CS87" i="4"/>
  <c r="CT87" i="4" s="1"/>
  <c r="CC87" i="4"/>
  <c r="CD87" i="4" s="1"/>
  <c r="DC87" i="4"/>
  <c r="DD87" i="4" s="1"/>
  <c r="CM87" i="4"/>
  <c r="CN87" i="4" s="1"/>
  <c r="BJ76" i="4"/>
  <c r="U76" i="4"/>
  <c r="V76" i="4" s="1"/>
  <c r="CQ37" i="4"/>
  <c r="CR37" i="4" s="1"/>
  <c r="DG37" i="4"/>
  <c r="DH37" i="4" s="1"/>
  <c r="ER35" i="4"/>
  <c r="ES35" i="4" s="1"/>
  <c r="CA35" i="4"/>
  <c r="Y138" i="4"/>
  <c r="Z138" i="4" s="1"/>
  <c r="BL138" i="4"/>
  <c r="FM116" i="4"/>
  <c r="FN116" i="4" s="1"/>
  <c r="FG116" i="4"/>
  <c r="FH116" i="4" s="1"/>
  <c r="GE116" i="4"/>
  <c r="GF116" i="4" s="1"/>
  <c r="FI116" i="4"/>
  <c r="FJ116" i="4" s="1"/>
  <c r="GG116" i="4"/>
  <c r="GH116" i="4" s="1"/>
  <c r="FA116" i="4"/>
  <c r="FB116" i="4" s="1"/>
  <c r="FK116" i="4"/>
  <c r="FL116" i="4" s="1"/>
  <c r="FY116" i="4"/>
  <c r="FZ116" i="4" s="1"/>
  <c r="EY116" i="4"/>
  <c r="EZ116" i="4" s="1"/>
  <c r="FW116" i="4"/>
  <c r="FX116" i="4" s="1"/>
  <c r="GA116" i="4"/>
  <c r="GB116" i="4" s="1"/>
  <c r="FE116" i="4"/>
  <c r="FF116" i="4" s="1"/>
  <c r="FO116" i="4"/>
  <c r="FP116" i="4" s="1"/>
  <c r="FQ116" i="4"/>
  <c r="FR116" i="4" s="1"/>
  <c r="FU116" i="4"/>
  <c r="FV116" i="4" s="1"/>
  <c r="EU116" i="4"/>
  <c r="EV116" i="4" s="1"/>
  <c r="ET116" i="4"/>
  <c r="BN123" i="4"/>
  <c r="AC123" i="4"/>
  <c r="AD123" i="4" s="1"/>
  <c r="FE95" i="4"/>
  <c r="FF95" i="4" s="1"/>
  <c r="ET95" i="4"/>
  <c r="FM95" i="4"/>
  <c r="FN95" i="4" s="1"/>
  <c r="GG95" i="4"/>
  <c r="GH95" i="4" s="1"/>
  <c r="FG95" i="4"/>
  <c r="FH95" i="4" s="1"/>
  <c r="FO95" i="4"/>
  <c r="FP95" i="4" s="1"/>
  <c r="GI95" i="4"/>
  <c r="GJ95" i="4" s="1"/>
  <c r="FC95" i="4"/>
  <c r="FD95" i="4" s="1"/>
  <c r="FA95" i="4"/>
  <c r="FB95" i="4" s="1"/>
  <c r="GE95" i="4"/>
  <c r="GF95" i="4" s="1"/>
  <c r="FI95" i="4"/>
  <c r="FJ95" i="4" s="1"/>
  <c r="GC95" i="4"/>
  <c r="GD95" i="4" s="1"/>
  <c r="FW95" i="4"/>
  <c r="FX95" i="4" s="1"/>
  <c r="FY95" i="4"/>
  <c r="FZ95" i="4" s="1"/>
  <c r="EY95" i="4"/>
  <c r="EZ95" i="4" s="1"/>
  <c r="FS95" i="4"/>
  <c r="FT95" i="4" s="1"/>
  <c r="EW95" i="4"/>
  <c r="EX95" i="4" s="1"/>
  <c r="FQ95" i="4"/>
  <c r="FR95" i="4" s="1"/>
  <c r="EB116" i="4"/>
  <c r="CM116" i="4"/>
  <c r="CN116" i="4" s="1"/>
  <c r="BP92" i="4"/>
  <c r="AG92" i="4"/>
  <c r="AH92" i="4" s="1"/>
  <c r="AW70" i="4"/>
  <c r="AX70" i="4" s="1"/>
  <c r="O70" i="4"/>
  <c r="P70" i="4" s="1"/>
  <c r="AA70" i="4"/>
  <c r="AB70" i="4" s="1"/>
  <c r="AU70" i="4"/>
  <c r="AV70" i="4" s="1"/>
  <c r="AC70" i="4"/>
  <c r="AD70" i="4" s="1"/>
  <c r="AO70" i="4"/>
  <c r="AP70" i="4" s="1"/>
  <c r="S70" i="4"/>
  <c r="T70" i="4" s="1"/>
  <c r="AM70" i="4"/>
  <c r="AN70" i="4" s="1"/>
  <c r="AY70" i="4"/>
  <c r="AZ70" i="4" s="1"/>
  <c r="J70" i="4"/>
  <c r="U70" i="4"/>
  <c r="V70" i="4" s="1"/>
  <c r="AG70" i="4"/>
  <c r="AH70" i="4" s="1"/>
  <c r="AS70" i="4"/>
  <c r="AT70" i="4" s="1"/>
  <c r="K70" i="4"/>
  <c r="L70" i="4" s="1"/>
  <c r="AE70" i="4"/>
  <c r="AF70" i="4" s="1"/>
  <c r="AQ70" i="4"/>
  <c r="AR70" i="4" s="1"/>
  <c r="M70" i="4"/>
  <c r="N70" i="4" s="1"/>
  <c r="Y70" i="4"/>
  <c r="Z70" i="4" s="1"/>
  <c r="W70" i="4"/>
  <c r="X70" i="4" s="1"/>
  <c r="AI70" i="4"/>
  <c r="AJ70" i="4" s="1"/>
  <c r="Q70" i="4"/>
  <c r="R70" i="4" s="1"/>
  <c r="AK70" i="4"/>
  <c r="AL70" i="4" s="1"/>
  <c r="BK45" i="4"/>
  <c r="W45" i="4"/>
  <c r="X45" i="4" s="1"/>
  <c r="BM67" i="4"/>
  <c r="AA67" i="4"/>
  <c r="AB67" i="4" s="1"/>
  <c r="BQ44" i="4"/>
  <c r="AI44" i="4"/>
  <c r="AJ44" i="4" s="1"/>
  <c r="BZ25" i="4"/>
  <c r="I25" i="4"/>
  <c r="D27" i="4"/>
  <c r="E27" i="4" s="1"/>
  <c r="H27" i="4" s="1"/>
  <c r="BN152" i="4"/>
  <c r="AC152" i="4"/>
  <c r="AD152" i="4" s="1"/>
  <c r="W109" i="4"/>
  <c r="X109" i="4" s="1"/>
  <c r="BK109" i="4"/>
  <c r="DM95" i="4"/>
  <c r="DN95" i="4" s="1"/>
  <c r="DI95" i="4"/>
  <c r="DJ95" i="4" s="1"/>
  <c r="BM38" i="4"/>
  <c r="AA38" i="4"/>
  <c r="AB38" i="4" s="1"/>
  <c r="BN37" i="4"/>
  <c r="AC37" i="4"/>
  <c r="AD37" i="4" s="1"/>
  <c r="DM76" i="4"/>
  <c r="DN76" i="4" s="1"/>
  <c r="DE76" i="4"/>
  <c r="DF76" i="4" s="1"/>
  <c r="CO76" i="4"/>
  <c r="CP76" i="4" s="1"/>
  <c r="DQ76" i="4"/>
  <c r="DR76" i="4" s="1"/>
  <c r="CK76" i="4"/>
  <c r="CL76" i="4" s="1"/>
  <c r="DA76" i="4"/>
  <c r="DB76" i="4" s="1"/>
  <c r="CY76" i="4"/>
  <c r="CZ76" i="4" s="1"/>
  <c r="CG76" i="4"/>
  <c r="CH76" i="4" s="1"/>
  <c r="FK76" i="4"/>
  <c r="FL76" i="4" s="1"/>
  <c r="FE76" i="4"/>
  <c r="FF76" i="4" s="1"/>
  <c r="GE76" i="4"/>
  <c r="GF76" i="4" s="1"/>
  <c r="FI76" i="4"/>
  <c r="FJ76" i="4" s="1"/>
  <c r="GI76" i="4"/>
  <c r="GJ76" i="4" s="1"/>
  <c r="FS76" i="4"/>
  <c r="FT76" i="4" s="1"/>
  <c r="FC76" i="4"/>
  <c r="FD76" i="4" s="1"/>
  <c r="GG76" i="4"/>
  <c r="GH76" i="4" s="1"/>
  <c r="FQ76" i="4"/>
  <c r="FR76" i="4" s="1"/>
  <c r="FA76" i="4"/>
  <c r="FB76" i="4" s="1"/>
  <c r="FO76" i="4"/>
  <c r="FP76" i="4" s="1"/>
  <c r="GC76" i="4"/>
  <c r="GD76" i="4" s="1"/>
  <c r="FM76" i="4"/>
  <c r="FN76" i="4" s="1"/>
  <c r="EW76" i="4"/>
  <c r="EX76" i="4" s="1"/>
  <c r="FW76" i="4"/>
  <c r="FX76" i="4" s="1"/>
  <c r="FG76" i="4"/>
  <c r="FH76" i="4" s="1"/>
  <c r="FU76" i="4"/>
  <c r="FV76" i="4" s="1"/>
  <c r="ET76" i="4"/>
  <c r="FY76" i="4"/>
  <c r="FZ76" i="4" s="1"/>
  <c r="EY76" i="4"/>
  <c r="EZ76" i="4" s="1"/>
  <c r="CM76" i="4"/>
  <c r="CN76" i="4" s="1"/>
  <c r="DC76" i="4"/>
  <c r="DD76" i="4" s="1"/>
  <c r="AO36" i="4"/>
  <c r="AP36" i="4" s="1"/>
  <c r="J36" i="4"/>
  <c r="AU36" i="4"/>
  <c r="AV36" i="4" s="1"/>
  <c r="AM36" i="4"/>
  <c r="AN36" i="4" s="1"/>
  <c r="AE36" i="4"/>
  <c r="AF36" i="4" s="1"/>
  <c r="W36" i="4"/>
  <c r="X36" i="4" s="1"/>
  <c r="O36" i="4"/>
  <c r="P36" i="4" s="1"/>
  <c r="U36" i="4"/>
  <c r="V36" i="4" s="1"/>
  <c r="AY36" i="4"/>
  <c r="AZ36" i="4" s="1"/>
  <c r="AQ36" i="4"/>
  <c r="AR36" i="4" s="1"/>
  <c r="AI36" i="4"/>
  <c r="AJ36" i="4" s="1"/>
  <c r="AA36" i="4"/>
  <c r="AB36" i="4" s="1"/>
  <c r="S36" i="4"/>
  <c r="T36" i="4" s="1"/>
  <c r="K36" i="4"/>
  <c r="L36" i="4" s="1"/>
  <c r="AK36" i="4"/>
  <c r="AL36" i="4" s="1"/>
  <c r="AG36" i="4"/>
  <c r="AH36" i="4" s="1"/>
  <c r="AC36" i="4"/>
  <c r="AD36" i="4" s="1"/>
  <c r="AW36" i="4"/>
  <c r="AX36" i="4" s="1"/>
  <c r="M36" i="4"/>
  <c r="N36" i="4" s="1"/>
  <c r="AS36" i="4"/>
  <c r="AT36" i="4" s="1"/>
  <c r="Q36" i="4"/>
  <c r="R36" i="4" s="1"/>
  <c r="U135" i="4"/>
  <c r="V135" i="4" s="1"/>
  <c r="S135" i="4"/>
  <c r="T135" i="4" s="1"/>
  <c r="AE135" i="4"/>
  <c r="AF135" i="4" s="1"/>
  <c r="O135" i="4"/>
  <c r="P135" i="4" s="1"/>
  <c r="AI135" i="4"/>
  <c r="AJ135" i="4" s="1"/>
  <c r="AU135" i="4"/>
  <c r="AV135" i="4" s="1"/>
  <c r="AA135" i="4"/>
  <c r="AB135" i="4" s="1"/>
  <c r="AM135" i="4"/>
  <c r="AN135" i="4" s="1"/>
  <c r="AQ135" i="4"/>
  <c r="AR135" i="4" s="1"/>
  <c r="W135" i="4"/>
  <c r="X135" i="4" s="1"/>
  <c r="K135" i="4"/>
  <c r="L135" i="4" s="1"/>
  <c r="AW94" i="4"/>
  <c r="AX94" i="4" s="1"/>
  <c r="AS94" i="4"/>
  <c r="AT94" i="4" s="1"/>
  <c r="AG94" i="4"/>
  <c r="AH94" i="4" s="1"/>
  <c r="M94" i="4"/>
  <c r="N94" i="4" s="1"/>
  <c r="AC94" i="4"/>
  <c r="AD94" i="4" s="1"/>
  <c r="Q94" i="4"/>
  <c r="R94" i="4" s="1"/>
  <c r="AK94" i="4"/>
  <c r="AL94" i="4" s="1"/>
  <c r="Y94" i="4"/>
  <c r="Z94" i="4" s="1"/>
  <c r="AO94" i="4"/>
  <c r="AP94" i="4" s="1"/>
  <c r="U94" i="4"/>
  <c r="V94" i="4" s="1"/>
  <c r="J94" i="4"/>
  <c r="AQ94" i="4"/>
  <c r="AR94" i="4" s="1"/>
  <c r="W94" i="4"/>
  <c r="X94" i="4" s="1"/>
  <c r="K94" i="4"/>
  <c r="L94" i="4" s="1"/>
  <c r="AM94" i="4"/>
  <c r="AN94" i="4" s="1"/>
  <c r="AA94" i="4"/>
  <c r="AB94" i="4" s="1"/>
  <c r="AU94" i="4"/>
  <c r="AV94" i="4" s="1"/>
  <c r="AI94" i="4"/>
  <c r="AJ94" i="4" s="1"/>
  <c r="O94" i="4"/>
  <c r="P94" i="4" s="1"/>
  <c r="AY94" i="4"/>
  <c r="AZ94" i="4" s="1"/>
  <c r="AE94" i="4"/>
  <c r="AF94" i="4" s="1"/>
  <c r="S94" i="4"/>
  <c r="T94" i="4" s="1"/>
  <c r="AW66" i="4"/>
  <c r="AX66" i="4" s="1"/>
  <c r="AA66" i="4"/>
  <c r="AB66" i="4" s="1"/>
  <c r="AM66" i="4"/>
  <c r="AN66" i="4" s="1"/>
  <c r="K66" i="4"/>
  <c r="L66" i="4" s="1"/>
  <c r="W66" i="4"/>
  <c r="X66" i="4" s="1"/>
  <c r="AQ66" i="4"/>
  <c r="AR66" i="4" s="1"/>
  <c r="O66" i="4"/>
  <c r="P66" i="4" s="1"/>
  <c r="AI66" i="4"/>
  <c r="AJ66" i="4" s="1"/>
  <c r="AU66" i="4"/>
  <c r="AV66" i="4" s="1"/>
  <c r="Q66" i="4"/>
  <c r="R66" i="4" s="1"/>
  <c r="Y66" i="4"/>
  <c r="Z66" i="4" s="1"/>
  <c r="AG66" i="4"/>
  <c r="AH66" i="4" s="1"/>
  <c r="AO66" i="4"/>
  <c r="AP66" i="4" s="1"/>
  <c r="AY66" i="4"/>
  <c r="AZ66" i="4" s="1"/>
  <c r="AS66" i="4"/>
  <c r="AT66" i="4" s="1"/>
  <c r="AE66" i="4"/>
  <c r="AF66" i="4" s="1"/>
  <c r="J66" i="4"/>
  <c r="M66" i="4"/>
  <c r="N66" i="4" s="1"/>
  <c r="AC66" i="4"/>
  <c r="AD66" i="4" s="1"/>
  <c r="S66" i="4"/>
  <c r="T66" i="4" s="1"/>
  <c r="U66" i="4"/>
  <c r="V66" i="4" s="1"/>
  <c r="AK66" i="4"/>
  <c r="AL66" i="4" s="1"/>
  <c r="ER22" i="4"/>
  <c r="ES22" i="4" s="1"/>
  <c r="CA22" i="4"/>
  <c r="AI50" i="4"/>
  <c r="AJ50" i="4" s="1"/>
  <c r="S50" i="4"/>
  <c r="T50" i="4" s="1"/>
  <c r="AS50" i="4"/>
  <c r="AT50" i="4" s="1"/>
  <c r="AC50" i="4"/>
  <c r="AD50" i="4" s="1"/>
  <c r="M50" i="4"/>
  <c r="N50" i="4" s="1"/>
  <c r="AY50" i="4"/>
  <c r="AZ50" i="4" s="1"/>
  <c r="AM50" i="4"/>
  <c r="AN50" i="4" s="1"/>
  <c r="AA50" i="4"/>
  <c r="AB50" i="4" s="1"/>
  <c r="K50" i="4"/>
  <c r="L50" i="4" s="1"/>
  <c r="AK50" i="4"/>
  <c r="AL50" i="4" s="1"/>
  <c r="U50" i="4"/>
  <c r="V50" i="4" s="1"/>
  <c r="AU50" i="4"/>
  <c r="AV50" i="4" s="1"/>
  <c r="W50" i="4"/>
  <c r="X50" i="4" s="1"/>
  <c r="AW50" i="4"/>
  <c r="AX50" i="4" s="1"/>
  <c r="AG50" i="4"/>
  <c r="AH50" i="4" s="1"/>
  <c r="Q50" i="4"/>
  <c r="R50" i="4" s="1"/>
  <c r="AO50" i="4"/>
  <c r="AP50" i="4" s="1"/>
  <c r="AE50" i="4"/>
  <c r="AF50" i="4" s="1"/>
  <c r="J50" i="4"/>
  <c r="O50" i="4"/>
  <c r="P50" i="4" s="1"/>
  <c r="AQ50" i="4"/>
  <c r="AR50" i="4" s="1"/>
  <c r="Y50" i="4"/>
  <c r="Z50" i="4" s="1"/>
  <c r="AW74" i="4"/>
  <c r="AX74" i="4" s="1"/>
  <c r="O74" i="4"/>
  <c r="P74" i="4" s="1"/>
  <c r="AA74" i="4"/>
  <c r="AB74" i="4" s="1"/>
  <c r="AU74" i="4"/>
  <c r="AV74" i="4" s="1"/>
  <c r="K74" i="4"/>
  <c r="L74" i="4" s="1"/>
  <c r="AE74" i="4"/>
  <c r="AF74" i="4" s="1"/>
  <c r="AQ74" i="4"/>
  <c r="AR74" i="4" s="1"/>
  <c r="W74" i="4"/>
  <c r="X74" i="4" s="1"/>
  <c r="AI74" i="4"/>
  <c r="AJ74" i="4" s="1"/>
  <c r="S74" i="4"/>
  <c r="T74" i="4" s="1"/>
  <c r="M74" i="4"/>
  <c r="N74" i="4" s="1"/>
  <c r="Y74" i="4"/>
  <c r="Z74" i="4" s="1"/>
  <c r="AS74" i="4"/>
  <c r="AT74" i="4" s="1"/>
  <c r="AM74" i="4"/>
  <c r="AN74" i="4" s="1"/>
  <c r="AC74" i="4"/>
  <c r="AD74" i="4" s="1"/>
  <c r="AO74" i="4"/>
  <c r="AP74" i="4" s="1"/>
  <c r="AY74" i="4"/>
  <c r="AZ74" i="4" s="1"/>
  <c r="J74" i="4"/>
  <c r="U74" i="4"/>
  <c r="V74" i="4" s="1"/>
  <c r="AG74" i="4"/>
  <c r="AH74" i="4" s="1"/>
  <c r="AK74" i="4"/>
  <c r="AL74" i="4" s="1"/>
  <c r="Q74" i="4"/>
  <c r="R74" i="4" s="1"/>
  <c r="CA153" i="4"/>
  <c r="ER153" i="4"/>
  <c r="ES153" i="4" s="1"/>
  <c r="AS112" i="4"/>
  <c r="AT112" i="4" s="1"/>
  <c r="Y112" i="4"/>
  <c r="Z112" i="4" s="1"/>
  <c r="M112" i="4"/>
  <c r="N112" i="4" s="1"/>
  <c r="AO112" i="4"/>
  <c r="AP112" i="4" s="1"/>
  <c r="AC112" i="4"/>
  <c r="AD112" i="4" s="1"/>
  <c r="J112" i="4"/>
  <c r="AW112" i="4"/>
  <c r="AX112" i="4" s="1"/>
  <c r="AK112" i="4"/>
  <c r="AL112" i="4" s="1"/>
  <c r="Q112" i="4"/>
  <c r="R112" i="4" s="1"/>
  <c r="AY112" i="4"/>
  <c r="AZ112" i="4" s="1"/>
  <c r="AQ112" i="4"/>
  <c r="AR112" i="4" s="1"/>
  <c r="AI112" i="4"/>
  <c r="AJ112" i="4" s="1"/>
  <c r="AA112" i="4"/>
  <c r="AB112" i="4" s="1"/>
  <c r="S112" i="4"/>
  <c r="T112" i="4" s="1"/>
  <c r="K112" i="4"/>
  <c r="L112" i="4" s="1"/>
  <c r="AG112" i="4"/>
  <c r="AH112" i="4" s="1"/>
  <c r="AM112" i="4"/>
  <c r="AN112" i="4" s="1"/>
  <c r="W112" i="4"/>
  <c r="X112" i="4" s="1"/>
  <c r="AU112" i="4"/>
  <c r="AV112" i="4" s="1"/>
  <c r="O112" i="4"/>
  <c r="P112" i="4" s="1"/>
  <c r="AE112" i="4"/>
  <c r="AF112" i="4" s="1"/>
  <c r="U112" i="4"/>
  <c r="V112" i="4" s="1"/>
  <c r="ER123" i="4"/>
  <c r="ES123" i="4" s="1"/>
  <c r="CA123" i="4"/>
  <c r="ER140" i="4"/>
  <c r="ES140" i="4" s="1"/>
  <c r="CA140" i="4"/>
  <c r="AW102" i="4"/>
  <c r="AX102" i="4" s="1"/>
  <c r="AG102" i="4"/>
  <c r="AH102" i="4" s="1"/>
  <c r="U102" i="4"/>
  <c r="V102" i="4" s="1"/>
  <c r="Q102" i="4"/>
  <c r="R102" i="4" s="1"/>
  <c r="Y102" i="4"/>
  <c r="Z102" i="4" s="1"/>
  <c r="M102" i="4"/>
  <c r="N102" i="4" s="1"/>
  <c r="AC102" i="4"/>
  <c r="AD102" i="4" s="1"/>
  <c r="J102" i="4"/>
  <c r="O102" i="4"/>
  <c r="P102" i="4" s="1"/>
  <c r="AM102" i="4"/>
  <c r="AN102" i="4" s="1"/>
  <c r="AY102" i="4"/>
  <c r="AZ102" i="4" s="1"/>
  <c r="AK102" i="4"/>
  <c r="AL102" i="4" s="1"/>
  <c r="AS102" i="4"/>
  <c r="AT102" i="4" s="1"/>
  <c r="K102" i="4"/>
  <c r="L102" i="4" s="1"/>
  <c r="W102" i="4"/>
  <c r="X102" i="4" s="1"/>
  <c r="AI102" i="4"/>
  <c r="AJ102" i="4" s="1"/>
  <c r="AO102" i="4"/>
  <c r="AP102" i="4" s="1"/>
  <c r="AA102" i="4"/>
  <c r="AB102" i="4" s="1"/>
  <c r="AU102" i="4"/>
  <c r="AV102" i="4" s="1"/>
  <c r="AE102" i="4"/>
  <c r="AF102" i="4" s="1"/>
  <c r="S102" i="4"/>
  <c r="T102" i="4" s="1"/>
  <c r="AQ102" i="4"/>
  <c r="AR102" i="4" s="1"/>
  <c r="ER48" i="4"/>
  <c r="ES48" i="4" s="1"/>
  <c r="CA48" i="4"/>
  <c r="CC76" i="4"/>
  <c r="CD76" i="4" s="1"/>
  <c r="CI76" i="4"/>
  <c r="CJ76" i="4" s="1"/>
  <c r="DO76" i="4"/>
  <c r="DP76" i="4" s="1"/>
  <c r="ER135" i="4"/>
  <c r="ES135" i="4" s="1"/>
  <c r="CA135" i="4"/>
  <c r="ER102" i="4"/>
  <c r="ES102" i="4" s="1"/>
  <c r="CA102" i="4"/>
  <c r="AS48" i="4"/>
  <c r="AT48" i="4" s="1"/>
  <c r="AC48" i="4"/>
  <c r="AD48" i="4" s="1"/>
  <c r="M48" i="4"/>
  <c r="N48" i="4" s="1"/>
  <c r="AU48" i="4"/>
  <c r="AV48" i="4" s="1"/>
  <c r="AM48" i="4"/>
  <c r="AN48" i="4" s="1"/>
  <c r="AE48" i="4"/>
  <c r="AF48" i="4" s="1"/>
  <c r="W48" i="4"/>
  <c r="X48" i="4" s="1"/>
  <c r="O48" i="4"/>
  <c r="P48" i="4" s="1"/>
  <c r="AK48" i="4"/>
  <c r="AL48" i="4" s="1"/>
  <c r="U48" i="4"/>
  <c r="V48" i="4" s="1"/>
  <c r="AY48" i="4"/>
  <c r="AZ48" i="4" s="1"/>
  <c r="AQ48" i="4"/>
  <c r="AR48" i="4" s="1"/>
  <c r="AI48" i="4"/>
  <c r="AJ48" i="4" s="1"/>
  <c r="AA48" i="4"/>
  <c r="AB48" i="4" s="1"/>
  <c r="S48" i="4"/>
  <c r="T48" i="4" s="1"/>
  <c r="K48" i="4"/>
  <c r="L48" i="4" s="1"/>
  <c r="AW48" i="4"/>
  <c r="AX48" i="4" s="1"/>
  <c r="AG48" i="4"/>
  <c r="AH48" i="4" s="1"/>
  <c r="Q48" i="4"/>
  <c r="R48" i="4" s="1"/>
  <c r="AO48" i="4"/>
  <c r="AP48" i="4" s="1"/>
  <c r="J48" i="4"/>
  <c r="Y48" i="4"/>
  <c r="Z48" i="4" s="1"/>
  <c r="AU153" i="4"/>
  <c r="AV153" i="4" s="1"/>
  <c r="AE153" i="4"/>
  <c r="AF153" i="4" s="1"/>
  <c r="O153" i="4"/>
  <c r="P153" i="4" s="1"/>
  <c r="AI153" i="4"/>
  <c r="AJ153" i="4" s="1"/>
  <c r="AW153" i="4"/>
  <c r="AX153" i="4" s="1"/>
  <c r="AO153" i="4"/>
  <c r="AP153" i="4" s="1"/>
  <c r="AG153" i="4"/>
  <c r="AH153" i="4" s="1"/>
  <c r="Y153" i="4"/>
  <c r="Z153" i="4" s="1"/>
  <c r="Q153" i="4"/>
  <c r="R153" i="4" s="1"/>
  <c r="J153" i="4"/>
  <c r="AA153" i="4"/>
  <c r="AB153" i="4" s="1"/>
  <c r="S153" i="4"/>
  <c r="T153" i="4" s="1"/>
  <c r="AS153" i="4"/>
  <c r="AT153" i="4" s="1"/>
  <c r="AK153" i="4"/>
  <c r="AL153" i="4" s="1"/>
  <c r="AC153" i="4"/>
  <c r="AD153" i="4" s="1"/>
  <c r="U153" i="4"/>
  <c r="V153" i="4" s="1"/>
  <c r="M153" i="4"/>
  <c r="N153" i="4" s="1"/>
  <c r="AQ153" i="4"/>
  <c r="AR153" i="4" s="1"/>
  <c r="K153" i="4"/>
  <c r="L153" i="4" s="1"/>
  <c r="ER112" i="4"/>
  <c r="ES112" i="4" s="1"/>
  <c r="CA112" i="4"/>
  <c r="AY153" i="4"/>
  <c r="AZ153" i="4" s="1"/>
  <c r="EU76" i="4"/>
  <c r="EV76" i="4" s="1"/>
  <c r="DI76" i="4"/>
  <c r="DJ76" i="4" s="1"/>
  <c r="CB76" i="4"/>
  <c r="CQ76" i="4"/>
  <c r="CR76" i="4" s="1"/>
  <c r="DG76" i="4"/>
  <c r="DH76" i="4" s="1"/>
  <c r="ER92" i="4"/>
  <c r="ES92" i="4" s="1"/>
  <c r="CA92" i="4"/>
  <c r="CA36" i="4"/>
  <c r="ER36" i="4"/>
  <c r="ES36" i="4" s="1"/>
  <c r="AM140" i="4"/>
  <c r="AN140" i="4" s="1"/>
  <c r="AA140" i="4"/>
  <c r="AB140" i="4" s="1"/>
  <c r="AW140" i="4"/>
  <c r="AX140" i="4" s="1"/>
  <c r="AK140" i="4"/>
  <c r="AL140" i="4" s="1"/>
  <c r="Y140" i="4"/>
  <c r="Z140" i="4" s="1"/>
  <c r="AQ140" i="4"/>
  <c r="AR140" i="4" s="1"/>
  <c r="W140" i="4"/>
  <c r="X140" i="4" s="1"/>
  <c r="K140" i="4"/>
  <c r="L140" i="4" s="1"/>
  <c r="U140" i="4"/>
  <c r="V140" i="4" s="1"/>
  <c r="AY140" i="4"/>
  <c r="AZ140" i="4" s="1"/>
  <c r="AE140" i="4"/>
  <c r="AF140" i="4" s="1"/>
  <c r="S140" i="4"/>
  <c r="T140" i="4" s="1"/>
  <c r="Q140" i="4"/>
  <c r="R140" i="4" s="1"/>
  <c r="O140" i="4"/>
  <c r="P140" i="4" s="1"/>
  <c r="AI140" i="4"/>
  <c r="AJ140" i="4" s="1"/>
  <c r="AS140" i="4"/>
  <c r="AT140" i="4" s="1"/>
  <c r="AU140" i="4"/>
  <c r="AV140" i="4" s="1"/>
  <c r="AG140" i="4"/>
  <c r="AH140" i="4" s="1"/>
  <c r="CA66" i="4"/>
  <c r="ER66" i="4"/>
  <c r="ES66" i="4" s="1"/>
  <c r="AQ22" i="4"/>
  <c r="AR22" i="4" s="1"/>
  <c r="AE22" i="4"/>
  <c r="AF22" i="4" s="1"/>
  <c r="K22" i="4"/>
  <c r="L22" i="4" s="1"/>
  <c r="AO22" i="4"/>
  <c r="AP22" i="4" s="1"/>
  <c r="U22" i="4"/>
  <c r="V22" i="4" s="1"/>
  <c r="J22" i="4"/>
  <c r="AU22" i="4"/>
  <c r="AV22" i="4" s="1"/>
  <c r="AA22" i="4"/>
  <c r="AB22" i="4" s="1"/>
  <c r="O22" i="4"/>
  <c r="P22" i="4" s="1"/>
  <c r="AK22" i="4"/>
  <c r="AL22" i="4" s="1"/>
  <c r="Y22" i="4"/>
  <c r="Z22" i="4" s="1"/>
  <c r="AI22" i="4"/>
  <c r="AJ22" i="4" s="1"/>
  <c r="W22" i="4"/>
  <c r="X22" i="4" s="1"/>
  <c r="AS22" i="4"/>
  <c r="AT22" i="4" s="1"/>
  <c r="AG22" i="4"/>
  <c r="AH22" i="4" s="1"/>
  <c r="M22" i="4"/>
  <c r="N22" i="4" s="1"/>
  <c r="AC22" i="4"/>
  <c r="AD22" i="4" s="1"/>
  <c r="AY22" i="4"/>
  <c r="AZ22" i="4" s="1"/>
  <c r="AW22" i="4"/>
  <c r="AX22" i="4" s="1"/>
  <c r="AM22" i="4"/>
  <c r="AN22" i="4" s="1"/>
  <c r="S22" i="4"/>
  <c r="T22" i="4" s="1"/>
  <c r="Q22" i="4"/>
  <c r="R22" i="4" s="1"/>
  <c r="ER50" i="4"/>
  <c r="ES50" i="4" s="1"/>
  <c r="CA50" i="4"/>
  <c r="CA74" i="4"/>
  <c r="ER74" i="4"/>
  <c r="ES74" i="4" s="1"/>
  <c r="GI85" i="4"/>
  <c r="GJ85" i="4" s="1"/>
  <c r="GA85" i="4"/>
  <c r="GB85" i="4" s="1"/>
  <c r="FS85" i="4"/>
  <c r="FT85" i="4" s="1"/>
  <c r="FK85" i="4"/>
  <c r="FL85" i="4" s="1"/>
  <c r="FC85" i="4"/>
  <c r="FD85" i="4" s="1"/>
  <c r="EU85" i="4"/>
  <c r="EV85" i="4" s="1"/>
  <c r="GC85" i="4"/>
  <c r="GD85" i="4" s="1"/>
  <c r="FU85" i="4"/>
  <c r="FV85" i="4" s="1"/>
  <c r="FM85" i="4"/>
  <c r="FN85" i="4" s="1"/>
  <c r="FE85" i="4"/>
  <c r="FF85" i="4" s="1"/>
  <c r="EW85" i="4"/>
  <c r="EX85" i="4" s="1"/>
  <c r="GE85" i="4"/>
  <c r="GF85" i="4" s="1"/>
  <c r="EY85" i="4"/>
  <c r="EZ85" i="4" s="1"/>
  <c r="FI85" i="4"/>
  <c r="FJ85" i="4" s="1"/>
  <c r="FW85" i="4"/>
  <c r="FX85" i="4" s="1"/>
  <c r="GG85" i="4"/>
  <c r="GH85" i="4" s="1"/>
  <c r="FA85" i="4"/>
  <c r="FB85" i="4" s="1"/>
  <c r="FG85" i="4"/>
  <c r="FH85" i="4" s="1"/>
  <c r="FQ85" i="4"/>
  <c r="FR85" i="4" s="1"/>
  <c r="FO85" i="4"/>
  <c r="FP85" i="4" s="1"/>
  <c r="FY85" i="4"/>
  <c r="FZ85" i="4" s="1"/>
  <c r="ET85" i="4"/>
  <c r="AS107" i="4"/>
  <c r="AT107" i="4" s="1"/>
  <c r="AY107" i="4"/>
  <c r="AZ107" i="4" s="1"/>
  <c r="AU107" i="4"/>
  <c r="AV107" i="4" s="1"/>
  <c r="AO107" i="4"/>
  <c r="AP107" i="4" s="1"/>
  <c r="AI107" i="4"/>
  <c r="AJ107" i="4" s="1"/>
  <c r="AE107" i="4"/>
  <c r="AF107" i="4" s="1"/>
  <c r="Y107" i="4"/>
  <c r="Z107" i="4" s="1"/>
  <c r="S107" i="4"/>
  <c r="T107" i="4" s="1"/>
  <c r="O107" i="4"/>
  <c r="P107" i="4" s="1"/>
  <c r="J107" i="4"/>
  <c r="AQ107" i="4"/>
  <c r="AR107" i="4" s="1"/>
  <c r="AG107" i="4"/>
  <c r="AH107" i="4" s="1"/>
  <c r="U107" i="4"/>
  <c r="V107" i="4" s="1"/>
  <c r="K107" i="4"/>
  <c r="L107" i="4" s="1"/>
  <c r="AW107" i="4"/>
  <c r="AX107" i="4" s="1"/>
  <c r="AA107" i="4"/>
  <c r="AB107" i="4" s="1"/>
  <c r="Q107" i="4"/>
  <c r="R107" i="4" s="1"/>
  <c r="AK107" i="4"/>
  <c r="AL107" i="4" s="1"/>
  <c r="M107" i="4"/>
  <c r="N107" i="4" s="1"/>
  <c r="AM107" i="4"/>
  <c r="AN107" i="4" s="1"/>
  <c r="AC107" i="4"/>
  <c r="AD107" i="4" s="1"/>
  <c r="W107" i="4"/>
  <c r="X107" i="4" s="1"/>
  <c r="DM40" i="4"/>
  <c r="DN40" i="4" s="1"/>
  <c r="DE40" i="4"/>
  <c r="DF40" i="4" s="1"/>
  <c r="CW40" i="4"/>
  <c r="CX40" i="4" s="1"/>
  <c r="CO40" i="4"/>
  <c r="CP40" i="4" s="1"/>
  <c r="CG40" i="4"/>
  <c r="CH40" i="4" s="1"/>
  <c r="DO40" i="4"/>
  <c r="DP40" i="4" s="1"/>
  <c r="DG40" i="4"/>
  <c r="DH40" i="4" s="1"/>
  <c r="CY40" i="4"/>
  <c r="CZ40" i="4" s="1"/>
  <c r="CQ40" i="4"/>
  <c r="CR40" i="4" s="1"/>
  <c r="CI40" i="4"/>
  <c r="CJ40" i="4" s="1"/>
  <c r="CB40" i="4"/>
  <c r="DA40" i="4"/>
  <c r="DB40" i="4" s="1"/>
  <c r="DK40" i="4"/>
  <c r="DL40" i="4" s="1"/>
  <c r="CE40" i="4"/>
  <c r="CF40" i="4" s="1"/>
  <c r="DQ40" i="4"/>
  <c r="DR40" i="4" s="1"/>
  <c r="CK40" i="4"/>
  <c r="CL40" i="4" s="1"/>
  <c r="CU40" i="4"/>
  <c r="CV40" i="4" s="1"/>
  <c r="DI40" i="4"/>
  <c r="DJ40" i="4" s="1"/>
  <c r="CC40" i="4"/>
  <c r="CD40" i="4" s="1"/>
  <c r="CM40" i="4"/>
  <c r="CN40" i="4" s="1"/>
  <c r="CS40" i="4"/>
  <c r="CT40" i="4" s="1"/>
  <c r="DC40" i="4"/>
  <c r="DD40" i="4" s="1"/>
  <c r="ER147" i="4"/>
  <c r="ES147" i="4" s="1"/>
  <c r="CA147" i="4"/>
  <c r="ER133" i="4"/>
  <c r="ES133" i="4" s="1"/>
  <c r="CA133" i="4"/>
  <c r="ER131" i="4"/>
  <c r="ES131" i="4" s="1"/>
  <c r="CA131" i="4"/>
  <c r="AU121" i="4"/>
  <c r="AV121" i="4" s="1"/>
  <c r="AE121" i="4"/>
  <c r="AF121" i="4" s="1"/>
  <c r="AS121" i="4"/>
  <c r="AT121" i="4" s="1"/>
  <c r="AK121" i="4"/>
  <c r="AL121" i="4" s="1"/>
  <c r="AC121" i="4"/>
  <c r="AD121" i="4" s="1"/>
  <c r="U121" i="4"/>
  <c r="V121" i="4" s="1"/>
  <c r="M121" i="4"/>
  <c r="N121" i="4" s="1"/>
  <c r="AG121" i="4"/>
  <c r="AH121" i="4" s="1"/>
  <c r="W121" i="4"/>
  <c r="X121" i="4" s="1"/>
  <c r="K121" i="4"/>
  <c r="L121" i="4" s="1"/>
  <c r="AO121" i="4"/>
  <c r="AP121" i="4" s="1"/>
  <c r="J121" i="4"/>
  <c r="S121" i="4"/>
  <c r="T121" i="4" s="1"/>
  <c r="AQ121" i="4"/>
  <c r="AR121" i="4" s="1"/>
  <c r="Y121" i="4"/>
  <c r="Z121" i="4" s="1"/>
  <c r="AI121" i="4"/>
  <c r="AJ121" i="4" s="1"/>
  <c r="AA121" i="4"/>
  <c r="AB121" i="4" s="1"/>
  <c r="O121" i="4"/>
  <c r="P121" i="4" s="1"/>
  <c r="AM121" i="4"/>
  <c r="AN121" i="4" s="1"/>
  <c r="AW121" i="4"/>
  <c r="AX121" i="4" s="1"/>
  <c r="AY121" i="4"/>
  <c r="AZ121" i="4" s="1"/>
  <c r="Q121" i="4"/>
  <c r="R121" i="4" s="1"/>
  <c r="FK120" i="4"/>
  <c r="FL120" i="4" s="1"/>
  <c r="FE120" i="4"/>
  <c r="FF120" i="4" s="1"/>
  <c r="EU120" i="4"/>
  <c r="EV120" i="4" s="1"/>
  <c r="GA120" i="4"/>
  <c r="GB120" i="4" s="1"/>
  <c r="GI120" i="4"/>
  <c r="GJ120" i="4" s="1"/>
  <c r="FS120" i="4"/>
  <c r="FT120" i="4" s="1"/>
  <c r="FC120" i="4"/>
  <c r="FD120" i="4" s="1"/>
  <c r="GG120" i="4"/>
  <c r="GH120" i="4" s="1"/>
  <c r="FQ120" i="4"/>
  <c r="FR120" i="4" s="1"/>
  <c r="FA120" i="4"/>
  <c r="FB120" i="4" s="1"/>
  <c r="FO120" i="4"/>
  <c r="FP120" i="4" s="1"/>
  <c r="FW120" i="4"/>
  <c r="FX120" i="4" s="1"/>
  <c r="GE120" i="4"/>
  <c r="GF120" i="4" s="1"/>
  <c r="ET120" i="4"/>
  <c r="EW120" i="4"/>
  <c r="EX120" i="4" s="1"/>
  <c r="FU120" i="4"/>
  <c r="FV120" i="4" s="1"/>
  <c r="FY120" i="4"/>
  <c r="FZ120" i="4" s="1"/>
  <c r="EY120" i="4"/>
  <c r="EZ120" i="4" s="1"/>
  <c r="GC120" i="4"/>
  <c r="GD120" i="4" s="1"/>
  <c r="FG120" i="4"/>
  <c r="FH120" i="4" s="1"/>
  <c r="FM120" i="4"/>
  <c r="FN120" i="4" s="1"/>
  <c r="FI120" i="4"/>
  <c r="FJ120" i="4" s="1"/>
  <c r="ER98" i="4"/>
  <c r="ES98" i="4" s="1"/>
  <c r="CA98" i="4"/>
  <c r="FU138" i="4"/>
  <c r="FV138" i="4" s="1"/>
  <c r="EU138" i="4"/>
  <c r="EV138" i="4" s="1"/>
  <c r="FK138" i="4"/>
  <c r="FL138" i="4" s="1"/>
  <c r="GE138" i="4"/>
  <c r="GF138" i="4" s="1"/>
  <c r="FO138" i="4"/>
  <c r="FP138" i="4" s="1"/>
  <c r="EY138" i="4"/>
  <c r="EZ138" i="4" s="1"/>
  <c r="GA138" i="4"/>
  <c r="GB138" i="4" s="1"/>
  <c r="GC138" i="4"/>
  <c r="GD138" i="4" s="1"/>
  <c r="FM138" i="4"/>
  <c r="FN138" i="4" s="1"/>
  <c r="EW138" i="4"/>
  <c r="EX138" i="4" s="1"/>
  <c r="FW138" i="4"/>
  <c r="FX138" i="4" s="1"/>
  <c r="FG138" i="4"/>
  <c r="FH138" i="4" s="1"/>
  <c r="FE138" i="4"/>
  <c r="FF138" i="4" s="1"/>
  <c r="GI138" i="4"/>
  <c r="GJ138" i="4" s="1"/>
  <c r="FS138" i="4"/>
  <c r="FT138" i="4" s="1"/>
  <c r="FC138" i="4"/>
  <c r="FD138" i="4" s="1"/>
  <c r="GG138" i="4"/>
  <c r="GH138" i="4" s="1"/>
  <c r="FQ138" i="4"/>
  <c r="FR138" i="4" s="1"/>
  <c r="FA138" i="4"/>
  <c r="FB138" i="4" s="1"/>
  <c r="ET138" i="4"/>
  <c r="FI138" i="4"/>
  <c r="FJ138" i="4" s="1"/>
  <c r="FY138" i="4"/>
  <c r="FZ138" i="4" s="1"/>
  <c r="FU152" i="4"/>
  <c r="FV152" i="4" s="1"/>
  <c r="GA152" i="4"/>
  <c r="GB152" i="4" s="1"/>
  <c r="FE152" i="4"/>
  <c r="FF152" i="4" s="1"/>
  <c r="EU152" i="4"/>
  <c r="EV152" i="4" s="1"/>
  <c r="FM152" i="4"/>
  <c r="FN152" i="4" s="1"/>
  <c r="FC152" i="4"/>
  <c r="FD152" i="4" s="1"/>
  <c r="GI152" i="4"/>
  <c r="GJ152" i="4" s="1"/>
  <c r="FK152" i="4"/>
  <c r="FL152" i="4" s="1"/>
  <c r="FW152" i="4"/>
  <c r="FX152" i="4" s="1"/>
  <c r="FG152" i="4"/>
  <c r="FH152" i="4" s="1"/>
  <c r="GE152" i="4"/>
  <c r="GF152" i="4" s="1"/>
  <c r="FO152" i="4"/>
  <c r="FP152" i="4" s="1"/>
  <c r="EY152" i="4"/>
  <c r="EZ152" i="4" s="1"/>
  <c r="EW152" i="4"/>
  <c r="EX152" i="4" s="1"/>
  <c r="GC152" i="4"/>
  <c r="GD152" i="4" s="1"/>
  <c r="GG152" i="4"/>
  <c r="GH152" i="4" s="1"/>
  <c r="FI152" i="4"/>
  <c r="FJ152" i="4" s="1"/>
  <c r="FQ152" i="4"/>
  <c r="FR152" i="4" s="1"/>
  <c r="ET152" i="4"/>
  <c r="FY152" i="4"/>
  <c r="FZ152" i="4" s="1"/>
  <c r="FA152" i="4"/>
  <c r="FB152" i="4" s="1"/>
  <c r="FS152" i="4"/>
  <c r="FT152" i="4" s="1"/>
  <c r="ER137" i="4"/>
  <c r="ES137" i="4" s="1"/>
  <c r="CA137" i="4"/>
  <c r="AG131" i="4"/>
  <c r="AH131" i="4" s="1"/>
  <c r="U131" i="4"/>
  <c r="V131" i="4" s="1"/>
  <c r="AO131" i="4"/>
  <c r="AP131" i="4" s="1"/>
  <c r="AC131" i="4"/>
  <c r="AD131" i="4" s="1"/>
  <c r="J131" i="4"/>
  <c r="AW131" i="4"/>
  <c r="AX131" i="4" s="1"/>
  <c r="M131" i="4"/>
  <c r="N131" i="4" s="1"/>
  <c r="Y131" i="4"/>
  <c r="Z131" i="4" s="1"/>
  <c r="Q131" i="4"/>
  <c r="R131" i="4" s="1"/>
  <c r="AK131" i="4"/>
  <c r="AL131" i="4" s="1"/>
  <c r="AS131" i="4"/>
  <c r="AT131" i="4" s="1"/>
  <c r="AY131" i="4"/>
  <c r="AZ131" i="4" s="1"/>
  <c r="AQ131" i="4"/>
  <c r="AR131" i="4" s="1"/>
  <c r="AI131" i="4"/>
  <c r="AJ131" i="4" s="1"/>
  <c r="AA131" i="4"/>
  <c r="AB131" i="4" s="1"/>
  <c r="S131" i="4"/>
  <c r="T131" i="4" s="1"/>
  <c r="K131" i="4"/>
  <c r="L131" i="4" s="1"/>
  <c r="AU131" i="4"/>
  <c r="AV131" i="4" s="1"/>
  <c r="AM131" i="4"/>
  <c r="AN131" i="4" s="1"/>
  <c r="AE131" i="4"/>
  <c r="AF131" i="4" s="1"/>
  <c r="W131" i="4"/>
  <c r="X131" i="4" s="1"/>
  <c r="O131" i="4"/>
  <c r="P131" i="4" s="1"/>
  <c r="ER121" i="4"/>
  <c r="ES121" i="4" s="1"/>
  <c r="CA121" i="4"/>
  <c r="ER106" i="4"/>
  <c r="ES106" i="4" s="1"/>
  <c r="CA106" i="4"/>
  <c r="DO85" i="4"/>
  <c r="DP85" i="4" s="1"/>
  <c r="CG85" i="4"/>
  <c r="CH85" i="4" s="1"/>
  <c r="CO85" i="4"/>
  <c r="CP85" i="4" s="1"/>
  <c r="CW85" i="4"/>
  <c r="CX85" i="4" s="1"/>
  <c r="DE85" i="4"/>
  <c r="DF85" i="4" s="1"/>
  <c r="DM85" i="4"/>
  <c r="DN85" i="4" s="1"/>
  <c r="CE85" i="4"/>
  <c r="CF85" i="4" s="1"/>
  <c r="CM85" i="4"/>
  <c r="CN85" i="4" s="1"/>
  <c r="CU85" i="4"/>
  <c r="CV85" i="4" s="1"/>
  <c r="DC85" i="4"/>
  <c r="DD85" i="4" s="1"/>
  <c r="DK85" i="4"/>
  <c r="DL85" i="4" s="1"/>
  <c r="CK85" i="4"/>
  <c r="CL85" i="4" s="1"/>
  <c r="DA85" i="4"/>
  <c r="DB85" i="4" s="1"/>
  <c r="DQ85" i="4"/>
  <c r="DR85" i="4" s="1"/>
  <c r="CB85" i="4"/>
  <c r="CI85" i="4"/>
  <c r="CJ85" i="4" s="1"/>
  <c r="CY85" i="4"/>
  <c r="CZ85" i="4" s="1"/>
  <c r="CQ85" i="4"/>
  <c r="CR85" i="4" s="1"/>
  <c r="DG85" i="4"/>
  <c r="DH85" i="4" s="1"/>
  <c r="DI85" i="4"/>
  <c r="DJ85" i="4" s="1"/>
  <c r="CS85" i="4"/>
  <c r="CT85" i="4" s="1"/>
  <c r="CC85" i="4"/>
  <c r="CD85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AS132" i="4"/>
  <c r="AT132" i="4" s="1"/>
  <c r="AC132" i="4"/>
  <c r="AD132" i="4" s="1"/>
  <c r="M132" i="4"/>
  <c r="N132" i="4" s="1"/>
  <c r="AW132" i="4"/>
  <c r="AX132" i="4" s="1"/>
  <c r="AG132" i="4"/>
  <c r="AH132" i="4" s="1"/>
  <c r="Q132" i="4"/>
  <c r="R132" i="4" s="1"/>
  <c r="AK132" i="4"/>
  <c r="AL132" i="4" s="1"/>
  <c r="AO132" i="4"/>
  <c r="AP132" i="4" s="1"/>
  <c r="J132" i="4"/>
  <c r="Y132" i="4"/>
  <c r="Z132" i="4" s="1"/>
  <c r="U132" i="4"/>
  <c r="V132" i="4" s="1"/>
  <c r="ER107" i="4"/>
  <c r="ES107" i="4" s="1"/>
  <c r="CA107" i="4"/>
  <c r="GE64" i="4"/>
  <c r="GF64" i="4" s="1"/>
  <c r="FW64" i="4"/>
  <c r="FX64" i="4" s="1"/>
  <c r="FO64" i="4"/>
  <c r="FP64" i="4" s="1"/>
  <c r="FG64" i="4"/>
  <c r="FH64" i="4" s="1"/>
  <c r="EY64" i="4"/>
  <c r="EZ64" i="4" s="1"/>
  <c r="GG64" i="4"/>
  <c r="GH64" i="4" s="1"/>
  <c r="FY64" i="4"/>
  <c r="FZ64" i="4" s="1"/>
  <c r="FQ64" i="4"/>
  <c r="FR64" i="4" s="1"/>
  <c r="FI64" i="4"/>
  <c r="FJ64" i="4" s="1"/>
  <c r="FA64" i="4"/>
  <c r="FB64" i="4" s="1"/>
  <c r="ET64" i="4"/>
  <c r="FK64" i="4"/>
  <c r="FL64" i="4" s="1"/>
  <c r="FU64" i="4"/>
  <c r="FV64" i="4" s="1"/>
  <c r="GI64" i="4"/>
  <c r="GJ64" i="4" s="1"/>
  <c r="FC64" i="4"/>
  <c r="FD64" i="4" s="1"/>
  <c r="FM64" i="4"/>
  <c r="FN64" i="4" s="1"/>
  <c r="FS64" i="4"/>
  <c r="FT64" i="4" s="1"/>
  <c r="GC64" i="4"/>
  <c r="GD64" i="4" s="1"/>
  <c r="EW64" i="4"/>
  <c r="EX64" i="4" s="1"/>
  <c r="EU64" i="4"/>
  <c r="EV64" i="4" s="1"/>
  <c r="FE64" i="4"/>
  <c r="FF64" i="4" s="1"/>
  <c r="GA64" i="4"/>
  <c r="GB64" i="4" s="1"/>
  <c r="GI72" i="4"/>
  <c r="GJ72" i="4" s="1"/>
  <c r="GA72" i="4"/>
  <c r="GB72" i="4" s="1"/>
  <c r="FS72" i="4"/>
  <c r="FT72" i="4" s="1"/>
  <c r="FK72" i="4"/>
  <c r="FL72" i="4" s="1"/>
  <c r="FC72" i="4"/>
  <c r="FD72" i="4" s="1"/>
  <c r="EU72" i="4"/>
  <c r="EV72" i="4" s="1"/>
  <c r="GC72" i="4"/>
  <c r="GD72" i="4" s="1"/>
  <c r="FU72" i="4"/>
  <c r="FV72" i="4" s="1"/>
  <c r="FM72" i="4"/>
  <c r="FN72" i="4" s="1"/>
  <c r="FE72" i="4"/>
  <c r="FF72" i="4" s="1"/>
  <c r="EW72" i="4"/>
  <c r="EX72" i="4" s="1"/>
  <c r="GE72" i="4"/>
  <c r="GF72" i="4" s="1"/>
  <c r="FW72" i="4"/>
  <c r="FX72" i="4" s="1"/>
  <c r="FO72" i="4"/>
  <c r="FP72" i="4" s="1"/>
  <c r="FG72" i="4"/>
  <c r="FH72" i="4" s="1"/>
  <c r="EY72" i="4"/>
  <c r="EZ72" i="4" s="1"/>
  <c r="GG72" i="4"/>
  <c r="GH72" i="4" s="1"/>
  <c r="FY72" i="4"/>
  <c r="FZ72" i="4" s="1"/>
  <c r="FQ72" i="4"/>
  <c r="FR72" i="4" s="1"/>
  <c r="FI72" i="4"/>
  <c r="FJ72" i="4" s="1"/>
  <c r="FA72" i="4"/>
  <c r="FB72" i="4" s="1"/>
  <c r="ET72" i="4"/>
  <c r="AW80" i="4"/>
  <c r="AX80" i="4" s="1"/>
  <c r="AU80" i="4"/>
  <c r="AV80" i="4" s="1"/>
  <c r="AQ80" i="4"/>
  <c r="AR80" i="4" s="1"/>
  <c r="AK80" i="4"/>
  <c r="AL80" i="4" s="1"/>
  <c r="AE80" i="4"/>
  <c r="AF80" i="4" s="1"/>
  <c r="AA80" i="4"/>
  <c r="AB80" i="4" s="1"/>
  <c r="U80" i="4"/>
  <c r="V80" i="4" s="1"/>
  <c r="O80" i="4"/>
  <c r="P80" i="4" s="1"/>
  <c r="K80" i="4"/>
  <c r="L80" i="4" s="1"/>
  <c r="AO80" i="4"/>
  <c r="AP80" i="4" s="1"/>
  <c r="AC80" i="4"/>
  <c r="AD80" i="4" s="1"/>
  <c r="S80" i="4"/>
  <c r="T80" i="4" s="1"/>
  <c r="J80" i="4"/>
  <c r="AY80" i="4"/>
  <c r="AZ80" i="4" s="1"/>
  <c r="M80" i="4"/>
  <c r="N80" i="4" s="1"/>
  <c r="AS80" i="4"/>
  <c r="AT80" i="4" s="1"/>
  <c r="Y80" i="4"/>
  <c r="Z80" i="4" s="1"/>
  <c r="AI80" i="4"/>
  <c r="AJ80" i="4" s="1"/>
  <c r="W80" i="4"/>
  <c r="X80" i="4" s="1"/>
  <c r="AM80" i="4"/>
  <c r="AN80" i="4" s="1"/>
  <c r="Q80" i="4"/>
  <c r="R80" i="4" s="1"/>
  <c r="AG80" i="4"/>
  <c r="AH80" i="4" s="1"/>
  <c r="DO110" i="4"/>
  <c r="DP110" i="4" s="1"/>
  <c r="CI110" i="4"/>
  <c r="CJ110" i="4" s="1"/>
  <c r="CQ110" i="4"/>
  <c r="CR110" i="4" s="1"/>
  <c r="CY110" i="4"/>
  <c r="CZ110" i="4" s="1"/>
  <c r="DG110" i="4"/>
  <c r="DH110" i="4" s="1"/>
  <c r="CC110" i="4"/>
  <c r="CD110" i="4" s="1"/>
  <c r="CK110" i="4"/>
  <c r="CL110" i="4" s="1"/>
  <c r="CS110" i="4"/>
  <c r="CT110" i="4" s="1"/>
  <c r="DA110" i="4"/>
  <c r="DB110" i="4" s="1"/>
  <c r="DI110" i="4"/>
  <c r="DJ110" i="4" s="1"/>
  <c r="DQ110" i="4"/>
  <c r="DR110" i="4" s="1"/>
  <c r="CB110" i="4"/>
  <c r="CG110" i="4"/>
  <c r="CH110" i="4" s="1"/>
  <c r="CO110" i="4"/>
  <c r="CP110" i="4" s="1"/>
  <c r="CW110" i="4"/>
  <c r="CX110" i="4" s="1"/>
  <c r="DE110" i="4"/>
  <c r="DF110" i="4" s="1"/>
  <c r="DM110" i="4"/>
  <c r="DN110" i="4" s="1"/>
  <c r="CU110" i="4"/>
  <c r="CV110" i="4" s="1"/>
  <c r="DC110" i="4"/>
  <c r="DD110" i="4" s="1"/>
  <c r="CM110" i="4"/>
  <c r="CN110" i="4" s="1"/>
  <c r="DK110" i="4"/>
  <c r="DL110" i="4" s="1"/>
  <c r="CE110" i="4"/>
  <c r="CF110" i="4" s="1"/>
  <c r="ER19" i="4"/>
  <c r="CA19" i="4"/>
  <c r="CW119" i="4"/>
  <c r="CX119" i="4" s="1"/>
  <c r="CG119" i="4"/>
  <c r="CH119" i="4" s="1"/>
  <c r="DM119" i="4"/>
  <c r="DN119" i="4" s="1"/>
  <c r="DK119" i="4"/>
  <c r="DL119" i="4" s="1"/>
  <c r="DC119" i="4"/>
  <c r="DD119" i="4" s="1"/>
  <c r="CU119" i="4"/>
  <c r="CV119" i="4" s="1"/>
  <c r="CM119" i="4"/>
  <c r="CN119" i="4" s="1"/>
  <c r="CE119" i="4"/>
  <c r="CF119" i="4" s="1"/>
  <c r="DA119" i="4"/>
  <c r="DB119" i="4" s="1"/>
  <c r="DE119" i="4"/>
  <c r="DF119" i="4" s="1"/>
  <c r="DI119" i="4"/>
  <c r="DJ119" i="4" s="1"/>
  <c r="CC119" i="4"/>
  <c r="CD119" i="4" s="1"/>
  <c r="DQ119" i="4"/>
  <c r="DR119" i="4" s="1"/>
  <c r="CK119" i="4"/>
  <c r="CL119" i="4" s="1"/>
  <c r="CO119" i="4"/>
  <c r="CP119" i="4" s="1"/>
  <c r="CS119" i="4"/>
  <c r="CT119" i="4" s="1"/>
  <c r="CQ119" i="4"/>
  <c r="CR119" i="4" s="1"/>
  <c r="DO119" i="4"/>
  <c r="DP119" i="4" s="1"/>
  <c r="CI119" i="4"/>
  <c r="CJ119" i="4" s="1"/>
  <c r="CY119" i="4"/>
  <c r="CZ119" i="4" s="1"/>
  <c r="DG119" i="4"/>
  <c r="DH119" i="4" s="1"/>
  <c r="CB119" i="4"/>
  <c r="GG40" i="4"/>
  <c r="GH40" i="4" s="1"/>
  <c r="FY40" i="4"/>
  <c r="FZ40" i="4" s="1"/>
  <c r="FQ40" i="4"/>
  <c r="FR40" i="4" s="1"/>
  <c r="FI40" i="4"/>
  <c r="FJ40" i="4" s="1"/>
  <c r="FA40" i="4"/>
  <c r="FB40" i="4" s="1"/>
  <c r="ET40" i="4"/>
  <c r="GI40" i="4"/>
  <c r="GJ40" i="4" s="1"/>
  <c r="GA40" i="4"/>
  <c r="GB40" i="4" s="1"/>
  <c r="FS40" i="4"/>
  <c r="FT40" i="4" s="1"/>
  <c r="FK40" i="4"/>
  <c r="FL40" i="4" s="1"/>
  <c r="FC40" i="4"/>
  <c r="FD40" i="4" s="1"/>
  <c r="EU40" i="4"/>
  <c r="EV40" i="4" s="1"/>
  <c r="GE40" i="4"/>
  <c r="GF40" i="4" s="1"/>
  <c r="FW40" i="4"/>
  <c r="FX40" i="4" s="1"/>
  <c r="FO40" i="4"/>
  <c r="FP40" i="4" s="1"/>
  <c r="FG40" i="4"/>
  <c r="FH40" i="4" s="1"/>
  <c r="EY40" i="4"/>
  <c r="EZ40" i="4" s="1"/>
  <c r="FU40" i="4"/>
  <c r="FV40" i="4" s="1"/>
  <c r="FM40" i="4"/>
  <c r="FN40" i="4" s="1"/>
  <c r="GC40" i="4"/>
  <c r="GD40" i="4" s="1"/>
  <c r="EW40" i="4"/>
  <c r="EX40" i="4" s="1"/>
  <c r="FE40" i="4"/>
  <c r="FF40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I138" i="4"/>
  <c r="DJ138" i="4" s="1"/>
  <c r="DA138" i="4"/>
  <c r="DB138" i="4" s="1"/>
  <c r="CS138" i="4"/>
  <c r="CT138" i="4" s="1"/>
  <c r="CK138" i="4"/>
  <c r="CL138" i="4" s="1"/>
  <c r="CC138" i="4"/>
  <c r="CD138" i="4" s="1"/>
  <c r="CW138" i="4"/>
  <c r="CX138" i="4" s="1"/>
  <c r="DE138" i="4"/>
  <c r="DF138" i="4" s="1"/>
  <c r="CG138" i="4"/>
  <c r="CH138" i="4" s="1"/>
  <c r="CO138" i="4"/>
  <c r="CP138" i="4" s="1"/>
  <c r="DM138" i="4"/>
  <c r="DN138" i="4" s="1"/>
  <c r="AS137" i="4"/>
  <c r="AT137" i="4" s="1"/>
  <c r="AK137" i="4"/>
  <c r="AL137" i="4" s="1"/>
  <c r="AC137" i="4"/>
  <c r="AD137" i="4" s="1"/>
  <c r="U137" i="4"/>
  <c r="V137" i="4" s="1"/>
  <c r="M137" i="4"/>
  <c r="N137" i="4" s="1"/>
  <c r="AW137" i="4"/>
  <c r="AX137" i="4" s="1"/>
  <c r="AG137" i="4"/>
  <c r="AH137" i="4" s="1"/>
  <c r="Q137" i="4"/>
  <c r="R137" i="4" s="1"/>
  <c r="J137" i="4"/>
  <c r="Y137" i="4"/>
  <c r="Z137" i="4" s="1"/>
  <c r="AO137" i="4"/>
  <c r="AP137" i="4" s="1"/>
  <c r="AY137" i="4"/>
  <c r="AZ137" i="4" s="1"/>
  <c r="AQ137" i="4"/>
  <c r="AR137" i="4" s="1"/>
  <c r="AI137" i="4"/>
  <c r="AJ137" i="4" s="1"/>
  <c r="AA137" i="4"/>
  <c r="AB137" i="4" s="1"/>
  <c r="S137" i="4"/>
  <c r="T137" i="4" s="1"/>
  <c r="K137" i="4"/>
  <c r="L137" i="4" s="1"/>
  <c r="AU137" i="4"/>
  <c r="AV137" i="4" s="1"/>
  <c r="O137" i="4"/>
  <c r="P137" i="4" s="1"/>
  <c r="AM137" i="4"/>
  <c r="AN137" i="4" s="1"/>
  <c r="W137" i="4"/>
  <c r="X137" i="4" s="1"/>
  <c r="AE137" i="4"/>
  <c r="AF137" i="4" s="1"/>
  <c r="AY106" i="4"/>
  <c r="AZ106" i="4" s="1"/>
  <c r="AQ106" i="4"/>
  <c r="AR106" i="4" s="1"/>
  <c r="AE106" i="4"/>
  <c r="AF106" i="4" s="1"/>
  <c r="S106" i="4"/>
  <c r="T106" i="4" s="1"/>
  <c r="K106" i="4"/>
  <c r="L106" i="4" s="1"/>
  <c r="AM106" i="4"/>
  <c r="AN106" i="4" s="1"/>
  <c r="AI106" i="4"/>
  <c r="AJ106" i="4" s="1"/>
  <c r="O106" i="4"/>
  <c r="P106" i="4" s="1"/>
  <c r="AA106" i="4"/>
  <c r="AB106" i="4" s="1"/>
  <c r="AU106" i="4"/>
  <c r="AV106" i="4" s="1"/>
  <c r="AW106" i="4"/>
  <c r="AX106" i="4" s="1"/>
  <c r="AO106" i="4"/>
  <c r="AP106" i="4" s="1"/>
  <c r="AG106" i="4"/>
  <c r="AH106" i="4" s="1"/>
  <c r="Y106" i="4"/>
  <c r="Z106" i="4" s="1"/>
  <c r="Q106" i="4"/>
  <c r="R106" i="4" s="1"/>
  <c r="J106" i="4"/>
  <c r="W106" i="4"/>
  <c r="X106" i="4" s="1"/>
  <c r="U106" i="4"/>
  <c r="V106" i="4" s="1"/>
  <c r="AC106" i="4"/>
  <c r="AD106" i="4" s="1"/>
  <c r="AS106" i="4"/>
  <c r="AT106" i="4" s="1"/>
  <c r="M106" i="4"/>
  <c r="N106" i="4" s="1"/>
  <c r="AK106" i="4"/>
  <c r="AL106" i="4" s="1"/>
  <c r="AU125" i="4"/>
  <c r="AV125" i="4" s="1"/>
  <c r="AS125" i="4"/>
  <c r="AT125" i="4" s="1"/>
  <c r="AM125" i="4"/>
  <c r="AN125" i="4" s="1"/>
  <c r="AE125" i="4"/>
  <c r="AF125" i="4" s="1"/>
  <c r="U125" i="4"/>
  <c r="V125" i="4" s="1"/>
  <c r="M125" i="4"/>
  <c r="N125" i="4" s="1"/>
  <c r="AW125" i="4"/>
  <c r="AX125" i="4" s="1"/>
  <c r="AI125" i="4"/>
  <c r="AJ125" i="4" s="1"/>
  <c r="Q125" i="4"/>
  <c r="R125" i="4" s="1"/>
  <c r="AA125" i="4"/>
  <c r="AB125" i="4" s="1"/>
  <c r="AO125" i="4"/>
  <c r="AP125" i="4" s="1"/>
  <c r="S125" i="4"/>
  <c r="T125" i="4" s="1"/>
  <c r="AG125" i="4"/>
  <c r="AH125" i="4" s="1"/>
  <c r="O125" i="4"/>
  <c r="P125" i="4" s="1"/>
  <c r="AC125" i="4"/>
  <c r="AD125" i="4" s="1"/>
  <c r="AQ125" i="4"/>
  <c r="AR125" i="4" s="1"/>
  <c r="J125" i="4"/>
  <c r="W125" i="4"/>
  <c r="X125" i="4" s="1"/>
  <c r="AK125" i="4"/>
  <c r="AL125" i="4" s="1"/>
  <c r="AY125" i="4"/>
  <c r="AZ125" i="4" s="1"/>
  <c r="Y125" i="4"/>
  <c r="Z125" i="4" s="1"/>
  <c r="K125" i="4"/>
  <c r="L125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M99" i="4"/>
  <c r="N99" i="4" s="1"/>
  <c r="J99" i="4"/>
  <c r="AY99" i="4"/>
  <c r="AZ99" i="4" s="1"/>
  <c r="AQ99" i="4"/>
  <c r="AR99" i="4" s="1"/>
  <c r="AI99" i="4"/>
  <c r="AJ99" i="4" s="1"/>
  <c r="AA99" i="4"/>
  <c r="AB99" i="4" s="1"/>
  <c r="S99" i="4"/>
  <c r="T99" i="4" s="1"/>
  <c r="K99" i="4"/>
  <c r="L99" i="4" s="1"/>
  <c r="AU99" i="4"/>
  <c r="AV99" i="4" s="1"/>
  <c r="AM99" i="4"/>
  <c r="AN99" i="4" s="1"/>
  <c r="AE99" i="4"/>
  <c r="AF99" i="4" s="1"/>
  <c r="W99" i="4"/>
  <c r="X99" i="4" s="1"/>
  <c r="O99" i="4"/>
  <c r="P99" i="4" s="1"/>
  <c r="AU81" i="4"/>
  <c r="AV81" i="4" s="1"/>
  <c r="AM81" i="4"/>
  <c r="AN81" i="4" s="1"/>
  <c r="AE81" i="4"/>
  <c r="AF81" i="4" s="1"/>
  <c r="W81" i="4"/>
  <c r="X81" i="4" s="1"/>
  <c r="O81" i="4"/>
  <c r="P81" i="4" s="1"/>
  <c r="AW81" i="4"/>
  <c r="AX81" i="4" s="1"/>
  <c r="AO81" i="4"/>
  <c r="AP81" i="4" s="1"/>
  <c r="AG81" i="4"/>
  <c r="AH81" i="4" s="1"/>
  <c r="Y81" i="4"/>
  <c r="Z81" i="4" s="1"/>
  <c r="Q81" i="4"/>
  <c r="R81" i="4" s="1"/>
  <c r="J81" i="4"/>
  <c r="AY81" i="4"/>
  <c r="AZ81" i="4" s="1"/>
  <c r="AI81" i="4"/>
  <c r="AJ81" i="4" s="1"/>
  <c r="S81" i="4"/>
  <c r="T81" i="4" s="1"/>
  <c r="AS81" i="4"/>
  <c r="AT81" i="4" s="1"/>
  <c r="AC81" i="4"/>
  <c r="AD81" i="4" s="1"/>
  <c r="M81" i="4"/>
  <c r="N81" i="4" s="1"/>
  <c r="AQ81" i="4"/>
  <c r="AR81" i="4" s="1"/>
  <c r="AA81" i="4"/>
  <c r="AB81" i="4" s="1"/>
  <c r="K81" i="4"/>
  <c r="L81" i="4" s="1"/>
  <c r="AK81" i="4"/>
  <c r="AL81" i="4" s="1"/>
  <c r="U81" i="4"/>
  <c r="V81" i="4" s="1"/>
  <c r="DQ70" i="4"/>
  <c r="DR70" i="4" s="1"/>
  <c r="DI70" i="4"/>
  <c r="DJ70" i="4" s="1"/>
  <c r="DA70" i="4"/>
  <c r="DB70" i="4" s="1"/>
  <c r="CS70" i="4"/>
  <c r="CT70" i="4" s="1"/>
  <c r="CK70" i="4"/>
  <c r="CL70" i="4" s="1"/>
  <c r="CC70" i="4"/>
  <c r="CD70" i="4" s="1"/>
  <c r="DK70" i="4"/>
  <c r="DL70" i="4" s="1"/>
  <c r="DC70" i="4"/>
  <c r="DD70" i="4" s="1"/>
  <c r="CU70" i="4"/>
  <c r="CV70" i="4" s="1"/>
  <c r="CM70" i="4"/>
  <c r="CN70" i="4" s="1"/>
  <c r="CE70" i="4"/>
  <c r="CF70" i="4" s="1"/>
  <c r="DM70" i="4"/>
  <c r="DN70" i="4" s="1"/>
  <c r="DE70" i="4"/>
  <c r="DF70" i="4" s="1"/>
  <c r="CW70" i="4"/>
  <c r="CX70" i="4" s="1"/>
  <c r="CO70" i="4"/>
  <c r="CP70" i="4" s="1"/>
  <c r="CG70" i="4"/>
  <c r="CH70" i="4" s="1"/>
  <c r="DO70" i="4"/>
  <c r="DP70" i="4" s="1"/>
  <c r="DG70" i="4"/>
  <c r="DH70" i="4" s="1"/>
  <c r="CY70" i="4"/>
  <c r="CZ70" i="4" s="1"/>
  <c r="CQ70" i="4"/>
  <c r="CR70" i="4" s="1"/>
  <c r="CI70" i="4"/>
  <c r="CJ70" i="4" s="1"/>
  <c r="CB70" i="4"/>
  <c r="GI110" i="4"/>
  <c r="GJ110" i="4" s="1"/>
  <c r="GA110" i="4"/>
  <c r="GB110" i="4" s="1"/>
  <c r="FS110" i="4"/>
  <c r="FT110" i="4" s="1"/>
  <c r="FK110" i="4"/>
  <c r="FL110" i="4" s="1"/>
  <c r="FC110" i="4"/>
  <c r="FD110" i="4" s="1"/>
  <c r="EU110" i="4"/>
  <c r="EV110" i="4" s="1"/>
  <c r="GC110" i="4"/>
  <c r="GD110" i="4" s="1"/>
  <c r="FU110" i="4"/>
  <c r="FV110" i="4" s="1"/>
  <c r="FM110" i="4"/>
  <c r="FN110" i="4" s="1"/>
  <c r="FE110" i="4"/>
  <c r="FF110" i="4" s="1"/>
  <c r="EW110" i="4"/>
  <c r="EX110" i="4" s="1"/>
  <c r="FW110" i="4"/>
  <c r="FX110" i="4" s="1"/>
  <c r="FG110" i="4"/>
  <c r="FH110" i="4" s="1"/>
  <c r="GG110" i="4"/>
  <c r="GH110" i="4" s="1"/>
  <c r="FQ110" i="4"/>
  <c r="FR110" i="4" s="1"/>
  <c r="FA110" i="4"/>
  <c r="FB110" i="4" s="1"/>
  <c r="FO110" i="4"/>
  <c r="FP110" i="4" s="1"/>
  <c r="ET110" i="4"/>
  <c r="EY110" i="4"/>
  <c r="EZ110" i="4" s="1"/>
  <c r="GE110" i="4"/>
  <c r="GF110" i="4" s="1"/>
  <c r="FI110" i="4"/>
  <c r="FJ110" i="4" s="1"/>
  <c r="FY110" i="4"/>
  <c r="FZ110" i="4" s="1"/>
  <c r="AS23" i="4"/>
  <c r="AT23" i="4" s="1"/>
  <c r="AK23" i="4"/>
  <c r="AL23" i="4" s="1"/>
  <c r="AC23" i="4"/>
  <c r="AD23" i="4" s="1"/>
  <c r="U23" i="4"/>
  <c r="V23" i="4" s="1"/>
  <c r="M23" i="4"/>
  <c r="N23" i="4" s="1"/>
  <c r="AU23" i="4"/>
  <c r="AV23" i="4" s="1"/>
  <c r="AM23" i="4"/>
  <c r="AN23" i="4" s="1"/>
  <c r="AE23" i="4"/>
  <c r="AF23" i="4" s="1"/>
  <c r="W23" i="4"/>
  <c r="X23" i="4" s="1"/>
  <c r="O23" i="4"/>
  <c r="P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O23" i="4"/>
  <c r="AP23" i="4" s="1"/>
  <c r="J23" i="4"/>
  <c r="AG23" i="4"/>
  <c r="AH23" i="4" s="1"/>
  <c r="Y23" i="4"/>
  <c r="Z23" i="4" s="1"/>
  <c r="AW23" i="4"/>
  <c r="AX23" i="4" s="1"/>
  <c r="Q23" i="4"/>
  <c r="R23" i="4" s="1"/>
  <c r="FM75" i="4"/>
  <c r="FN75" i="4" s="1"/>
  <c r="FI75" i="4"/>
  <c r="FJ75" i="4" s="1"/>
  <c r="ET75" i="4"/>
  <c r="FQ75" i="4"/>
  <c r="FR75" i="4" s="1"/>
  <c r="FA75" i="4"/>
  <c r="FB75" i="4" s="1"/>
  <c r="GI75" i="4"/>
  <c r="GJ75" i="4" s="1"/>
  <c r="GA75" i="4"/>
  <c r="GB75" i="4" s="1"/>
  <c r="FY75" i="4"/>
  <c r="FZ75" i="4" s="1"/>
  <c r="FS75" i="4"/>
  <c r="FT75" i="4" s="1"/>
  <c r="FK75" i="4"/>
  <c r="FL75" i="4" s="1"/>
  <c r="FC75" i="4"/>
  <c r="FD75" i="4" s="1"/>
  <c r="EU75" i="4"/>
  <c r="EV75" i="4" s="1"/>
  <c r="FU75" i="4"/>
  <c r="FV75" i="4" s="1"/>
  <c r="EW75" i="4"/>
  <c r="EX75" i="4" s="1"/>
  <c r="FO75" i="4"/>
  <c r="FP75" i="4" s="1"/>
  <c r="GE75" i="4"/>
  <c r="GF75" i="4" s="1"/>
  <c r="FG75" i="4"/>
  <c r="FH75" i="4" s="1"/>
  <c r="FE75" i="4"/>
  <c r="FF75" i="4" s="1"/>
  <c r="GC75" i="4"/>
  <c r="GD75" i="4" s="1"/>
  <c r="GG75" i="4"/>
  <c r="GH75" i="4" s="1"/>
  <c r="EY75" i="4"/>
  <c r="EZ75" i="4" s="1"/>
  <c r="FW75" i="4"/>
  <c r="FX75" i="4" s="1"/>
  <c r="CA125" i="4"/>
  <c r="ER125" i="4"/>
  <c r="ES125" i="4" s="1"/>
  <c r="ER99" i="4"/>
  <c r="ES99" i="4" s="1"/>
  <c r="CA99" i="4"/>
  <c r="ER79" i="4"/>
  <c r="ES79" i="4" s="1"/>
  <c r="CA79" i="4"/>
  <c r="GI122" i="4"/>
  <c r="GJ122" i="4" s="1"/>
  <c r="FC122" i="4"/>
  <c r="FD122" i="4" s="1"/>
  <c r="FS122" i="4"/>
  <c r="FT122" i="4" s="1"/>
  <c r="GG122" i="4"/>
  <c r="GH122" i="4" s="1"/>
  <c r="FY122" i="4"/>
  <c r="FZ122" i="4" s="1"/>
  <c r="FQ122" i="4"/>
  <c r="FR122" i="4" s="1"/>
  <c r="FI122" i="4"/>
  <c r="FJ122" i="4" s="1"/>
  <c r="FA122" i="4"/>
  <c r="FB122" i="4" s="1"/>
  <c r="ET122" i="4"/>
  <c r="FW122" i="4"/>
  <c r="FX122" i="4" s="1"/>
  <c r="GA122" i="4"/>
  <c r="GB122" i="4" s="1"/>
  <c r="EU122" i="4"/>
  <c r="EV122" i="4" s="1"/>
  <c r="FO122" i="4"/>
  <c r="FP122" i="4" s="1"/>
  <c r="FG122" i="4"/>
  <c r="FH122" i="4" s="1"/>
  <c r="FK122" i="4"/>
  <c r="FL122" i="4" s="1"/>
  <c r="GE122" i="4"/>
  <c r="GF122" i="4" s="1"/>
  <c r="EY122" i="4"/>
  <c r="EZ122" i="4" s="1"/>
  <c r="FM122" i="4"/>
  <c r="FN122" i="4" s="1"/>
  <c r="FE122" i="4"/>
  <c r="FF122" i="4" s="1"/>
  <c r="FU122" i="4"/>
  <c r="FV122" i="4" s="1"/>
  <c r="GC122" i="4"/>
  <c r="GD122" i="4" s="1"/>
  <c r="EW122" i="4"/>
  <c r="EX122" i="4" s="1"/>
  <c r="AW98" i="4"/>
  <c r="AX98" i="4" s="1"/>
  <c r="M98" i="4"/>
  <c r="N98" i="4" s="1"/>
  <c r="U98" i="4"/>
  <c r="V98" i="4" s="1"/>
  <c r="AC98" i="4"/>
  <c r="AD98" i="4" s="1"/>
  <c r="AK98" i="4"/>
  <c r="AL98" i="4" s="1"/>
  <c r="AS98" i="4"/>
  <c r="AT98" i="4" s="1"/>
  <c r="O98" i="4"/>
  <c r="P98" i="4" s="1"/>
  <c r="AA98" i="4"/>
  <c r="AB98" i="4" s="1"/>
  <c r="AU98" i="4"/>
  <c r="AV98" i="4" s="1"/>
  <c r="Q98" i="4"/>
  <c r="R98" i="4" s="1"/>
  <c r="S98" i="4"/>
  <c r="T98" i="4" s="1"/>
  <c r="AM98" i="4"/>
  <c r="AN98" i="4" s="1"/>
  <c r="AY98" i="4"/>
  <c r="AZ98" i="4" s="1"/>
  <c r="AO98" i="4"/>
  <c r="AP98" i="4" s="1"/>
  <c r="W98" i="4"/>
  <c r="X98" i="4" s="1"/>
  <c r="AI98" i="4"/>
  <c r="AJ98" i="4" s="1"/>
  <c r="Y98" i="4"/>
  <c r="Z98" i="4" s="1"/>
  <c r="K98" i="4"/>
  <c r="L98" i="4" s="1"/>
  <c r="AG98" i="4"/>
  <c r="AH98" i="4" s="1"/>
  <c r="AQ98" i="4"/>
  <c r="AR98" i="4" s="1"/>
  <c r="AE98" i="4"/>
  <c r="AF98" i="4" s="1"/>
  <c r="J98" i="4"/>
  <c r="CA117" i="4"/>
  <c r="ER117" i="4"/>
  <c r="ES117" i="4" s="1"/>
  <c r="FE94" i="4"/>
  <c r="FF94" i="4" s="1"/>
  <c r="FU94" i="4"/>
  <c r="FV94" i="4" s="1"/>
  <c r="FM94" i="4"/>
  <c r="FN94" i="4" s="1"/>
  <c r="GG94" i="4"/>
  <c r="GH94" i="4" s="1"/>
  <c r="FA94" i="4"/>
  <c r="FB94" i="4" s="1"/>
  <c r="GI94" i="4"/>
  <c r="GJ94" i="4" s="1"/>
  <c r="GA94" i="4"/>
  <c r="GB94" i="4" s="1"/>
  <c r="FS94" i="4"/>
  <c r="FT94" i="4" s="1"/>
  <c r="FK94" i="4"/>
  <c r="FL94" i="4" s="1"/>
  <c r="FC94" i="4"/>
  <c r="FD94" i="4" s="1"/>
  <c r="EU94" i="4"/>
  <c r="EV94" i="4" s="1"/>
  <c r="FI94" i="4"/>
  <c r="FJ94" i="4" s="1"/>
  <c r="FW94" i="4"/>
  <c r="FX94" i="4" s="1"/>
  <c r="FG94" i="4"/>
  <c r="FH94" i="4" s="1"/>
  <c r="FY94" i="4"/>
  <c r="FZ94" i="4" s="1"/>
  <c r="EW94" i="4"/>
  <c r="EX94" i="4" s="1"/>
  <c r="GC94" i="4"/>
  <c r="GD94" i="4" s="1"/>
  <c r="FQ94" i="4"/>
  <c r="FR94" i="4" s="1"/>
  <c r="GE94" i="4"/>
  <c r="GF94" i="4" s="1"/>
  <c r="FO94" i="4"/>
  <c r="FP94" i="4" s="1"/>
  <c r="ET94" i="4"/>
  <c r="EY94" i="4"/>
  <c r="EZ94" i="4" s="1"/>
  <c r="ER68" i="4"/>
  <c r="ES68" i="4" s="1"/>
  <c r="CA68" i="4"/>
  <c r="GI70" i="4"/>
  <c r="GJ70" i="4" s="1"/>
  <c r="GA70" i="4"/>
  <c r="GB70" i="4" s="1"/>
  <c r="FS70" i="4"/>
  <c r="FT70" i="4" s="1"/>
  <c r="FK70" i="4"/>
  <c r="FL70" i="4" s="1"/>
  <c r="FC70" i="4"/>
  <c r="FD70" i="4" s="1"/>
  <c r="EU70" i="4"/>
  <c r="EV70" i="4" s="1"/>
  <c r="GC70" i="4"/>
  <c r="GD70" i="4" s="1"/>
  <c r="FU70" i="4"/>
  <c r="FV70" i="4" s="1"/>
  <c r="FM70" i="4"/>
  <c r="FN70" i="4" s="1"/>
  <c r="FE70" i="4"/>
  <c r="FF70" i="4" s="1"/>
  <c r="EW70" i="4"/>
  <c r="EX70" i="4" s="1"/>
  <c r="GG70" i="4"/>
  <c r="GH70" i="4" s="1"/>
  <c r="FY70" i="4"/>
  <c r="FZ70" i="4" s="1"/>
  <c r="FQ70" i="4"/>
  <c r="FR70" i="4" s="1"/>
  <c r="FI70" i="4"/>
  <c r="FJ70" i="4" s="1"/>
  <c r="FA70" i="4"/>
  <c r="FB70" i="4" s="1"/>
  <c r="ET70" i="4"/>
  <c r="FO70" i="4"/>
  <c r="FP70" i="4" s="1"/>
  <c r="FG70" i="4"/>
  <c r="FH70" i="4" s="1"/>
  <c r="FW70" i="4"/>
  <c r="FX70" i="4" s="1"/>
  <c r="EY70" i="4"/>
  <c r="EZ70" i="4" s="1"/>
  <c r="GE70" i="4"/>
  <c r="GF70" i="4" s="1"/>
  <c r="ER104" i="4"/>
  <c r="ES104" i="4" s="1"/>
  <c r="CA104" i="4"/>
  <c r="AW83" i="4"/>
  <c r="AX83" i="4" s="1"/>
  <c r="M83" i="4"/>
  <c r="N83" i="4" s="1"/>
  <c r="U83" i="4"/>
  <c r="V83" i="4" s="1"/>
  <c r="AC83" i="4"/>
  <c r="AD83" i="4" s="1"/>
  <c r="AK83" i="4"/>
  <c r="AL83" i="4" s="1"/>
  <c r="AS83" i="4"/>
  <c r="AT83" i="4" s="1"/>
  <c r="K83" i="4"/>
  <c r="L83" i="4" s="1"/>
  <c r="S83" i="4"/>
  <c r="T83" i="4" s="1"/>
  <c r="AA83" i="4"/>
  <c r="AB83" i="4" s="1"/>
  <c r="AI83" i="4"/>
  <c r="AJ83" i="4" s="1"/>
  <c r="AQ83" i="4"/>
  <c r="AR83" i="4" s="1"/>
  <c r="AY83" i="4"/>
  <c r="AZ83" i="4" s="1"/>
  <c r="J83" i="4"/>
  <c r="Q83" i="4"/>
  <c r="R83" i="4" s="1"/>
  <c r="AG83" i="4"/>
  <c r="AH83" i="4" s="1"/>
  <c r="W83" i="4"/>
  <c r="X83" i="4" s="1"/>
  <c r="AM83" i="4"/>
  <c r="AN83" i="4" s="1"/>
  <c r="O83" i="4"/>
  <c r="P83" i="4" s="1"/>
  <c r="AE83" i="4"/>
  <c r="AF83" i="4" s="1"/>
  <c r="AU83" i="4"/>
  <c r="AV83" i="4" s="1"/>
  <c r="Y83" i="4"/>
  <c r="Z83" i="4" s="1"/>
  <c r="AO83" i="4"/>
  <c r="AP83" i="4" s="1"/>
  <c r="CA57" i="4"/>
  <c r="ER57" i="4"/>
  <c r="ES57" i="4" s="1"/>
  <c r="CA23" i="4"/>
  <c r="ER23" i="4"/>
  <c r="ES23" i="4" s="1"/>
  <c r="CC42" i="4"/>
  <c r="CD42" i="4" s="1"/>
  <c r="CK42" i="4"/>
  <c r="CL42" i="4" s="1"/>
  <c r="CS42" i="4"/>
  <c r="CT42" i="4" s="1"/>
  <c r="DA42" i="4"/>
  <c r="DB42" i="4" s="1"/>
  <c r="DI42" i="4"/>
  <c r="DJ42" i="4" s="1"/>
  <c r="DQ42" i="4"/>
  <c r="DR42" i="4" s="1"/>
  <c r="CE42" i="4"/>
  <c r="CF42" i="4" s="1"/>
  <c r="CM42" i="4"/>
  <c r="CN42" i="4" s="1"/>
  <c r="CU42" i="4"/>
  <c r="CV42" i="4" s="1"/>
  <c r="DC42" i="4"/>
  <c r="DD42" i="4" s="1"/>
  <c r="DK42" i="4"/>
  <c r="DL42" i="4" s="1"/>
  <c r="CB42" i="4"/>
  <c r="CG42" i="4"/>
  <c r="CH42" i="4" s="1"/>
  <c r="DM42" i="4"/>
  <c r="DN42" i="4" s="1"/>
  <c r="CY42" i="4"/>
  <c r="CZ42" i="4" s="1"/>
  <c r="CO42" i="4"/>
  <c r="CP42" i="4" s="1"/>
  <c r="DG42" i="4"/>
  <c r="DH42" i="4" s="1"/>
  <c r="DE42" i="4"/>
  <c r="DF42" i="4" s="1"/>
  <c r="CQ42" i="4"/>
  <c r="CR42" i="4" s="1"/>
  <c r="DO42" i="4"/>
  <c r="DP42" i="4" s="1"/>
  <c r="CW42" i="4"/>
  <c r="CX42" i="4" s="1"/>
  <c r="CI42" i="4"/>
  <c r="CJ42" i="4" s="1"/>
  <c r="ER34" i="4"/>
  <c r="ES34" i="4" s="1"/>
  <c r="CA34" i="4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DK152" i="4"/>
  <c r="DL152" i="4" s="1"/>
  <c r="DQ152" i="4"/>
  <c r="DR152" i="4" s="1"/>
  <c r="DM152" i="4"/>
  <c r="DN152" i="4" s="1"/>
  <c r="DG152" i="4"/>
  <c r="DH152" i="4" s="1"/>
  <c r="DA152" i="4"/>
  <c r="DB152" i="4" s="1"/>
  <c r="CW152" i="4"/>
  <c r="CX152" i="4" s="1"/>
  <c r="CQ152" i="4"/>
  <c r="CR152" i="4" s="1"/>
  <c r="CK152" i="4"/>
  <c r="CL152" i="4" s="1"/>
  <c r="CG152" i="4"/>
  <c r="CH152" i="4" s="1"/>
  <c r="CB152" i="4"/>
  <c r="DI152" i="4"/>
  <c r="DJ152" i="4" s="1"/>
  <c r="CY152" i="4"/>
  <c r="CZ152" i="4" s="1"/>
  <c r="CM152" i="4"/>
  <c r="CN152" i="4" s="1"/>
  <c r="CC152" i="4"/>
  <c r="CD152" i="4" s="1"/>
  <c r="DO152" i="4"/>
  <c r="DP152" i="4" s="1"/>
  <c r="CS152" i="4"/>
  <c r="CT152" i="4" s="1"/>
  <c r="CI152" i="4"/>
  <c r="CJ152" i="4" s="1"/>
  <c r="DC152" i="4"/>
  <c r="DD152" i="4" s="1"/>
  <c r="CE152" i="4"/>
  <c r="CF152" i="4" s="1"/>
  <c r="CU152" i="4"/>
  <c r="CV152" i="4" s="1"/>
  <c r="CO152" i="4"/>
  <c r="CP152" i="4" s="1"/>
  <c r="DE152" i="4"/>
  <c r="DF152" i="4" s="1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S120" i="4"/>
  <c r="AT120" i="4" s="1"/>
  <c r="AK120" i="4"/>
  <c r="AL120" i="4" s="1"/>
  <c r="AC120" i="4"/>
  <c r="AD120" i="4" s="1"/>
  <c r="U120" i="4"/>
  <c r="V120" i="4" s="1"/>
  <c r="M120" i="4"/>
  <c r="N120" i="4" s="1"/>
  <c r="AW120" i="4"/>
  <c r="AX120" i="4" s="1"/>
  <c r="AG120" i="4"/>
  <c r="AH120" i="4" s="1"/>
  <c r="Q120" i="4"/>
  <c r="R120" i="4" s="1"/>
  <c r="AO120" i="4"/>
  <c r="AP120" i="4" s="1"/>
  <c r="Y120" i="4"/>
  <c r="Z120" i="4" s="1"/>
  <c r="J120" i="4"/>
  <c r="ER132" i="4"/>
  <c r="ES132" i="4" s="1"/>
  <c r="CA132" i="4"/>
  <c r="DO46" i="4"/>
  <c r="DP46" i="4" s="1"/>
  <c r="CG46" i="4"/>
  <c r="CH46" i="4" s="1"/>
  <c r="CO46" i="4"/>
  <c r="CP46" i="4" s="1"/>
  <c r="CW46" i="4"/>
  <c r="CX46" i="4" s="1"/>
  <c r="DE46" i="4"/>
  <c r="DF46" i="4" s="1"/>
  <c r="DM46" i="4"/>
  <c r="DN46" i="4" s="1"/>
  <c r="CI46" i="4"/>
  <c r="CJ46" i="4" s="1"/>
  <c r="CQ46" i="4"/>
  <c r="CR46" i="4" s="1"/>
  <c r="CY46" i="4"/>
  <c r="CZ46" i="4" s="1"/>
  <c r="DG46" i="4"/>
  <c r="DH46" i="4" s="1"/>
  <c r="CC46" i="4"/>
  <c r="CD46" i="4" s="1"/>
  <c r="CK46" i="4"/>
  <c r="CL46" i="4" s="1"/>
  <c r="CS46" i="4"/>
  <c r="CT46" i="4" s="1"/>
  <c r="DA46" i="4"/>
  <c r="DB46" i="4" s="1"/>
  <c r="DI46" i="4"/>
  <c r="DJ46" i="4" s="1"/>
  <c r="DQ46" i="4"/>
  <c r="DR46" i="4" s="1"/>
  <c r="CE46" i="4"/>
  <c r="CF46" i="4" s="1"/>
  <c r="CM46" i="4"/>
  <c r="CN46" i="4" s="1"/>
  <c r="CU46" i="4"/>
  <c r="CV46" i="4" s="1"/>
  <c r="DC46" i="4"/>
  <c r="DD46" i="4" s="1"/>
  <c r="DK46" i="4"/>
  <c r="DL46" i="4" s="1"/>
  <c r="CB46" i="4"/>
  <c r="AW147" i="4"/>
  <c r="AX147" i="4" s="1"/>
  <c r="AM147" i="4"/>
  <c r="AN147" i="4" s="1"/>
  <c r="AE147" i="4"/>
  <c r="AF147" i="4" s="1"/>
  <c r="W147" i="4"/>
  <c r="X147" i="4" s="1"/>
  <c r="K147" i="4"/>
  <c r="L147" i="4" s="1"/>
  <c r="AK147" i="4"/>
  <c r="AL147" i="4" s="1"/>
  <c r="Q147" i="4"/>
  <c r="R147" i="4" s="1"/>
  <c r="AU147" i="4"/>
  <c r="AV147" i="4" s="1"/>
  <c r="Y147" i="4"/>
  <c r="Z147" i="4" s="1"/>
  <c r="AA147" i="4"/>
  <c r="AB147" i="4" s="1"/>
  <c r="AO147" i="4"/>
  <c r="AP147" i="4" s="1"/>
  <c r="O147" i="4"/>
  <c r="P147" i="4" s="1"/>
  <c r="AQ147" i="4"/>
  <c r="AR147" i="4" s="1"/>
  <c r="AY147" i="4"/>
  <c r="AZ147" i="4" s="1"/>
  <c r="AI147" i="4"/>
  <c r="AJ147" i="4" s="1"/>
  <c r="S147" i="4"/>
  <c r="T147" i="4" s="1"/>
  <c r="J147" i="4"/>
  <c r="U147" i="4"/>
  <c r="V147" i="4" s="1"/>
  <c r="AS147" i="4"/>
  <c r="AT147" i="4" s="1"/>
  <c r="AC147" i="4"/>
  <c r="AD147" i="4" s="1"/>
  <c r="M147" i="4"/>
  <c r="N147" i="4" s="1"/>
  <c r="AG147" i="4"/>
  <c r="AH147" i="4" s="1"/>
  <c r="CY122" i="4"/>
  <c r="CZ122" i="4" s="1"/>
  <c r="CM122" i="4"/>
  <c r="CN122" i="4" s="1"/>
  <c r="CB122" i="4"/>
  <c r="DG122" i="4"/>
  <c r="DH122" i="4" s="1"/>
  <c r="CI122" i="4"/>
  <c r="CJ122" i="4" s="1"/>
  <c r="DO122" i="4"/>
  <c r="DP122" i="4" s="1"/>
  <c r="CQ122" i="4"/>
  <c r="CR122" i="4" s="1"/>
  <c r="DK122" i="4"/>
  <c r="DL122" i="4" s="1"/>
  <c r="CE122" i="4"/>
  <c r="CF122" i="4" s="1"/>
  <c r="DQ122" i="4"/>
  <c r="DR122" i="4" s="1"/>
  <c r="DI122" i="4"/>
  <c r="DJ122" i="4" s="1"/>
  <c r="DA122" i="4"/>
  <c r="DB122" i="4" s="1"/>
  <c r="CS122" i="4"/>
  <c r="CT122" i="4" s="1"/>
  <c r="CK122" i="4"/>
  <c r="CL122" i="4" s="1"/>
  <c r="CC122" i="4"/>
  <c r="CD122" i="4" s="1"/>
  <c r="DM122" i="4"/>
  <c r="DN122" i="4" s="1"/>
  <c r="DE122" i="4"/>
  <c r="DF122" i="4" s="1"/>
  <c r="CW122" i="4"/>
  <c r="CX122" i="4" s="1"/>
  <c r="CO122" i="4"/>
  <c r="CP122" i="4" s="1"/>
  <c r="CG122" i="4"/>
  <c r="CH122" i="4" s="1"/>
  <c r="CU122" i="4"/>
  <c r="CV122" i="4" s="1"/>
  <c r="DC122" i="4"/>
  <c r="DD122" i="4" s="1"/>
  <c r="AY117" i="4"/>
  <c r="AZ117" i="4" s="1"/>
  <c r="AM117" i="4"/>
  <c r="AN117" i="4" s="1"/>
  <c r="W117" i="4"/>
  <c r="X117" i="4" s="1"/>
  <c r="AE117" i="4"/>
  <c r="AF117" i="4" s="1"/>
  <c r="AU117" i="4"/>
  <c r="AV117" i="4" s="1"/>
  <c r="O117" i="4"/>
  <c r="P117" i="4" s="1"/>
  <c r="AI117" i="4"/>
  <c r="AJ117" i="4" s="1"/>
  <c r="AS117" i="4"/>
  <c r="AT117" i="4" s="1"/>
  <c r="AK117" i="4"/>
  <c r="AL117" i="4" s="1"/>
  <c r="AC117" i="4"/>
  <c r="AD117" i="4" s="1"/>
  <c r="U117" i="4"/>
  <c r="V117" i="4" s="1"/>
  <c r="M117" i="4"/>
  <c r="N117" i="4" s="1"/>
  <c r="AA117" i="4"/>
  <c r="AB117" i="4" s="1"/>
  <c r="AW117" i="4"/>
  <c r="AX117" i="4" s="1"/>
  <c r="AO117" i="4"/>
  <c r="AP117" i="4" s="1"/>
  <c r="AG117" i="4"/>
  <c r="AH117" i="4" s="1"/>
  <c r="Y117" i="4"/>
  <c r="Z117" i="4" s="1"/>
  <c r="Q117" i="4"/>
  <c r="R117" i="4" s="1"/>
  <c r="J117" i="4"/>
  <c r="K117" i="4"/>
  <c r="L117" i="4" s="1"/>
  <c r="AQ117" i="4"/>
  <c r="AR117" i="4" s="1"/>
  <c r="S117" i="4"/>
  <c r="T117" i="4" s="1"/>
  <c r="CW94" i="4"/>
  <c r="CX94" i="4" s="1"/>
  <c r="DK94" i="4"/>
  <c r="DL94" i="4" s="1"/>
  <c r="DC94" i="4"/>
  <c r="DD94" i="4" s="1"/>
  <c r="CU94" i="4"/>
  <c r="CV94" i="4" s="1"/>
  <c r="CM94" i="4"/>
  <c r="CN94" i="4" s="1"/>
  <c r="CE94" i="4"/>
  <c r="CF94" i="4" s="1"/>
  <c r="DA94" i="4"/>
  <c r="DB94" i="4" s="1"/>
  <c r="DE94" i="4"/>
  <c r="DF94" i="4" s="1"/>
  <c r="DI94" i="4"/>
  <c r="DJ94" i="4" s="1"/>
  <c r="CC94" i="4"/>
  <c r="CD94" i="4" s="1"/>
  <c r="CG94" i="4"/>
  <c r="CH94" i="4" s="1"/>
  <c r="DQ94" i="4"/>
  <c r="DR94" i="4" s="1"/>
  <c r="CK94" i="4"/>
  <c r="CL94" i="4" s="1"/>
  <c r="CO94" i="4"/>
  <c r="CP94" i="4" s="1"/>
  <c r="CS94" i="4"/>
  <c r="CT94" i="4" s="1"/>
  <c r="DM94" i="4"/>
  <c r="DN94" i="4" s="1"/>
  <c r="DG94" i="4"/>
  <c r="DH94" i="4" s="1"/>
  <c r="CB94" i="4"/>
  <c r="CY94" i="4"/>
  <c r="CZ94" i="4" s="1"/>
  <c r="DO94" i="4"/>
  <c r="DP94" i="4" s="1"/>
  <c r="CI94" i="4"/>
  <c r="CJ94" i="4" s="1"/>
  <c r="CQ94" i="4"/>
  <c r="CR94" i="4" s="1"/>
  <c r="AU68" i="4"/>
  <c r="AV68" i="4" s="1"/>
  <c r="AM68" i="4"/>
  <c r="AN68" i="4" s="1"/>
  <c r="AE68" i="4"/>
  <c r="AF68" i="4" s="1"/>
  <c r="W68" i="4"/>
  <c r="X68" i="4" s="1"/>
  <c r="O68" i="4"/>
  <c r="P68" i="4" s="1"/>
  <c r="AW68" i="4"/>
  <c r="AX68" i="4" s="1"/>
  <c r="AO68" i="4"/>
  <c r="AP68" i="4" s="1"/>
  <c r="AG68" i="4"/>
  <c r="AH68" i="4" s="1"/>
  <c r="Y68" i="4"/>
  <c r="Z68" i="4" s="1"/>
  <c r="Q68" i="4"/>
  <c r="R68" i="4" s="1"/>
  <c r="J68" i="4"/>
  <c r="AI68" i="4"/>
  <c r="AJ68" i="4" s="1"/>
  <c r="AS68" i="4"/>
  <c r="AT68" i="4" s="1"/>
  <c r="M68" i="4"/>
  <c r="N68" i="4" s="1"/>
  <c r="AA68" i="4"/>
  <c r="AB68" i="4" s="1"/>
  <c r="AK68" i="4"/>
  <c r="AL68" i="4" s="1"/>
  <c r="AQ68" i="4"/>
  <c r="AR68" i="4" s="1"/>
  <c r="K68" i="4"/>
  <c r="L68" i="4" s="1"/>
  <c r="U68" i="4"/>
  <c r="V68" i="4" s="1"/>
  <c r="AY68" i="4"/>
  <c r="AZ68" i="4" s="1"/>
  <c r="AC68" i="4"/>
  <c r="AD68" i="4" s="1"/>
  <c r="S68" i="4"/>
  <c r="T68" i="4" s="1"/>
  <c r="DO64" i="4"/>
  <c r="DP64" i="4" s="1"/>
  <c r="CC64" i="4"/>
  <c r="CD64" i="4" s="1"/>
  <c r="CK64" i="4"/>
  <c r="CL64" i="4" s="1"/>
  <c r="CS64" i="4"/>
  <c r="CT64" i="4" s="1"/>
  <c r="DA64" i="4"/>
  <c r="DB64" i="4" s="1"/>
  <c r="DI64" i="4"/>
  <c r="DJ64" i="4" s="1"/>
  <c r="DQ64" i="4"/>
  <c r="DR64" i="4" s="1"/>
  <c r="CE64" i="4"/>
  <c r="CF64" i="4" s="1"/>
  <c r="CM64" i="4"/>
  <c r="CN64" i="4" s="1"/>
  <c r="CU64" i="4"/>
  <c r="CV64" i="4" s="1"/>
  <c r="DC64" i="4"/>
  <c r="DD64" i="4" s="1"/>
  <c r="DK64" i="4"/>
  <c r="DL64" i="4" s="1"/>
  <c r="CB64" i="4"/>
  <c r="CO64" i="4"/>
  <c r="CP64" i="4" s="1"/>
  <c r="DE64" i="4"/>
  <c r="DF64" i="4" s="1"/>
  <c r="CI64" i="4"/>
  <c r="CJ64" i="4" s="1"/>
  <c r="CY64" i="4"/>
  <c r="CZ64" i="4" s="1"/>
  <c r="CG64" i="4"/>
  <c r="CH64" i="4" s="1"/>
  <c r="CQ64" i="4"/>
  <c r="CR64" i="4" s="1"/>
  <c r="DM64" i="4"/>
  <c r="DN64" i="4" s="1"/>
  <c r="CW64" i="4"/>
  <c r="CX64" i="4" s="1"/>
  <c r="DG64" i="4"/>
  <c r="DH64" i="4" s="1"/>
  <c r="DO72" i="4"/>
  <c r="DP72" i="4" s="1"/>
  <c r="CG72" i="4"/>
  <c r="CH72" i="4" s="1"/>
  <c r="CO72" i="4"/>
  <c r="CP72" i="4" s="1"/>
  <c r="CW72" i="4"/>
  <c r="CX72" i="4" s="1"/>
  <c r="DE72" i="4"/>
  <c r="DF72" i="4" s="1"/>
  <c r="DM72" i="4"/>
  <c r="DN72" i="4" s="1"/>
  <c r="CE72" i="4"/>
  <c r="CF72" i="4" s="1"/>
  <c r="CM72" i="4"/>
  <c r="CN72" i="4" s="1"/>
  <c r="CU72" i="4"/>
  <c r="CV72" i="4" s="1"/>
  <c r="DC72" i="4"/>
  <c r="DD72" i="4" s="1"/>
  <c r="DK72" i="4"/>
  <c r="DL72" i="4" s="1"/>
  <c r="CB72" i="4"/>
  <c r="CC72" i="4"/>
  <c r="CD72" i="4" s="1"/>
  <c r="CS72" i="4"/>
  <c r="CT72" i="4" s="1"/>
  <c r="DI72" i="4"/>
  <c r="DJ72" i="4" s="1"/>
  <c r="CI72" i="4"/>
  <c r="CJ72" i="4" s="1"/>
  <c r="CY72" i="4"/>
  <c r="CZ72" i="4" s="1"/>
  <c r="CQ72" i="4"/>
  <c r="CR72" i="4" s="1"/>
  <c r="DG72" i="4"/>
  <c r="DH72" i="4" s="1"/>
  <c r="DA72" i="4"/>
  <c r="DB72" i="4" s="1"/>
  <c r="DQ72" i="4"/>
  <c r="DR72" i="4" s="1"/>
  <c r="CK72" i="4"/>
  <c r="CL72" i="4" s="1"/>
  <c r="CA80" i="4"/>
  <c r="ER80" i="4"/>
  <c r="ES80" i="4" s="1"/>
  <c r="AY104" i="4"/>
  <c r="AZ104" i="4" s="1"/>
  <c r="AQ104" i="4"/>
  <c r="AR104" i="4" s="1"/>
  <c r="AI104" i="4"/>
  <c r="AJ104" i="4" s="1"/>
  <c r="AA104" i="4"/>
  <c r="AB104" i="4" s="1"/>
  <c r="S104" i="4"/>
  <c r="T104" i="4" s="1"/>
  <c r="K104" i="4"/>
  <c r="L104" i="4" s="1"/>
  <c r="AS104" i="4"/>
  <c r="AT104" i="4" s="1"/>
  <c r="AK104" i="4"/>
  <c r="AL104" i="4" s="1"/>
  <c r="AC104" i="4"/>
  <c r="AD104" i="4" s="1"/>
  <c r="U104" i="4"/>
  <c r="V104" i="4" s="1"/>
  <c r="M104" i="4"/>
  <c r="N104" i="4" s="1"/>
  <c r="AU104" i="4"/>
  <c r="AV104" i="4" s="1"/>
  <c r="AE104" i="4"/>
  <c r="AF104" i="4" s="1"/>
  <c r="O104" i="4"/>
  <c r="P104" i="4" s="1"/>
  <c r="AO104" i="4"/>
  <c r="AP104" i="4" s="1"/>
  <c r="Y104" i="4"/>
  <c r="Z104" i="4" s="1"/>
  <c r="J104" i="4"/>
  <c r="AM104" i="4"/>
  <c r="AN104" i="4" s="1"/>
  <c r="W104" i="4"/>
  <c r="X104" i="4" s="1"/>
  <c r="AW104" i="4"/>
  <c r="AX104" i="4" s="1"/>
  <c r="AG104" i="4"/>
  <c r="AH104" i="4" s="1"/>
  <c r="Q104" i="4"/>
  <c r="R104" i="4" s="1"/>
  <c r="ER83" i="4"/>
  <c r="ES83" i="4" s="1"/>
  <c r="CA83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AW57" i="4"/>
  <c r="AX57" i="4" s="1"/>
  <c r="AS57" i="4"/>
  <c r="AT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AY19" i="4"/>
  <c r="AZ19" i="4" s="1"/>
  <c r="AQ19" i="4"/>
  <c r="AR19" i="4" s="1"/>
  <c r="AI19" i="4"/>
  <c r="AJ19" i="4" s="1"/>
  <c r="AA19" i="4"/>
  <c r="AB19" i="4" s="1"/>
  <c r="S19" i="4"/>
  <c r="T19" i="4" s="1"/>
  <c r="K19" i="4"/>
  <c r="L19" i="4" s="1"/>
  <c r="AS19" i="4"/>
  <c r="AT19" i="4" s="1"/>
  <c r="Y19" i="4"/>
  <c r="Z19" i="4" s="1"/>
  <c r="M19" i="4"/>
  <c r="N19" i="4" s="1"/>
  <c r="AU19" i="4"/>
  <c r="AV19" i="4" s="1"/>
  <c r="O19" i="4"/>
  <c r="P19" i="4" s="1"/>
  <c r="AG19" i="4"/>
  <c r="AH19" i="4" s="1"/>
  <c r="U19" i="4"/>
  <c r="V19" i="4" s="1"/>
  <c r="W19" i="4"/>
  <c r="X19" i="4" s="1"/>
  <c r="AW19" i="4"/>
  <c r="AX19" i="4" s="1"/>
  <c r="AK19" i="4"/>
  <c r="AL19" i="4" s="1"/>
  <c r="Q19" i="4"/>
  <c r="R19" i="4" s="1"/>
  <c r="AM19" i="4"/>
  <c r="AN19" i="4" s="1"/>
  <c r="J19" i="4"/>
  <c r="AO19" i="4"/>
  <c r="AP19" i="4" s="1"/>
  <c r="AC19" i="4"/>
  <c r="AD19" i="4" s="1"/>
  <c r="AE19" i="4"/>
  <c r="AF19" i="4" s="1"/>
  <c r="FE119" i="4"/>
  <c r="FF119" i="4" s="1"/>
  <c r="GE119" i="4"/>
  <c r="GF119" i="4" s="1"/>
  <c r="FW119" i="4"/>
  <c r="FX119" i="4" s="1"/>
  <c r="FO119" i="4"/>
  <c r="FP119" i="4" s="1"/>
  <c r="FG119" i="4"/>
  <c r="FH119" i="4" s="1"/>
  <c r="EY119" i="4"/>
  <c r="EZ119" i="4" s="1"/>
  <c r="FY119" i="4"/>
  <c r="FZ119" i="4" s="1"/>
  <c r="ET119" i="4"/>
  <c r="GI119" i="4"/>
  <c r="GJ119" i="4" s="1"/>
  <c r="FC119" i="4"/>
  <c r="FD119" i="4" s="1"/>
  <c r="GC119" i="4"/>
  <c r="GD119" i="4" s="1"/>
  <c r="FA119" i="4"/>
  <c r="FB119" i="4" s="1"/>
  <c r="FK119" i="4"/>
  <c r="FL119" i="4" s="1"/>
  <c r="GG119" i="4"/>
  <c r="GH119" i="4" s="1"/>
  <c r="GA119" i="4"/>
  <c r="GB119" i="4" s="1"/>
  <c r="EU119" i="4"/>
  <c r="EV119" i="4" s="1"/>
  <c r="EW119" i="4"/>
  <c r="EX119" i="4" s="1"/>
  <c r="FU119" i="4"/>
  <c r="FV119" i="4" s="1"/>
  <c r="FQ119" i="4"/>
  <c r="FR119" i="4" s="1"/>
  <c r="FS119" i="4"/>
  <c r="FT119" i="4" s="1"/>
  <c r="FM119" i="4"/>
  <c r="FN119" i="4" s="1"/>
  <c r="FI119" i="4"/>
  <c r="FJ119" i="4" s="1"/>
  <c r="GE42" i="4"/>
  <c r="GF42" i="4" s="1"/>
  <c r="FW42" i="4"/>
  <c r="FX42" i="4" s="1"/>
  <c r="FO42" i="4"/>
  <c r="FP42" i="4" s="1"/>
  <c r="FG42" i="4"/>
  <c r="FH42" i="4" s="1"/>
  <c r="EY42" i="4"/>
  <c r="EZ42" i="4" s="1"/>
  <c r="GG42" i="4"/>
  <c r="GH42" i="4" s="1"/>
  <c r="FY42" i="4"/>
  <c r="FZ42" i="4" s="1"/>
  <c r="FQ42" i="4"/>
  <c r="FR42" i="4" s="1"/>
  <c r="FI42" i="4"/>
  <c r="FJ42" i="4" s="1"/>
  <c r="FA42" i="4"/>
  <c r="FB42" i="4" s="1"/>
  <c r="ET42" i="4"/>
  <c r="GI42" i="4"/>
  <c r="GJ42" i="4" s="1"/>
  <c r="GA42" i="4"/>
  <c r="GB42" i="4" s="1"/>
  <c r="FS42" i="4"/>
  <c r="FT42" i="4" s="1"/>
  <c r="FK42" i="4"/>
  <c r="FL42" i="4" s="1"/>
  <c r="FC42" i="4"/>
  <c r="FD42" i="4" s="1"/>
  <c r="EU42" i="4"/>
  <c r="EV42" i="4" s="1"/>
  <c r="GC42" i="4"/>
  <c r="GD42" i="4" s="1"/>
  <c r="FU42" i="4"/>
  <c r="FV42" i="4" s="1"/>
  <c r="FM42" i="4"/>
  <c r="FN42" i="4" s="1"/>
  <c r="FE42" i="4"/>
  <c r="FF42" i="4" s="1"/>
  <c r="EW42" i="4"/>
  <c r="EX42" i="4" s="1"/>
  <c r="AU34" i="4"/>
  <c r="AV34" i="4" s="1"/>
  <c r="AM34" i="4"/>
  <c r="AN34" i="4" s="1"/>
  <c r="AE34" i="4"/>
  <c r="AF34" i="4" s="1"/>
  <c r="W34" i="4"/>
  <c r="X34" i="4" s="1"/>
  <c r="O34" i="4"/>
  <c r="P34" i="4" s="1"/>
  <c r="AW34" i="4"/>
  <c r="AX34" i="4" s="1"/>
  <c r="AO34" i="4"/>
  <c r="AP34" i="4" s="1"/>
  <c r="AG34" i="4"/>
  <c r="AH34" i="4" s="1"/>
  <c r="Y34" i="4"/>
  <c r="Z34" i="4" s="1"/>
  <c r="Q34" i="4"/>
  <c r="R34" i="4" s="1"/>
  <c r="J34" i="4"/>
  <c r="AA34" i="4"/>
  <c r="AB34" i="4" s="1"/>
  <c r="AK34" i="4"/>
  <c r="AL34" i="4" s="1"/>
  <c r="AY34" i="4"/>
  <c r="AZ34" i="4" s="1"/>
  <c r="S34" i="4"/>
  <c r="T34" i="4" s="1"/>
  <c r="AC34" i="4"/>
  <c r="AD34" i="4" s="1"/>
  <c r="AI34" i="4"/>
  <c r="AJ34" i="4" s="1"/>
  <c r="AS34" i="4"/>
  <c r="AT34" i="4" s="1"/>
  <c r="M34" i="4"/>
  <c r="N34" i="4" s="1"/>
  <c r="U34" i="4"/>
  <c r="V34" i="4" s="1"/>
  <c r="K34" i="4"/>
  <c r="L34" i="4" s="1"/>
  <c r="AQ34" i="4"/>
  <c r="AR34" i="4" s="1"/>
  <c r="BL109" i="4" l="1"/>
  <c r="Y109" i="4"/>
  <c r="Z109" i="4" s="1"/>
  <c r="I27" i="4"/>
  <c r="BZ27" i="4"/>
  <c r="BR44" i="4"/>
  <c r="AK44" i="4"/>
  <c r="AL44" i="4" s="1"/>
  <c r="BL45" i="4"/>
  <c r="Y45" i="4"/>
  <c r="Z45" i="4" s="1"/>
  <c r="BQ92" i="4"/>
  <c r="AI92" i="4"/>
  <c r="AJ92" i="4" s="1"/>
  <c r="BM138" i="4"/>
  <c r="AA138" i="4"/>
  <c r="AB138" i="4" s="1"/>
  <c r="DM35" i="4"/>
  <c r="DN35" i="4" s="1"/>
  <c r="CW35" i="4"/>
  <c r="CX35" i="4" s="1"/>
  <c r="CG35" i="4"/>
  <c r="CH35" i="4" s="1"/>
  <c r="CS35" i="4"/>
  <c r="CT35" i="4" s="1"/>
  <c r="DA35" i="4"/>
  <c r="DB35" i="4" s="1"/>
  <c r="CE35" i="4"/>
  <c r="CF35" i="4" s="1"/>
  <c r="CM35" i="4"/>
  <c r="CN35" i="4" s="1"/>
  <c r="DQ35" i="4"/>
  <c r="DR35" i="4" s="1"/>
  <c r="CU35" i="4"/>
  <c r="CV35" i="4" s="1"/>
  <c r="DO35" i="4"/>
  <c r="DP35" i="4" s="1"/>
  <c r="CO35" i="4"/>
  <c r="CP35" i="4" s="1"/>
  <c r="DG35" i="4"/>
  <c r="DH35" i="4" s="1"/>
  <c r="CQ35" i="4"/>
  <c r="CR35" i="4" s="1"/>
  <c r="CB35" i="4"/>
  <c r="CK35" i="4"/>
  <c r="CL35" i="4" s="1"/>
  <c r="DE35" i="4"/>
  <c r="DF35" i="4" s="1"/>
  <c r="CI35" i="4"/>
  <c r="CJ35" i="4" s="1"/>
  <c r="CC35" i="4"/>
  <c r="CD35" i="4" s="1"/>
  <c r="DC35" i="4"/>
  <c r="DD35" i="4" s="1"/>
  <c r="DK35" i="4"/>
  <c r="DL35" i="4" s="1"/>
  <c r="CY35" i="4"/>
  <c r="CZ35" i="4" s="1"/>
  <c r="DI35" i="4"/>
  <c r="DJ35" i="4" s="1"/>
  <c r="Y127" i="4"/>
  <c r="Z127" i="4" s="1"/>
  <c r="AS127" i="4"/>
  <c r="AT127" i="4" s="1"/>
  <c r="W127" i="4"/>
  <c r="X127" i="4" s="1"/>
  <c r="AQ127" i="4"/>
  <c r="AR127" i="4" s="1"/>
  <c r="U127" i="4"/>
  <c r="V127" i="4" s="1"/>
  <c r="AE127" i="4"/>
  <c r="AF127" i="4" s="1"/>
  <c r="AY127" i="4"/>
  <c r="AZ127" i="4" s="1"/>
  <c r="S127" i="4"/>
  <c r="T127" i="4" s="1"/>
  <c r="AM127" i="4"/>
  <c r="AN127" i="4" s="1"/>
  <c r="M127" i="4"/>
  <c r="N127" i="4" s="1"/>
  <c r="Q127" i="4"/>
  <c r="R127" i="4" s="1"/>
  <c r="AK127" i="4"/>
  <c r="AL127" i="4" s="1"/>
  <c r="AO127" i="4"/>
  <c r="AP127" i="4" s="1"/>
  <c r="AC127" i="4"/>
  <c r="AD127" i="4" s="1"/>
  <c r="AG127" i="4"/>
  <c r="AH127" i="4" s="1"/>
  <c r="K127" i="4"/>
  <c r="L127" i="4" s="1"/>
  <c r="AU127" i="4"/>
  <c r="AV127" i="4" s="1"/>
  <c r="AI127" i="4"/>
  <c r="AJ127" i="4" s="1"/>
  <c r="J127" i="4"/>
  <c r="AW127" i="4"/>
  <c r="AX127" i="4" s="1"/>
  <c r="AA127" i="4"/>
  <c r="AB127" i="4" s="1"/>
  <c r="O127" i="4"/>
  <c r="P127" i="4" s="1"/>
  <c r="BN38" i="4"/>
  <c r="AC38" i="4"/>
  <c r="AD38" i="4" s="1"/>
  <c r="AS25" i="4"/>
  <c r="AT25" i="4" s="1"/>
  <c r="Y25" i="4"/>
  <c r="Z25" i="4" s="1"/>
  <c r="M25" i="4"/>
  <c r="N25" i="4" s="1"/>
  <c r="AI25" i="4"/>
  <c r="AJ25" i="4" s="1"/>
  <c r="W25" i="4"/>
  <c r="X25" i="4" s="1"/>
  <c r="K25" i="4"/>
  <c r="L25" i="4" s="1"/>
  <c r="AG25" i="4"/>
  <c r="AH25" i="4" s="1"/>
  <c r="U25" i="4"/>
  <c r="V25" i="4" s="1"/>
  <c r="AU25" i="4"/>
  <c r="AV25" i="4" s="1"/>
  <c r="AE25" i="4"/>
  <c r="AF25" i="4" s="1"/>
  <c r="S25" i="4"/>
  <c r="T25" i="4" s="1"/>
  <c r="AO25" i="4"/>
  <c r="AP25" i="4" s="1"/>
  <c r="AC25" i="4"/>
  <c r="AD25" i="4" s="1"/>
  <c r="J25" i="4"/>
  <c r="AQ25" i="4"/>
  <c r="AR25" i="4" s="1"/>
  <c r="AA25" i="4"/>
  <c r="AB25" i="4" s="1"/>
  <c r="AW25" i="4"/>
  <c r="AX25" i="4" s="1"/>
  <c r="AK25" i="4"/>
  <c r="AL25" i="4" s="1"/>
  <c r="Q25" i="4"/>
  <c r="R25" i="4" s="1"/>
  <c r="AY25" i="4"/>
  <c r="AZ25" i="4" s="1"/>
  <c r="AM25" i="4"/>
  <c r="AN25" i="4" s="1"/>
  <c r="O25" i="4"/>
  <c r="P25" i="4" s="1"/>
  <c r="EY35" i="4"/>
  <c r="EZ35" i="4" s="1"/>
  <c r="FQ35" i="4"/>
  <c r="FR35" i="4" s="1"/>
  <c r="FY35" i="4"/>
  <c r="FZ35" i="4" s="1"/>
  <c r="GE35" i="4"/>
  <c r="GF35" i="4" s="1"/>
  <c r="FI35" i="4"/>
  <c r="FJ35" i="4" s="1"/>
  <c r="FO35" i="4"/>
  <c r="FP35" i="4" s="1"/>
  <c r="GI35" i="4"/>
  <c r="GJ35" i="4" s="1"/>
  <c r="FG35" i="4"/>
  <c r="FH35" i="4" s="1"/>
  <c r="FM35" i="4"/>
  <c r="FN35" i="4" s="1"/>
  <c r="FU35" i="4"/>
  <c r="FV35" i="4" s="1"/>
  <c r="FS35" i="4"/>
  <c r="FT35" i="4" s="1"/>
  <c r="GG35" i="4"/>
  <c r="GH35" i="4" s="1"/>
  <c r="EW35" i="4"/>
  <c r="EX35" i="4" s="1"/>
  <c r="FE35" i="4"/>
  <c r="FF35" i="4" s="1"/>
  <c r="FC35" i="4"/>
  <c r="FD35" i="4" s="1"/>
  <c r="FA35" i="4"/>
  <c r="FB35" i="4" s="1"/>
  <c r="FK35" i="4"/>
  <c r="FL35" i="4" s="1"/>
  <c r="ET35" i="4"/>
  <c r="GA35" i="4"/>
  <c r="GB35" i="4" s="1"/>
  <c r="FW35" i="4"/>
  <c r="FX35" i="4" s="1"/>
  <c r="GC35" i="4"/>
  <c r="GD35" i="4" s="1"/>
  <c r="EU35" i="4"/>
  <c r="EV35" i="4" s="1"/>
  <c r="W76" i="4"/>
  <c r="X76" i="4" s="1"/>
  <c r="BK76" i="4"/>
  <c r="EL100" i="4"/>
  <c r="DG100" i="4"/>
  <c r="DH100" i="4" s="1"/>
  <c r="BO122" i="4"/>
  <c r="AE122" i="4"/>
  <c r="AF122" i="4" s="1"/>
  <c r="CA127" i="4"/>
  <c r="ER127" i="4"/>
  <c r="ES127" i="4" s="1"/>
  <c r="BL79" i="4"/>
  <c r="Y79" i="4"/>
  <c r="Z79" i="4" s="1"/>
  <c r="BR119" i="4"/>
  <c r="AK119" i="4"/>
  <c r="AL119" i="4" s="1"/>
  <c r="CA25" i="4"/>
  <c r="ER25" i="4"/>
  <c r="ES25" i="4" s="1"/>
  <c r="BN67" i="4"/>
  <c r="AC67" i="4"/>
  <c r="AD67" i="4" s="1"/>
  <c r="EC116" i="4"/>
  <c r="CO116" i="4"/>
  <c r="CP116" i="4" s="1"/>
  <c r="BO123" i="4"/>
  <c r="AE123" i="4"/>
  <c r="AF123" i="4" s="1"/>
  <c r="D28" i="4"/>
  <c r="CA21" i="4"/>
  <c r="ER21" i="4"/>
  <c r="ES21" i="4" s="1"/>
  <c r="BM41" i="4"/>
  <c r="AA41" i="4"/>
  <c r="AB41" i="4" s="1"/>
  <c r="EP120" i="4"/>
  <c r="DQ120" i="4" s="1"/>
  <c r="DR120" i="4" s="1"/>
  <c r="DO120" i="4"/>
  <c r="DP120" i="4" s="1"/>
  <c r="BO37" i="4"/>
  <c r="AE37" i="4"/>
  <c r="AF37" i="4" s="1"/>
  <c r="BO152" i="4"/>
  <c r="AE152" i="4"/>
  <c r="AF152" i="4" s="1"/>
  <c r="E28" i="4"/>
  <c r="H28" i="4" s="1"/>
  <c r="I28" i="4" s="1"/>
  <c r="BR108" i="4"/>
  <c r="AK108" i="4"/>
  <c r="AL108" i="4" s="1"/>
  <c r="AS21" i="4"/>
  <c r="AT21" i="4" s="1"/>
  <c r="AG21" i="4"/>
  <c r="AH21" i="4" s="1"/>
  <c r="M21" i="4"/>
  <c r="N21" i="4" s="1"/>
  <c r="AQ21" i="4"/>
  <c r="AR21" i="4" s="1"/>
  <c r="S21" i="4"/>
  <c r="T21" i="4" s="1"/>
  <c r="AO21" i="4"/>
  <c r="AP21" i="4" s="1"/>
  <c r="U21" i="4"/>
  <c r="V21" i="4" s="1"/>
  <c r="J21" i="4"/>
  <c r="AM21" i="4"/>
  <c r="AN21" i="4" s="1"/>
  <c r="AA21" i="4"/>
  <c r="AB21" i="4" s="1"/>
  <c r="O21" i="4"/>
  <c r="P21" i="4" s="1"/>
  <c r="AW21" i="4"/>
  <c r="AX21" i="4" s="1"/>
  <c r="AC21" i="4"/>
  <c r="AD21" i="4" s="1"/>
  <c r="Q21" i="4"/>
  <c r="R21" i="4" s="1"/>
  <c r="AY21" i="4"/>
  <c r="AZ21" i="4" s="1"/>
  <c r="AI21" i="4"/>
  <c r="AJ21" i="4" s="1"/>
  <c r="W21" i="4"/>
  <c r="X21" i="4" s="1"/>
  <c r="K21" i="4"/>
  <c r="L21" i="4" s="1"/>
  <c r="AK21" i="4"/>
  <c r="AL21" i="4" s="1"/>
  <c r="Y21" i="4"/>
  <c r="Z21" i="4" s="1"/>
  <c r="AU21" i="4"/>
  <c r="AV21" i="4" s="1"/>
  <c r="AE21" i="4"/>
  <c r="AF21" i="4" s="1"/>
  <c r="BL88" i="4"/>
  <c r="Y88" i="4"/>
  <c r="Z88" i="4" s="1"/>
  <c r="DO50" i="4"/>
  <c r="DP50" i="4" s="1"/>
  <c r="CC50" i="4"/>
  <c r="CD50" i="4" s="1"/>
  <c r="CS50" i="4"/>
  <c r="CT50" i="4" s="1"/>
  <c r="DI50" i="4"/>
  <c r="DJ50" i="4" s="1"/>
  <c r="CI50" i="4"/>
  <c r="CJ50" i="4" s="1"/>
  <c r="DC50" i="4"/>
  <c r="DD50" i="4" s="1"/>
  <c r="CK50" i="4"/>
  <c r="CL50" i="4" s="1"/>
  <c r="DA50" i="4"/>
  <c r="DB50" i="4" s="1"/>
  <c r="DQ50" i="4"/>
  <c r="DR50" i="4" s="1"/>
  <c r="CB50" i="4"/>
  <c r="CM50" i="4"/>
  <c r="CN50" i="4" s="1"/>
  <c r="CY50" i="4"/>
  <c r="CZ50" i="4" s="1"/>
  <c r="CO50" i="4"/>
  <c r="CP50" i="4" s="1"/>
  <c r="DE50" i="4"/>
  <c r="DF50" i="4" s="1"/>
  <c r="CE50" i="4"/>
  <c r="CF50" i="4" s="1"/>
  <c r="CQ50" i="4"/>
  <c r="CR50" i="4" s="1"/>
  <c r="DK50" i="4"/>
  <c r="DL50" i="4" s="1"/>
  <c r="CU50" i="4"/>
  <c r="CV50" i="4" s="1"/>
  <c r="CW50" i="4"/>
  <c r="CX50" i="4" s="1"/>
  <c r="DM50" i="4"/>
  <c r="DN50" i="4" s="1"/>
  <c r="DG50" i="4"/>
  <c r="DH50" i="4" s="1"/>
  <c r="CG50" i="4"/>
  <c r="CH50" i="4" s="1"/>
  <c r="FQ36" i="4"/>
  <c r="FR36" i="4" s="1"/>
  <c r="FM36" i="4"/>
  <c r="FN36" i="4" s="1"/>
  <c r="FS36" i="4"/>
  <c r="FT36" i="4" s="1"/>
  <c r="FE36" i="4"/>
  <c r="FF36" i="4" s="1"/>
  <c r="FW36" i="4"/>
  <c r="FX36" i="4" s="1"/>
  <c r="FU36" i="4"/>
  <c r="FV36" i="4" s="1"/>
  <c r="EW36" i="4"/>
  <c r="EX36" i="4" s="1"/>
  <c r="GI36" i="4"/>
  <c r="GJ36" i="4" s="1"/>
  <c r="ET36" i="4"/>
  <c r="FI36" i="4"/>
  <c r="FJ36" i="4" s="1"/>
  <c r="EU36" i="4"/>
  <c r="EV36" i="4" s="1"/>
  <c r="EY36" i="4"/>
  <c r="EZ36" i="4" s="1"/>
  <c r="GG36" i="4"/>
  <c r="GH36" i="4" s="1"/>
  <c r="FK36" i="4"/>
  <c r="FL36" i="4" s="1"/>
  <c r="FY36" i="4"/>
  <c r="FZ36" i="4" s="1"/>
  <c r="FO36" i="4"/>
  <c r="FP36" i="4" s="1"/>
  <c r="FA36" i="4"/>
  <c r="FB36" i="4" s="1"/>
  <c r="FC36" i="4"/>
  <c r="FD36" i="4" s="1"/>
  <c r="FG36" i="4"/>
  <c r="FH36" i="4" s="1"/>
  <c r="GA36" i="4"/>
  <c r="GB36" i="4" s="1"/>
  <c r="GE36" i="4"/>
  <c r="GF36" i="4" s="1"/>
  <c r="GC36" i="4"/>
  <c r="GD36" i="4" s="1"/>
  <c r="GC135" i="4"/>
  <c r="GD135" i="4" s="1"/>
  <c r="FY135" i="4"/>
  <c r="FZ135" i="4" s="1"/>
  <c r="FQ135" i="4"/>
  <c r="FR135" i="4" s="1"/>
  <c r="FI135" i="4"/>
  <c r="FJ135" i="4" s="1"/>
  <c r="FA135" i="4"/>
  <c r="FB135" i="4" s="1"/>
  <c r="ET135" i="4"/>
  <c r="FS135" i="4"/>
  <c r="FT135" i="4" s="1"/>
  <c r="EY135" i="4"/>
  <c r="EZ135" i="4" s="1"/>
  <c r="GG135" i="4"/>
  <c r="GH135" i="4" s="1"/>
  <c r="GI135" i="4"/>
  <c r="GJ135" i="4" s="1"/>
  <c r="FU135" i="4"/>
  <c r="FV135" i="4" s="1"/>
  <c r="FM135" i="4"/>
  <c r="FN135" i="4" s="1"/>
  <c r="FE135" i="4"/>
  <c r="FF135" i="4" s="1"/>
  <c r="EW135" i="4"/>
  <c r="EX135" i="4" s="1"/>
  <c r="FO135" i="4"/>
  <c r="FP135" i="4" s="1"/>
  <c r="FC135" i="4"/>
  <c r="FD135" i="4" s="1"/>
  <c r="FW135" i="4"/>
  <c r="FX135" i="4" s="1"/>
  <c r="FK135" i="4"/>
  <c r="FL135" i="4" s="1"/>
  <c r="GE135" i="4"/>
  <c r="GF135" i="4" s="1"/>
  <c r="EU135" i="4"/>
  <c r="EV135" i="4" s="1"/>
  <c r="FG135" i="4"/>
  <c r="FH135" i="4" s="1"/>
  <c r="GA135" i="4"/>
  <c r="GB135" i="4" s="1"/>
  <c r="DM48" i="4"/>
  <c r="DN48" i="4" s="1"/>
  <c r="DA48" i="4"/>
  <c r="DB48" i="4" s="1"/>
  <c r="CG48" i="4"/>
  <c r="CH48" i="4" s="1"/>
  <c r="DK48" i="4"/>
  <c r="DL48" i="4" s="1"/>
  <c r="CQ48" i="4"/>
  <c r="CR48" i="4" s="1"/>
  <c r="CE48" i="4"/>
  <c r="CF48" i="4" s="1"/>
  <c r="DQ48" i="4"/>
  <c r="DR48" i="4" s="1"/>
  <c r="CW48" i="4"/>
  <c r="CX48" i="4" s="1"/>
  <c r="CK48" i="4"/>
  <c r="CL48" i="4" s="1"/>
  <c r="DG48" i="4"/>
  <c r="DH48" i="4" s="1"/>
  <c r="CU48" i="4"/>
  <c r="CV48" i="4" s="1"/>
  <c r="CB48" i="4"/>
  <c r="DE48" i="4"/>
  <c r="DF48" i="4" s="1"/>
  <c r="CS48" i="4"/>
  <c r="CT48" i="4" s="1"/>
  <c r="DO48" i="4"/>
  <c r="DP48" i="4" s="1"/>
  <c r="DC48" i="4"/>
  <c r="DD48" i="4" s="1"/>
  <c r="CI48" i="4"/>
  <c r="CJ48" i="4" s="1"/>
  <c r="CO48" i="4"/>
  <c r="CP48" i="4" s="1"/>
  <c r="CM48" i="4"/>
  <c r="CN48" i="4" s="1"/>
  <c r="DI48" i="4"/>
  <c r="DJ48" i="4" s="1"/>
  <c r="CY48" i="4"/>
  <c r="CZ48" i="4" s="1"/>
  <c r="CC48" i="4"/>
  <c r="CD48" i="4" s="1"/>
  <c r="DG140" i="4"/>
  <c r="DH140" i="4" s="1"/>
  <c r="CM140" i="4"/>
  <c r="CN140" i="4" s="1"/>
  <c r="CB140" i="4"/>
  <c r="DC140" i="4"/>
  <c r="DD140" i="4" s="1"/>
  <c r="CQ140" i="4"/>
  <c r="CR140" i="4" s="1"/>
  <c r="DK140" i="4"/>
  <c r="DL140" i="4" s="1"/>
  <c r="CY140" i="4"/>
  <c r="CZ140" i="4" s="1"/>
  <c r="CE140" i="4"/>
  <c r="CF140" i="4" s="1"/>
  <c r="DQ140" i="4"/>
  <c r="DR140" i="4" s="1"/>
  <c r="CK140" i="4"/>
  <c r="CL140" i="4" s="1"/>
  <c r="CO140" i="4"/>
  <c r="CP140" i="4" s="1"/>
  <c r="CC140" i="4"/>
  <c r="CD140" i="4" s="1"/>
  <c r="CS140" i="4"/>
  <c r="CT140" i="4" s="1"/>
  <c r="DA140" i="4"/>
  <c r="DB140" i="4" s="1"/>
  <c r="CG140" i="4"/>
  <c r="CH140" i="4" s="1"/>
  <c r="CI140" i="4"/>
  <c r="CJ140" i="4" s="1"/>
  <c r="DI140" i="4"/>
  <c r="DJ140" i="4" s="1"/>
  <c r="DO140" i="4"/>
  <c r="DP140" i="4" s="1"/>
  <c r="DM140" i="4"/>
  <c r="DN140" i="4" s="1"/>
  <c r="CW140" i="4"/>
  <c r="CX140" i="4" s="1"/>
  <c r="DE140" i="4"/>
  <c r="DF140" i="4" s="1"/>
  <c r="CU140" i="4"/>
  <c r="CV140" i="4" s="1"/>
  <c r="DK22" i="4"/>
  <c r="DL22" i="4" s="1"/>
  <c r="DC22" i="4"/>
  <c r="DD22" i="4" s="1"/>
  <c r="CU22" i="4"/>
  <c r="CV22" i="4" s="1"/>
  <c r="CM22" i="4"/>
  <c r="CN22" i="4" s="1"/>
  <c r="CE22" i="4"/>
  <c r="CF22" i="4" s="1"/>
  <c r="DM22" i="4"/>
  <c r="DN22" i="4" s="1"/>
  <c r="CS22" i="4"/>
  <c r="CT22" i="4" s="1"/>
  <c r="CG22" i="4"/>
  <c r="CH22" i="4" s="1"/>
  <c r="DG22" i="4"/>
  <c r="DH22" i="4" s="1"/>
  <c r="CB22" i="4"/>
  <c r="DA22" i="4"/>
  <c r="DB22" i="4" s="1"/>
  <c r="CO22" i="4"/>
  <c r="CP22" i="4" s="1"/>
  <c r="DO22" i="4"/>
  <c r="DP22" i="4" s="1"/>
  <c r="CQ22" i="4"/>
  <c r="CR22" i="4" s="1"/>
  <c r="DI22" i="4"/>
  <c r="DJ22" i="4" s="1"/>
  <c r="DQ22" i="4"/>
  <c r="DR22" i="4" s="1"/>
  <c r="DE22" i="4"/>
  <c r="DF22" i="4" s="1"/>
  <c r="CK22" i="4"/>
  <c r="CL22" i="4" s="1"/>
  <c r="CY22" i="4"/>
  <c r="CZ22" i="4" s="1"/>
  <c r="CI22" i="4"/>
  <c r="CJ22" i="4" s="1"/>
  <c r="CW22" i="4"/>
  <c r="CX22" i="4" s="1"/>
  <c r="CC22" i="4"/>
  <c r="CD22" i="4" s="1"/>
  <c r="DM66" i="4"/>
  <c r="DN66" i="4" s="1"/>
  <c r="DE66" i="4"/>
  <c r="DF66" i="4" s="1"/>
  <c r="CW66" i="4"/>
  <c r="CX66" i="4" s="1"/>
  <c r="CO66" i="4"/>
  <c r="CP66" i="4" s="1"/>
  <c r="CG66" i="4"/>
  <c r="CH66" i="4" s="1"/>
  <c r="DO66" i="4"/>
  <c r="DP66" i="4" s="1"/>
  <c r="DG66" i="4"/>
  <c r="DH66" i="4" s="1"/>
  <c r="CY66" i="4"/>
  <c r="CZ66" i="4" s="1"/>
  <c r="CQ66" i="4"/>
  <c r="CR66" i="4" s="1"/>
  <c r="CI66" i="4"/>
  <c r="CJ66" i="4" s="1"/>
  <c r="CB66" i="4"/>
  <c r="DQ66" i="4"/>
  <c r="DR66" i="4" s="1"/>
  <c r="DI66" i="4"/>
  <c r="DJ66" i="4" s="1"/>
  <c r="DA66" i="4"/>
  <c r="DB66" i="4" s="1"/>
  <c r="CS66" i="4"/>
  <c r="CT66" i="4" s="1"/>
  <c r="CK66" i="4"/>
  <c r="CL66" i="4" s="1"/>
  <c r="CC66" i="4"/>
  <c r="CD66" i="4" s="1"/>
  <c r="DK66" i="4"/>
  <c r="DL66" i="4" s="1"/>
  <c r="DC66" i="4"/>
  <c r="DD66" i="4" s="1"/>
  <c r="CU66" i="4"/>
  <c r="CV66" i="4" s="1"/>
  <c r="CM66" i="4"/>
  <c r="CN66" i="4" s="1"/>
  <c r="CE66" i="4"/>
  <c r="CF66" i="4" s="1"/>
  <c r="GG74" i="4"/>
  <c r="GH74" i="4" s="1"/>
  <c r="FY74" i="4"/>
  <c r="FZ74" i="4" s="1"/>
  <c r="FQ74" i="4"/>
  <c r="FR74" i="4" s="1"/>
  <c r="FI74" i="4"/>
  <c r="FJ74" i="4" s="1"/>
  <c r="FA74" i="4"/>
  <c r="FB74" i="4" s="1"/>
  <c r="ET74" i="4"/>
  <c r="FW74" i="4"/>
  <c r="FX74" i="4" s="1"/>
  <c r="FG74" i="4"/>
  <c r="FH74" i="4" s="1"/>
  <c r="GC74" i="4"/>
  <c r="GD74" i="4" s="1"/>
  <c r="FU74" i="4"/>
  <c r="FV74" i="4" s="1"/>
  <c r="FM74" i="4"/>
  <c r="FN74" i="4" s="1"/>
  <c r="FE74" i="4"/>
  <c r="FF74" i="4" s="1"/>
  <c r="EW74" i="4"/>
  <c r="EX74" i="4" s="1"/>
  <c r="GE74" i="4"/>
  <c r="GF74" i="4" s="1"/>
  <c r="FO74" i="4"/>
  <c r="FP74" i="4" s="1"/>
  <c r="EY74" i="4"/>
  <c r="EZ74" i="4" s="1"/>
  <c r="GA74" i="4"/>
  <c r="GB74" i="4" s="1"/>
  <c r="FK74" i="4"/>
  <c r="FL74" i="4" s="1"/>
  <c r="EU74" i="4"/>
  <c r="EV74" i="4" s="1"/>
  <c r="FS74" i="4"/>
  <c r="FT74" i="4" s="1"/>
  <c r="GI74" i="4"/>
  <c r="GJ74" i="4" s="1"/>
  <c r="FC74" i="4"/>
  <c r="FD74" i="4" s="1"/>
  <c r="DQ92" i="4"/>
  <c r="DR92" i="4" s="1"/>
  <c r="DI92" i="4"/>
  <c r="DJ92" i="4" s="1"/>
  <c r="DA92" i="4"/>
  <c r="DB92" i="4" s="1"/>
  <c r="CS92" i="4"/>
  <c r="CT92" i="4" s="1"/>
  <c r="CK92" i="4"/>
  <c r="CL92" i="4" s="1"/>
  <c r="CC92" i="4"/>
  <c r="CD92" i="4" s="1"/>
  <c r="CY92" i="4"/>
  <c r="CZ92" i="4" s="1"/>
  <c r="DC92" i="4"/>
  <c r="DD92" i="4" s="1"/>
  <c r="DG92" i="4"/>
  <c r="DH92" i="4" s="1"/>
  <c r="CB92" i="4"/>
  <c r="DM92" i="4"/>
  <c r="DN92" i="4" s="1"/>
  <c r="DE92" i="4"/>
  <c r="DF92" i="4" s="1"/>
  <c r="CW92" i="4"/>
  <c r="CX92" i="4" s="1"/>
  <c r="CO92" i="4"/>
  <c r="CP92" i="4" s="1"/>
  <c r="CG92" i="4"/>
  <c r="CH92" i="4" s="1"/>
  <c r="DO92" i="4"/>
  <c r="DP92" i="4" s="1"/>
  <c r="CI92" i="4"/>
  <c r="CJ92" i="4" s="1"/>
  <c r="CM92" i="4"/>
  <c r="CN92" i="4" s="1"/>
  <c r="CQ92" i="4"/>
  <c r="CR92" i="4" s="1"/>
  <c r="CU92" i="4"/>
  <c r="CV92" i="4" s="1"/>
  <c r="DK92" i="4"/>
  <c r="DL92" i="4" s="1"/>
  <c r="CE92" i="4"/>
  <c r="CF92" i="4" s="1"/>
  <c r="DM112" i="4"/>
  <c r="DN112" i="4" s="1"/>
  <c r="DE112" i="4"/>
  <c r="DF112" i="4" s="1"/>
  <c r="CW112" i="4"/>
  <c r="CX112" i="4" s="1"/>
  <c r="CO112" i="4"/>
  <c r="CP112" i="4" s="1"/>
  <c r="CG112" i="4"/>
  <c r="CH112" i="4" s="1"/>
  <c r="DO112" i="4"/>
  <c r="DP112" i="4" s="1"/>
  <c r="DG112" i="4"/>
  <c r="DH112" i="4" s="1"/>
  <c r="CY112" i="4"/>
  <c r="CZ112" i="4" s="1"/>
  <c r="CQ112" i="4"/>
  <c r="CR112" i="4" s="1"/>
  <c r="CI112" i="4"/>
  <c r="CJ112" i="4" s="1"/>
  <c r="CB112" i="4"/>
  <c r="DI112" i="4"/>
  <c r="DJ112" i="4" s="1"/>
  <c r="CC112" i="4"/>
  <c r="CD112" i="4" s="1"/>
  <c r="CM112" i="4"/>
  <c r="CN112" i="4" s="1"/>
  <c r="CS112" i="4"/>
  <c r="CT112" i="4" s="1"/>
  <c r="DC112" i="4"/>
  <c r="DD112" i="4" s="1"/>
  <c r="DQ112" i="4"/>
  <c r="DR112" i="4" s="1"/>
  <c r="CK112" i="4"/>
  <c r="CL112" i="4" s="1"/>
  <c r="CU112" i="4"/>
  <c r="CV112" i="4" s="1"/>
  <c r="DK112" i="4"/>
  <c r="DL112" i="4" s="1"/>
  <c r="DA112" i="4"/>
  <c r="DB112" i="4" s="1"/>
  <c r="CE112" i="4"/>
  <c r="CF112" i="4" s="1"/>
  <c r="GC102" i="4"/>
  <c r="GD102" i="4" s="1"/>
  <c r="FU102" i="4"/>
  <c r="FV102" i="4" s="1"/>
  <c r="FM102" i="4"/>
  <c r="FN102" i="4" s="1"/>
  <c r="FE102" i="4"/>
  <c r="FF102" i="4" s="1"/>
  <c r="EW102" i="4"/>
  <c r="EX102" i="4" s="1"/>
  <c r="GE102" i="4"/>
  <c r="GF102" i="4" s="1"/>
  <c r="FK102" i="4"/>
  <c r="FL102" i="4" s="1"/>
  <c r="EY102" i="4"/>
  <c r="EZ102" i="4" s="1"/>
  <c r="GG102" i="4"/>
  <c r="GH102" i="4" s="1"/>
  <c r="FY102" i="4"/>
  <c r="FZ102" i="4" s="1"/>
  <c r="FQ102" i="4"/>
  <c r="FR102" i="4" s="1"/>
  <c r="FI102" i="4"/>
  <c r="FJ102" i="4" s="1"/>
  <c r="FA102" i="4"/>
  <c r="FB102" i="4" s="1"/>
  <c r="ET102" i="4"/>
  <c r="GA102" i="4"/>
  <c r="GB102" i="4" s="1"/>
  <c r="FO102" i="4"/>
  <c r="FP102" i="4" s="1"/>
  <c r="EU102" i="4"/>
  <c r="EV102" i="4" s="1"/>
  <c r="GI102" i="4"/>
  <c r="GJ102" i="4" s="1"/>
  <c r="FW102" i="4"/>
  <c r="FX102" i="4" s="1"/>
  <c r="FC102" i="4"/>
  <c r="FD102" i="4" s="1"/>
  <c r="FG102" i="4"/>
  <c r="FH102" i="4" s="1"/>
  <c r="FS102" i="4"/>
  <c r="FT102" i="4" s="1"/>
  <c r="DK123" i="4"/>
  <c r="DL123" i="4" s="1"/>
  <c r="CU123" i="4"/>
  <c r="CV123" i="4" s="1"/>
  <c r="CK123" i="4"/>
  <c r="CL123" i="4" s="1"/>
  <c r="DQ123" i="4"/>
  <c r="DR123" i="4" s="1"/>
  <c r="DE123" i="4"/>
  <c r="DF123" i="4" s="1"/>
  <c r="CO123" i="4"/>
  <c r="CP123" i="4" s="1"/>
  <c r="DI123" i="4"/>
  <c r="DJ123" i="4" s="1"/>
  <c r="CS123" i="4"/>
  <c r="CT123" i="4" s="1"/>
  <c r="CC123" i="4"/>
  <c r="CD123" i="4" s="1"/>
  <c r="DG123" i="4"/>
  <c r="DH123" i="4" s="1"/>
  <c r="CQ123" i="4"/>
  <c r="CR123" i="4" s="1"/>
  <c r="CB123" i="4"/>
  <c r="DA123" i="4"/>
  <c r="DB123" i="4" s="1"/>
  <c r="CI123" i="4"/>
  <c r="CJ123" i="4" s="1"/>
  <c r="CW123" i="4"/>
  <c r="CX123" i="4" s="1"/>
  <c r="DO123" i="4"/>
  <c r="DP123" i="4" s="1"/>
  <c r="CM123" i="4"/>
  <c r="CN123" i="4" s="1"/>
  <c r="CY123" i="4"/>
  <c r="CZ123" i="4" s="1"/>
  <c r="DM123" i="4"/>
  <c r="DN123" i="4" s="1"/>
  <c r="CE123" i="4"/>
  <c r="CF123" i="4" s="1"/>
  <c r="DC123" i="4"/>
  <c r="DD123" i="4" s="1"/>
  <c r="CG123" i="4"/>
  <c r="CH123" i="4" s="1"/>
  <c r="FY153" i="4"/>
  <c r="FZ153" i="4" s="1"/>
  <c r="FA153" i="4"/>
  <c r="FB153" i="4" s="1"/>
  <c r="GI153" i="4"/>
  <c r="GJ153" i="4" s="1"/>
  <c r="FK153" i="4"/>
  <c r="FL153" i="4" s="1"/>
  <c r="FU153" i="4"/>
  <c r="FV153" i="4" s="1"/>
  <c r="FI153" i="4"/>
  <c r="FJ153" i="4" s="1"/>
  <c r="EW153" i="4"/>
  <c r="EX153" i="4" s="1"/>
  <c r="FC153" i="4"/>
  <c r="FD153" i="4" s="1"/>
  <c r="FS153" i="4"/>
  <c r="FT153" i="4" s="1"/>
  <c r="GC153" i="4"/>
  <c r="GD153" i="4" s="1"/>
  <c r="FQ153" i="4"/>
  <c r="FR153" i="4" s="1"/>
  <c r="FE153" i="4"/>
  <c r="FF153" i="4" s="1"/>
  <c r="ET153" i="4"/>
  <c r="FO153" i="4"/>
  <c r="FP153" i="4" s="1"/>
  <c r="FM153" i="4"/>
  <c r="FN153" i="4" s="1"/>
  <c r="EU153" i="4"/>
  <c r="EV153" i="4" s="1"/>
  <c r="GG153" i="4"/>
  <c r="GH153" i="4" s="1"/>
  <c r="FW153" i="4"/>
  <c r="FX153" i="4" s="1"/>
  <c r="GA153" i="4"/>
  <c r="GB153" i="4" s="1"/>
  <c r="EY153" i="4"/>
  <c r="EZ153" i="4" s="1"/>
  <c r="GE153" i="4"/>
  <c r="GF153" i="4" s="1"/>
  <c r="FG153" i="4"/>
  <c r="FH153" i="4" s="1"/>
  <c r="FS66" i="4"/>
  <c r="FT66" i="4" s="1"/>
  <c r="FG66" i="4"/>
  <c r="FH66" i="4" s="1"/>
  <c r="GI66" i="4"/>
  <c r="GJ66" i="4" s="1"/>
  <c r="FW66" i="4"/>
  <c r="FX66" i="4" s="1"/>
  <c r="FC66" i="4"/>
  <c r="FD66" i="4" s="1"/>
  <c r="GC66" i="4"/>
  <c r="GD66" i="4" s="1"/>
  <c r="FU66" i="4"/>
  <c r="FV66" i="4" s="1"/>
  <c r="FM66" i="4"/>
  <c r="FN66" i="4" s="1"/>
  <c r="FE66" i="4"/>
  <c r="FF66" i="4" s="1"/>
  <c r="EW66" i="4"/>
  <c r="EX66" i="4" s="1"/>
  <c r="GE66" i="4"/>
  <c r="GF66" i="4" s="1"/>
  <c r="FK66" i="4"/>
  <c r="FL66" i="4" s="1"/>
  <c r="EY66" i="4"/>
  <c r="EZ66" i="4" s="1"/>
  <c r="GG66" i="4"/>
  <c r="GH66" i="4" s="1"/>
  <c r="FA66" i="4"/>
  <c r="FB66" i="4" s="1"/>
  <c r="FQ66" i="4"/>
  <c r="FR66" i="4" s="1"/>
  <c r="GA66" i="4"/>
  <c r="GB66" i="4" s="1"/>
  <c r="FI66" i="4"/>
  <c r="FJ66" i="4" s="1"/>
  <c r="FO66" i="4"/>
  <c r="FP66" i="4" s="1"/>
  <c r="FY66" i="4"/>
  <c r="FZ66" i="4" s="1"/>
  <c r="ET66" i="4"/>
  <c r="EU66" i="4"/>
  <c r="EV66" i="4" s="1"/>
  <c r="GC50" i="4"/>
  <c r="GD50" i="4" s="1"/>
  <c r="FS50" i="4"/>
  <c r="FT50" i="4" s="1"/>
  <c r="EW50" i="4"/>
  <c r="EX50" i="4" s="1"/>
  <c r="FG50" i="4"/>
  <c r="FH50" i="4" s="1"/>
  <c r="FQ50" i="4"/>
  <c r="FR50" i="4" s="1"/>
  <c r="GI50" i="4"/>
  <c r="GJ50" i="4" s="1"/>
  <c r="EU50" i="4"/>
  <c r="EV50" i="4" s="1"/>
  <c r="FW50" i="4"/>
  <c r="FX50" i="4" s="1"/>
  <c r="FA50" i="4"/>
  <c r="FB50" i="4" s="1"/>
  <c r="FK50" i="4"/>
  <c r="FL50" i="4" s="1"/>
  <c r="FO50" i="4"/>
  <c r="FP50" i="4" s="1"/>
  <c r="ET50" i="4"/>
  <c r="GA50" i="4"/>
  <c r="GB50" i="4" s="1"/>
  <c r="GE50" i="4"/>
  <c r="GF50" i="4" s="1"/>
  <c r="EY50" i="4"/>
  <c r="EZ50" i="4" s="1"/>
  <c r="FI50" i="4"/>
  <c r="FJ50" i="4" s="1"/>
  <c r="FC50" i="4"/>
  <c r="FD50" i="4" s="1"/>
  <c r="FE50" i="4"/>
  <c r="FF50" i="4" s="1"/>
  <c r="GG50" i="4"/>
  <c r="GH50" i="4" s="1"/>
  <c r="FM50" i="4"/>
  <c r="FN50" i="4" s="1"/>
  <c r="FY50" i="4"/>
  <c r="FZ50" i="4" s="1"/>
  <c r="FU50" i="4"/>
  <c r="FV50" i="4" s="1"/>
  <c r="CY36" i="4"/>
  <c r="CZ36" i="4" s="1"/>
  <c r="CM36" i="4"/>
  <c r="CN36" i="4" s="1"/>
  <c r="CW36" i="4"/>
  <c r="CX36" i="4" s="1"/>
  <c r="CC36" i="4"/>
  <c r="CD36" i="4" s="1"/>
  <c r="DA36" i="4"/>
  <c r="DB36" i="4" s="1"/>
  <c r="DE36" i="4"/>
  <c r="DF36" i="4" s="1"/>
  <c r="DI36" i="4"/>
  <c r="DJ36" i="4" s="1"/>
  <c r="DO36" i="4"/>
  <c r="DP36" i="4" s="1"/>
  <c r="DC36" i="4"/>
  <c r="DD36" i="4" s="1"/>
  <c r="CI36" i="4"/>
  <c r="CJ36" i="4" s="1"/>
  <c r="DM36" i="4"/>
  <c r="DN36" i="4" s="1"/>
  <c r="CG36" i="4"/>
  <c r="CH36" i="4" s="1"/>
  <c r="DQ36" i="4"/>
  <c r="DR36" i="4" s="1"/>
  <c r="CK36" i="4"/>
  <c r="CL36" i="4" s="1"/>
  <c r="CO36" i="4"/>
  <c r="CP36" i="4" s="1"/>
  <c r="CS36" i="4"/>
  <c r="CT36" i="4" s="1"/>
  <c r="DK36" i="4"/>
  <c r="DL36" i="4" s="1"/>
  <c r="CQ36" i="4"/>
  <c r="CR36" i="4" s="1"/>
  <c r="CE36" i="4"/>
  <c r="CF36" i="4" s="1"/>
  <c r="DG36" i="4"/>
  <c r="DH36" i="4" s="1"/>
  <c r="CU36" i="4"/>
  <c r="CV36" i="4" s="1"/>
  <c r="CB36" i="4"/>
  <c r="DI102" i="4"/>
  <c r="DJ102" i="4" s="1"/>
  <c r="CW102" i="4"/>
  <c r="CX102" i="4" s="1"/>
  <c r="CC102" i="4"/>
  <c r="CD102" i="4" s="1"/>
  <c r="DG102" i="4"/>
  <c r="DH102" i="4" s="1"/>
  <c r="CM102" i="4"/>
  <c r="CN102" i="4" s="1"/>
  <c r="CB102" i="4"/>
  <c r="DM102" i="4"/>
  <c r="DN102" i="4" s="1"/>
  <c r="DA102" i="4"/>
  <c r="DB102" i="4" s="1"/>
  <c r="CK102" i="4"/>
  <c r="CL102" i="4" s="1"/>
  <c r="CY102" i="4"/>
  <c r="CZ102" i="4" s="1"/>
  <c r="CI102" i="4"/>
  <c r="CJ102" i="4" s="1"/>
  <c r="DE102" i="4"/>
  <c r="DF102" i="4" s="1"/>
  <c r="CS102" i="4"/>
  <c r="CT102" i="4" s="1"/>
  <c r="CQ102" i="4"/>
  <c r="CR102" i="4" s="1"/>
  <c r="CE102" i="4"/>
  <c r="CF102" i="4" s="1"/>
  <c r="DQ102" i="4"/>
  <c r="DR102" i="4" s="1"/>
  <c r="CO102" i="4"/>
  <c r="CP102" i="4" s="1"/>
  <c r="DO102" i="4"/>
  <c r="DP102" i="4" s="1"/>
  <c r="DC102" i="4"/>
  <c r="DD102" i="4" s="1"/>
  <c r="CU102" i="4"/>
  <c r="CV102" i="4" s="1"/>
  <c r="CG102" i="4"/>
  <c r="CH102" i="4" s="1"/>
  <c r="DK102" i="4"/>
  <c r="DL102" i="4" s="1"/>
  <c r="FK48" i="4"/>
  <c r="FL48" i="4" s="1"/>
  <c r="GA48" i="4"/>
  <c r="GB48" i="4" s="1"/>
  <c r="EU48" i="4"/>
  <c r="EV48" i="4" s="1"/>
  <c r="FS48" i="4"/>
  <c r="FT48" i="4" s="1"/>
  <c r="GI48" i="4"/>
  <c r="GJ48" i="4" s="1"/>
  <c r="FC48" i="4"/>
  <c r="FD48" i="4" s="1"/>
  <c r="FG48" i="4"/>
  <c r="FH48" i="4" s="1"/>
  <c r="FQ48" i="4"/>
  <c r="FR48" i="4" s="1"/>
  <c r="GC48" i="4"/>
  <c r="GD48" i="4" s="1"/>
  <c r="EW48" i="4"/>
  <c r="EX48" i="4" s="1"/>
  <c r="GG48" i="4"/>
  <c r="GH48" i="4" s="1"/>
  <c r="FM48" i="4"/>
  <c r="FN48" i="4" s="1"/>
  <c r="FO48" i="4"/>
  <c r="FP48" i="4" s="1"/>
  <c r="ET48" i="4"/>
  <c r="GE48" i="4"/>
  <c r="GF48" i="4" s="1"/>
  <c r="EY48" i="4"/>
  <c r="EZ48" i="4" s="1"/>
  <c r="FI48" i="4"/>
  <c r="FJ48" i="4" s="1"/>
  <c r="FU48" i="4"/>
  <c r="FV48" i="4" s="1"/>
  <c r="FW48" i="4"/>
  <c r="FX48" i="4" s="1"/>
  <c r="FA48" i="4"/>
  <c r="FB48" i="4" s="1"/>
  <c r="FY48" i="4"/>
  <c r="FZ48" i="4" s="1"/>
  <c r="FE48" i="4"/>
  <c r="FF48" i="4" s="1"/>
  <c r="GI140" i="4"/>
  <c r="GJ140" i="4" s="1"/>
  <c r="GA140" i="4"/>
  <c r="GB140" i="4" s="1"/>
  <c r="FS140" i="4"/>
  <c r="FT140" i="4" s="1"/>
  <c r="FK140" i="4"/>
  <c r="FL140" i="4" s="1"/>
  <c r="FC140" i="4"/>
  <c r="FD140" i="4" s="1"/>
  <c r="EU140" i="4"/>
  <c r="EV140" i="4" s="1"/>
  <c r="FE140" i="4"/>
  <c r="FF140" i="4" s="1"/>
  <c r="FI140" i="4"/>
  <c r="FJ140" i="4" s="1"/>
  <c r="FQ140" i="4"/>
  <c r="FR140" i="4" s="1"/>
  <c r="GE140" i="4"/>
  <c r="GF140" i="4" s="1"/>
  <c r="FW140" i="4"/>
  <c r="FX140" i="4" s="1"/>
  <c r="FO140" i="4"/>
  <c r="FP140" i="4" s="1"/>
  <c r="FG140" i="4"/>
  <c r="FH140" i="4" s="1"/>
  <c r="EY140" i="4"/>
  <c r="EZ140" i="4" s="1"/>
  <c r="FU140" i="4"/>
  <c r="FV140" i="4" s="1"/>
  <c r="FY140" i="4"/>
  <c r="FZ140" i="4" s="1"/>
  <c r="ET140" i="4"/>
  <c r="EW140" i="4"/>
  <c r="EX140" i="4" s="1"/>
  <c r="GC140" i="4"/>
  <c r="GD140" i="4" s="1"/>
  <c r="FA140" i="4"/>
  <c r="FB140" i="4" s="1"/>
  <c r="FM140" i="4"/>
  <c r="FN140" i="4" s="1"/>
  <c r="GG140" i="4"/>
  <c r="GH140" i="4" s="1"/>
  <c r="GI22" i="4"/>
  <c r="GJ22" i="4" s="1"/>
  <c r="GA22" i="4"/>
  <c r="GB22" i="4" s="1"/>
  <c r="FS22" i="4"/>
  <c r="FT22" i="4" s="1"/>
  <c r="FK22" i="4"/>
  <c r="FL22" i="4" s="1"/>
  <c r="FC22" i="4"/>
  <c r="FD22" i="4" s="1"/>
  <c r="EU22" i="4"/>
  <c r="EV22" i="4" s="1"/>
  <c r="GC22" i="4"/>
  <c r="GD22" i="4" s="1"/>
  <c r="FU22" i="4"/>
  <c r="FV22" i="4" s="1"/>
  <c r="FM22" i="4"/>
  <c r="FN22" i="4" s="1"/>
  <c r="FE22" i="4"/>
  <c r="FF22" i="4" s="1"/>
  <c r="EW22" i="4"/>
  <c r="EX22" i="4" s="1"/>
  <c r="GE22" i="4"/>
  <c r="GF22" i="4" s="1"/>
  <c r="FO22" i="4"/>
  <c r="FP22" i="4" s="1"/>
  <c r="EY22" i="4"/>
  <c r="EZ22" i="4" s="1"/>
  <c r="FY22" i="4"/>
  <c r="FZ22" i="4" s="1"/>
  <c r="FI22" i="4"/>
  <c r="FJ22" i="4" s="1"/>
  <c r="ET22" i="4"/>
  <c r="FW22" i="4"/>
  <c r="FX22" i="4" s="1"/>
  <c r="GG22" i="4"/>
  <c r="GH22" i="4" s="1"/>
  <c r="FA22" i="4"/>
  <c r="FB22" i="4" s="1"/>
  <c r="FG22" i="4"/>
  <c r="FH22" i="4" s="1"/>
  <c r="FQ22" i="4"/>
  <c r="FR22" i="4" s="1"/>
  <c r="DI74" i="4"/>
  <c r="DJ74" i="4" s="1"/>
  <c r="CC74" i="4"/>
  <c r="CD74" i="4" s="1"/>
  <c r="CM74" i="4"/>
  <c r="CN74" i="4" s="1"/>
  <c r="CW74" i="4"/>
  <c r="CX74" i="4" s="1"/>
  <c r="DG74" i="4"/>
  <c r="DH74" i="4" s="1"/>
  <c r="CB74" i="4"/>
  <c r="DC74" i="4"/>
  <c r="DD74" i="4" s="1"/>
  <c r="CQ74" i="4"/>
  <c r="CR74" i="4" s="1"/>
  <c r="DQ74" i="4"/>
  <c r="DR74" i="4" s="1"/>
  <c r="CU74" i="4"/>
  <c r="CV74" i="4" s="1"/>
  <c r="DO74" i="4"/>
  <c r="DP74" i="4" s="1"/>
  <c r="CI74" i="4"/>
  <c r="CJ74" i="4" s="1"/>
  <c r="DA74" i="4"/>
  <c r="DB74" i="4" s="1"/>
  <c r="DK74" i="4"/>
  <c r="DL74" i="4" s="1"/>
  <c r="CE74" i="4"/>
  <c r="CF74" i="4" s="1"/>
  <c r="CO74" i="4"/>
  <c r="CP74" i="4" s="1"/>
  <c r="CY74" i="4"/>
  <c r="CZ74" i="4" s="1"/>
  <c r="CS74" i="4"/>
  <c r="CT74" i="4" s="1"/>
  <c r="DM74" i="4"/>
  <c r="DN74" i="4" s="1"/>
  <c r="CG74" i="4"/>
  <c r="CH74" i="4" s="1"/>
  <c r="CK74" i="4"/>
  <c r="CL74" i="4" s="1"/>
  <c r="DE74" i="4"/>
  <c r="DF74" i="4" s="1"/>
  <c r="GC92" i="4"/>
  <c r="GD92" i="4" s="1"/>
  <c r="FU92" i="4"/>
  <c r="FV92" i="4" s="1"/>
  <c r="FM92" i="4"/>
  <c r="FN92" i="4" s="1"/>
  <c r="FE92" i="4"/>
  <c r="FF92" i="4" s="1"/>
  <c r="EW92" i="4"/>
  <c r="EX92" i="4" s="1"/>
  <c r="FS92" i="4"/>
  <c r="FT92" i="4" s="1"/>
  <c r="FK92" i="4"/>
  <c r="FL92" i="4" s="1"/>
  <c r="EY92" i="4"/>
  <c r="EZ92" i="4" s="1"/>
  <c r="GG92" i="4"/>
  <c r="GH92" i="4" s="1"/>
  <c r="FY92" i="4"/>
  <c r="FZ92" i="4" s="1"/>
  <c r="FQ92" i="4"/>
  <c r="FR92" i="4" s="1"/>
  <c r="FI92" i="4"/>
  <c r="FJ92" i="4" s="1"/>
  <c r="FA92" i="4"/>
  <c r="FB92" i="4" s="1"/>
  <c r="ET92" i="4"/>
  <c r="FC92" i="4"/>
  <c r="FD92" i="4" s="1"/>
  <c r="GA92" i="4"/>
  <c r="GB92" i="4" s="1"/>
  <c r="FO92" i="4"/>
  <c r="FP92" i="4" s="1"/>
  <c r="GI92" i="4"/>
  <c r="GJ92" i="4" s="1"/>
  <c r="FW92" i="4"/>
  <c r="FX92" i="4" s="1"/>
  <c r="GE92" i="4"/>
  <c r="GF92" i="4" s="1"/>
  <c r="FG92" i="4"/>
  <c r="FH92" i="4" s="1"/>
  <c r="EU92" i="4"/>
  <c r="EV92" i="4" s="1"/>
  <c r="GG112" i="4"/>
  <c r="GH112" i="4" s="1"/>
  <c r="FM112" i="4"/>
  <c r="FN112" i="4" s="1"/>
  <c r="FA112" i="4"/>
  <c r="FB112" i="4" s="1"/>
  <c r="GI112" i="4"/>
  <c r="GJ112" i="4" s="1"/>
  <c r="FO112" i="4"/>
  <c r="FP112" i="4" s="1"/>
  <c r="GC112" i="4"/>
  <c r="GD112" i="4" s="1"/>
  <c r="FQ112" i="4"/>
  <c r="FR112" i="4" s="1"/>
  <c r="EW112" i="4"/>
  <c r="EX112" i="4" s="1"/>
  <c r="GE112" i="4"/>
  <c r="GF112" i="4" s="1"/>
  <c r="FS112" i="4"/>
  <c r="FT112" i="4" s="1"/>
  <c r="FG112" i="4"/>
  <c r="FH112" i="4" s="1"/>
  <c r="EU112" i="4"/>
  <c r="EV112" i="4" s="1"/>
  <c r="FY112" i="4"/>
  <c r="FZ112" i="4" s="1"/>
  <c r="FE112" i="4"/>
  <c r="FF112" i="4" s="1"/>
  <c r="ET112" i="4"/>
  <c r="GA112" i="4"/>
  <c r="GB112" i="4" s="1"/>
  <c r="FC112" i="4"/>
  <c r="FD112" i="4" s="1"/>
  <c r="FU112" i="4"/>
  <c r="FV112" i="4" s="1"/>
  <c r="FW112" i="4"/>
  <c r="FX112" i="4" s="1"/>
  <c r="EY112" i="4"/>
  <c r="EZ112" i="4" s="1"/>
  <c r="FK112" i="4"/>
  <c r="FL112" i="4" s="1"/>
  <c r="FI112" i="4"/>
  <c r="FJ112" i="4" s="1"/>
  <c r="DI135" i="4"/>
  <c r="DJ135" i="4" s="1"/>
  <c r="CW135" i="4"/>
  <c r="CX135" i="4" s="1"/>
  <c r="CC135" i="4"/>
  <c r="CD135" i="4" s="1"/>
  <c r="DG135" i="4"/>
  <c r="DH135" i="4" s="1"/>
  <c r="CM135" i="4"/>
  <c r="CN135" i="4" s="1"/>
  <c r="CB135" i="4"/>
  <c r="DM135" i="4"/>
  <c r="DN135" i="4" s="1"/>
  <c r="CS135" i="4"/>
  <c r="CT135" i="4" s="1"/>
  <c r="CG135" i="4"/>
  <c r="CH135" i="4" s="1"/>
  <c r="DC135" i="4"/>
  <c r="DD135" i="4" s="1"/>
  <c r="CQ135" i="4"/>
  <c r="CR135" i="4" s="1"/>
  <c r="DA135" i="4"/>
  <c r="DB135" i="4" s="1"/>
  <c r="CO135" i="4"/>
  <c r="CP135" i="4" s="1"/>
  <c r="DK135" i="4"/>
  <c r="DL135" i="4" s="1"/>
  <c r="CY135" i="4"/>
  <c r="CZ135" i="4" s="1"/>
  <c r="CE135" i="4"/>
  <c r="CF135" i="4" s="1"/>
  <c r="CU135" i="4"/>
  <c r="CV135" i="4" s="1"/>
  <c r="DQ135" i="4"/>
  <c r="DR135" i="4" s="1"/>
  <c r="DO135" i="4"/>
  <c r="DP135" i="4" s="1"/>
  <c r="DE135" i="4"/>
  <c r="DF135" i="4" s="1"/>
  <c r="CK135" i="4"/>
  <c r="CL135" i="4" s="1"/>
  <c r="CI135" i="4"/>
  <c r="CJ135" i="4" s="1"/>
  <c r="FG123" i="4"/>
  <c r="FH123" i="4" s="1"/>
  <c r="GA123" i="4"/>
  <c r="GB123" i="4" s="1"/>
  <c r="GE123" i="4"/>
  <c r="GF123" i="4" s="1"/>
  <c r="FE123" i="4"/>
  <c r="FF123" i="4" s="1"/>
  <c r="FY123" i="4"/>
  <c r="FZ123" i="4" s="1"/>
  <c r="FS123" i="4"/>
  <c r="FT123" i="4" s="1"/>
  <c r="FW123" i="4"/>
  <c r="FX123" i="4" s="1"/>
  <c r="EW123" i="4"/>
  <c r="EX123" i="4" s="1"/>
  <c r="FA123" i="4"/>
  <c r="FB123" i="4" s="1"/>
  <c r="FU123" i="4"/>
  <c r="FV123" i="4" s="1"/>
  <c r="ET123" i="4"/>
  <c r="EU123" i="4"/>
  <c r="EV123" i="4" s="1"/>
  <c r="EY123" i="4"/>
  <c r="EZ123" i="4" s="1"/>
  <c r="FC123" i="4"/>
  <c r="FD123" i="4" s="1"/>
  <c r="FM123" i="4"/>
  <c r="FN123" i="4" s="1"/>
  <c r="FQ123" i="4"/>
  <c r="FR123" i="4" s="1"/>
  <c r="FI123" i="4"/>
  <c r="FJ123" i="4" s="1"/>
  <c r="FK123" i="4"/>
  <c r="FL123" i="4" s="1"/>
  <c r="FO123" i="4"/>
  <c r="FP123" i="4" s="1"/>
  <c r="GI123" i="4"/>
  <c r="GJ123" i="4" s="1"/>
  <c r="GG123" i="4"/>
  <c r="GH123" i="4" s="1"/>
  <c r="GC123" i="4"/>
  <c r="GD123" i="4" s="1"/>
  <c r="DI153" i="4"/>
  <c r="DJ153" i="4" s="1"/>
  <c r="DA153" i="4"/>
  <c r="DB153" i="4" s="1"/>
  <c r="DO153" i="4"/>
  <c r="DP153" i="4" s="1"/>
  <c r="CI153" i="4"/>
  <c r="CJ153" i="4" s="1"/>
  <c r="DQ153" i="4"/>
  <c r="DR153" i="4" s="1"/>
  <c r="CQ153" i="4"/>
  <c r="CR153" i="4" s="1"/>
  <c r="DC153" i="4"/>
  <c r="DD153" i="4" s="1"/>
  <c r="CK153" i="4"/>
  <c r="CL153" i="4" s="1"/>
  <c r="DE153" i="4"/>
  <c r="DF153" i="4" s="1"/>
  <c r="DK153" i="4"/>
  <c r="DL153" i="4" s="1"/>
  <c r="CU153" i="4"/>
  <c r="CV153" i="4" s="1"/>
  <c r="CC153" i="4"/>
  <c r="CD153" i="4" s="1"/>
  <c r="CO153" i="4"/>
  <c r="CP153" i="4" s="1"/>
  <c r="DG153" i="4"/>
  <c r="DH153" i="4" s="1"/>
  <c r="DM153" i="4"/>
  <c r="DN153" i="4" s="1"/>
  <c r="CB153" i="4"/>
  <c r="CM153" i="4"/>
  <c r="CN153" i="4" s="1"/>
  <c r="CW153" i="4"/>
  <c r="CX153" i="4" s="1"/>
  <c r="CY153" i="4"/>
  <c r="CZ153" i="4" s="1"/>
  <c r="CE153" i="4"/>
  <c r="CF153" i="4" s="1"/>
  <c r="CS153" i="4"/>
  <c r="CT153" i="4" s="1"/>
  <c r="CG153" i="4"/>
  <c r="CH153" i="4" s="1"/>
  <c r="GA57" i="4"/>
  <c r="GB57" i="4" s="1"/>
  <c r="FE57" i="4"/>
  <c r="FF57" i="4" s="1"/>
  <c r="FK57" i="4"/>
  <c r="FL57" i="4" s="1"/>
  <c r="FU57" i="4"/>
  <c r="FV57" i="4" s="1"/>
  <c r="EU57" i="4"/>
  <c r="EV57" i="4" s="1"/>
  <c r="GE57" i="4"/>
  <c r="GF57" i="4" s="1"/>
  <c r="FO57" i="4"/>
  <c r="FP57" i="4" s="1"/>
  <c r="EY57" i="4"/>
  <c r="EZ57" i="4" s="1"/>
  <c r="GC57" i="4"/>
  <c r="GD57" i="4" s="1"/>
  <c r="FM57" i="4"/>
  <c r="FN57" i="4" s="1"/>
  <c r="EW57" i="4"/>
  <c r="EX57" i="4" s="1"/>
  <c r="FW57" i="4"/>
  <c r="FX57" i="4" s="1"/>
  <c r="FG57" i="4"/>
  <c r="FH57" i="4" s="1"/>
  <c r="GI57" i="4"/>
  <c r="GJ57" i="4" s="1"/>
  <c r="FS57" i="4"/>
  <c r="FT57" i="4" s="1"/>
  <c r="FC57" i="4"/>
  <c r="FD57" i="4" s="1"/>
  <c r="GG57" i="4"/>
  <c r="GH57" i="4" s="1"/>
  <c r="FQ57" i="4"/>
  <c r="FR57" i="4" s="1"/>
  <c r="FA57" i="4"/>
  <c r="FB57" i="4" s="1"/>
  <c r="FI57" i="4"/>
  <c r="FJ57" i="4" s="1"/>
  <c r="ET57" i="4"/>
  <c r="FY57" i="4"/>
  <c r="FZ57" i="4" s="1"/>
  <c r="DQ19" i="4"/>
  <c r="DR19" i="4" s="1"/>
  <c r="DI19" i="4"/>
  <c r="DJ19" i="4" s="1"/>
  <c r="DA19" i="4"/>
  <c r="DB19" i="4" s="1"/>
  <c r="CS19" i="4"/>
  <c r="CT19" i="4" s="1"/>
  <c r="CK19" i="4"/>
  <c r="CL19" i="4" s="1"/>
  <c r="CC19" i="4"/>
  <c r="CD19" i="4" s="1"/>
  <c r="DK19" i="4"/>
  <c r="DL19" i="4" s="1"/>
  <c r="DC19" i="4"/>
  <c r="DD19" i="4" s="1"/>
  <c r="CU19" i="4"/>
  <c r="CV19" i="4" s="1"/>
  <c r="CM19" i="4"/>
  <c r="CN19" i="4" s="1"/>
  <c r="CE19" i="4"/>
  <c r="CF19" i="4" s="1"/>
  <c r="DM19" i="4"/>
  <c r="DN19" i="4" s="1"/>
  <c r="DE19" i="4"/>
  <c r="DF19" i="4" s="1"/>
  <c r="CW19" i="4"/>
  <c r="CX19" i="4" s="1"/>
  <c r="CO19" i="4"/>
  <c r="CP19" i="4" s="1"/>
  <c r="CG19" i="4"/>
  <c r="CH19" i="4" s="1"/>
  <c r="DO19" i="4"/>
  <c r="DP19" i="4" s="1"/>
  <c r="DG19" i="4"/>
  <c r="DH19" i="4" s="1"/>
  <c r="CY19" i="4"/>
  <c r="CZ19" i="4" s="1"/>
  <c r="CQ19" i="4"/>
  <c r="CR19" i="4" s="1"/>
  <c r="CI19" i="4"/>
  <c r="CJ19" i="4" s="1"/>
  <c r="CB19" i="4"/>
  <c r="FS107" i="4"/>
  <c r="FT107" i="4" s="1"/>
  <c r="FI107" i="4"/>
  <c r="FJ107" i="4" s="1"/>
  <c r="GC107" i="4"/>
  <c r="GD107" i="4" s="1"/>
  <c r="FM107" i="4"/>
  <c r="FN107" i="4" s="1"/>
  <c r="EW107" i="4"/>
  <c r="EX107" i="4" s="1"/>
  <c r="GA107" i="4"/>
  <c r="GB107" i="4" s="1"/>
  <c r="FK107" i="4"/>
  <c r="FL107" i="4" s="1"/>
  <c r="EU107" i="4"/>
  <c r="EV107" i="4" s="1"/>
  <c r="FU107" i="4"/>
  <c r="FV107" i="4" s="1"/>
  <c r="FE107" i="4"/>
  <c r="FF107" i="4" s="1"/>
  <c r="GI107" i="4"/>
  <c r="GJ107" i="4" s="1"/>
  <c r="FG107" i="4"/>
  <c r="FH107" i="4" s="1"/>
  <c r="FQ107" i="4"/>
  <c r="FR107" i="4" s="1"/>
  <c r="GE107" i="4"/>
  <c r="GF107" i="4" s="1"/>
  <c r="EY107" i="4"/>
  <c r="EZ107" i="4" s="1"/>
  <c r="FY107" i="4"/>
  <c r="FZ107" i="4" s="1"/>
  <c r="FC107" i="4"/>
  <c r="FD107" i="4" s="1"/>
  <c r="GG107" i="4"/>
  <c r="GH107" i="4" s="1"/>
  <c r="ET107" i="4"/>
  <c r="FA107" i="4"/>
  <c r="FB107" i="4" s="1"/>
  <c r="FW107" i="4"/>
  <c r="FX107" i="4" s="1"/>
  <c r="FO107" i="4"/>
  <c r="FP107" i="4" s="1"/>
  <c r="FK147" i="4"/>
  <c r="FL147" i="4" s="1"/>
  <c r="GI147" i="4"/>
  <c r="GJ147" i="4" s="1"/>
  <c r="FY147" i="4"/>
  <c r="FZ147" i="4" s="1"/>
  <c r="GE147" i="4"/>
  <c r="GF147" i="4" s="1"/>
  <c r="FI147" i="4"/>
  <c r="FJ147" i="4" s="1"/>
  <c r="FO147" i="4"/>
  <c r="FP147" i="4" s="1"/>
  <c r="FA147" i="4"/>
  <c r="FB147" i="4" s="1"/>
  <c r="ET147" i="4"/>
  <c r="GA147" i="4"/>
  <c r="GB147" i="4" s="1"/>
  <c r="FE147" i="4"/>
  <c r="FF147" i="4" s="1"/>
  <c r="EY147" i="4"/>
  <c r="EZ147" i="4" s="1"/>
  <c r="FS147" i="4"/>
  <c r="FT147" i="4" s="1"/>
  <c r="EU147" i="4"/>
  <c r="EV147" i="4" s="1"/>
  <c r="FG147" i="4"/>
  <c r="FH147" i="4" s="1"/>
  <c r="EW147" i="4"/>
  <c r="EX147" i="4" s="1"/>
  <c r="GG147" i="4"/>
  <c r="GH147" i="4" s="1"/>
  <c r="GC147" i="4"/>
  <c r="GD147" i="4" s="1"/>
  <c r="FU147" i="4"/>
  <c r="FV147" i="4" s="1"/>
  <c r="FW147" i="4"/>
  <c r="FX147" i="4" s="1"/>
  <c r="FQ147" i="4"/>
  <c r="FR147" i="4" s="1"/>
  <c r="FM147" i="4"/>
  <c r="FN147" i="4" s="1"/>
  <c r="FC147" i="4"/>
  <c r="FD147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DM132" i="4"/>
  <c r="DN132" i="4" s="1"/>
  <c r="CW132" i="4"/>
  <c r="CX132" i="4" s="1"/>
  <c r="CG132" i="4"/>
  <c r="CH132" i="4" s="1"/>
  <c r="DQ132" i="4"/>
  <c r="DR132" i="4" s="1"/>
  <c r="DA132" i="4"/>
  <c r="DB132" i="4" s="1"/>
  <c r="CK132" i="4"/>
  <c r="CL132" i="4" s="1"/>
  <c r="DI132" i="4"/>
  <c r="DJ132" i="4" s="1"/>
  <c r="CC132" i="4"/>
  <c r="CD132" i="4" s="1"/>
  <c r="CO132" i="4"/>
  <c r="CP132" i="4" s="1"/>
  <c r="CS132" i="4"/>
  <c r="CT132" i="4" s="1"/>
  <c r="DE132" i="4"/>
  <c r="DF132" i="4" s="1"/>
  <c r="GI23" i="4"/>
  <c r="GJ23" i="4" s="1"/>
  <c r="GA23" i="4"/>
  <c r="GB23" i="4" s="1"/>
  <c r="FS23" i="4"/>
  <c r="FT23" i="4" s="1"/>
  <c r="FK23" i="4"/>
  <c r="FL23" i="4" s="1"/>
  <c r="FC23" i="4"/>
  <c r="FD23" i="4" s="1"/>
  <c r="EU23" i="4"/>
  <c r="EV23" i="4" s="1"/>
  <c r="GG23" i="4"/>
  <c r="GH23" i="4" s="1"/>
  <c r="FU23" i="4"/>
  <c r="FV23" i="4" s="1"/>
  <c r="FA23" i="4"/>
  <c r="FB23" i="4" s="1"/>
  <c r="FW23" i="4"/>
  <c r="FX23" i="4" s="1"/>
  <c r="FQ23" i="4"/>
  <c r="FR23" i="4" s="1"/>
  <c r="GC23" i="4"/>
  <c r="GD23" i="4" s="1"/>
  <c r="FI23" i="4"/>
  <c r="FJ23" i="4" s="1"/>
  <c r="EW23" i="4"/>
  <c r="EX23" i="4" s="1"/>
  <c r="GE23" i="4"/>
  <c r="GF23" i="4" s="1"/>
  <c r="EY23" i="4"/>
  <c r="EZ23" i="4" s="1"/>
  <c r="FY23" i="4"/>
  <c r="FZ23" i="4" s="1"/>
  <c r="FM23" i="4"/>
  <c r="FN23" i="4" s="1"/>
  <c r="ET23" i="4"/>
  <c r="FO23" i="4"/>
  <c r="FP23" i="4" s="1"/>
  <c r="FE23" i="4"/>
  <c r="FF23" i="4" s="1"/>
  <c r="FG23" i="4"/>
  <c r="FH23" i="4" s="1"/>
  <c r="FU132" i="4"/>
  <c r="FV132" i="4" s="1"/>
  <c r="FE132" i="4"/>
  <c r="FF132" i="4" s="1"/>
  <c r="EU132" i="4"/>
  <c r="EV132" i="4" s="1"/>
  <c r="FK132" i="4"/>
  <c r="FL132" i="4" s="1"/>
  <c r="GA132" i="4"/>
  <c r="GB132" i="4" s="1"/>
  <c r="GI132" i="4"/>
  <c r="GJ132" i="4" s="1"/>
  <c r="FS132" i="4"/>
  <c r="FT132" i="4" s="1"/>
  <c r="FC132" i="4"/>
  <c r="FD132" i="4" s="1"/>
  <c r="GG132" i="4"/>
  <c r="GH132" i="4" s="1"/>
  <c r="FQ132" i="4"/>
  <c r="FR132" i="4" s="1"/>
  <c r="FA132" i="4"/>
  <c r="FB132" i="4" s="1"/>
  <c r="GE132" i="4"/>
  <c r="GF132" i="4" s="1"/>
  <c r="FO132" i="4"/>
  <c r="FP132" i="4" s="1"/>
  <c r="EY132" i="4"/>
  <c r="EZ132" i="4" s="1"/>
  <c r="FY132" i="4"/>
  <c r="FZ132" i="4" s="1"/>
  <c r="FI132" i="4"/>
  <c r="FJ132" i="4" s="1"/>
  <c r="ET132" i="4"/>
  <c r="GC132" i="4"/>
  <c r="GD132" i="4" s="1"/>
  <c r="FG132" i="4"/>
  <c r="FH132" i="4" s="1"/>
  <c r="FM132" i="4"/>
  <c r="FN132" i="4" s="1"/>
  <c r="FW132" i="4"/>
  <c r="FX132" i="4" s="1"/>
  <c r="EW132" i="4"/>
  <c r="EX132" i="4" s="1"/>
  <c r="GC34" i="4"/>
  <c r="GD34" i="4" s="1"/>
  <c r="FU34" i="4"/>
  <c r="FV34" i="4" s="1"/>
  <c r="FM34" i="4"/>
  <c r="FN34" i="4" s="1"/>
  <c r="FE34" i="4"/>
  <c r="FF34" i="4" s="1"/>
  <c r="EW34" i="4"/>
  <c r="EX34" i="4" s="1"/>
  <c r="FO34" i="4"/>
  <c r="FP34" i="4" s="1"/>
  <c r="GA34" i="4"/>
  <c r="GB34" i="4" s="1"/>
  <c r="GI34" i="4"/>
  <c r="GJ34" i="4" s="1"/>
  <c r="FC34" i="4"/>
  <c r="FD34" i="4" s="1"/>
  <c r="FG34" i="4"/>
  <c r="FH34" i="4" s="1"/>
  <c r="GE34" i="4"/>
  <c r="GF34" i="4" s="1"/>
  <c r="EY34" i="4"/>
  <c r="EZ34" i="4" s="1"/>
  <c r="FK34" i="4"/>
  <c r="FL34" i="4" s="1"/>
  <c r="FS34" i="4"/>
  <c r="FT34" i="4" s="1"/>
  <c r="FW34" i="4"/>
  <c r="FX34" i="4" s="1"/>
  <c r="EU34" i="4"/>
  <c r="EV34" i="4" s="1"/>
  <c r="FY34" i="4"/>
  <c r="FZ34" i="4" s="1"/>
  <c r="ET34" i="4"/>
  <c r="FQ34" i="4"/>
  <c r="FR34" i="4" s="1"/>
  <c r="GG34" i="4"/>
  <c r="GH34" i="4" s="1"/>
  <c r="FA34" i="4"/>
  <c r="FB34" i="4" s="1"/>
  <c r="FI34" i="4"/>
  <c r="FJ34" i="4" s="1"/>
  <c r="DQ23" i="4"/>
  <c r="DR23" i="4" s="1"/>
  <c r="DI23" i="4"/>
  <c r="DJ23" i="4" s="1"/>
  <c r="DA23" i="4"/>
  <c r="DB23" i="4" s="1"/>
  <c r="CS23" i="4"/>
  <c r="CT23" i="4" s="1"/>
  <c r="CK23" i="4"/>
  <c r="CL23" i="4" s="1"/>
  <c r="CC23" i="4"/>
  <c r="CD23" i="4" s="1"/>
  <c r="DK23" i="4"/>
  <c r="DL23" i="4" s="1"/>
  <c r="DC23" i="4"/>
  <c r="DD23" i="4" s="1"/>
  <c r="CU23" i="4"/>
  <c r="CV23" i="4" s="1"/>
  <c r="CM23" i="4"/>
  <c r="CN23" i="4" s="1"/>
  <c r="CE23" i="4"/>
  <c r="CF23" i="4" s="1"/>
  <c r="DE23" i="4"/>
  <c r="DF23" i="4" s="1"/>
  <c r="DO23" i="4"/>
  <c r="DP23" i="4" s="1"/>
  <c r="CI23" i="4"/>
  <c r="CJ23" i="4" s="1"/>
  <c r="CO23" i="4"/>
  <c r="CP23" i="4" s="1"/>
  <c r="DG23" i="4"/>
  <c r="DH23" i="4" s="1"/>
  <c r="CB23" i="4"/>
  <c r="DM23" i="4"/>
  <c r="DN23" i="4" s="1"/>
  <c r="CW23" i="4"/>
  <c r="CX23" i="4" s="1"/>
  <c r="CG23" i="4"/>
  <c r="CH23" i="4" s="1"/>
  <c r="CY23" i="4"/>
  <c r="CZ23" i="4" s="1"/>
  <c r="CQ23" i="4"/>
  <c r="CR23" i="4" s="1"/>
  <c r="GC79" i="4"/>
  <c r="GD79" i="4" s="1"/>
  <c r="FM79" i="4"/>
  <c r="FN79" i="4" s="1"/>
  <c r="EW79" i="4"/>
  <c r="EX79" i="4" s="1"/>
  <c r="GI79" i="4"/>
  <c r="GJ79" i="4" s="1"/>
  <c r="GA79" i="4"/>
  <c r="GB79" i="4" s="1"/>
  <c r="FS79" i="4"/>
  <c r="FT79" i="4" s="1"/>
  <c r="FK79" i="4"/>
  <c r="FL79" i="4" s="1"/>
  <c r="FC79" i="4"/>
  <c r="FD79" i="4" s="1"/>
  <c r="EU79" i="4"/>
  <c r="EV79" i="4" s="1"/>
  <c r="FQ79" i="4"/>
  <c r="FR79" i="4" s="1"/>
  <c r="FU79" i="4"/>
  <c r="FV79" i="4" s="1"/>
  <c r="FY79" i="4"/>
  <c r="FZ79" i="4" s="1"/>
  <c r="ET79" i="4"/>
  <c r="FG79" i="4"/>
  <c r="FH79" i="4" s="1"/>
  <c r="FE79" i="4"/>
  <c r="FF79" i="4" s="1"/>
  <c r="GE79" i="4"/>
  <c r="GF79" i="4" s="1"/>
  <c r="EY79" i="4"/>
  <c r="EZ79" i="4" s="1"/>
  <c r="FI79" i="4"/>
  <c r="FJ79" i="4" s="1"/>
  <c r="FO79" i="4"/>
  <c r="FP79" i="4" s="1"/>
  <c r="FA79" i="4"/>
  <c r="FB79" i="4" s="1"/>
  <c r="GG79" i="4"/>
  <c r="GH79" i="4" s="1"/>
  <c r="FW79" i="4"/>
  <c r="FX79" i="4" s="1"/>
  <c r="DM125" i="4"/>
  <c r="DN125" i="4" s="1"/>
  <c r="DO125" i="4"/>
  <c r="DP125" i="4" s="1"/>
  <c r="DE125" i="4"/>
  <c r="DF125" i="4" s="1"/>
  <c r="CW125" i="4"/>
  <c r="CX125" i="4" s="1"/>
  <c r="CQ125" i="4"/>
  <c r="CR125" i="4" s="1"/>
  <c r="CI125" i="4"/>
  <c r="CJ125" i="4" s="1"/>
  <c r="DI125" i="4"/>
  <c r="DJ125" i="4" s="1"/>
  <c r="CU125" i="4"/>
  <c r="CV125" i="4" s="1"/>
  <c r="CC125" i="4"/>
  <c r="CD125" i="4" s="1"/>
  <c r="DA125" i="4"/>
  <c r="DB125" i="4" s="1"/>
  <c r="CM125" i="4"/>
  <c r="CN125" i="4" s="1"/>
  <c r="CO125" i="4"/>
  <c r="CP125" i="4" s="1"/>
  <c r="DK125" i="4"/>
  <c r="DL125" i="4" s="1"/>
  <c r="CK125" i="4"/>
  <c r="CL125" i="4" s="1"/>
  <c r="CY125" i="4"/>
  <c r="CZ125" i="4" s="1"/>
  <c r="CB125" i="4"/>
  <c r="DC125" i="4"/>
  <c r="DD125" i="4" s="1"/>
  <c r="CE125" i="4"/>
  <c r="CF125" i="4" s="1"/>
  <c r="DQ125" i="4"/>
  <c r="DR125" i="4" s="1"/>
  <c r="CS125" i="4"/>
  <c r="CT125" i="4" s="1"/>
  <c r="CG125" i="4"/>
  <c r="CH125" i="4" s="1"/>
  <c r="DG125" i="4"/>
  <c r="DH125" i="4" s="1"/>
  <c r="DA107" i="4"/>
  <c r="DB107" i="4" s="1"/>
  <c r="DQ107" i="4"/>
  <c r="DR107" i="4" s="1"/>
  <c r="DK107" i="4"/>
  <c r="DL107" i="4" s="1"/>
  <c r="DO107" i="4"/>
  <c r="DP107" i="4" s="1"/>
  <c r="CY107" i="4"/>
  <c r="CZ107" i="4" s="1"/>
  <c r="CI107" i="4"/>
  <c r="CJ107" i="4" s="1"/>
  <c r="DC107" i="4"/>
  <c r="DD107" i="4" s="1"/>
  <c r="CM107" i="4"/>
  <c r="CN107" i="4" s="1"/>
  <c r="DM107" i="4"/>
  <c r="DN107" i="4" s="1"/>
  <c r="CW107" i="4"/>
  <c r="CX107" i="4" s="1"/>
  <c r="CG107" i="4"/>
  <c r="CH107" i="4" s="1"/>
  <c r="DE107" i="4"/>
  <c r="DF107" i="4" s="1"/>
  <c r="CO107" i="4"/>
  <c r="CP107" i="4" s="1"/>
  <c r="DI107" i="4"/>
  <c r="DJ107" i="4" s="1"/>
  <c r="CS107" i="4"/>
  <c r="CT107" i="4" s="1"/>
  <c r="CC107" i="4"/>
  <c r="CD107" i="4" s="1"/>
  <c r="DG107" i="4"/>
  <c r="DH107" i="4" s="1"/>
  <c r="CQ107" i="4"/>
  <c r="CR107" i="4" s="1"/>
  <c r="CB107" i="4"/>
  <c r="CE107" i="4"/>
  <c r="CF107" i="4" s="1"/>
  <c r="CK107" i="4"/>
  <c r="CL107" i="4" s="1"/>
  <c r="CU107" i="4"/>
  <c r="CV107" i="4" s="1"/>
  <c r="CU121" i="4"/>
  <c r="CV121" i="4" s="1"/>
  <c r="CE121" i="4"/>
  <c r="CF121" i="4" s="1"/>
  <c r="CM121" i="4"/>
  <c r="CN121" i="4" s="1"/>
  <c r="CI121" i="4"/>
  <c r="CJ121" i="4" s="1"/>
  <c r="DO121" i="4"/>
  <c r="DP121" i="4" s="1"/>
  <c r="DG121" i="4"/>
  <c r="DH121" i="4" s="1"/>
  <c r="CY121" i="4"/>
  <c r="CZ121" i="4" s="1"/>
  <c r="DM121" i="4"/>
  <c r="DN121" i="4" s="1"/>
  <c r="DE121" i="4"/>
  <c r="DF121" i="4" s="1"/>
  <c r="CW121" i="4"/>
  <c r="CX121" i="4" s="1"/>
  <c r="CO121" i="4"/>
  <c r="CP121" i="4" s="1"/>
  <c r="CG121" i="4"/>
  <c r="CH121" i="4" s="1"/>
  <c r="CB121" i="4"/>
  <c r="DI121" i="4"/>
  <c r="DJ121" i="4" s="1"/>
  <c r="CC121" i="4"/>
  <c r="CD121" i="4" s="1"/>
  <c r="DK121" i="4"/>
  <c r="DL121" i="4" s="1"/>
  <c r="DA121" i="4"/>
  <c r="DB121" i="4" s="1"/>
  <c r="DQ121" i="4"/>
  <c r="DR121" i="4" s="1"/>
  <c r="CK121" i="4"/>
  <c r="CL121" i="4" s="1"/>
  <c r="CQ121" i="4"/>
  <c r="CR121" i="4" s="1"/>
  <c r="CS121" i="4"/>
  <c r="CT121" i="4" s="1"/>
  <c r="DC121" i="4"/>
  <c r="DD121" i="4" s="1"/>
  <c r="DM137" i="4"/>
  <c r="DN137" i="4" s="1"/>
  <c r="CG137" i="4"/>
  <c r="CH137" i="4" s="1"/>
  <c r="CW137" i="4"/>
  <c r="CX137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A137" i="4"/>
  <c r="DB137" i="4" s="1"/>
  <c r="DE137" i="4"/>
  <c r="DF137" i="4" s="1"/>
  <c r="DI137" i="4"/>
  <c r="DJ137" i="4" s="1"/>
  <c r="CC137" i="4"/>
  <c r="CD137" i="4" s="1"/>
  <c r="DQ137" i="4"/>
  <c r="DR137" i="4" s="1"/>
  <c r="CK137" i="4"/>
  <c r="CL137" i="4" s="1"/>
  <c r="CO137" i="4"/>
  <c r="CP137" i="4" s="1"/>
  <c r="CS137" i="4"/>
  <c r="CT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CW131" i="4"/>
  <c r="CX131" i="4" s="1"/>
  <c r="CG131" i="4"/>
  <c r="CH131" i="4" s="1"/>
  <c r="DM131" i="4"/>
  <c r="DN131" i="4" s="1"/>
  <c r="DO131" i="4"/>
  <c r="DP131" i="4" s="1"/>
  <c r="DG131" i="4"/>
  <c r="DH131" i="4" s="1"/>
  <c r="CY131" i="4"/>
  <c r="CZ131" i="4" s="1"/>
  <c r="CQ131" i="4"/>
  <c r="CR131" i="4" s="1"/>
  <c r="CI131" i="4"/>
  <c r="CJ131" i="4" s="1"/>
  <c r="CB131" i="4"/>
  <c r="DQ131" i="4"/>
  <c r="DR131" i="4" s="1"/>
  <c r="CK131" i="4"/>
  <c r="CL131" i="4" s="1"/>
  <c r="CO131" i="4"/>
  <c r="CP131" i="4" s="1"/>
  <c r="CS131" i="4"/>
  <c r="CT131" i="4" s="1"/>
  <c r="DA131" i="4"/>
  <c r="DB131" i="4" s="1"/>
  <c r="DE131" i="4"/>
  <c r="DF131" i="4" s="1"/>
  <c r="DI131" i="4"/>
  <c r="DJ131" i="4" s="1"/>
  <c r="CC131" i="4"/>
  <c r="CD131" i="4" s="1"/>
  <c r="DC131" i="4"/>
  <c r="DD131" i="4" s="1"/>
  <c r="CU131" i="4"/>
  <c r="CV131" i="4" s="1"/>
  <c r="DK131" i="4"/>
  <c r="DL131" i="4" s="1"/>
  <c r="CE131" i="4"/>
  <c r="CF131" i="4" s="1"/>
  <c r="CM131" i="4"/>
  <c r="CN131" i="4" s="1"/>
  <c r="DE147" i="4"/>
  <c r="DF147" i="4" s="1"/>
  <c r="CC147" i="4"/>
  <c r="CD147" i="4" s="1"/>
  <c r="CW147" i="4"/>
  <c r="CX147" i="4" s="1"/>
  <c r="CI147" i="4"/>
  <c r="CJ147" i="4" s="1"/>
  <c r="DC147" i="4"/>
  <c r="DD147" i="4" s="1"/>
  <c r="CG147" i="4"/>
  <c r="CH147" i="4" s="1"/>
  <c r="DO147" i="4"/>
  <c r="DP147" i="4" s="1"/>
  <c r="CE147" i="4"/>
  <c r="CF147" i="4" s="1"/>
  <c r="DG147" i="4"/>
  <c r="DH147" i="4" s="1"/>
  <c r="CQ147" i="4"/>
  <c r="CR147" i="4" s="1"/>
  <c r="CB147" i="4"/>
  <c r="DQ147" i="4"/>
  <c r="DR147" i="4" s="1"/>
  <c r="DA147" i="4"/>
  <c r="DB147" i="4" s="1"/>
  <c r="CK147" i="4"/>
  <c r="CL147" i="4" s="1"/>
  <c r="CO147" i="4"/>
  <c r="CP147" i="4" s="1"/>
  <c r="CM147" i="4"/>
  <c r="CN147" i="4" s="1"/>
  <c r="DM147" i="4"/>
  <c r="DN147" i="4" s="1"/>
  <c r="DI147" i="4"/>
  <c r="DJ147" i="4" s="1"/>
  <c r="CU147" i="4"/>
  <c r="CV147" i="4" s="1"/>
  <c r="DK147" i="4"/>
  <c r="DL147" i="4" s="1"/>
  <c r="CS147" i="4"/>
  <c r="CT147" i="4" s="1"/>
  <c r="CY147" i="4"/>
  <c r="CZ147" i="4" s="1"/>
  <c r="DQ83" i="4"/>
  <c r="DR83" i="4" s="1"/>
  <c r="DI83" i="4"/>
  <c r="DJ83" i="4" s="1"/>
  <c r="DA83" i="4"/>
  <c r="DB83" i="4" s="1"/>
  <c r="CS83" i="4"/>
  <c r="CT83" i="4" s="1"/>
  <c r="CK83" i="4"/>
  <c r="CL83" i="4" s="1"/>
  <c r="CC83" i="4"/>
  <c r="CD83" i="4" s="1"/>
  <c r="DK83" i="4"/>
  <c r="DL83" i="4" s="1"/>
  <c r="DC83" i="4"/>
  <c r="DD83" i="4" s="1"/>
  <c r="CU83" i="4"/>
  <c r="CV83" i="4" s="1"/>
  <c r="CM83" i="4"/>
  <c r="CN83" i="4" s="1"/>
  <c r="CE83" i="4"/>
  <c r="CF83" i="4" s="1"/>
  <c r="DM83" i="4"/>
  <c r="DN83" i="4" s="1"/>
  <c r="DE83" i="4"/>
  <c r="DF83" i="4" s="1"/>
  <c r="CW83" i="4"/>
  <c r="CX83" i="4" s="1"/>
  <c r="CO83" i="4"/>
  <c r="CP83" i="4" s="1"/>
  <c r="CG83" i="4"/>
  <c r="CH83" i="4" s="1"/>
  <c r="DO83" i="4"/>
  <c r="DP83" i="4" s="1"/>
  <c r="DG83" i="4"/>
  <c r="DH83" i="4" s="1"/>
  <c r="CY83" i="4"/>
  <c r="CZ83" i="4" s="1"/>
  <c r="CQ83" i="4"/>
  <c r="CR83" i="4" s="1"/>
  <c r="CI83" i="4"/>
  <c r="CJ83" i="4" s="1"/>
  <c r="CB83" i="4"/>
  <c r="FM80" i="4"/>
  <c r="FN80" i="4" s="1"/>
  <c r="GI80" i="4"/>
  <c r="GJ80" i="4" s="1"/>
  <c r="FQ80" i="4"/>
  <c r="FR80" i="4" s="1"/>
  <c r="FA80" i="4"/>
  <c r="FB80" i="4" s="1"/>
  <c r="GA80" i="4"/>
  <c r="GB80" i="4" s="1"/>
  <c r="FK80" i="4"/>
  <c r="FL80" i="4" s="1"/>
  <c r="EU80" i="4"/>
  <c r="EV80" i="4" s="1"/>
  <c r="FY80" i="4"/>
  <c r="FZ80" i="4" s="1"/>
  <c r="FI80" i="4"/>
  <c r="FJ80" i="4" s="1"/>
  <c r="ET80" i="4"/>
  <c r="GC80" i="4"/>
  <c r="GD80" i="4" s="1"/>
  <c r="FS80" i="4"/>
  <c r="FT80" i="4" s="1"/>
  <c r="FC80" i="4"/>
  <c r="FD80" i="4" s="1"/>
  <c r="EW80" i="4"/>
  <c r="EX80" i="4" s="1"/>
  <c r="FW80" i="4"/>
  <c r="FX80" i="4" s="1"/>
  <c r="FE80" i="4"/>
  <c r="FF80" i="4" s="1"/>
  <c r="FG80" i="4"/>
  <c r="FH80" i="4" s="1"/>
  <c r="GE80" i="4"/>
  <c r="GF80" i="4" s="1"/>
  <c r="FU80" i="4"/>
  <c r="FV80" i="4" s="1"/>
  <c r="EY80" i="4"/>
  <c r="EZ80" i="4" s="1"/>
  <c r="GG80" i="4"/>
  <c r="GH80" i="4" s="1"/>
  <c r="FO80" i="4"/>
  <c r="FP80" i="4" s="1"/>
  <c r="CW104" i="4"/>
  <c r="CX104" i="4" s="1"/>
  <c r="DO104" i="4"/>
  <c r="DP104" i="4" s="1"/>
  <c r="DG104" i="4"/>
  <c r="DH104" i="4" s="1"/>
  <c r="CY104" i="4"/>
  <c r="CZ104" i="4" s="1"/>
  <c r="CQ104" i="4"/>
  <c r="CR104" i="4" s="1"/>
  <c r="CI104" i="4"/>
  <c r="CJ104" i="4" s="1"/>
  <c r="DQ104" i="4"/>
  <c r="DR104" i="4" s="1"/>
  <c r="CK104" i="4"/>
  <c r="CL104" i="4" s="1"/>
  <c r="DE104" i="4"/>
  <c r="DF104" i="4" s="1"/>
  <c r="DI104" i="4"/>
  <c r="DJ104" i="4" s="1"/>
  <c r="CC104" i="4"/>
  <c r="CD104" i="4" s="1"/>
  <c r="CG104" i="4"/>
  <c r="CH104" i="4" s="1"/>
  <c r="DK104" i="4"/>
  <c r="DL104" i="4" s="1"/>
  <c r="CU104" i="4"/>
  <c r="CV104" i="4" s="1"/>
  <c r="CE104" i="4"/>
  <c r="CF104" i="4" s="1"/>
  <c r="CB104" i="4"/>
  <c r="CO104" i="4"/>
  <c r="CP104" i="4" s="1"/>
  <c r="DM104" i="4"/>
  <c r="DN104" i="4" s="1"/>
  <c r="CS104" i="4"/>
  <c r="CT104" i="4" s="1"/>
  <c r="DC104" i="4"/>
  <c r="DD104" i="4" s="1"/>
  <c r="DA104" i="4"/>
  <c r="DB104" i="4" s="1"/>
  <c r="CM104" i="4"/>
  <c r="CN104" i="4" s="1"/>
  <c r="DO68" i="4"/>
  <c r="DP68" i="4" s="1"/>
  <c r="CI68" i="4"/>
  <c r="CJ68" i="4" s="1"/>
  <c r="CQ68" i="4"/>
  <c r="CR68" i="4" s="1"/>
  <c r="CY68" i="4"/>
  <c r="CZ68" i="4" s="1"/>
  <c r="DG68" i="4"/>
  <c r="DH68" i="4" s="1"/>
  <c r="CG68" i="4"/>
  <c r="CH68" i="4" s="1"/>
  <c r="CO68" i="4"/>
  <c r="CP68" i="4" s="1"/>
  <c r="CW68" i="4"/>
  <c r="CX68" i="4" s="1"/>
  <c r="DE68" i="4"/>
  <c r="DF68" i="4" s="1"/>
  <c r="DM68" i="4"/>
  <c r="DN68" i="4" s="1"/>
  <c r="CE68" i="4"/>
  <c r="CF68" i="4" s="1"/>
  <c r="CU68" i="4"/>
  <c r="CV68" i="4" s="1"/>
  <c r="DK68" i="4"/>
  <c r="DL68" i="4" s="1"/>
  <c r="CC68" i="4"/>
  <c r="CD68" i="4" s="1"/>
  <c r="CS68" i="4"/>
  <c r="CT68" i="4" s="1"/>
  <c r="DI68" i="4"/>
  <c r="DJ68" i="4" s="1"/>
  <c r="CK68" i="4"/>
  <c r="CL68" i="4" s="1"/>
  <c r="DA68" i="4"/>
  <c r="DB68" i="4" s="1"/>
  <c r="DQ68" i="4"/>
  <c r="DR68" i="4" s="1"/>
  <c r="CB68" i="4"/>
  <c r="DC68" i="4"/>
  <c r="DD68" i="4" s="1"/>
  <c r="CM68" i="4"/>
  <c r="CN68" i="4" s="1"/>
  <c r="DK99" i="4"/>
  <c r="DL99" i="4" s="1"/>
  <c r="DC99" i="4"/>
  <c r="DD99" i="4" s="1"/>
  <c r="CU99" i="4"/>
  <c r="CV99" i="4" s="1"/>
  <c r="CM99" i="4"/>
  <c r="CN99" i="4" s="1"/>
  <c r="CE99" i="4"/>
  <c r="CF99" i="4" s="1"/>
  <c r="DG99" i="4"/>
  <c r="DH99" i="4" s="1"/>
  <c r="CB99" i="4"/>
  <c r="CC99" i="4"/>
  <c r="CD99" i="4" s="1"/>
  <c r="DQ99" i="4"/>
  <c r="DR99" i="4" s="1"/>
  <c r="CG99" i="4"/>
  <c r="CH99" i="4" s="1"/>
  <c r="DO99" i="4"/>
  <c r="DP99" i="4" s="1"/>
  <c r="CI99" i="4"/>
  <c r="CJ99" i="4" s="1"/>
  <c r="DI99" i="4"/>
  <c r="DJ99" i="4" s="1"/>
  <c r="DE99" i="4"/>
  <c r="DF99" i="4" s="1"/>
  <c r="DM99" i="4"/>
  <c r="DN99" i="4" s="1"/>
  <c r="CY99" i="4"/>
  <c r="CZ99" i="4" s="1"/>
  <c r="CO99" i="4"/>
  <c r="CP99" i="4" s="1"/>
  <c r="CK99" i="4"/>
  <c r="CL99" i="4" s="1"/>
  <c r="CQ99" i="4"/>
  <c r="CR99" i="4" s="1"/>
  <c r="DA99" i="4"/>
  <c r="DB99" i="4" s="1"/>
  <c r="CW99" i="4"/>
  <c r="CX99" i="4" s="1"/>
  <c r="CS99" i="4"/>
  <c r="CT9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Q80" i="4"/>
  <c r="DR80" i="4" s="1"/>
  <c r="DI80" i="4"/>
  <c r="DJ80" i="4" s="1"/>
  <c r="DA80" i="4"/>
  <c r="DB80" i="4" s="1"/>
  <c r="CS80" i="4"/>
  <c r="CT80" i="4" s="1"/>
  <c r="CK80" i="4"/>
  <c r="CL80" i="4" s="1"/>
  <c r="CC80" i="4"/>
  <c r="CD80" i="4" s="1"/>
  <c r="CW80" i="4"/>
  <c r="CX80" i="4" s="1"/>
  <c r="CO80" i="4"/>
  <c r="CP80" i="4" s="1"/>
  <c r="DE80" i="4"/>
  <c r="DF80" i="4" s="1"/>
  <c r="DM80" i="4"/>
  <c r="DN80" i="4" s="1"/>
  <c r="CG80" i="4"/>
  <c r="CH80" i="4" s="1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G57" i="4"/>
  <c r="CH57" i="4" s="1"/>
  <c r="CC57" i="4"/>
  <c r="CD57" i="4" s="1"/>
  <c r="FU104" i="4"/>
  <c r="FV104" i="4" s="1"/>
  <c r="FE104" i="4"/>
  <c r="FF104" i="4" s="1"/>
  <c r="GI104" i="4"/>
  <c r="GJ104" i="4" s="1"/>
  <c r="GA104" i="4"/>
  <c r="GB104" i="4" s="1"/>
  <c r="FS104" i="4"/>
  <c r="FT104" i="4" s="1"/>
  <c r="FK104" i="4"/>
  <c r="FL104" i="4" s="1"/>
  <c r="GC104" i="4"/>
  <c r="GD104" i="4" s="1"/>
  <c r="EW104" i="4"/>
  <c r="EX104" i="4" s="1"/>
  <c r="FQ104" i="4"/>
  <c r="FR104" i="4" s="1"/>
  <c r="EY104" i="4"/>
  <c r="EZ104" i="4" s="1"/>
  <c r="FI104" i="4"/>
  <c r="FJ104" i="4" s="1"/>
  <c r="FM104" i="4"/>
  <c r="FN104" i="4" s="1"/>
  <c r="FW104" i="4"/>
  <c r="FX104" i="4" s="1"/>
  <c r="FG104" i="4"/>
  <c r="FH104" i="4" s="1"/>
  <c r="EU104" i="4"/>
  <c r="EV104" i="4" s="1"/>
  <c r="GE104" i="4"/>
  <c r="GF104" i="4" s="1"/>
  <c r="FO104" i="4"/>
  <c r="FP104" i="4" s="1"/>
  <c r="FY104" i="4"/>
  <c r="FZ104" i="4" s="1"/>
  <c r="GG104" i="4"/>
  <c r="GH104" i="4" s="1"/>
  <c r="FC104" i="4"/>
  <c r="FD104" i="4" s="1"/>
  <c r="FA104" i="4"/>
  <c r="FB104" i="4" s="1"/>
  <c r="ET104" i="4"/>
  <c r="GE68" i="4"/>
  <c r="GF68" i="4" s="1"/>
  <c r="FW68" i="4"/>
  <c r="FX68" i="4" s="1"/>
  <c r="FO68" i="4"/>
  <c r="FP68" i="4" s="1"/>
  <c r="FG68" i="4"/>
  <c r="FH68" i="4" s="1"/>
  <c r="EY68" i="4"/>
  <c r="EZ68" i="4" s="1"/>
  <c r="GG68" i="4"/>
  <c r="GH68" i="4" s="1"/>
  <c r="FY68" i="4"/>
  <c r="FZ68" i="4" s="1"/>
  <c r="FQ68" i="4"/>
  <c r="FR68" i="4" s="1"/>
  <c r="FI68" i="4"/>
  <c r="FJ68" i="4" s="1"/>
  <c r="FA68" i="4"/>
  <c r="FB68" i="4" s="1"/>
  <c r="ET68" i="4"/>
  <c r="FS68" i="4"/>
  <c r="FT68" i="4" s="1"/>
  <c r="GC68" i="4"/>
  <c r="GD68" i="4" s="1"/>
  <c r="EW68" i="4"/>
  <c r="EX68" i="4" s="1"/>
  <c r="FK68" i="4"/>
  <c r="FL68" i="4" s="1"/>
  <c r="FU68" i="4"/>
  <c r="FV68" i="4" s="1"/>
  <c r="GA68" i="4"/>
  <c r="GB68" i="4" s="1"/>
  <c r="EU68" i="4"/>
  <c r="EV68" i="4" s="1"/>
  <c r="FE68" i="4"/>
  <c r="FF68" i="4" s="1"/>
  <c r="GI68" i="4"/>
  <c r="GJ68" i="4" s="1"/>
  <c r="FC68" i="4"/>
  <c r="FD68" i="4" s="1"/>
  <c r="FM68" i="4"/>
  <c r="FN68" i="4" s="1"/>
  <c r="DM117" i="4"/>
  <c r="DN117" i="4" s="1"/>
  <c r="DE117" i="4"/>
  <c r="DF117" i="4" s="1"/>
  <c r="CW117" i="4"/>
  <c r="CX117" i="4" s="1"/>
  <c r="CO117" i="4"/>
  <c r="CP117" i="4" s="1"/>
  <c r="CG117" i="4"/>
  <c r="CH117" i="4" s="1"/>
  <c r="DO117" i="4"/>
  <c r="DP117" i="4" s="1"/>
  <c r="CI117" i="4"/>
  <c r="CJ117" i="4" s="1"/>
  <c r="CM117" i="4"/>
  <c r="CN117" i="4" s="1"/>
  <c r="CQ117" i="4"/>
  <c r="CR117" i="4" s="1"/>
  <c r="CU117" i="4"/>
  <c r="CV117" i="4" s="1"/>
  <c r="CE117" i="4"/>
  <c r="CF117" i="4" s="1"/>
  <c r="DK117" i="4"/>
  <c r="DL117" i="4" s="1"/>
  <c r="DQ117" i="4"/>
  <c r="DR117" i="4" s="1"/>
  <c r="CK117" i="4"/>
  <c r="CL117" i="4" s="1"/>
  <c r="DG117" i="4"/>
  <c r="DH117" i="4" s="1"/>
  <c r="DI117" i="4"/>
  <c r="DJ117" i="4" s="1"/>
  <c r="CC117" i="4"/>
  <c r="CD117" i="4" s="1"/>
  <c r="CB117" i="4"/>
  <c r="DA117" i="4"/>
  <c r="DB117" i="4" s="1"/>
  <c r="CS117" i="4"/>
  <c r="CT117" i="4" s="1"/>
  <c r="DC117" i="4"/>
  <c r="DD117" i="4" s="1"/>
  <c r="CY117" i="4"/>
  <c r="CZ117" i="4" s="1"/>
  <c r="GE99" i="4"/>
  <c r="GF99" i="4" s="1"/>
  <c r="FK99" i="4"/>
  <c r="FL99" i="4" s="1"/>
  <c r="EY99" i="4"/>
  <c r="EZ99" i="4" s="1"/>
  <c r="FQ99" i="4"/>
  <c r="FR99" i="4" s="1"/>
  <c r="FM99" i="4"/>
  <c r="FN99" i="4" s="1"/>
  <c r="GA99" i="4"/>
  <c r="GB99" i="4" s="1"/>
  <c r="EU99" i="4"/>
  <c r="EV99" i="4" s="1"/>
  <c r="FS99" i="4"/>
  <c r="FT99" i="4" s="1"/>
  <c r="FG99" i="4"/>
  <c r="FH99" i="4" s="1"/>
  <c r="FE99" i="4"/>
  <c r="FF99" i="4" s="1"/>
  <c r="FA99" i="4"/>
  <c r="FB99" i="4" s="1"/>
  <c r="FI99" i="4"/>
  <c r="FJ99" i="4" s="1"/>
  <c r="EW99" i="4"/>
  <c r="EX99" i="4" s="1"/>
  <c r="GI99" i="4"/>
  <c r="GJ99" i="4" s="1"/>
  <c r="FW99" i="4"/>
  <c r="FX99" i="4" s="1"/>
  <c r="FC99" i="4"/>
  <c r="FD99" i="4" s="1"/>
  <c r="FU99" i="4"/>
  <c r="FV99" i="4" s="1"/>
  <c r="GC99" i="4"/>
  <c r="GD99" i="4" s="1"/>
  <c r="FY99" i="4"/>
  <c r="FZ99" i="4" s="1"/>
  <c r="FO99" i="4"/>
  <c r="FP99" i="4" s="1"/>
  <c r="GG99" i="4"/>
  <c r="GH99" i="4" s="1"/>
  <c r="ET99" i="4"/>
  <c r="ES19" i="4"/>
  <c r="DK106" i="4"/>
  <c r="DL106" i="4" s="1"/>
  <c r="DG106" i="4"/>
  <c r="DH106" i="4" s="1"/>
  <c r="CQ106" i="4"/>
  <c r="CR106" i="4" s="1"/>
  <c r="CI106" i="4"/>
  <c r="CJ106" i="4" s="1"/>
  <c r="DO106" i="4"/>
  <c r="DP106" i="4" s="1"/>
  <c r="CM106" i="4"/>
  <c r="CN106" i="4" s="1"/>
  <c r="CY106" i="4"/>
  <c r="CZ106" i="4" s="1"/>
  <c r="CB106" i="4"/>
  <c r="DQ106" i="4"/>
  <c r="DR106" i="4" s="1"/>
  <c r="DI106" i="4"/>
  <c r="DJ106" i="4" s="1"/>
  <c r="DA106" i="4"/>
  <c r="DB106" i="4" s="1"/>
  <c r="CS106" i="4"/>
  <c r="CT106" i="4" s="1"/>
  <c r="CK106" i="4"/>
  <c r="CL106" i="4" s="1"/>
  <c r="CC106" i="4"/>
  <c r="CD106" i="4" s="1"/>
  <c r="CO106" i="4"/>
  <c r="CP106" i="4" s="1"/>
  <c r="CE106" i="4"/>
  <c r="CF106" i="4" s="1"/>
  <c r="CW106" i="4"/>
  <c r="CX106" i="4" s="1"/>
  <c r="DC106" i="4"/>
  <c r="DD106" i="4" s="1"/>
  <c r="CU106" i="4"/>
  <c r="CV106" i="4" s="1"/>
  <c r="DM106" i="4"/>
  <c r="DN106" i="4" s="1"/>
  <c r="CG106" i="4"/>
  <c r="CH106" i="4" s="1"/>
  <c r="DE106" i="4"/>
  <c r="DF106" i="4" s="1"/>
  <c r="DM98" i="4"/>
  <c r="DN98" i="4" s="1"/>
  <c r="DE98" i="4"/>
  <c r="DF98" i="4" s="1"/>
  <c r="CW98" i="4"/>
  <c r="CX98" i="4" s="1"/>
  <c r="CO98" i="4"/>
  <c r="CP98" i="4" s="1"/>
  <c r="CG98" i="4"/>
  <c r="CH98" i="4" s="1"/>
  <c r="DO98" i="4"/>
  <c r="DP98" i="4" s="1"/>
  <c r="DG98" i="4"/>
  <c r="DH98" i="4" s="1"/>
  <c r="CY98" i="4"/>
  <c r="CZ98" i="4" s="1"/>
  <c r="CQ98" i="4"/>
  <c r="CR98" i="4" s="1"/>
  <c r="CI98" i="4"/>
  <c r="CJ98" i="4" s="1"/>
  <c r="CB98" i="4"/>
  <c r="DQ98" i="4"/>
  <c r="DR98" i="4" s="1"/>
  <c r="DA98" i="4"/>
  <c r="DB98" i="4" s="1"/>
  <c r="CK98" i="4"/>
  <c r="CL98" i="4" s="1"/>
  <c r="DK98" i="4"/>
  <c r="DL98" i="4" s="1"/>
  <c r="CU98" i="4"/>
  <c r="CV98" i="4" s="1"/>
  <c r="CE98" i="4"/>
  <c r="CF98" i="4" s="1"/>
  <c r="DI98" i="4"/>
  <c r="DJ98" i="4" s="1"/>
  <c r="CS98" i="4"/>
  <c r="CT98" i="4" s="1"/>
  <c r="CC98" i="4"/>
  <c r="CD98" i="4" s="1"/>
  <c r="DC98" i="4"/>
  <c r="DD98" i="4" s="1"/>
  <c r="CM98" i="4"/>
  <c r="CN98" i="4" s="1"/>
  <c r="DK133" i="4"/>
  <c r="DL133" i="4" s="1"/>
  <c r="CE133" i="4"/>
  <c r="CF133" i="4" s="1"/>
  <c r="CQ133" i="4"/>
  <c r="CR133" i="4" s="1"/>
  <c r="CB133" i="4"/>
  <c r="CM133" i="4"/>
  <c r="CN133" i="4" s="1"/>
  <c r="DC133" i="4"/>
  <c r="DD133" i="4" s="1"/>
  <c r="DG133" i="4"/>
  <c r="DH133" i="4" s="1"/>
  <c r="DQ133" i="4"/>
  <c r="DR133" i="4" s="1"/>
  <c r="DI133" i="4"/>
  <c r="DJ133" i="4" s="1"/>
  <c r="DA133" i="4"/>
  <c r="DB133" i="4" s="1"/>
  <c r="CS133" i="4"/>
  <c r="CT133" i="4" s="1"/>
  <c r="CK133" i="4"/>
  <c r="CL133" i="4" s="1"/>
  <c r="CC133" i="4"/>
  <c r="CD133" i="4" s="1"/>
  <c r="CY133" i="4"/>
  <c r="CZ133" i="4" s="1"/>
  <c r="CI133" i="4"/>
  <c r="CJ133" i="4" s="1"/>
  <c r="DO133" i="4"/>
  <c r="DP133" i="4" s="1"/>
  <c r="CU133" i="4"/>
  <c r="CV133" i="4" s="1"/>
  <c r="DE133" i="4"/>
  <c r="DF133" i="4" s="1"/>
  <c r="CW133" i="4"/>
  <c r="CX133" i="4" s="1"/>
  <c r="DM133" i="4"/>
  <c r="DN133" i="4" s="1"/>
  <c r="CG133" i="4"/>
  <c r="CH133" i="4" s="1"/>
  <c r="CO133" i="4"/>
  <c r="CP133" i="4" s="1"/>
  <c r="GG117" i="4"/>
  <c r="GH117" i="4" s="1"/>
  <c r="FY117" i="4"/>
  <c r="FZ117" i="4" s="1"/>
  <c r="FQ117" i="4"/>
  <c r="FR117" i="4" s="1"/>
  <c r="FI117" i="4"/>
  <c r="FJ117" i="4" s="1"/>
  <c r="FA117" i="4"/>
  <c r="FB117" i="4" s="1"/>
  <c r="ET117" i="4"/>
  <c r="GI117" i="4"/>
  <c r="GJ117" i="4" s="1"/>
  <c r="FC117" i="4"/>
  <c r="FD117" i="4" s="1"/>
  <c r="FG117" i="4"/>
  <c r="FH117" i="4" s="1"/>
  <c r="FK117" i="4"/>
  <c r="FL117" i="4" s="1"/>
  <c r="EY117" i="4"/>
  <c r="EZ117" i="4" s="1"/>
  <c r="GE117" i="4"/>
  <c r="GF117" i="4" s="1"/>
  <c r="FS117" i="4"/>
  <c r="FT117" i="4" s="1"/>
  <c r="FW117" i="4"/>
  <c r="FX117" i="4" s="1"/>
  <c r="GA117" i="4"/>
  <c r="GB117" i="4" s="1"/>
  <c r="EU117" i="4"/>
  <c r="EV117" i="4" s="1"/>
  <c r="FO117" i="4"/>
  <c r="FP117" i="4" s="1"/>
  <c r="FU117" i="4"/>
  <c r="FV117" i="4" s="1"/>
  <c r="FM117" i="4"/>
  <c r="FN117" i="4" s="1"/>
  <c r="FE117" i="4"/>
  <c r="FF117" i="4" s="1"/>
  <c r="GC117" i="4"/>
  <c r="GD117" i="4" s="1"/>
  <c r="EW117" i="4"/>
  <c r="EX117" i="4" s="1"/>
  <c r="FQ121" i="4"/>
  <c r="FR121" i="4" s="1"/>
  <c r="GG121" i="4"/>
  <c r="GH121" i="4" s="1"/>
  <c r="GA121" i="4"/>
  <c r="GB121" i="4" s="1"/>
  <c r="FK121" i="4"/>
  <c r="FL121" i="4" s="1"/>
  <c r="FC121" i="4"/>
  <c r="FD121" i="4" s="1"/>
  <c r="EU121" i="4"/>
  <c r="EV121" i="4" s="1"/>
  <c r="FY121" i="4"/>
  <c r="FZ121" i="4" s="1"/>
  <c r="GI121" i="4"/>
  <c r="GJ121" i="4" s="1"/>
  <c r="FS121" i="4"/>
  <c r="FT121" i="4" s="1"/>
  <c r="FI121" i="4"/>
  <c r="FJ121" i="4" s="1"/>
  <c r="FA121" i="4"/>
  <c r="FB121" i="4" s="1"/>
  <c r="ET121" i="4"/>
  <c r="FW121" i="4"/>
  <c r="FX121" i="4" s="1"/>
  <c r="GE121" i="4"/>
  <c r="GF121" i="4" s="1"/>
  <c r="FE121" i="4"/>
  <c r="FF121" i="4" s="1"/>
  <c r="FU121" i="4"/>
  <c r="FV121" i="4" s="1"/>
  <c r="FO121" i="4"/>
  <c r="FP121" i="4" s="1"/>
  <c r="EW121" i="4"/>
  <c r="EX121" i="4" s="1"/>
  <c r="EY121" i="4"/>
  <c r="EZ121" i="4" s="1"/>
  <c r="FM121" i="4"/>
  <c r="FN121" i="4" s="1"/>
  <c r="FG121" i="4"/>
  <c r="FH121" i="4" s="1"/>
  <c r="GC121" i="4"/>
  <c r="GD121" i="4" s="1"/>
  <c r="GI137" i="4"/>
  <c r="GJ137" i="4" s="1"/>
  <c r="GA137" i="4"/>
  <c r="GB137" i="4" s="1"/>
  <c r="FS137" i="4"/>
  <c r="FT137" i="4" s="1"/>
  <c r="FK137" i="4"/>
  <c r="FL137" i="4" s="1"/>
  <c r="FC137" i="4"/>
  <c r="FD137" i="4" s="1"/>
  <c r="EU137" i="4"/>
  <c r="EV137" i="4" s="1"/>
  <c r="FI137" i="4"/>
  <c r="FJ137" i="4" s="1"/>
  <c r="FM137" i="4"/>
  <c r="FN137" i="4" s="1"/>
  <c r="GG137" i="4"/>
  <c r="GH137" i="4" s="1"/>
  <c r="FA137" i="4"/>
  <c r="FB137" i="4" s="1"/>
  <c r="FU137" i="4"/>
  <c r="FV137" i="4" s="1"/>
  <c r="GC137" i="4"/>
  <c r="GD137" i="4" s="1"/>
  <c r="EW137" i="4"/>
  <c r="EX137" i="4" s="1"/>
  <c r="FQ137" i="4"/>
  <c r="FR137" i="4" s="1"/>
  <c r="FE137" i="4"/>
  <c r="FF137" i="4" s="1"/>
  <c r="FW137" i="4"/>
  <c r="FX137" i="4" s="1"/>
  <c r="FY137" i="4"/>
  <c r="FZ137" i="4" s="1"/>
  <c r="FO137" i="4"/>
  <c r="FP137" i="4" s="1"/>
  <c r="ET137" i="4"/>
  <c r="GE137" i="4"/>
  <c r="GF137" i="4" s="1"/>
  <c r="EY137" i="4"/>
  <c r="EZ137" i="4" s="1"/>
  <c r="FG137" i="4"/>
  <c r="FH137" i="4" s="1"/>
  <c r="FE131" i="4"/>
  <c r="FF131" i="4" s="1"/>
  <c r="FM131" i="4"/>
  <c r="FN131" i="4" s="1"/>
  <c r="GG131" i="4"/>
  <c r="GH131" i="4" s="1"/>
  <c r="FA131" i="4"/>
  <c r="FB131" i="4" s="1"/>
  <c r="GE131" i="4"/>
  <c r="GF131" i="4" s="1"/>
  <c r="FW131" i="4"/>
  <c r="FX131" i="4" s="1"/>
  <c r="FO131" i="4"/>
  <c r="FP131" i="4" s="1"/>
  <c r="FG131" i="4"/>
  <c r="FH131" i="4" s="1"/>
  <c r="EY131" i="4"/>
  <c r="EZ131" i="4" s="1"/>
  <c r="FY131" i="4"/>
  <c r="FZ131" i="4" s="1"/>
  <c r="ET131" i="4"/>
  <c r="FU131" i="4"/>
  <c r="FV131" i="4" s="1"/>
  <c r="GI131" i="4"/>
  <c r="GJ131" i="4" s="1"/>
  <c r="GA131" i="4"/>
  <c r="GB131" i="4" s="1"/>
  <c r="FS131" i="4"/>
  <c r="FT131" i="4" s="1"/>
  <c r="FK131" i="4"/>
  <c r="FL131" i="4" s="1"/>
  <c r="FC131" i="4"/>
  <c r="FD131" i="4" s="1"/>
  <c r="EU131" i="4"/>
  <c r="EV131" i="4" s="1"/>
  <c r="FI131" i="4"/>
  <c r="FJ131" i="4" s="1"/>
  <c r="GC131" i="4"/>
  <c r="GD131" i="4" s="1"/>
  <c r="FQ131" i="4"/>
  <c r="FR131" i="4" s="1"/>
  <c r="EW131" i="4"/>
  <c r="EX131" i="4" s="1"/>
  <c r="GE83" i="4"/>
  <c r="GF83" i="4" s="1"/>
  <c r="FW83" i="4"/>
  <c r="FX83" i="4" s="1"/>
  <c r="FO83" i="4"/>
  <c r="FP83" i="4" s="1"/>
  <c r="FG83" i="4"/>
  <c r="FH83" i="4" s="1"/>
  <c r="EY83" i="4"/>
  <c r="EZ83" i="4" s="1"/>
  <c r="GC83" i="4"/>
  <c r="GD83" i="4" s="1"/>
  <c r="FU83" i="4"/>
  <c r="FV83" i="4" s="1"/>
  <c r="FM83" i="4"/>
  <c r="FN83" i="4" s="1"/>
  <c r="FE83" i="4"/>
  <c r="FF83" i="4" s="1"/>
  <c r="EW83" i="4"/>
  <c r="EX83" i="4" s="1"/>
  <c r="GG83" i="4"/>
  <c r="GH83" i="4" s="1"/>
  <c r="FQ83" i="4"/>
  <c r="FR83" i="4" s="1"/>
  <c r="FA83" i="4"/>
  <c r="FB83" i="4" s="1"/>
  <c r="GA83" i="4"/>
  <c r="GB83" i="4" s="1"/>
  <c r="FK83" i="4"/>
  <c r="FL83" i="4" s="1"/>
  <c r="EU83" i="4"/>
  <c r="EV83" i="4" s="1"/>
  <c r="GI83" i="4"/>
  <c r="GJ83" i="4" s="1"/>
  <c r="FS83" i="4"/>
  <c r="FT83" i="4" s="1"/>
  <c r="FC83" i="4"/>
  <c r="FD83" i="4" s="1"/>
  <c r="FY83" i="4"/>
  <c r="FZ83" i="4" s="1"/>
  <c r="FI83" i="4"/>
  <c r="FJ83" i="4" s="1"/>
  <c r="ET83" i="4"/>
  <c r="DC34" i="4"/>
  <c r="DD34" i="4" s="1"/>
  <c r="DG34" i="4"/>
  <c r="DH34" i="4" s="1"/>
  <c r="CM34" i="4"/>
  <c r="CN34" i="4" s="1"/>
  <c r="DQ34" i="4"/>
  <c r="DR34" i="4" s="1"/>
  <c r="DI34" i="4"/>
  <c r="DJ34" i="4" s="1"/>
  <c r="DA34" i="4"/>
  <c r="DB34" i="4" s="1"/>
  <c r="CS34" i="4"/>
  <c r="CT34" i="4" s="1"/>
  <c r="CK34" i="4"/>
  <c r="CL34" i="4" s="1"/>
  <c r="CC34" i="4"/>
  <c r="CD34" i="4" s="1"/>
  <c r="CI34" i="4"/>
  <c r="CJ34" i="4" s="1"/>
  <c r="DO34" i="4"/>
  <c r="DP34" i="4" s="1"/>
  <c r="CQ34" i="4"/>
  <c r="CR34" i="4" s="1"/>
  <c r="DM34" i="4"/>
  <c r="DN34" i="4" s="1"/>
  <c r="DE34" i="4"/>
  <c r="DF34" i="4" s="1"/>
  <c r="CW34" i="4"/>
  <c r="CX34" i="4" s="1"/>
  <c r="CO34" i="4"/>
  <c r="CP34" i="4" s="1"/>
  <c r="CG34" i="4"/>
  <c r="CH34" i="4" s="1"/>
  <c r="CY34" i="4"/>
  <c r="CZ34" i="4" s="1"/>
  <c r="CU34" i="4"/>
  <c r="CV34" i="4" s="1"/>
  <c r="CB34" i="4"/>
  <c r="DK34" i="4"/>
  <c r="DL34" i="4" s="1"/>
  <c r="CE34" i="4"/>
  <c r="CF34" i="4" s="1"/>
  <c r="DM79" i="4"/>
  <c r="DN79" i="4" s="1"/>
  <c r="CW79" i="4"/>
  <c r="CX79" i="4" s="1"/>
  <c r="CG79" i="4"/>
  <c r="CH79" i="4" s="1"/>
  <c r="DQ79" i="4"/>
  <c r="DR79" i="4" s="1"/>
  <c r="CO79" i="4"/>
  <c r="CP79" i="4" s="1"/>
  <c r="DE79" i="4"/>
  <c r="DF79" i="4" s="1"/>
  <c r="DA79" i="4"/>
  <c r="DB79" i="4" s="1"/>
  <c r="DO79" i="4"/>
  <c r="DP79" i="4" s="1"/>
  <c r="DG79" i="4"/>
  <c r="DH79" i="4" s="1"/>
  <c r="CY79" i="4"/>
  <c r="CZ79" i="4" s="1"/>
  <c r="CQ79" i="4"/>
  <c r="CR79" i="4" s="1"/>
  <c r="CI79" i="4"/>
  <c r="CJ79" i="4" s="1"/>
  <c r="CB79" i="4"/>
  <c r="CC79" i="4"/>
  <c r="CD79" i="4" s="1"/>
  <c r="DI79" i="4"/>
  <c r="DJ79" i="4" s="1"/>
  <c r="DC79" i="4"/>
  <c r="DD79" i="4" s="1"/>
  <c r="CM79" i="4"/>
  <c r="CN79" i="4" s="1"/>
  <c r="CK79" i="4"/>
  <c r="CL79" i="4" s="1"/>
  <c r="DK79" i="4"/>
  <c r="DL79" i="4" s="1"/>
  <c r="CU79" i="4"/>
  <c r="CV79" i="4" s="1"/>
  <c r="CE79" i="4"/>
  <c r="CF79" i="4" s="1"/>
  <c r="CS79" i="4"/>
  <c r="CT79" i="4" s="1"/>
  <c r="GI125" i="4"/>
  <c r="GJ125" i="4" s="1"/>
  <c r="FS125" i="4"/>
  <c r="FT125" i="4" s="1"/>
  <c r="FC125" i="4"/>
  <c r="FD125" i="4" s="1"/>
  <c r="GG125" i="4"/>
  <c r="GH125" i="4" s="1"/>
  <c r="FQ125" i="4"/>
  <c r="FR125" i="4" s="1"/>
  <c r="FA125" i="4"/>
  <c r="FB125" i="4" s="1"/>
  <c r="FK125" i="4"/>
  <c r="FL125" i="4" s="1"/>
  <c r="GA125" i="4"/>
  <c r="GB125" i="4" s="1"/>
  <c r="GE125" i="4"/>
  <c r="GF125" i="4" s="1"/>
  <c r="FO125" i="4"/>
  <c r="FP125" i="4" s="1"/>
  <c r="EY125" i="4"/>
  <c r="EZ125" i="4" s="1"/>
  <c r="FY125" i="4"/>
  <c r="FZ125" i="4" s="1"/>
  <c r="FI125" i="4"/>
  <c r="FJ125" i="4" s="1"/>
  <c r="ET125" i="4"/>
  <c r="EW125" i="4"/>
  <c r="EX125" i="4" s="1"/>
  <c r="FE125" i="4"/>
  <c r="FF125" i="4" s="1"/>
  <c r="FW125" i="4"/>
  <c r="FX125" i="4" s="1"/>
  <c r="FM125" i="4"/>
  <c r="FN125" i="4" s="1"/>
  <c r="FG125" i="4"/>
  <c r="FH125" i="4" s="1"/>
  <c r="FU125" i="4"/>
  <c r="FV125" i="4" s="1"/>
  <c r="EU125" i="4"/>
  <c r="EV125" i="4" s="1"/>
  <c r="GC125" i="4"/>
  <c r="GD125" i="4" s="1"/>
  <c r="FS106" i="4"/>
  <c r="FT106" i="4" s="1"/>
  <c r="FC106" i="4"/>
  <c r="FD106" i="4" s="1"/>
  <c r="GI106" i="4"/>
  <c r="GJ106" i="4" s="1"/>
  <c r="GG106" i="4"/>
  <c r="GH106" i="4" s="1"/>
  <c r="FY106" i="4"/>
  <c r="FZ106" i="4" s="1"/>
  <c r="FQ106" i="4"/>
  <c r="FR106" i="4" s="1"/>
  <c r="FI106" i="4"/>
  <c r="FJ106" i="4" s="1"/>
  <c r="FA106" i="4"/>
  <c r="FB106" i="4" s="1"/>
  <c r="ET106" i="4"/>
  <c r="FU106" i="4"/>
  <c r="FV106" i="4" s="1"/>
  <c r="FK106" i="4"/>
  <c r="FL106" i="4" s="1"/>
  <c r="FO106" i="4"/>
  <c r="FP106" i="4" s="1"/>
  <c r="GC106" i="4"/>
  <c r="GD106" i="4" s="1"/>
  <c r="EW106" i="4"/>
  <c r="EX106" i="4" s="1"/>
  <c r="FG106" i="4"/>
  <c r="FH106" i="4" s="1"/>
  <c r="EU106" i="4"/>
  <c r="EV106" i="4" s="1"/>
  <c r="FM106" i="4"/>
  <c r="FN106" i="4" s="1"/>
  <c r="FW106" i="4"/>
  <c r="FX106" i="4" s="1"/>
  <c r="GE106" i="4"/>
  <c r="GF106" i="4" s="1"/>
  <c r="GA106" i="4"/>
  <c r="GB106" i="4" s="1"/>
  <c r="FE106" i="4"/>
  <c r="FF106" i="4" s="1"/>
  <c r="EY106" i="4"/>
  <c r="EZ106" i="4" s="1"/>
  <c r="GE98" i="4"/>
  <c r="GF98" i="4" s="1"/>
  <c r="FW98" i="4"/>
  <c r="FX98" i="4" s="1"/>
  <c r="FO98" i="4"/>
  <c r="FP98" i="4" s="1"/>
  <c r="FG98" i="4"/>
  <c r="FH98" i="4" s="1"/>
  <c r="EY98" i="4"/>
  <c r="EZ98" i="4" s="1"/>
  <c r="GC98" i="4"/>
  <c r="GD98" i="4" s="1"/>
  <c r="FU98" i="4"/>
  <c r="FV98" i="4" s="1"/>
  <c r="FM98" i="4"/>
  <c r="FN98" i="4" s="1"/>
  <c r="FE98" i="4"/>
  <c r="FF98" i="4" s="1"/>
  <c r="EW98" i="4"/>
  <c r="EX98" i="4" s="1"/>
  <c r="GA98" i="4"/>
  <c r="GB98" i="4" s="1"/>
  <c r="FK98" i="4"/>
  <c r="FL98" i="4" s="1"/>
  <c r="EU98" i="4"/>
  <c r="EV98" i="4" s="1"/>
  <c r="FY98" i="4"/>
  <c r="FZ98" i="4" s="1"/>
  <c r="FI98" i="4"/>
  <c r="FJ98" i="4" s="1"/>
  <c r="ET98" i="4"/>
  <c r="GG98" i="4"/>
  <c r="GH98" i="4" s="1"/>
  <c r="FQ98" i="4"/>
  <c r="FR98" i="4" s="1"/>
  <c r="FA98" i="4"/>
  <c r="FB98" i="4" s="1"/>
  <c r="GI98" i="4"/>
  <c r="GJ98" i="4" s="1"/>
  <c r="FS98" i="4"/>
  <c r="FT98" i="4" s="1"/>
  <c r="FC98" i="4"/>
  <c r="FD98" i="4" s="1"/>
  <c r="GA133" i="4"/>
  <c r="GB133" i="4" s="1"/>
  <c r="GI133" i="4"/>
  <c r="GJ133" i="4" s="1"/>
  <c r="GC133" i="4"/>
  <c r="GD133" i="4" s="1"/>
  <c r="FU133" i="4"/>
  <c r="FV133" i="4" s="1"/>
  <c r="FM133" i="4"/>
  <c r="FN133" i="4" s="1"/>
  <c r="FE133" i="4"/>
  <c r="FF133" i="4" s="1"/>
  <c r="EW133" i="4"/>
  <c r="EX133" i="4" s="1"/>
  <c r="EU133" i="4"/>
  <c r="EV133" i="4" s="1"/>
  <c r="FW133" i="4"/>
  <c r="FX133" i="4" s="1"/>
  <c r="EY133" i="4"/>
  <c r="EZ133" i="4" s="1"/>
  <c r="FG133" i="4"/>
  <c r="FH133" i="4" s="1"/>
  <c r="FK133" i="4"/>
  <c r="FL133" i="4" s="1"/>
  <c r="GE133" i="4"/>
  <c r="GF133" i="4" s="1"/>
  <c r="FO133" i="4"/>
  <c r="FP133" i="4" s="1"/>
  <c r="FC133" i="4"/>
  <c r="FD133" i="4" s="1"/>
  <c r="FS133" i="4"/>
  <c r="FT133" i="4" s="1"/>
  <c r="GG133" i="4"/>
  <c r="GH133" i="4" s="1"/>
  <c r="FA133" i="4"/>
  <c r="FB133" i="4" s="1"/>
  <c r="FY133" i="4"/>
  <c r="FZ133" i="4" s="1"/>
  <c r="ET133" i="4"/>
  <c r="FI133" i="4"/>
  <c r="FJ133" i="4" s="1"/>
  <c r="FQ133" i="4"/>
  <c r="FR133" i="4" s="1"/>
  <c r="BP152" i="4" l="1"/>
  <c r="AG152" i="4"/>
  <c r="AH152" i="4" s="1"/>
  <c r="DA21" i="4"/>
  <c r="DB21" i="4" s="1"/>
  <c r="CO21" i="4"/>
  <c r="CP21" i="4" s="1"/>
  <c r="DK21" i="4"/>
  <c r="DL21" i="4" s="1"/>
  <c r="CY21" i="4"/>
  <c r="CZ21" i="4" s="1"/>
  <c r="CE21" i="4"/>
  <c r="CF21" i="4" s="1"/>
  <c r="DI21" i="4"/>
  <c r="DJ21" i="4" s="1"/>
  <c r="CW21" i="4"/>
  <c r="CX21" i="4" s="1"/>
  <c r="CC21" i="4"/>
  <c r="CD21" i="4" s="1"/>
  <c r="DG21" i="4"/>
  <c r="DH21" i="4" s="1"/>
  <c r="CM21" i="4"/>
  <c r="CN21" i="4" s="1"/>
  <c r="CB21" i="4"/>
  <c r="DQ21" i="4"/>
  <c r="DR21" i="4" s="1"/>
  <c r="DE21" i="4"/>
  <c r="DF21" i="4" s="1"/>
  <c r="CK21" i="4"/>
  <c r="CL21" i="4" s="1"/>
  <c r="DO21" i="4"/>
  <c r="DP21" i="4" s="1"/>
  <c r="CU21" i="4"/>
  <c r="CV21" i="4" s="1"/>
  <c r="CI21" i="4"/>
  <c r="CJ21" i="4" s="1"/>
  <c r="DM21" i="4"/>
  <c r="DN21" i="4" s="1"/>
  <c r="CS21" i="4"/>
  <c r="CT21" i="4" s="1"/>
  <c r="CG21" i="4"/>
  <c r="CH21" i="4" s="1"/>
  <c r="DC21" i="4"/>
  <c r="DD21" i="4" s="1"/>
  <c r="CQ21" i="4"/>
  <c r="CR21" i="4" s="1"/>
  <c r="FO25" i="4"/>
  <c r="FP25" i="4" s="1"/>
  <c r="FG25" i="4"/>
  <c r="FH25" i="4" s="1"/>
  <c r="EY25" i="4"/>
  <c r="EZ25" i="4" s="1"/>
  <c r="ET25" i="4"/>
  <c r="FY25" i="4"/>
  <c r="FZ25" i="4" s="1"/>
  <c r="EW25" i="4"/>
  <c r="EX25" i="4" s="1"/>
  <c r="GC25" i="4"/>
  <c r="GD25" i="4" s="1"/>
  <c r="FC25" i="4"/>
  <c r="FD25" i="4" s="1"/>
  <c r="GI25" i="4"/>
  <c r="GJ25" i="4" s="1"/>
  <c r="FA25" i="4"/>
  <c r="FB25" i="4" s="1"/>
  <c r="GG25" i="4"/>
  <c r="GH25" i="4" s="1"/>
  <c r="FE25" i="4"/>
  <c r="FF25" i="4" s="1"/>
  <c r="FK25" i="4"/>
  <c r="FL25" i="4" s="1"/>
  <c r="FW25" i="4"/>
  <c r="FX25" i="4" s="1"/>
  <c r="FI25" i="4"/>
  <c r="FJ25" i="4" s="1"/>
  <c r="FM25" i="4"/>
  <c r="FN25" i="4" s="1"/>
  <c r="FS25" i="4"/>
  <c r="FT25" i="4" s="1"/>
  <c r="GE25" i="4"/>
  <c r="GF25" i="4" s="1"/>
  <c r="FQ25" i="4"/>
  <c r="FR25" i="4" s="1"/>
  <c r="FU25" i="4"/>
  <c r="FV25" i="4" s="1"/>
  <c r="EU25" i="4"/>
  <c r="EV25" i="4" s="1"/>
  <c r="GA25" i="4"/>
  <c r="GB25" i="4" s="1"/>
  <c r="BL76" i="4"/>
  <c r="Y76" i="4"/>
  <c r="Z76" i="4" s="1"/>
  <c r="CA27" i="4"/>
  <c r="ER27" i="4"/>
  <c r="BZ28" i="4"/>
  <c r="CA28" i="4" s="1"/>
  <c r="BM88" i="4"/>
  <c r="AA88" i="4"/>
  <c r="AB88" i="4" s="1"/>
  <c r="BS108" i="4"/>
  <c r="AM108" i="4"/>
  <c r="AN108" i="4" s="1"/>
  <c r="ED116" i="4"/>
  <c r="CQ116" i="4"/>
  <c r="CR116" i="4" s="1"/>
  <c r="DI25" i="4"/>
  <c r="DJ25" i="4" s="1"/>
  <c r="CG25" i="4"/>
  <c r="CH25" i="4" s="1"/>
  <c r="DK25" i="4"/>
  <c r="DL25" i="4" s="1"/>
  <c r="CY25" i="4"/>
  <c r="CZ25" i="4" s="1"/>
  <c r="CM25" i="4"/>
  <c r="CN25" i="4" s="1"/>
  <c r="CB25" i="4"/>
  <c r="DE25" i="4"/>
  <c r="DF25" i="4" s="1"/>
  <c r="CS25" i="4"/>
  <c r="CT25" i="4" s="1"/>
  <c r="CC25" i="4"/>
  <c r="CD25" i="4" s="1"/>
  <c r="DG25" i="4"/>
  <c r="DH25" i="4" s="1"/>
  <c r="CU25" i="4"/>
  <c r="CV25" i="4" s="1"/>
  <c r="CI25" i="4"/>
  <c r="CJ25" i="4" s="1"/>
  <c r="DQ25" i="4"/>
  <c r="DR25" i="4" s="1"/>
  <c r="DA25" i="4"/>
  <c r="DB25" i="4" s="1"/>
  <c r="CO25" i="4"/>
  <c r="CP25" i="4" s="1"/>
  <c r="DO25" i="4"/>
  <c r="DP25" i="4" s="1"/>
  <c r="CQ25" i="4"/>
  <c r="CR25" i="4" s="1"/>
  <c r="DM25" i="4"/>
  <c r="DN25" i="4" s="1"/>
  <c r="CW25" i="4"/>
  <c r="CX25" i="4" s="1"/>
  <c r="CK25" i="4"/>
  <c r="CL25" i="4" s="1"/>
  <c r="DC25" i="4"/>
  <c r="DD25" i="4" s="1"/>
  <c r="CE25" i="4"/>
  <c r="CF25" i="4" s="1"/>
  <c r="BM79" i="4"/>
  <c r="AA79" i="4"/>
  <c r="AB79" i="4" s="1"/>
  <c r="BP122" i="4"/>
  <c r="AG122" i="4"/>
  <c r="AH122" i="4" s="1"/>
  <c r="BN138" i="4"/>
  <c r="AC138" i="4"/>
  <c r="AD138" i="4" s="1"/>
  <c r="BM45" i="4"/>
  <c r="AA45" i="4"/>
  <c r="AB45" i="4" s="1"/>
  <c r="AW27" i="4"/>
  <c r="AX27" i="4" s="1"/>
  <c r="AG27" i="4"/>
  <c r="AH27" i="4" s="1"/>
  <c r="U27" i="4"/>
  <c r="V27" i="4" s="1"/>
  <c r="AY27" i="4"/>
  <c r="AZ27" i="4" s="1"/>
  <c r="AI27" i="4"/>
  <c r="AJ27" i="4" s="1"/>
  <c r="AS27" i="4"/>
  <c r="AT27" i="4" s="1"/>
  <c r="AC27" i="4"/>
  <c r="AD27" i="4" s="1"/>
  <c r="Q27" i="4"/>
  <c r="R27" i="4" s="1"/>
  <c r="AU27" i="4"/>
  <c r="AV27" i="4" s="1"/>
  <c r="AE27" i="4"/>
  <c r="AF27" i="4" s="1"/>
  <c r="S27" i="4"/>
  <c r="T27" i="4" s="1"/>
  <c r="AO27" i="4"/>
  <c r="AP27" i="4" s="1"/>
  <c r="Y27" i="4"/>
  <c r="Z27" i="4" s="1"/>
  <c r="M27" i="4"/>
  <c r="N27" i="4" s="1"/>
  <c r="AQ27" i="4"/>
  <c r="AR27" i="4" s="1"/>
  <c r="AA27" i="4"/>
  <c r="AB27" i="4" s="1"/>
  <c r="O27" i="4"/>
  <c r="P27" i="4" s="1"/>
  <c r="AK27" i="4"/>
  <c r="AL27" i="4" s="1"/>
  <c r="J27" i="4"/>
  <c r="AM27" i="4"/>
  <c r="AN27" i="4" s="1"/>
  <c r="W27" i="4"/>
  <c r="X27" i="4" s="1"/>
  <c r="K27" i="4"/>
  <c r="L27" i="4" s="1"/>
  <c r="AQ28" i="4"/>
  <c r="AR28" i="4" s="1"/>
  <c r="S28" i="4"/>
  <c r="T28" i="4" s="1"/>
  <c r="AS28" i="4"/>
  <c r="AT28" i="4" s="1"/>
  <c r="AG28" i="4"/>
  <c r="AH28" i="4" s="1"/>
  <c r="U28" i="4"/>
  <c r="V28" i="4" s="1"/>
  <c r="AM28" i="4"/>
  <c r="AN28" i="4" s="1"/>
  <c r="AA28" i="4"/>
  <c r="AB28" i="4" s="1"/>
  <c r="O28" i="4"/>
  <c r="P28" i="4" s="1"/>
  <c r="AO28" i="4"/>
  <c r="AP28" i="4" s="1"/>
  <c r="Q28" i="4"/>
  <c r="R28" i="4" s="1"/>
  <c r="AY28" i="4"/>
  <c r="AZ28" i="4" s="1"/>
  <c r="AI28" i="4"/>
  <c r="AJ28" i="4" s="1"/>
  <c r="W28" i="4"/>
  <c r="X28" i="4" s="1"/>
  <c r="K28" i="4"/>
  <c r="L28" i="4" s="1"/>
  <c r="AC28" i="4"/>
  <c r="AD28" i="4" s="1"/>
  <c r="M28" i="4"/>
  <c r="N28" i="4" s="1"/>
  <c r="AU28" i="4"/>
  <c r="AV28" i="4" s="1"/>
  <c r="AE28" i="4"/>
  <c r="AF28" i="4" s="1"/>
  <c r="AW28" i="4"/>
  <c r="AX28" i="4" s="1"/>
  <c r="AK28" i="4"/>
  <c r="AL28" i="4" s="1"/>
  <c r="Y28" i="4"/>
  <c r="Z28" i="4" s="1"/>
  <c r="J28" i="4"/>
  <c r="BP37" i="4"/>
  <c r="AG37" i="4"/>
  <c r="AH37" i="4" s="1"/>
  <c r="BN41" i="4"/>
  <c r="AC41" i="4"/>
  <c r="AD41" i="4" s="1"/>
  <c r="FM127" i="4"/>
  <c r="FN127" i="4" s="1"/>
  <c r="GA127" i="4"/>
  <c r="GB127" i="4" s="1"/>
  <c r="FQ127" i="4"/>
  <c r="FR127" i="4" s="1"/>
  <c r="FO127" i="4"/>
  <c r="FP127" i="4" s="1"/>
  <c r="GE127" i="4"/>
  <c r="GF127" i="4" s="1"/>
  <c r="FG127" i="4"/>
  <c r="FH127" i="4" s="1"/>
  <c r="FW127" i="4"/>
  <c r="FX127" i="4" s="1"/>
  <c r="FC127" i="4"/>
  <c r="FD127" i="4" s="1"/>
  <c r="FI127" i="4"/>
  <c r="FJ127" i="4" s="1"/>
  <c r="GI127" i="4"/>
  <c r="GJ127" i="4" s="1"/>
  <c r="GC127" i="4"/>
  <c r="GD127" i="4" s="1"/>
  <c r="FS127" i="4"/>
  <c r="FT127" i="4" s="1"/>
  <c r="GG127" i="4"/>
  <c r="GH127" i="4" s="1"/>
  <c r="FA127" i="4"/>
  <c r="FB127" i="4" s="1"/>
  <c r="EY127" i="4"/>
  <c r="EZ127" i="4" s="1"/>
  <c r="FE127" i="4"/>
  <c r="FF127" i="4" s="1"/>
  <c r="EW127" i="4"/>
  <c r="EX127" i="4" s="1"/>
  <c r="FU127" i="4"/>
  <c r="FV127" i="4" s="1"/>
  <c r="FY127" i="4"/>
  <c r="FZ127" i="4" s="1"/>
  <c r="FK127" i="4"/>
  <c r="FL127" i="4" s="1"/>
  <c r="ET127" i="4"/>
  <c r="EU127" i="4"/>
  <c r="EV127" i="4" s="1"/>
  <c r="FQ21" i="4"/>
  <c r="FR21" i="4" s="1"/>
  <c r="FW21" i="4"/>
  <c r="FX21" i="4" s="1"/>
  <c r="FG21" i="4"/>
  <c r="FH21" i="4" s="1"/>
  <c r="GI21" i="4"/>
  <c r="GJ21" i="4" s="1"/>
  <c r="EY21" i="4"/>
  <c r="EZ21" i="4" s="1"/>
  <c r="FC21" i="4"/>
  <c r="FD21" i="4" s="1"/>
  <c r="ET21" i="4"/>
  <c r="GC21" i="4"/>
  <c r="GD21" i="4" s="1"/>
  <c r="EW21" i="4"/>
  <c r="EX21" i="4" s="1"/>
  <c r="FY21" i="4"/>
  <c r="FZ21" i="4" s="1"/>
  <c r="GG21" i="4"/>
  <c r="GH21" i="4" s="1"/>
  <c r="FK21" i="4"/>
  <c r="FL21" i="4" s="1"/>
  <c r="FU21" i="4"/>
  <c r="FV21" i="4" s="1"/>
  <c r="FA21" i="4"/>
  <c r="FB21" i="4" s="1"/>
  <c r="GE21" i="4"/>
  <c r="GF21" i="4" s="1"/>
  <c r="FS21" i="4"/>
  <c r="FT21" i="4" s="1"/>
  <c r="FM21" i="4"/>
  <c r="FN21" i="4" s="1"/>
  <c r="FI21" i="4"/>
  <c r="FJ21" i="4" s="1"/>
  <c r="FO21" i="4"/>
  <c r="FP21" i="4" s="1"/>
  <c r="EU21" i="4"/>
  <c r="EV21" i="4" s="1"/>
  <c r="GA21" i="4"/>
  <c r="GB21" i="4" s="1"/>
  <c r="FE21" i="4"/>
  <c r="FF21" i="4" s="1"/>
  <c r="BP123" i="4"/>
  <c r="AG123" i="4"/>
  <c r="AH123" i="4" s="1"/>
  <c r="BO67" i="4"/>
  <c r="AE67" i="4"/>
  <c r="AF67" i="4" s="1"/>
  <c r="BS119" i="4"/>
  <c r="AM119" i="4"/>
  <c r="AN119" i="4" s="1"/>
  <c r="DC127" i="4"/>
  <c r="DD127" i="4" s="1"/>
  <c r="DI127" i="4"/>
  <c r="DJ127" i="4" s="1"/>
  <c r="CC127" i="4"/>
  <c r="CD127" i="4" s="1"/>
  <c r="CQ127" i="4"/>
  <c r="CR127" i="4" s="1"/>
  <c r="DK127" i="4"/>
  <c r="DL127" i="4" s="1"/>
  <c r="CK127" i="4"/>
  <c r="CL127" i="4" s="1"/>
  <c r="DO127" i="4"/>
  <c r="DP127" i="4" s="1"/>
  <c r="CI127" i="4"/>
  <c r="CJ127" i="4" s="1"/>
  <c r="CE127" i="4"/>
  <c r="CF127" i="4" s="1"/>
  <c r="CO127" i="4"/>
  <c r="CP127" i="4" s="1"/>
  <c r="CS127" i="4"/>
  <c r="CT127" i="4" s="1"/>
  <c r="DG127" i="4"/>
  <c r="DH127" i="4" s="1"/>
  <c r="CB127" i="4"/>
  <c r="DA127" i="4"/>
  <c r="DB127" i="4" s="1"/>
  <c r="DE127" i="4"/>
  <c r="DF127" i="4" s="1"/>
  <c r="DQ127" i="4"/>
  <c r="DR127" i="4" s="1"/>
  <c r="CU127" i="4"/>
  <c r="CV127" i="4" s="1"/>
  <c r="CY127" i="4"/>
  <c r="CZ127" i="4" s="1"/>
  <c r="DM127" i="4"/>
  <c r="DN127" i="4" s="1"/>
  <c r="CM127" i="4"/>
  <c r="CN127" i="4" s="1"/>
  <c r="CG127" i="4"/>
  <c r="CH127" i="4" s="1"/>
  <c r="CW127" i="4"/>
  <c r="CX127" i="4" s="1"/>
  <c r="EM100" i="4"/>
  <c r="DI100" i="4"/>
  <c r="DJ100" i="4" s="1"/>
  <c r="BO38" i="4"/>
  <c r="AE38" i="4"/>
  <c r="AF38" i="4" s="1"/>
  <c r="BR92" i="4"/>
  <c r="AK92" i="4"/>
  <c r="AL92" i="4" s="1"/>
  <c r="BS44" i="4"/>
  <c r="AM44" i="4"/>
  <c r="AN44" i="4" s="1"/>
  <c r="AA109" i="4"/>
  <c r="AB109" i="4" s="1"/>
  <c r="BM109" i="4"/>
  <c r="GI19" i="4"/>
  <c r="GJ19" i="4" s="1"/>
  <c r="GA19" i="4"/>
  <c r="GB19" i="4" s="1"/>
  <c r="FS19" i="4"/>
  <c r="FT19" i="4" s="1"/>
  <c r="FK19" i="4"/>
  <c r="FL19" i="4" s="1"/>
  <c r="FC19" i="4"/>
  <c r="FD19" i="4" s="1"/>
  <c r="EU19" i="4"/>
  <c r="EV19" i="4" s="1"/>
  <c r="GE19" i="4"/>
  <c r="GF19" i="4" s="1"/>
  <c r="FG19" i="4"/>
  <c r="FH19" i="4" s="1"/>
  <c r="GC19" i="4"/>
  <c r="GD19" i="4" s="1"/>
  <c r="FU19" i="4"/>
  <c r="FV19" i="4" s="1"/>
  <c r="FM19" i="4"/>
  <c r="FN19" i="4" s="1"/>
  <c r="FE19" i="4"/>
  <c r="FF19" i="4" s="1"/>
  <c r="EW19" i="4"/>
  <c r="EX19" i="4" s="1"/>
  <c r="FO19" i="4"/>
  <c r="FP19" i="4" s="1"/>
  <c r="GG19" i="4"/>
  <c r="GH19" i="4" s="1"/>
  <c r="FY19" i="4"/>
  <c r="FZ19" i="4" s="1"/>
  <c r="FQ19" i="4"/>
  <c r="FR19" i="4" s="1"/>
  <c r="FI19" i="4"/>
  <c r="FJ19" i="4" s="1"/>
  <c r="FA19" i="4"/>
  <c r="FB19" i="4" s="1"/>
  <c r="ET19" i="4"/>
  <c r="FW19" i="4"/>
  <c r="FX19" i="4" s="1"/>
  <c r="EY19" i="4"/>
  <c r="EZ19" i="4" s="1"/>
  <c r="BS92" i="4" l="1"/>
  <c r="AM92" i="4"/>
  <c r="AN92" i="4" s="1"/>
  <c r="EN100" i="4"/>
  <c r="DK100" i="4"/>
  <c r="DL100" i="4" s="1"/>
  <c r="BT119" i="4"/>
  <c r="AO119" i="4"/>
  <c r="AP119" i="4" s="1"/>
  <c r="AI123" i="4"/>
  <c r="AJ123" i="4" s="1"/>
  <c r="BQ123" i="4"/>
  <c r="BQ37" i="4"/>
  <c r="AI37" i="4"/>
  <c r="AJ37" i="4" s="1"/>
  <c r="BO138" i="4"/>
  <c r="AE138" i="4"/>
  <c r="AF138" i="4" s="1"/>
  <c r="AC79" i="4"/>
  <c r="AD79" i="4" s="1"/>
  <c r="BN79" i="4"/>
  <c r="EE116" i="4"/>
  <c r="CS116" i="4"/>
  <c r="CT116" i="4" s="1"/>
  <c r="BN88" i="4"/>
  <c r="AC88" i="4"/>
  <c r="AD88" i="4" s="1"/>
  <c r="DA28" i="4"/>
  <c r="DB28" i="4" s="1"/>
  <c r="DK28" i="4"/>
  <c r="DL28" i="4" s="1"/>
  <c r="CE28" i="4"/>
  <c r="CF28" i="4" s="1"/>
  <c r="DM28" i="4"/>
  <c r="DN28" i="4" s="1"/>
  <c r="DE28" i="4"/>
  <c r="DF28" i="4" s="1"/>
  <c r="CS28" i="4"/>
  <c r="CT28" i="4" s="1"/>
  <c r="DC28" i="4"/>
  <c r="DD28" i="4" s="1"/>
  <c r="CW28" i="4"/>
  <c r="CX28" i="4" s="1"/>
  <c r="CG28" i="4"/>
  <c r="CH28" i="4" s="1"/>
  <c r="CO28" i="4"/>
  <c r="CP28" i="4" s="1"/>
  <c r="DQ28" i="4"/>
  <c r="DR28" i="4" s="1"/>
  <c r="CK28" i="4"/>
  <c r="CL28" i="4" s="1"/>
  <c r="CU28" i="4"/>
  <c r="CV28" i="4" s="1"/>
  <c r="DG28" i="4"/>
  <c r="DH28" i="4" s="1"/>
  <c r="CY28" i="4"/>
  <c r="CZ28" i="4" s="1"/>
  <c r="DO28" i="4"/>
  <c r="DP28" i="4" s="1"/>
  <c r="DI28" i="4"/>
  <c r="DJ28" i="4" s="1"/>
  <c r="CC28" i="4"/>
  <c r="CD28" i="4" s="1"/>
  <c r="CM28" i="4"/>
  <c r="CN28" i="4" s="1"/>
  <c r="CI28" i="4"/>
  <c r="CJ28" i="4" s="1"/>
  <c r="CB28" i="4"/>
  <c r="CQ28" i="4"/>
  <c r="CR28" i="4" s="1"/>
  <c r="BM76" i="4"/>
  <c r="AA76" i="4"/>
  <c r="AB76" i="4" s="1"/>
  <c r="BT44" i="4"/>
  <c r="AO44" i="4"/>
  <c r="AP44" i="4" s="1"/>
  <c r="BP38" i="4"/>
  <c r="AG38" i="4"/>
  <c r="AH38" i="4" s="1"/>
  <c r="BP67" i="4"/>
  <c r="AG67" i="4"/>
  <c r="AH67" i="4" s="1"/>
  <c r="BO41" i="4"/>
  <c r="AE41" i="4"/>
  <c r="AF41" i="4" s="1"/>
  <c r="BN45" i="4"/>
  <c r="AC45" i="4"/>
  <c r="AD45" i="4" s="1"/>
  <c r="BQ122" i="4"/>
  <c r="AI122" i="4"/>
  <c r="AJ122" i="4" s="1"/>
  <c r="BT108" i="4"/>
  <c r="AO108" i="4"/>
  <c r="AP108" i="4" s="1"/>
  <c r="ES27" i="4"/>
  <c r="ER28" i="4"/>
  <c r="ES28" i="4" s="1"/>
  <c r="BN109" i="4"/>
  <c r="AC109" i="4"/>
  <c r="AD109" i="4" s="1"/>
  <c r="DQ27" i="4"/>
  <c r="DR27" i="4" s="1"/>
  <c r="DA27" i="4"/>
  <c r="DB27" i="4" s="1"/>
  <c r="DO27" i="4"/>
  <c r="DP27" i="4" s="1"/>
  <c r="DC27" i="4"/>
  <c r="DD27" i="4" s="1"/>
  <c r="CQ27" i="4"/>
  <c r="CR27" i="4" s="1"/>
  <c r="CB27" i="4"/>
  <c r="DM27" i="4"/>
  <c r="DN27" i="4" s="1"/>
  <c r="CW27" i="4"/>
  <c r="CX27" i="4" s="1"/>
  <c r="CK27" i="4"/>
  <c r="CL27" i="4" s="1"/>
  <c r="DK27" i="4"/>
  <c r="DL27" i="4" s="1"/>
  <c r="CY27" i="4"/>
  <c r="CZ27" i="4" s="1"/>
  <c r="CM27" i="4"/>
  <c r="CN27" i="4" s="1"/>
  <c r="DI27" i="4"/>
  <c r="DJ27" i="4" s="1"/>
  <c r="CS27" i="4"/>
  <c r="CT27" i="4" s="1"/>
  <c r="CG27" i="4"/>
  <c r="CH27" i="4" s="1"/>
  <c r="DG27" i="4"/>
  <c r="DH27" i="4" s="1"/>
  <c r="CI27" i="4"/>
  <c r="CJ27" i="4" s="1"/>
  <c r="DE27" i="4"/>
  <c r="DF27" i="4" s="1"/>
  <c r="CO27" i="4"/>
  <c r="CP27" i="4" s="1"/>
  <c r="CC27" i="4"/>
  <c r="CD27" i="4" s="1"/>
  <c r="CU27" i="4"/>
  <c r="CV27" i="4" s="1"/>
  <c r="CE27" i="4"/>
  <c r="CF27" i="4" s="1"/>
  <c r="BQ152" i="4"/>
  <c r="AI152" i="4"/>
  <c r="AJ152" i="4" s="1"/>
  <c r="BR123" i="4" l="1"/>
  <c r="AK123" i="4"/>
  <c r="AL123" i="4" s="1"/>
  <c r="BR152" i="4"/>
  <c r="AK152" i="4"/>
  <c r="AL152" i="4" s="1"/>
  <c r="BO109" i="4"/>
  <c r="AE109" i="4"/>
  <c r="AF109" i="4" s="1"/>
  <c r="BU108" i="4"/>
  <c r="AQ108" i="4"/>
  <c r="AR108" i="4" s="1"/>
  <c r="BO45" i="4"/>
  <c r="AE45" i="4"/>
  <c r="AF45" i="4" s="1"/>
  <c r="BQ67" i="4"/>
  <c r="AI67" i="4"/>
  <c r="AJ67" i="4" s="1"/>
  <c r="BU44" i="4"/>
  <c r="AQ44" i="4"/>
  <c r="AR44" i="4" s="1"/>
  <c r="EF116" i="4"/>
  <c r="CU116" i="4"/>
  <c r="CV116" i="4" s="1"/>
  <c r="AG138" i="4"/>
  <c r="AH138" i="4" s="1"/>
  <c r="BP138" i="4"/>
  <c r="EO100" i="4"/>
  <c r="DM100" i="4"/>
  <c r="DN100" i="4" s="1"/>
  <c r="FS28" i="4"/>
  <c r="FT28" i="4" s="1"/>
  <c r="FC28" i="4"/>
  <c r="FD28" i="4" s="1"/>
  <c r="FA28" i="4"/>
  <c r="FB28" i="4" s="1"/>
  <c r="FG28" i="4"/>
  <c r="FH28" i="4" s="1"/>
  <c r="GI28" i="4"/>
  <c r="GJ28" i="4" s="1"/>
  <c r="FW28" i="4"/>
  <c r="FX28" i="4" s="1"/>
  <c r="EU28" i="4"/>
  <c r="EV28" i="4" s="1"/>
  <c r="ET28" i="4"/>
  <c r="EW28" i="4"/>
  <c r="EX28" i="4" s="1"/>
  <c r="EY28" i="4"/>
  <c r="EZ28" i="4" s="1"/>
  <c r="FK28" i="4"/>
  <c r="FL28" i="4" s="1"/>
  <c r="GC28" i="4"/>
  <c r="GD28" i="4" s="1"/>
  <c r="FI28" i="4"/>
  <c r="FJ28" i="4" s="1"/>
  <c r="GG28" i="4"/>
  <c r="GH28" i="4" s="1"/>
  <c r="GE28" i="4"/>
  <c r="GF28" i="4" s="1"/>
  <c r="FE28" i="4"/>
  <c r="FF28" i="4" s="1"/>
  <c r="FQ28" i="4"/>
  <c r="FR28" i="4" s="1"/>
  <c r="FM28" i="4"/>
  <c r="FN28" i="4" s="1"/>
  <c r="GA28" i="4"/>
  <c r="GB28" i="4" s="1"/>
  <c r="FU28" i="4"/>
  <c r="FV28" i="4" s="1"/>
  <c r="FO28" i="4"/>
  <c r="FP28" i="4" s="1"/>
  <c r="FY28" i="4"/>
  <c r="FZ28" i="4" s="1"/>
  <c r="BO79" i="4"/>
  <c r="AE79" i="4"/>
  <c r="AF79" i="4" s="1"/>
  <c r="GC27" i="4"/>
  <c r="GD27" i="4" s="1"/>
  <c r="FQ27" i="4"/>
  <c r="FR27" i="4" s="1"/>
  <c r="FE27" i="4"/>
  <c r="FF27" i="4" s="1"/>
  <c r="GI27" i="4"/>
  <c r="GJ27" i="4" s="1"/>
  <c r="FS27" i="4"/>
  <c r="FT27" i="4" s="1"/>
  <c r="FC27" i="4"/>
  <c r="FD27" i="4" s="1"/>
  <c r="FY27" i="4"/>
  <c r="FZ27" i="4" s="1"/>
  <c r="FM27" i="4"/>
  <c r="FN27" i="4" s="1"/>
  <c r="FA27" i="4"/>
  <c r="FB27" i="4" s="1"/>
  <c r="GE27" i="4"/>
  <c r="GF27" i="4" s="1"/>
  <c r="FO27" i="4"/>
  <c r="FP27" i="4" s="1"/>
  <c r="EY27" i="4"/>
  <c r="EZ27" i="4" s="1"/>
  <c r="FI27" i="4"/>
  <c r="FJ27" i="4" s="1"/>
  <c r="EW27" i="4"/>
  <c r="EX27" i="4" s="1"/>
  <c r="GA27" i="4"/>
  <c r="GB27" i="4" s="1"/>
  <c r="FK27" i="4"/>
  <c r="FL27" i="4" s="1"/>
  <c r="EU27" i="4"/>
  <c r="EV27" i="4" s="1"/>
  <c r="GG27" i="4"/>
  <c r="GH27" i="4" s="1"/>
  <c r="FU27" i="4"/>
  <c r="FV27" i="4" s="1"/>
  <c r="ET27" i="4"/>
  <c r="FW27" i="4"/>
  <c r="FX27" i="4" s="1"/>
  <c r="FG27" i="4"/>
  <c r="FH27" i="4" s="1"/>
  <c r="BR122" i="4"/>
  <c r="AK122" i="4"/>
  <c r="AL122" i="4" s="1"/>
  <c r="BP41" i="4"/>
  <c r="AG41" i="4"/>
  <c r="AH41" i="4" s="1"/>
  <c r="BQ38" i="4"/>
  <c r="AI38" i="4"/>
  <c r="AJ38" i="4" s="1"/>
  <c r="BN76" i="4"/>
  <c r="AC76" i="4"/>
  <c r="AD76" i="4" s="1"/>
  <c r="BO88" i="4"/>
  <c r="AE88" i="4"/>
  <c r="AF88" i="4" s="1"/>
  <c r="BR37" i="4"/>
  <c r="AK37" i="4"/>
  <c r="AL37" i="4" s="1"/>
  <c r="BU119" i="4"/>
  <c r="AQ119" i="4"/>
  <c r="AR119" i="4" s="1"/>
  <c r="BT92" i="4"/>
  <c r="AO92" i="4"/>
  <c r="AP92" i="4" s="1"/>
  <c r="BV119" i="4" l="1"/>
  <c r="AS119" i="4"/>
  <c r="AT119" i="4" s="1"/>
  <c r="BP88" i="4"/>
  <c r="AG88" i="4"/>
  <c r="AH88" i="4" s="1"/>
  <c r="AK38" i="4"/>
  <c r="AL38" i="4" s="1"/>
  <c r="BR38" i="4"/>
  <c r="BS122" i="4"/>
  <c r="AM122" i="4"/>
  <c r="AN122" i="4" s="1"/>
  <c r="BP79" i="4"/>
  <c r="AG79" i="4"/>
  <c r="AH79" i="4" s="1"/>
  <c r="EP100" i="4"/>
  <c r="DQ100" i="4" s="1"/>
  <c r="DR100" i="4" s="1"/>
  <c r="DO100" i="4"/>
  <c r="DP100" i="4" s="1"/>
  <c r="EG116" i="4"/>
  <c r="CW116" i="4"/>
  <c r="CX116" i="4" s="1"/>
  <c r="BR67" i="4"/>
  <c r="AK67" i="4"/>
  <c r="AL67" i="4" s="1"/>
  <c r="BV108" i="4"/>
  <c r="AS108" i="4"/>
  <c r="AT108" i="4" s="1"/>
  <c r="BS152" i="4"/>
  <c r="AM152" i="4"/>
  <c r="AN152" i="4" s="1"/>
  <c r="BQ138" i="4"/>
  <c r="AI138" i="4"/>
  <c r="AJ138" i="4" s="1"/>
  <c r="BU92" i="4"/>
  <c r="AQ92" i="4"/>
  <c r="AR92" i="4" s="1"/>
  <c r="BS37" i="4"/>
  <c r="AM37" i="4"/>
  <c r="AN37" i="4" s="1"/>
  <c r="BO76" i="4"/>
  <c r="AE76" i="4"/>
  <c r="AF76" i="4" s="1"/>
  <c r="BQ41" i="4"/>
  <c r="AI41" i="4"/>
  <c r="AJ41" i="4" s="1"/>
  <c r="BV44" i="4"/>
  <c r="AS44" i="4"/>
  <c r="AT44" i="4" s="1"/>
  <c r="BP45" i="4"/>
  <c r="AG45" i="4"/>
  <c r="AH45" i="4" s="1"/>
  <c r="BP109" i="4"/>
  <c r="AG109" i="4"/>
  <c r="AH109" i="4" s="1"/>
  <c r="BS123" i="4"/>
  <c r="AM123" i="4"/>
  <c r="AN123" i="4" s="1"/>
  <c r="BW44" i="4" l="1"/>
  <c r="AU44" i="4"/>
  <c r="AV44" i="4" s="1"/>
  <c r="AG76" i="4"/>
  <c r="AH76" i="4" s="1"/>
  <c r="BP76" i="4"/>
  <c r="BV92" i="4"/>
  <c r="AS92" i="4"/>
  <c r="AT92" i="4" s="1"/>
  <c r="BT152" i="4"/>
  <c r="AO152" i="4"/>
  <c r="AP152" i="4" s="1"/>
  <c r="BS67" i="4"/>
  <c r="AM67" i="4"/>
  <c r="AN67" i="4" s="1"/>
  <c r="BT122" i="4"/>
  <c r="AO122" i="4"/>
  <c r="AP122" i="4" s="1"/>
  <c r="BQ88" i="4"/>
  <c r="AI88" i="4"/>
  <c r="AJ88" i="4" s="1"/>
  <c r="BQ109" i="4"/>
  <c r="AI109" i="4"/>
  <c r="AJ109" i="4" s="1"/>
  <c r="BS38" i="4"/>
  <c r="AM38" i="4"/>
  <c r="AN38" i="4" s="1"/>
  <c r="BT123" i="4"/>
  <c r="AO123" i="4"/>
  <c r="AP123" i="4" s="1"/>
  <c r="BQ45" i="4"/>
  <c r="AI45" i="4"/>
  <c r="AJ45" i="4" s="1"/>
  <c r="BR41" i="4"/>
  <c r="AK41" i="4"/>
  <c r="AL41" i="4" s="1"/>
  <c r="BT37" i="4"/>
  <c r="AO37" i="4"/>
  <c r="AP37" i="4" s="1"/>
  <c r="BR138" i="4"/>
  <c r="AK138" i="4"/>
  <c r="AL138" i="4" s="1"/>
  <c r="BW108" i="4"/>
  <c r="AU108" i="4"/>
  <c r="AV108" i="4" s="1"/>
  <c r="EH116" i="4"/>
  <c r="CY116" i="4"/>
  <c r="CZ116" i="4" s="1"/>
  <c r="BQ79" i="4"/>
  <c r="AI79" i="4"/>
  <c r="AJ79" i="4" s="1"/>
  <c r="BW119" i="4"/>
  <c r="AU119" i="4"/>
  <c r="AV119" i="4" s="1"/>
  <c r="BQ76" i="4" l="1"/>
  <c r="AI76" i="4"/>
  <c r="AJ76" i="4" s="1"/>
  <c r="BX119" i="4"/>
  <c r="AY119" i="4" s="1"/>
  <c r="AZ119" i="4" s="1"/>
  <c r="AW119" i="4"/>
  <c r="AX119" i="4" s="1"/>
  <c r="EI116" i="4"/>
  <c r="DA116" i="4"/>
  <c r="DB116" i="4" s="1"/>
  <c r="BS138" i="4"/>
  <c r="AM138" i="4"/>
  <c r="AN138" i="4" s="1"/>
  <c r="BS41" i="4"/>
  <c r="AM41" i="4"/>
  <c r="AN41" i="4" s="1"/>
  <c r="BU123" i="4"/>
  <c r="AQ123" i="4"/>
  <c r="AR123" i="4" s="1"/>
  <c r="BR109" i="4"/>
  <c r="AK109" i="4"/>
  <c r="AL109" i="4" s="1"/>
  <c r="BU122" i="4"/>
  <c r="AQ122" i="4"/>
  <c r="AR122" i="4" s="1"/>
  <c r="BU152" i="4"/>
  <c r="AQ152" i="4"/>
  <c r="AR152" i="4" s="1"/>
  <c r="BR79" i="4"/>
  <c r="AK79" i="4"/>
  <c r="AL79" i="4" s="1"/>
  <c r="BX108" i="4"/>
  <c r="AY108" i="4" s="1"/>
  <c r="AZ108" i="4" s="1"/>
  <c r="AW108" i="4"/>
  <c r="AX108" i="4" s="1"/>
  <c r="BU37" i="4"/>
  <c r="AQ37" i="4"/>
  <c r="AR37" i="4" s="1"/>
  <c r="BR45" i="4"/>
  <c r="AK45" i="4"/>
  <c r="AL45" i="4" s="1"/>
  <c r="BT38" i="4"/>
  <c r="AO38" i="4"/>
  <c r="AP38" i="4" s="1"/>
  <c r="BR88" i="4"/>
  <c r="AK88" i="4"/>
  <c r="AL88" i="4" s="1"/>
  <c r="AO67" i="4"/>
  <c r="AP67" i="4" s="1"/>
  <c r="BT67" i="4"/>
  <c r="AU92" i="4"/>
  <c r="AV92" i="4" s="1"/>
  <c r="BW92" i="4"/>
  <c r="BX44" i="4"/>
  <c r="AY44" i="4" s="1"/>
  <c r="AZ44" i="4" s="1"/>
  <c r="AW44" i="4"/>
  <c r="AX44" i="4" s="1"/>
  <c r="BU38" i="4" l="1"/>
  <c r="AQ38" i="4"/>
  <c r="AR38" i="4" s="1"/>
  <c r="BV37" i="4"/>
  <c r="AS37" i="4"/>
  <c r="AT37" i="4" s="1"/>
  <c r="BS79" i="4"/>
  <c r="AM79" i="4"/>
  <c r="AN79" i="4" s="1"/>
  <c r="BV122" i="4"/>
  <c r="AS122" i="4"/>
  <c r="AT122" i="4" s="1"/>
  <c r="BV123" i="4"/>
  <c r="AS123" i="4"/>
  <c r="AT123" i="4" s="1"/>
  <c r="AO138" i="4"/>
  <c r="AP138" i="4" s="1"/>
  <c r="BT138" i="4"/>
  <c r="BU67" i="4"/>
  <c r="AQ67" i="4"/>
  <c r="AR67" i="4" s="1"/>
  <c r="BX92" i="4"/>
  <c r="AY92" i="4" s="1"/>
  <c r="AZ92" i="4" s="1"/>
  <c r="AW92" i="4"/>
  <c r="AX92" i="4" s="1"/>
  <c r="BS88" i="4"/>
  <c r="AM88" i="4"/>
  <c r="AN88" i="4" s="1"/>
  <c r="BS45" i="4"/>
  <c r="AM45" i="4"/>
  <c r="AN45" i="4" s="1"/>
  <c r="AS152" i="4"/>
  <c r="AT152" i="4" s="1"/>
  <c r="BV152" i="4"/>
  <c r="AM109" i="4"/>
  <c r="AN109" i="4" s="1"/>
  <c r="BS109" i="4"/>
  <c r="AO41" i="4"/>
  <c r="AP41" i="4" s="1"/>
  <c r="BT41" i="4"/>
  <c r="EJ116" i="4"/>
  <c r="DC116" i="4"/>
  <c r="DD116" i="4" s="1"/>
  <c r="AK76" i="4"/>
  <c r="AL76" i="4" s="1"/>
  <c r="BR76" i="4"/>
  <c r="BT109" i="4" l="1"/>
  <c r="AO109" i="4"/>
  <c r="AP109" i="4" s="1"/>
  <c r="BU138" i="4"/>
  <c r="AQ138" i="4"/>
  <c r="AR138" i="4" s="1"/>
  <c r="BW122" i="4"/>
  <c r="AU122" i="4"/>
  <c r="AV122" i="4" s="1"/>
  <c r="BW37" i="4"/>
  <c r="AU37" i="4"/>
  <c r="AV37" i="4" s="1"/>
  <c r="EK116" i="4"/>
  <c r="DE116" i="4"/>
  <c r="DF116" i="4" s="1"/>
  <c r="BS76" i="4"/>
  <c r="AM76" i="4"/>
  <c r="AN76" i="4" s="1"/>
  <c r="BU41" i="4"/>
  <c r="AQ41" i="4"/>
  <c r="AR41" i="4" s="1"/>
  <c r="BW152" i="4"/>
  <c r="AU152" i="4"/>
  <c r="AV152" i="4" s="1"/>
  <c r="BT45" i="4"/>
  <c r="AO45" i="4"/>
  <c r="AP45" i="4" s="1"/>
  <c r="BT88" i="4"/>
  <c r="AO88" i="4"/>
  <c r="AP88" i="4" s="1"/>
  <c r="BV67" i="4"/>
  <c r="AS67" i="4"/>
  <c r="AT67" i="4" s="1"/>
  <c r="BW123" i="4"/>
  <c r="AU123" i="4"/>
  <c r="AV123" i="4" s="1"/>
  <c r="BT79" i="4"/>
  <c r="AO79" i="4"/>
  <c r="AP79" i="4" s="1"/>
  <c r="BV38" i="4"/>
  <c r="AS38" i="4"/>
  <c r="AT38" i="4" s="1"/>
  <c r="BW38" i="4" l="1"/>
  <c r="AU38" i="4"/>
  <c r="AV38" i="4" s="1"/>
  <c r="BX152" i="4"/>
  <c r="AY152" i="4" s="1"/>
  <c r="AZ152" i="4" s="1"/>
  <c r="AW152" i="4"/>
  <c r="AX152" i="4" s="1"/>
  <c r="AO76" i="4"/>
  <c r="AP76" i="4" s="1"/>
  <c r="BT76" i="4"/>
  <c r="BX37" i="4"/>
  <c r="AY37" i="4" s="1"/>
  <c r="AZ37" i="4" s="1"/>
  <c r="AW37" i="4"/>
  <c r="AX37" i="4" s="1"/>
  <c r="BV138" i="4"/>
  <c r="AS138" i="4"/>
  <c r="AT138" i="4" s="1"/>
  <c r="BX123" i="4"/>
  <c r="AY123" i="4" s="1"/>
  <c r="AZ123" i="4" s="1"/>
  <c r="AW123" i="4"/>
  <c r="AX123" i="4" s="1"/>
  <c r="BU88" i="4"/>
  <c r="AQ88" i="4"/>
  <c r="AR88" i="4" s="1"/>
  <c r="BU79" i="4"/>
  <c r="AQ79" i="4"/>
  <c r="AR79" i="4" s="1"/>
  <c r="BW67" i="4"/>
  <c r="AU67" i="4"/>
  <c r="AV67" i="4" s="1"/>
  <c r="BU45" i="4"/>
  <c r="AQ45" i="4"/>
  <c r="AR45" i="4" s="1"/>
  <c r="BV41" i="4"/>
  <c r="AS41" i="4"/>
  <c r="AT41" i="4" s="1"/>
  <c r="EL116" i="4"/>
  <c r="DG116" i="4"/>
  <c r="DH116" i="4" s="1"/>
  <c r="BX122" i="4"/>
  <c r="AY122" i="4" s="1"/>
  <c r="AZ122" i="4" s="1"/>
  <c r="AW122" i="4"/>
  <c r="AX122" i="4" s="1"/>
  <c r="AQ109" i="4"/>
  <c r="AR109" i="4" s="1"/>
  <c r="BU109" i="4"/>
  <c r="BV109" i="4" l="1"/>
  <c r="AS109" i="4"/>
  <c r="AT109" i="4" s="1"/>
  <c r="BV45" i="4"/>
  <c r="AS45" i="4"/>
  <c r="AT45" i="4" s="1"/>
  <c r="BU76" i="4"/>
  <c r="AQ76" i="4"/>
  <c r="AR76" i="4" s="1"/>
  <c r="EM116" i="4"/>
  <c r="DI116" i="4"/>
  <c r="DJ116" i="4" s="1"/>
  <c r="BV79" i="4"/>
  <c r="AS79" i="4"/>
  <c r="AT79" i="4" s="1"/>
  <c r="BW41" i="4"/>
  <c r="AU41" i="4"/>
  <c r="AV41" i="4" s="1"/>
  <c r="BX67" i="4"/>
  <c r="AY67" i="4" s="1"/>
  <c r="AZ67" i="4" s="1"/>
  <c r="AW67" i="4"/>
  <c r="AX67" i="4" s="1"/>
  <c r="BV88" i="4"/>
  <c r="AS88" i="4"/>
  <c r="AT88" i="4" s="1"/>
  <c r="BW138" i="4"/>
  <c r="AU138" i="4"/>
  <c r="AV138" i="4" s="1"/>
  <c r="BX38" i="4"/>
  <c r="AY38" i="4" s="1"/>
  <c r="AZ38" i="4" s="1"/>
  <c r="AW38" i="4"/>
  <c r="AX38" i="4" s="1"/>
  <c r="BX41" i="4" l="1"/>
  <c r="AY41" i="4" s="1"/>
  <c r="AZ41" i="4" s="1"/>
  <c r="AW41" i="4"/>
  <c r="AX41" i="4" s="1"/>
  <c r="EN116" i="4"/>
  <c r="DK116" i="4"/>
  <c r="DL116" i="4" s="1"/>
  <c r="BW45" i="4"/>
  <c r="AU45" i="4"/>
  <c r="AV45" i="4" s="1"/>
  <c r="BW88" i="4"/>
  <c r="AU88" i="4"/>
  <c r="AV88" i="4" s="1"/>
  <c r="AW138" i="4"/>
  <c r="AX138" i="4" s="1"/>
  <c r="BX138" i="4"/>
  <c r="AY138" i="4" s="1"/>
  <c r="AZ138" i="4" s="1"/>
  <c r="BW79" i="4"/>
  <c r="AU79" i="4"/>
  <c r="AV79" i="4" s="1"/>
  <c r="AS76" i="4"/>
  <c r="AT76" i="4" s="1"/>
  <c r="BV76" i="4"/>
  <c r="BW109" i="4"/>
  <c r="AU109" i="4"/>
  <c r="AV109" i="4" s="1"/>
  <c r="BX109" i="4" l="1"/>
  <c r="AY109" i="4" s="1"/>
  <c r="AZ109" i="4" s="1"/>
  <c r="AW109" i="4"/>
  <c r="AX109" i="4" s="1"/>
  <c r="BX79" i="4"/>
  <c r="AY79" i="4" s="1"/>
  <c r="AZ79" i="4" s="1"/>
  <c r="AW79" i="4"/>
  <c r="AX79" i="4" s="1"/>
  <c r="BX88" i="4"/>
  <c r="AY88" i="4" s="1"/>
  <c r="AZ88" i="4" s="1"/>
  <c r="AW88" i="4"/>
  <c r="AX88" i="4" s="1"/>
  <c r="DM116" i="4"/>
  <c r="DN116" i="4" s="1"/>
  <c r="EO116" i="4"/>
  <c r="BW76" i="4"/>
  <c r="AU76" i="4"/>
  <c r="AV76" i="4" s="1"/>
  <c r="BX45" i="4"/>
  <c r="AY45" i="4" s="1"/>
  <c r="AZ45" i="4" s="1"/>
  <c r="AW45" i="4"/>
  <c r="AX45" i="4" s="1"/>
  <c r="EP116" i="4" l="1"/>
  <c r="DQ116" i="4" s="1"/>
  <c r="DR116" i="4" s="1"/>
  <c r="DO116" i="4"/>
  <c r="DP116" i="4" s="1"/>
  <c r="BX76" i="4"/>
  <c r="AY76" i="4" s="1"/>
  <c r="AZ76" i="4" s="1"/>
  <c r="AW76" i="4"/>
  <c r="AX76" i="4" s="1"/>
</calcChain>
</file>

<file path=xl/sharedStrings.xml><?xml version="1.0" encoding="utf-8"?>
<sst xmlns="http://schemas.openxmlformats.org/spreadsheetml/2006/main" count="726" uniqueCount="328">
  <si>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</si>
  <si>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</si>
  <si>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</si>
  <si>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</si>
  <si>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</si>
  <si>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</si>
  <si>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</si>
  <si>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</si>
  <si>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</si>
  <si>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</si>
  <si>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</si>
  <si>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</si>
  <si>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</si>
  <si>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</si>
  <si>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</si>
  <si>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</si>
  <si>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</si>
  <si>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</si>
  <si>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</si>
  <si>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</si>
  <si>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</si>
  <si>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</si>
  <si>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</si>
  <si>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</si>
  <si>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</si>
  <si>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</si>
  <si>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</si>
  <si>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</si>
  <si>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</si>
  <si>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</si>
  <si>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</si>
  <si>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</si>
  <si>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</si>
  <si>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</si>
  <si>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</si>
  <si>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</si>
  <si>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</si>
  <si>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</si>
  <si>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</si>
  <si>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</si>
  <si>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</si>
  <si>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</si>
  <si>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</si>
  <si>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</si>
  <si>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</si>
  <si>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</si>
  <si>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</si>
  <si>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</si>
  <si>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</si>
  <si>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</si>
  <si>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</si>
  <si>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</si>
  <si>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</si>
  <si>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</si>
  <si>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</si>
  <si>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</si>
  <si>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</si>
  <si>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</si>
  <si>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</si>
  <si>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</si>
  <si>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</si>
  <si>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</si>
  <si>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</si>
  <si>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</si>
  <si>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</si>
  <si>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</si>
  <si>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</si>
  <si>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</si>
  <si>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</si>
  <si>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</si>
  <si>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</si>
  <si>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</si>
  <si>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</si>
  <si>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</si>
  <si>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</si>
  <si>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</si>
  <si>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</si>
  <si>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</si>
  <si>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</si>
  <si>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</si>
  <si>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</si>
  <si>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</si>
  <si>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</si>
  <si>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</si>
  <si>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</si>
  <si>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</si>
  <si>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</si>
  <si>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</si>
  <si>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</si>
  <si>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</si>
  <si>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</si>
  <si>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</si>
  <si>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</si>
  <si>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</si>
  <si>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</si>
  <si>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</si>
  <si>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</si>
  <si>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</si>
  <si>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</si>
  <si>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</si>
  <si>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</si>
  <si>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</si>
  <si>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</si>
  <si>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</si>
  <si>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</si>
  <si>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</si>
  <si>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</si>
  <si>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</si>
  <si>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</si>
  <si>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</si>
  <si>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</si>
  <si>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</si>
  <si>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</si>
  <si>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</si>
  <si>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</si>
  <si>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</si>
  <si>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</si>
  <si>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</si>
  <si>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</si>
  <si>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</si>
  <si>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</si>
  <si>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</si>
  <si>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</si>
  <si>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</si>
  <si>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</si>
  <si>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</si>
  <si>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</si>
  <si>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</si>
  <si>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</si>
  <si>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</si>
  <si>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</si>
  <si>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</si>
  <si>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</si>
  <si>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</si>
  <si>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</si>
  <si>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</si>
  <si>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</si>
  <si>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</si>
  <si>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</si>
  <si>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</si>
  <si>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</si>
  <si>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</si>
  <si>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</si>
  <si>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</si>
  <si>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</si>
  <si>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</si>
  <si>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</si>
  <si>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</si>
  <si>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</si>
  <si>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</si>
  <si>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</si>
  <si>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</si>
  <si>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</si>
  <si>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</si>
  <si>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</si>
  <si>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</si>
  <si>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</si>
  <si>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</si>
  <si>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</si>
  <si>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</si>
  <si>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</si>
  <si>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</si>
  <si>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</si>
  <si>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</si>
  <si>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</si>
  <si>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</si>
  <si>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</si>
  <si>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</si>
  <si>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</si>
  <si>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</si>
  <si>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</si>
  <si>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</si>
  <si>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</si>
  <si>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</si>
  <si>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</si>
  <si>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</si>
  <si>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</si>
  <si>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</si>
  <si>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</si>
  <si>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</si>
  <si>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</si>
  <si>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</si>
  <si>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</si>
  <si>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</si>
  <si>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</si>
  <si>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</si>
  <si>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</si>
  <si>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</si>
  <si>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</si>
  <si>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</si>
  <si>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</si>
  <si>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</si>
  <si>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</si>
  <si>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</si>
  <si>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</si>
  <si>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</si>
  <si>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</si>
  <si>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</si>
  <si>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</si>
  <si>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</si>
  <si>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</si>
  <si>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</si>
  <si>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</si>
  <si>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</si>
  <si>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</si>
  <si>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</si>
  <si>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</si>
  <si>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</si>
  <si>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</si>
  <si>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</si>
  <si>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</si>
  <si>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</si>
  <si>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</si>
  <si>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</si>
  <si>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</si>
  <si>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</si>
  <si>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</si>
  <si>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</si>
  <si>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</si>
  <si>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</si>
  <si>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</si>
  <si>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</si>
  <si>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</si>
  <si>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</si>
  <si>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</si>
  <si>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</si>
  <si>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</si>
  <si>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</si>
  <si>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</si>
  <si>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</si>
  <si>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</si>
  <si>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</si>
  <si>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</si>
  <si>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</si>
  <si>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</si>
  <si>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</si>
  <si>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</si>
  <si>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</si>
  <si>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</si>
  <si>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</si>
  <si>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</si>
  <si>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</si>
  <si>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</si>
  <si>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</si>
  <si>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</si>
  <si>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</si>
  <si>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</si>
  <si>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</si>
  <si>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</si>
  <si>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</si>
  <si>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</si>
  <si>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</si>
  <si>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</si>
  <si>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</si>
  <si>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</si>
  <si>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</si>
  <si>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</si>
  <si>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</si>
  <si>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</si>
  <si>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</si>
  <si>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</si>
  <si>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</si>
  <si>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</si>
  <si>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</si>
  <si>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</si>
  <si>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</si>
  <si>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</si>
  <si>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</si>
  <si>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</si>
  <si>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</si>
  <si>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</si>
  <si>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</si>
  <si>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</si>
  <si>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</si>
  <si>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</si>
  <si>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</si>
  <si>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</si>
  <si>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</si>
  <si>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</si>
  <si>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</si>
  <si>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</si>
  <si>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</si>
  <si>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</si>
  <si>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</si>
  <si>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</si>
  <si>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</si>
  <si>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</si>
  <si>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</si>
  <si>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</si>
  <si>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</si>
  <si>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</si>
  <si>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</si>
  <si>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</si>
  <si>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</si>
  <si>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</si>
  <si>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</si>
  <si>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</si>
  <si>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</si>
  <si>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</si>
  <si>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</si>
  <si>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</si>
  <si>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원/ m2</t>
    <phoneticPr fontId="2" type="noConversion"/>
  </si>
  <si>
    <t>경상도</t>
  </si>
  <si>
    <t>업무</t>
  </si>
  <si>
    <t>원/ m2</t>
    <phoneticPr fontId="2" type="noConversion"/>
  </si>
  <si>
    <t xml:space="preserve">돌및타일공사 </t>
    <phoneticPr fontId="2" type="noConversion"/>
  </si>
  <si>
    <t>홈통및금속공사</t>
  </si>
  <si>
    <t>기타공사,방수공사,운반공사,토공및기초공사,고재대</t>
    <phoneticPr fontId="2" type="noConversion"/>
  </si>
  <si>
    <t>기계장비설치공사,위생배관공사</t>
    <phoneticPr fontId="2" type="noConversion"/>
  </si>
  <si>
    <t>동력설비,기계실동력설비공사</t>
    <phoneticPr fontId="2" type="noConversion"/>
  </si>
  <si>
    <t>조명설비공사</t>
    <phoneticPr fontId="2" type="noConversion"/>
  </si>
  <si>
    <t>피뢰침 설비공사</t>
    <phoneticPr fontId="2" type="noConversion"/>
  </si>
  <si>
    <t>케이블트레이설치공사</t>
    <phoneticPr fontId="2" type="noConversion"/>
  </si>
  <si>
    <t>도급자설치관급,관급자설치관급</t>
    <phoneticPr fontId="2" type="noConversion"/>
  </si>
  <si>
    <t>전기실설비공사</t>
    <phoneticPr fontId="2" type="noConversion"/>
  </si>
  <si>
    <t>CATV 설비공사</t>
  </si>
  <si>
    <t>전화 및 DATA간선 설비공사</t>
    <phoneticPr fontId="2" type="noConversion"/>
  </si>
  <si>
    <t>방송간선 및 방송설비공사</t>
  </si>
  <si>
    <t>옥외인입 및 접지설비공사,무전기 설비공사,비상벨 설비공사</t>
    <phoneticPr fontId="2" type="noConversion"/>
  </si>
  <si>
    <t>전기 소방간선 설비공사, 전기 소방 설비공사, 전기 소화 설비공사</t>
    <phoneticPr fontId="2" type="noConversion"/>
  </si>
  <si>
    <t>배수공,부대공,골재대</t>
    <phoneticPr fontId="2" type="noConversion"/>
  </si>
  <si>
    <t>수목대,잔디식재</t>
    <phoneticPr fontId="2" type="noConversion"/>
  </si>
  <si>
    <t>도급자설치</t>
    <phoneticPr fontId="2" type="noConversion"/>
  </si>
  <si>
    <t>관급자설치</t>
    <phoneticPr fontId="2" type="noConversion"/>
  </si>
  <si>
    <t>원 /평</t>
    <phoneticPr fontId="2" type="noConversion"/>
  </si>
  <si>
    <t>원/ m2</t>
  </si>
  <si>
    <t>원 /평</t>
  </si>
  <si>
    <t>테스트업로드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</si>
</sst>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4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178" fontId="4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6" borderId="0" xfId="0" applyNumberFormat="1" applyFill="1">
      <alignment vertical="center"/>
    </xf>
    <xf numFmtId="41" fontId="0" fillId="6" borderId="0" xfId="1" applyNumberFormat="1" applyFont="1" applyFill="1">
      <alignment vertical="center"/>
    </xf>
    <xf numFmtId="178" fontId="0" fillId="6" borderId="0" xfId="1" applyNumberFormat="1" applyFont="1" applyFill="1" applyAlignment="1">
      <alignment vertical="center" shrinkToFit="1"/>
    </xf>
    <xf numFmtId="178" fontId="6" fillId="6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81" t="s">
        <v>156</v>
      </c>
      <c r="B2" s="84" t="s">
        <v>0</v>
      </c>
      <c r="C2" s="85"/>
      <c r="D2" s="84" t="s">
        <v>1</v>
      </c>
      <c r="E2" s="85"/>
      <c r="F2" s="84" t="s">
        <v>157</v>
      </c>
      <c r="G2" s="85"/>
      <c r="H2" s="84" t="s">
        <v>2</v>
      </c>
      <c r="I2" s="85"/>
      <c r="J2" s="84" t="s">
        <v>3</v>
      </c>
      <c r="K2" s="85"/>
      <c r="L2" s="84" t="s">
        <v>158</v>
      </c>
      <c r="M2" s="85"/>
      <c r="N2" s="84" t="s">
        <v>159</v>
      </c>
      <c r="O2" s="85"/>
      <c r="P2" s="84" t="s">
        <v>5</v>
      </c>
      <c r="Q2" s="85"/>
      <c r="R2" s="78" t="s">
        <v>95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80"/>
    </row>
    <row r="3" spans="1:33" x14ac:dyDescent="0.3">
      <c r="A3" s="82"/>
      <c r="B3" s="86"/>
      <c r="C3" s="87"/>
      <c r="D3" s="86"/>
      <c r="E3" s="87"/>
      <c r="F3" s="86"/>
      <c r="G3" s="87"/>
      <c r="H3" s="86"/>
      <c r="I3" s="87"/>
      <c r="J3" s="86"/>
      <c r="K3" s="87"/>
      <c r="L3" s="86"/>
      <c r="M3" s="87"/>
      <c r="N3" s="86"/>
      <c r="O3" s="87"/>
      <c r="P3" s="86"/>
      <c r="Q3" s="87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83"/>
      <c r="B4" s="88"/>
      <c r="C4" s="89"/>
      <c r="D4" s="88"/>
      <c r="E4" s="89"/>
      <c r="F4" s="88"/>
      <c r="G4" s="89"/>
      <c r="H4" s="88"/>
      <c r="I4" s="89"/>
      <c r="J4" s="88"/>
      <c r="K4" s="89"/>
      <c r="L4" s="88"/>
      <c r="M4" s="89"/>
      <c r="N4" s="88"/>
      <c r="O4" s="89"/>
      <c r="P4" s="88"/>
      <c r="Q4" s="8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189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H302"/>
  <sheetViews>
    <sheetView tabSelected="1" zoomScale="90" zoomScaleNormal="90" workbookViewId="0">
      <selection activeCell="C2" sqref="C2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4" customWidth="1"/>
    <col min="9" max="9" width="7.5" style="54" customWidth="1"/>
    <col min="10" max="10" width="7.5" style="55" customWidth="1"/>
    <col min="11" max="16" width="7.5" style="54" customWidth="1"/>
    <col min="17" max="17" width="7.5" style="56" customWidth="1"/>
    <col min="18" max="20" width="7.5" style="54" customWidth="1"/>
    <col min="21" max="21" width="7.5" style="56" customWidth="1"/>
    <col min="22" max="24" width="7.5" style="54" customWidth="1"/>
    <col min="25" max="25" width="7.5" style="56" customWidth="1"/>
    <col min="26" max="75" width="7.5" style="54" customWidth="1"/>
    <col min="76" max="76" width="9.25" style="54" bestFit="1" customWidth="1"/>
    <col min="77" max="77" width="9" style="54"/>
    <col min="78" max="84" width="12.375" style="54" bestFit="1" customWidth="1"/>
    <col min="85" max="85" width="9.75" style="54" bestFit="1" customWidth="1"/>
    <col min="86" max="86" width="10.875" style="54" bestFit="1" customWidth="1"/>
    <col min="87" max="87" width="9.75" style="54" bestFit="1" customWidth="1"/>
    <col min="88" max="88" width="10.875" style="54" bestFit="1" customWidth="1"/>
    <col min="89" max="89" width="9.75" style="54" bestFit="1" customWidth="1"/>
    <col min="90" max="90" width="10.875" style="54" bestFit="1" customWidth="1"/>
    <col min="91" max="91" width="9.75" style="54" bestFit="1" customWidth="1"/>
    <col min="92" max="92" width="10.875" style="54" bestFit="1" customWidth="1"/>
    <col min="93" max="93" width="9.75" style="54" bestFit="1" customWidth="1"/>
    <col min="94" max="94" width="10.875" style="54" bestFit="1" customWidth="1"/>
    <col min="95" max="122" width="9.75" style="54" bestFit="1" customWidth="1"/>
    <col min="123" max="124" width="9" style="54"/>
    <col min="125" max="146" width="9.25" style="54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327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303</v>
      </c>
    </row>
    <row r="6" spans="1:216" ht="17.25" thickBot="1" x14ac:dyDescent="0.35">
      <c r="A6" s="2">
        <v>3</v>
      </c>
      <c r="B6" s="2" t="s">
        <v>151</v>
      </c>
      <c r="C6" s="2" t="s">
        <v>105</v>
      </c>
      <c r="D6" s="35" t="s">
        <v>300</v>
      </c>
    </row>
    <row r="7" spans="1:216" ht="17.25" thickBot="1" x14ac:dyDescent="0.35">
      <c r="C7" s="37">
        <v>4213</v>
      </c>
      <c r="D7" s="36">
        <f>+C7/3.3058</f>
        <v>1274.4267650795571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302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177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150</v>
      </c>
      <c r="I15" s="91" t="s">
        <v>235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C15" s="91" t="s">
        <v>237</v>
      </c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CA15" s="92" t="s">
        <v>238</v>
      </c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U15" s="92" t="s">
        <v>236</v>
      </c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R15" s="54"/>
      <c r="ES15" s="90" t="s">
        <v>239</v>
      </c>
      <c r="ET15" s="90"/>
      <c r="EU15" s="90"/>
      <c r="EV15" s="90"/>
      <c r="EW15" s="90"/>
      <c r="EX15" s="90"/>
      <c r="EY15" s="90"/>
      <c r="EZ15" s="90"/>
      <c r="FA15" s="90"/>
      <c r="FB15" s="90"/>
      <c r="FC15" s="90"/>
      <c r="FD15" s="90"/>
      <c r="FE15" s="90"/>
      <c r="FF15" s="90"/>
      <c r="FG15" s="90"/>
      <c r="FH15" s="90"/>
      <c r="FI15" s="90"/>
      <c r="FJ15" s="90"/>
      <c r="FK15" s="90"/>
      <c r="FL15" s="90"/>
      <c r="FM15" s="90"/>
      <c r="FN15" s="90"/>
      <c r="FO15" s="90"/>
      <c r="FP15" s="90"/>
      <c r="FQ15" s="90"/>
      <c r="FR15" s="90"/>
      <c r="FS15" s="90"/>
      <c r="FT15" s="90"/>
      <c r="FU15" s="90"/>
      <c r="FV15" s="90"/>
      <c r="FW15" s="90"/>
      <c r="FX15" s="90"/>
      <c r="FY15" s="90"/>
      <c r="FZ15" s="90"/>
      <c r="GA15" s="90"/>
      <c r="GB15" s="90"/>
      <c r="GC15" s="90"/>
      <c r="GD15" s="90"/>
      <c r="GE15" s="90"/>
      <c r="GF15" s="90"/>
      <c r="GG15" s="90"/>
      <c r="GH15" s="90"/>
      <c r="GI15" s="90"/>
      <c r="GJ15" s="90"/>
      <c r="GK15" s="54"/>
      <c r="GL15" s="54"/>
      <c r="GM15" s="90" t="s">
        <v>236</v>
      </c>
      <c r="GN15" s="90"/>
      <c r="GO15" s="90"/>
      <c r="GP15" s="90"/>
      <c r="GQ15" s="90"/>
      <c r="GR15" s="90"/>
      <c r="GS15" s="90"/>
      <c r="GT15" s="90"/>
      <c r="GU15" s="90"/>
      <c r="GV15" s="90"/>
      <c r="GW15" s="90"/>
      <c r="GX15" s="90"/>
      <c r="GY15" s="90"/>
      <c r="GZ15" s="90"/>
      <c r="HA15" s="90"/>
      <c r="HB15" s="90"/>
      <c r="HC15" s="90"/>
      <c r="HD15" s="90"/>
      <c r="HE15" s="90"/>
      <c r="HF15" s="90"/>
      <c r="HG15" s="90"/>
      <c r="HH15" s="90"/>
    </row>
    <row r="16" spans="1:216" x14ac:dyDescent="0.3">
      <c r="H16" s="54" t="s">
        <v>240</v>
      </c>
      <c r="I16" s="54" t="s">
        <v>241</v>
      </c>
      <c r="J16" s="54"/>
      <c r="K16" s="54" t="s">
        <v>242</v>
      </c>
      <c r="M16" s="54" t="s">
        <v>243</v>
      </c>
      <c r="O16" s="54" t="s">
        <v>244</v>
      </c>
      <c r="Q16" s="56" t="s">
        <v>245</v>
      </c>
      <c r="R16" s="55"/>
      <c r="S16" s="57" t="s">
        <v>246</v>
      </c>
      <c r="U16" s="56" t="s">
        <v>247</v>
      </c>
      <c r="W16" s="54" t="s">
        <v>248</v>
      </c>
      <c r="Y16" s="56" t="s">
        <v>249</v>
      </c>
      <c r="AA16" s="54" t="s">
        <v>250</v>
      </c>
      <c r="AC16" s="54" t="s">
        <v>251</v>
      </c>
      <c r="AE16" s="54" t="s">
        <v>252</v>
      </c>
      <c r="AG16" s="54" t="s">
        <v>253</v>
      </c>
      <c r="AH16" s="55"/>
      <c r="AI16" s="57" t="s">
        <v>254</v>
      </c>
      <c r="AK16" s="54" t="s">
        <v>255</v>
      </c>
      <c r="AM16" s="54" t="s">
        <v>256</v>
      </c>
      <c r="AO16" s="54" t="s">
        <v>257</v>
      </c>
      <c r="AQ16" s="54" t="s">
        <v>258</v>
      </c>
      <c r="AR16" s="55"/>
      <c r="AS16" s="57" t="s">
        <v>259</v>
      </c>
      <c r="AU16" s="54" t="s">
        <v>260</v>
      </c>
      <c r="AW16" s="54" t="s">
        <v>261</v>
      </c>
      <c r="AY16" s="54" t="s">
        <v>262</v>
      </c>
      <c r="BC16" s="54" t="s">
        <v>263</v>
      </c>
      <c r="BD16" s="54" t="s">
        <v>242</v>
      </c>
      <c r="BE16" s="54" t="s">
        <v>208</v>
      </c>
      <c r="BF16" s="54" t="s">
        <v>207</v>
      </c>
      <c r="BG16" s="54" t="s">
        <v>205</v>
      </c>
      <c r="BH16" s="54" t="s">
        <v>202</v>
      </c>
      <c r="BI16" s="54" t="s">
        <v>201</v>
      </c>
      <c r="BJ16" s="54" t="s">
        <v>199</v>
      </c>
      <c r="BK16" s="54" t="s">
        <v>198</v>
      </c>
      <c r="BL16" s="54" t="s">
        <v>197</v>
      </c>
      <c r="BM16" s="54" t="s">
        <v>194</v>
      </c>
      <c r="BN16" s="54" t="s">
        <v>191</v>
      </c>
      <c r="BO16" s="54" t="s">
        <v>188</v>
      </c>
      <c r="BP16" s="54" t="s">
        <v>186</v>
      </c>
      <c r="BQ16" s="54" t="s">
        <v>180</v>
      </c>
      <c r="BR16" s="54" t="s">
        <v>177</v>
      </c>
      <c r="BS16" s="54" t="s">
        <v>264</v>
      </c>
      <c r="BT16" s="54" t="s">
        <v>265</v>
      </c>
      <c r="BU16" s="54" t="s">
        <v>266</v>
      </c>
      <c r="BV16" s="54" t="s">
        <v>267</v>
      </c>
      <c r="BW16" s="54" t="s">
        <v>268</v>
      </c>
      <c r="BX16" s="54" t="s">
        <v>269</v>
      </c>
      <c r="BZ16" s="54" t="s">
        <v>240</v>
      </c>
      <c r="CA16" s="54" t="s">
        <v>241</v>
      </c>
      <c r="CC16" s="54" t="s">
        <v>242</v>
      </c>
      <c r="CE16" s="54" t="s">
        <v>243</v>
      </c>
      <c r="CG16" s="54" t="s">
        <v>244</v>
      </c>
      <c r="CI16" s="54" t="s">
        <v>245</v>
      </c>
      <c r="CJ16" s="55"/>
      <c r="CK16" s="57" t="s">
        <v>246</v>
      </c>
      <c r="CM16" s="54" t="s">
        <v>247</v>
      </c>
      <c r="CO16" s="54" t="s">
        <v>248</v>
      </c>
      <c r="CQ16" s="54" t="s">
        <v>249</v>
      </c>
      <c r="CS16" s="54" t="s">
        <v>250</v>
      </c>
      <c r="CU16" s="54" t="s">
        <v>251</v>
      </c>
      <c r="CW16" s="54" t="s">
        <v>252</v>
      </c>
      <c r="CY16" s="54" t="s">
        <v>253</v>
      </c>
      <c r="CZ16" s="55"/>
      <c r="DA16" s="57" t="s">
        <v>254</v>
      </c>
      <c r="DC16" s="54" t="s">
        <v>255</v>
      </c>
      <c r="DE16" s="54" t="s">
        <v>256</v>
      </c>
      <c r="DG16" s="54" t="s">
        <v>257</v>
      </c>
      <c r="DI16" s="54" t="s">
        <v>258</v>
      </c>
      <c r="DJ16" s="55"/>
      <c r="DK16" s="57" t="s">
        <v>259</v>
      </c>
      <c r="DM16" s="54" t="s">
        <v>260</v>
      </c>
      <c r="DO16" s="54" t="s">
        <v>261</v>
      </c>
      <c r="DQ16" s="54" t="s">
        <v>262</v>
      </c>
      <c r="DU16" s="54" t="s">
        <v>263</v>
      </c>
      <c r="DV16" s="54" t="s">
        <v>242</v>
      </c>
      <c r="DW16" s="54" t="s">
        <v>208</v>
      </c>
      <c r="DX16" s="54" t="s">
        <v>207</v>
      </c>
      <c r="DY16" s="54" t="s">
        <v>205</v>
      </c>
      <c r="DZ16" s="54" t="s">
        <v>202</v>
      </c>
      <c r="EA16" s="54" t="s">
        <v>201</v>
      </c>
      <c r="EB16" s="54" t="s">
        <v>199</v>
      </c>
      <c r="EC16" s="54" t="s">
        <v>198</v>
      </c>
      <c r="ED16" s="54" t="s">
        <v>197</v>
      </c>
      <c r="EE16" s="54" t="s">
        <v>194</v>
      </c>
      <c r="EF16" s="54" t="s">
        <v>191</v>
      </c>
      <c r="EG16" s="54" t="s">
        <v>188</v>
      </c>
      <c r="EH16" s="54" t="s">
        <v>186</v>
      </c>
      <c r="EI16" s="54" t="s">
        <v>180</v>
      </c>
      <c r="EJ16" s="54" t="s">
        <v>177</v>
      </c>
      <c r="EK16" s="54" t="s">
        <v>264</v>
      </c>
      <c r="EL16" s="54" t="s">
        <v>265</v>
      </c>
      <c r="EM16" s="54" t="s">
        <v>266</v>
      </c>
      <c r="EN16" s="54" t="s">
        <v>267</v>
      </c>
      <c r="EO16" s="54" t="s">
        <v>268</v>
      </c>
      <c r="EP16" s="54" t="s">
        <v>269</v>
      </c>
      <c r="ER16" s="54" t="s">
        <v>240</v>
      </c>
      <c r="ES16" s="54" t="s">
        <v>241</v>
      </c>
      <c r="ET16" s="54"/>
      <c r="EU16" s="54" t="s">
        <v>242</v>
      </c>
      <c r="EV16" s="54"/>
      <c r="EW16" s="54" t="s">
        <v>243</v>
      </c>
      <c r="EX16" s="54"/>
      <c r="EY16" s="54" t="s">
        <v>244</v>
      </c>
      <c r="EZ16" s="54"/>
      <c r="FA16" s="54" t="s">
        <v>245</v>
      </c>
      <c r="FB16" s="55"/>
      <c r="FC16" s="57" t="s">
        <v>246</v>
      </c>
      <c r="FD16" s="54"/>
      <c r="FE16" s="54" t="s">
        <v>247</v>
      </c>
      <c r="FF16" s="54"/>
      <c r="FG16" s="54" t="s">
        <v>248</v>
      </c>
      <c r="FH16" s="54"/>
      <c r="FI16" s="54" t="s">
        <v>249</v>
      </c>
      <c r="FJ16" s="54"/>
      <c r="FK16" s="54" t="s">
        <v>250</v>
      </c>
      <c r="FL16" s="54"/>
      <c r="FM16" s="54" t="s">
        <v>251</v>
      </c>
      <c r="FN16" s="54"/>
      <c r="FO16" s="54" t="s">
        <v>252</v>
      </c>
      <c r="FP16" s="54"/>
      <c r="FQ16" s="54" t="s">
        <v>253</v>
      </c>
      <c r="FR16" s="55"/>
      <c r="FS16" s="57" t="s">
        <v>254</v>
      </c>
      <c r="FT16" s="54"/>
      <c r="FU16" s="54" t="s">
        <v>255</v>
      </c>
      <c r="FV16" s="54"/>
      <c r="FW16" s="54" t="s">
        <v>256</v>
      </c>
      <c r="FX16" s="54"/>
      <c r="FY16" s="54" t="s">
        <v>257</v>
      </c>
      <c r="FZ16" s="54"/>
      <c r="GA16" s="54" t="s">
        <v>258</v>
      </c>
      <c r="GB16" s="55"/>
      <c r="GC16" s="57" t="s">
        <v>259</v>
      </c>
      <c r="GD16" s="54"/>
      <c r="GE16" s="54" t="s">
        <v>260</v>
      </c>
      <c r="GF16" s="54"/>
      <c r="GG16" s="54" t="s">
        <v>261</v>
      </c>
      <c r="GH16" s="54"/>
      <c r="GI16" s="54" t="s">
        <v>262</v>
      </c>
      <c r="GJ16" s="54"/>
      <c r="GK16" s="54"/>
      <c r="GL16" s="54"/>
      <c r="GM16" s="54" t="s">
        <v>263</v>
      </c>
      <c r="GN16" s="54" t="s">
        <v>242</v>
      </c>
      <c r="GO16" s="54" t="s">
        <v>208</v>
      </c>
      <c r="GP16" s="54" t="s">
        <v>207</v>
      </c>
      <c r="GQ16" s="54" t="s">
        <v>205</v>
      </c>
      <c r="GR16" s="54" t="s">
        <v>202</v>
      </c>
      <c r="GS16" s="54" t="s">
        <v>201</v>
      </c>
      <c r="GT16" s="54" t="s">
        <v>199</v>
      </c>
      <c r="GU16" s="54" t="s">
        <v>198</v>
      </c>
      <c r="GV16" s="54" t="s">
        <v>197</v>
      </c>
      <c r="GW16" s="54" t="s">
        <v>194</v>
      </c>
      <c r="GX16" s="54" t="s">
        <v>191</v>
      </c>
      <c r="GY16" s="54" t="s">
        <v>188</v>
      </c>
      <c r="GZ16" s="54" t="s">
        <v>186</v>
      </c>
      <c r="HA16" s="54" t="s">
        <v>180</v>
      </c>
      <c r="HB16" s="54" t="s">
        <v>177</v>
      </c>
      <c r="HC16" s="54" t="s">
        <v>264</v>
      </c>
      <c r="HD16" s="54" t="s">
        <v>265</v>
      </c>
      <c r="HE16" s="54" t="s">
        <v>266</v>
      </c>
      <c r="HF16" s="54" t="s">
        <v>267</v>
      </c>
      <c r="HG16" s="54" t="s">
        <v>268</v>
      </c>
      <c r="HH16" s="54" t="s">
        <v>269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301</v>
      </c>
      <c r="E17" s="35" t="s">
        <v>271</v>
      </c>
      <c r="I17" s="54" t="s">
        <v>270</v>
      </c>
      <c r="J17" s="54" t="s">
        <v>271</v>
      </c>
      <c r="K17" s="54" t="s">
        <v>270</v>
      </c>
      <c r="L17" s="54" t="s">
        <v>271</v>
      </c>
      <c r="M17" s="54" t="s">
        <v>270</v>
      </c>
      <c r="N17" s="54" t="s">
        <v>271</v>
      </c>
      <c r="O17" s="54" t="s">
        <v>270</v>
      </c>
      <c r="P17" s="54" t="s">
        <v>271</v>
      </c>
      <c r="Q17" s="56" t="s">
        <v>270</v>
      </c>
      <c r="R17" s="54" t="s">
        <v>271</v>
      </c>
      <c r="S17" s="54" t="s">
        <v>270</v>
      </c>
      <c r="T17" s="54" t="s">
        <v>271</v>
      </c>
      <c r="U17" s="56" t="s">
        <v>270</v>
      </c>
      <c r="V17" s="54" t="s">
        <v>271</v>
      </c>
      <c r="W17" s="54" t="s">
        <v>270</v>
      </c>
      <c r="X17" s="54" t="s">
        <v>271</v>
      </c>
      <c r="Y17" s="56" t="s">
        <v>270</v>
      </c>
      <c r="Z17" s="54" t="s">
        <v>271</v>
      </c>
      <c r="AA17" s="54" t="s">
        <v>270</v>
      </c>
      <c r="AB17" s="54" t="s">
        <v>271</v>
      </c>
      <c r="AC17" s="54" t="s">
        <v>270</v>
      </c>
      <c r="AD17" s="54" t="s">
        <v>271</v>
      </c>
      <c r="AE17" s="54" t="s">
        <v>270</v>
      </c>
      <c r="AF17" s="54" t="s">
        <v>271</v>
      </c>
      <c r="AG17" s="54" t="s">
        <v>270</v>
      </c>
      <c r="AH17" s="54" t="s">
        <v>271</v>
      </c>
      <c r="AI17" s="54" t="s">
        <v>270</v>
      </c>
      <c r="AJ17" s="54" t="s">
        <v>271</v>
      </c>
      <c r="AK17" s="54" t="s">
        <v>270</v>
      </c>
      <c r="AL17" s="54" t="s">
        <v>271</v>
      </c>
      <c r="AM17" s="54" t="s">
        <v>270</v>
      </c>
      <c r="AN17" s="54" t="s">
        <v>271</v>
      </c>
      <c r="AO17" s="54" t="s">
        <v>270</v>
      </c>
      <c r="AP17" s="54" t="s">
        <v>271</v>
      </c>
      <c r="AQ17" s="54" t="s">
        <v>270</v>
      </c>
      <c r="AR17" s="54" t="s">
        <v>271</v>
      </c>
      <c r="AS17" s="54" t="s">
        <v>270</v>
      </c>
      <c r="AT17" s="54" t="s">
        <v>271</v>
      </c>
      <c r="AU17" s="54" t="s">
        <v>270</v>
      </c>
      <c r="AV17" s="54" t="s">
        <v>271</v>
      </c>
      <c r="AW17" s="54" t="s">
        <v>270</v>
      </c>
      <c r="AX17" s="54" t="s">
        <v>271</v>
      </c>
      <c r="AY17" s="54" t="s">
        <v>270</v>
      </c>
      <c r="AZ17" s="54" t="s">
        <v>271</v>
      </c>
      <c r="CA17" s="54" t="s">
        <v>270</v>
      </c>
      <c r="CB17" s="54" t="s">
        <v>271</v>
      </c>
      <c r="CC17" s="54" t="s">
        <v>270</v>
      </c>
      <c r="CD17" s="54" t="s">
        <v>271</v>
      </c>
      <c r="CE17" s="54" t="s">
        <v>270</v>
      </c>
      <c r="CF17" s="54" t="s">
        <v>271</v>
      </c>
      <c r="CG17" s="54" t="s">
        <v>270</v>
      </c>
      <c r="CH17" s="54" t="s">
        <v>271</v>
      </c>
      <c r="CI17" s="54" t="s">
        <v>270</v>
      </c>
      <c r="CJ17" s="54" t="s">
        <v>271</v>
      </c>
      <c r="CK17" s="54" t="s">
        <v>270</v>
      </c>
      <c r="CL17" s="54" t="s">
        <v>271</v>
      </c>
      <c r="CM17" s="54" t="s">
        <v>270</v>
      </c>
      <c r="CN17" s="54" t="s">
        <v>271</v>
      </c>
      <c r="CO17" s="54" t="s">
        <v>270</v>
      </c>
      <c r="CP17" s="54" t="s">
        <v>271</v>
      </c>
      <c r="CQ17" s="54" t="s">
        <v>270</v>
      </c>
      <c r="CR17" s="54" t="s">
        <v>271</v>
      </c>
      <c r="CS17" s="54" t="s">
        <v>270</v>
      </c>
      <c r="CT17" s="54" t="s">
        <v>271</v>
      </c>
      <c r="CU17" s="54" t="s">
        <v>270</v>
      </c>
      <c r="CV17" s="54" t="s">
        <v>271</v>
      </c>
      <c r="CW17" s="54" t="s">
        <v>270</v>
      </c>
      <c r="CX17" s="54" t="s">
        <v>271</v>
      </c>
      <c r="CY17" s="54" t="s">
        <v>270</v>
      </c>
      <c r="CZ17" s="54" t="s">
        <v>271</v>
      </c>
      <c r="DA17" s="54" t="s">
        <v>270</v>
      </c>
      <c r="DB17" s="54" t="s">
        <v>271</v>
      </c>
      <c r="DC17" s="54" t="s">
        <v>270</v>
      </c>
      <c r="DD17" s="54" t="s">
        <v>271</v>
      </c>
      <c r="DE17" s="54" t="s">
        <v>270</v>
      </c>
      <c r="DF17" s="54" t="s">
        <v>271</v>
      </c>
      <c r="DG17" s="54" t="s">
        <v>270</v>
      </c>
      <c r="DH17" s="54" t="s">
        <v>271</v>
      </c>
      <c r="DI17" s="54" t="s">
        <v>270</v>
      </c>
      <c r="DJ17" s="54" t="s">
        <v>271</v>
      </c>
      <c r="DK17" s="54" t="s">
        <v>270</v>
      </c>
      <c r="DL17" s="54" t="s">
        <v>271</v>
      </c>
      <c r="DM17" s="54" t="s">
        <v>270</v>
      </c>
      <c r="DN17" s="54" t="s">
        <v>271</v>
      </c>
      <c r="DO17" s="54" t="s">
        <v>270</v>
      </c>
      <c r="DP17" s="54" t="s">
        <v>271</v>
      </c>
      <c r="DQ17" s="54" t="s">
        <v>270</v>
      </c>
      <c r="DR17" s="54" t="s">
        <v>271</v>
      </c>
      <c r="ER17" s="54"/>
      <c r="ES17" s="54" t="s">
        <v>270</v>
      </c>
      <c r="ET17" s="54" t="s">
        <v>271</v>
      </c>
      <c r="EU17" s="54" t="s">
        <v>270</v>
      </c>
      <c r="EV17" s="54" t="s">
        <v>271</v>
      </c>
      <c r="EW17" s="54" t="s">
        <v>270</v>
      </c>
      <c r="EX17" s="54" t="s">
        <v>271</v>
      </c>
      <c r="EY17" s="54" t="s">
        <v>270</v>
      </c>
      <c r="EZ17" s="54" t="s">
        <v>271</v>
      </c>
      <c r="FA17" s="54" t="s">
        <v>270</v>
      </c>
      <c r="FB17" s="54" t="s">
        <v>271</v>
      </c>
      <c r="FC17" s="54" t="s">
        <v>270</v>
      </c>
      <c r="FD17" s="54" t="s">
        <v>271</v>
      </c>
      <c r="FE17" s="54" t="s">
        <v>270</v>
      </c>
      <c r="FF17" s="54" t="s">
        <v>271</v>
      </c>
      <c r="FG17" s="54" t="s">
        <v>270</v>
      </c>
      <c r="FH17" s="54" t="s">
        <v>271</v>
      </c>
      <c r="FI17" s="54" t="s">
        <v>270</v>
      </c>
      <c r="FJ17" s="54" t="s">
        <v>271</v>
      </c>
      <c r="FK17" s="54" t="s">
        <v>270</v>
      </c>
      <c r="FL17" s="54" t="s">
        <v>271</v>
      </c>
      <c r="FM17" s="54" t="s">
        <v>270</v>
      </c>
      <c r="FN17" s="54" t="s">
        <v>271</v>
      </c>
      <c r="FO17" s="54" t="s">
        <v>270</v>
      </c>
      <c r="FP17" s="54" t="s">
        <v>271</v>
      </c>
      <c r="FQ17" s="54" t="s">
        <v>270</v>
      </c>
      <c r="FR17" s="54" t="s">
        <v>271</v>
      </c>
      <c r="FS17" s="54" t="s">
        <v>270</v>
      </c>
      <c r="FT17" s="54" t="s">
        <v>271</v>
      </c>
      <c r="FU17" s="54" t="s">
        <v>270</v>
      </c>
      <c r="FV17" s="54" t="s">
        <v>271</v>
      </c>
      <c r="FW17" s="54" t="s">
        <v>270</v>
      </c>
      <c r="FX17" s="54" t="s">
        <v>271</v>
      </c>
      <c r="FY17" s="54" t="s">
        <v>270</v>
      </c>
      <c r="FZ17" s="54" t="s">
        <v>271</v>
      </c>
      <c r="GA17" s="54" t="s">
        <v>270</v>
      </c>
      <c r="GB17" s="54" t="s">
        <v>271</v>
      </c>
      <c r="GC17" s="54" t="s">
        <v>270</v>
      </c>
      <c r="GD17" s="54" t="s">
        <v>271</v>
      </c>
      <c r="GE17" s="54" t="s">
        <v>270</v>
      </c>
      <c r="GF17" s="54" t="s">
        <v>271</v>
      </c>
      <c r="GG17" s="54" t="s">
        <v>270</v>
      </c>
      <c r="GH17" s="54" t="s">
        <v>271</v>
      </c>
      <c r="GI17" s="54" t="s">
        <v>270</v>
      </c>
      <c r="GJ17" s="54" t="s">
        <v>271</v>
      </c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</row>
    <row r="18" spans="1:216" x14ac:dyDescent="0.3">
      <c r="B18" s="2">
        <v>1</v>
      </c>
      <c r="C18" s="35" t="s">
        <v>111</v>
      </c>
      <c r="D18" s="41">
        <f>D31</f>
        <v>0</v>
      </c>
      <c r="E18" s="67">
        <f t="shared" ref="E18:E27" si="0">TRUNC(+D18*3.3058,-1)</f>
        <v>0</v>
      </c>
      <c r="H18" s="54">
        <f>+E18*1.1</f>
        <v>0</v>
      </c>
      <c r="I18" s="54">
        <f>+H18</f>
        <v>0</v>
      </c>
      <c r="J18" s="58">
        <f>+I18*3.3058</f>
        <v>0</v>
      </c>
      <c r="K18" s="54">
        <f>+I18*BD18</f>
        <v>0</v>
      </c>
      <c r="L18" s="58">
        <f>+K18*3.3058</f>
        <v>0</v>
      </c>
      <c r="M18" s="54">
        <f>+I18*BE18</f>
        <v>0</v>
      </c>
      <c r="N18" s="58">
        <f>+M18*3.3058</f>
        <v>0</v>
      </c>
      <c r="O18" s="54">
        <f t="shared" ref="O18:O28" si="1">+I18*BF18</f>
        <v>0</v>
      </c>
      <c r="P18" s="58">
        <f>+O18*3.3058</f>
        <v>0</v>
      </c>
      <c r="Q18" s="56">
        <f t="shared" ref="Q18:Q28" si="2">+I18*BG18</f>
        <v>0</v>
      </c>
      <c r="R18" s="58">
        <f>+Q18*3.3058</f>
        <v>0</v>
      </c>
      <c r="S18" s="54">
        <f t="shared" ref="S18:S28" si="3">+I18*BH18</f>
        <v>0</v>
      </c>
      <c r="T18" s="58">
        <f>+S18*3.3058</f>
        <v>0</v>
      </c>
      <c r="U18" s="56">
        <f t="shared" ref="U18:U28" si="4">+I18*BI18</f>
        <v>0</v>
      </c>
      <c r="V18" s="58">
        <f>+U18*3.3058</f>
        <v>0</v>
      </c>
      <c r="W18" s="59">
        <f t="shared" ref="W18:W28" si="5">+I18*BJ18</f>
        <v>0</v>
      </c>
      <c r="X18" s="58">
        <f>+W18*3.3058</f>
        <v>0</v>
      </c>
      <c r="Y18" s="56">
        <f t="shared" ref="Y18:Y28" si="6">+I18*BK18</f>
        <v>0</v>
      </c>
      <c r="Z18" s="58">
        <f>+Y18*3.3058</f>
        <v>0</v>
      </c>
      <c r="AA18" s="54">
        <f t="shared" ref="AA18:AA28" si="7">+I18*BL18</f>
        <v>0</v>
      </c>
      <c r="AB18" s="58">
        <f>+AA18*3.3058</f>
        <v>0</v>
      </c>
      <c r="AC18" s="59">
        <f t="shared" ref="AC18:AC28" si="8">+I18*BM18</f>
        <v>0</v>
      </c>
      <c r="AD18" s="58">
        <f>+AC18*3.3058</f>
        <v>0</v>
      </c>
      <c r="AE18" s="59">
        <f t="shared" ref="AE18:AE28" si="9">+I18*BN18</f>
        <v>0</v>
      </c>
      <c r="AF18" s="58">
        <f>+AE18*3.3058</f>
        <v>0</v>
      </c>
      <c r="AG18" s="59">
        <f t="shared" ref="AG18:AG28" si="10">+I18*BO18</f>
        <v>0</v>
      </c>
      <c r="AH18" s="58">
        <f>+AG18*3.3058</f>
        <v>0</v>
      </c>
      <c r="AI18" s="54">
        <f t="shared" ref="AI18:AI28" si="11">+I18*BP18</f>
        <v>0</v>
      </c>
      <c r="AJ18" s="58">
        <f>+AI18*3.3058</f>
        <v>0</v>
      </c>
      <c r="AK18" s="59">
        <f t="shared" ref="AK18:AK28" si="12">+I18*BQ18</f>
        <v>0</v>
      </c>
      <c r="AL18" s="58">
        <f>+AK18*3.3058</f>
        <v>0</v>
      </c>
      <c r="AM18" s="59">
        <f t="shared" ref="AM18:AM28" si="13">+I18*BR18</f>
        <v>0</v>
      </c>
      <c r="AN18" s="58">
        <f>+AM18*3.3058</f>
        <v>0</v>
      </c>
      <c r="AO18" s="59">
        <f t="shared" ref="AO18:AO28" si="14">+I18*BS18</f>
        <v>0</v>
      </c>
      <c r="AP18" s="58">
        <f>+AO18*3.3058</f>
        <v>0</v>
      </c>
      <c r="AQ18" s="59">
        <f t="shared" ref="AQ18:AQ28" si="15">+I18*BT18</f>
        <v>0</v>
      </c>
      <c r="AR18" s="58">
        <f>+AQ18*3.3058</f>
        <v>0</v>
      </c>
      <c r="AS18" s="54">
        <f t="shared" ref="AS18:AS28" si="16">+I18*BU18</f>
        <v>0</v>
      </c>
      <c r="AT18" s="58">
        <f>+AS18*3.3058</f>
        <v>0</v>
      </c>
      <c r="AU18" s="59">
        <f t="shared" ref="AU18:AU28" si="17">+I18*BV18</f>
        <v>0</v>
      </c>
      <c r="AV18" s="58">
        <f>+AU18*3.3058</f>
        <v>0</v>
      </c>
      <c r="AW18" s="59">
        <f t="shared" ref="AW18:AW28" si="18">+I18*BW18</f>
        <v>0</v>
      </c>
      <c r="AX18" s="58">
        <f>+AW18*3.3058</f>
        <v>0</v>
      </c>
      <c r="AY18" s="54">
        <f t="shared" ref="AY18:AY28" si="19">+I18*BX18</f>
        <v>0</v>
      </c>
      <c r="AZ18" s="58">
        <f>+AY18*3.3058</f>
        <v>0</v>
      </c>
      <c r="BC18" s="54">
        <v>1</v>
      </c>
      <c r="BD18" s="54">
        <v>0.97</v>
      </c>
      <c r="BE18" s="54">
        <v>0.95</v>
      </c>
      <c r="BF18" s="54">
        <v>0.93</v>
      </c>
      <c r="BG18" s="54">
        <f>+BF18-0.02</f>
        <v>0.91</v>
      </c>
      <c r="BH18" s="54">
        <f t="shared" ref="BH18:BX18" si="20">+BG18-0.02</f>
        <v>0.89</v>
      </c>
      <c r="BI18" s="54">
        <f t="shared" si="20"/>
        <v>0.87</v>
      </c>
      <c r="BJ18" s="54">
        <f t="shared" si="20"/>
        <v>0.85</v>
      </c>
      <c r="BK18" s="54">
        <f t="shared" si="20"/>
        <v>0.83</v>
      </c>
      <c r="BL18" s="54">
        <f t="shared" si="20"/>
        <v>0.80999999999999994</v>
      </c>
      <c r="BM18" s="54">
        <f t="shared" si="20"/>
        <v>0.78999999999999992</v>
      </c>
      <c r="BN18" s="54">
        <f t="shared" si="20"/>
        <v>0.76999999999999991</v>
      </c>
      <c r="BO18" s="54">
        <f t="shared" si="20"/>
        <v>0.74999999999999989</v>
      </c>
      <c r="BP18" s="54">
        <f t="shared" si="20"/>
        <v>0.72999999999999987</v>
      </c>
      <c r="BQ18" s="54">
        <f t="shared" si="20"/>
        <v>0.70999999999999985</v>
      </c>
      <c r="BR18" s="54">
        <f t="shared" si="20"/>
        <v>0.68999999999999984</v>
      </c>
      <c r="BS18" s="54">
        <f t="shared" si="20"/>
        <v>0.66999999999999982</v>
      </c>
      <c r="BT18" s="54">
        <f t="shared" si="20"/>
        <v>0.6499999999999998</v>
      </c>
      <c r="BU18" s="54">
        <f t="shared" si="20"/>
        <v>0.62999999999999978</v>
      </c>
      <c r="BV18" s="54">
        <f t="shared" si="20"/>
        <v>0.60999999999999976</v>
      </c>
      <c r="BW18" s="54">
        <f t="shared" si="20"/>
        <v>0.58999999999999975</v>
      </c>
      <c r="BX18" s="54">
        <f t="shared" si="20"/>
        <v>0.56999999999999973</v>
      </c>
      <c r="BZ18" s="54">
        <f>+H18*0.91</f>
        <v>0</v>
      </c>
      <c r="CA18" s="54">
        <f>+BZ18</f>
        <v>0</v>
      </c>
      <c r="CB18" s="58">
        <f>+CA18*3.3058</f>
        <v>0</v>
      </c>
      <c r="CC18" s="54">
        <f>+CA18*DV18</f>
        <v>0</v>
      </c>
      <c r="CD18" s="58">
        <f>+CC18*3.3058</f>
        <v>0</v>
      </c>
      <c r="CE18" s="54">
        <f>+CA18*DW18</f>
        <v>0</v>
      </c>
      <c r="CF18" s="58">
        <f>+CE18*3.3058</f>
        <v>0</v>
      </c>
      <c r="CG18" s="54">
        <f t="shared" ref="CG18:CG28" si="21">+CA18*DX18</f>
        <v>0</v>
      </c>
      <c r="CH18" s="58">
        <f>+CG18*3.3058</f>
        <v>0</v>
      </c>
      <c r="CI18" s="56">
        <f t="shared" ref="CI18:CI28" si="22">+CA18*DY18</f>
        <v>0</v>
      </c>
      <c r="CJ18" s="58">
        <f>+CI18*3.3058</f>
        <v>0</v>
      </c>
      <c r="CK18" s="54">
        <f t="shared" ref="CK18:CK28" si="23">+CA18*DZ18</f>
        <v>0</v>
      </c>
      <c r="CL18" s="58">
        <f>+CK18*3.3058</f>
        <v>0</v>
      </c>
      <c r="CM18" s="56">
        <f t="shared" ref="CM18:CM28" si="24">+CA18*EA18</f>
        <v>0</v>
      </c>
      <c r="CN18" s="58">
        <f>+CM18*3.3058</f>
        <v>0</v>
      </c>
      <c r="CO18" s="59">
        <f t="shared" ref="CO18:CO28" si="25">+CA18*EB18</f>
        <v>0</v>
      </c>
      <c r="CP18" s="58">
        <f>+CO18*3.3058</f>
        <v>0</v>
      </c>
      <c r="CQ18" s="56">
        <f t="shared" ref="CQ18:CQ28" si="26">+CA18*EC18</f>
        <v>0</v>
      </c>
      <c r="CR18" s="58">
        <f>+CQ18*3.3058</f>
        <v>0</v>
      </c>
      <c r="CS18" s="54">
        <f t="shared" ref="CS18:CS28" si="27">+CA18*ED18</f>
        <v>0</v>
      </c>
      <c r="CT18" s="58">
        <f>+CS18*3.3058</f>
        <v>0</v>
      </c>
      <c r="CU18" s="59">
        <f t="shared" ref="CU18:CU28" si="28">+CA18*EE18</f>
        <v>0</v>
      </c>
      <c r="CV18" s="58">
        <f>+CU18*3.3058</f>
        <v>0</v>
      </c>
      <c r="CW18" s="59">
        <f t="shared" ref="CW18:CW28" si="29">+CA18*EF18</f>
        <v>0</v>
      </c>
      <c r="CX18" s="58">
        <f>+CW18*3.3058</f>
        <v>0</v>
      </c>
      <c r="CY18" s="59">
        <f t="shared" ref="CY18:CY28" si="30">+CA18*EG18</f>
        <v>0</v>
      </c>
      <c r="CZ18" s="58">
        <f>+CY18*3.3058</f>
        <v>0</v>
      </c>
      <c r="DA18" s="54">
        <f t="shared" ref="DA18:DA28" si="31">+CA18*EH18</f>
        <v>0</v>
      </c>
      <c r="DB18" s="58">
        <f>+DA18*3.3058</f>
        <v>0</v>
      </c>
      <c r="DC18" s="59">
        <f t="shared" ref="DC18:DC28" si="32">+CA18*EI18</f>
        <v>0</v>
      </c>
      <c r="DD18" s="58">
        <f>+DC18*3.3058</f>
        <v>0</v>
      </c>
      <c r="DE18" s="59">
        <f t="shared" ref="DE18:DE28" si="33">+CA18*EJ18</f>
        <v>0</v>
      </c>
      <c r="DF18" s="58">
        <f>+DE18*3.3058</f>
        <v>0</v>
      </c>
      <c r="DG18" s="59">
        <f t="shared" ref="DG18:DG28" si="34">+CA18*EK18</f>
        <v>0</v>
      </c>
      <c r="DH18" s="58">
        <f>+DG18*3.3058</f>
        <v>0</v>
      </c>
      <c r="DI18" s="59">
        <f t="shared" ref="DI18:DI28" si="35">+CA18*EL18</f>
        <v>0</v>
      </c>
      <c r="DJ18" s="58">
        <f>+DI18*3.3058</f>
        <v>0</v>
      </c>
      <c r="DK18" s="54">
        <f t="shared" ref="DK18:DK28" si="36">+CA18*EM18</f>
        <v>0</v>
      </c>
      <c r="DL18" s="58">
        <f>+DK18*3.3058</f>
        <v>0</v>
      </c>
      <c r="DM18" s="59">
        <f t="shared" ref="DM18:DM28" si="37">+CA18*EN18</f>
        <v>0</v>
      </c>
      <c r="DN18" s="58">
        <f>+DM18*3.3058</f>
        <v>0</v>
      </c>
      <c r="DO18" s="59">
        <f t="shared" ref="DO18:DO28" si="38">+CA18*EO18</f>
        <v>0</v>
      </c>
      <c r="DP18" s="58">
        <f>+DO18*3.3058</f>
        <v>0</v>
      </c>
      <c r="DQ18" s="54">
        <f t="shared" ref="DQ18:DQ28" si="39">+CA18*EP18</f>
        <v>0</v>
      </c>
      <c r="DR18" s="58">
        <f>+DQ18*3.3058</f>
        <v>0</v>
      </c>
      <c r="DU18" s="54">
        <v>1</v>
      </c>
      <c r="DV18" s="54">
        <v>0.97</v>
      </c>
      <c r="DW18" s="54">
        <v>0.95</v>
      </c>
      <c r="DX18" s="54">
        <v>0.93</v>
      </c>
      <c r="DY18" s="54">
        <f>+DX18-0.02</f>
        <v>0.91</v>
      </c>
      <c r="DZ18" s="54">
        <f t="shared" ref="DZ18:EP18" si="40">+DY18-0.02</f>
        <v>0.89</v>
      </c>
      <c r="EA18" s="54">
        <f t="shared" si="40"/>
        <v>0.87</v>
      </c>
      <c r="EB18" s="54">
        <f t="shared" si="40"/>
        <v>0.85</v>
      </c>
      <c r="EC18" s="54">
        <f t="shared" si="40"/>
        <v>0.83</v>
      </c>
      <c r="ED18" s="54">
        <f t="shared" si="40"/>
        <v>0.80999999999999994</v>
      </c>
      <c r="EE18" s="54">
        <f t="shared" si="40"/>
        <v>0.78999999999999992</v>
      </c>
      <c r="EF18" s="54">
        <f t="shared" si="40"/>
        <v>0.76999999999999991</v>
      </c>
      <c r="EG18" s="54">
        <f t="shared" si="40"/>
        <v>0.74999999999999989</v>
      </c>
      <c r="EH18" s="54">
        <f t="shared" si="40"/>
        <v>0.72999999999999987</v>
      </c>
      <c r="EI18" s="54">
        <f t="shared" si="40"/>
        <v>0.70999999999999985</v>
      </c>
      <c r="EJ18" s="54">
        <f t="shared" si="40"/>
        <v>0.68999999999999984</v>
      </c>
      <c r="EK18" s="54">
        <f t="shared" si="40"/>
        <v>0.66999999999999982</v>
      </c>
      <c r="EL18" s="54">
        <f t="shared" si="40"/>
        <v>0.6499999999999998</v>
      </c>
      <c r="EM18" s="54">
        <f t="shared" si="40"/>
        <v>0.62999999999999978</v>
      </c>
      <c r="EN18" s="54">
        <f t="shared" si="40"/>
        <v>0.60999999999999976</v>
      </c>
      <c r="EO18" s="54">
        <f t="shared" si="40"/>
        <v>0.58999999999999975</v>
      </c>
      <c r="EP18" s="54">
        <f t="shared" si="40"/>
        <v>0.56999999999999973</v>
      </c>
      <c r="ER18" s="54">
        <f>+BZ18*0.91</f>
        <v>0</v>
      </c>
      <c r="ES18" s="54">
        <f>+ER18</f>
        <v>0</v>
      </c>
      <c r="ET18" s="58">
        <f>+ES18*3.3058</f>
        <v>0</v>
      </c>
      <c r="EU18" s="54">
        <f>+ES18*GN18</f>
        <v>0</v>
      </c>
      <c r="EV18" s="58">
        <f>+EU18*3.3058</f>
        <v>0</v>
      </c>
      <c r="EW18" s="54">
        <f>+ES18*GO18</f>
        <v>0</v>
      </c>
      <c r="EX18" s="58">
        <f>+EW18*3.3058</f>
        <v>0</v>
      </c>
      <c r="EY18" s="54">
        <f t="shared" ref="EY18:EY28" si="41">+ES18*GP18</f>
        <v>0</v>
      </c>
      <c r="EZ18" s="58">
        <f>+EY18*3.3058</f>
        <v>0</v>
      </c>
      <c r="FA18" s="56">
        <f t="shared" ref="FA18:FA28" si="42">+ES18*GQ18</f>
        <v>0</v>
      </c>
      <c r="FB18" s="58">
        <f>+FA18*3.3058</f>
        <v>0</v>
      </c>
      <c r="FC18" s="54">
        <f t="shared" ref="FC18:FC28" si="43">+ES18*GR18</f>
        <v>0</v>
      </c>
      <c r="FD18" s="58">
        <f>+FC18*3.3058</f>
        <v>0</v>
      </c>
      <c r="FE18" s="56">
        <f t="shared" ref="FE18:FE28" si="44">+ES18*GS18</f>
        <v>0</v>
      </c>
      <c r="FF18" s="58">
        <f>+FE18*3.3058</f>
        <v>0</v>
      </c>
      <c r="FG18" s="59">
        <f t="shared" ref="FG18:FG28" si="45">+ES18*GT18</f>
        <v>0</v>
      </c>
      <c r="FH18" s="58">
        <f>+FG18*3.3058</f>
        <v>0</v>
      </c>
      <c r="FI18" s="56">
        <f t="shared" ref="FI18:FI28" si="46">+ES18*GU18</f>
        <v>0</v>
      </c>
      <c r="FJ18" s="58">
        <f>+FI18*3.3058</f>
        <v>0</v>
      </c>
      <c r="FK18" s="54">
        <f t="shared" ref="FK18:FK28" si="47">+ES18*GV18</f>
        <v>0</v>
      </c>
      <c r="FL18" s="58">
        <f>+FK18*3.3058</f>
        <v>0</v>
      </c>
      <c r="FM18" s="59">
        <f t="shared" ref="FM18:FM28" si="48">+ES18*GW18</f>
        <v>0</v>
      </c>
      <c r="FN18" s="58">
        <f>+FM18*3.3058</f>
        <v>0</v>
      </c>
      <c r="FO18" s="59">
        <f t="shared" ref="FO18:FO28" si="49">+ES18*GX18</f>
        <v>0</v>
      </c>
      <c r="FP18" s="58">
        <f>+FO18*3.3058</f>
        <v>0</v>
      </c>
      <c r="FQ18" s="59">
        <f t="shared" ref="FQ18:FQ28" si="50">+ES18*GY18</f>
        <v>0</v>
      </c>
      <c r="FR18" s="58">
        <f>+FQ18*3.3058</f>
        <v>0</v>
      </c>
      <c r="FS18" s="54">
        <f t="shared" ref="FS18:FS28" si="51">+ES18*GZ18</f>
        <v>0</v>
      </c>
      <c r="FT18" s="58">
        <f>+FS18*3.3058</f>
        <v>0</v>
      </c>
      <c r="FU18" s="59">
        <f t="shared" ref="FU18:FU28" si="52">+ES18*HA18</f>
        <v>0</v>
      </c>
      <c r="FV18" s="58">
        <f>+FU18*3.3058</f>
        <v>0</v>
      </c>
      <c r="FW18" s="59">
        <f t="shared" ref="FW18:FW28" si="53">+ES18*HB18</f>
        <v>0</v>
      </c>
      <c r="FX18" s="58">
        <f>+FW18*3.3058</f>
        <v>0</v>
      </c>
      <c r="FY18" s="59">
        <f t="shared" ref="FY18:FY28" si="54">+ES18*HC18</f>
        <v>0</v>
      </c>
      <c r="FZ18" s="58">
        <f>+FY18*3.3058</f>
        <v>0</v>
      </c>
      <c r="GA18" s="59">
        <f t="shared" ref="GA18:GA28" si="55">+ES18*HD18</f>
        <v>0</v>
      </c>
      <c r="GB18" s="58">
        <f>+GA18*3.3058</f>
        <v>0</v>
      </c>
      <c r="GC18" s="54">
        <f t="shared" ref="GC18:GC28" si="56">+ES18*HE18</f>
        <v>0</v>
      </c>
      <c r="GD18" s="58">
        <f>+GC18*3.3058</f>
        <v>0</v>
      </c>
      <c r="GE18" s="59">
        <f t="shared" ref="GE18:GE28" si="57">+ES18*HF18</f>
        <v>0</v>
      </c>
      <c r="GF18" s="58">
        <f>+GE18*3.3058</f>
        <v>0</v>
      </c>
      <c r="GG18" s="59">
        <f t="shared" ref="GG18:GG28" si="58">+ES18*HG18</f>
        <v>0</v>
      </c>
      <c r="GH18" s="58">
        <f>+GG18*3.3058</f>
        <v>0</v>
      </c>
      <c r="GI18" s="54">
        <f t="shared" ref="GI18:GI28" si="59">+ES18*HH18</f>
        <v>0</v>
      </c>
      <c r="GJ18" s="58">
        <f>+GI18*3.3058</f>
        <v>0</v>
      </c>
      <c r="GK18" s="54"/>
      <c r="GL18" s="54"/>
      <c r="GM18" s="54">
        <v>1</v>
      </c>
      <c r="GN18" s="54">
        <v>0.97</v>
      </c>
      <c r="GO18" s="54">
        <v>0.95</v>
      </c>
      <c r="GP18" s="54">
        <v>0.93</v>
      </c>
      <c r="GQ18" s="54">
        <f>+GP18-0.02</f>
        <v>0.91</v>
      </c>
      <c r="GR18" s="54">
        <f t="shared" ref="GR18:HH18" si="60">+GQ18-0.02</f>
        <v>0.89</v>
      </c>
      <c r="GS18" s="54">
        <f t="shared" si="60"/>
        <v>0.87</v>
      </c>
      <c r="GT18" s="54">
        <f t="shared" si="60"/>
        <v>0.85</v>
      </c>
      <c r="GU18" s="54">
        <f t="shared" si="60"/>
        <v>0.83</v>
      </c>
      <c r="GV18" s="54">
        <f t="shared" si="60"/>
        <v>0.80999999999999994</v>
      </c>
      <c r="GW18" s="54">
        <f t="shared" si="60"/>
        <v>0.78999999999999992</v>
      </c>
      <c r="GX18" s="54">
        <f t="shared" si="60"/>
        <v>0.76999999999999991</v>
      </c>
      <c r="GY18" s="54">
        <f t="shared" si="60"/>
        <v>0.74999999999999989</v>
      </c>
      <c r="GZ18" s="54">
        <f t="shared" si="60"/>
        <v>0.72999999999999987</v>
      </c>
      <c r="HA18" s="54">
        <f t="shared" si="60"/>
        <v>0.70999999999999985</v>
      </c>
      <c r="HB18" s="54">
        <f t="shared" si="60"/>
        <v>0.68999999999999984</v>
      </c>
      <c r="HC18" s="54">
        <f t="shared" si="60"/>
        <v>0.66999999999999982</v>
      </c>
      <c r="HD18" s="54">
        <f t="shared" si="60"/>
        <v>0.6499999999999998</v>
      </c>
      <c r="HE18" s="54">
        <f t="shared" si="60"/>
        <v>0.62999999999999978</v>
      </c>
      <c r="HF18" s="54">
        <f t="shared" si="60"/>
        <v>0.60999999999999976</v>
      </c>
      <c r="HG18" s="54">
        <f t="shared" si="60"/>
        <v>0.58999999999999975</v>
      </c>
      <c r="HH18" s="54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613020</v>
      </c>
      <c r="E19" s="68">
        <f t="shared" si="0"/>
        <v>2026520</v>
      </c>
      <c r="H19" s="54">
        <f t="shared" ref="H19:H83" si="61">+E19*1.1</f>
        <v>2229172</v>
      </c>
      <c r="I19" s="54">
        <f t="shared" ref="I19:I83" si="62">+H19</f>
        <v>2229172</v>
      </c>
      <c r="J19" s="58">
        <f t="shared" ref="J19:J83" si="63">+I19*3.3058</f>
        <v>7369196.7976000002</v>
      </c>
      <c r="K19" s="54">
        <f t="shared" ref="K19:K28" si="64">+I19*BD19</f>
        <v>2162296.84</v>
      </c>
      <c r="L19" s="58">
        <f t="shared" ref="L19:L28" si="65">+K19*3.3058</f>
        <v>7148120.8936719997</v>
      </c>
      <c r="M19" s="54">
        <f t="shared" ref="M19:M28" si="66">+I19*BE19</f>
        <v>2117713.4</v>
      </c>
      <c r="N19" s="58">
        <f t="shared" ref="N19:N28" si="67">+M19*3.3058</f>
        <v>7000736.9577200003</v>
      </c>
      <c r="O19" s="54">
        <f t="shared" si="1"/>
        <v>2073129.9600000002</v>
      </c>
      <c r="P19" s="58">
        <f t="shared" ref="P19:P28" si="68">+O19*3.3058</f>
        <v>6853353.0217680009</v>
      </c>
      <c r="Q19" s="56">
        <f t="shared" si="2"/>
        <v>2028546.52</v>
      </c>
      <c r="R19" s="58">
        <f t="shared" ref="R19:R28" si="69">+Q19*3.3058</f>
        <v>6705969.0858160006</v>
      </c>
      <c r="S19" s="54">
        <f t="shared" si="3"/>
        <v>1983963.08</v>
      </c>
      <c r="T19" s="58">
        <f t="shared" ref="T19:T28" si="70">+S19*3.3058</f>
        <v>6558585.1498640003</v>
      </c>
      <c r="U19" s="56">
        <f t="shared" si="4"/>
        <v>1939379.64</v>
      </c>
      <c r="V19" s="58">
        <f t="shared" ref="V19:V28" si="71">+U19*3.3058</f>
        <v>6411201.2139119999</v>
      </c>
      <c r="W19" s="59">
        <f t="shared" si="5"/>
        <v>1894796.2</v>
      </c>
      <c r="X19" s="58">
        <f t="shared" ref="X19:X28" si="72">+W19*3.3058</f>
        <v>6263817.2779599996</v>
      </c>
      <c r="Y19" s="56">
        <f t="shared" si="6"/>
        <v>1850212.76</v>
      </c>
      <c r="Z19" s="58">
        <f t="shared" ref="Z19:Z28" si="73">+Y19*3.3058</f>
        <v>6116433.3420080002</v>
      </c>
      <c r="AA19" s="54">
        <f t="shared" si="7"/>
        <v>1805629.3199999998</v>
      </c>
      <c r="AB19" s="58">
        <f t="shared" ref="AB19:AB28" si="74">+AA19*3.3058</f>
        <v>5969049.4060559999</v>
      </c>
      <c r="AC19" s="59">
        <f t="shared" si="8"/>
        <v>1761045.88</v>
      </c>
      <c r="AD19" s="58">
        <f t="shared" ref="AD19:AD28" si="75">+AC19*3.3058</f>
        <v>5821665.4701039996</v>
      </c>
      <c r="AE19" s="59">
        <f t="shared" si="9"/>
        <v>1716462.4399999997</v>
      </c>
      <c r="AF19" s="58">
        <f t="shared" ref="AF19:AF28" si="76">+AE19*3.3058</f>
        <v>5674281.5341519993</v>
      </c>
      <c r="AG19" s="59">
        <f t="shared" si="10"/>
        <v>1671878.9999999998</v>
      </c>
      <c r="AH19" s="58">
        <f t="shared" ref="AH19:AH28" si="77">+AG19*3.3058</f>
        <v>5526897.598199999</v>
      </c>
      <c r="AI19" s="54">
        <f t="shared" si="11"/>
        <v>1627295.5599999998</v>
      </c>
      <c r="AJ19" s="58">
        <f t="shared" ref="AJ19:AJ28" si="78">+AI19*3.3058</f>
        <v>5379513.6622479996</v>
      </c>
      <c r="AK19" s="59">
        <f t="shared" si="12"/>
        <v>1582712.1199999996</v>
      </c>
      <c r="AL19" s="58">
        <f t="shared" ref="AL19:AL28" si="79">+AK19*3.3058</f>
        <v>5232129.7262959993</v>
      </c>
      <c r="AM19" s="59">
        <f t="shared" si="13"/>
        <v>1538128.6799999997</v>
      </c>
      <c r="AN19" s="58">
        <f t="shared" ref="AN19:AN28" si="80">+AM19*3.3058</f>
        <v>5084745.7903439989</v>
      </c>
      <c r="AO19" s="59">
        <f t="shared" si="14"/>
        <v>1493545.2399999995</v>
      </c>
      <c r="AP19" s="58">
        <f t="shared" ref="AP19:AP28" si="81">+AO19*3.3058</f>
        <v>4937361.8543919986</v>
      </c>
      <c r="AQ19" s="59">
        <f t="shared" si="15"/>
        <v>1448961.7999999996</v>
      </c>
      <c r="AR19" s="58">
        <f t="shared" ref="AR19:AR28" si="82">+AQ19*3.3058</f>
        <v>4789977.9184399983</v>
      </c>
      <c r="AS19" s="54">
        <f t="shared" si="16"/>
        <v>1404378.3599999994</v>
      </c>
      <c r="AT19" s="58">
        <f t="shared" ref="AT19:AT28" si="83">+AS19*3.3058</f>
        <v>4642593.982487998</v>
      </c>
      <c r="AU19" s="59">
        <f t="shared" si="17"/>
        <v>1359794.9199999995</v>
      </c>
      <c r="AV19" s="58">
        <f t="shared" ref="AV19:AV28" si="84">+AU19*3.3058</f>
        <v>4495210.0465359986</v>
      </c>
      <c r="AW19" s="59">
        <f t="shared" si="18"/>
        <v>1315211.4799999995</v>
      </c>
      <c r="AX19" s="58">
        <f t="shared" ref="AX19:AX28" si="85">+AW19*3.3058</f>
        <v>4347826.1105839983</v>
      </c>
      <c r="AY19" s="54">
        <f t="shared" si="19"/>
        <v>1270628.0399999993</v>
      </c>
      <c r="AZ19" s="58">
        <f t="shared" ref="AZ19:AZ28" si="86">+AY19*3.3058</f>
        <v>4200442.1746319979</v>
      </c>
      <c r="BC19" s="54">
        <v>1</v>
      </c>
      <c r="BD19" s="54">
        <v>0.97</v>
      </c>
      <c r="BE19" s="54">
        <v>0.95</v>
      </c>
      <c r="BF19" s="54">
        <v>0.93</v>
      </c>
      <c r="BG19" s="54">
        <f t="shared" ref="BG19:BX28" si="87">+BF19-0.02</f>
        <v>0.91</v>
      </c>
      <c r="BH19" s="54">
        <f t="shared" si="87"/>
        <v>0.89</v>
      </c>
      <c r="BI19" s="54">
        <f t="shared" si="87"/>
        <v>0.87</v>
      </c>
      <c r="BJ19" s="54">
        <f t="shared" si="87"/>
        <v>0.85</v>
      </c>
      <c r="BK19" s="54">
        <f t="shared" si="87"/>
        <v>0.83</v>
      </c>
      <c r="BL19" s="54">
        <f t="shared" si="87"/>
        <v>0.80999999999999994</v>
      </c>
      <c r="BM19" s="54">
        <f t="shared" si="87"/>
        <v>0.78999999999999992</v>
      </c>
      <c r="BN19" s="54">
        <f t="shared" si="87"/>
        <v>0.76999999999999991</v>
      </c>
      <c r="BO19" s="54">
        <f t="shared" si="87"/>
        <v>0.74999999999999989</v>
      </c>
      <c r="BP19" s="54">
        <f t="shared" si="87"/>
        <v>0.72999999999999987</v>
      </c>
      <c r="BQ19" s="54">
        <f t="shared" si="87"/>
        <v>0.70999999999999985</v>
      </c>
      <c r="BR19" s="54">
        <f t="shared" si="87"/>
        <v>0.68999999999999984</v>
      </c>
      <c r="BS19" s="54">
        <f t="shared" si="87"/>
        <v>0.66999999999999982</v>
      </c>
      <c r="BT19" s="54">
        <f t="shared" si="87"/>
        <v>0.6499999999999998</v>
      </c>
      <c r="BU19" s="54">
        <f t="shared" si="87"/>
        <v>0.62999999999999978</v>
      </c>
      <c r="BV19" s="54">
        <f t="shared" si="87"/>
        <v>0.60999999999999976</v>
      </c>
      <c r="BW19" s="54">
        <f t="shared" si="87"/>
        <v>0.58999999999999975</v>
      </c>
      <c r="BX19" s="54">
        <f t="shared" si="87"/>
        <v>0.56999999999999973</v>
      </c>
      <c r="BZ19" s="54">
        <f t="shared" ref="BZ19:BZ83" si="88">+H19*0.91</f>
        <v>2028546.52</v>
      </c>
      <c r="CA19" s="54">
        <f t="shared" ref="CA19:CA83" si="89">+BZ19</f>
        <v>2028546.52</v>
      </c>
      <c r="CB19" s="58">
        <f t="shared" ref="CB19:CB28" si="90">+CA19*3.3058</f>
        <v>6705969.0858160006</v>
      </c>
      <c r="CC19" s="54">
        <f t="shared" ref="CC19:CC28" si="91">+CA19*DV19</f>
        <v>1967690.1243999999</v>
      </c>
      <c r="CD19" s="58">
        <f t="shared" ref="CD19:CD28" si="92">+CC19*3.3058</f>
        <v>6504790.0132415192</v>
      </c>
      <c r="CE19" s="54">
        <f t="shared" ref="CE19:CE28" si="93">+CA19*DW19</f>
        <v>1927119.1939999999</v>
      </c>
      <c r="CF19" s="58">
        <f t="shared" ref="CF19:CF28" si="94">+CE19*3.3058</f>
        <v>6370670.6315251999</v>
      </c>
      <c r="CG19" s="54">
        <f t="shared" si="21"/>
        <v>1886548.2636000002</v>
      </c>
      <c r="CH19" s="58">
        <f t="shared" ref="CH19:CH28" si="95">+CG19*3.3058</f>
        <v>6236551.2498088805</v>
      </c>
      <c r="CI19" s="56">
        <f t="shared" si="22"/>
        <v>1845977.3332</v>
      </c>
      <c r="CJ19" s="58">
        <f t="shared" ref="CJ19:CJ28" si="96">+CI19*3.3058</f>
        <v>6102431.8680925602</v>
      </c>
      <c r="CK19" s="54">
        <f t="shared" si="23"/>
        <v>1805406.4028</v>
      </c>
      <c r="CL19" s="58">
        <f t="shared" ref="CL19:CL28" si="97">+CK19*3.3058</f>
        <v>5968312.4863762399</v>
      </c>
      <c r="CM19" s="56">
        <f t="shared" si="24"/>
        <v>1764835.4724000001</v>
      </c>
      <c r="CN19" s="58">
        <f t="shared" ref="CN19:CN28" si="98">+CM19*3.3058</f>
        <v>5834193.1046599206</v>
      </c>
      <c r="CO19" s="59">
        <f t="shared" si="25"/>
        <v>1724264.5419999999</v>
      </c>
      <c r="CP19" s="58">
        <f t="shared" ref="CP19:CP28" si="99">+CO19*3.3058</f>
        <v>5700073.7229435993</v>
      </c>
      <c r="CQ19" s="56">
        <f t="shared" si="26"/>
        <v>1683693.6115999999</v>
      </c>
      <c r="CR19" s="58">
        <f t="shared" ref="CR19:CR28" si="100">+CQ19*3.3058</f>
        <v>5565954.34122728</v>
      </c>
      <c r="CS19" s="54">
        <f t="shared" si="27"/>
        <v>1643122.6812</v>
      </c>
      <c r="CT19" s="58">
        <f t="shared" ref="CT19:CT28" si="101">+CS19*3.3058</f>
        <v>5431834.9595109597</v>
      </c>
      <c r="CU19" s="59">
        <f t="shared" si="28"/>
        <v>1602551.7507999998</v>
      </c>
      <c r="CV19" s="58">
        <f t="shared" ref="CV19:CV28" si="102">+CU19*3.3058</f>
        <v>5297715.5777946394</v>
      </c>
      <c r="CW19" s="59">
        <f t="shared" si="29"/>
        <v>1561980.8203999999</v>
      </c>
      <c r="CX19" s="58">
        <f t="shared" ref="CX19:CX28" si="103">+CW19*3.3058</f>
        <v>5163596.19607832</v>
      </c>
      <c r="CY19" s="59">
        <f t="shared" si="30"/>
        <v>1521409.89</v>
      </c>
      <c r="CZ19" s="58">
        <f t="shared" ref="CZ19:CZ28" si="104">+CY19*3.3058</f>
        <v>5029476.8143619997</v>
      </c>
      <c r="DA19" s="54">
        <f t="shared" si="31"/>
        <v>1480838.9595999997</v>
      </c>
      <c r="DB19" s="58">
        <f t="shared" ref="DB19:DB28" si="105">+DA19*3.3058</f>
        <v>4895357.4326456795</v>
      </c>
      <c r="DC19" s="59">
        <f t="shared" si="32"/>
        <v>1440268.0291999998</v>
      </c>
      <c r="DD19" s="58">
        <f t="shared" ref="DD19:DD28" si="106">+DC19*3.3058</f>
        <v>4761238.0509293592</v>
      </c>
      <c r="DE19" s="59">
        <f t="shared" si="33"/>
        <v>1399697.0987999996</v>
      </c>
      <c r="DF19" s="58">
        <f t="shared" ref="DF19:DF28" si="107">+DE19*3.3058</f>
        <v>4627118.6692130389</v>
      </c>
      <c r="DG19" s="59">
        <f t="shared" si="34"/>
        <v>1359126.1683999996</v>
      </c>
      <c r="DH19" s="58">
        <f t="shared" ref="DH19:DH28" si="108">+DG19*3.3058</f>
        <v>4492999.2874967186</v>
      </c>
      <c r="DI19" s="59">
        <f t="shared" si="35"/>
        <v>1318555.2379999997</v>
      </c>
      <c r="DJ19" s="58">
        <f t="shared" ref="DJ19:DJ28" si="109">+DI19*3.3058</f>
        <v>4358879.9057803992</v>
      </c>
      <c r="DK19" s="54">
        <f t="shared" si="36"/>
        <v>1277984.3075999995</v>
      </c>
      <c r="DL19" s="58">
        <f t="shared" ref="DL19:DL28" si="110">+DK19*3.3058</f>
        <v>4224760.524064078</v>
      </c>
      <c r="DM19" s="59">
        <f t="shared" si="37"/>
        <v>1237413.3771999995</v>
      </c>
      <c r="DN19" s="58">
        <f t="shared" ref="DN19:DN28" si="111">+DM19*3.3058</f>
        <v>4090641.1423477586</v>
      </c>
      <c r="DO19" s="59">
        <f t="shared" si="38"/>
        <v>1196842.4467999996</v>
      </c>
      <c r="DP19" s="58">
        <f t="shared" ref="DP19:DP28" si="112">+DO19*3.3058</f>
        <v>3956521.7606314388</v>
      </c>
      <c r="DQ19" s="54">
        <f t="shared" si="39"/>
        <v>1156271.5163999994</v>
      </c>
      <c r="DR19" s="58">
        <f t="shared" ref="DR19:DR28" si="113">+DQ19*3.3058</f>
        <v>3822402.3789151181</v>
      </c>
      <c r="DU19" s="54">
        <v>1</v>
      </c>
      <c r="DV19" s="54">
        <v>0.97</v>
      </c>
      <c r="DW19" s="54">
        <v>0.95</v>
      </c>
      <c r="DX19" s="54">
        <v>0.93</v>
      </c>
      <c r="DY19" s="54">
        <f t="shared" ref="DY19:EP31" si="114">+DX19-0.02</f>
        <v>0.91</v>
      </c>
      <c r="DZ19" s="54">
        <f t="shared" si="114"/>
        <v>0.89</v>
      </c>
      <c r="EA19" s="54">
        <f t="shared" si="114"/>
        <v>0.87</v>
      </c>
      <c r="EB19" s="54">
        <f t="shared" si="114"/>
        <v>0.85</v>
      </c>
      <c r="EC19" s="54">
        <f t="shared" si="114"/>
        <v>0.83</v>
      </c>
      <c r="ED19" s="54">
        <f t="shared" si="114"/>
        <v>0.80999999999999994</v>
      </c>
      <c r="EE19" s="54">
        <f t="shared" si="114"/>
        <v>0.78999999999999992</v>
      </c>
      <c r="EF19" s="54">
        <f t="shared" si="114"/>
        <v>0.76999999999999991</v>
      </c>
      <c r="EG19" s="54">
        <f t="shared" si="114"/>
        <v>0.74999999999999989</v>
      </c>
      <c r="EH19" s="54">
        <f t="shared" si="114"/>
        <v>0.72999999999999987</v>
      </c>
      <c r="EI19" s="54">
        <f t="shared" si="114"/>
        <v>0.70999999999999985</v>
      </c>
      <c r="EJ19" s="54">
        <f t="shared" si="114"/>
        <v>0.68999999999999984</v>
      </c>
      <c r="EK19" s="54">
        <f t="shared" si="114"/>
        <v>0.66999999999999982</v>
      </c>
      <c r="EL19" s="54">
        <f t="shared" si="114"/>
        <v>0.6499999999999998</v>
      </c>
      <c r="EM19" s="54">
        <f t="shared" si="114"/>
        <v>0.62999999999999978</v>
      </c>
      <c r="EN19" s="54">
        <f t="shared" si="114"/>
        <v>0.60999999999999976</v>
      </c>
      <c r="EO19" s="54">
        <f t="shared" si="114"/>
        <v>0.58999999999999975</v>
      </c>
      <c r="EP19" s="54">
        <f t="shared" si="114"/>
        <v>0.56999999999999973</v>
      </c>
      <c r="ER19" s="54">
        <f t="shared" ref="ER19:ER26" si="115">+BZ19*0.91</f>
        <v>1845977.3332</v>
      </c>
      <c r="ES19" s="54">
        <f t="shared" ref="ES19:ES83" si="116">+ER19</f>
        <v>1845977.3332</v>
      </c>
      <c r="ET19" s="58">
        <f t="shared" ref="ET19:ET28" si="117">+ES19*3.3058</f>
        <v>6102431.8680925602</v>
      </c>
      <c r="EU19" s="54">
        <f t="shared" ref="EU19:EU28" si="118">+ES19*GN19</f>
        <v>1790598.013204</v>
      </c>
      <c r="EV19" s="58">
        <f t="shared" ref="EV19:EV28" si="119">+EU19*3.3058</f>
        <v>5919358.9120497834</v>
      </c>
      <c r="EW19" s="54">
        <f t="shared" ref="EW19:EW28" si="120">+ES19*GO19</f>
        <v>1753678.4665399999</v>
      </c>
      <c r="EX19" s="58">
        <f t="shared" ref="EX19:EX28" si="121">+EW19*3.3058</f>
        <v>5797310.2746879319</v>
      </c>
      <c r="EY19" s="54">
        <f t="shared" si="41"/>
        <v>1716758.9198760001</v>
      </c>
      <c r="EZ19" s="58">
        <f t="shared" ref="EZ19:EZ28" si="122">+EY19*3.3058</f>
        <v>5675261.6373260813</v>
      </c>
      <c r="FA19" s="56">
        <f t="shared" si="42"/>
        <v>1679839.3732120001</v>
      </c>
      <c r="FB19" s="58">
        <f t="shared" ref="FB19:FB28" si="123">+FA19*3.3058</f>
        <v>5553212.9999642298</v>
      </c>
      <c r="FC19" s="54">
        <f t="shared" si="43"/>
        <v>1642919.8265480001</v>
      </c>
      <c r="FD19" s="58">
        <f t="shared" ref="FD19:FD28" si="124">+FC19*3.3058</f>
        <v>5431164.3626023792</v>
      </c>
      <c r="FE19" s="56">
        <f t="shared" si="44"/>
        <v>1606000.2798840001</v>
      </c>
      <c r="FF19" s="58">
        <f t="shared" ref="FF19:FF28" si="125">+FE19*3.3058</f>
        <v>5309115.7252405277</v>
      </c>
      <c r="FG19" s="59">
        <f t="shared" si="45"/>
        <v>1569080.7332200001</v>
      </c>
      <c r="FH19" s="58">
        <f t="shared" ref="FH19:FH28" si="126">+FG19*3.3058</f>
        <v>5187067.0878786761</v>
      </c>
      <c r="FI19" s="56">
        <f t="shared" si="46"/>
        <v>1532161.186556</v>
      </c>
      <c r="FJ19" s="58">
        <f t="shared" ref="FJ19:FJ28" si="127">+FI19*3.3058</f>
        <v>5065018.4505168246</v>
      </c>
      <c r="FK19" s="54">
        <f t="shared" si="47"/>
        <v>1495241.6398919998</v>
      </c>
      <c r="FL19" s="58">
        <f t="shared" ref="FL19:FL28" si="128">+FK19*3.3058</f>
        <v>4942969.8131549731</v>
      </c>
      <c r="FM19" s="59">
        <f t="shared" si="48"/>
        <v>1458322.0932279998</v>
      </c>
      <c r="FN19" s="58">
        <f t="shared" ref="FN19:FN28" si="129">+FM19*3.3058</f>
        <v>4820921.1757931216</v>
      </c>
      <c r="FO19" s="59">
        <f t="shared" si="49"/>
        <v>1421402.5465639997</v>
      </c>
      <c r="FP19" s="58">
        <f t="shared" ref="FP19:FP28" si="130">+FO19*3.3058</f>
        <v>4698872.53843127</v>
      </c>
      <c r="FQ19" s="59">
        <f t="shared" si="50"/>
        <v>1384482.9998999997</v>
      </c>
      <c r="FR19" s="58">
        <f t="shared" ref="FR19:FR28" si="131">+FQ19*3.3058</f>
        <v>4576823.9010694195</v>
      </c>
      <c r="FS19" s="54">
        <f t="shared" si="51"/>
        <v>1347563.4532359997</v>
      </c>
      <c r="FT19" s="58">
        <f t="shared" ref="FT19:FT28" si="132">+FS19*3.3058</f>
        <v>4454775.2637075679</v>
      </c>
      <c r="FU19" s="59">
        <f t="shared" si="52"/>
        <v>1310643.9065719997</v>
      </c>
      <c r="FV19" s="58">
        <f t="shared" ref="FV19:FV28" si="133">+FU19*3.3058</f>
        <v>4332726.6263457164</v>
      </c>
      <c r="FW19" s="59">
        <f t="shared" si="53"/>
        <v>1273724.3599079996</v>
      </c>
      <c r="FX19" s="58">
        <f t="shared" ref="FX19:FX28" si="134">+FW19*3.3058</f>
        <v>4210677.9889838649</v>
      </c>
      <c r="FY19" s="59">
        <f t="shared" si="54"/>
        <v>1236804.8132439996</v>
      </c>
      <c r="FZ19" s="58">
        <f t="shared" ref="FZ19:FZ28" si="135">+FY19*3.3058</f>
        <v>4088629.3516220138</v>
      </c>
      <c r="GA19" s="59">
        <f t="shared" si="55"/>
        <v>1199885.2665799996</v>
      </c>
      <c r="GB19" s="58">
        <f t="shared" ref="GB19:GB28" si="136">+GA19*3.3058</f>
        <v>3966580.7142601628</v>
      </c>
      <c r="GC19" s="54">
        <f t="shared" si="56"/>
        <v>1162965.7199159996</v>
      </c>
      <c r="GD19" s="58">
        <f t="shared" ref="GD19:GD28" si="137">+GC19*3.3058</f>
        <v>3844532.0768983113</v>
      </c>
      <c r="GE19" s="59">
        <f t="shared" si="57"/>
        <v>1126046.1732519995</v>
      </c>
      <c r="GF19" s="58">
        <f t="shared" ref="GF19:GF28" si="138">+GE19*3.3058</f>
        <v>3722483.4395364602</v>
      </c>
      <c r="GG19" s="59">
        <f t="shared" si="58"/>
        <v>1089126.6265879995</v>
      </c>
      <c r="GH19" s="58">
        <f t="shared" ref="GH19:GH28" si="139">+GG19*3.3058</f>
        <v>3600434.8021746087</v>
      </c>
      <c r="GI19" s="54">
        <f t="shared" si="59"/>
        <v>1052207.0799239995</v>
      </c>
      <c r="GJ19" s="58">
        <f t="shared" ref="GJ19:GJ28" si="140">+GI19*3.3058</f>
        <v>3478386.1648127576</v>
      </c>
      <c r="GK19" s="54"/>
      <c r="GL19" s="54"/>
      <c r="GM19" s="54">
        <v>1</v>
      </c>
      <c r="GN19" s="54">
        <v>0.97</v>
      </c>
      <c r="GO19" s="54">
        <v>0.95</v>
      </c>
      <c r="GP19" s="54">
        <v>0.93</v>
      </c>
      <c r="GQ19" s="54">
        <f t="shared" ref="GQ19:HH31" si="141">+GP19-0.02</f>
        <v>0.91</v>
      </c>
      <c r="GR19" s="54">
        <f t="shared" si="141"/>
        <v>0.89</v>
      </c>
      <c r="GS19" s="54">
        <f t="shared" si="141"/>
        <v>0.87</v>
      </c>
      <c r="GT19" s="54">
        <f t="shared" si="141"/>
        <v>0.85</v>
      </c>
      <c r="GU19" s="54">
        <f t="shared" si="141"/>
        <v>0.83</v>
      </c>
      <c r="GV19" s="54">
        <f t="shared" si="141"/>
        <v>0.80999999999999994</v>
      </c>
      <c r="GW19" s="54">
        <f t="shared" si="141"/>
        <v>0.78999999999999992</v>
      </c>
      <c r="GX19" s="54">
        <f t="shared" si="141"/>
        <v>0.76999999999999991</v>
      </c>
      <c r="GY19" s="54">
        <f t="shared" si="141"/>
        <v>0.74999999999999989</v>
      </c>
      <c r="GZ19" s="54">
        <f t="shared" si="141"/>
        <v>0.72999999999999987</v>
      </c>
      <c r="HA19" s="54">
        <f t="shared" si="141"/>
        <v>0.70999999999999985</v>
      </c>
      <c r="HB19" s="54">
        <f t="shared" si="141"/>
        <v>0.68999999999999984</v>
      </c>
      <c r="HC19" s="54">
        <f t="shared" si="141"/>
        <v>0.66999999999999982</v>
      </c>
      <c r="HD19" s="54">
        <f t="shared" si="141"/>
        <v>0.6499999999999998</v>
      </c>
      <c r="HE19" s="54">
        <f t="shared" si="141"/>
        <v>0.62999999999999978</v>
      </c>
      <c r="HF19" s="54">
        <f t="shared" si="141"/>
        <v>0.60999999999999976</v>
      </c>
      <c r="HG19" s="54">
        <f t="shared" si="141"/>
        <v>0.58999999999999975</v>
      </c>
      <c r="HH19" s="54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7240</v>
      </c>
      <c r="E20" s="68">
        <f t="shared" si="0"/>
        <v>23930</v>
      </c>
      <c r="H20" s="54">
        <f t="shared" si="61"/>
        <v>26323.000000000004</v>
      </c>
      <c r="I20" s="54">
        <f t="shared" si="62"/>
        <v>26323.000000000004</v>
      </c>
      <c r="J20" s="58">
        <f t="shared" si="63"/>
        <v>87018.573400000008</v>
      </c>
      <c r="K20" s="54">
        <f t="shared" si="64"/>
        <v>25533.31</v>
      </c>
      <c r="L20" s="58">
        <f t="shared" si="65"/>
        <v>84408.016198000012</v>
      </c>
      <c r="M20" s="54">
        <f t="shared" si="66"/>
        <v>25006.850000000002</v>
      </c>
      <c r="N20" s="58">
        <f t="shared" si="67"/>
        <v>82667.644730000015</v>
      </c>
      <c r="O20" s="54">
        <f t="shared" si="1"/>
        <v>24480.390000000003</v>
      </c>
      <c r="P20" s="58">
        <f t="shared" si="68"/>
        <v>80927.273262000017</v>
      </c>
      <c r="Q20" s="56">
        <f t="shared" si="2"/>
        <v>23953.930000000004</v>
      </c>
      <c r="R20" s="58">
        <f t="shared" si="69"/>
        <v>79186.901794000019</v>
      </c>
      <c r="S20" s="54">
        <f t="shared" si="3"/>
        <v>23427.470000000005</v>
      </c>
      <c r="T20" s="58">
        <f t="shared" si="70"/>
        <v>77446.530326000022</v>
      </c>
      <c r="U20" s="56">
        <f t="shared" si="4"/>
        <v>22901.010000000002</v>
      </c>
      <c r="V20" s="58">
        <f t="shared" si="71"/>
        <v>75706.15885800001</v>
      </c>
      <c r="W20" s="59">
        <f t="shared" si="5"/>
        <v>22374.550000000003</v>
      </c>
      <c r="X20" s="58">
        <f t="shared" si="72"/>
        <v>73965.787390000012</v>
      </c>
      <c r="Y20" s="56">
        <f t="shared" si="6"/>
        <v>21848.090000000004</v>
      </c>
      <c r="Z20" s="58">
        <f t="shared" si="73"/>
        <v>72225.415922000015</v>
      </c>
      <c r="AA20" s="54">
        <f t="shared" si="7"/>
        <v>21321.63</v>
      </c>
      <c r="AB20" s="58">
        <f t="shared" si="74"/>
        <v>70485.044454000003</v>
      </c>
      <c r="AC20" s="59">
        <f t="shared" si="8"/>
        <v>20795.170000000002</v>
      </c>
      <c r="AD20" s="58">
        <f t="shared" si="75"/>
        <v>68744.672986000005</v>
      </c>
      <c r="AE20" s="59">
        <f t="shared" si="9"/>
        <v>20268.71</v>
      </c>
      <c r="AF20" s="58">
        <f t="shared" si="76"/>
        <v>67004.301517999993</v>
      </c>
      <c r="AG20" s="59">
        <f t="shared" si="10"/>
        <v>19742.25</v>
      </c>
      <c r="AH20" s="58">
        <f t="shared" si="77"/>
        <v>65263.930050000003</v>
      </c>
      <c r="AI20" s="54">
        <f t="shared" si="11"/>
        <v>19215.79</v>
      </c>
      <c r="AJ20" s="58">
        <f t="shared" si="78"/>
        <v>63523.558582000005</v>
      </c>
      <c r="AK20" s="59">
        <f t="shared" si="12"/>
        <v>18689.329999999998</v>
      </c>
      <c r="AL20" s="58">
        <f t="shared" si="79"/>
        <v>61783.187113999993</v>
      </c>
      <c r="AM20" s="59">
        <f t="shared" si="13"/>
        <v>18162.87</v>
      </c>
      <c r="AN20" s="58">
        <f t="shared" si="80"/>
        <v>60042.815645999995</v>
      </c>
      <c r="AO20" s="59">
        <f t="shared" si="14"/>
        <v>17636.409999999996</v>
      </c>
      <c r="AP20" s="58">
        <f t="shared" si="81"/>
        <v>58302.444177999991</v>
      </c>
      <c r="AQ20" s="59">
        <f t="shared" si="15"/>
        <v>17109.949999999997</v>
      </c>
      <c r="AR20" s="58">
        <f t="shared" si="82"/>
        <v>56562.072709999993</v>
      </c>
      <c r="AS20" s="54">
        <f t="shared" si="16"/>
        <v>16583.489999999998</v>
      </c>
      <c r="AT20" s="58">
        <f t="shared" si="83"/>
        <v>54821.701241999996</v>
      </c>
      <c r="AU20" s="59">
        <f t="shared" si="17"/>
        <v>16057.029999999995</v>
      </c>
      <c r="AV20" s="58">
        <f t="shared" si="84"/>
        <v>53081.329773999983</v>
      </c>
      <c r="AW20" s="59">
        <f t="shared" si="18"/>
        <v>15530.569999999996</v>
      </c>
      <c r="AX20" s="58">
        <f t="shared" si="85"/>
        <v>51340.958305999986</v>
      </c>
      <c r="AY20" s="54">
        <f t="shared" si="19"/>
        <v>15004.109999999995</v>
      </c>
      <c r="AZ20" s="58">
        <f t="shared" si="86"/>
        <v>49600.586837999988</v>
      </c>
      <c r="BC20" s="54">
        <v>1</v>
      </c>
      <c r="BD20" s="54">
        <v>0.97</v>
      </c>
      <c r="BE20" s="54">
        <v>0.95</v>
      </c>
      <c r="BF20" s="54">
        <v>0.93</v>
      </c>
      <c r="BG20" s="54">
        <f t="shared" si="87"/>
        <v>0.91</v>
      </c>
      <c r="BH20" s="54">
        <f t="shared" si="87"/>
        <v>0.89</v>
      </c>
      <c r="BI20" s="54">
        <f t="shared" si="87"/>
        <v>0.87</v>
      </c>
      <c r="BJ20" s="54">
        <f t="shared" si="87"/>
        <v>0.85</v>
      </c>
      <c r="BK20" s="54">
        <f t="shared" si="87"/>
        <v>0.83</v>
      </c>
      <c r="BL20" s="54">
        <f t="shared" si="87"/>
        <v>0.80999999999999994</v>
      </c>
      <c r="BM20" s="54">
        <f t="shared" si="87"/>
        <v>0.78999999999999992</v>
      </c>
      <c r="BN20" s="54">
        <f t="shared" si="87"/>
        <v>0.76999999999999991</v>
      </c>
      <c r="BO20" s="54">
        <f t="shared" si="87"/>
        <v>0.74999999999999989</v>
      </c>
      <c r="BP20" s="54">
        <f t="shared" si="87"/>
        <v>0.72999999999999987</v>
      </c>
      <c r="BQ20" s="54">
        <f t="shared" si="87"/>
        <v>0.70999999999999985</v>
      </c>
      <c r="BR20" s="54">
        <f t="shared" si="87"/>
        <v>0.68999999999999984</v>
      </c>
      <c r="BS20" s="54">
        <f t="shared" si="87"/>
        <v>0.66999999999999982</v>
      </c>
      <c r="BT20" s="54">
        <f t="shared" si="87"/>
        <v>0.6499999999999998</v>
      </c>
      <c r="BU20" s="54">
        <f t="shared" si="87"/>
        <v>0.62999999999999978</v>
      </c>
      <c r="BV20" s="54">
        <f t="shared" si="87"/>
        <v>0.60999999999999976</v>
      </c>
      <c r="BW20" s="54">
        <f t="shared" si="87"/>
        <v>0.58999999999999975</v>
      </c>
      <c r="BX20" s="54">
        <f t="shared" si="87"/>
        <v>0.56999999999999973</v>
      </c>
      <c r="BZ20" s="54">
        <f t="shared" si="88"/>
        <v>23953.930000000004</v>
      </c>
      <c r="CA20" s="54">
        <f t="shared" si="89"/>
        <v>23953.930000000004</v>
      </c>
      <c r="CB20" s="58">
        <f t="shared" si="90"/>
        <v>79186.901794000019</v>
      </c>
      <c r="CC20" s="54">
        <f t="shared" si="91"/>
        <v>23235.312100000003</v>
      </c>
      <c r="CD20" s="58">
        <f t="shared" si="92"/>
        <v>76811.294740180005</v>
      </c>
      <c r="CE20" s="54">
        <f t="shared" si="93"/>
        <v>22756.233500000002</v>
      </c>
      <c r="CF20" s="58">
        <f t="shared" si="94"/>
        <v>75227.556704300005</v>
      </c>
      <c r="CG20" s="54">
        <f t="shared" si="21"/>
        <v>22277.154900000005</v>
      </c>
      <c r="CH20" s="58">
        <f t="shared" si="95"/>
        <v>73643.818668420019</v>
      </c>
      <c r="CI20" s="56">
        <f t="shared" si="22"/>
        <v>21798.076300000004</v>
      </c>
      <c r="CJ20" s="58">
        <f t="shared" si="96"/>
        <v>72060.080632540019</v>
      </c>
      <c r="CK20" s="54">
        <f t="shared" si="23"/>
        <v>21318.997700000004</v>
      </c>
      <c r="CL20" s="58">
        <f t="shared" si="97"/>
        <v>70476.342596660019</v>
      </c>
      <c r="CM20" s="56">
        <f t="shared" si="24"/>
        <v>20839.919100000003</v>
      </c>
      <c r="CN20" s="58">
        <f t="shared" si="98"/>
        <v>68892.604560780004</v>
      </c>
      <c r="CO20" s="59">
        <f t="shared" si="25"/>
        <v>20360.840500000002</v>
      </c>
      <c r="CP20" s="58">
        <f t="shared" si="99"/>
        <v>67308.866524900004</v>
      </c>
      <c r="CQ20" s="56">
        <f t="shared" si="26"/>
        <v>19881.761900000001</v>
      </c>
      <c r="CR20" s="58">
        <f t="shared" si="100"/>
        <v>65725.128489020004</v>
      </c>
      <c r="CS20" s="54">
        <f t="shared" si="27"/>
        <v>19402.683300000001</v>
      </c>
      <c r="CT20" s="58">
        <f t="shared" si="101"/>
        <v>64141.390453140004</v>
      </c>
      <c r="CU20" s="59">
        <f t="shared" si="28"/>
        <v>18923.6047</v>
      </c>
      <c r="CV20" s="58">
        <f t="shared" si="102"/>
        <v>62557.652417260004</v>
      </c>
      <c r="CW20" s="59">
        <f t="shared" si="29"/>
        <v>18444.526099999999</v>
      </c>
      <c r="CX20" s="58">
        <f t="shared" si="103"/>
        <v>60973.914381379996</v>
      </c>
      <c r="CY20" s="59">
        <f t="shared" si="30"/>
        <v>17965.447500000002</v>
      </c>
      <c r="CZ20" s="58">
        <f t="shared" si="104"/>
        <v>59390.176345500011</v>
      </c>
      <c r="DA20" s="54">
        <f t="shared" si="31"/>
        <v>17486.368900000001</v>
      </c>
      <c r="DB20" s="58">
        <f t="shared" si="105"/>
        <v>57806.438309620004</v>
      </c>
      <c r="DC20" s="59">
        <f t="shared" si="32"/>
        <v>17007.290300000001</v>
      </c>
      <c r="DD20" s="58">
        <f t="shared" si="106"/>
        <v>56222.700273740003</v>
      </c>
      <c r="DE20" s="59">
        <f t="shared" si="33"/>
        <v>16528.2117</v>
      </c>
      <c r="DF20" s="58">
        <f t="shared" si="107"/>
        <v>54638.962237860003</v>
      </c>
      <c r="DG20" s="59">
        <f t="shared" si="34"/>
        <v>16049.133099999999</v>
      </c>
      <c r="DH20" s="58">
        <f t="shared" si="108"/>
        <v>53055.224201979996</v>
      </c>
      <c r="DI20" s="59">
        <f t="shared" si="35"/>
        <v>15570.054499999998</v>
      </c>
      <c r="DJ20" s="58">
        <f t="shared" si="109"/>
        <v>51471.486166099996</v>
      </c>
      <c r="DK20" s="54">
        <f t="shared" si="36"/>
        <v>15090.975899999998</v>
      </c>
      <c r="DL20" s="58">
        <f t="shared" si="110"/>
        <v>49887.748130219996</v>
      </c>
      <c r="DM20" s="59">
        <f t="shared" si="37"/>
        <v>14611.897299999997</v>
      </c>
      <c r="DN20" s="58">
        <f t="shared" si="111"/>
        <v>48304.010094339988</v>
      </c>
      <c r="DO20" s="59">
        <f t="shared" si="38"/>
        <v>14132.818699999996</v>
      </c>
      <c r="DP20" s="58">
        <f t="shared" si="112"/>
        <v>46720.272058459988</v>
      </c>
      <c r="DQ20" s="54">
        <f t="shared" si="39"/>
        <v>13653.740099999995</v>
      </c>
      <c r="DR20" s="58">
        <f t="shared" si="113"/>
        <v>45136.534022579988</v>
      </c>
      <c r="DU20" s="54">
        <v>1</v>
      </c>
      <c r="DV20" s="54">
        <v>0.97</v>
      </c>
      <c r="DW20" s="54">
        <v>0.95</v>
      </c>
      <c r="DX20" s="54">
        <v>0.93</v>
      </c>
      <c r="DY20" s="54">
        <f t="shared" si="114"/>
        <v>0.91</v>
      </c>
      <c r="DZ20" s="54">
        <f t="shared" si="114"/>
        <v>0.89</v>
      </c>
      <c r="EA20" s="54">
        <f t="shared" si="114"/>
        <v>0.87</v>
      </c>
      <c r="EB20" s="54">
        <f t="shared" si="114"/>
        <v>0.85</v>
      </c>
      <c r="EC20" s="54">
        <f t="shared" si="114"/>
        <v>0.83</v>
      </c>
      <c r="ED20" s="54">
        <f t="shared" si="114"/>
        <v>0.80999999999999994</v>
      </c>
      <c r="EE20" s="54">
        <f t="shared" si="114"/>
        <v>0.78999999999999992</v>
      </c>
      <c r="EF20" s="54">
        <f t="shared" si="114"/>
        <v>0.76999999999999991</v>
      </c>
      <c r="EG20" s="54">
        <f t="shared" si="114"/>
        <v>0.74999999999999989</v>
      </c>
      <c r="EH20" s="54">
        <f t="shared" si="114"/>
        <v>0.72999999999999987</v>
      </c>
      <c r="EI20" s="54">
        <f t="shared" si="114"/>
        <v>0.70999999999999985</v>
      </c>
      <c r="EJ20" s="54">
        <f t="shared" si="114"/>
        <v>0.68999999999999984</v>
      </c>
      <c r="EK20" s="54">
        <f t="shared" si="114"/>
        <v>0.66999999999999982</v>
      </c>
      <c r="EL20" s="54">
        <f t="shared" si="114"/>
        <v>0.6499999999999998</v>
      </c>
      <c r="EM20" s="54">
        <f t="shared" si="114"/>
        <v>0.62999999999999978</v>
      </c>
      <c r="EN20" s="54">
        <f t="shared" si="114"/>
        <v>0.60999999999999976</v>
      </c>
      <c r="EO20" s="54">
        <f t="shared" si="114"/>
        <v>0.58999999999999975</v>
      </c>
      <c r="EP20" s="54">
        <f t="shared" si="114"/>
        <v>0.56999999999999973</v>
      </c>
      <c r="ER20" s="54">
        <f t="shared" si="115"/>
        <v>21798.076300000004</v>
      </c>
      <c r="ES20" s="54">
        <f t="shared" si="116"/>
        <v>21798.076300000004</v>
      </c>
      <c r="ET20" s="58">
        <f t="shared" si="117"/>
        <v>72060.080632540019</v>
      </c>
      <c r="EU20" s="54">
        <f t="shared" si="118"/>
        <v>21144.134011000002</v>
      </c>
      <c r="EV20" s="58">
        <f t="shared" si="119"/>
        <v>69898.278213563812</v>
      </c>
      <c r="EW20" s="54">
        <f t="shared" si="120"/>
        <v>20708.172485000003</v>
      </c>
      <c r="EX20" s="58">
        <f t="shared" si="121"/>
        <v>68457.076600913017</v>
      </c>
      <c r="EY20" s="54">
        <f t="shared" si="41"/>
        <v>20272.210959000004</v>
      </c>
      <c r="EZ20" s="58">
        <f t="shared" si="122"/>
        <v>67015.874988262207</v>
      </c>
      <c r="FA20" s="56">
        <f t="shared" si="42"/>
        <v>19836.249433000005</v>
      </c>
      <c r="FB20" s="58">
        <f t="shared" si="123"/>
        <v>65574.673375611412</v>
      </c>
      <c r="FC20" s="54">
        <f t="shared" si="43"/>
        <v>19400.287907000005</v>
      </c>
      <c r="FD20" s="58">
        <f t="shared" si="124"/>
        <v>64133.471762960617</v>
      </c>
      <c r="FE20" s="56">
        <f t="shared" si="44"/>
        <v>18964.326381000003</v>
      </c>
      <c r="FF20" s="58">
        <f t="shared" si="125"/>
        <v>62692.270150309807</v>
      </c>
      <c r="FG20" s="59">
        <f t="shared" si="45"/>
        <v>18528.364855000003</v>
      </c>
      <c r="FH20" s="58">
        <f t="shared" si="126"/>
        <v>61251.068537659012</v>
      </c>
      <c r="FI20" s="56">
        <f t="shared" si="46"/>
        <v>18092.403329000004</v>
      </c>
      <c r="FJ20" s="58">
        <f t="shared" si="127"/>
        <v>59809.866925008217</v>
      </c>
      <c r="FK20" s="54">
        <f t="shared" si="47"/>
        <v>17656.441803000002</v>
      </c>
      <c r="FL20" s="58">
        <f t="shared" si="128"/>
        <v>58368.665312357407</v>
      </c>
      <c r="FM20" s="59">
        <f t="shared" si="48"/>
        <v>17220.480277000002</v>
      </c>
      <c r="FN20" s="58">
        <f t="shared" si="129"/>
        <v>56927.463699706612</v>
      </c>
      <c r="FO20" s="59">
        <f t="shared" si="49"/>
        <v>16784.518751</v>
      </c>
      <c r="FP20" s="58">
        <f t="shared" si="130"/>
        <v>55486.262087055802</v>
      </c>
      <c r="FQ20" s="59">
        <f t="shared" si="50"/>
        <v>16348.557225</v>
      </c>
      <c r="FR20" s="58">
        <f t="shared" si="131"/>
        <v>54045.060474405</v>
      </c>
      <c r="FS20" s="54">
        <f t="shared" si="51"/>
        <v>15912.595699</v>
      </c>
      <c r="FT20" s="58">
        <f t="shared" si="132"/>
        <v>52603.858861754197</v>
      </c>
      <c r="FU20" s="59">
        <f t="shared" si="52"/>
        <v>15476.634173</v>
      </c>
      <c r="FV20" s="58">
        <f t="shared" si="133"/>
        <v>51162.657249103402</v>
      </c>
      <c r="FW20" s="59">
        <f t="shared" si="53"/>
        <v>15040.672646999999</v>
      </c>
      <c r="FX20" s="58">
        <f t="shared" si="134"/>
        <v>49721.4556364526</v>
      </c>
      <c r="FY20" s="59">
        <f t="shared" si="54"/>
        <v>14604.711120999998</v>
      </c>
      <c r="FZ20" s="58">
        <f t="shared" si="135"/>
        <v>48280.254023801797</v>
      </c>
      <c r="GA20" s="59">
        <f t="shared" si="55"/>
        <v>14168.749594999999</v>
      </c>
      <c r="GB20" s="58">
        <f t="shared" si="136"/>
        <v>46839.052411151002</v>
      </c>
      <c r="GC20" s="54">
        <f t="shared" si="56"/>
        <v>13732.788068999998</v>
      </c>
      <c r="GD20" s="58">
        <f t="shared" si="137"/>
        <v>45397.850798500192</v>
      </c>
      <c r="GE20" s="59">
        <f t="shared" si="57"/>
        <v>13296.826542999997</v>
      </c>
      <c r="GF20" s="58">
        <f t="shared" si="138"/>
        <v>43956.64918584939</v>
      </c>
      <c r="GG20" s="59">
        <f t="shared" si="58"/>
        <v>12860.865016999996</v>
      </c>
      <c r="GH20" s="58">
        <f t="shared" si="139"/>
        <v>42515.447573198588</v>
      </c>
      <c r="GI20" s="54">
        <f t="shared" si="59"/>
        <v>12424.903490999997</v>
      </c>
      <c r="GJ20" s="58">
        <f t="shared" si="140"/>
        <v>41074.245960547792</v>
      </c>
      <c r="GK20" s="54"/>
      <c r="GL20" s="54"/>
      <c r="GM20" s="54">
        <v>1</v>
      </c>
      <c r="GN20" s="54">
        <v>0.97</v>
      </c>
      <c r="GO20" s="54">
        <v>0.95</v>
      </c>
      <c r="GP20" s="54">
        <v>0.93</v>
      </c>
      <c r="GQ20" s="54">
        <f t="shared" si="141"/>
        <v>0.91</v>
      </c>
      <c r="GR20" s="54">
        <f t="shared" si="141"/>
        <v>0.89</v>
      </c>
      <c r="GS20" s="54">
        <f t="shared" si="141"/>
        <v>0.87</v>
      </c>
      <c r="GT20" s="54">
        <f t="shared" si="141"/>
        <v>0.85</v>
      </c>
      <c r="GU20" s="54">
        <f t="shared" si="141"/>
        <v>0.83</v>
      </c>
      <c r="GV20" s="54">
        <f t="shared" si="141"/>
        <v>0.80999999999999994</v>
      </c>
      <c r="GW20" s="54">
        <f t="shared" si="141"/>
        <v>0.78999999999999992</v>
      </c>
      <c r="GX20" s="54">
        <f t="shared" si="141"/>
        <v>0.76999999999999991</v>
      </c>
      <c r="GY20" s="54">
        <f t="shared" si="141"/>
        <v>0.74999999999999989</v>
      </c>
      <c r="GZ20" s="54">
        <f t="shared" si="141"/>
        <v>0.72999999999999987</v>
      </c>
      <c r="HA20" s="54">
        <f t="shared" si="141"/>
        <v>0.70999999999999985</v>
      </c>
      <c r="HB20" s="54">
        <f t="shared" si="141"/>
        <v>0.68999999999999984</v>
      </c>
      <c r="HC20" s="54">
        <f t="shared" si="141"/>
        <v>0.66999999999999982</v>
      </c>
      <c r="HD20" s="54">
        <f t="shared" si="141"/>
        <v>0.6499999999999998</v>
      </c>
      <c r="HE20" s="54">
        <f t="shared" si="141"/>
        <v>0.62999999999999978</v>
      </c>
      <c r="HF20" s="54">
        <f t="shared" si="141"/>
        <v>0.60999999999999976</v>
      </c>
      <c r="HG20" s="54">
        <f t="shared" si="141"/>
        <v>0.58999999999999975</v>
      </c>
      <c r="HH20" s="54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164070</v>
      </c>
      <c r="E21" s="68">
        <f t="shared" si="0"/>
        <v>542380</v>
      </c>
      <c r="H21" s="54">
        <f t="shared" si="61"/>
        <v>596618</v>
      </c>
      <c r="I21" s="54">
        <f t="shared" si="62"/>
        <v>596618</v>
      </c>
      <c r="J21" s="58">
        <f t="shared" si="63"/>
        <v>1972299.7844</v>
      </c>
      <c r="K21" s="54">
        <f t="shared" si="64"/>
        <v>578719.46</v>
      </c>
      <c r="L21" s="58">
        <f t="shared" si="65"/>
        <v>1913130.7908679999</v>
      </c>
      <c r="M21" s="54">
        <f t="shared" si="66"/>
        <v>566787.1</v>
      </c>
      <c r="N21" s="58">
        <f t="shared" si="67"/>
        <v>1873684.7951799999</v>
      </c>
      <c r="O21" s="54">
        <f t="shared" si="1"/>
        <v>554854.74</v>
      </c>
      <c r="P21" s="58">
        <f t="shared" si="68"/>
        <v>1834238.7994919999</v>
      </c>
      <c r="Q21" s="56">
        <f t="shared" si="2"/>
        <v>542922.38</v>
      </c>
      <c r="R21" s="58">
        <f t="shared" si="69"/>
        <v>1794792.8038040001</v>
      </c>
      <c r="S21" s="54">
        <f t="shared" si="3"/>
        <v>530990.02</v>
      </c>
      <c r="T21" s="58">
        <f t="shared" si="70"/>
        <v>1755346.8081160001</v>
      </c>
      <c r="U21" s="56">
        <f t="shared" si="4"/>
        <v>519057.66</v>
      </c>
      <c r="V21" s="58">
        <f t="shared" si="71"/>
        <v>1715900.8124279999</v>
      </c>
      <c r="W21" s="59">
        <f t="shared" si="5"/>
        <v>507125.3</v>
      </c>
      <c r="X21" s="58">
        <f t="shared" si="72"/>
        <v>1676454.8167399999</v>
      </c>
      <c r="Y21" s="56">
        <f t="shared" si="6"/>
        <v>495192.94</v>
      </c>
      <c r="Z21" s="58">
        <f t="shared" si="73"/>
        <v>1637008.8210520002</v>
      </c>
      <c r="AA21" s="54">
        <f t="shared" si="7"/>
        <v>483260.57999999996</v>
      </c>
      <c r="AB21" s="58">
        <f t="shared" si="74"/>
        <v>1597562.8253639999</v>
      </c>
      <c r="AC21" s="59">
        <f t="shared" si="8"/>
        <v>471328.22</v>
      </c>
      <c r="AD21" s="58">
        <f t="shared" si="75"/>
        <v>1558116.8296759999</v>
      </c>
      <c r="AE21" s="59">
        <f t="shared" si="9"/>
        <v>459395.85999999993</v>
      </c>
      <c r="AF21" s="58">
        <f t="shared" si="76"/>
        <v>1518670.8339879997</v>
      </c>
      <c r="AG21" s="59">
        <f t="shared" si="10"/>
        <v>447463.49999999994</v>
      </c>
      <c r="AH21" s="58">
        <f t="shared" si="77"/>
        <v>1479224.8382999999</v>
      </c>
      <c r="AI21" s="54">
        <f t="shared" si="11"/>
        <v>435531.1399999999</v>
      </c>
      <c r="AJ21" s="58">
        <f t="shared" si="78"/>
        <v>1439778.8426119997</v>
      </c>
      <c r="AK21" s="59">
        <f t="shared" si="12"/>
        <v>423598.77999999991</v>
      </c>
      <c r="AL21" s="58">
        <f t="shared" si="79"/>
        <v>1400332.8469239997</v>
      </c>
      <c r="AM21" s="59">
        <f t="shared" si="13"/>
        <v>411666.41999999993</v>
      </c>
      <c r="AN21" s="58">
        <f t="shared" si="80"/>
        <v>1360886.8512359997</v>
      </c>
      <c r="AO21" s="59">
        <f t="shared" si="14"/>
        <v>399734.05999999988</v>
      </c>
      <c r="AP21" s="58">
        <f t="shared" si="81"/>
        <v>1321440.8555479997</v>
      </c>
      <c r="AQ21" s="59">
        <f t="shared" si="15"/>
        <v>387801.6999999999</v>
      </c>
      <c r="AR21" s="58">
        <f t="shared" si="82"/>
        <v>1281994.8598599997</v>
      </c>
      <c r="AS21" s="54">
        <f t="shared" si="16"/>
        <v>375869.33999999985</v>
      </c>
      <c r="AT21" s="58">
        <f t="shared" si="83"/>
        <v>1242548.8641719995</v>
      </c>
      <c r="AU21" s="59">
        <f t="shared" si="17"/>
        <v>363936.97999999986</v>
      </c>
      <c r="AV21" s="58">
        <f t="shared" si="84"/>
        <v>1203102.8684839995</v>
      </c>
      <c r="AW21" s="59">
        <f t="shared" si="18"/>
        <v>352004.61999999982</v>
      </c>
      <c r="AX21" s="58">
        <f t="shared" si="85"/>
        <v>1163656.8727959995</v>
      </c>
      <c r="AY21" s="54">
        <f t="shared" si="19"/>
        <v>340072.25999999983</v>
      </c>
      <c r="AZ21" s="58">
        <f t="shared" si="86"/>
        <v>1124210.8771079995</v>
      </c>
      <c r="BC21" s="54">
        <v>1</v>
      </c>
      <c r="BD21" s="54">
        <v>0.97</v>
      </c>
      <c r="BE21" s="54">
        <v>0.95</v>
      </c>
      <c r="BF21" s="54">
        <v>0.93</v>
      </c>
      <c r="BG21" s="54">
        <f t="shared" si="87"/>
        <v>0.91</v>
      </c>
      <c r="BH21" s="54">
        <f t="shared" si="87"/>
        <v>0.89</v>
      </c>
      <c r="BI21" s="54">
        <f t="shared" si="87"/>
        <v>0.87</v>
      </c>
      <c r="BJ21" s="54">
        <f t="shared" si="87"/>
        <v>0.85</v>
      </c>
      <c r="BK21" s="54">
        <f t="shared" si="87"/>
        <v>0.83</v>
      </c>
      <c r="BL21" s="54">
        <f t="shared" si="87"/>
        <v>0.80999999999999994</v>
      </c>
      <c r="BM21" s="54">
        <f t="shared" si="87"/>
        <v>0.78999999999999992</v>
      </c>
      <c r="BN21" s="54">
        <f t="shared" si="87"/>
        <v>0.76999999999999991</v>
      </c>
      <c r="BO21" s="54">
        <f t="shared" si="87"/>
        <v>0.74999999999999989</v>
      </c>
      <c r="BP21" s="54">
        <f t="shared" si="87"/>
        <v>0.72999999999999987</v>
      </c>
      <c r="BQ21" s="54">
        <f t="shared" si="87"/>
        <v>0.70999999999999985</v>
      </c>
      <c r="BR21" s="54">
        <f t="shared" si="87"/>
        <v>0.68999999999999984</v>
      </c>
      <c r="BS21" s="54">
        <f t="shared" si="87"/>
        <v>0.66999999999999982</v>
      </c>
      <c r="BT21" s="54">
        <f t="shared" si="87"/>
        <v>0.6499999999999998</v>
      </c>
      <c r="BU21" s="54">
        <f t="shared" si="87"/>
        <v>0.62999999999999978</v>
      </c>
      <c r="BV21" s="54">
        <f t="shared" si="87"/>
        <v>0.60999999999999976</v>
      </c>
      <c r="BW21" s="54">
        <f t="shared" si="87"/>
        <v>0.58999999999999975</v>
      </c>
      <c r="BX21" s="54">
        <f t="shared" si="87"/>
        <v>0.56999999999999973</v>
      </c>
      <c r="BZ21" s="54">
        <f t="shared" si="88"/>
        <v>542922.38</v>
      </c>
      <c r="CA21" s="54">
        <f t="shared" si="89"/>
        <v>542922.38</v>
      </c>
      <c r="CB21" s="58">
        <f t="shared" si="90"/>
        <v>1794792.8038040001</v>
      </c>
      <c r="CC21" s="54">
        <f t="shared" si="91"/>
        <v>526634.70860000001</v>
      </c>
      <c r="CD21" s="58">
        <f t="shared" si="92"/>
        <v>1740949.0196898801</v>
      </c>
      <c r="CE21" s="54">
        <f t="shared" si="93"/>
        <v>515776.261</v>
      </c>
      <c r="CF21" s="58">
        <f t="shared" si="94"/>
        <v>1705053.1636138</v>
      </c>
      <c r="CG21" s="54">
        <f t="shared" si="21"/>
        <v>504917.81340000004</v>
      </c>
      <c r="CH21" s="58">
        <f t="shared" si="95"/>
        <v>1669157.3075377201</v>
      </c>
      <c r="CI21" s="56">
        <f t="shared" si="22"/>
        <v>494059.36580000003</v>
      </c>
      <c r="CJ21" s="58">
        <f t="shared" si="96"/>
        <v>1633261.4514616402</v>
      </c>
      <c r="CK21" s="54">
        <f t="shared" si="23"/>
        <v>483200.91820000001</v>
      </c>
      <c r="CL21" s="58">
        <f t="shared" si="97"/>
        <v>1597365.5953855601</v>
      </c>
      <c r="CM21" s="56">
        <f t="shared" si="24"/>
        <v>472342.4706</v>
      </c>
      <c r="CN21" s="58">
        <f t="shared" si="98"/>
        <v>1561469.7393094799</v>
      </c>
      <c r="CO21" s="59">
        <f t="shared" si="25"/>
        <v>461484.02299999999</v>
      </c>
      <c r="CP21" s="58">
        <f t="shared" si="99"/>
        <v>1525573.8832334001</v>
      </c>
      <c r="CQ21" s="56">
        <f t="shared" si="26"/>
        <v>450625.57539999997</v>
      </c>
      <c r="CR21" s="58">
        <f t="shared" si="100"/>
        <v>1489678.0271573199</v>
      </c>
      <c r="CS21" s="54">
        <f t="shared" si="27"/>
        <v>439767.12779999996</v>
      </c>
      <c r="CT21" s="58">
        <f t="shared" si="101"/>
        <v>1453782.1710812398</v>
      </c>
      <c r="CU21" s="59">
        <f t="shared" si="28"/>
        <v>428908.68019999994</v>
      </c>
      <c r="CV21" s="58">
        <f t="shared" si="102"/>
        <v>1417886.3150051599</v>
      </c>
      <c r="CW21" s="59">
        <f t="shared" si="29"/>
        <v>418050.23259999993</v>
      </c>
      <c r="CX21" s="58">
        <f t="shared" si="103"/>
        <v>1381990.4589290798</v>
      </c>
      <c r="CY21" s="59">
        <f t="shared" si="30"/>
        <v>407191.78499999992</v>
      </c>
      <c r="CZ21" s="58">
        <f t="shared" si="104"/>
        <v>1346094.6028529997</v>
      </c>
      <c r="DA21" s="54">
        <f t="shared" si="31"/>
        <v>396333.33739999996</v>
      </c>
      <c r="DB21" s="58">
        <f t="shared" si="105"/>
        <v>1310198.7467769198</v>
      </c>
      <c r="DC21" s="59">
        <f t="shared" si="32"/>
        <v>385474.88979999995</v>
      </c>
      <c r="DD21" s="58">
        <f t="shared" si="106"/>
        <v>1274302.8907008399</v>
      </c>
      <c r="DE21" s="59">
        <f t="shared" si="33"/>
        <v>374616.44219999993</v>
      </c>
      <c r="DF21" s="58">
        <f t="shared" si="107"/>
        <v>1238407.0346247598</v>
      </c>
      <c r="DG21" s="59">
        <f t="shared" si="34"/>
        <v>363757.99459999992</v>
      </c>
      <c r="DH21" s="58">
        <f t="shared" si="108"/>
        <v>1202511.1785486797</v>
      </c>
      <c r="DI21" s="59">
        <f t="shared" si="35"/>
        <v>352899.5469999999</v>
      </c>
      <c r="DJ21" s="58">
        <f t="shared" si="109"/>
        <v>1166615.3224725998</v>
      </c>
      <c r="DK21" s="54">
        <f t="shared" si="36"/>
        <v>342041.09939999989</v>
      </c>
      <c r="DL21" s="58">
        <f t="shared" si="110"/>
        <v>1130719.4663965197</v>
      </c>
      <c r="DM21" s="59">
        <f t="shared" si="37"/>
        <v>331182.65179999988</v>
      </c>
      <c r="DN21" s="58">
        <f t="shared" si="111"/>
        <v>1094823.6103204396</v>
      </c>
      <c r="DO21" s="59">
        <f t="shared" si="38"/>
        <v>320324.20419999986</v>
      </c>
      <c r="DP21" s="58">
        <f t="shared" si="112"/>
        <v>1058927.7542443597</v>
      </c>
      <c r="DQ21" s="54">
        <f t="shared" si="39"/>
        <v>309465.75659999985</v>
      </c>
      <c r="DR21" s="58">
        <f t="shared" si="113"/>
        <v>1023031.8981682796</v>
      </c>
      <c r="DU21" s="54">
        <v>1</v>
      </c>
      <c r="DV21" s="54">
        <v>0.97</v>
      </c>
      <c r="DW21" s="54">
        <v>0.95</v>
      </c>
      <c r="DX21" s="54">
        <v>0.93</v>
      </c>
      <c r="DY21" s="54">
        <f t="shared" si="114"/>
        <v>0.91</v>
      </c>
      <c r="DZ21" s="54">
        <f t="shared" si="114"/>
        <v>0.89</v>
      </c>
      <c r="EA21" s="54">
        <f t="shared" si="114"/>
        <v>0.87</v>
      </c>
      <c r="EB21" s="54">
        <f t="shared" si="114"/>
        <v>0.85</v>
      </c>
      <c r="EC21" s="54">
        <f t="shared" si="114"/>
        <v>0.83</v>
      </c>
      <c r="ED21" s="54">
        <f t="shared" si="114"/>
        <v>0.80999999999999994</v>
      </c>
      <c r="EE21" s="54">
        <f t="shared" si="114"/>
        <v>0.78999999999999992</v>
      </c>
      <c r="EF21" s="54">
        <f t="shared" si="114"/>
        <v>0.76999999999999991</v>
      </c>
      <c r="EG21" s="54">
        <f t="shared" si="114"/>
        <v>0.74999999999999989</v>
      </c>
      <c r="EH21" s="54">
        <f t="shared" si="114"/>
        <v>0.72999999999999987</v>
      </c>
      <c r="EI21" s="54">
        <f t="shared" si="114"/>
        <v>0.70999999999999985</v>
      </c>
      <c r="EJ21" s="54">
        <f t="shared" si="114"/>
        <v>0.68999999999999984</v>
      </c>
      <c r="EK21" s="54">
        <f t="shared" si="114"/>
        <v>0.66999999999999982</v>
      </c>
      <c r="EL21" s="54">
        <f t="shared" si="114"/>
        <v>0.6499999999999998</v>
      </c>
      <c r="EM21" s="54">
        <f t="shared" si="114"/>
        <v>0.62999999999999978</v>
      </c>
      <c r="EN21" s="54">
        <f t="shared" si="114"/>
        <v>0.60999999999999976</v>
      </c>
      <c r="EO21" s="54">
        <f t="shared" si="114"/>
        <v>0.58999999999999975</v>
      </c>
      <c r="EP21" s="54">
        <f t="shared" si="114"/>
        <v>0.56999999999999973</v>
      </c>
      <c r="ER21" s="54">
        <f t="shared" si="115"/>
        <v>494059.36580000003</v>
      </c>
      <c r="ES21" s="54">
        <f t="shared" si="116"/>
        <v>494059.36580000003</v>
      </c>
      <c r="ET21" s="58">
        <f t="shared" si="117"/>
        <v>1633261.4514616402</v>
      </c>
      <c r="EU21" s="54">
        <f t="shared" si="118"/>
        <v>479237.58482600003</v>
      </c>
      <c r="EV21" s="58">
        <f t="shared" si="119"/>
        <v>1584263.607917791</v>
      </c>
      <c r="EW21" s="54">
        <f t="shared" si="120"/>
        <v>469356.39750999998</v>
      </c>
      <c r="EX21" s="58">
        <f t="shared" si="121"/>
        <v>1551598.3788885579</v>
      </c>
      <c r="EY21" s="54">
        <f t="shared" si="41"/>
        <v>459475.21019400004</v>
      </c>
      <c r="EZ21" s="58">
        <f t="shared" si="122"/>
        <v>1518933.1498593253</v>
      </c>
      <c r="FA21" s="56">
        <f t="shared" si="42"/>
        <v>449594.02287800005</v>
      </c>
      <c r="FB21" s="58">
        <f t="shared" si="123"/>
        <v>1486267.9208300926</v>
      </c>
      <c r="FC21" s="54">
        <f t="shared" si="43"/>
        <v>439712.83556200005</v>
      </c>
      <c r="FD21" s="58">
        <f t="shared" si="124"/>
        <v>1453602.6918008598</v>
      </c>
      <c r="FE21" s="56">
        <f t="shared" si="44"/>
        <v>429831.648246</v>
      </c>
      <c r="FF21" s="58">
        <f t="shared" si="125"/>
        <v>1420937.4627716269</v>
      </c>
      <c r="FG21" s="59">
        <f t="shared" si="45"/>
        <v>419950.46093</v>
      </c>
      <c r="FH21" s="58">
        <f t="shared" si="126"/>
        <v>1388272.233742394</v>
      </c>
      <c r="FI21" s="56">
        <f t="shared" si="46"/>
        <v>410069.27361400001</v>
      </c>
      <c r="FJ21" s="58">
        <f t="shared" si="127"/>
        <v>1355607.0047131611</v>
      </c>
      <c r="FK21" s="54">
        <f t="shared" si="47"/>
        <v>400188.08629800001</v>
      </c>
      <c r="FL21" s="58">
        <f t="shared" si="128"/>
        <v>1322941.7756839285</v>
      </c>
      <c r="FM21" s="59">
        <f t="shared" si="48"/>
        <v>390306.89898200001</v>
      </c>
      <c r="FN21" s="58">
        <f t="shared" si="129"/>
        <v>1290276.5466546956</v>
      </c>
      <c r="FO21" s="59">
        <f t="shared" si="49"/>
        <v>380425.71166599996</v>
      </c>
      <c r="FP21" s="58">
        <f t="shared" si="130"/>
        <v>1257611.3176254628</v>
      </c>
      <c r="FQ21" s="59">
        <f t="shared" si="50"/>
        <v>370544.52434999996</v>
      </c>
      <c r="FR21" s="58">
        <f t="shared" si="131"/>
        <v>1224946.0885962299</v>
      </c>
      <c r="FS21" s="54">
        <f t="shared" si="51"/>
        <v>360663.33703399997</v>
      </c>
      <c r="FT21" s="58">
        <f t="shared" si="132"/>
        <v>1192280.859566997</v>
      </c>
      <c r="FU21" s="59">
        <f t="shared" si="52"/>
        <v>350782.14971799997</v>
      </c>
      <c r="FV21" s="58">
        <f t="shared" si="133"/>
        <v>1159615.6305377644</v>
      </c>
      <c r="FW21" s="59">
        <f t="shared" si="53"/>
        <v>340900.96240199992</v>
      </c>
      <c r="FX21" s="58">
        <f t="shared" si="134"/>
        <v>1126950.4015085313</v>
      </c>
      <c r="FY21" s="59">
        <f t="shared" si="54"/>
        <v>331019.77508599992</v>
      </c>
      <c r="FZ21" s="58">
        <f t="shared" si="135"/>
        <v>1094285.1724792987</v>
      </c>
      <c r="GA21" s="59">
        <f t="shared" si="55"/>
        <v>321138.58776999993</v>
      </c>
      <c r="GB21" s="58">
        <f t="shared" si="136"/>
        <v>1061619.9434500658</v>
      </c>
      <c r="GC21" s="54">
        <f t="shared" si="56"/>
        <v>311257.40045399993</v>
      </c>
      <c r="GD21" s="58">
        <f t="shared" si="137"/>
        <v>1028954.714420833</v>
      </c>
      <c r="GE21" s="59">
        <f t="shared" si="57"/>
        <v>301376.21313799988</v>
      </c>
      <c r="GF21" s="58">
        <f t="shared" si="138"/>
        <v>996289.48539160006</v>
      </c>
      <c r="GG21" s="59">
        <f t="shared" si="58"/>
        <v>291495.02582199988</v>
      </c>
      <c r="GH21" s="58">
        <f t="shared" si="139"/>
        <v>963624.25636236719</v>
      </c>
      <c r="GI21" s="54">
        <f t="shared" si="59"/>
        <v>281613.83850599988</v>
      </c>
      <c r="GJ21" s="58">
        <f t="shared" si="140"/>
        <v>930959.02733313444</v>
      </c>
      <c r="GK21" s="54"/>
      <c r="GL21" s="54"/>
      <c r="GM21" s="54">
        <v>1</v>
      </c>
      <c r="GN21" s="54">
        <v>0.97</v>
      </c>
      <c r="GO21" s="54">
        <v>0.95</v>
      </c>
      <c r="GP21" s="54">
        <v>0.93</v>
      </c>
      <c r="GQ21" s="54">
        <f t="shared" si="141"/>
        <v>0.91</v>
      </c>
      <c r="GR21" s="54">
        <f t="shared" si="141"/>
        <v>0.89</v>
      </c>
      <c r="GS21" s="54">
        <f t="shared" si="141"/>
        <v>0.87</v>
      </c>
      <c r="GT21" s="54">
        <f t="shared" si="141"/>
        <v>0.85</v>
      </c>
      <c r="GU21" s="54">
        <f t="shared" si="141"/>
        <v>0.83</v>
      </c>
      <c r="GV21" s="54">
        <f t="shared" si="141"/>
        <v>0.80999999999999994</v>
      </c>
      <c r="GW21" s="54">
        <f t="shared" si="141"/>
        <v>0.78999999999999992</v>
      </c>
      <c r="GX21" s="54">
        <f t="shared" si="141"/>
        <v>0.76999999999999991</v>
      </c>
      <c r="GY21" s="54">
        <f t="shared" si="141"/>
        <v>0.74999999999999989</v>
      </c>
      <c r="GZ21" s="54">
        <f t="shared" si="141"/>
        <v>0.72999999999999987</v>
      </c>
      <c r="HA21" s="54">
        <f t="shared" si="141"/>
        <v>0.70999999999999985</v>
      </c>
      <c r="HB21" s="54">
        <f t="shared" si="141"/>
        <v>0.68999999999999984</v>
      </c>
      <c r="HC21" s="54">
        <f t="shared" si="141"/>
        <v>0.66999999999999982</v>
      </c>
      <c r="HD21" s="54">
        <f t="shared" si="141"/>
        <v>0.6499999999999998</v>
      </c>
      <c r="HE21" s="54">
        <f t="shared" si="141"/>
        <v>0.62999999999999978</v>
      </c>
      <c r="HF21" s="54">
        <f t="shared" si="141"/>
        <v>0.60999999999999976</v>
      </c>
      <c r="HG21" s="54">
        <f t="shared" si="141"/>
        <v>0.58999999999999975</v>
      </c>
      <c r="HH21" s="54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99880</v>
      </c>
      <c r="E22" s="68">
        <f t="shared" si="0"/>
        <v>330180</v>
      </c>
      <c r="H22" s="54">
        <f t="shared" si="61"/>
        <v>363198.00000000006</v>
      </c>
      <c r="I22" s="54">
        <f t="shared" si="62"/>
        <v>363198.00000000006</v>
      </c>
      <c r="J22" s="58">
        <f t="shared" si="63"/>
        <v>1200659.9484000001</v>
      </c>
      <c r="K22" s="54">
        <f t="shared" si="64"/>
        <v>352302.06000000006</v>
      </c>
      <c r="L22" s="58">
        <f t="shared" si="65"/>
        <v>1164640.1499480002</v>
      </c>
      <c r="M22" s="54">
        <f t="shared" si="66"/>
        <v>345038.10000000003</v>
      </c>
      <c r="N22" s="58">
        <f t="shared" si="67"/>
        <v>1140626.9509800002</v>
      </c>
      <c r="O22" s="54">
        <f t="shared" si="1"/>
        <v>337774.14000000007</v>
      </c>
      <c r="P22" s="58">
        <f t="shared" si="68"/>
        <v>1116613.7520120002</v>
      </c>
      <c r="Q22" s="56">
        <f t="shared" si="2"/>
        <v>330510.18000000005</v>
      </c>
      <c r="R22" s="58">
        <f t="shared" si="69"/>
        <v>1092600.5530440002</v>
      </c>
      <c r="S22" s="54">
        <f t="shared" si="3"/>
        <v>323246.22000000003</v>
      </c>
      <c r="T22" s="58">
        <f t="shared" si="70"/>
        <v>1068587.3540760002</v>
      </c>
      <c r="U22" s="56">
        <f t="shared" si="4"/>
        <v>315982.26000000007</v>
      </c>
      <c r="V22" s="58">
        <f t="shared" si="71"/>
        <v>1044574.1551080003</v>
      </c>
      <c r="W22" s="59">
        <f t="shared" si="5"/>
        <v>308718.30000000005</v>
      </c>
      <c r="X22" s="58">
        <f t="shared" si="72"/>
        <v>1020560.9561400001</v>
      </c>
      <c r="Y22" s="56">
        <f t="shared" si="6"/>
        <v>301454.34000000003</v>
      </c>
      <c r="Z22" s="58">
        <f t="shared" si="73"/>
        <v>996547.75717200013</v>
      </c>
      <c r="AA22" s="54">
        <f t="shared" si="7"/>
        <v>294190.38</v>
      </c>
      <c r="AB22" s="58">
        <f t="shared" si="74"/>
        <v>972534.558204</v>
      </c>
      <c r="AC22" s="59">
        <f t="shared" si="8"/>
        <v>286926.42000000004</v>
      </c>
      <c r="AD22" s="58">
        <f t="shared" si="75"/>
        <v>948521.35923600011</v>
      </c>
      <c r="AE22" s="59">
        <f t="shared" si="9"/>
        <v>279662.46000000002</v>
      </c>
      <c r="AF22" s="58">
        <f t="shared" si="76"/>
        <v>924508.16026800009</v>
      </c>
      <c r="AG22" s="59">
        <f t="shared" si="10"/>
        <v>272398.5</v>
      </c>
      <c r="AH22" s="58">
        <f t="shared" si="77"/>
        <v>900494.96129999997</v>
      </c>
      <c r="AI22" s="54">
        <f t="shared" si="11"/>
        <v>265134.53999999998</v>
      </c>
      <c r="AJ22" s="58">
        <f t="shared" si="78"/>
        <v>876481.76233199995</v>
      </c>
      <c r="AK22" s="59">
        <f t="shared" si="12"/>
        <v>257870.58</v>
      </c>
      <c r="AL22" s="58">
        <f t="shared" si="79"/>
        <v>852468.56336399994</v>
      </c>
      <c r="AM22" s="59">
        <f t="shared" si="13"/>
        <v>250606.61999999997</v>
      </c>
      <c r="AN22" s="58">
        <f t="shared" si="80"/>
        <v>828455.36439599993</v>
      </c>
      <c r="AO22" s="59">
        <f t="shared" si="14"/>
        <v>243342.65999999997</v>
      </c>
      <c r="AP22" s="58">
        <f t="shared" si="81"/>
        <v>804442.16542799992</v>
      </c>
      <c r="AQ22" s="59">
        <f t="shared" si="15"/>
        <v>236078.69999999995</v>
      </c>
      <c r="AR22" s="58">
        <f t="shared" si="82"/>
        <v>780428.96645999991</v>
      </c>
      <c r="AS22" s="54">
        <f t="shared" si="16"/>
        <v>228814.73999999996</v>
      </c>
      <c r="AT22" s="58">
        <f t="shared" si="83"/>
        <v>756415.7674919999</v>
      </c>
      <c r="AU22" s="59">
        <f t="shared" si="17"/>
        <v>221550.77999999994</v>
      </c>
      <c r="AV22" s="58">
        <f t="shared" si="84"/>
        <v>732402.56852399977</v>
      </c>
      <c r="AW22" s="59">
        <f t="shared" si="18"/>
        <v>214286.81999999995</v>
      </c>
      <c r="AX22" s="58">
        <f t="shared" si="85"/>
        <v>708389.36955599987</v>
      </c>
      <c r="AY22" s="54">
        <f t="shared" si="19"/>
        <v>207022.85999999993</v>
      </c>
      <c r="AZ22" s="58">
        <f t="shared" si="86"/>
        <v>684376.17058799975</v>
      </c>
      <c r="BC22" s="54">
        <v>1</v>
      </c>
      <c r="BD22" s="54">
        <v>0.97</v>
      </c>
      <c r="BE22" s="54">
        <v>0.95</v>
      </c>
      <c r="BF22" s="54">
        <v>0.93</v>
      </c>
      <c r="BG22" s="54">
        <f t="shared" si="87"/>
        <v>0.91</v>
      </c>
      <c r="BH22" s="54">
        <f t="shared" si="87"/>
        <v>0.89</v>
      </c>
      <c r="BI22" s="54">
        <f t="shared" si="87"/>
        <v>0.87</v>
      </c>
      <c r="BJ22" s="54">
        <f t="shared" si="87"/>
        <v>0.85</v>
      </c>
      <c r="BK22" s="54">
        <f t="shared" si="87"/>
        <v>0.83</v>
      </c>
      <c r="BL22" s="54">
        <f t="shared" si="87"/>
        <v>0.80999999999999994</v>
      </c>
      <c r="BM22" s="54">
        <f t="shared" si="87"/>
        <v>0.78999999999999992</v>
      </c>
      <c r="BN22" s="54">
        <f t="shared" si="87"/>
        <v>0.76999999999999991</v>
      </c>
      <c r="BO22" s="54">
        <f t="shared" si="87"/>
        <v>0.74999999999999989</v>
      </c>
      <c r="BP22" s="54">
        <f t="shared" si="87"/>
        <v>0.72999999999999987</v>
      </c>
      <c r="BQ22" s="54">
        <f t="shared" si="87"/>
        <v>0.70999999999999985</v>
      </c>
      <c r="BR22" s="54">
        <f t="shared" si="87"/>
        <v>0.68999999999999984</v>
      </c>
      <c r="BS22" s="54">
        <f t="shared" si="87"/>
        <v>0.66999999999999982</v>
      </c>
      <c r="BT22" s="54">
        <f t="shared" si="87"/>
        <v>0.6499999999999998</v>
      </c>
      <c r="BU22" s="54">
        <f t="shared" si="87"/>
        <v>0.62999999999999978</v>
      </c>
      <c r="BV22" s="54">
        <f t="shared" si="87"/>
        <v>0.60999999999999976</v>
      </c>
      <c r="BW22" s="54">
        <f t="shared" si="87"/>
        <v>0.58999999999999975</v>
      </c>
      <c r="BX22" s="54">
        <f t="shared" si="87"/>
        <v>0.56999999999999973</v>
      </c>
      <c r="BZ22" s="54">
        <f t="shared" si="88"/>
        <v>330510.18000000005</v>
      </c>
      <c r="CA22" s="54">
        <f t="shared" si="89"/>
        <v>330510.18000000005</v>
      </c>
      <c r="CB22" s="58">
        <f t="shared" si="90"/>
        <v>1092600.5530440002</v>
      </c>
      <c r="CC22" s="54">
        <f t="shared" si="91"/>
        <v>320594.87460000004</v>
      </c>
      <c r="CD22" s="58">
        <f t="shared" si="92"/>
        <v>1059822.5364526801</v>
      </c>
      <c r="CE22" s="54">
        <f t="shared" si="93"/>
        <v>313984.67100000003</v>
      </c>
      <c r="CF22" s="58">
        <f t="shared" si="94"/>
        <v>1037970.5253918001</v>
      </c>
      <c r="CG22" s="54">
        <f t="shared" si="21"/>
        <v>307374.46740000008</v>
      </c>
      <c r="CH22" s="58">
        <f t="shared" si="95"/>
        <v>1016118.5143309203</v>
      </c>
      <c r="CI22" s="56">
        <f t="shared" si="22"/>
        <v>300764.26380000007</v>
      </c>
      <c r="CJ22" s="58">
        <f t="shared" si="96"/>
        <v>994266.50327004027</v>
      </c>
      <c r="CK22" s="54">
        <f t="shared" si="23"/>
        <v>294154.06020000007</v>
      </c>
      <c r="CL22" s="58">
        <f t="shared" si="97"/>
        <v>972414.49220916023</v>
      </c>
      <c r="CM22" s="56">
        <f t="shared" si="24"/>
        <v>287543.85660000006</v>
      </c>
      <c r="CN22" s="58">
        <f t="shared" si="98"/>
        <v>950562.4811482802</v>
      </c>
      <c r="CO22" s="59">
        <f t="shared" si="25"/>
        <v>280933.65300000005</v>
      </c>
      <c r="CP22" s="58">
        <f t="shared" si="99"/>
        <v>928710.47008740017</v>
      </c>
      <c r="CQ22" s="56">
        <f t="shared" si="26"/>
        <v>274323.44940000004</v>
      </c>
      <c r="CR22" s="58">
        <f t="shared" si="100"/>
        <v>906858.45902652014</v>
      </c>
      <c r="CS22" s="54">
        <f t="shared" si="27"/>
        <v>267713.24580000003</v>
      </c>
      <c r="CT22" s="58">
        <f t="shared" si="101"/>
        <v>885006.44796564011</v>
      </c>
      <c r="CU22" s="59">
        <f t="shared" si="28"/>
        <v>261103.04220000003</v>
      </c>
      <c r="CV22" s="58">
        <f t="shared" si="102"/>
        <v>863154.43690476008</v>
      </c>
      <c r="CW22" s="59">
        <f t="shared" si="29"/>
        <v>254492.83860000002</v>
      </c>
      <c r="CX22" s="58">
        <f t="shared" si="103"/>
        <v>841302.42584388005</v>
      </c>
      <c r="CY22" s="59">
        <f t="shared" si="30"/>
        <v>247882.63500000001</v>
      </c>
      <c r="CZ22" s="58">
        <f t="shared" si="104"/>
        <v>819450.41478300001</v>
      </c>
      <c r="DA22" s="54">
        <f t="shared" si="31"/>
        <v>241272.4314</v>
      </c>
      <c r="DB22" s="58">
        <f t="shared" si="105"/>
        <v>797598.40372211998</v>
      </c>
      <c r="DC22" s="59">
        <f t="shared" si="32"/>
        <v>234662.22779999999</v>
      </c>
      <c r="DD22" s="58">
        <f t="shared" si="106"/>
        <v>775746.39266123995</v>
      </c>
      <c r="DE22" s="59">
        <f t="shared" si="33"/>
        <v>228052.02419999999</v>
      </c>
      <c r="DF22" s="58">
        <f t="shared" si="107"/>
        <v>753894.38160035992</v>
      </c>
      <c r="DG22" s="59">
        <f t="shared" si="34"/>
        <v>221441.82059999998</v>
      </c>
      <c r="DH22" s="58">
        <f t="shared" si="108"/>
        <v>732042.37053947989</v>
      </c>
      <c r="DI22" s="59">
        <f t="shared" si="35"/>
        <v>214831.61699999997</v>
      </c>
      <c r="DJ22" s="58">
        <f t="shared" si="109"/>
        <v>710190.35947859986</v>
      </c>
      <c r="DK22" s="54">
        <f t="shared" si="36"/>
        <v>208221.41339999996</v>
      </c>
      <c r="DL22" s="58">
        <f t="shared" si="110"/>
        <v>688338.34841771994</v>
      </c>
      <c r="DM22" s="59">
        <f t="shared" si="37"/>
        <v>201611.20979999995</v>
      </c>
      <c r="DN22" s="58">
        <f t="shared" si="111"/>
        <v>666486.33735683991</v>
      </c>
      <c r="DO22" s="59">
        <f t="shared" si="38"/>
        <v>195001.00619999995</v>
      </c>
      <c r="DP22" s="58">
        <f t="shared" si="112"/>
        <v>644634.32629595988</v>
      </c>
      <c r="DQ22" s="54">
        <f t="shared" si="39"/>
        <v>188390.80259999994</v>
      </c>
      <c r="DR22" s="58">
        <f t="shared" si="113"/>
        <v>622782.31523507985</v>
      </c>
      <c r="DU22" s="54">
        <v>1</v>
      </c>
      <c r="DV22" s="54">
        <v>0.97</v>
      </c>
      <c r="DW22" s="54">
        <v>0.95</v>
      </c>
      <c r="DX22" s="54">
        <v>0.93</v>
      </c>
      <c r="DY22" s="54">
        <f t="shared" si="114"/>
        <v>0.91</v>
      </c>
      <c r="DZ22" s="54">
        <f t="shared" si="114"/>
        <v>0.89</v>
      </c>
      <c r="EA22" s="54">
        <f t="shared" si="114"/>
        <v>0.87</v>
      </c>
      <c r="EB22" s="54">
        <f t="shared" si="114"/>
        <v>0.85</v>
      </c>
      <c r="EC22" s="54">
        <f t="shared" si="114"/>
        <v>0.83</v>
      </c>
      <c r="ED22" s="54">
        <f t="shared" si="114"/>
        <v>0.80999999999999994</v>
      </c>
      <c r="EE22" s="54">
        <f t="shared" si="114"/>
        <v>0.78999999999999992</v>
      </c>
      <c r="EF22" s="54">
        <f t="shared" si="114"/>
        <v>0.76999999999999991</v>
      </c>
      <c r="EG22" s="54">
        <f t="shared" si="114"/>
        <v>0.74999999999999989</v>
      </c>
      <c r="EH22" s="54">
        <f t="shared" si="114"/>
        <v>0.72999999999999987</v>
      </c>
      <c r="EI22" s="54">
        <f t="shared" si="114"/>
        <v>0.70999999999999985</v>
      </c>
      <c r="EJ22" s="54">
        <f t="shared" si="114"/>
        <v>0.68999999999999984</v>
      </c>
      <c r="EK22" s="54">
        <f t="shared" si="114"/>
        <v>0.66999999999999982</v>
      </c>
      <c r="EL22" s="54">
        <f t="shared" si="114"/>
        <v>0.6499999999999998</v>
      </c>
      <c r="EM22" s="54">
        <f t="shared" si="114"/>
        <v>0.62999999999999978</v>
      </c>
      <c r="EN22" s="54">
        <f t="shared" si="114"/>
        <v>0.60999999999999976</v>
      </c>
      <c r="EO22" s="54">
        <f t="shared" si="114"/>
        <v>0.58999999999999975</v>
      </c>
      <c r="EP22" s="54">
        <f t="shared" si="114"/>
        <v>0.56999999999999973</v>
      </c>
      <c r="ER22" s="54">
        <f t="shared" si="115"/>
        <v>300764.26380000007</v>
      </c>
      <c r="ES22" s="54">
        <f t="shared" si="116"/>
        <v>300764.26380000007</v>
      </c>
      <c r="ET22" s="58">
        <f t="shared" si="117"/>
        <v>994266.50327004027</v>
      </c>
      <c r="EU22" s="54">
        <f t="shared" si="118"/>
        <v>291741.33588600007</v>
      </c>
      <c r="EV22" s="58">
        <f t="shared" si="119"/>
        <v>964438.50817193906</v>
      </c>
      <c r="EW22" s="54">
        <f t="shared" si="120"/>
        <v>285726.05061000003</v>
      </c>
      <c r="EX22" s="58">
        <f t="shared" si="121"/>
        <v>944553.17810653814</v>
      </c>
      <c r="EY22" s="54">
        <f t="shared" si="41"/>
        <v>279710.76533400005</v>
      </c>
      <c r="EZ22" s="58">
        <f t="shared" si="122"/>
        <v>924667.84804113745</v>
      </c>
      <c r="FA22" s="56">
        <f t="shared" si="42"/>
        <v>273695.48005800007</v>
      </c>
      <c r="FB22" s="58">
        <f t="shared" si="123"/>
        <v>904782.51797573664</v>
      </c>
      <c r="FC22" s="54">
        <f t="shared" si="43"/>
        <v>267680.19478200009</v>
      </c>
      <c r="FD22" s="58">
        <f t="shared" si="124"/>
        <v>884897.18791033595</v>
      </c>
      <c r="FE22" s="56">
        <f t="shared" si="44"/>
        <v>261664.90950600005</v>
      </c>
      <c r="FF22" s="58">
        <f t="shared" si="125"/>
        <v>865011.85784493503</v>
      </c>
      <c r="FG22" s="59">
        <f t="shared" si="45"/>
        <v>255649.62423000004</v>
      </c>
      <c r="FH22" s="58">
        <f t="shared" si="126"/>
        <v>845126.52777953411</v>
      </c>
      <c r="FI22" s="56">
        <f t="shared" si="46"/>
        <v>249634.33895400004</v>
      </c>
      <c r="FJ22" s="58">
        <f t="shared" si="127"/>
        <v>825241.1977141333</v>
      </c>
      <c r="FK22" s="54">
        <f t="shared" si="47"/>
        <v>243619.05367800005</v>
      </c>
      <c r="FL22" s="58">
        <f t="shared" si="128"/>
        <v>805355.86764873262</v>
      </c>
      <c r="FM22" s="59">
        <f t="shared" si="48"/>
        <v>237603.76840200005</v>
      </c>
      <c r="FN22" s="58">
        <f t="shared" si="129"/>
        <v>785470.53758333181</v>
      </c>
      <c r="FO22" s="59">
        <f t="shared" si="49"/>
        <v>231588.48312600004</v>
      </c>
      <c r="FP22" s="58">
        <f t="shared" si="130"/>
        <v>765585.20751793089</v>
      </c>
      <c r="FQ22" s="59">
        <f t="shared" si="50"/>
        <v>225573.19785000003</v>
      </c>
      <c r="FR22" s="58">
        <f t="shared" si="131"/>
        <v>745699.87745253008</v>
      </c>
      <c r="FS22" s="54">
        <f t="shared" si="51"/>
        <v>219557.91257400002</v>
      </c>
      <c r="FT22" s="58">
        <f t="shared" si="132"/>
        <v>725814.54738712928</v>
      </c>
      <c r="FU22" s="59">
        <f t="shared" si="52"/>
        <v>213542.62729800001</v>
      </c>
      <c r="FV22" s="58">
        <f t="shared" si="133"/>
        <v>705929.21732172847</v>
      </c>
      <c r="FW22" s="59">
        <f t="shared" si="53"/>
        <v>207527.342022</v>
      </c>
      <c r="FX22" s="58">
        <f t="shared" si="134"/>
        <v>686043.88725632755</v>
      </c>
      <c r="FY22" s="59">
        <f t="shared" si="54"/>
        <v>201512.05674599999</v>
      </c>
      <c r="FZ22" s="58">
        <f t="shared" si="135"/>
        <v>666158.55719092675</v>
      </c>
      <c r="GA22" s="59">
        <f t="shared" si="55"/>
        <v>195496.77146999998</v>
      </c>
      <c r="GB22" s="58">
        <f t="shared" si="136"/>
        <v>646273.22712552594</v>
      </c>
      <c r="GC22" s="54">
        <f t="shared" si="56"/>
        <v>189481.48619399997</v>
      </c>
      <c r="GD22" s="58">
        <f t="shared" si="137"/>
        <v>626387.89706012513</v>
      </c>
      <c r="GE22" s="59">
        <f t="shared" si="57"/>
        <v>183466.20091799999</v>
      </c>
      <c r="GF22" s="58">
        <f t="shared" si="138"/>
        <v>606502.56699472433</v>
      </c>
      <c r="GG22" s="59">
        <f t="shared" si="58"/>
        <v>177450.91564199998</v>
      </c>
      <c r="GH22" s="58">
        <f t="shared" si="139"/>
        <v>586617.23692932352</v>
      </c>
      <c r="GI22" s="54">
        <f t="shared" si="59"/>
        <v>171435.63036599997</v>
      </c>
      <c r="GJ22" s="58">
        <f t="shared" si="140"/>
        <v>566731.90686392272</v>
      </c>
      <c r="GK22" s="54"/>
      <c r="GL22" s="54"/>
      <c r="GM22" s="54">
        <v>1</v>
      </c>
      <c r="GN22" s="54">
        <v>0.97</v>
      </c>
      <c r="GO22" s="54">
        <v>0.95</v>
      </c>
      <c r="GP22" s="54">
        <v>0.93</v>
      </c>
      <c r="GQ22" s="54">
        <f t="shared" si="141"/>
        <v>0.91</v>
      </c>
      <c r="GR22" s="54">
        <f t="shared" si="141"/>
        <v>0.89</v>
      </c>
      <c r="GS22" s="54">
        <f t="shared" si="141"/>
        <v>0.87</v>
      </c>
      <c r="GT22" s="54">
        <f t="shared" si="141"/>
        <v>0.85</v>
      </c>
      <c r="GU22" s="54">
        <f t="shared" si="141"/>
        <v>0.83</v>
      </c>
      <c r="GV22" s="54">
        <f t="shared" si="141"/>
        <v>0.80999999999999994</v>
      </c>
      <c r="GW22" s="54">
        <f t="shared" si="141"/>
        <v>0.78999999999999992</v>
      </c>
      <c r="GX22" s="54">
        <f t="shared" si="141"/>
        <v>0.76999999999999991</v>
      </c>
      <c r="GY22" s="54">
        <f t="shared" si="141"/>
        <v>0.74999999999999989</v>
      </c>
      <c r="GZ22" s="54">
        <f t="shared" si="141"/>
        <v>0.72999999999999987</v>
      </c>
      <c r="HA22" s="54">
        <f t="shared" si="141"/>
        <v>0.70999999999999985</v>
      </c>
      <c r="HB22" s="54">
        <f t="shared" si="141"/>
        <v>0.68999999999999984</v>
      </c>
      <c r="HC22" s="54">
        <f t="shared" si="141"/>
        <v>0.66999999999999982</v>
      </c>
      <c r="HD22" s="54">
        <f t="shared" si="141"/>
        <v>0.6499999999999998</v>
      </c>
      <c r="HE22" s="54">
        <f t="shared" si="141"/>
        <v>0.62999999999999978</v>
      </c>
      <c r="HF22" s="54">
        <f t="shared" si="141"/>
        <v>0.60999999999999976</v>
      </c>
      <c r="HG22" s="54">
        <f t="shared" si="141"/>
        <v>0.58999999999999975</v>
      </c>
      <c r="HH22" s="54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78330</v>
      </c>
      <c r="E23" s="68">
        <f t="shared" si="0"/>
        <v>258940</v>
      </c>
      <c r="H23" s="54">
        <f t="shared" si="61"/>
        <v>284834</v>
      </c>
      <c r="I23" s="54">
        <f t="shared" si="62"/>
        <v>284834</v>
      </c>
      <c r="J23" s="58">
        <f t="shared" si="63"/>
        <v>941604.23719999997</v>
      </c>
      <c r="K23" s="54">
        <f t="shared" si="64"/>
        <v>276288.98</v>
      </c>
      <c r="L23" s="58">
        <f t="shared" si="65"/>
        <v>913356.11008399993</v>
      </c>
      <c r="M23" s="54">
        <f t="shared" si="66"/>
        <v>270592.3</v>
      </c>
      <c r="N23" s="58">
        <f t="shared" si="67"/>
        <v>894524.02533999993</v>
      </c>
      <c r="O23" s="54">
        <f t="shared" si="1"/>
        <v>264895.62</v>
      </c>
      <c r="P23" s="58">
        <f t="shared" si="68"/>
        <v>875691.94059600006</v>
      </c>
      <c r="Q23" s="56">
        <f t="shared" si="2"/>
        <v>259198.94</v>
      </c>
      <c r="R23" s="58">
        <f t="shared" si="69"/>
        <v>856859.85585200007</v>
      </c>
      <c r="S23" s="54">
        <f t="shared" si="3"/>
        <v>253502.26</v>
      </c>
      <c r="T23" s="58">
        <f t="shared" si="70"/>
        <v>838027.77110800007</v>
      </c>
      <c r="U23" s="56">
        <f t="shared" si="4"/>
        <v>247805.58</v>
      </c>
      <c r="V23" s="58">
        <f t="shared" si="71"/>
        <v>819195.68636399996</v>
      </c>
      <c r="W23" s="59">
        <f t="shared" si="5"/>
        <v>242108.9</v>
      </c>
      <c r="X23" s="58">
        <f t="shared" si="72"/>
        <v>800363.60161999997</v>
      </c>
      <c r="Y23" s="56">
        <f t="shared" si="6"/>
        <v>236412.22</v>
      </c>
      <c r="Z23" s="58">
        <f t="shared" si="73"/>
        <v>781531.51687599998</v>
      </c>
      <c r="AA23" s="54">
        <f t="shared" si="7"/>
        <v>230715.53999999998</v>
      </c>
      <c r="AB23" s="58">
        <f t="shared" si="74"/>
        <v>762699.43213199999</v>
      </c>
      <c r="AC23" s="59">
        <f t="shared" si="8"/>
        <v>225018.86</v>
      </c>
      <c r="AD23" s="58">
        <f t="shared" si="75"/>
        <v>743867.34738799999</v>
      </c>
      <c r="AE23" s="59">
        <f t="shared" si="9"/>
        <v>219322.17999999996</v>
      </c>
      <c r="AF23" s="58">
        <f t="shared" si="76"/>
        <v>725035.26264399989</v>
      </c>
      <c r="AG23" s="59">
        <f t="shared" si="10"/>
        <v>213625.49999999997</v>
      </c>
      <c r="AH23" s="58">
        <f t="shared" si="77"/>
        <v>706203.17789999989</v>
      </c>
      <c r="AI23" s="54">
        <f t="shared" si="11"/>
        <v>207928.81999999995</v>
      </c>
      <c r="AJ23" s="58">
        <f t="shared" si="78"/>
        <v>687371.0931559999</v>
      </c>
      <c r="AK23" s="59">
        <f t="shared" si="12"/>
        <v>202232.13999999996</v>
      </c>
      <c r="AL23" s="58">
        <f t="shared" si="79"/>
        <v>668539.00841199991</v>
      </c>
      <c r="AM23" s="59">
        <f t="shared" si="13"/>
        <v>196535.45999999996</v>
      </c>
      <c r="AN23" s="58">
        <f t="shared" si="80"/>
        <v>649706.92366799992</v>
      </c>
      <c r="AO23" s="59">
        <f t="shared" si="14"/>
        <v>190838.77999999994</v>
      </c>
      <c r="AP23" s="58">
        <f t="shared" si="81"/>
        <v>630874.83892399981</v>
      </c>
      <c r="AQ23" s="59">
        <f t="shared" si="15"/>
        <v>185142.09999999995</v>
      </c>
      <c r="AR23" s="58">
        <f t="shared" si="82"/>
        <v>612042.75417999981</v>
      </c>
      <c r="AS23" s="54">
        <f t="shared" si="16"/>
        <v>179445.41999999993</v>
      </c>
      <c r="AT23" s="58">
        <f t="shared" si="83"/>
        <v>593210.66943599982</v>
      </c>
      <c r="AU23" s="59">
        <f t="shared" si="17"/>
        <v>173748.73999999993</v>
      </c>
      <c r="AV23" s="58">
        <f t="shared" si="84"/>
        <v>574378.58469199983</v>
      </c>
      <c r="AW23" s="59">
        <f t="shared" si="18"/>
        <v>168052.05999999994</v>
      </c>
      <c r="AX23" s="58">
        <f t="shared" si="85"/>
        <v>555546.49994799984</v>
      </c>
      <c r="AY23" s="54">
        <f t="shared" si="19"/>
        <v>162355.37999999992</v>
      </c>
      <c r="AZ23" s="58">
        <f t="shared" si="86"/>
        <v>536714.41520399973</v>
      </c>
      <c r="BC23" s="54">
        <v>1</v>
      </c>
      <c r="BD23" s="54">
        <v>0.97</v>
      </c>
      <c r="BE23" s="54">
        <v>0.95</v>
      </c>
      <c r="BF23" s="54">
        <v>0.93</v>
      </c>
      <c r="BG23" s="54">
        <f t="shared" si="87"/>
        <v>0.91</v>
      </c>
      <c r="BH23" s="54">
        <f t="shared" si="87"/>
        <v>0.89</v>
      </c>
      <c r="BI23" s="54">
        <f t="shared" si="87"/>
        <v>0.87</v>
      </c>
      <c r="BJ23" s="54">
        <f t="shared" si="87"/>
        <v>0.85</v>
      </c>
      <c r="BK23" s="54">
        <f t="shared" si="87"/>
        <v>0.83</v>
      </c>
      <c r="BL23" s="54">
        <f t="shared" si="87"/>
        <v>0.80999999999999994</v>
      </c>
      <c r="BM23" s="54">
        <f t="shared" si="87"/>
        <v>0.78999999999999992</v>
      </c>
      <c r="BN23" s="54">
        <f t="shared" si="87"/>
        <v>0.76999999999999991</v>
      </c>
      <c r="BO23" s="54">
        <f t="shared" si="87"/>
        <v>0.74999999999999989</v>
      </c>
      <c r="BP23" s="54">
        <f t="shared" si="87"/>
        <v>0.72999999999999987</v>
      </c>
      <c r="BQ23" s="54">
        <f t="shared" si="87"/>
        <v>0.70999999999999985</v>
      </c>
      <c r="BR23" s="54">
        <f t="shared" si="87"/>
        <v>0.68999999999999984</v>
      </c>
      <c r="BS23" s="54">
        <f t="shared" si="87"/>
        <v>0.66999999999999982</v>
      </c>
      <c r="BT23" s="54">
        <f t="shared" si="87"/>
        <v>0.6499999999999998</v>
      </c>
      <c r="BU23" s="54">
        <f t="shared" si="87"/>
        <v>0.62999999999999978</v>
      </c>
      <c r="BV23" s="54">
        <f t="shared" si="87"/>
        <v>0.60999999999999976</v>
      </c>
      <c r="BW23" s="54">
        <f t="shared" si="87"/>
        <v>0.58999999999999975</v>
      </c>
      <c r="BX23" s="54">
        <f t="shared" si="87"/>
        <v>0.56999999999999973</v>
      </c>
      <c r="BZ23" s="54">
        <f t="shared" si="88"/>
        <v>259198.94</v>
      </c>
      <c r="CA23" s="54">
        <f t="shared" si="89"/>
        <v>259198.94</v>
      </c>
      <c r="CB23" s="58">
        <f t="shared" si="90"/>
        <v>856859.85585200007</v>
      </c>
      <c r="CC23" s="54">
        <f t="shared" si="91"/>
        <v>251422.9718</v>
      </c>
      <c r="CD23" s="58">
        <f t="shared" si="92"/>
        <v>831154.06017644005</v>
      </c>
      <c r="CE23" s="54">
        <f t="shared" si="93"/>
        <v>246238.99299999999</v>
      </c>
      <c r="CF23" s="58">
        <f t="shared" si="94"/>
        <v>814016.8630594</v>
      </c>
      <c r="CG23" s="54">
        <f t="shared" si="21"/>
        <v>241055.01420000001</v>
      </c>
      <c r="CH23" s="58">
        <f t="shared" si="95"/>
        <v>796879.66594236006</v>
      </c>
      <c r="CI23" s="56">
        <f t="shared" si="22"/>
        <v>235871.03540000002</v>
      </c>
      <c r="CJ23" s="58">
        <f t="shared" si="96"/>
        <v>779742.46882532013</v>
      </c>
      <c r="CK23" s="54">
        <f t="shared" si="23"/>
        <v>230687.05660000001</v>
      </c>
      <c r="CL23" s="58">
        <f t="shared" si="97"/>
        <v>762605.27170828008</v>
      </c>
      <c r="CM23" s="56">
        <f t="shared" si="24"/>
        <v>225503.0778</v>
      </c>
      <c r="CN23" s="58">
        <f t="shared" si="98"/>
        <v>745468.07459124003</v>
      </c>
      <c r="CO23" s="59">
        <f t="shared" si="25"/>
        <v>220319.09899999999</v>
      </c>
      <c r="CP23" s="58">
        <f t="shared" si="99"/>
        <v>728330.87747419998</v>
      </c>
      <c r="CQ23" s="56">
        <f t="shared" si="26"/>
        <v>215135.1202</v>
      </c>
      <c r="CR23" s="58">
        <f t="shared" si="100"/>
        <v>711193.68035716005</v>
      </c>
      <c r="CS23" s="54">
        <f t="shared" si="27"/>
        <v>209951.14139999999</v>
      </c>
      <c r="CT23" s="58">
        <f t="shared" si="101"/>
        <v>694056.48324012</v>
      </c>
      <c r="CU23" s="59">
        <f t="shared" si="28"/>
        <v>204767.16259999998</v>
      </c>
      <c r="CV23" s="58">
        <f t="shared" si="102"/>
        <v>676919.28612307995</v>
      </c>
      <c r="CW23" s="59">
        <f t="shared" si="29"/>
        <v>199583.18379999997</v>
      </c>
      <c r="CX23" s="58">
        <f t="shared" si="103"/>
        <v>659782.0890060399</v>
      </c>
      <c r="CY23" s="59">
        <f t="shared" si="30"/>
        <v>194399.20499999999</v>
      </c>
      <c r="CZ23" s="58">
        <f t="shared" si="104"/>
        <v>642644.89188899996</v>
      </c>
      <c r="DA23" s="54">
        <f t="shared" si="31"/>
        <v>189215.22619999998</v>
      </c>
      <c r="DB23" s="58">
        <f t="shared" si="105"/>
        <v>625507.69477195991</v>
      </c>
      <c r="DC23" s="59">
        <f t="shared" si="32"/>
        <v>184031.24739999996</v>
      </c>
      <c r="DD23" s="58">
        <f t="shared" si="106"/>
        <v>608370.49765491986</v>
      </c>
      <c r="DE23" s="59">
        <f t="shared" si="33"/>
        <v>178847.26859999995</v>
      </c>
      <c r="DF23" s="58">
        <f t="shared" si="107"/>
        <v>591233.30053787981</v>
      </c>
      <c r="DG23" s="59">
        <f t="shared" si="34"/>
        <v>173663.28979999994</v>
      </c>
      <c r="DH23" s="58">
        <f t="shared" si="108"/>
        <v>574096.10342083976</v>
      </c>
      <c r="DI23" s="59">
        <f t="shared" si="35"/>
        <v>168479.31099999996</v>
      </c>
      <c r="DJ23" s="58">
        <f t="shared" si="109"/>
        <v>556958.90630379983</v>
      </c>
      <c r="DK23" s="54">
        <f t="shared" si="36"/>
        <v>163295.33219999995</v>
      </c>
      <c r="DL23" s="58">
        <f t="shared" si="110"/>
        <v>539821.70918675978</v>
      </c>
      <c r="DM23" s="59">
        <f t="shared" si="37"/>
        <v>158111.35339999993</v>
      </c>
      <c r="DN23" s="58">
        <f t="shared" si="111"/>
        <v>522684.51206971979</v>
      </c>
      <c r="DO23" s="59">
        <f t="shared" si="38"/>
        <v>152927.37459999992</v>
      </c>
      <c r="DP23" s="58">
        <f t="shared" si="112"/>
        <v>505547.31495267974</v>
      </c>
      <c r="DQ23" s="54">
        <f t="shared" si="39"/>
        <v>147743.39579999994</v>
      </c>
      <c r="DR23" s="58">
        <f t="shared" si="113"/>
        <v>488410.1178356398</v>
      </c>
      <c r="DU23" s="54">
        <v>1</v>
      </c>
      <c r="DV23" s="54">
        <v>0.97</v>
      </c>
      <c r="DW23" s="54">
        <v>0.95</v>
      </c>
      <c r="DX23" s="54">
        <v>0.93</v>
      </c>
      <c r="DY23" s="54">
        <f t="shared" si="114"/>
        <v>0.91</v>
      </c>
      <c r="DZ23" s="54">
        <f t="shared" si="114"/>
        <v>0.89</v>
      </c>
      <c r="EA23" s="54">
        <f t="shared" si="114"/>
        <v>0.87</v>
      </c>
      <c r="EB23" s="54">
        <f t="shared" si="114"/>
        <v>0.85</v>
      </c>
      <c r="EC23" s="54">
        <f t="shared" si="114"/>
        <v>0.83</v>
      </c>
      <c r="ED23" s="54">
        <f t="shared" si="114"/>
        <v>0.80999999999999994</v>
      </c>
      <c r="EE23" s="54">
        <f t="shared" si="114"/>
        <v>0.78999999999999992</v>
      </c>
      <c r="EF23" s="54">
        <f t="shared" si="114"/>
        <v>0.76999999999999991</v>
      </c>
      <c r="EG23" s="54">
        <f t="shared" si="114"/>
        <v>0.74999999999999989</v>
      </c>
      <c r="EH23" s="54">
        <f t="shared" si="114"/>
        <v>0.72999999999999987</v>
      </c>
      <c r="EI23" s="54">
        <f t="shared" si="114"/>
        <v>0.70999999999999985</v>
      </c>
      <c r="EJ23" s="54">
        <f t="shared" si="114"/>
        <v>0.68999999999999984</v>
      </c>
      <c r="EK23" s="54">
        <f t="shared" si="114"/>
        <v>0.66999999999999982</v>
      </c>
      <c r="EL23" s="54">
        <f t="shared" si="114"/>
        <v>0.6499999999999998</v>
      </c>
      <c r="EM23" s="54">
        <f t="shared" si="114"/>
        <v>0.62999999999999978</v>
      </c>
      <c r="EN23" s="54">
        <f t="shared" si="114"/>
        <v>0.60999999999999976</v>
      </c>
      <c r="EO23" s="54">
        <f t="shared" si="114"/>
        <v>0.58999999999999975</v>
      </c>
      <c r="EP23" s="54">
        <f t="shared" si="114"/>
        <v>0.56999999999999973</v>
      </c>
      <c r="ER23" s="54">
        <f t="shared" si="115"/>
        <v>235871.03540000002</v>
      </c>
      <c r="ES23" s="54">
        <f t="shared" si="116"/>
        <v>235871.03540000002</v>
      </c>
      <c r="ET23" s="58">
        <f t="shared" si="117"/>
        <v>779742.46882532013</v>
      </c>
      <c r="EU23" s="54">
        <f t="shared" si="118"/>
        <v>228794.90433800002</v>
      </c>
      <c r="EV23" s="58">
        <f t="shared" si="119"/>
        <v>756350.19476056052</v>
      </c>
      <c r="EW23" s="54">
        <f t="shared" si="120"/>
        <v>224077.48363</v>
      </c>
      <c r="EX23" s="58">
        <f t="shared" si="121"/>
        <v>740755.345384054</v>
      </c>
      <c r="EY23" s="54">
        <f t="shared" si="41"/>
        <v>219360.06292200004</v>
      </c>
      <c r="EZ23" s="58">
        <f t="shared" si="122"/>
        <v>725160.49600754771</v>
      </c>
      <c r="FA23" s="56">
        <f t="shared" si="42"/>
        <v>214642.64221400002</v>
      </c>
      <c r="FB23" s="58">
        <f t="shared" si="123"/>
        <v>709565.64663104131</v>
      </c>
      <c r="FC23" s="54">
        <f t="shared" si="43"/>
        <v>209925.22150600003</v>
      </c>
      <c r="FD23" s="58">
        <f t="shared" si="124"/>
        <v>693970.7972545349</v>
      </c>
      <c r="FE23" s="56">
        <f t="shared" si="44"/>
        <v>205207.80079800001</v>
      </c>
      <c r="FF23" s="58">
        <f t="shared" si="125"/>
        <v>678375.9478780285</v>
      </c>
      <c r="FG23" s="59">
        <f t="shared" si="45"/>
        <v>200490.38009000002</v>
      </c>
      <c r="FH23" s="58">
        <f t="shared" si="126"/>
        <v>662781.09850152209</v>
      </c>
      <c r="FI23" s="56">
        <f t="shared" si="46"/>
        <v>195772.959382</v>
      </c>
      <c r="FJ23" s="58">
        <f t="shared" si="127"/>
        <v>647186.24912501557</v>
      </c>
      <c r="FK23" s="54">
        <f t="shared" si="47"/>
        <v>191055.53867400001</v>
      </c>
      <c r="FL23" s="58">
        <f t="shared" si="128"/>
        <v>631591.39974850928</v>
      </c>
      <c r="FM23" s="59">
        <f t="shared" si="48"/>
        <v>186338.11796599999</v>
      </c>
      <c r="FN23" s="58">
        <f t="shared" si="129"/>
        <v>615996.55037200276</v>
      </c>
      <c r="FO23" s="59">
        <f t="shared" si="49"/>
        <v>181620.697258</v>
      </c>
      <c r="FP23" s="58">
        <f t="shared" si="130"/>
        <v>600401.70099549636</v>
      </c>
      <c r="FQ23" s="59">
        <f t="shared" si="50"/>
        <v>176903.27654999998</v>
      </c>
      <c r="FR23" s="58">
        <f t="shared" si="131"/>
        <v>584806.85161898995</v>
      </c>
      <c r="FS23" s="54">
        <f t="shared" si="51"/>
        <v>172185.85584199999</v>
      </c>
      <c r="FT23" s="58">
        <f t="shared" si="132"/>
        <v>569212.00224248355</v>
      </c>
      <c r="FU23" s="59">
        <f t="shared" si="52"/>
        <v>167468.43513399997</v>
      </c>
      <c r="FV23" s="58">
        <f t="shared" si="133"/>
        <v>553617.15286597714</v>
      </c>
      <c r="FW23" s="59">
        <f t="shared" si="53"/>
        <v>162751.01442599998</v>
      </c>
      <c r="FX23" s="58">
        <f t="shared" si="134"/>
        <v>538022.30348947074</v>
      </c>
      <c r="FY23" s="59">
        <f t="shared" si="54"/>
        <v>158033.59371799996</v>
      </c>
      <c r="FZ23" s="58">
        <f t="shared" si="135"/>
        <v>522427.45411296427</v>
      </c>
      <c r="GA23" s="59">
        <f t="shared" si="55"/>
        <v>153316.17300999997</v>
      </c>
      <c r="GB23" s="58">
        <f t="shared" si="136"/>
        <v>506832.60473645793</v>
      </c>
      <c r="GC23" s="54">
        <f t="shared" si="56"/>
        <v>148598.75230199995</v>
      </c>
      <c r="GD23" s="58">
        <f t="shared" si="137"/>
        <v>491237.75535995146</v>
      </c>
      <c r="GE23" s="59">
        <f t="shared" si="57"/>
        <v>143881.33159399996</v>
      </c>
      <c r="GF23" s="58">
        <f t="shared" si="138"/>
        <v>475642.90598344506</v>
      </c>
      <c r="GG23" s="59">
        <f t="shared" si="58"/>
        <v>139163.91088599994</v>
      </c>
      <c r="GH23" s="58">
        <f t="shared" si="139"/>
        <v>460048.0566069386</v>
      </c>
      <c r="GI23" s="54">
        <f t="shared" si="59"/>
        <v>134446.49017799995</v>
      </c>
      <c r="GJ23" s="58">
        <f t="shared" si="140"/>
        <v>444453.20723043225</v>
      </c>
      <c r="GK23" s="54"/>
      <c r="GL23" s="54"/>
      <c r="GM23" s="54">
        <v>1</v>
      </c>
      <c r="GN23" s="54">
        <v>0.97</v>
      </c>
      <c r="GO23" s="54">
        <v>0.95</v>
      </c>
      <c r="GP23" s="54">
        <v>0.93</v>
      </c>
      <c r="GQ23" s="54">
        <f t="shared" si="141"/>
        <v>0.91</v>
      </c>
      <c r="GR23" s="54">
        <f t="shared" si="141"/>
        <v>0.89</v>
      </c>
      <c r="GS23" s="54">
        <f t="shared" si="141"/>
        <v>0.87</v>
      </c>
      <c r="GT23" s="54">
        <f t="shared" si="141"/>
        <v>0.85</v>
      </c>
      <c r="GU23" s="54">
        <f t="shared" si="141"/>
        <v>0.83</v>
      </c>
      <c r="GV23" s="54">
        <f t="shared" si="141"/>
        <v>0.80999999999999994</v>
      </c>
      <c r="GW23" s="54">
        <f t="shared" si="141"/>
        <v>0.78999999999999992</v>
      </c>
      <c r="GX23" s="54">
        <f t="shared" si="141"/>
        <v>0.76999999999999991</v>
      </c>
      <c r="GY23" s="54">
        <f t="shared" si="141"/>
        <v>0.74999999999999989</v>
      </c>
      <c r="GZ23" s="54">
        <f t="shared" si="141"/>
        <v>0.72999999999999987</v>
      </c>
      <c r="HA23" s="54">
        <f t="shared" si="141"/>
        <v>0.70999999999999985</v>
      </c>
      <c r="HB23" s="54">
        <f t="shared" si="141"/>
        <v>0.68999999999999984</v>
      </c>
      <c r="HC23" s="54">
        <f t="shared" si="141"/>
        <v>0.66999999999999982</v>
      </c>
      <c r="HD23" s="54">
        <f t="shared" si="141"/>
        <v>0.6499999999999998</v>
      </c>
      <c r="HE23" s="54">
        <f t="shared" si="141"/>
        <v>0.62999999999999978</v>
      </c>
      <c r="HF23" s="54">
        <f t="shared" si="141"/>
        <v>0.60999999999999976</v>
      </c>
      <c r="HG23" s="54">
        <f t="shared" si="141"/>
        <v>0.58999999999999975</v>
      </c>
      <c r="HH23" s="54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9130</v>
      </c>
      <c r="E24" s="68">
        <f t="shared" si="0"/>
        <v>30180</v>
      </c>
      <c r="H24" s="54">
        <f t="shared" si="61"/>
        <v>33198</v>
      </c>
      <c r="I24" s="54">
        <f t="shared" si="62"/>
        <v>33198</v>
      </c>
      <c r="J24" s="58">
        <f t="shared" si="63"/>
        <v>109745.94840000001</v>
      </c>
      <c r="K24" s="54">
        <f t="shared" si="64"/>
        <v>32202.059999999998</v>
      </c>
      <c r="L24" s="58">
        <f t="shared" si="65"/>
        <v>106453.56994799999</v>
      </c>
      <c r="M24" s="54">
        <f t="shared" si="66"/>
        <v>31538.1</v>
      </c>
      <c r="N24" s="58">
        <f t="shared" si="67"/>
        <v>104258.65097999999</v>
      </c>
      <c r="O24" s="54">
        <f t="shared" si="1"/>
        <v>30874.140000000003</v>
      </c>
      <c r="P24" s="58">
        <f t="shared" si="68"/>
        <v>102063.73201200001</v>
      </c>
      <c r="Q24" s="56">
        <f t="shared" si="2"/>
        <v>30210.18</v>
      </c>
      <c r="R24" s="58">
        <f t="shared" si="69"/>
        <v>99868.81304400001</v>
      </c>
      <c r="S24" s="54">
        <f t="shared" si="3"/>
        <v>29546.22</v>
      </c>
      <c r="T24" s="58">
        <f t="shared" si="70"/>
        <v>97673.894076000011</v>
      </c>
      <c r="U24" s="56">
        <f t="shared" si="4"/>
        <v>28882.26</v>
      </c>
      <c r="V24" s="58">
        <f t="shared" si="71"/>
        <v>95478.975107999999</v>
      </c>
      <c r="W24" s="59">
        <f t="shared" si="5"/>
        <v>28218.3</v>
      </c>
      <c r="X24" s="58">
        <f t="shared" si="72"/>
        <v>93284.056140000001</v>
      </c>
      <c r="Y24" s="56">
        <f t="shared" si="6"/>
        <v>27554.34</v>
      </c>
      <c r="Z24" s="58">
        <f t="shared" si="73"/>
        <v>91089.137172000002</v>
      </c>
      <c r="AA24" s="54">
        <f t="shared" si="7"/>
        <v>26890.379999999997</v>
      </c>
      <c r="AB24" s="58">
        <f t="shared" si="74"/>
        <v>88894.21820399999</v>
      </c>
      <c r="AC24" s="59">
        <f t="shared" si="8"/>
        <v>26226.42</v>
      </c>
      <c r="AD24" s="58">
        <f t="shared" si="75"/>
        <v>86699.299235999992</v>
      </c>
      <c r="AE24" s="59">
        <f t="shared" si="9"/>
        <v>25562.459999999995</v>
      </c>
      <c r="AF24" s="58">
        <f t="shared" si="76"/>
        <v>84504.380267999994</v>
      </c>
      <c r="AG24" s="59">
        <f t="shared" si="10"/>
        <v>24898.499999999996</v>
      </c>
      <c r="AH24" s="58">
        <f t="shared" si="77"/>
        <v>82309.461299999995</v>
      </c>
      <c r="AI24" s="54">
        <f t="shared" si="11"/>
        <v>24234.539999999997</v>
      </c>
      <c r="AJ24" s="58">
        <f t="shared" si="78"/>
        <v>80114.542331999997</v>
      </c>
      <c r="AK24" s="59">
        <f t="shared" si="12"/>
        <v>23570.579999999994</v>
      </c>
      <c r="AL24" s="58">
        <f t="shared" si="79"/>
        <v>77919.623363999985</v>
      </c>
      <c r="AM24" s="59">
        <f t="shared" si="13"/>
        <v>22906.619999999995</v>
      </c>
      <c r="AN24" s="58">
        <f t="shared" si="80"/>
        <v>75724.704395999986</v>
      </c>
      <c r="AO24" s="59">
        <f t="shared" si="14"/>
        <v>22242.659999999993</v>
      </c>
      <c r="AP24" s="58">
        <f t="shared" si="81"/>
        <v>73529.785427999974</v>
      </c>
      <c r="AQ24" s="59">
        <f t="shared" si="15"/>
        <v>21578.699999999993</v>
      </c>
      <c r="AR24" s="58">
        <f t="shared" si="82"/>
        <v>71334.866459999976</v>
      </c>
      <c r="AS24" s="54">
        <f t="shared" si="16"/>
        <v>20914.739999999994</v>
      </c>
      <c r="AT24" s="58">
        <f t="shared" si="83"/>
        <v>69139.947491999978</v>
      </c>
      <c r="AU24" s="59">
        <f t="shared" si="17"/>
        <v>20250.779999999992</v>
      </c>
      <c r="AV24" s="58">
        <f t="shared" si="84"/>
        <v>66945.028523999979</v>
      </c>
      <c r="AW24" s="59">
        <f t="shared" si="18"/>
        <v>19586.819999999992</v>
      </c>
      <c r="AX24" s="58">
        <f t="shared" si="85"/>
        <v>64750.109555999974</v>
      </c>
      <c r="AY24" s="54">
        <f t="shared" si="19"/>
        <v>18922.85999999999</v>
      </c>
      <c r="AZ24" s="58">
        <f t="shared" si="86"/>
        <v>62555.190587999969</v>
      </c>
      <c r="BC24" s="54">
        <v>1</v>
      </c>
      <c r="BD24" s="54">
        <v>0.97</v>
      </c>
      <c r="BE24" s="54">
        <v>0.95</v>
      </c>
      <c r="BF24" s="54">
        <v>0.93</v>
      </c>
      <c r="BG24" s="54">
        <f t="shared" si="87"/>
        <v>0.91</v>
      </c>
      <c r="BH24" s="54">
        <f t="shared" si="87"/>
        <v>0.89</v>
      </c>
      <c r="BI24" s="54">
        <f t="shared" si="87"/>
        <v>0.87</v>
      </c>
      <c r="BJ24" s="54">
        <f t="shared" si="87"/>
        <v>0.85</v>
      </c>
      <c r="BK24" s="54">
        <f t="shared" si="87"/>
        <v>0.83</v>
      </c>
      <c r="BL24" s="54">
        <f t="shared" si="87"/>
        <v>0.80999999999999994</v>
      </c>
      <c r="BM24" s="54">
        <f t="shared" si="87"/>
        <v>0.78999999999999992</v>
      </c>
      <c r="BN24" s="54">
        <f t="shared" si="87"/>
        <v>0.76999999999999991</v>
      </c>
      <c r="BO24" s="54">
        <f t="shared" si="87"/>
        <v>0.74999999999999989</v>
      </c>
      <c r="BP24" s="54">
        <f t="shared" si="87"/>
        <v>0.72999999999999987</v>
      </c>
      <c r="BQ24" s="54">
        <f t="shared" si="87"/>
        <v>0.70999999999999985</v>
      </c>
      <c r="BR24" s="54">
        <f t="shared" si="87"/>
        <v>0.68999999999999984</v>
      </c>
      <c r="BS24" s="54">
        <f t="shared" si="87"/>
        <v>0.66999999999999982</v>
      </c>
      <c r="BT24" s="54">
        <f t="shared" si="87"/>
        <v>0.6499999999999998</v>
      </c>
      <c r="BU24" s="54">
        <f t="shared" si="87"/>
        <v>0.62999999999999978</v>
      </c>
      <c r="BV24" s="54">
        <f t="shared" si="87"/>
        <v>0.60999999999999976</v>
      </c>
      <c r="BW24" s="54">
        <f t="shared" si="87"/>
        <v>0.58999999999999975</v>
      </c>
      <c r="BX24" s="54">
        <f t="shared" si="87"/>
        <v>0.56999999999999973</v>
      </c>
      <c r="BZ24" s="54">
        <f t="shared" si="88"/>
        <v>30210.18</v>
      </c>
      <c r="CA24" s="54">
        <f t="shared" si="89"/>
        <v>30210.18</v>
      </c>
      <c r="CB24" s="58">
        <f t="shared" si="90"/>
        <v>99868.81304400001</v>
      </c>
      <c r="CC24" s="54">
        <f t="shared" si="91"/>
        <v>29303.874599999999</v>
      </c>
      <c r="CD24" s="58">
        <f t="shared" si="92"/>
        <v>96872.748652680006</v>
      </c>
      <c r="CE24" s="54">
        <f t="shared" si="93"/>
        <v>28699.670999999998</v>
      </c>
      <c r="CF24" s="58">
        <f t="shared" si="94"/>
        <v>94875.372391800003</v>
      </c>
      <c r="CG24" s="54">
        <f t="shared" si="21"/>
        <v>28095.467400000001</v>
      </c>
      <c r="CH24" s="58">
        <f t="shared" si="95"/>
        <v>92877.996130920001</v>
      </c>
      <c r="CI24" s="56">
        <f t="shared" si="22"/>
        <v>27491.263800000001</v>
      </c>
      <c r="CJ24" s="58">
        <f t="shared" si="96"/>
        <v>90880.619870039998</v>
      </c>
      <c r="CK24" s="54">
        <f t="shared" si="23"/>
        <v>26887.0602</v>
      </c>
      <c r="CL24" s="58">
        <f t="shared" si="97"/>
        <v>88883.243609159996</v>
      </c>
      <c r="CM24" s="56">
        <f t="shared" si="24"/>
        <v>26282.856599999999</v>
      </c>
      <c r="CN24" s="58">
        <f t="shared" si="98"/>
        <v>86885.867348279993</v>
      </c>
      <c r="CO24" s="59">
        <f t="shared" si="25"/>
        <v>25678.652999999998</v>
      </c>
      <c r="CP24" s="58">
        <f t="shared" si="99"/>
        <v>84888.491087399991</v>
      </c>
      <c r="CQ24" s="56">
        <f t="shared" si="26"/>
        <v>25074.449399999998</v>
      </c>
      <c r="CR24" s="58">
        <f t="shared" si="100"/>
        <v>82891.114826519988</v>
      </c>
      <c r="CS24" s="54">
        <f t="shared" si="27"/>
        <v>24470.245799999997</v>
      </c>
      <c r="CT24" s="58">
        <f t="shared" si="101"/>
        <v>80893.738565639986</v>
      </c>
      <c r="CU24" s="59">
        <f t="shared" si="28"/>
        <v>23866.042199999996</v>
      </c>
      <c r="CV24" s="58">
        <f t="shared" si="102"/>
        <v>78896.362304759983</v>
      </c>
      <c r="CW24" s="59">
        <f t="shared" si="29"/>
        <v>23261.838599999999</v>
      </c>
      <c r="CX24" s="58">
        <f t="shared" si="103"/>
        <v>76898.986043879995</v>
      </c>
      <c r="CY24" s="59">
        <f t="shared" si="30"/>
        <v>22657.634999999998</v>
      </c>
      <c r="CZ24" s="58">
        <f t="shared" si="104"/>
        <v>74901.609782999993</v>
      </c>
      <c r="DA24" s="54">
        <f t="shared" si="31"/>
        <v>22053.431399999998</v>
      </c>
      <c r="DB24" s="58">
        <f t="shared" si="105"/>
        <v>72904.23352211999</v>
      </c>
      <c r="DC24" s="59">
        <f t="shared" si="32"/>
        <v>21449.227799999997</v>
      </c>
      <c r="DD24" s="58">
        <f t="shared" si="106"/>
        <v>70906.857261239988</v>
      </c>
      <c r="DE24" s="59">
        <f t="shared" si="33"/>
        <v>20845.024199999996</v>
      </c>
      <c r="DF24" s="58">
        <f t="shared" si="107"/>
        <v>68909.481000359985</v>
      </c>
      <c r="DG24" s="59">
        <f t="shared" si="34"/>
        <v>20240.820599999995</v>
      </c>
      <c r="DH24" s="58">
        <f t="shared" si="108"/>
        <v>66912.104739479983</v>
      </c>
      <c r="DI24" s="59">
        <f t="shared" si="35"/>
        <v>19636.616999999995</v>
      </c>
      <c r="DJ24" s="58">
        <f t="shared" si="109"/>
        <v>64914.728478599987</v>
      </c>
      <c r="DK24" s="54">
        <f t="shared" si="36"/>
        <v>19032.413399999994</v>
      </c>
      <c r="DL24" s="58">
        <f t="shared" si="110"/>
        <v>62917.352217719985</v>
      </c>
      <c r="DM24" s="59">
        <f t="shared" si="37"/>
        <v>18428.209799999993</v>
      </c>
      <c r="DN24" s="58">
        <f t="shared" si="111"/>
        <v>60919.975956839982</v>
      </c>
      <c r="DO24" s="59">
        <f t="shared" si="38"/>
        <v>17824.006199999993</v>
      </c>
      <c r="DP24" s="58">
        <f t="shared" si="112"/>
        <v>58922.59969595998</v>
      </c>
      <c r="DQ24" s="54">
        <f t="shared" si="39"/>
        <v>17219.802599999992</v>
      </c>
      <c r="DR24" s="58">
        <f t="shared" si="113"/>
        <v>56925.223435079977</v>
      </c>
      <c r="DU24" s="54">
        <v>1</v>
      </c>
      <c r="DV24" s="54">
        <v>0.97</v>
      </c>
      <c r="DW24" s="54">
        <v>0.95</v>
      </c>
      <c r="DX24" s="54">
        <v>0.93</v>
      </c>
      <c r="DY24" s="54">
        <f t="shared" si="114"/>
        <v>0.91</v>
      </c>
      <c r="DZ24" s="54">
        <f t="shared" si="114"/>
        <v>0.89</v>
      </c>
      <c r="EA24" s="54">
        <f t="shared" si="114"/>
        <v>0.87</v>
      </c>
      <c r="EB24" s="54">
        <f t="shared" si="114"/>
        <v>0.85</v>
      </c>
      <c r="EC24" s="54">
        <f t="shared" si="114"/>
        <v>0.83</v>
      </c>
      <c r="ED24" s="54">
        <f t="shared" si="114"/>
        <v>0.80999999999999994</v>
      </c>
      <c r="EE24" s="54">
        <f t="shared" si="114"/>
        <v>0.78999999999999992</v>
      </c>
      <c r="EF24" s="54">
        <f t="shared" si="114"/>
        <v>0.76999999999999991</v>
      </c>
      <c r="EG24" s="54">
        <f t="shared" si="114"/>
        <v>0.74999999999999989</v>
      </c>
      <c r="EH24" s="54">
        <f t="shared" si="114"/>
        <v>0.72999999999999987</v>
      </c>
      <c r="EI24" s="54">
        <f t="shared" si="114"/>
        <v>0.70999999999999985</v>
      </c>
      <c r="EJ24" s="54">
        <f t="shared" si="114"/>
        <v>0.68999999999999984</v>
      </c>
      <c r="EK24" s="54">
        <f t="shared" si="114"/>
        <v>0.66999999999999982</v>
      </c>
      <c r="EL24" s="54">
        <f t="shared" si="114"/>
        <v>0.6499999999999998</v>
      </c>
      <c r="EM24" s="54">
        <f t="shared" si="114"/>
        <v>0.62999999999999978</v>
      </c>
      <c r="EN24" s="54">
        <f t="shared" si="114"/>
        <v>0.60999999999999976</v>
      </c>
      <c r="EO24" s="54">
        <f t="shared" si="114"/>
        <v>0.58999999999999975</v>
      </c>
      <c r="EP24" s="54">
        <f t="shared" si="114"/>
        <v>0.56999999999999973</v>
      </c>
      <c r="ER24" s="54">
        <f t="shared" si="115"/>
        <v>27491.263800000001</v>
      </c>
      <c r="ES24" s="54">
        <f t="shared" si="116"/>
        <v>27491.263800000001</v>
      </c>
      <c r="ET24" s="58">
        <f t="shared" si="117"/>
        <v>90880.619870039998</v>
      </c>
      <c r="EU24" s="54">
        <f t="shared" si="118"/>
        <v>26666.525885999999</v>
      </c>
      <c r="EV24" s="58">
        <f t="shared" si="119"/>
        <v>88154.201273938801</v>
      </c>
      <c r="EW24" s="54">
        <f t="shared" si="120"/>
        <v>26116.70061</v>
      </c>
      <c r="EX24" s="58">
        <f t="shared" si="121"/>
        <v>86336.588876538008</v>
      </c>
      <c r="EY24" s="54">
        <f t="shared" si="41"/>
        <v>25566.875334</v>
      </c>
      <c r="EZ24" s="58">
        <f t="shared" si="122"/>
        <v>84518.9764791372</v>
      </c>
      <c r="FA24" s="56">
        <f t="shared" si="42"/>
        <v>25017.050058000001</v>
      </c>
      <c r="FB24" s="58">
        <f t="shared" si="123"/>
        <v>82701.364081736407</v>
      </c>
      <c r="FC24" s="54">
        <f t="shared" si="43"/>
        <v>24467.224782000001</v>
      </c>
      <c r="FD24" s="58">
        <f t="shared" si="124"/>
        <v>80883.751684335599</v>
      </c>
      <c r="FE24" s="56">
        <f t="shared" si="44"/>
        <v>23917.399506000002</v>
      </c>
      <c r="FF24" s="58">
        <f t="shared" si="125"/>
        <v>79066.139286934806</v>
      </c>
      <c r="FG24" s="59">
        <f t="shared" si="45"/>
        <v>23367.574229999998</v>
      </c>
      <c r="FH24" s="58">
        <f t="shared" si="126"/>
        <v>77248.526889533998</v>
      </c>
      <c r="FI24" s="56">
        <f t="shared" si="46"/>
        <v>22817.748953999999</v>
      </c>
      <c r="FJ24" s="58">
        <f t="shared" si="127"/>
        <v>75430.914492133204</v>
      </c>
      <c r="FK24" s="54">
        <f t="shared" si="47"/>
        <v>22267.923677999999</v>
      </c>
      <c r="FL24" s="58">
        <f t="shared" si="128"/>
        <v>73613.302094732397</v>
      </c>
      <c r="FM24" s="59">
        <f t="shared" si="48"/>
        <v>21718.098402</v>
      </c>
      <c r="FN24" s="58">
        <f t="shared" si="129"/>
        <v>71795.689697331603</v>
      </c>
      <c r="FO24" s="59">
        <f t="shared" si="49"/>
        <v>21168.273125999996</v>
      </c>
      <c r="FP24" s="58">
        <f t="shared" si="130"/>
        <v>69978.077299930796</v>
      </c>
      <c r="FQ24" s="59">
        <f t="shared" si="50"/>
        <v>20618.447849999997</v>
      </c>
      <c r="FR24" s="58">
        <f t="shared" si="131"/>
        <v>68160.464902529988</v>
      </c>
      <c r="FS24" s="54">
        <f t="shared" si="51"/>
        <v>20068.622573999997</v>
      </c>
      <c r="FT24" s="58">
        <f t="shared" si="132"/>
        <v>66342.852505129194</v>
      </c>
      <c r="FU24" s="59">
        <f t="shared" si="52"/>
        <v>19518.797297999998</v>
      </c>
      <c r="FV24" s="58">
        <f t="shared" si="133"/>
        <v>64525.240107728394</v>
      </c>
      <c r="FW24" s="59">
        <f t="shared" si="53"/>
        <v>18968.972021999994</v>
      </c>
      <c r="FX24" s="58">
        <f t="shared" si="134"/>
        <v>62707.627710327586</v>
      </c>
      <c r="FY24" s="59">
        <f t="shared" si="54"/>
        <v>18419.146745999995</v>
      </c>
      <c r="FZ24" s="58">
        <f t="shared" si="135"/>
        <v>60890.015312926786</v>
      </c>
      <c r="GA24" s="59">
        <f t="shared" si="55"/>
        <v>17869.321469999995</v>
      </c>
      <c r="GB24" s="58">
        <f t="shared" si="136"/>
        <v>59072.402915525985</v>
      </c>
      <c r="GC24" s="54">
        <f t="shared" si="56"/>
        <v>17319.496193999996</v>
      </c>
      <c r="GD24" s="58">
        <f t="shared" si="137"/>
        <v>57254.790518125184</v>
      </c>
      <c r="GE24" s="59">
        <f t="shared" si="57"/>
        <v>16769.670917999993</v>
      </c>
      <c r="GF24" s="58">
        <f t="shared" si="138"/>
        <v>55437.178120724377</v>
      </c>
      <c r="GG24" s="59">
        <f t="shared" si="58"/>
        <v>16219.845641999993</v>
      </c>
      <c r="GH24" s="58">
        <f t="shared" si="139"/>
        <v>53619.565723323576</v>
      </c>
      <c r="GI24" s="54">
        <f t="shared" si="59"/>
        <v>15670.020365999993</v>
      </c>
      <c r="GJ24" s="58">
        <f t="shared" si="140"/>
        <v>51801.953325922783</v>
      </c>
      <c r="GK24" s="54"/>
      <c r="GL24" s="54"/>
      <c r="GM24" s="54">
        <v>1</v>
      </c>
      <c r="GN24" s="54">
        <v>0.97</v>
      </c>
      <c r="GO24" s="54">
        <v>0.95</v>
      </c>
      <c r="GP24" s="54">
        <v>0.93</v>
      </c>
      <c r="GQ24" s="54">
        <f t="shared" si="141"/>
        <v>0.91</v>
      </c>
      <c r="GR24" s="54">
        <f t="shared" si="141"/>
        <v>0.89</v>
      </c>
      <c r="GS24" s="54">
        <f t="shared" si="141"/>
        <v>0.87</v>
      </c>
      <c r="GT24" s="54">
        <f t="shared" si="141"/>
        <v>0.85</v>
      </c>
      <c r="GU24" s="54">
        <f t="shared" si="141"/>
        <v>0.83</v>
      </c>
      <c r="GV24" s="54">
        <f t="shared" si="141"/>
        <v>0.80999999999999994</v>
      </c>
      <c r="GW24" s="54">
        <f t="shared" si="141"/>
        <v>0.78999999999999992</v>
      </c>
      <c r="GX24" s="54">
        <f t="shared" si="141"/>
        <v>0.76999999999999991</v>
      </c>
      <c r="GY24" s="54">
        <f t="shared" si="141"/>
        <v>0.74999999999999989</v>
      </c>
      <c r="GZ24" s="54">
        <f t="shared" si="141"/>
        <v>0.72999999999999987</v>
      </c>
      <c r="HA24" s="54">
        <f t="shared" si="141"/>
        <v>0.70999999999999985</v>
      </c>
      <c r="HB24" s="54">
        <f t="shared" si="141"/>
        <v>0.68999999999999984</v>
      </c>
      <c r="HC24" s="54">
        <f t="shared" si="141"/>
        <v>0.66999999999999982</v>
      </c>
      <c r="HD24" s="54">
        <f t="shared" si="141"/>
        <v>0.6499999999999998</v>
      </c>
      <c r="HE24" s="54">
        <f t="shared" si="141"/>
        <v>0.62999999999999978</v>
      </c>
      <c r="HF24" s="54">
        <f t="shared" si="141"/>
        <v>0.60999999999999976</v>
      </c>
      <c r="HG24" s="54">
        <f t="shared" si="141"/>
        <v>0.58999999999999975</v>
      </c>
      <c r="HH24" s="54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27540</v>
      </c>
      <c r="E25" s="68">
        <f t="shared" si="0"/>
        <v>91040</v>
      </c>
      <c r="H25" s="54">
        <f t="shared" si="61"/>
        <v>100144.00000000001</v>
      </c>
      <c r="I25" s="54">
        <f t="shared" si="62"/>
        <v>100144.00000000001</v>
      </c>
      <c r="J25" s="58">
        <f t="shared" si="63"/>
        <v>331056.03520000004</v>
      </c>
      <c r="K25" s="54">
        <f t="shared" si="64"/>
        <v>97139.680000000008</v>
      </c>
      <c r="L25" s="58">
        <f t="shared" si="65"/>
        <v>321124.35414400004</v>
      </c>
      <c r="M25" s="54">
        <f t="shared" si="66"/>
        <v>95136.8</v>
      </c>
      <c r="N25" s="58">
        <f t="shared" si="67"/>
        <v>314503.23344000004</v>
      </c>
      <c r="O25" s="54">
        <f t="shared" si="1"/>
        <v>93133.920000000013</v>
      </c>
      <c r="P25" s="58">
        <f t="shared" si="68"/>
        <v>307882.11273600004</v>
      </c>
      <c r="Q25" s="56">
        <f t="shared" si="2"/>
        <v>91131.040000000023</v>
      </c>
      <c r="R25" s="58">
        <f t="shared" si="69"/>
        <v>301260.9920320001</v>
      </c>
      <c r="S25" s="54">
        <f t="shared" si="3"/>
        <v>89128.160000000018</v>
      </c>
      <c r="T25" s="58">
        <f t="shared" si="70"/>
        <v>294639.87132800004</v>
      </c>
      <c r="U25" s="56">
        <f t="shared" si="4"/>
        <v>87125.280000000013</v>
      </c>
      <c r="V25" s="58">
        <f t="shared" si="71"/>
        <v>288018.75062400004</v>
      </c>
      <c r="W25" s="59">
        <f t="shared" si="5"/>
        <v>85122.400000000009</v>
      </c>
      <c r="X25" s="58">
        <f t="shared" si="72"/>
        <v>281397.62992000004</v>
      </c>
      <c r="Y25" s="56">
        <f t="shared" si="6"/>
        <v>83119.520000000004</v>
      </c>
      <c r="Z25" s="58">
        <f t="shared" si="73"/>
        <v>274776.50921600003</v>
      </c>
      <c r="AA25" s="54">
        <f t="shared" si="7"/>
        <v>81116.639999999999</v>
      </c>
      <c r="AB25" s="58">
        <f t="shared" si="74"/>
        <v>268155.38851199998</v>
      </c>
      <c r="AC25" s="59">
        <f t="shared" si="8"/>
        <v>79113.760000000009</v>
      </c>
      <c r="AD25" s="58">
        <f t="shared" si="75"/>
        <v>261534.26780800003</v>
      </c>
      <c r="AE25" s="59">
        <f t="shared" si="9"/>
        <v>77110.880000000005</v>
      </c>
      <c r="AF25" s="58">
        <f t="shared" si="76"/>
        <v>254913.14710400003</v>
      </c>
      <c r="AG25" s="59">
        <f t="shared" si="10"/>
        <v>75108</v>
      </c>
      <c r="AH25" s="58">
        <f t="shared" si="77"/>
        <v>248292.0264</v>
      </c>
      <c r="AI25" s="54">
        <f t="shared" si="11"/>
        <v>73105.119999999995</v>
      </c>
      <c r="AJ25" s="58">
        <f t="shared" si="78"/>
        <v>241670.905696</v>
      </c>
      <c r="AK25" s="59">
        <f t="shared" si="12"/>
        <v>71102.239999999991</v>
      </c>
      <c r="AL25" s="58">
        <f t="shared" si="79"/>
        <v>235049.78499199997</v>
      </c>
      <c r="AM25" s="59">
        <f t="shared" si="13"/>
        <v>69099.360000000001</v>
      </c>
      <c r="AN25" s="58">
        <f t="shared" si="80"/>
        <v>228428.664288</v>
      </c>
      <c r="AO25" s="59">
        <f t="shared" si="14"/>
        <v>67096.479999999996</v>
      </c>
      <c r="AP25" s="58">
        <f t="shared" si="81"/>
        <v>221807.543584</v>
      </c>
      <c r="AQ25" s="59">
        <f t="shared" si="15"/>
        <v>65093.599999999991</v>
      </c>
      <c r="AR25" s="58">
        <f t="shared" si="82"/>
        <v>215186.42287999997</v>
      </c>
      <c r="AS25" s="54">
        <f t="shared" si="16"/>
        <v>63090.719999999987</v>
      </c>
      <c r="AT25" s="58">
        <f t="shared" si="83"/>
        <v>208565.30217599997</v>
      </c>
      <c r="AU25" s="59">
        <f t="shared" si="17"/>
        <v>61087.839999999982</v>
      </c>
      <c r="AV25" s="58">
        <f t="shared" si="84"/>
        <v>201944.18147199994</v>
      </c>
      <c r="AW25" s="59">
        <f t="shared" si="18"/>
        <v>59084.959999999985</v>
      </c>
      <c r="AX25" s="58">
        <f t="shared" si="85"/>
        <v>195323.06076799997</v>
      </c>
      <c r="AY25" s="54">
        <f t="shared" si="19"/>
        <v>57082.07999999998</v>
      </c>
      <c r="AZ25" s="58">
        <f t="shared" si="86"/>
        <v>188701.94006399994</v>
      </c>
      <c r="BC25" s="54">
        <v>1</v>
      </c>
      <c r="BD25" s="54">
        <v>0.97</v>
      </c>
      <c r="BE25" s="54">
        <v>0.95</v>
      </c>
      <c r="BF25" s="54">
        <v>0.93</v>
      </c>
      <c r="BG25" s="54">
        <f t="shared" si="87"/>
        <v>0.91</v>
      </c>
      <c r="BH25" s="54">
        <f t="shared" si="87"/>
        <v>0.89</v>
      </c>
      <c r="BI25" s="54">
        <f t="shared" si="87"/>
        <v>0.87</v>
      </c>
      <c r="BJ25" s="54">
        <f t="shared" si="87"/>
        <v>0.85</v>
      </c>
      <c r="BK25" s="54">
        <f t="shared" si="87"/>
        <v>0.83</v>
      </c>
      <c r="BL25" s="54">
        <f t="shared" si="87"/>
        <v>0.80999999999999994</v>
      </c>
      <c r="BM25" s="54">
        <f t="shared" si="87"/>
        <v>0.78999999999999992</v>
      </c>
      <c r="BN25" s="54">
        <f t="shared" si="87"/>
        <v>0.76999999999999991</v>
      </c>
      <c r="BO25" s="54">
        <f t="shared" si="87"/>
        <v>0.74999999999999989</v>
      </c>
      <c r="BP25" s="54">
        <f t="shared" si="87"/>
        <v>0.72999999999999987</v>
      </c>
      <c r="BQ25" s="54">
        <f t="shared" si="87"/>
        <v>0.70999999999999985</v>
      </c>
      <c r="BR25" s="54">
        <f t="shared" si="87"/>
        <v>0.68999999999999984</v>
      </c>
      <c r="BS25" s="54">
        <f t="shared" si="87"/>
        <v>0.66999999999999982</v>
      </c>
      <c r="BT25" s="54">
        <f t="shared" si="87"/>
        <v>0.6499999999999998</v>
      </c>
      <c r="BU25" s="54">
        <f t="shared" si="87"/>
        <v>0.62999999999999978</v>
      </c>
      <c r="BV25" s="54">
        <f t="shared" si="87"/>
        <v>0.60999999999999976</v>
      </c>
      <c r="BW25" s="54">
        <f t="shared" si="87"/>
        <v>0.58999999999999975</v>
      </c>
      <c r="BX25" s="54">
        <f t="shared" si="87"/>
        <v>0.56999999999999973</v>
      </c>
      <c r="BZ25" s="54">
        <f t="shared" si="88"/>
        <v>91131.040000000023</v>
      </c>
      <c r="CA25" s="54">
        <f t="shared" si="89"/>
        <v>91131.040000000023</v>
      </c>
      <c r="CB25" s="58">
        <f t="shared" si="90"/>
        <v>301260.9920320001</v>
      </c>
      <c r="CC25" s="54">
        <f t="shared" si="91"/>
        <v>88397.108800000016</v>
      </c>
      <c r="CD25" s="58">
        <f t="shared" si="92"/>
        <v>292223.16227104008</v>
      </c>
      <c r="CE25" s="54">
        <f t="shared" si="93"/>
        <v>86574.488000000012</v>
      </c>
      <c r="CF25" s="58">
        <f t="shared" si="94"/>
        <v>286197.94243040006</v>
      </c>
      <c r="CG25" s="54">
        <f t="shared" si="21"/>
        <v>84751.867200000022</v>
      </c>
      <c r="CH25" s="58">
        <f t="shared" si="95"/>
        <v>280172.72258976009</v>
      </c>
      <c r="CI25" s="56">
        <f t="shared" si="22"/>
        <v>82929.246400000018</v>
      </c>
      <c r="CJ25" s="58">
        <f t="shared" si="96"/>
        <v>274147.50274912006</v>
      </c>
      <c r="CK25" s="54">
        <f t="shared" si="23"/>
        <v>81106.625600000028</v>
      </c>
      <c r="CL25" s="58">
        <f t="shared" si="97"/>
        <v>268122.28290848009</v>
      </c>
      <c r="CM25" s="56">
        <f t="shared" si="24"/>
        <v>79284.004800000024</v>
      </c>
      <c r="CN25" s="58">
        <f t="shared" si="98"/>
        <v>262097.06306784009</v>
      </c>
      <c r="CO25" s="59">
        <f t="shared" si="25"/>
        <v>77461.38400000002</v>
      </c>
      <c r="CP25" s="58">
        <f t="shared" si="99"/>
        <v>256071.84322720006</v>
      </c>
      <c r="CQ25" s="56">
        <f t="shared" si="26"/>
        <v>75638.763200000016</v>
      </c>
      <c r="CR25" s="58">
        <f t="shared" si="100"/>
        <v>250046.62338656007</v>
      </c>
      <c r="CS25" s="54">
        <f t="shared" si="27"/>
        <v>73816.142400000012</v>
      </c>
      <c r="CT25" s="58">
        <f t="shared" si="101"/>
        <v>244021.40354592004</v>
      </c>
      <c r="CU25" s="59">
        <f t="shared" si="28"/>
        <v>71993.521600000007</v>
      </c>
      <c r="CV25" s="58">
        <f t="shared" si="102"/>
        <v>237996.18370528004</v>
      </c>
      <c r="CW25" s="59">
        <f t="shared" si="29"/>
        <v>70170.900800000003</v>
      </c>
      <c r="CX25" s="58">
        <f t="shared" si="103"/>
        <v>231970.96386464001</v>
      </c>
      <c r="CY25" s="59">
        <f t="shared" si="30"/>
        <v>68348.280000000013</v>
      </c>
      <c r="CZ25" s="58">
        <f t="shared" si="104"/>
        <v>225945.74402400004</v>
      </c>
      <c r="DA25" s="54">
        <f t="shared" si="31"/>
        <v>66525.659200000009</v>
      </c>
      <c r="DB25" s="58">
        <f t="shared" si="105"/>
        <v>219920.52418336004</v>
      </c>
      <c r="DC25" s="59">
        <f t="shared" si="32"/>
        <v>64703.038400000005</v>
      </c>
      <c r="DD25" s="58">
        <f t="shared" si="106"/>
        <v>213895.30434272002</v>
      </c>
      <c r="DE25" s="59">
        <f t="shared" si="33"/>
        <v>62880.417600000001</v>
      </c>
      <c r="DF25" s="58">
        <f t="shared" si="107"/>
        <v>207870.08450208002</v>
      </c>
      <c r="DG25" s="59">
        <f t="shared" si="34"/>
        <v>61057.796799999996</v>
      </c>
      <c r="DH25" s="58">
        <f t="shared" si="108"/>
        <v>201844.86466143999</v>
      </c>
      <c r="DI25" s="59">
        <f t="shared" si="35"/>
        <v>59235.175999999999</v>
      </c>
      <c r="DJ25" s="58">
        <f t="shared" si="109"/>
        <v>195819.64482079999</v>
      </c>
      <c r="DK25" s="54">
        <f t="shared" si="36"/>
        <v>57412.555199999995</v>
      </c>
      <c r="DL25" s="58">
        <f t="shared" si="110"/>
        <v>189794.42498015999</v>
      </c>
      <c r="DM25" s="59">
        <f t="shared" si="37"/>
        <v>55589.934399999991</v>
      </c>
      <c r="DN25" s="58">
        <f t="shared" si="111"/>
        <v>183769.20513951997</v>
      </c>
      <c r="DO25" s="59">
        <f t="shared" si="38"/>
        <v>53767.313599999987</v>
      </c>
      <c r="DP25" s="58">
        <f t="shared" si="112"/>
        <v>177743.98529887997</v>
      </c>
      <c r="DQ25" s="54">
        <f t="shared" si="39"/>
        <v>51944.69279999999</v>
      </c>
      <c r="DR25" s="58">
        <f t="shared" si="113"/>
        <v>171718.76545823997</v>
      </c>
      <c r="DU25" s="54">
        <v>1</v>
      </c>
      <c r="DV25" s="54">
        <v>0.97</v>
      </c>
      <c r="DW25" s="54">
        <v>0.95</v>
      </c>
      <c r="DX25" s="54">
        <v>0.93</v>
      </c>
      <c r="DY25" s="54">
        <f t="shared" si="114"/>
        <v>0.91</v>
      </c>
      <c r="DZ25" s="54">
        <f t="shared" si="114"/>
        <v>0.89</v>
      </c>
      <c r="EA25" s="54">
        <f t="shared" si="114"/>
        <v>0.87</v>
      </c>
      <c r="EB25" s="54">
        <f t="shared" si="114"/>
        <v>0.85</v>
      </c>
      <c r="EC25" s="54">
        <f t="shared" si="114"/>
        <v>0.83</v>
      </c>
      <c r="ED25" s="54">
        <f t="shared" si="114"/>
        <v>0.80999999999999994</v>
      </c>
      <c r="EE25" s="54">
        <f t="shared" si="114"/>
        <v>0.78999999999999992</v>
      </c>
      <c r="EF25" s="54">
        <f t="shared" si="114"/>
        <v>0.76999999999999991</v>
      </c>
      <c r="EG25" s="54">
        <f t="shared" si="114"/>
        <v>0.74999999999999989</v>
      </c>
      <c r="EH25" s="54">
        <f t="shared" si="114"/>
        <v>0.72999999999999987</v>
      </c>
      <c r="EI25" s="54">
        <f t="shared" si="114"/>
        <v>0.70999999999999985</v>
      </c>
      <c r="EJ25" s="54">
        <f t="shared" si="114"/>
        <v>0.68999999999999984</v>
      </c>
      <c r="EK25" s="54">
        <f t="shared" si="114"/>
        <v>0.66999999999999982</v>
      </c>
      <c r="EL25" s="54">
        <f t="shared" si="114"/>
        <v>0.6499999999999998</v>
      </c>
      <c r="EM25" s="54">
        <f t="shared" si="114"/>
        <v>0.62999999999999978</v>
      </c>
      <c r="EN25" s="54">
        <f t="shared" si="114"/>
        <v>0.60999999999999976</v>
      </c>
      <c r="EO25" s="54">
        <f t="shared" si="114"/>
        <v>0.58999999999999975</v>
      </c>
      <c r="EP25" s="54">
        <f t="shared" si="114"/>
        <v>0.56999999999999973</v>
      </c>
      <c r="ER25" s="54">
        <f t="shared" si="115"/>
        <v>82929.246400000018</v>
      </c>
      <c r="ES25" s="54">
        <f t="shared" si="116"/>
        <v>82929.246400000018</v>
      </c>
      <c r="ET25" s="58">
        <f t="shared" si="117"/>
        <v>274147.50274912006</v>
      </c>
      <c r="EU25" s="54">
        <f t="shared" si="118"/>
        <v>80441.369008000009</v>
      </c>
      <c r="EV25" s="58">
        <f t="shared" si="119"/>
        <v>265923.07766664645</v>
      </c>
      <c r="EW25" s="54">
        <f t="shared" si="120"/>
        <v>78782.784080000012</v>
      </c>
      <c r="EX25" s="58">
        <f t="shared" si="121"/>
        <v>260440.12761166404</v>
      </c>
      <c r="EY25" s="54">
        <f t="shared" si="41"/>
        <v>77124.199152000016</v>
      </c>
      <c r="EZ25" s="58">
        <f t="shared" si="122"/>
        <v>254957.17755668165</v>
      </c>
      <c r="FA25" s="56">
        <f t="shared" si="42"/>
        <v>75465.614224000019</v>
      </c>
      <c r="FB25" s="58">
        <f t="shared" si="123"/>
        <v>249474.22750169926</v>
      </c>
      <c r="FC25" s="54">
        <f t="shared" si="43"/>
        <v>73807.029296000022</v>
      </c>
      <c r="FD25" s="58">
        <f t="shared" si="124"/>
        <v>243991.27744671688</v>
      </c>
      <c r="FE25" s="56">
        <f t="shared" si="44"/>
        <v>72148.444368000011</v>
      </c>
      <c r="FF25" s="58">
        <f t="shared" si="125"/>
        <v>238508.32739173443</v>
      </c>
      <c r="FG25" s="59">
        <f t="shared" si="45"/>
        <v>70489.859440000015</v>
      </c>
      <c r="FH25" s="58">
        <f t="shared" si="126"/>
        <v>233025.37733675205</v>
      </c>
      <c r="FI25" s="56">
        <f t="shared" si="46"/>
        <v>68831.274512000018</v>
      </c>
      <c r="FJ25" s="58">
        <f t="shared" si="127"/>
        <v>227542.42728176966</v>
      </c>
      <c r="FK25" s="54">
        <f t="shared" si="47"/>
        <v>67172.689584000007</v>
      </c>
      <c r="FL25" s="58">
        <f t="shared" si="128"/>
        <v>222059.47722678722</v>
      </c>
      <c r="FM25" s="59">
        <f t="shared" si="48"/>
        <v>65514.10465600001</v>
      </c>
      <c r="FN25" s="58">
        <f t="shared" si="129"/>
        <v>216576.52717180483</v>
      </c>
      <c r="FO25" s="59">
        <f t="shared" si="49"/>
        <v>63855.519728000007</v>
      </c>
      <c r="FP25" s="58">
        <f t="shared" si="130"/>
        <v>211093.57711682242</v>
      </c>
      <c r="FQ25" s="59">
        <f t="shared" si="50"/>
        <v>62196.934800000003</v>
      </c>
      <c r="FR25" s="58">
        <f t="shared" si="131"/>
        <v>205610.62706184</v>
      </c>
      <c r="FS25" s="54">
        <f t="shared" si="51"/>
        <v>60538.349872000006</v>
      </c>
      <c r="FT25" s="58">
        <f t="shared" si="132"/>
        <v>200127.67700685762</v>
      </c>
      <c r="FU25" s="59">
        <f t="shared" si="52"/>
        <v>58879.764944000002</v>
      </c>
      <c r="FV25" s="58">
        <f t="shared" si="133"/>
        <v>194644.7269518752</v>
      </c>
      <c r="FW25" s="59">
        <f t="shared" si="53"/>
        <v>57221.180015999998</v>
      </c>
      <c r="FX25" s="58">
        <f t="shared" si="134"/>
        <v>189161.77689689278</v>
      </c>
      <c r="FY25" s="59">
        <f t="shared" si="54"/>
        <v>55562.595087999995</v>
      </c>
      <c r="FZ25" s="58">
        <f t="shared" si="135"/>
        <v>183678.8268419104</v>
      </c>
      <c r="GA25" s="59">
        <f t="shared" si="55"/>
        <v>53904.010159999998</v>
      </c>
      <c r="GB25" s="58">
        <f t="shared" si="136"/>
        <v>178195.87678692798</v>
      </c>
      <c r="GC25" s="54">
        <f t="shared" si="56"/>
        <v>52245.425231999994</v>
      </c>
      <c r="GD25" s="58">
        <f t="shared" si="137"/>
        <v>172712.9267319456</v>
      </c>
      <c r="GE25" s="59">
        <f t="shared" si="57"/>
        <v>50586.84030399999</v>
      </c>
      <c r="GF25" s="58">
        <f t="shared" si="138"/>
        <v>167229.97667696318</v>
      </c>
      <c r="GG25" s="59">
        <f t="shared" si="58"/>
        <v>48928.255375999986</v>
      </c>
      <c r="GH25" s="58">
        <f t="shared" si="139"/>
        <v>161747.02662198077</v>
      </c>
      <c r="GI25" s="54">
        <f t="shared" si="59"/>
        <v>47269.67044799999</v>
      </c>
      <c r="GJ25" s="58">
        <f t="shared" si="140"/>
        <v>156264.07656699838</v>
      </c>
      <c r="GK25" s="54"/>
      <c r="GL25" s="54"/>
      <c r="GM25" s="54">
        <v>1</v>
      </c>
      <c r="GN25" s="54">
        <v>0.97</v>
      </c>
      <c r="GO25" s="54">
        <v>0.95</v>
      </c>
      <c r="GP25" s="54">
        <v>0.93</v>
      </c>
      <c r="GQ25" s="54">
        <f t="shared" si="141"/>
        <v>0.91</v>
      </c>
      <c r="GR25" s="54">
        <f t="shared" si="141"/>
        <v>0.89</v>
      </c>
      <c r="GS25" s="54">
        <f t="shared" si="141"/>
        <v>0.87</v>
      </c>
      <c r="GT25" s="54">
        <f t="shared" si="141"/>
        <v>0.85</v>
      </c>
      <c r="GU25" s="54">
        <f t="shared" si="141"/>
        <v>0.83</v>
      </c>
      <c r="GV25" s="54">
        <f t="shared" si="141"/>
        <v>0.80999999999999994</v>
      </c>
      <c r="GW25" s="54">
        <f t="shared" si="141"/>
        <v>0.78999999999999992</v>
      </c>
      <c r="GX25" s="54">
        <f t="shared" si="141"/>
        <v>0.76999999999999991</v>
      </c>
      <c r="GY25" s="54">
        <f t="shared" si="141"/>
        <v>0.74999999999999989</v>
      </c>
      <c r="GZ25" s="54">
        <f t="shared" si="141"/>
        <v>0.72999999999999987</v>
      </c>
      <c r="HA25" s="54">
        <f t="shared" si="141"/>
        <v>0.70999999999999985</v>
      </c>
      <c r="HB25" s="54">
        <f t="shared" si="141"/>
        <v>0.68999999999999984</v>
      </c>
      <c r="HC25" s="54">
        <f t="shared" si="141"/>
        <v>0.66999999999999982</v>
      </c>
      <c r="HD25" s="54">
        <f t="shared" si="141"/>
        <v>0.6499999999999998</v>
      </c>
      <c r="HE25" s="54">
        <f t="shared" si="141"/>
        <v>0.62999999999999978</v>
      </c>
      <c r="HF25" s="54">
        <f t="shared" si="141"/>
        <v>0.60999999999999976</v>
      </c>
      <c r="HG25" s="54">
        <f t="shared" si="141"/>
        <v>0.58999999999999975</v>
      </c>
      <c r="HH25" s="54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7480</v>
      </c>
      <c r="E26" s="68">
        <f t="shared" si="0"/>
        <v>24720</v>
      </c>
      <c r="H26" s="54">
        <f t="shared" si="61"/>
        <v>27192.000000000004</v>
      </c>
      <c r="I26" s="54">
        <f t="shared" si="62"/>
        <v>27192.000000000004</v>
      </c>
      <c r="J26" s="58">
        <f t="shared" si="63"/>
        <v>89891.313600000009</v>
      </c>
      <c r="K26" s="54">
        <f t="shared" si="64"/>
        <v>26376.240000000002</v>
      </c>
      <c r="L26" s="58">
        <f t="shared" si="65"/>
        <v>87194.574192</v>
      </c>
      <c r="M26" s="54">
        <f t="shared" si="66"/>
        <v>25832.400000000001</v>
      </c>
      <c r="N26" s="58">
        <f t="shared" si="67"/>
        <v>85396.747920000009</v>
      </c>
      <c r="O26" s="54">
        <f t="shared" si="1"/>
        <v>25288.560000000005</v>
      </c>
      <c r="P26" s="58">
        <f t="shared" si="68"/>
        <v>83598.921648000018</v>
      </c>
      <c r="Q26" s="56">
        <f t="shared" si="2"/>
        <v>24744.720000000005</v>
      </c>
      <c r="R26" s="58">
        <f t="shared" si="69"/>
        <v>81801.095376000012</v>
      </c>
      <c r="S26" s="54">
        <f t="shared" si="3"/>
        <v>24200.880000000005</v>
      </c>
      <c r="T26" s="58">
        <f t="shared" si="70"/>
        <v>80003.269104000021</v>
      </c>
      <c r="U26" s="56">
        <f t="shared" si="4"/>
        <v>23657.040000000005</v>
      </c>
      <c r="V26" s="58">
        <f t="shared" si="71"/>
        <v>78205.442832000015</v>
      </c>
      <c r="W26" s="59">
        <f t="shared" si="5"/>
        <v>23113.200000000001</v>
      </c>
      <c r="X26" s="58">
        <f t="shared" si="72"/>
        <v>76407.616560000009</v>
      </c>
      <c r="Y26" s="56">
        <f t="shared" si="6"/>
        <v>22569.360000000001</v>
      </c>
      <c r="Z26" s="58">
        <f t="shared" si="73"/>
        <v>74609.790288000004</v>
      </c>
      <c r="AA26" s="54">
        <f t="shared" si="7"/>
        <v>22025.52</v>
      </c>
      <c r="AB26" s="58">
        <f t="shared" si="74"/>
        <v>72811.964015999998</v>
      </c>
      <c r="AC26" s="59">
        <f t="shared" si="8"/>
        <v>21481.68</v>
      </c>
      <c r="AD26" s="58">
        <f t="shared" si="75"/>
        <v>71014.137744000007</v>
      </c>
      <c r="AE26" s="59">
        <f t="shared" si="9"/>
        <v>20937.84</v>
      </c>
      <c r="AF26" s="58">
        <f t="shared" si="76"/>
        <v>69216.311472000001</v>
      </c>
      <c r="AG26" s="59">
        <f t="shared" si="10"/>
        <v>20394</v>
      </c>
      <c r="AH26" s="58">
        <f t="shared" si="77"/>
        <v>67418.485199999996</v>
      </c>
      <c r="AI26" s="54">
        <f t="shared" si="11"/>
        <v>19850.16</v>
      </c>
      <c r="AJ26" s="58">
        <f t="shared" si="78"/>
        <v>65620.658928000004</v>
      </c>
      <c r="AK26" s="59">
        <f t="shared" si="12"/>
        <v>19306.32</v>
      </c>
      <c r="AL26" s="58">
        <f t="shared" si="79"/>
        <v>63822.832655999999</v>
      </c>
      <c r="AM26" s="59">
        <f t="shared" si="13"/>
        <v>18762.48</v>
      </c>
      <c r="AN26" s="58">
        <f t="shared" si="80"/>
        <v>62025.006384</v>
      </c>
      <c r="AO26" s="59">
        <f t="shared" si="14"/>
        <v>18218.639999999996</v>
      </c>
      <c r="AP26" s="58">
        <f t="shared" si="81"/>
        <v>60227.180111999987</v>
      </c>
      <c r="AQ26" s="59">
        <f t="shared" si="15"/>
        <v>17674.799999999996</v>
      </c>
      <c r="AR26" s="58">
        <f t="shared" si="82"/>
        <v>58429.353839999989</v>
      </c>
      <c r="AS26" s="54">
        <f t="shared" si="16"/>
        <v>17130.959999999995</v>
      </c>
      <c r="AT26" s="58">
        <f t="shared" si="83"/>
        <v>56631.527567999983</v>
      </c>
      <c r="AU26" s="59">
        <f t="shared" si="17"/>
        <v>16587.119999999995</v>
      </c>
      <c r="AV26" s="58">
        <f t="shared" si="84"/>
        <v>54833.701295999985</v>
      </c>
      <c r="AW26" s="59">
        <f t="shared" si="18"/>
        <v>16043.279999999995</v>
      </c>
      <c r="AX26" s="58">
        <f t="shared" si="85"/>
        <v>53035.875023999986</v>
      </c>
      <c r="AY26" s="54">
        <f t="shared" si="19"/>
        <v>15499.439999999995</v>
      </c>
      <c r="AZ26" s="58">
        <f t="shared" si="86"/>
        <v>51238.048751999988</v>
      </c>
      <c r="BC26" s="54">
        <v>1</v>
      </c>
      <c r="BD26" s="54">
        <v>0.97</v>
      </c>
      <c r="BE26" s="54">
        <v>0.95</v>
      </c>
      <c r="BF26" s="54">
        <v>0.93</v>
      </c>
      <c r="BG26" s="54">
        <f t="shared" si="87"/>
        <v>0.91</v>
      </c>
      <c r="BH26" s="54">
        <f t="shared" si="87"/>
        <v>0.89</v>
      </c>
      <c r="BI26" s="54">
        <f t="shared" si="87"/>
        <v>0.87</v>
      </c>
      <c r="BJ26" s="54">
        <f t="shared" si="87"/>
        <v>0.85</v>
      </c>
      <c r="BK26" s="54">
        <f t="shared" si="87"/>
        <v>0.83</v>
      </c>
      <c r="BL26" s="54">
        <f t="shared" si="87"/>
        <v>0.80999999999999994</v>
      </c>
      <c r="BM26" s="54">
        <f t="shared" si="87"/>
        <v>0.78999999999999992</v>
      </c>
      <c r="BN26" s="54">
        <f t="shared" si="87"/>
        <v>0.76999999999999991</v>
      </c>
      <c r="BO26" s="54">
        <f t="shared" si="87"/>
        <v>0.74999999999999989</v>
      </c>
      <c r="BP26" s="54">
        <f t="shared" si="87"/>
        <v>0.72999999999999987</v>
      </c>
      <c r="BQ26" s="54">
        <f t="shared" si="87"/>
        <v>0.70999999999999985</v>
      </c>
      <c r="BR26" s="54">
        <f t="shared" si="87"/>
        <v>0.68999999999999984</v>
      </c>
      <c r="BS26" s="54">
        <f t="shared" si="87"/>
        <v>0.66999999999999982</v>
      </c>
      <c r="BT26" s="54">
        <f t="shared" si="87"/>
        <v>0.6499999999999998</v>
      </c>
      <c r="BU26" s="54">
        <f t="shared" si="87"/>
        <v>0.62999999999999978</v>
      </c>
      <c r="BV26" s="54">
        <f t="shared" si="87"/>
        <v>0.60999999999999976</v>
      </c>
      <c r="BW26" s="54">
        <f t="shared" si="87"/>
        <v>0.58999999999999975</v>
      </c>
      <c r="BX26" s="54">
        <f t="shared" si="87"/>
        <v>0.56999999999999973</v>
      </c>
      <c r="BZ26" s="54">
        <f t="shared" si="88"/>
        <v>24744.720000000005</v>
      </c>
      <c r="CA26" s="54">
        <f t="shared" si="89"/>
        <v>24744.720000000005</v>
      </c>
      <c r="CB26" s="58">
        <f t="shared" si="90"/>
        <v>81801.095376000012</v>
      </c>
      <c r="CC26" s="54">
        <f t="shared" si="91"/>
        <v>24002.378400000005</v>
      </c>
      <c r="CD26" s="58">
        <f t="shared" si="92"/>
        <v>79347.062514720019</v>
      </c>
      <c r="CE26" s="54">
        <f t="shared" si="93"/>
        <v>23507.484000000004</v>
      </c>
      <c r="CF26" s="58">
        <f t="shared" si="94"/>
        <v>77711.040607200019</v>
      </c>
      <c r="CG26" s="54">
        <f t="shared" si="21"/>
        <v>23012.589600000007</v>
      </c>
      <c r="CH26" s="58">
        <f t="shared" si="95"/>
        <v>76075.018699680018</v>
      </c>
      <c r="CI26" s="56">
        <f t="shared" si="22"/>
        <v>22517.695200000006</v>
      </c>
      <c r="CJ26" s="58">
        <f t="shared" si="96"/>
        <v>74438.996792160018</v>
      </c>
      <c r="CK26" s="54">
        <f t="shared" si="23"/>
        <v>22022.800800000005</v>
      </c>
      <c r="CL26" s="58">
        <f t="shared" si="97"/>
        <v>72802.974884640018</v>
      </c>
      <c r="CM26" s="56">
        <f t="shared" si="24"/>
        <v>21527.906400000003</v>
      </c>
      <c r="CN26" s="58">
        <f t="shared" si="98"/>
        <v>71166.952977120018</v>
      </c>
      <c r="CO26" s="59">
        <f t="shared" si="25"/>
        <v>21033.012000000002</v>
      </c>
      <c r="CP26" s="58">
        <f t="shared" si="99"/>
        <v>69530.931069600003</v>
      </c>
      <c r="CQ26" s="56">
        <f t="shared" si="26"/>
        <v>20538.117600000001</v>
      </c>
      <c r="CR26" s="58">
        <f t="shared" si="100"/>
        <v>67894.909162080003</v>
      </c>
      <c r="CS26" s="54">
        <f t="shared" si="27"/>
        <v>20043.223200000004</v>
      </c>
      <c r="CT26" s="58">
        <f t="shared" si="101"/>
        <v>66258.887254560017</v>
      </c>
      <c r="CU26" s="59">
        <f t="shared" si="28"/>
        <v>19548.328800000003</v>
      </c>
      <c r="CV26" s="58">
        <f t="shared" si="102"/>
        <v>64622.86534704001</v>
      </c>
      <c r="CW26" s="59">
        <f t="shared" si="29"/>
        <v>19053.434400000002</v>
      </c>
      <c r="CX26" s="58">
        <f t="shared" si="103"/>
        <v>62986.843439520009</v>
      </c>
      <c r="CY26" s="59">
        <f t="shared" si="30"/>
        <v>18558.54</v>
      </c>
      <c r="CZ26" s="58">
        <f t="shared" si="104"/>
        <v>61350.821532000002</v>
      </c>
      <c r="DA26" s="54">
        <f t="shared" si="31"/>
        <v>18063.6456</v>
      </c>
      <c r="DB26" s="58">
        <f t="shared" si="105"/>
        <v>59714.799624480002</v>
      </c>
      <c r="DC26" s="59">
        <f t="shared" si="32"/>
        <v>17568.751199999999</v>
      </c>
      <c r="DD26" s="58">
        <f t="shared" si="106"/>
        <v>58078.777716959994</v>
      </c>
      <c r="DE26" s="59">
        <f t="shared" si="33"/>
        <v>17073.856799999998</v>
      </c>
      <c r="DF26" s="58">
        <f t="shared" si="107"/>
        <v>56442.755809439994</v>
      </c>
      <c r="DG26" s="59">
        <f t="shared" si="34"/>
        <v>16578.9624</v>
      </c>
      <c r="DH26" s="58">
        <f t="shared" si="108"/>
        <v>54806.733901920001</v>
      </c>
      <c r="DI26" s="59">
        <f t="shared" si="35"/>
        <v>16084.067999999997</v>
      </c>
      <c r="DJ26" s="58">
        <f t="shared" si="109"/>
        <v>53170.711994399993</v>
      </c>
      <c r="DK26" s="54">
        <f t="shared" si="36"/>
        <v>15589.173599999998</v>
      </c>
      <c r="DL26" s="58">
        <f t="shared" si="110"/>
        <v>51534.690086879993</v>
      </c>
      <c r="DM26" s="59">
        <f t="shared" si="37"/>
        <v>15094.279199999997</v>
      </c>
      <c r="DN26" s="58">
        <f t="shared" si="111"/>
        <v>49898.668179359993</v>
      </c>
      <c r="DO26" s="59">
        <f t="shared" si="38"/>
        <v>14599.384799999996</v>
      </c>
      <c r="DP26" s="58">
        <f t="shared" si="112"/>
        <v>48262.646271839985</v>
      </c>
      <c r="DQ26" s="54">
        <f t="shared" si="39"/>
        <v>14104.490399999995</v>
      </c>
      <c r="DR26" s="58">
        <f t="shared" si="113"/>
        <v>46626.624364319985</v>
      </c>
      <c r="DU26" s="54">
        <v>1</v>
      </c>
      <c r="DV26" s="54">
        <v>0.97</v>
      </c>
      <c r="DW26" s="54">
        <v>0.95</v>
      </c>
      <c r="DX26" s="54">
        <v>0.93</v>
      </c>
      <c r="DY26" s="54">
        <f t="shared" si="114"/>
        <v>0.91</v>
      </c>
      <c r="DZ26" s="54">
        <f t="shared" si="114"/>
        <v>0.89</v>
      </c>
      <c r="EA26" s="54">
        <f t="shared" si="114"/>
        <v>0.87</v>
      </c>
      <c r="EB26" s="54">
        <f t="shared" si="114"/>
        <v>0.85</v>
      </c>
      <c r="EC26" s="54">
        <f t="shared" si="114"/>
        <v>0.83</v>
      </c>
      <c r="ED26" s="54">
        <f t="shared" si="114"/>
        <v>0.80999999999999994</v>
      </c>
      <c r="EE26" s="54">
        <f t="shared" si="114"/>
        <v>0.78999999999999992</v>
      </c>
      <c r="EF26" s="54">
        <f t="shared" si="114"/>
        <v>0.76999999999999991</v>
      </c>
      <c r="EG26" s="54">
        <f t="shared" si="114"/>
        <v>0.74999999999999989</v>
      </c>
      <c r="EH26" s="54">
        <f t="shared" si="114"/>
        <v>0.72999999999999987</v>
      </c>
      <c r="EI26" s="54">
        <f t="shared" si="114"/>
        <v>0.70999999999999985</v>
      </c>
      <c r="EJ26" s="54">
        <f t="shared" si="114"/>
        <v>0.68999999999999984</v>
      </c>
      <c r="EK26" s="54">
        <f t="shared" si="114"/>
        <v>0.66999999999999982</v>
      </c>
      <c r="EL26" s="54">
        <f t="shared" si="114"/>
        <v>0.6499999999999998</v>
      </c>
      <c r="EM26" s="54">
        <f t="shared" si="114"/>
        <v>0.62999999999999978</v>
      </c>
      <c r="EN26" s="54">
        <f t="shared" si="114"/>
        <v>0.60999999999999976</v>
      </c>
      <c r="EO26" s="54">
        <f t="shared" si="114"/>
        <v>0.58999999999999975</v>
      </c>
      <c r="EP26" s="54">
        <f t="shared" si="114"/>
        <v>0.56999999999999973</v>
      </c>
      <c r="ER26" s="54">
        <f t="shared" si="115"/>
        <v>22517.695200000006</v>
      </c>
      <c r="ES26" s="54">
        <f t="shared" si="116"/>
        <v>22517.695200000006</v>
      </c>
      <c r="ET26" s="58">
        <f t="shared" si="117"/>
        <v>74438.996792160018</v>
      </c>
      <c r="EU26" s="54">
        <f t="shared" si="118"/>
        <v>21842.164344000004</v>
      </c>
      <c r="EV26" s="58">
        <f t="shared" si="119"/>
        <v>72205.826888395211</v>
      </c>
      <c r="EW26" s="54">
        <f t="shared" si="120"/>
        <v>21391.810440000005</v>
      </c>
      <c r="EX26" s="58">
        <f t="shared" si="121"/>
        <v>70717.046952552017</v>
      </c>
      <c r="EY26" s="54">
        <f t="shared" si="41"/>
        <v>20941.456536000005</v>
      </c>
      <c r="EZ26" s="58">
        <f t="shared" si="122"/>
        <v>69228.267016708822</v>
      </c>
      <c r="FA26" s="56">
        <f t="shared" si="42"/>
        <v>20491.102632000006</v>
      </c>
      <c r="FB26" s="58">
        <f t="shared" si="123"/>
        <v>67739.487080865627</v>
      </c>
      <c r="FC26" s="54">
        <f t="shared" si="43"/>
        <v>20040.748728000006</v>
      </c>
      <c r="FD26" s="58">
        <f t="shared" si="124"/>
        <v>66250.707145022418</v>
      </c>
      <c r="FE26" s="56">
        <f t="shared" si="44"/>
        <v>19590.394824000006</v>
      </c>
      <c r="FF26" s="58">
        <f t="shared" si="125"/>
        <v>64761.927209179223</v>
      </c>
      <c r="FG26" s="59">
        <f t="shared" si="45"/>
        <v>19140.040920000003</v>
      </c>
      <c r="FH26" s="58">
        <f t="shared" si="126"/>
        <v>63273.147273336013</v>
      </c>
      <c r="FI26" s="56">
        <f t="shared" si="46"/>
        <v>18689.687016000003</v>
      </c>
      <c r="FJ26" s="58">
        <f t="shared" si="127"/>
        <v>61784.367337492811</v>
      </c>
      <c r="FK26" s="54">
        <f t="shared" si="47"/>
        <v>18239.333112000004</v>
      </c>
      <c r="FL26" s="58">
        <f t="shared" si="128"/>
        <v>60295.587401649616</v>
      </c>
      <c r="FM26" s="59">
        <f t="shared" si="48"/>
        <v>17788.979208000004</v>
      </c>
      <c r="FN26" s="58">
        <f t="shared" si="129"/>
        <v>58806.807465806414</v>
      </c>
      <c r="FO26" s="59">
        <f t="shared" si="49"/>
        <v>17338.625304000001</v>
      </c>
      <c r="FP26" s="58">
        <f t="shared" si="130"/>
        <v>57318.027529963205</v>
      </c>
      <c r="FQ26" s="59">
        <f t="shared" si="50"/>
        <v>16888.271400000001</v>
      </c>
      <c r="FR26" s="58">
        <f t="shared" si="131"/>
        <v>55829.247594120003</v>
      </c>
      <c r="FS26" s="54">
        <f t="shared" si="51"/>
        <v>16437.917496000002</v>
      </c>
      <c r="FT26" s="58">
        <f t="shared" si="132"/>
        <v>54340.467658276808</v>
      </c>
      <c r="FU26" s="59">
        <f t="shared" si="52"/>
        <v>15987.563592</v>
      </c>
      <c r="FV26" s="58">
        <f t="shared" si="133"/>
        <v>52851.687722433606</v>
      </c>
      <c r="FW26" s="59">
        <f t="shared" si="53"/>
        <v>15537.209688000001</v>
      </c>
      <c r="FX26" s="58">
        <f t="shared" si="134"/>
        <v>51362.907786590404</v>
      </c>
      <c r="FY26" s="59">
        <f t="shared" si="54"/>
        <v>15086.855783999999</v>
      </c>
      <c r="FZ26" s="58">
        <f t="shared" si="135"/>
        <v>49874.127850747202</v>
      </c>
      <c r="GA26" s="59">
        <f t="shared" si="55"/>
        <v>14636.50188</v>
      </c>
      <c r="GB26" s="58">
        <f t="shared" si="136"/>
        <v>48385.347914903999</v>
      </c>
      <c r="GC26" s="54">
        <f t="shared" si="56"/>
        <v>14186.147975999998</v>
      </c>
      <c r="GD26" s="58">
        <f t="shared" si="137"/>
        <v>46896.567979060797</v>
      </c>
      <c r="GE26" s="59">
        <f t="shared" si="57"/>
        <v>13735.794071999999</v>
      </c>
      <c r="GF26" s="58">
        <f t="shared" si="138"/>
        <v>45407.788043217595</v>
      </c>
      <c r="GG26" s="59">
        <f t="shared" si="58"/>
        <v>13285.440167999997</v>
      </c>
      <c r="GH26" s="58">
        <f t="shared" si="139"/>
        <v>43919.008107374393</v>
      </c>
      <c r="GI26" s="54">
        <f t="shared" si="59"/>
        <v>12835.086263999998</v>
      </c>
      <c r="GJ26" s="58">
        <f t="shared" si="140"/>
        <v>42430.228171531191</v>
      </c>
      <c r="GK26" s="54"/>
      <c r="GL26" s="54"/>
      <c r="GM26" s="54">
        <v>1</v>
      </c>
      <c r="GN26" s="54">
        <v>0.97</v>
      </c>
      <c r="GO26" s="54">
        <v>0.95</v>
      </c>
      <c r="GP26" s="54">
        <v>0.93</v>
      </c>
      <c r="GQ26" s="54">
        <f t="shared" si="141"/>
        <v>0.91</v>
      </c>
      <c r="GR26" s="54">
        <f t="shared" si="141"/>
        <v>0.89</v>
      </c>
      <c r="GS26" s="54">
        <f t="shared" si="141"/>
        <v>0.87</v>
      </c>
      <c r="GT26" s="54">
        <f t="shared" si="141"/>
        <v>0.85</v>
      </c>
      <c r="GU26" s="54">
        <f t="shared" si="141"/>
        <v>0.83</v>
      </c>
      <c r="GV26" s="54">
        <f t="shared" si="141"/>
        <v>0.80999999999999994</v>
      </c>
      <c r="GW26" s="54">
        <f t="shared" si="141"/>
        <v>0.78999999999999992</v>
      </c>
      <c r="GX26" s="54">
        <f t="shared" si="141"/>
        <v>0.76999999999999991</v>
      </c>
      <c r="GY26" s="54">
        <f t="shared" si="141"/>
        <v>0.74999999999999989</v>
      </c>
      <c r="GZ26" s="54">
        <f t="shared" si="141"/>
        <v>0.72999999999999987</v>
      </c>
      <c r="HA26" s="54">
        <f t="shared" si="141"/>
        <v>0.70999999999999985</v>
      </c>
      <c r="HB26" s="54">
        <f t="shared" si="141"/>
        <v>0.68999999999999984</v>
      </c>
      <c r="HC26" s="54">
        <f t="shared" si="141"/>
        <v>0.66999999999999982</v>
      </c>
      <c r="HD26" s="54">
        <f t="shared" si="141"/>
        <v>0.6499999999999998</v>
      </c>
      <c r="HE26" s="54">
        <f t="shared" si="141"/>
        <v>0.62999999999999978</v>
      </c>
      <c r="HF26" s="54">
        <f t="shared" si="141"/>
        <v>0.60999999999999976</v>
      </c>
      <c r="HG26" s="54">
        <f t="shared" si="141"/>
        <v>0.58999999999999975</v>
      </c>
      <c r="HH26" s="54">
        <f t="shared" si="141"/>
        <v>0.56999999999999973</v>
      </c>
    </row>
    <row r="27" spans="1:216" x14ac:dyDescent="0.3">
      <c r="B27" s="2">
        <v>10</v>
      </c>
      <c r="C27" s="35" t="s">
        <v>154</v>
      </c>
      <c r="D27" s="53">
        <f>TRUNC(SUM(D18:D26)*0.275,-1)</f>
        <v>276830</v>
      </c>
      <c r="E27" s="69">
        <f t="shared" si="0"/>
        <v>915140</v>
      </c>
      <c r="H27" s="54">
        <f t="shared" si="61"/>
        <v>1006654.0000000001</v>
      </c>
      <c r="I27" s="54">
        <f t="shared" si="62"/>
        <v>1006654.0000000001</v>
      </c>
      <c r="J27" s="58">
        <f t="shared" si="63"/>
        <v>3327796.7932000007</v>
      </c>
      <c r="K27" s="54">
        <f t="shared" si="64"/>
        <v>976454.38000000012</v>
      </c>
      <c r="L27" s="58">
        <f t="shared" si="65"/>
        <v>3227962.8894040002</v>
      </c>
      <c r="M27" s="54">
        <f t="shared" si="66"/>
        <v>956321.3</v>
      </c>
      <c r="N27" s="58">
        <f t="shared" si="67"/>
        <v>3161406.9535400001</v>
      </c>
      <c r="O27" s="54">
        <f t="shared" si="1"/>
        <v>936188.2200000002</v>
      </c>
      <c r="P27" s="58">
        <f t="shared" si="68"/>
        <v>3094851.0176760009</v>
      </c>
      <c r="Q27" s="56">
        <f t="shared" si="2"/>
        <v>916055.14000000013</v>
      </c>
      <c r="R27" s="58">
        <f t="shared" si="69"/>
        <v>3028295.0818120004</v>
      </c>
      <c r="S27" s="54">
        <f t="shared" si="3"/>
        <v>895922.06000000017</v>
      </c>
      <c r="T27" s="58">
        <f t="shared" si="70"/>
        <v>2961739.1459480007</v>
      </c>
      <c r="U27" s="56">
        <f t="shared" si="4"/>
        <v>875788.9800000001</v>
      </c>
      <c r="V27" s="58">
        <f t="shared" si="71"/>
        <v>2895183.2100840006</v>
      </c>
      <c r="W27" s="59">
        <f t="shared" si="5"/>
        <v>855655.9</v>
      </c>
      <c r="X27" s="58">
        <f t="shared" si="72"/>
        <v>2828627.27422</v>
      </c>
      <c r="Y27" s="56">
        <f t="shared" si="6"/>
        <v>835522.82000000007</v>
      </c>
      <c r="Z27" s="58">
        <f t="shared" si="73"/>
        <v>2762071.3383560004</v>
      </c>
      <c r="AA27" s="54">
        <f t="shared" si="7"/>
        <v>815389.74</v>
      </c>
      <c r="AB27" s="58">
        <f t="shared" si="74"/>
        <v>2695515.4024920003</v>
      </c>
      <c r="AC27" s="59">
        <f t="shared" si="8"/>
        <v>795256.66</v>
      </c>
      <c r="AD27" s="58">
        <f t="shared" si="75"/>
        <v>2628959.4666280001</v>
      </c>
      <c r="AE27" s="59">
        <f t="shared" si="9"/>
        <v>775123.58</v>
      </c>
      <c r="AF27" s="58">
        <f t="shared" si="76"/>
        <v>2562403.530764</v>
      </c>
      <c r="AG27" s="59">
        <f t="shared" si="10"/>
        <v>754990.5</v>
      </c>
      <c r="AH27" s="58">
        <f t="shared" si="77"/>
        <v>2495847.5948999999</v>
      </c>
      <c r="AI27" s="54">
        <f t="shared" si="11"/>
        <v>734857.41999999993</v>
      </c>
      <c r="AJ27" s="58">
        <f t="shared" si="78"/>
        <v>2429291.6590359998</v>
      </c>
      <c r="AK27" s="59">
        <f t="shared" si="12"/>
        <v>714724.34</v>
      </c>
      <c r="AL27" s="58">
        <f t="shared" si="79"/>
        <v>2362735.7231720001</v>
      </c>
      <c r="AM27" s="59">
        <f t="shared" si="13"/>
        <v>694591.25999999989</v>
      </c>
      <c r="AN27" s="58">
        <f t="shared" si="80"/>
        <v>2296179.7873079996</v>
      </c>
      <c r="AO27" s="59">
        <f t="shared" si="14"/>
        <v>674458.17999999993</v>
      </c>
      <c r="AP27" s="58">
        <f t="shared" si="81"/>
        <v>2229623.8514439999</v>
      </c>
      <c r="AQ27" s="59">
        <f t="shared" si="15"/>
        <v>654325.09999999986</v>
      </c>
      <c r="AR27" s="58">
        <f t="shared" si="82"/>
        <v>2163067.9155799998</v>
      </c>
      <c r="AS27" s="54">
        <f t="shared" si="16"/>
        <v>634192.0199999999</v>
      </c>
      <c r="AT27" s="58">
        <f t="shared" si="83"/>
        <v>2096511.9797159997</v>
      </c>
      <c r="AU27" s="59">
        <f t="shared" si="17"/>
        <v>614058.93999999983</v>
      </c>
      <c r="AV27" s="58">
        <f t="shared" si="84"/>
        <v>2029956.0438519996</v>
      </c>
      <c r="AW27" s="59">
        <f t="shared" si="18"/>
        <v>593925.85999999987</v>
      </c>
      <c r="AX27" s="58">
        <f t="shared" si="85"/>
        <v>1963400.1079879997</v>
      </c>
      <c r="AY27" s="54">
        <f t="shared" si="19"/>
        <v>573792.7799999998</v>
      </c>
      <c r="AZ27" s="58">
        <f t="shared" si="86"/>
        <v>1896844.1721239993</v>
      </c>
      <c r="BC27" s="54">
        <v>1</v>
      </c>
      <c r="BD27" s="54">
        <v>0.97</v>
      </c>
      <c r="BE27" s="54">
        <v>0.95</v>
      </c>
      <c r="BF27" s="54">
        <v>0.93</v>
      </c>
      <c r="BG27" s="54">
        <f t="shared" si="87"/>
        <v>0.91</v>
      </c>
      <c r="BH27" s="54">
        <f t="shared" si="87"/>
        <v>0.89</v>
      </c>
      <c r="BI27" s="54">
        <f t="shared" si="87"/>
        <v>0.87</v>
      </c>
      <c r="BJ27" s="54">
        <f t="shared" si="87"/>
        <v>0.85</v>
      </c>
      <c r="BK27" s="54">
        <f t="shared" si="87"/>
        <v>0.83</v>
      </c>
      <c r="BL27" s="54">
        <f t="shared" si="87"/>
        <v>0.80999999999999994</v>
      </c>
      <c r="BM27" s="54">
        <f t="shared" si="87"/>
        <v>0.78999999999999992</v>
      </c>
      <c r="BN27" s="54">
        <f t="shared" si="87"/>
        <v>0.76999999999999991</v>
      </c>
      <c r="BO27" s="54">
        <f t="shared" si="87"/>
        <v>0.74999999999999989</v>
      </c>
      <c r="BP27" s="54">
        <f t="shared" si="87"/>
        <v>0.72999999999999987</v>
      </c>
      <c r="BQ27" s="54">
        <f t="shared" si="87"/>
        <v>0.70999999999999985</v>
      </c>
      <c r="BR27" s="54">
        <f t="shared" si="87"/>
        <v>0.68999999999999984</v>
      </c>
      <c r="BS27" s="54">
        <f t="shared" si="87"/>
        <v>0.66999999999999982</v>
      </c>
      <c r="BT27" s="54">
        <f t="shared" si="87"/>
        <v>0.6499999999999998</v>
      </c>
      <c r="BU27" s="54">
        <f t="shared" si="87"/>
        <v>0.62999999999999978</v>
      </c>
      <c r="BV27" s="54">
        <f t="shared" si="87"/>
        <v>0.60999999999999976</v>
      </c>
      <c r="BW27" s="54">
        <f t="shared" si="87"/>
        <v>0.58999999999999975</v>
      </c>
      <c r="BX27" s="54">
        <f t="shared" si="87"/>
        <v>0.56999999999999973</v>
      </c>
      <c r="BZ27" s="54">
        <f>+H27*0.7</f>
        <v>704657.8</v>
      </c>
      <c r="CA27" s="54">
        <f t="shared" si="89"/>
        <v>704657.8</v>
      </c>
      <c r="CB27" s="58">
        <f t="shared" si="90"/>
        <v>2329457.7552400003</v>
      </c>
      <c r="CC27" s="54">
        <f t="shared" si="91"/>
        <v>683518.06599999999</v>
      </c>
      <c r="CD27" s="58">
        <f t="shared" si="92"/>
        <v>2259574.0225828001</v>
      </c>
      <c r="CE27" s="54">
        <f t="shared" si="93"/>
        <v>669424.91</v>
      </c>
      <c r="CF27" s="58">
        <f t="shared" si="94"/>
        <v>2212984.867478</v>
      </c>
      <c r="CG27" s="54">
        <f t="shared" si="21"/>
        <v>655331.75400000007</v>
      </c>
      <c r="CH27" s="58">
        <f t="shared" si="95"/>
        <v>2166395.7123732003</v>
      </c>
      <c r="CI27" s="56">
        <f t="shared" si="22"/>
        <v>641238.59800000011</v>
      </c>
      <c r="CJ27" s="58">
        <f t="shared" si="96"/>
        <v>2119806.5572684002</v>
      </c>
      <c r="CK27" s="54">
        <f t="shared" si="23"/>
        <v>627145.44200000004</v>
      </c>
      <c r="CL27" s="58">
        <f t="shared" si="97"/>
        <v>2073217.4021636001</v>
      </c>
      <c r="CM27" s="56">
        <f t="shared" si="24"/>
        <v>613052.28600000008</v>
      </c>
      <c r="CN27" s="58">
        <f t="shared" si="98"/>
        <v>2026628.2470588004</v>
      </c>
      <c r="CO27" s="59">
        <f t="shared" si="25"/>
        <v>598959.13</v>
      </c>
      <c r="CP27" s="58">
        <f t="shared" si="99"/>
        <v>1980039.0919540001</v>
      </c>
      <c r="CQ27" s="56">
        <f t="shared" si="26"/>
        <v>584865.97400000005</v>
      </c>
      <c r="CR27" s="58">
        <f t="shared" si="100"/>
        <v>1933449.9368492002</v>
      </c>
      <c r="CS27" s="54">
        <f t="shared" si="27"/>
        <v>570772.81799999997</v>
      </c>
      <c r="CT27" s="58">
        <f t="shared" si="101"/>
        <v>1886860.7817444</v>
      </c>
      <c r="CU27" s="59">
        <f t="shared" si="28"/>
        <v>556679.66200000001</v>
      </c>
      <c r="CV27" s="58">
        <f t="shared" si="102"/>
        <v>1840271.6266396001</v>
      </c>
      <c r="CW27" s="59">
        <f t="shared" si="29"/>
        <v>542586.50599999994</v>
      </c>
      <c r="CX27" s="58">
        <f t="shared" si="103"/>
        <v>1793682.4715347998</v>
      </c>
      <c r="CY27" s="59">
        <f t="shared" si="30"/>
        <v>528493.35</v>
      </c>
      <c r="CZ27" s="58">
        <f t="shared" si="104"/>
        <v>1747093.3164299999</v>
      </c>
      <c r="DA27" s="54">
        <f t="shared" si="31"/>
        <v>514400.19399999996</v>
      </c>
      <c r="DB27" s="58">
        <f t="shared" si="105"/>
        <v>1700504.1613252</v>
      </c>
      <c r="DC27" s="59">
        <f t="shared" si="32"/>
        <v>500307.03799999994</v>
      </c>
      <c r="DD27" s="58">
        <f t="shared" si="106"/>
        <v>1653915.0062203999</v>
      </c>
      <c r="DE27" s="59">
        <f t="shared" si="33"/>
        <v>486213.88199999993</v>
      </c>
      <c r="DF27" s="58">
        <f t="shared" si="107"/>
        <v>1607325.8511155997</v>
      </c>
      <c r="DG27" s="59">
        <f t="shared" si="34"/>
        <v>472120.72599999991</v>
      </c>
      <c r="DH27" s="58">
        <f t="shared" si="108"/>
        <v>1560736.6960107996</v>
      </c>
      <c r="DI27" s="59">
        <f t="shared" si="35"/>
        <v>458027.56999999989</v>
      </c>
      <c r="DJ27" s="58">
        <f t="shared" si="109"/>
        <v>1514147.5409059997</v>
      </c>
      <c r="DK27" s="54">
        <f t="shared" si="36"/>
        <v>443934.41399999987</v>
      </c>
      <c r="DL27" s="58">
        <f t="shared" si="110"/>
        <v>1467558.3858011996</v>
      </c>
      <c r="DM27" s="59">
        <f t="shared" si="37"/>
        <v>429841.25799999986</v>
      </c>
      <c r="DN27" s="58">
        <f t="shared" si="111"/>
        <v>1420969.2306963995</v>
      </c>
      <c r="DO27" s="59">
        <f t="shared" si="38"/>
        <v>415748.10199999984</v>
      </c>
      <c r="DP27" s="58">
        <f t="shared" si="112"/>
        <v>1374380.0755915996</v>
      </c>
      <c r="DQ27" s="54">
        <f t="shared" si="39"/>
        <v>401654.94599999982</v>
      </c>
      <c r="DR27" s="58">
        <f t="shared" si="113"/>
        <v>1327790.9204867994</v>
      </c>
      <c r="DU27" s="54">
        <v>1</v>
      </c>
      <c r="DV27" s="54">
        <v>0.97</v>
      </c>
      <c r="DW27" s="54">
        <v>0.95</v>
      </c>
      <c r="DX27" s="54">
        <v>0.93</v>
      </c>
      <c r="DY27" s="54">
        <f t="shared" si="114"/>
        <v>0.91</v>
      </c>
      <c r="DZ27" s="54">
        <f t="shared" si="114"/>
        <v>0.89</v>
      </c>
      <c r="EA27" s="54">
        <f t="shared" si="114"/>
        <v>0.87</v>
      </c>
      <c r="EB27" s="54">
        <f t="shared" si="114"/>
        <v>0.85</v>
      </c>
      <c r="EC27" s="54">
        <f t="shared" si="114"/>
        <v>0.83</v>
      </c>
      <c r="ED27" s="54">
        <f t="shared" si="114"/>
        <v>0.80999999999999994</v>
      </c>
      <c r="EE27" s="54">
        <f t="shared" si="114"/>
        <v>0.78999999999999992</v>
      </c>
      <c r="EF27" s="54">
        <f t="shared" si="114"/>
        <v>0.76999999999999991</v>
      </c>
      <c r="EG27" s="54">
        <f t="shared" si="114"/>
        <v>0.74999999999999989</v>
      </c>
      <c r="EH27" s="54">
        <f t="shared" si="114"/>
        <v>0.72999999999999987</v>
      </c>
      <c r="EI27" s="54">
        <f t="shared" si="114"/>
        <v>0.70999999999999985</v>
      </c>
      <c r="EJ27" s="54">
        <f t="shared" si="114"/>
        <v>0.68999999999999984</v>
      </c>
      <c r="EK27" s="54">
        <f t="shared" si="114"/>
        <v>0.66999999999999982</v>
      </c>
      <c r="EL27" s="54">
        <f t="shared" si="114"/>
        <v>0.6499999999999998</v>
      </c>
      <c r="EM27" s="54">
        <f t="shared" si="114"/>
        <v>0.62999999999999978</v>
      </c>
      <c r="EN27" s="54">
        <f t="shared" si="114"/>
        <v>0.60999999999999976</v>
      </c>
      <c r="EO27" s="54">
        <f t="shared" si="114"/>
        <v>0.58999999999999975</v>
      </c>
      <c r="EP27" s="54">
        <f t="shared" si="114"/>
        <v>0.56999999999999973</v>
      </c>
      <c r="ER27" s="54">
        <f>+BZ27*0.7</f>
        <v>493260.46</v>
      </c>
      <c r="ES27" s="54">
        <f t="shared" si="116"/>
        <v>493260.46</v>
      </c>
      <c r="ET27" s="58">
        <f t="shared" si="117"/>
        <v>1630620.428668</v>
      </c>
      <c r="EU27" s="54">
        <f t="shared" si="118"/>
        <v>478462.64620000002</v>
      </c>
      <c r="EV27" s="58">
        <f t="shared" si="119"/>
        <v>1581701.81580796</v>
      </c>
      <c r="EW27" s="54">
        <f t="shared" si="120"/>
        <v>468597.43699999998</v>
      </c>
      <c r="EX27" s="58">
        <f t="shared" si="121"/>
        <v>1549089.4072346</v>
      </c>
      <c r="EY27" s="54">
        <f t="shared" si="41"/>
        <v>458732.22780000005</v>
      </c>
      <c r="EZ27" s="58">
        <f t="shared" si="122"/>
        <v>1516476.9986612401</v>
      </c>
      <c r="FA27" s="56">
        <f t="shared" si="42"/>
        <v>448867.01860000001</v>
      </c>
      <c r="FB27" s="58">
        <f t="shared" si="123"/>
        <v>1483864.5900878801</v>
      </c>
      <c r="FC27" s="54">
        <f t="shared" si="43"/>
        <v>439001.80940000003</v>
      </c>
      <c r="FD27" s="58">
        <f t="shared" si="124"/>
        <v>1451252.1815145202</v>
      </c>
      <c r="FE27" s="56">
        <f t="shared" si="44"/>
        <v>429136.60020000004</v>
      </c>
      <c r="FF27" s="58">
        <f t="shared" si="125"/>
        <v>1418639.7729411602</v>
      </c>
      <c r="FG27" s="59">
        <f t="shared" si="45"/>
        <v>419271.391</v>
      </c>
      <c r="FH27" s="58">
        <f t="shared" si="126"/>
        <v>1386027.3643678001</v>
      </c>
      <c r="FI27" s="56">
        <f t="shared" si="46"/>
        <v>409406.18180000002</v>
      </c>
      <c r="FJ27" s="58">
        <f t="shared" si="127"/>
        <v>1353414.9557944401</v>
      </c>
      <c r="FK27" s="54">
        <f t="shared" si="47"/>
        <v>399540.97259999998</v>
      </c>
      <c r="FL27" s="58">
        <f t="shared" si="128"/>
        <v>1320802.5472210799</v>
      </c>
      <c r="FM27" s="59">
        <f t="shared" si="48"/>
        <v>389675.7634</v>
      </c>
      <c r="FN27" s="58">
        <f t="shared" si="129"/>
        <v>1288190.13864772</v>
      </c>
      <c r="FO27" s="59">
        <f t="shared" si="49"/>
        <v>379810.55419999996</v>
      </c>
      <c r="FP27" s="58">
        <f t="shared" si="130"/>
        <v>1255577.7300743598</v>
      </c>
      <c r="FQ27" s="59">
        <f t="shared" si="50"/>
        <v>369945.34499999997</v>
      </c>
      <c r="FR27" s="58">
        <f t="shared" si="131"/>
        <v>1222965.3215009999</v>
      </c>
      <c r="FS27" s="54">
        <f t="shared" si="51"/>
        <v>360080.13579999993</v>
      </c>
      <c r="FT27" s="58">
        <f t="shared" si="132"/>
        <v>1190352.9129276399</v>
      </c>
      <c r="FU27" s="59">
        <f t="shared" si="52"/>
        <v>350214.92659999995</v>
      </c>
      <c r="FV27" s="58">
        <f t="shared" si="133"/>
        <v>1157740.50435428</v>
      </c>
      <c r="FW27" s="59">
        <f t="shared" si="53"/>
        <v>340349.71739999991</v>
      </c>
      <c r="FX27" s="58">
        <f t="shared" si="134"/>
        <v>1125128.0957809198</v>
      </c>
      <c r="FY27" s="59">
        <f t="shared" si="54"/>
        <v>330484.50819999992</v>
      </c>
      <c r="FZ27" s="58">
        <f t="shared" si="135"/>
        <v>1092515.6872075598</v>
      </c>
      <c r="GA27" s="59">
        <f t="shared" si="55"/>
        <v>320619.29899999994</v>
      </c>
      <c r="GB27" s="58">
        <f t="shared" si="136"/>
        <v>1059903.2786341999</v>
      </c>
      <c r="GC27" s="54">
        <f t="shared" si="56"/>
        <v>310754.0897999999</v>
      </c>
      <c r="GD27" s="58">
        <f t="shared" si="137"/>
        <v>1027290.8700608397</v>
      </c>
      <c r="GE27" s="59">
        <f t="shared" si="57"/>
        <v>300888.88059999992</v>
      </c>
      <c r="GF27" s="58">
        <f t="shared" si="138"/>
        <v>994678.46148747974</v>
      </c>
      <c r="GG27" s="59">
        <f t="shared" si="58"/>
        <v>291023.67139999988</v>
      </c>
      <c r="GH27" s="58">
        <f t="shared" si="139"/>
        <v>962066.05291411956</v>
      </c>
      <c r="GI27" s="54">
        <f t="shared" si="59"/>
        <v>281158.46219999989</v>
      </c>
      <c r="GJ27" s="58">
        <f t="shared" si="140"/>
        <v>929453.64434075961</v>
      </c>
      <c r="GK27" s="54"/>
      <c r="GL27" s="54"/>
      <c r="GM27" s="54">
        <v>1</v>
      </c>
      <c r="GN27" s="54">
        <v>0.97</v>
      </c>
      <c r="GO27" s="54">
        <v>0.95</v>
      </c>
      <c r="GP27" s="54">
        <v>0.93</v>
      </c>
      <c r="GQ27" s="54">
        <f t="shared" si="141"/>
        <v>0.91</v>
      </c>
      <c r="GR27" s="54">
        <f t="shared" si="141"/>
        <v>0.89</v>
      </c>
      <c r="GS27" s="54">
        <f t="shared" si="141"/>
        <v>0.87</v>
      </c>
      <c r="GT27" s="54">
        <f t="shared" si="141"/>
        <v>0.85</v>
      </c>
      <c r="GU27" s="54">
        <f t="shared" si="141"/>
        <v>0.83</v>
      </c>
      <c r="GV27" s="54">
        <f t="shared" si="141"/>
        <v>0.80999999999999994</v>
      </c>
      <c r="GW27" s="54">
        <f t="shared" si="141"/>
        <v>0.78999999999999992</v>
      </c>
      <c r="GX27" s="54">
        <f t="shared" si="141"/>
        <v>0.76999999999999991</v>
      </c>
      <c r="GY27" s="54">
        <f t="shared" si="141"/>
        <v>0.74999999999999989</v>
      </c>
      <c r="GZ27" s="54">
        <f t="shared" si="141"/>
        <v>0.72999999999999987</v>
      </c>
      <c r="HA27" s="54">
        <f t="shared" si="141"/>
        <v>0.70999999999999985</v>
      </c>
      <c r="HB27" s="54">
        <f t="shared" si="141"/>
        <v>0.68999999999999984</v>
      </c>
      <c r="HC27" s="54">
        <f t="shared" si="141"/>
        <v>0.66999999999999982</v>
      </c>
      <c r="HD27" s="54">
        <f t="shared" si="141"/>
        <v>0.6499999999999998</v>
      </c>
      <c r="HE27" s="54">
        <f t="shared" si="141"/>
        <v>0.62999999999999978</v>
      </c>
      <c r="HF27" s="54">
        <f t="shared" si="141"/>
        <v>0.60999999999999976</v>
      </c>
      <c r="HG27" s="54">
        <f t="shared" si="141"/>
        <v>0.58999999999999975</v>
      </c>
      <c r="HH27" s="54">
        <f t="shared" si="141"/>
        <v>0.56999999999999973</v>
      </c>
    </row>
    <row r="28" spans="1:216" x14ac:dyDescent="0.3">
      <c r="C28" s="35" t="s">
        <v>113</v>
      </c>
      <c r="D28" s="44">
        <f>SUM(D18:D27)</f>
        <v>1283520</v>
      </c>
      <c r="E28" s="44">
        <f>SUM(E18:E27)</f>
        <v>4243030</v>
      </c>
      <c r="H28" s="54">
        <f t="shared" si="61"/>
        <v>4667333</v>
      </c>
      <c r="I28" s="54">
        <f t="shared" si="62"/>
        <v>4667333</v>
      </c>
      <c r="J28" s="58">
        <f t="shared" si="63"/>
        <v>15429269.431400001</v>
      </c>
      <c r="K28" s="54">
        <f t="shared" si="64"/>
        <v>4527313.01</v>
      </c>
      <c r="L28" s="58">
        <f t="shared" si="65"/>
        <v>14966391.348458</v>
      </c>
      <c r="M28" s="54">
        <f t="shared" si="66"/>
        <v>4433966.3499999996</v>
      </c>
      <c r="N28" s="58">
        <f t="shared" si="67"/>
        <v>14657805.959829999</v>
      </c>
      <c r="O28" s="54">
        <f t="shared" si="1"/>
        <v>4340619.6900000004</v>
      </c>
      <c r="P28" s="58">
        <f t="shared" si="68"/>
        <v>14349220.571202002</v>
      </c>
      <c r="Q28" s="56">
        <f t="shared" si="2"/>
        <v>4247273.03</v>
      </c>
      <c r="R28" s="58">
        <f t="shared" si="69"/>
        <v>14040635.182574002</v>
      </c>
      <c r="S28" s="54">
        <f t="shared" si="3"/>
        <v>4153926.37</v>
      </c>
      <c r="T28" s="58">
        <f t="shared" si="70"/>
        <v>13732049.793946</v>
      </c>
      <c r="U28" s="56">
        <f t="shared" si="4"/>
        <v>4060579.71</v>
      </c>
      <c r="V28" s="58">
        <f t="shared" si="71"/>
        <v>13423464.405317999</v>
      </c>
      <c r="W28" s="59">
        <f t="shared" si="5"/>
        <v>3967233.05</v>
      </c>
      <c r="X28" s="58">
        <f t="shared" si="72"/>
        <v>13114879.016689999</v>
      </c>
      <c r="Y28" s="56">
        <f t="shared" si="6"/>
        <v>3873886.3899999997</v>
      </c>
      <c r="Z28" s="58">
        <f t="shared" si="73"/>
        <v>12806293.628061999</v>
      </c>
      <c r="AA28" s="54">
        <f t="shared" si="7"/>
        <v>3780539.7299999995</v>
      </c>
      <c r="AB28" s="58">
        <f t="shared" si="74"/>
        <v>12497708.239433998</v>
      </c>
      <c r="AC28" s="59">
        <f t="shared" si="8"/>
        <v>3687193.07</v>
      </c>
      <c r="AD28" s="58">
        <f t="shared" si="75"/>
        <v>12189122.850806</v>
      </c>
      <c r="AE28" s="59">
        <f t="shared" si="9"/>
        <v>3593846.4099999997</v>
      </c>
      <c r="AF28" s="58">
        <f t="shared" si="76"/>
        <v>11880537.462177999</v>
      </c>
      <c r="AG28" s="59">
        <f t="shared" si="10"/>
        <v>3500499.7499999995</v>
      </c>
      <c r="AH28" s="58">
        <f t="shared" si="77"/>
        <v>11571952.073549999</v>
      </c>
      <c r="AI28" s="54">
        <f t="shared" si="11"/>
        <v>3407153.0899999994</v>
      </c>
      <c r="AJ28" s="58">
        <f t="shared" si="78"/>
        <v>11263366.684921999</v>
      </c>
      <c r="AK28" s="59">
        <f t="shared" si="12"/>
        <v>3313806.4299999992</v>
      </c>
      <c r="AL28" s="58">
        <f t="shared" si="79"/>
        <v>10954781.296293998</v>
      </c>
      <c r="AM28" s="59">
        <f t="shared" si="13"/>
        <v>3220459.7699999991</v>
      </c>
      <c r="AN28" s="58">
        <f t="shared" si="80"/>
        <v>10646195.907665998</v>
      </c>
      <c r="AO28" s="59">
        <f t="shared" si="14"/>
        <v>3127113.1099999989</v>
      </c>
      <c r="AP28" s="58">
        <f t="shared" si="81"/>
        <v>10337610.519037997</v>
      </c>
      <c r="AQ28" s="59">
        <f t="shared" si="15"/>
        <v>3033766.4499999993</v>
      </c>
      <c r="AR28" s="58">
        <f t="shared" si="82"/>
        <v>10029025.130409997</v>
      </c>
      <c r="AS28" s="54">
        <f t="shared" si="16"/>
        <v>2940419.7899999991</v>
      </c>
      <c r="AT28" s="58">
        <f t="shared" si="83"/>
        <v>9720439.7417819966</v>
      </c>
      <c r="AU28" s="59">
        <f t="shared" si="17"/>
        <v>2847073.129999999</v>
      </c>
      <c r="AV28" s="58">
        <f t="shared" si="84"/>
        <v>9411854.3531539962</v>
      </c>
      <c r="AW28" s="59">
        <f t="shared" si="18"/>
        <v>2753726.4699999988</v>
      </c>
      <c r="AX28" s="58">
        <f t="shared" si="85"/>
        <v>9103268.9645259958</v>
      </c>
      <c r="AY28" s="54">
        <f t="shared" si="19"/>
        <v>2660379.8099999987</v>
      </c>
      <c r="AZ28" s="58">
        <f t="shared" si="86"/>
        <v>8794683.5758979954</v>
      </c>
      <c r="BC28" s="54">
        <v>1</v>
      </c>
      <c r="BD28" s="54">
        <v>0.97</v>
      </c>
      <c r="BE28" s="54">
        <v>0.95</v>
      </c>
      <c r="BF28" s="54">
        <v>0.93</v>
      </c>
      <c r="BG28" s="54">
        <f t="shared" si="87"/>
        <v>0.91</v>
      </c>
      <c r="BH28" s="54">
        <f t="shared" si="87"/>
        <v>0.89</v>
      </c>
      <c r="BI28" s="54">
        <f t="shared" si="87"/>
        <v>0.87</v>
      </c>
      <c r="BJ28" s="54">
        <f t="shared" si="87"/>
        <v>0.85</v>
      </c>
      <c r="BK28" s="54">
        <f t="shared" si="87"/>
        <v>0.83</v>
      </c>
      <c r="BL28" s="54">
        <f t="shared" si="87"/>
        <v>0.80999999999999994</v>
      </c>
      <c r="BM28" s="54">
        <f t="shared" si="87"/>
        <v>0.78999999999999992</v>
      </c>
      <c r="BN28" s="54">
        <f t="shared" si="87"/>
        <v>0.76999999999999991</v>
      </c>
      <c r="BO28" s="54">
        <f t="shared" si="87"/>
        <v>0.74999999999999989</v>
      </c>
      <c r="BP28" s="54">
        <f t="shared" si="87"/>
        <v>0.72999999999999987</v>
      </c>
      <c r="BQ28" s="54">
        <f t="shared" si="87"/>
        <v>0.70999999999999985</v>
      </c>
      <c r="BR28" s="54">
        <f t="shared" si="87"/>
        <v>0.68999999999999984</v>
      </c>
      <c r="BS28" s="54">
        <f t="shared" si="87"/>
        <v>0.66999999999999982</v>
      </c>
      <c r="BT28" s="54">
        <f t="shared" si="87"/>
        <v>0.6499999999999998</v>
      </c>
      <c r="BU28" s="54">
        <f t="shared" si="87"/>
        <v>0.62999999999999978</v>
      </c>
      <c r="BV28" s="54">
        <f t="shared" si="87"/>
        <v>0.60999999999999976</v>
      </c>
      <c r="BW28" s="54">
        <f t="shared" si="87"/>
        <v>0.58999999999999975</v>
      </c>
      <c r="BX28" s="54">
        <f t="shared" si="87"/>
        <v>0.56999999999999973</v>
      </c>
      <c r="BZ28" s="54">
        <f>SUM(BZ18:BZ27)</f>
        <v>4035875.6900000004</v>
      </c>
      <c r="CA28" s="54">
        <f t="shared" si="89"/>
        <v>4035875.6900000004</v>
      </c>
      <c r="CB28" s="58">
        <f t="shared" si="90"/>
        <v>13341797.856002001</v>
      </c>
      <c r="CC28" s="54">
        <f t="shared" si="91"/>
        <v>3914799.4193000002</v>
      </c>
      <c r="CD28" s="58">
        <f t="shared" si="92"/>
        <v>12941543.920321941</v>
      </c>
      <c r="CE28" s="54">
        <f t="shared" si="93"/>
        <v>3834081.9055000003</v>
      </c>
      <c r="CF28" s="58">
        <f t="shared" si="94"/>
        <v>12674707.963201901</v>
      </c>
      <c r="CG28" s="54">
        <f t="shared" si="21"/>
        <v>3753364.3917000005</v>
      </c>
      <c r="CH28" s="58">
        <f t="shared" si="95"/>
        <v>12407872.006081862</v>
      </c>
      <c r="CI28" s="56">
        <f t="shared" si="22"/>
        <v>3672646.8779000007</v>
      </c>
      <c r="CJ28" s="58">
        <f t="shared" si="96"/>
        <v>12141036.048961822</v>
      </c>
      <c r="CK28" s="54">
        <f t="shared" si="23"/>
        <v>3591929.3641000004</v>
      </c>
      <c r="CL28" s="58">
        <f t="shared" si="97"/>
        <v>11874200.091841782</v>
      </c>
      <c r="CM28" s="56">
        <f t="shared" si="24"/>
        <v>3511211.8503000005</v>
      </c>
      <c r="CN28" s="58">
        <f t="shared" si="98"/>
        <v>11607364.134721741</v>
      </c>
      <c r="CO28" s="59">
        <f t="shared" si="25"/>
        <v>3430494.3365000002</v>
      </c>
      <c r="CP28" s="58">
        <f t="shared" si="99"/>
        <v>11340528.177601701</v>
      </c>
      <c r="CQ28" s="56">
        <f t="shared" si="26"/>
        <v>3349776.8227000004</v>
      </c>
      <c r="CR28" s="58">
        <f t="shared" si="100"/>
        <v>11073692.220481662</v>
      </c>
      <c r="CS28" s="54">
        <f t="shared" si="27"/>
        <v>3269059.3089000001</v>
      </c>
      <c r="CT28" s="58">
        <f t="shared" si="101"/>
        <v>10806856.26336162</v>
      </c>
      <c r="CU28" s="59">
        <f t="shared" si="28"/>
        <v>3188341.7951000002</v>
      </c>
      <c r="CV28" s="58">
        <f t="shared" si="102"/>
        <v>10540020.306241581</v>
      </c>
      <c r="CW28" s="59">
        <f t="shared" si="29"/>
        <v>3107624.2812999999</v>
      </c>
      <c r="CX28" s="58">
        <f t="shared" si="103"/>
        <v>10273184.349121541</v>
      </c>
      <c r="CY28" s="59">
        <f t="shared" si="30"/>
        <v>3026906.7675000001</v>
      </c>
      <c r="CZ28" s="58">
        <f t="shared" si="104"/>
        <v>10006348.3920015</v>
      </c>
      <c r="DA28" s="54">
        <f t="shared" si="31"/>
        <v>2946189.2536999998</v>
      </c>
      <c r="DB28" s="58">
        <f t="shared" si="105"/>
        <v>9739512.4348814599</v>
      </c>
      <c r="DC28" s="59">
        <f t="shared" si="32"/>
        <v>2865471.7398999999</v>
      </c>
      <c r="DD28" s="58">
        <f t="shared" si="106"/>
        <v>9472676.4777614195</v>
      </c>
      <c r="DE28" s="59">
        <f t="shared" si="33"/>
        <v>2784754.2260999996</v>
      </c>
      <c r="DF28" s="58">
        <f t="shared" si="107"/>
        <v>9205840.5206413791</v>
      </c>
      <c r="DG28" s="59">
        <f t="shared" si="34"/>
        <v>2704036.7122999993</v>
      </c>
      <c r="DH28" s="58">
        <f t="shared" si="108"/>
        <v>8939004.5635213386</v>
      </c>
      <c r="DI28" s="59">
        <f t="shared" si="35"/>
        <v>2623319.1984999995</v>
      </c>
      <c r="DJ28" s="58">
        <f t="shared" si="109"/>
        <v>8672168.6064012982</v>
      </c>
      <c r="DK28" s="54">
        <f t="shared" si="36"/>
        <v>2542601.6846999992</v>
      </c>
      <c r="DL28" s="58">
        <f t="shared" si="110"/>
        <v>8405332.6492812578</v>
      </c>
      <c r="DM28" s="59">
        <f t="shared" si="37"/>
        <v>2461884.1708999993</v>
      </c>
      <c r="DN28" s="58">
        <f t="shared" si="111"/>
        <v>8138496.6921612183</v>
      </c>
      <c r="DO28" s="59">
        <f t="shared" si="38"/>
        <v>2381166.657099999</v>
      </c>
      <c r="DP28" s="58">
        <f t="shared" si="112"/>
        <v>7871660.7350411769</v>
      </c>
      <c r="DQ28" s="54">
        <f t="shared" si="39"/>
        <v>2300449.1432999992</v>
      </c>
      <c r="DR28" s="58">
        <f t="shared" si="113"/>
        <v>7604824.7779211374</v>
      </c>
      <c r="DU28" s="54">
        <v>1</v>
      </c>
      <c r="DV28" s="54">
        <v>0.97</v>
      </c>
      <c r="DW28" s="54">
        <v>0.95</v>
      </c>
      <c r="DX28" s="54">
        <v>0.93</v>
      </c>
      <c r="DY28" s="54">
        <f t="shared" si="114"/>
        <v>0.91</v>
      </c>
      <c r="DZ28" s="54">
        <f t="shared" si="114"/>
        <v>0.89</v>
      </c>
      <c r="EA28" s="54">
        <f t="shared" si="114"/>
        <v>0.87</v>
      </c>
      <c r="EB28" s="54">
        <f t="shared" si="114"/>
        <v>0.85</v>
      </c>
      <c r="EC28" s="54">
        <f t="shared" si="114"/>
        <v>0.83</v>
      </c>
      <c r="ED28" s="54">
        <f t="shared" si="114"/>
        <v>0.80999999999999994</v>
      </c>
      <c r="EE28" s="54">
        <f t="shared" si="114"/>
        <v>0.78999999999999992</v>
      </c>
      <c r="EF28" s="54">
        <f t="shared" si="114"/>
        <v>0.76999999999999991</v>
      </c>
      <c r="EG28" s="54">
        <f t="shared" si="114"/>
        <v>0.74999999999999989</v>
      </c>
      <c r="EH28" s="54">
        <f t="shared" si="114"/>
        <v>0.72999999999999987</v>
      </c>
      <c r="EI28" s="54">
        <f t="shared" si="114"/>
        <v>0.70999999999999985</v>
      </c>
      <c r="EJ28" s="54">
        <f t="shared" si="114"/>
        <v>0.68999999999999984</v>
      </c>
      <c r="EK28" s="54">
        <f t="shared" si="114"/>
        <v>0.66999999999999982</v>
      </c>
      <c r="EL28" s="54">
        <f t="shared" si="114"/>
        <v>0.6499999999999998</v>
      </c>
      <c r="EM28" s="54">
        <f t="shared" si="114"/>
        <v>0.62999999999999978</v>
      </c>
      <c r="EN28" s="54">
        <f t="shared" si="114"/>
        <v>0.60999999999999976</v>
      </c>
      <c r="EO28" s="54">
        <f t="shared" si="114"/>
        <v>0.58999999999999975</v>
      </c>
      <c r="EP28" s="54">
        <f t="shared" si="114"/>
        <v>0.56999999999999973</v>
      </c>
      <c r="ER28" s="54">
        <f>SUM(ER18:ER27)</f>
        <v>3524668.7398999995</v>
      </c>
      <c r="ES28" s="54">
        <f t="shared" si="116"/>
        <v>3524668.7398999995</v>
      </c>
      <c r="ET28" s="58">
        <f t="shared" si="117"/>
        <v>11651849.920361418</v>
      </c>
      <c r="EU28" s="54">
        <f t="shared" si="118"/>
        <v>3418928.6777029992</v>
      </c>
      <c r="EV28" s="58">
        <f t="shared" si="119"/>
        <v>11302294.422750575</v>
      </c>
      <c r="EW28" s="54">
        <f t="shared" si="120"/>
        <v>3348435.3029049993</v>
      </c>
      <c r="EX28" s="58">
        <f t="shared" si="121"/>
        <v>11069257.424343348</v>
      </c>
      <c r="EY28" s="54">
        <f t="shared" si="41"/>
        <v>3277941.9281069995</v>
      </c>
      <c r="EZ28" s="58">
        <f t="shared" si="122"/>
        <v>10836220.42593612</v>
      </c>
      <c r="FA28" s="56">
        <f t="shared" si="42"/>
        <v>3207448.5533089996</v>
      </c>
      <c r="FB28" s="58">
        <f t="shared" si="123"/>
        <v>10603183.427528892</v>
      </c>
      <c r="FC28" s="54">
        <f t="shared" si="43"/>
        <v>3136955.1785109998</v>
      </c>
      <c r="FD28" s="58">
        <f t="shared" si="124"/>
        <v>10370146.429121664</v>
      </c>
      <c r="FE28" s="56">
        <f t="shared" si="44"/>
        <v>3066461.8037129994</v>
      </c>
      <c r="FF28" s="58">
        <f t="shared" si="125"/>
        <v>10137109.430714434</v>
      </c>
      <c r="FG28" s="59">
        <f t="shared" si="45"/>
        <v>2995968.4289149996</v>
      </c>
      <c r="FH28" s="58">
        <f t="shared" si="126"/>
        <v>9904072.4323072061</v>
      </c>
      <c r="FI28" s="56">
        <f t="shared" si="46"/>
        <v>2925475.0541169993</v>
      </c>
      <c r="FJ28" s="58">
        <f t="shared" si="127"/>
        <v>9671035.4338999763</v>
      </c>
      <c r="FK28" s="54">
        <f t="shared" si="47"/>
        <v>2854981.6793189994</v>
      </c>
      <c r="FL28" s="58">
        <f t="shared" si="128"/>
        <v>9437998.4354927484</v>
      </c>
      <c r="FM28" s="59">
        <f t="shared" si="48"/>
        <v>2784488.3045209991</v>
      </c>
      <c r="FN28" s="58">
        <f t="shared" si="129"/>
        <v>9204961.4370855186</v>
      </c>
      <c r="FO28" s="59">
        <f t="shared" si="49"/>
        <v>2713994.9297229992</v>
      </c>
      <c r="FP28" s="58">
        <f t="shared" si="130"/>
        <v>8971924.4386782907</v>
      </c>
      <c r="FQ28" s="59">
        <f t="shared" si="50"/>
        <v>2643501.5549249994</v>
      </c>
      <c r="FR28" s="58">
        <f t="shared" si="131"/>
        <v>8738887.4402710628</v>
      </c>
      <c r="FS28" s="54">
        <f t="shared" si="51"/>
        <v>2573008.180126999</v>
      </c>
      <c r="FT28" s="58">
        <f t="shared" si="132"/>
        <v>8505850.441863833</v>
      </c>
      <c r="FU28" s="59">
        <f t="shared" si="52"/>
        <v>2502514.8053289992</v>
      </c>
      <c r="FV28" s="58">
        <f t="shared" si="133"/>
        <v>8272813.443456606</v>
      </c>
      <c r="FW28" s="59">
        <f t="shared" si="53"/>
        <v>2432021.4305309989</v>
      </c>
      <c r="FX28" s="58">
        <f t="shared" si="134"/>
        <v>8039776.4450493762</v>
      </c>
      <c r="FY28" s="59">
        <f t="shared" si="54"/>
        <v>2361528.055732999</v>
      </c>
      <c r="FZ28" s="58">
        <f t="shared" si="135"/>
        <v>7806739.4466421483</v>
      </c>
      <c r="GA28" s="59">
        <f t="shared" si="55"/>
        <v>2291034.6809349991</v>
      </c>
      <c r="GB28" s="58">
        <f t="shared" si="136"/>
        <v>7573702.4482349204</v>
      </c>
      <c r="GC28" s="54">
        <f t="shared" si="56"/>
        <v>2220541.3061369988</v>
      </c>
      <c r="GD28" s="58">
        <f t="shared" si="137"/>
        <v>7340665.4498276906</v>
      </c>
      <c r="GE28" s="59">
        <f t="shared" si="57"/>
        <v>2150047.931338999</v>
      </c>
      <c r="GF28" s="58">
        <f t="shared" si="138"/>
        <v>7107628.4514204627</v>
      </c>
      <c r="GG28" s="59">
        <f t="shared" si="58"/>
        <v>2079554.5565409989</v>
      </c>
      <c r="GH28" s="58">
        <f t="shared" si="139"/>
        <v>6874591.4530132338</v>
      </c>
      <c r="GI28" s="54">
        <f t="shared" si="59"/>
        <v>2009061.1817429988</v>
      </c>
      <c r="GJ28" s="58">
        <f t="shared" si="140"/>
        <v>6641554.4546060059</v>
      </c>
      <c r="GK28" s="54"/>
      <c r="GL28" s="54"/>
      <c r="GM28" s="54">
        <v>1</v>
      </c>
      <c r="GN28" s="54">
        <v>0.97</v>
      </c>
      <c r="GO28" s="54">
        <v>0.95</v>
      </c>
      <c r="GP28" s="54">
        <v>0.93</v>
      </c>
      <c r="GQ28" s="54">
        <f t="shared" si="141"/>
        <v>0.91</v>
      </c>
      <c r="GR28" s="54">
        <f t="shared" si="141"/>
        <v>0.89</v>
      </c>
      <c r="GS28" s="54">
        <f t="shared" si="141"/>
        <v>0.87</v>
      </c>
      <c r="GT28" s="54">
        <f t="shared" si="141"/>
        <v>0.85</v>
      </c>
      <c r="GU28" s="54">
        <f t="shared" si="141"/>
        <v>0.83</v>
      </c>
      <c r="GV28" s="54">
        <f t="shared" si="141"/>
        <v>0.80999999999999994</v>
      </c>
      <c r="GW28" s="54">
        <f t="shared" si="141"/>
        <v>0.78999999999999992</v>
      </c>
      <c r="GX28" s="54">
        <f t="shared" si="141"/>
        <v>0.76999999999999991</v>
      </c>
      <c r="GY28" s="54">
        <f t="shared" si="141"/>
        <v>0.74999999999999989</v>
      </c>
      <c r="GZ28" s="54">
        <f t="shared" si="141"/>
        <v>0.72999999999999987</v>
      </c>
      <c r="HA28" s="54">
        <f t="shared" si="141"/>
        <v>0.70999999999999985</v>
      </c>
      <c r="HB28" s="54">
        <f t="shared" si="141"/>
        <v>0.68999999999999984</v>
      </c>
      <c r="HC28" s="54">
        <f t="shared" si="141"/>
        <v>0.66999999999999982</v>
      </c>
      <c r="HD28" s="54">
        <f t="shared" si="141"/>
        <v>0.6499999999999998</v>
      </c>
      <c r="HE28" s="54">
        <f t="shared" si="141"/>
        <v>0.62999999999999978</v>
      </c>
      <c r="HF28" s="54">
        <f t="shared" si="141"/>
        <v>0.60999999999999976</v>
      </c>
      <c r="HG28" s="54">
        <f t="shared" si="141"/>
        <v>0.58999999999999975</v>
      </c>
      <c r="HH28" s="54">
        <f t="shared" si="141"/>
        <v>0.56999999999999973</v>
      </c>
    </row>
    <row r="29" spans="1:216" s="63" customFormat="1" x14ac:dyDescent="0.3">
      <c r="C29" s="64"/>
      <c r="D29" s="64"/>
      <c r="E29" s="64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1"/>
      <c r="Q29" s="60" t="s">
        <v>272</v>
      </c>
      <c r="R29" s="60"/>
      <c r="S29" s="60" t="s">
        <v>273</v>
      </c>
      <c r="T29" s="61"/>
      <c r="U29" s="60" t="s">
        <v>274</v>
      </c>
      <c r="V29" s="62"/>
      <c r="W29" s="60" t="s">
        <v>275</v>
      </c>
      <c r="X29" s="61"/>
      <c r="Y29" s="60" t="s">
        <v>276</v>
      </c>
      <c r="Z29" s="60"/>
      <c r="AA29" s="60" t="s">
        <v>277</v>
      </c>
      <c r="AB29" s="62"/>
      <c r="AC29" s="60" t="s">
        <v>278</v>
      </c>
      <c r="AD29" s="62"/>
      <c r="AE29" s="60" t="s">
        <v>279</v>
      </c>
      <c r="AF29" s="62"/>
      <c r="AG29" s="60" t="s">
        <v>280</v>
      </c>
      <c r="AH29" s="60"/>
      <c r="AI29" s="60" t="s">
        <v>281</v>
      </c>
      <c r="AJ29" s="62"/>
      <c r="AK29" s="60" t="s">
        <v>282</v>
      </c>
      <c r="AL29" s="62"/>
      <c r="AM29" s="60" t="s">
        <v>283</v>
      </c>
      <c r="AN29" s="62"/>
      <c r="AO29" s="60" t="s">
        <v>284</v>
      </c>
      <c r="AP29" s="62"/>
      <c r="AQ29" s="60" t="s">
        <v>285</v>
      </c>
      <c r="AR29" s="60"/>
      <c r="AS29" s="60" t="s">
        <v>286</v>
      </c>
      <c r="AT29" s="62"/>
      <c r="AU29" s="60" t="s">
        <v>287</v>
      </c>
      <c r="AV29" s="62"/>
      <c r="AW29" s="60" t="s">
        <v>288</v>
      </c>
      <c r="AX29" s="60"/>
      <c r="AY29" s="60" t="s">
        <v>289</v>
      </c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>
        <f t="shared" si="88"/>
        <v>0</v>
      </c>
      <c r="CA29" s="60"/>
      <c r="CB29" s="60"/>
      <c r="CC29" s="60"/>
      <c r="CD29" s="60"/>
      <c r="CE29" s="60"/>
      <c r="CF29" s="60"/>
      <c r="CG29" s="60"/>
      <c r="CH29" s="61"/>
      <c r="CI29" s="60" t="s">
        <v>272</v>
      </c>
      <c r="CJ29" s="60"/>
      <c r="CK29" s="60" t="s">
        <v>273</v>
      </c>
      <c r="CL29" s="61"/>
      <c r="CM29" s="60" t="s">
        <v>274</v>
      </c>
      <c r="CN29" s="62"/>
      <c r="CO29" s="60" t="s">
        <v>275</v>
      </c>
      <c r="CP29" s="61"/>
      <c r="CQ29" s="60" t="s">
        <v>276</v>
      </c>
      <c r="CR29" s="60"/>
      <c r="CS29" s="60" t="s">
        <v>277</v>
      </c>
      <c r="CT29" s="62"/>
      <c r="CU29" s="60" t="s">
        <v>278</v>
      </c>
      <c r="CV29" s="62"/>
      <c r="CW29" s="60" t="s">
        <v>279</v>
      </c>
      <c r="CX29" s="62"/>
      <c r="CY29" s="60" t="s">
        <v>280</v>
      </c>
      <c r="CZ29" s="60"/>
      <c r="DA29" s="60" t="s">
        <v>281</v>
      </c>
      <c r="DB29" s="62"/>
      <c r="DC29" s="60" t="s">
        <v>282</v>
      </c>
      <c r="DD29" s="62"/>
      <c r="DE29" s="60" t="s">
        <v>283</v>
      </c>
      <c r="DF29" s="62"/>
      <c r="DG29" s="60" t="s">
        <v>284</v>
      </c>
      <c r="DH29" s="62"/>
      <c r="DI29" s="60" t="s">
        <v>285</v>
      </c>
      <c r="DJ29" s="60"/>
      <c r="DK29" s="60" t="s">
        <v>286</v>
      </c>
      <c r="DL29" s="62"/>
      <c r="DM29" s="60" t="s">
        <v>287</v>
      </c>
      <c r="DN29" s="62"/>
      <c r="DO29" s="60" t="s">
        <v>288</v>
      </c>
      <c r="DP29" s="60"/>
      <c r="DQ29" s="60" t="s">
        <v>289</v>
      </c>
      <c r="DR29" s="60"/>
      <c r="DS29" s="60"/>
      <c r="DT29" s="60"/>
      <c r="DU29" s="60">
        <v>1</v>
      </c>
      <c r="DV29" s="60">
        <v>0.97</v>
      </c>
      <c r="DW29" s="60">
        <v>0.95</v>
      </c>
      <c r="DX29" s="60">
        <v>0.93</v>
      </c>
      <c r="DY29" s="60">
        <f t="shared" si="114"/>
        <v>0.91</v>
      </c>
      <c r="DZ29" s="60">
        <f t="shared" si="114"/>
        <v>0.89</v>
      </c>
      <c r="EA29" s="60">
        <f t="shared" si="114"/>
        <v>0.87</v>
      </c>
      <c r="EB29" s="60">
        <f t="shared" si="114"/>
        <v>0.85</v>
      </c>
      <c r="EC29" s="60">
        <f t="shared" si="114"/>
        <v>0.83</v>
      </c>
      <c r="ED29" s="60">
        <f t="shared" si="114"/>
        <v>0.80999999999999994</v>
      </c>
      <c r="EE29" s="60">
        <f t="shared" si="114"/>
        <v>0.78999999999999992</v>
      </c>
      <c r="EF29" s="60">
        <f t="shared" si="114"/>
        <v>0.76999999999999991</v>
      </c>
      <c r="EG29" s="60">
        <f t="shared" si="114"/>
        <v>0.74999999999999989</v>
      </c>
      <c r="EH29" s="60">
        <f t="shared" si="114"/>
        <v>0.72999999999999987</v>
      </c>
      <c r="EI29" s="60">
        <f t="shared" si="114"/>
        <v>0.70999999999999985</v>
      </c>
      <c r="EJ29" s="60">
        <f t="shared" si="114"/>
        <v>0.68999999999999984</v>
      </c>
      <c r="EK29" s="60">
        <f t="shared" si="114"/>
        <v>0.66999999999999982</v>
      </c>
      <c r="EL29" s="60">
        <f t="shared" si="114"/>
        <v>0.6499999999999998</v>
      </c>
      <c r="EM29" s="60">
        <f t="shared" si="114"/>
        <v>0.62999999999999978</v>
      </c>
      <c r="EN29" s="60">
        <f t="shared" si="114"/>
        <v>0.60999999999999976</v>
      </c>
      <c r="EO29" s="60">
        <f t="shared" si="114"/>
        <v>0.58999999999999975</v>
      </c>
      <c r="EP29" s="63">
        <f t="shared" si="114"/>
        <v>0.56999999999999973</v>
      </c>
      <c r="EQ29" s="60"/>
      <c r="ER29" s="60">
        <f t="shared" ref="ER29:ER93" si="142">+BZ29*0.91</f>
        <v>0</v>
      </c>
      <c r="ES29" s="60"/>
      <c r="ET29" s="60"/>
      <c r="EU29" s="60"/>
      <c r="EV29" s="60"/>
      <c r="EW29" s="60"/>
      <c r="EX29" s="60"/>
      <c r="EY29" s="60"/>
      <c r="EZ29" s="61"/>
      <c r="FA29" s="60" t="s">
        <v>272</v>
      </c>
      <c r="FB29" s="60"/>
      <c r="FC29" s="60" t="s">
        <v>273</v>
      </c>
      <c r="FD29" s="61"/>
      <c r="FE29" s="60" t="s">
        <v>274</v>
      </c>
      <c r="FF29" s="62"/>
      <c r="FG29" s="60" t="s">
        <v>275</v>
      </c>
      <c r="FH29" s="61"/>
      <c r="FI29" s="60" t="s">
        <v>276</v>
      </c>
      <c r="FJ29" s="60"/>
      <c r="FK29" s="60" t="s">
        <v>277</v>
      </c>
      <c r="FL29" s="62"/>
      <c r="FM29" s="60" t="s">
        <v>278</v>
      </c>
      <c r="FN29" s="62"/>
      <c r="FO29" s="60" t="s">
        <v>279</v>
      </c>
      <c r="FP29" s="62"/>
      <c r="FQ29" s="60" t="s">
        <v>280</v>
      </c>
      <c r="FR29" s="60"/>
      <c r="FS29" s="60" t="s">
        <v>281</v>
      </c>
      <c r="FT29" s="62"/>
      <c r="FU29" s="60" t="s">
        <v>282</v>
      </c>
      <c r="FV29" s="62"/>
      <c r="FW29" s="60" t="s">
        <v>283</v>
      </c>
      <c r="FX29" s="62"/>
      <c r="FY29" s="60" t="s">
        <v>284</v>
      </c>
      <c r="FZ29" s="62"/>
      <c r="GA29" s="60" t="s">
        <v>285</v>
      </c>
      <c r="GB29" s="60"/>
      <c r="GC29" s="60" t="s">
        <v>286</v>
      </c>
      <c r="GD29" s="62"/>
      <c r="GE29" s="60" t="s">
        <v>287</v>
      </c>
      <c r="GF29" s="62"/>
      <c r="GG29" s="60" t="s">
        <v>288</v>
      </c>
      <c r="GH29" s="60"/>
      <c r="GI29" s="60" t="s">
        <v>289</v>
      </c>
      <c r="GJ29" s="60"/>
      <c r="GK29" s="60"/>
      <c r="GL29" s="60"/>
      <c r="GM29" s="60">
        <v>1</v>
      </c>
      <c r="GN29" s="60">
        <v>0.97</v>
      </c>
      <c r="GO29" s="60">
        <v>0.95</v>
      </c>
      <c r="GP29" s="60">
        <v>0.93</v>
      </c>
      <c r="GQ29" s="60">
        <f t="shared" si="141"/>
        <v>0.91</v>
      </c>
      <c r="GR29" s="60">
        <f t="shared" si="141"/>
        <v>0.89</v>
      </c>
      <c r="GS29" s="60">
        <f t="shared" si="141"/>
        <v>0.87</v>
      </c>
      <c r="GT29" s="60">
        <f t="shared" si="141"/>
        <v>0.85</v>
      </c>
      <c r="GU29" s="60">
        <f t="shared" si="141"/>
        <v>0.83</v>
      </c>
      <c r="GV29" s="60">
        <f t="shared" si="141"/>
        <v>0.80999999999999994</v>
      </c>
      <c r="GW29" s="60">
        <f t="shared" si="141"/>
        <v>0.78999999999999992</v>
      </c>
      <c r="GX29" s="60">
        <f t="shared" si="141"/>
        <v>0.76999999999999991</v>
      </c>
      <c r="GY29" s="60">
        <f t="shared" si="141"/>
        <v>0.74999999999999989</v>
      </c>
      <c r="GZ29" s="60">
        <f t="shared" si="141"/>
        <v>0.72999999999999987</v>
      </c>
      <c r="HA29" s="60">
        <f t="shared" si="141"/>
        <v>0.70999999999999985</v>
      </c>
      <c r="HB29" s="60">
        <f t="shared" si="141"/>
        <v>0.68999999999999984</v>
      </c>
      <c r="HC29" s="60">
        <f t="shared" si="141"/>
        <v>0.66999999999999982</v>
      </c>
      <c r="HD29" s="60">
        <f t="shared" si="141"/>
        <v>0.6499999999999998</v>
      </c>
      <c r="HE29" s="60">
        <f t="shared" si="141"/>
        <v>0.62999999999999978</v>
      </c>
      <c r="HF29" s="60">
        <f t="shared" si="141"/>
        <v>0.60999999999999976</v>
      </c>
      <c r="HG29" s="60">
        <f t="shared" si="141"/>
        <v>0.58999999999999975</v>
      </c>
      <c r="HH29" s="63">
        <f t="shared" si="141"/>
        <v>0.56999999999999973</v>
      </c>
    </row>
    <row r="30" spans="1:216" s="63" customFormat="1" ht="17.25" thickBot="1" x14ac:dyDescent="0.35">
      <c r="B30" s="63" t="s">
        <v>12</v>
      </c>
      <c r="C30" s="63" t="s">
        <v>290</v>
      </c>
      <c r="D30" s="64" t="s">
        <v>301</v>
      </c>
      <c r="E30" s="64" t="s">
        <v>271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1"/>
      <c r="Q30" s="60"/>
      <c r="R30" s="60"/>
      <c r="S30" s="60"/>
      <c r="T30" s="61"/>
      <c r="U30" s="60"/>
      <c r="V30" s="62"/>
      <c r="W30" s="60"/>
      <c r="X30" s="61"/>
      <c r="Y30" s="60"/>
      <c r="Z30" s="60"/>
      <c r="AA30" s="60"/>
      <c r="AB30" s="62"/>
      <c r="AC30" s="60"/>
      <c r="AD30" s="62"/>
      <c r="AE30" s="60"/>
      <c r="AF30" s="62"/>
      <c r="AG30" s="60"/>
      <c r="AH30" s="60"/>
      <c r="AI30" s="60"/>
      <c r="AJ30" s="62"/>
      <c r="AK30" s="60"/>
      <c r="AL30" s="62"/>
      <c r="AM30" s="60"/>
      <c r="AN30" s="62"/>
      <c r="AO30" s="60"/>
      <c r="AP30" s="62"/>
      <c r="AQ30" s="60"/>
      <c r="AR30" s="60"/>
      <c r="AS30" s="60"/>
      <c r="AT30" s="62"/>
      <c r="AU30" s="60"/>
      <c r="AV30" s="62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>
        <f t="shared" si="88"/>
        <v>0</v>
      </c>
      <c r="CA30" s="60"/>
      <c r="CB30" s="60"/>
      <c r="CC30" s="60"/>
      <c r="CD30" s="60"/>
      <c r="CE30" s="60"/>
      <c r="CF30" s="60"/>
      <c r="CG30" s="60"/>
      <c r="CH30" s="61"/>
      <c r="CI30" s="60"/>
      <c r="CJ30" s="60"/>
      <c r="CK30" s="60"/>
      <c r="CL30" s="61"/>
      <c r="CM30" s="60"/>
      <c r="CN30" s="62"/>
      <c r="CO30" s="60"/>
      <c r="CP30" s="61"/>
      <c r="CQ30" s="60"/>
      <c r="CR30" s="60"/>
      <c r="CS30" s="60"/>
      <c r="CT30" s="62"/>
      <c r="CU30" s="60"/>
      <c r="CV30" s="62"/>
      <c r="CW30" s="60"/>
      <c r="CX30" s="62"/>
      <c r="CY30" s="60"/>
      <c r="CZ30" s="60"/>
      <c r="DA30" s="60"/>
      <c r="DB30" s="62"/>
      <c r="DC30" s="60"/>
      <c r="DD30" s="62"/>
      <c r="DE30" s="60"/>
      <c r="DF30" s="62"/>
      <c r="DG30" s="60"/>
      <c r="DH30" s="62"/>
      <c r="DI30" s="60"/>
      <c r="DJ30" s="60"/>
      <c r="DK30" s="60"/>
      <c r="DL30" s="62"/>
      <c r="DM30" s="60"/>
      <c r="DN30" s="62"/>
      <c r="DO30" s="60"/>
      <c r="DP30" s="60"/>
      <c r="DQ30" s="60"/>
      <c r="DR30" s="60"/>
      <c r="DS30" s="60"/>
      <c r="DT30" s="60"/>
      <c r="DU30" s="60">
        <v>1</v>
      </c>
      <c r="DV30" s="60">
        <v>0.97</v>
      </c>
      <c r="DW30" s="60">
        <v>0.95</v>
      </c>
      <c r="DX30" s="60">
        <v>0.93</v>
      </c>
      <c r="DY30" s="60">
        <f t="shared" si="114"/>
        <v>0.91</v>
      </c>
      <c r="DZ30" s="60">
        <f t="shared" si="114"/>
        <v>0.89</v>
      </c>
      <c r="EA30" s="60">
        <f t="shared" si="114"/>
        <v>0.87</v>
      </c>
      <c r="EB30" s="60">
        <f t="shared" si="114"/>
        <v>0.85</v>
      </c>
      <c r="EC30" s="60">
        <f t="shared" si="114"/>
        <v>0.83</v>
      </c>
      <c r="ED30" s="60">
        <f t="shared" si="114"/>
        <v>0.80999999999999994</v>
      </c>
      <c r="EE30" s="60">
        <f t="shared" si="114"/>
        <v>0.78999999999999992</v>
      </c>
      <c r="EF30" s="60">
        <f t="shared" si="114"/>
        <v>0.76999999999999991</v>
      </c>
      <c r="EG30" s="60">
        <f t="shared" si="114"/>
        <v>0.74999999999999989</v>
      </c>
      <c r="EH30" s="60">
        <f t="shared" si="114"/>
        <v>0.72999999999999987</v>
      </c>
      <c r="EI30" s="60">
        <f t="shared" si="114"/>
        <v>0.70999999999999985</v>
      </c>
      <c r="EJ30" s="60">
        <f t="shared" si="114"/>
        <v>0.68999999999999984</v>
      </c>
      <c r="EK30" s="60">
        <f t="shared" si="114"/>
        <v>0.66999999999999982</v>
      </c>
      <c r="EL30" s="60">
        <f t="shared" si="114"/>
        <v>0.6499999999999998</v>
      </c>
      <c r="EM30" s="60">
        <f t="shared" si="114"/>
        <v>0.62999999999999978</v>
      </c>
      <c r="EN30" s="60">
        <f t="shared" si="114"/>
        <v>0.60999999999999976</v>
      </c>
      <c r="EO30" s="60">
        <f t="shared" si="114"/>
        <v>0.58999999999999975</v>
      </c>
      <c r="EP30" s="63">
        <f t="shared" si="114"/>
        <v>0.56999999999999973</v>
      </c>
      <c r="EQ30" s="60"/>
      <c r="ER30" s="60">
        <f t="shared" si="142"/>
        <v>0</v>
      </c>
      <c r="ES30" s="60"/>
      <c r="ET30" s="60"/>
      <c r="EU30" s="60"/>
      <c r="EV30" s="60"/>
      <c r="EW30" s="60"/>
      <c r="EX30" s="60"/>
      <c r="EY30" s="60"/>
      <c r="EZ30" s="61"/>
      <c r="FA30" s="60"/>
      <c r="FB30" s="60"/>
      <c r="FC30" s="60"/>
      <c r="FD30" s="61"/>
      <c r="FE30" s="60"/>
      <c r="FF30" s="62"/>
      <c r="FG30" s="60"/>
      <c r="FH30" s="61"/>
      <c r="FI30" s="60"/>
      <c r="FJ30" s="60"/>
      <c r="FK30" s="60"/>
      <c r="FL30" s="62"/>
      <c r="FM30" s="60"/>
      <c r="FN30" s="62"/>
      <c r="FO30" s="60"/>
      <c r="FP30" s="62"/>
      <c r="FQ30" s="60"/>
      <c r="FR30" s="60"/>
      <c r="FS30" s="60"/>
      <c r="FT30" s="62"/>
      <c r="FU30" s="60"/>
      <c r="FV30" s="62"/>
      <c r="FW30" s="60"/>
      <c r="FX30" s="62"/>
      <c r="FY30" s="60"/>
      <c r="FZ30" s="62"/>
      <c r="GA30" s="60"/>
      <c r="GB30" s="60"/>
      <c r="GC30" s="60"/>
      <c r="GD30" s="62"/>
      <c r="GE30" s="60"/>
      <c r="GF30" s="62"/>
      <c r="GG30" s="60"/>
      <c r="GH30" s="60"/>
      <c r="GI30" s="60"/>
      <c r="GJ30" s="60"/>
      <c r="GK30" s="60"/>
      <c r="GL30" s="60"/>
      <c r="GM30" s="60">
        <v>1</v>
      </c>
      <c r="GN30" s="60">
        <v>0.97</v>
      </c>
      <c r="GO30" s="60">
        <v>0.95</v>
      </c>
      <c r="GP30" s="60">
        <v>0.93</v>
      </c>
      <c r="GQ30" s="60">
        <f t="shared" si="141"/>
        <v>0.91</v>
      </c>
      <c r="GR30" s="60">
        <f t="shared" si="141"/>
        <v>0.89</v>
      </c>
      <c r="GS30" s="60">
        <f t="shared" si="141"/>
        <v>0.87</v>
      </c>
      <c r="GT30" s="60">
        <f t="shared" si="141"/>
        <v>0.85</v>
      </c>
      <c r="GU30" s="60">
        <f t="shared" si="141"/>
        <v>0.83</v>
      </c>
      <c r="GV30" s="60">
        <f t="shared" si="141"/>
        <v>0.80999999999999994</v>
      </c>
      <c r="GW30" s="60">
        <f t="shared" si="141"/>
        <v>0.78999999999999992</v>
      </c>
      <c r="GX30" s="60">
        <f t="shared" si="141"/>
        <v>0.76999999999999991</v>
      </c>
      <c r="GY30" s="60">
        <f t="shared" si="141"/>
        <v>0.74999999999999989</v>
      </c>
      <c r="GZ30" s="60">
        <f t="shared" si="141"/>
        <v>0.72999999999999987</v>
      </c>
      <c r="HA30" s="60">
        <f t="shared" si="141"/>
        <v>0.70999999999999985</v>
      </c>
      <c r="HB30" s="60">
        <f t="shared" si="141"/>
        <v>0.68999999999999984</v>
      </c>
      <c r="HC30" s="60">
        <f t="shared" si="141"/>
        <v>0.66999999999999982</v>
      </c>
      <c r="HD30" s="60">
        <f t="shared" si="141"/>
        <v>0.6499999999999998</v>
      </c>
      <c r="HE30" s="60">
        <f t="shared" si="141"/>
        <v>0.62999999999999978</v>
      </c>
      <c r="HF30" s="60">
        <f t="shared" si="141"/>
        <v>0.60999999999999976</v>
      </c>
      <c r="HG30" s="60">
        <f t="shared" si="141"/>
        <v>0.58999999999999975</v>
      </c>
      <c r="HH30" s="63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70">
        <f>TRUNC(+D31*3.3058,-1)</f>
        <v>0</v>
      </c>
      <c r="H31" s="54">
        <f t="shared" si="61"/>
        <v>0</v>
      </c>
      <c r="I31" s="54">
        <f t="shared" si="62"/>
        <v>0</v>
      </c>
      <c r="J31" s="58">
        <f t="shared" si="63"/>
        <v>0</v>
      </c>
      <c r="K31" s="54">
        <f>+I31*BD31</f>
        <v>0</v>
      </c>
      <c r="L31" s="58">
        <f>+K31*3.3058</f>
        <v>0</v>
      </c>
      <c r="M31" s="54">
        <f>+I31*BE31</f>
        <v>0</v>
      </c>
      <c r="N31" s="58">
        <f>+M31*3.3058</f>
        <v>0</v>
      </c>
      <c r="O31" s="54">
        <f>+I31*BF31</f>
        <v>0</v>
      </c>
      <c r="P31" s="58">
        <f>+O31*3.3058</f>
        <v>0</v>
      </c>
      <c r="Q31" s="56">
        <f>+I31*BG31</f>
        <v>0</v>
      </c>
      <c r="R31" s="58">
        <f>+Q31*3.3058</f>
        <v>0</v>
      </c>
      <c r="S31" s="54">
        <f>+I31*BH31</f>
        <v>0</v>
      </c>
      <c r="T31" s="58">
        <f>+S31*3.3058</f>
        <v>0</v>
      </c>
      <c r="U31" s="56">
        <f>+I31*BI31</f>
        <v>0</v>
      </c>
      <c r="V31" s="58">
        <f>+U31*3.3058</f>
        <v>0</v>
      </c>
      <c r="W31" s="59">
        <f>+I31*BJ31</f>
        <v>0</v>
      </c>
      <c r="X31" s="58">
        <f>+W31*3.3058</f>
        <v>0</v>
      </c>
      <c r="Y31" s="56">
        <f>+I31*BK31</f>
        <v>0</v>
      </c>
      <c r="Z31" s="58">
        <f>+Y31*3.3058</f>
        <v>0</v>
      </c>
      <c r="AA31" s="54">
        <f>+I31*BL31</f>
        <v>0</v>
      </c>
      <c r="AB31" s="58">
        <f>+AA31*3.3058</f>
        <v>0</v>
      </c>
      <c r="AC31" s="59">
        <f>+I31*BM31</f>
        <v>0</v>
      </c>
      <c r="AD31" s="58">
        <f>+AC31*3.3058</f>
        <v>0</v>
      </c>
      <c r="AE31" s="59">
        <f>+I31*BN31</f>
        <v>0</v>
      </c>
      <c r="AF31" s="58">
        <f>+AE31*3.3058</f>
        <v>0</v>
      </c>
      <c r="AG31" s="59">
        <f>+I31*BO31</f>
        <v>0</v>
      </c>
      <c r="AH31" s="58">
        <f>+AG31*3.3058</f>
        <v>0</v>
      </c>
      <c r="AI31" s="54">
        <f>+I31*BP31</f>
        <v>0</v>
      </c>
      <c r="AJ31" s="58">
        <f>+AI31*3.3058</f>
        <v>0</v>
      </c>
      <c r="AK31" s="59">
        <f>+I31*BQ31</f>
        <v>0</v>
      </c>
      <c r="AL31" s="58">
        <f>+AK31*3.3058</f>
        <v>0</v>
      </c>
      <c r="AM31" s="59">
        <f>+I31*BR31</f>
        <v>0</v>
      </c>
      <c r="AN31" s="58">
        <f>+AM31*3.3058</f>
        <v>0</v>
      </c>
      <c r="AO31" s="59">
        <f>+I31*BS31</f>
        <v>0</v>
      </c>
      <c r="AP31" s="58">
        <f>+AO31*3.3058</f>
        <v>0</v>
      </c>
      <c r="AQ31" s="59">
        <f>+I31*BT31</f>
        <v>0</v>
      </c>
      <c r="AR31" s="58">
        <f>+AQ31*3.3058</f>
        <v>0</v>
      </c>
      <c r="AS31" s="54">
        <f>+I31*BU31</f>
        <v>0</v>
      </c>
      <c r="AT31" s="58">
        <f>+AS31*3.3058</f>
        <v>0</v>
      </c>
      <c r="AU31" s="59">
        <f>+I31*BV31</f>
        <v>0</v>
      </c>
      <c r="AV31" s="58">
        <f>+AU31*3.3058</f>
        <v>0</v>
      </c>
      <c r="AW31" s="59">
        <f>+I31*BW31</f>
        <v>0</v>
      </c>
      <c r="AX31" s="58">
        <f>+AW31*3.3058</f>
        <v>0</v>
      </c>
      <c r="AY31" s="54">
        <f>+I31*BX31</f>
        <v>0</v>
      </c>
      <c r="AZ31" s="58">
        <f>+AY31*3.3058</f>
        <v>0</v>
      </c>
      <c r="BC31" s="54">
        <v>1</v>
      </c>
      <c r="BD31" s="54">
        <v>0.97</v>
      </c>
      <c r="BE31" s="54">
        <v>0.95</v>
      </c>
      <c r="BF31" s="54">
        <v>0.93</v>
      </c>
      <c r="BG31" s="54">
        <f t="shared" ref="BG31:BX45" si="143">+BF31-0.02</f>
        <v>0.91</v>
      </c>
      <c r="BH31" s="54">
        <f t="shared" si="143"/>
        <v>0.89</v>
      </c>
      <c r="BI31" s="54">
        <f t="shared" si="143"/>
        <v>0.87</v>
      </c>
      <c r="BJ31" s="54">
        <f t="shared" si="143"/>
        <v>0.85</v>
      </c>
      <c r="BK31" s="54">
        <f t="shared" si="143"/>
        <v>0.83</v>
      </c>
      <c r="BL31" s="54">
        <f t="shared" si="143"/>
        <v>0.80999999999999994</v>
      </c>
      <c r="BM31" s="54">
        <f t="shared" si="143"/>
        <v>0.78999999999999992</v>
      </c>
      <c r="BN31" s="54">
        <f t="shared" si="143"/>
        <v>0.76999999999999991</v>
      </c>
      <c r="BO31" s="54">
        <f t="shared" si="143"/>
        <v>0.74999999999999989</v>
      </c>
      <c r="BP31" s="54">
        <f t="shared" si="143"/>
        <v>0.72999999999999987</v>
      </c>
      <c r="BQ31" s="54">
        <f t="shared" si="143"/>
        <v>0.70999999999999985</v>
      </c>
      <c r="BR31" s="54">
        <f t="shared" si="143"/>
        <v>0.68999999999999984</v>
      </c>
      <c r="BS31" s="54">
        <f t="shared" si="143"/>
        <v>0.66999999999999982</v>
      </c>
      <c r="BT31" s="54">
        <f t="shared" si="143"/>
        <v>0.6499999999999998</v>
      </c>
      <c r="BU31" s="54">
        <f t="shared" si="143"/>
        <v>0.62999999999999978</v>
      </c>
      <c r="BV31" s="54">
        <f t="shared" si="143"/>
        <v>0.60999999999999976</v>
      </c>
      <c r="BW31" s="54">
        <f t="shared" si="143"/>
        <v>0.58999999999999975</v>
      </c>
      <c r="BX31" s="54">
        <f t="shared" si="143"/>
        <v>0.56999999999999973</v>
      </c>
      <c r="BZ31" s="54">
        <f t="shared" si="88"/>
        <v>0</v>
      </c>
      <c r="CA31" s="54">
        <f t="shared" si="89"/>
        <v>0</v>
      </c>
      <c r="CB31" s="58">
        <f t="shared" ref="CB31" si="144">+CA31*3.3058</f>
        <v>0</v>
      </c>
      <c r="CC31" s="54">
        <f>+CA31*DV31</f>
        <v>0</v>
      </c>
      <c r="CD31" s="58">
        <f>+CC31*3.3058</f>
        <v>0</v>
      </c>
      <c r="CE31" s="54">
        <f>+CA31*DW31</f>
        <v>0</v>
      </c>
      <c r="CF31" s="58">
        <f>+CE31*3.3058</f>
        <v>0</v>
      </c>
      <c r="CG31" s="54">
        <f>+CA31*DX31</f>
        <v>0</v>
      </c>
      <c r="CH31" s="58">
        <f>+CG31*3.3058</f>
        <v>0</v>
      </c>
      <c r="CI31" s="56">
        <f>+CA31*DY31</f>
        <v>0</v>
      </c>
      <c r="CJ31" s="58">
        <f>+CI31*3.3058</f>
        <v>0</v>
      </c>
      <c r="CK31" s="54">
        <f>+CA31*DZ31</f>
        <v>0</v>
      </c>
      <c r="CL31" s="58">
        <f>+CK31*3.3058</f>
        <v>0</v>
      </c>
      <c r="CM31" s="56">
        <f>+CA31*EA31</f>
        <v>0</v>
      </c>
      <c r="CN31" s="58">
        <f>+CM31*3.3058</f>
        <v>0</v>
      </c>
      <c r="CO31" s="59">
        <f>+CA31*EB31</f>
        <v>0</v>
      </c>
      <c r="CP31" s="58">
        <f>+CO31*3.3058</f>
        <v>0</v>
      </c>
      <c r="CQ31" s="56">
        <f>+CA31*EC31</f>
        <v>0</v>
      </c>
      <c r="CR31" s="58">
        <f>+CQ31*3.3058</f>
        <v>0</v>
      </c>
      <c r="CS31" s="54">
        <f>+CA31*ED31</f>
        <v>0</v>
      </c>
      <c r="CT31" s="58">
        <f>+CS31*3.3058</f>
        <v>0</v>
      </c>
      <c r="CU31" s="59">
        <f>+CA31*EE31</f>
        <v>0</v>
      </c>
      <c r="CV31" s="58">
        <f>+CU31*3.3058</f>
        <v>0</v>
      </c>
      <c r="CW31" s="59">
        <f>+CA31*EF31</f>
        <v>0</v>
      </c>
      <c r="CX31" s="58">
        <f>+CW31*3.3058</f>
        <v>0</v>
      </c>
      <c r="CY31" s="59">
        <f>+CA31*EG31</f>
        <v>0</v>
      </c>
      <c r="CZ31" s="58">
        <f>+CY31*3.3058</f>
        <v>0</v>
      </c>
      <c r="DA31" s="54">
        <f>+CA31*EH31</f>
        <v>0</v>
      </c>
      <c r="DB31" s="58">
        <f>+DA31*3.3058</f>
        <v>0</v>
      </c>
      <c r="DC31" s="59">
        <f>+CA31*EI31</f>
        <v>0</v>
      </c>
      <c r="DD31" s="58">
        <f>+DC31*3.3058</f>
        <v>0</v>
      </c>
      <c r="DE31" s="59">
        <f>+CA31*EJ31</f>
        <v>0</v>
      </c>
      <c r="DF31" s="58">
        <f>+DE31*3.3058</f>
        <v>0</v>
      </c>
      <c r="DG31" s="59">
        <f>+CA31*EK31</f>
        <v>0</v>
      </c>
      <c r="DH31" s="58">
        <f>+DG31*3.3058</f>
        <v>0</v>
      </c>
      <c r="DI31" s="59">
        <f>+CA31*EL31</f>
        <v>0</v>
      </c>
      <c r="DJ31" s="58">
        <f>+DI31*3.3058</f>
        <v>0</v>
      </c>
      <c r="DK31" s="54">
        <f>+CA31*EM31</f>
        <v>0</v>
      </c>
      <c r="DL31" s="58">
        <f>+DK31*3.3058</f>
        <v>0</v>
      </c>
      <c r="DM31" s="59">
        <f>+CA31*EN31</f>
        <v>0</v>
      </c>
      <c r="DN31" s="58">
        <f>+DM31*3.3058</f>
        <v>0</v>
      </c>
      <c r="DO31" s="59">
        <f>+CA31*EO31</f>
        <v>0</v>
      </c>
      <c r="DP31" s="58">
        <f>+DO31*3.3058</f>
        <v>0</v>
      </c>
      <c r="DQ31" s="54">
        <f>+CA31*EP31</f>
        <v>0</v>
      </c>
      <c r="DR31" s="58">
        <f>+DQ31*3.3058</f>
        <v>0</v>
      </c>
      <c r="DU31" s="54">
        <v>1</v>
      </c>
      <c r="DV31" s="54">
        <v>0.97</v>
      </c>
      <c r="DW31" s="54">
        <v>0.95</v>
      </c>
      <c r="DX31" s="54">
        <v>0.93</v>
      </c>
      <c r="DY31" s="54">
        <f t="shared" si="114"/>
        <v>0.91</v>
      </c>
      <c r="DZ31" s="54">
        <f t="shared" si="114"/>
        <v>0.89</v>
      </c>
      <c r="EA31" s="54">
        <f t="shared" si="114"/>
        <v>0.87</v>
      </c>
      <c r="EB31" s="54">
        <f t="shared" si="114"/>
        <v>0.85</v>
      </c>
      <c r="EC31" s="54">
        <f t="shared" si="114"/>
        <v>0.83</v>
      </c>
      <c r="ED31" s="54">
        <f t="shared" si="114"/>
        <v>0.80999999999999994</v>
      </c>
      <c r="EE31" s="54">
        <f t="shared" si="114"/>
        <v>0.78999999999999992</v>
      </c>
      <c r="EF31" s="54">
        <f t="shared" si="114"/>
        <v>0.76999999999999991</v>
      </c>
      <c r="EG31" s="54">
        <f t="shared" si="114"/>
        <v>0.74999999999999989</v>
      </c>
      <c r="EH31" s="54">
        <f t="shared" si="114"/>
        <v>0.72999999999999987</v>
      </c>
      <c r="EI31" s="54">
        <f t="shared" si="114"/>
        <v>0.70999999999999985</v>
      </c>
      <c r="EJ31" s="54">
        <f t="shared" si="114"/>
        <v>0.68999999999999984</v>
      </c>
      <c r="EK31" s="54">
        <f t="shared" si="114"/>
        <v>0.66999999999999982</v>
      </c>
      <c r="EL31" s="54">
        <f t="shared" si="114"/>
        <v>0.6499999999999998</v>
      </c>
      <c r="EM31" s="54">
        <f t="shared" si="114"/>
        <v>0.62999999999999978</v>
      </c>
      <c r="EN31" s="54">
        <f t="shared" si="114"/>
        <v>0.60999999999999976</v>
      </c>
      <c r="EO31" s="54">
        <f t="shared" si="114"/>
        <v>0.58999999999999975</v>
      </c>
      <c r="EP31" s="54">
        <f t="shared" si="114"/>
        <v>0.56999999999999973</v>
      </c>
      <c r="ER31" s="54">
        <f t="shared" si="142"/>
        <v>0</v>
      </c>
      <c r="ES31" s="54">
        <f t="shared" si="116"/>
        <v>0</v>
      </c>
      <c r="ET31" s="58">
        <f t="shared" ref="ET31" si="145">+ES31*3.3058</f>
        <v>0</v>
      </c>
      <c r="EU31" s="54">
        <f>+ES31*GN31</f>
        <v>0</v>
      </c>
      <c r="EV31" s="58">
        <f>+EU31*3.3058</f>
        <v>0</v>
      </c>
      <c r="EW31" s="54">
        <f>+ES31*GO31</f>
        <v>0</v>
      </c>
      <c r="EX31" s="58">
        <f>+EW31*3.3058</f>
        <v>0</v>
      </c>
      <c r="EY31" s="54">
        <f>+ES31*GP31</f>
        <v>0</v>
      </c>
      <c r="EZ31" s="58">
        <f>+EY31*3.3058</f>
        <v>0</v>
      </c>
      <c r="FA31" s="56">
        <f>+ES31*GQ31</f>
        <v>0</v>
      </c>
      <c r="FB31" s="58">
        <f>+FA31*3.3058</f>
        <v>0</v>
      </c>
      <c r="FC31" s="54">
        <f>+ES31*GR31</f>
        <v>0</v>
      </c>
      <c r="FD31" s="58">
        <f>+FC31*3.3058</f>
        <v>0</v>
      </c>
      <c r="FE31" s="56">
        <f>+ES31*GS31</f>
        <v>0</v>
      </c>
      <c r="FF31" s="58">
        <f>+FE31*3.3058</f>
        <v>0</v>
      </c>
      <c r="FG31" s="59">
        <f>+ES31*GT31</f>
        <v>0</v>
      </c>
      <c r="FH31" s="58">
        <f>+FG31*3.3058</f>
        <v>0</v>
      </c>
      <c r="FI31" s="56">
        <f>+ES31*GU31</f>
        <v>0</v>
      </c>
      <c r="FJ31" s="58">
        <f>+FI31*3.3058</f>
        <v>0</v>
      </c>
      <c r="FK31" s="54">
        <f>+ES31*GV31</f>
        <v>0</v>
      </c>
      <c r="FL31" s="58">
        <f>+FK31*3.3058</f>
        <v>0</v>
      </c>
      <c r="FM31" s="59">
        <f>+ES31*GW31</f>
        <v>0</v>
      </c>
      <c r="FN31" s="58">
        <f>+FM31*3.3058</f>
        <v>0</v>
      </c>
      <c r="FO31" s="59">
        <f>+ES31*GX31</f>
        <v>0</v>
      </c>
      <c r="FP31" s="58">
        <f>+FO31*3.3058</f>
        <v>0</v>
      </c>
      <c r="FQ31" s="59">
        <f>+ES31*GY31</f>
        <v>0</v>
      </c>
      <c r="FR31" s="58">
        <f>+FQ31*3.3058</f>
        <v>0</v>
      </c>
      <c r="FS31" s="54">
        <f>+ES31*GZ31</f>
        <v>0</v>
      </c>
      <c r="FT31" s="58">
        <f>+FS31*3.3058</f>
        <v>0</v>
      </c>
      <c r="FU31" s="59">
        <f>+ES31*HA31</f>
        <v>0</v>
      </c>
      <c r="FV31" s="58">
        <f>+FU31*3.3058</f>
        <v>0</v>
      </c>
      <c r="FW31" s="59">
        <f>+ES31*HB31</f>
        <v>0</v>
      </c>
      <c r="FX31" s="58">
        <f>+FW31*3.3058</f>
        <v>0</v>
      </c>
      <c r="FY31" s="59">
        <f>+ES31*HC31</f>
        <v>0</v>
      </c>
      <c r="FZ31" s="58">
        <f>+FY31*3.3058</f>
        <v>0</v>
      </c>
      <c r="GA31" s="59">
        <f>+ES31*HD31</f>
        <v>0</v>
      </c>
      <c r="GB31" s="58">
        <f>+GA31*3.3058</f>
        <v>0</v>
      </c>
      <c r="GC31" s="54">
        <f>+ES31*HE31</f>
        <v>0</v>
      </c>
      <c r="GD31" s="58">
        <f>+GC31*3.3058</f>
        <v>0</v>
      </c>
      <c r="GE31" s="59">
        <f>+ES31*HF31</f>
        <v>0</v>
      </c>
      <c r="GF31" s="58">
        <f>+GE31*3.3058</f>
        <v>0</v>
      </c>
      <c r="GG31" s="59">
        <f>+ES31*HG31</f>
        <v>0</v>
      </c>
      <c r="GH31" s="58">
        <f>+GG31*3.3058</f>
        <v>0</v>
      </c>
      <c r="GI31" s="54">
        <f>+ES31*HH31</f>
        <v>0</v>
      </c>
      <c r="GJ31" s="58">
        <f>+GI31*3.3058</f>
        <v>0</v>
      </c>
      <c r="GK31" s="54"/>
      <c r="GL31" s="54"/>
      <c r="GM31" s="54">
        <v>1</v>
      </c>
      <c r="GN31" s="54">
        <v>0.97</v>
      </c>
      <c r="GO31" s="54">
        <v>0.95</v>
      </c>
      <c r="GP31" s="54">
        <v>0.93</v>
      </c>
      <c r="GQ31" s="54">
        <f t="shared" si="141"/>
        <v>0.91</v>
      </c>
      <c r="GR31" s="54">
        <f t="shared" si="141"/>
        <v>0.89</v>
      </c>
      <c r="GS31" s="54">
        <f t="shared" si="141"/>
        <v>0.87</v>
      </c>
      <c r="GT31" s="54">
        <f t="shared" si="141"/>
        <v>0.85</v>
      </c>
      <c r="GU31" s="54">
        <f t="shared" si="141"/>
        <v>0.83</v>
      </c>
      <c r="GV31" s="54">
        <f t="shared" si="141"/>
        <v>0.80999999999999994</v>
      </c>
      <c r="GW31" s="54">
        <f t="shared" si="141"/>
        <v>0.78999999999999992</v>
      </c>
      <c r="GX31" s="54">
        <f t="shared" si="141"/>
        <v>0.76999999999999991</v>
      </c>
      <c r="GY31" s="54">
        <f t="shared" si="141"/>
        <v>0.74999999999999989</v>
      </c>
      <c r="GZ31" s="54">
        <f t="shared" si="141"/>
        <v>0.72999999999999987</v>
      </c>
      <c r="HA31" s="54">
        <f t="shared" si="141"/>
        <v>0.70999999999999985</v>
      </c>
      <c r="HB31" s="54">
        <f t="shared" si="141"/>
        <v>0.68999999999999984</v>
      </c>
      <c r="HC31" s="54">
        <f t="shared" si="141"/>
        <v>0.66999999999999982</v>
      </c>
      <c r="HD31" s="54">
        <f t="shared" si="141"/>
        <v>0.6499999999999998</v>
      </c>
      <c r="HE31" s="54">
        <f t="shared" si="141"/>
        <v>0.62999999999999978</v>
      </c>
      <c r="HF31" s="54">
        <f t="shared" si="141"/>
        <v>0.60999999999999976</v>
      </c>
      <c r="HG31" s="54">
        <f t="shared" si="141"/>
        <v>0.58999999999999975</v>
      </c>
      <c r="HH31" s="54">
        <f t="shared" si="141"/>
        <v>0.56999999999999973</v>
      </c>
    </row>
    <row r="32" spans="1:216" s="74" customFormat="1" x14ac:dyDescent="0.3">
      <c r="C32" s="75"/>
      <c r="D32" s="75"/>
      <c r="E32" s="75"/>
      <c r="G32" s="76"/>
      <c r="H32" s="76"/>
      <c r="I32" s="76"/>
      <c r="J32" s="76"/>
      <c r="K32" s="76"/>
      <c r="L32" s="76"/>
      <c r="M32" s="76"/>
      <c r="N32" s="76"/>
      <c r="O32" s="76"/>
      <c r="P32" s="77"/>
      <c r="Q32" s="76"/>
      <c r="R32" s="76"/>
      <c r="S32" s="76"/>
      <c r="T32" s="77"/>
      <c r="U32" s="76"/>
      <c r="V32" s="77"/>
      <c r="W32" s="76"/>
      <c r="X32" s="77"/>
      <c r="Y32" s="76"/>
      <c r="Z32" s="76"/>
      <c r="AA32" s="76"/>
      <c r="AB32" s="77"/>
      <c r="AC32" s="76"/>
      <c r="AD32" s="77"/>
      <c r="AE32" s="76"/>
      <c r="AF32" s="77"/>
      <c r="AG32" s="76"/>
      <c r="AH32" s="76"/>
      <c r="AI32" s="76"/>
      <c r="AJ32" s="77"/>
      <c r="AK32" s="76"/>
      <c r="AL32" s="77"/>
      <c r="AM32" s="76"/>
      <c r="AN32" s="77"/>
      <c r="AO32" s="76"/>
      <c r="AP32" s="77"/>
      <c r="AQ32" s="76"/>
      <c r="AR32" s="76"/>
      <c r="AS32" s="76"/>
      <c r="AT32" s="77"/>
      <c r="AU32" s="76"/>
      <c r="AV32" s="77"/>
      <c r="AW32" s="76"/>
      <c r="AX32" s="76"/>
      <c r="AY32" s="76"/>
      <c r="AZ32" s="76"/>
      <c r="BA32" s="76"/>
      <c r="BB32" s="76"/>
      <c r="BC32" s="76">
        <v>1</v>
      </c>
      <c r="BD32" s="76">
        <v>0.97</v>
      </c>
      <c r="BE32" s="76">
        <v>0.95</v>
      </c>
      <c r="BF32" s="76">
        <v>0.93</v>
      </c>
      <c r="BG32" s="76">
        <f t="shared" ref="BG32:BV33" si="146">+BF32-0.02</f>
        <v>0.91</v>
      </c>
      <c r="BH32" s="76">
        <f t="shared" si="146"/>
        <v>0.89</v>
      </c>
      <c r="BI32" s="76">
        <f t="shared" si="146"/>
        <v>0.87</v>
      </c>
      <c r="BJ32" s="76">
        <f t="shared" si="146"/>
        <v>0.85</v>
      </c>
      <c r="BK32" s="76">
        <f t="shared" si="146"/>
        <v>0.83</v>
      </c>
      <c r="BL32" s="76">
        <f t="shared" si="146"/>
        <v>0.80999999999999994</v>
      </c>
      <c r="BM32" s="76">
        <f t="shared" si="146"/>
        <v>0.78999999999999992</v>
      </c>
      <c r="BN32" s="76">
        <f t="shared" si="146"/>
        <v>0.76999999999999991</v>
      </c>
      <c r="BO32" s="76">
        <f t="shared" si="146"/>
        <v>0.74999999999999989</v>
      </c>
      <c r="BP32" s="76">
        <f t="shared" si="146"/>
        <v>0.72999999999999987</v>
      </c>
      <c r="BQ32" s="76">
        <f t="shared" si="146"/>
        <v>0.70999999999999985</v>
      </c>
      <c r="BR32" s="76">
        <f t="shared" si="146"/>
        <v>0.68999999999999984</v>
      </c>
      <c r="BS32" s="76">
        <f t="shared" si="146"/>
        <v>0.66999999999999982</v>
      </c>
      <c r="BT32" s="76">
        <f t="shared" si="146"/>
        <v>0.6499999999999998</v>
      </c>
      <c r="BU32" s="76">
        <f t="shared" si="146"/>
        <v>0.62999999999999978</v>
      </c>
      <c r="BV32" s="76">
        <f t="shared" si="146"/>
        <v>0.60999999999999976</v>
      </c>
      <c r="BW32" s="76">
        <f t="shared" ref="BW32:BX33" si="147">+BV32-0.02</f>
        <v>0.58999999999999975</v>
      </c>
      <c r="BX32" s="76">
        <f t="shared" si="147"/>
        <v>0.56999999999999973</v>
      </c>
      <c r="BY32" s="76"/>
      <c r="BZ32" s="76">
        <f t="shared" si="88"/>
        <v>0</v>
      </c>
      <c r="CA32" s="76"/>
      <c r="CB32" s="76"/>
      <c r="CC32" s="76"/>
      <c r="CD32" s="76"/>
      <c r="CE32" s="76"/>
      <c r="CF32" s="76"/>
      <c r="CG32" s="76"/>
      <c r="CH32" s="77"/>
      <c r="CI32" s="76"/>
      <c r="CJ32" s="76"/>
      <c r="CK32" s="76"/>
      <c r="CL32" s="77"/>
      <c r="CM32" s="76"/>
      <c r="CN32" s="77"/>
      <c r="CO32" s="76"/>
      <c r="CP32" s="77"/>
      <c r="CQ32" s="76"/>
      <c r="CR32" s="76"/>
      <c r="CS32" s="76"/>
      <c r="CT32" s="77"/>
      <c r="CU32" s="76"/>
      <c r="CV32" s="77"/>
      <c r="CW32" s="76"/>
      <c r="CX32" s="77"/>
      <c r="CY32" s="76"/>
      <c r="CZ32" s="76"/>
      <c r="DA32" s="76"/>
      <c r="DB32" s="77"/>
      <c r="DC32" s="76"/>
      <c r="DD32" s="77"/>
      <c r="DE32" s="76"/>
      <c r="DF32" s="77"/>
      <c r="DG32" s="76"/>
      <c r="DH32" s="77"/>
      <c r="DI32" s="76"/>
      <c r="DJ32" s="76"/>
      <c r="DK32" s="76"/>
      <c r="DL32" s="77"/>
      <c r="DM32" s="76"/>
      <c r="DN32" s="77"/>
      <c r="DO32" s="76"/>
      <c r="DP32" s="76"/>
      <c r="DQ32" s="76"/>
      <c r="DR32" s="76"/>
      <c r="DS32" s="76"/>
      <c r="DT32" s="76"/>
      <c r="DU32" s="76">
        <v>1</v>
      </c>
      <c r="DV32" s="76">
        <v>0.97</v>
      </c>
      <c r="DW32" s="76">
        <v>0.95</v>
      </c>
      <c r="DX32" s="76">
        <v>0.93</v>
      </c>
      <c r="DY32" s="76">
        <f t="shared" ref="DY32:EN33" si="148">+DX32-0.02</f>
        <v>0.91</v>
      </c>
      <c r="DZ32" s="76">
        <f t="shared" si="148"/>
        <v>0.89</v>
      </c>
      <c r="EA32" s="76">
        <f t="shared" si="148"/>
        <v>0.87</v>
      </c>
      <c r="EB32" s="76">
        <f t="shared" si="148"/>
        <v>0.85</v>
      </c>
      <c r="EC32" s="76">
        <f t="shared" si="148"/>
        <v>0.83</v>
      </c>
      <c r="ED32" s="76">
        <f t="shared" si="148"/>
        <v>0.80999999999999994</v>
      </c>
      <c r="EE32" s="76">
        <f t="shared" si="148"/>
        <v>0.78999999999999992</v>
      </c>
      <c r="EF32" s="76">
        <f t="shared" si="148"/>
        <v>0.76999999999999991</v>
      </c>
      <c r="EG32" s="76">
        <f t="shared" si="148"/>
        <v>0.74999999999999989</v>
      </c>
      <c r="EH32" s="76">
        <f t="shared" si="148"/>
        <v>0.72999999999999987</v>
      </c>
      <c r="EI32" s="76">
        <f t="shared" si="148"/>
        <v>0.70999999999999985</v>
      </c>
      <c r="EJ32" s="76">
        <f t="shared" si="148"/>
        <v>0.68999999999999984</v>
      </c>
      <c r="EK32" s="76">
        <f t="shared" si="148"/>
        <v>0.66999999999999982</v>
      </c>
      <c r="EL32" s="76">
        <f t="shared" si="148"/>
        <v>0.6499999999999998</v>
      </c>
      <c r="EM32" s="76">
        <f t="shared" si="148"/>
        <v>0.62999999999999978</v>
      </c>
      <c r="EN32" s="76">
        <f t="shared" si="148"/>
        <v>0.60999999999999976</v>
      </c>
      <c r="EO32" s="76">
        <f t="shared" ref="EO32:EP33" si="149">+EN32-0.02</f>
        <v>0.58999999999999975</v>
      </c>
      <c r="EP32" s="74">
        <f t="shared" si="149"/>
        <v>0.56999999999999973</v>
      </c>
      <c r="EQ32" s="76"/>
      <c r="ER32" s="76">
        <f t="shared" si="142"/>
        <v>0</v>
      </c>
      <c r="ES32" s="76"/>
      <c r="ET32" s="76"/>
      <c r="EU32" s="76"/>
      <c r="EV32" s="76"/>
      <c r="EW32" s="76"/>
      <c r="EX32" s="76"/>
      <c r="EY32" s="76"/>
      <c r="EZ32" s="77"/>
      <c r="FA32" s="76"/>
      <c r="FB32" s="76"/>
      <c r="FC32" s="76"/>
      <c r="FD32" s="77"/>
      <c r="FE32" s="76"/>
      <c r="FF32" s="77"/>
      <c r="FG32" s="76"/>
      <c r="FH32" s="77"/>
      <c r="FI32" s="76"/>
      <c r="FJ32" s="76"/>
      <c r="FK32" s="76"/>
      <c r="FL32" s="77"/>
      <c r="FM32" s="76"/>
      <c r="FN32" s="77"/>
      <c r="FO32" s="76"/>
      <c r="FP32" s="77"/>
      <c r="FQ32" s="76"/>
      <c r="FR32" s="76"/>
      <c r="FS32" s="76"/>
      <c r="FT32" s="77"/>
      <c r="FU32" s="76"/>
      <c r="FV32" s="77"/>
      <c r="FW32" s="76"/>
      <c r="FX32" s="77"/>
      <c r="FY32" s="76"/>
      <c r="FZ32" s="77"/>
      <c r="GA32" s="76"/>
      <c r="GB32" s="76"/>
      <c r="GC32" s="76"/>
      <c r="GD32" s="77"/>
      <c r="GE32" s="76"/>
      <c r="GF32" s="77"/>
      <c r="GG32" s="76"/>
      <c r="GH32" s="76"/>
      <c r="GI32" s="76"/>
      <c r="GJ32" s="76"/>
      <c r="GK32" s="76"/>
      <c r="GL32" s="76"/>
      <c r="GM32" s="76">
        <v>1</v>
      </c>
      <c r="GN32" s="76">
        <v>0.97</v>
      </c>
      <c r="GO32" s="76">
        <v>0.95</v>
      </c>
      <c r="GP32" s="76">
        <v>0.93</v>
      </c>
      <c r="GQ32" s="76">
        <f t="shared" ref="GQ32:HF33" si="150">+GP32-0.02</f>
        <v>0.91</v>
      </c>
      <c r="GR32" s="76">
        <f t="shared" si="150"/>
        <v>0.89</v>
      </c>
      <c r="GS32" s="76">
        <f t="shared" si="150"/>
        <v>0.87</v>
      </c>
      <c r="GT32" s="76">
        <f t="shared" si="150"/>
        <v>0.85</v>
      </c>
      <c r="GU32" s="76">
        <f t="shared" si="150"/>
        <v>0.83</v>
      </c>
      <c r="GV32" s="76">
        <f t="shared" si="150"/>
        <v>0.80999999999999994</v>
      </c>
      <c r="GW32" s="76">
        <f t="shared" si="150"/>
        <v>0.78999999999999992</v>
      </c>
      <c r="GX32" s="76">
        <f t="shared" si="150"/>
        <v>0.76999999999999991</v>
      </c>
      <c r="GY32" s="76">
        <f t="shared" si="150"/>
        <v>0.74999999999999989</v>
      </c>
      <c r="GZ32" s="76">
        <f t="shared" si="150"/>
        <v>0.72999999999999987</v>
      </c>
      <c r="HA32" s="76">
        <f t="shared" si="150"/>
        <v>0.70999999999999985</v>
      </c>
      <c r="HB32" s="76">
        <f t="shared" si="150"/>
        <v>0.68999999999999984</v>
      </c>
      <c r="HC32" s="76">
        <f t="shared" si="150"/>
        <v>0.66999999999999982</v>
      </c>
      <c r="HD32" s="76">
        <f t="shared" si="150"/>
        <v>0.6499999999999998</v>
      </c>
      <c r="HE32" s="76">
        <f t="shared" si="150"/>
        <v>0.62999999999999978</v>
      </c>
      <c r="HF32" s="76">
        <f t="shared" si="150"/>
        <v>0.60999999999999976</v>
      </c>
      <c r="HG32" s="76">
        <f t="shared" ref="HG32:HH33" si="151">+HF32-0.02</f>
        <v>0.58999999999999975</v>
      </c>
      <c r="HH32" s="74">
        <f t="shared" si="151"/>
        <v>0.56999999999999973</v>
      </c>
    </row>
    <row r="33" spans="1:216" s="74" customFormat="1" ht="17.25" thickBot="1" x14ac:dyDescent="0.35">
      <c r="B33" s="74" t="s">
        <v>112</v>
      </c>
      <c r="C33" s="74" t="s">
        <v>294</v>
      </c>
      <c r="D33" s="75" t="s">
        <v>325</v>
      </c>
      <c r="E33" s="75" t="s">
        <v>326</v>
      </c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76"/>
      <c r="R33" s="76"/>
      <c r="S33" s="76"/>
      <c r="T33" s="77"/>
      <c r="U33" s="76"/>
      <c r="V33" s="77"/>
      <c r="W33" s="76"/>
      <c r="X33" s="77"/>
      <c r="Y33" s="76"/>
      <c r="Z33" s="76"/>
      <c r="AA33" s="76"/>
      <c r="AB33" s="77"/>
      <c r="AC33" s="76"/>
      <c r="AD33" s="77"/>
      <c r="AE33" s="76"/>
      <c r="AF33" s="77"/>
      <c r="AG33" s="76"/>
      <c r="AH33" s="76"/>
      <c r="AI33" s="76"/>
      <c r="AJ33" s="77"/>
      <c r="AK33" s="76"/>
      <c r="AL33" s="77"/>
      <c r="AM33" s="76"/>
      <c r="AN33" s="77"/>
      <c r="AO33" s="76"/>
      <c r="AP33" s="77"/>
      <c r="AQ33" s="76"/>
      <c r="AR33" s="76"/>
      <c r="AS33" s="76"/>
      <c r="AT33" s="77"/>
      <c r="AU33" s="76"/>
      <c r="AV33" s="77"/>
      <c r="AW33" s="76"/>
      <c r="AX33" s="76"/>
      <c r="AY33" s="76"/>
      <c r="AZ33" s="76"/>
      <c r="BA33" s="76"/>
      <c r="BB33" s="76"/>
      <c r="BC33" s="76">
        <v>1</v>
      </c>
      <c r="BD33" s="76">
        <v>0.97</v>
      </c>
      <c r="BE33" s="76">
        <v>0.95</v>
      </c>
      <c r="BF33" s="76">
        <v>0.93</v>
      </c>
      <c r="BG33" s="76">
        <f t="shared" si="146"/>
        <v>0.91</v>
      </c>
      <c r="BH33" s="76">
        <f t="shared" si="146"/>
        <v>0.89</v>
      </c>
      <c r="BI33" s="76">
        <f t="shared" si="146"/>
        <v>0.87</v>
      </c>
      <c r="BJ33" s="76">
        <f t="shared" si="146"/>
        <v>0.85</v>
      </c>
      <c r="BK33" s="76">
        <f t="shared" si="146"/>
        <v>0.83</v>
      </c>
      <c r="BL33" s="76">
        <f t="shared" si="146"/>
        <v>0.80999999999999994</v>
      </c>
      <c r="BM33" s="76">
        <f t="shared" si="146"/>
        <v>0.78999999999999992</v>
      </c>
      <c r="BN33" s="76">
        <f t="shared" si="146"/>
        <v>0.76999999999999991</v>
      </c>
      <c r="BO33" s="76">
        <f t="shared" si="146"/>
        <v>0.74999999999999989</v>
      </c>
      <c r="BP33" s="76">
        <f t="shared" si="146"/>
        <v>0.72999999999999987</v>
      </c>
      <c r="BQ33" s="76">
        <f t="shared" si="146"/>
        <v>0.70999999999999985</v>
      </c>
      <c r="BR33" s="76">
        <f t="shared" si="146"/>
        <v>0.68999999999999984</v>
      </c>
      <c r="BS33" s="76">
        <f t="shared" si="146"/>
        <v>0.66999999999999982</v>
      </c>
      <c r="BT33" s="76">
        <f t="shared" si="146"/>
        <v>0.6499999999999998</v>
      </c>
      <c r="BU33" s="76">
        <f t="shared" si="146"/>
        <v>0.62999999999999978</v>
      </c>
      <c r="BV33" s="76">
        <f t="shared" si="146"/>
        <v>0.60999999999999976</v>
      </c>
      <c r="BW33" s="76">
        <f t="shared" si="147"/>
        <v>0.58999999999999975</v>
      </c>
      <c r="BX33" s="76">
        <f t="shared" si="147"/>
        <v>0.56999999999999973</v>
      </c>
      <c r="BY33" s="76"/>
      <c r="BZ33" s="76">
        <f t="shared" si="88"/>
        <v>0</v>
      </c>
      <c r="CA33" s="76"/>
      <c r="CB33" s="76"/>
      <c r="CC33" s="76"/>
      <c r="CD33" s="76"/>
      <c r="CE33" s="76"/>
      <c r="CF33" s="76"/>
      <c r="CG33" s="76"/>
      <c r="CH33" s="77"/>
      <c r="CI33" s="76"/>
      <c r="CJ33" s="76"/>
      <c r="CK33" s="76"/>
      <c r="CL33" s="77"/>
      <c r="CM33" s="76"/>
      <c r="CN33" s="77"/>
      <c r="CO33" s="76"/>
      <c r="CP33" s="77"/>
      <c r="CQ33" s="76"/>
      <c r="CR33" s="76"/>
      <c r="CS33" s="76"/>
      <c r="CT33" s="77"/>
      <c r="CU33" s="76"/>
      <c r="CV33" s="77"/>
      <c r="CW33" s="76"/>
      <c r="CX33" s="77"/>
      <c r="CY33" s="76"/>
      <c r="CZ33" s="76"/>
      <c r="DA33" s="76"/>
      <c r="DB33" s="77"/>
      <c r="DC33" s="76"/>
      <c r="DD33" s="77"/>
      <c r="DE33" s="76"/>
      <c r="DF33" s="77"/>
      <c r="DG33" s="76"/>
      <c r="DH33" s="77"/>
      <c r="DI33" s="76"/>
      <c r="DJ33" s="76"/>
      <c r="DK33" s="76"/>
      <c r="DL33" s="77"/>
      <c r="DM33" s="76"/>
      <c r="DN33" s="77"/>
      <c r="DO33" s="76"/>
      <c r="DP33" s="76"/>
      <c r="DQ33" s="76"/>
      <c r="DR33" s="76"/>
      <c r="DS33" s="76"/>
      <c r="DT33" s="76"/>
      <c r="DU33" s="76">
        <v>1</v>
      </c>
      <c r="DV33" s="76">
        <v>0.97</v>
      </c>
      <c r="DW33" s="76">
        <v>0.95</v>
      </c>
      <c r="DX33" s="76">
        <v>0.93</v>
      </c>
      <c r="DY33" s="76">
        <f t="shared" si="148"/>
        <v>0.91</v>
      </c>
      <c r="DZ33" s="76">
        <f t="shared" si="148"/>
        <v>0.89</v>
      </c>
      <c r="EA33" s="76">
        <f t="shared" si="148"/>
        <v>0.87</v>
      </c>
      <c r="EB33" s="76">
        <f t="shared" si="148"/>
        <v>0.85</v>
      </c>
      <c r="EC33" s="76">
        <f t="shared" si="148"/>
        <v>0.83</v>
      </c>
      <c r="ED33" s="76">
        <f t="shared" si="148"/>
        <v>0.80999999999999994</v>
      </c>
      <c r="EE33" s="76">
        <f t="shared" si="148"/>
        <v>0.78999999999999992</v>
      </c>
      <c r="EF33" s="76">
        <f t="shared" si="148"/>
        <v>0.76999999999999991</v>
      </c>
      <c r="EG33" s="76">
        <f t="shared" si="148"/>
        <v>0.74999999999999989</v>
      </c>
      <c r="EH33" s="76">
        <f t="shared" si="148"/>
        <v>0.72999999999999987</v>
      </c>
      <c r="EI33" s="76">
        <f t="shared" si="148"/>
        <v>0.70999999999999985</v>
      </c>
      <c r="EJ33" s="76">
        <f t="shared" si="148"/>
        <v>0.68999999999999984</v>
      </c>
      <c r="EK33" s="76">
        <f t="shared" si="148"/>
        <v>0.66999999999999982</v>
      </c>
      <c r="EL33" s="76">
        <f t="shared" si="148"/>
        <v>0.6499999999999998</v>
      </c>
      <c r="EM33" s="76">
        <f t="shared" si="148"/>
        <v>0.62999999999999978</v>
      </c>
      <c r="EN33" s="76">
        <f t="shared" si="148"/>
        <v>0.60999999999999976</v>
      </c>
      <c r="EO33" s="76">
        <f t="shared" si="149"/>
        <v>0.58999999999999975</v>
      </c>
      <c r="EP33" s="74">
        <f t="shared" si="149"/>
        <v>0.56999999999999973</v>
      </c>
      <c r="EQ33" s="76"/>
      <c r="ER33" s="76">
        <f t="shared" si="142"/>
        <v>0</v>
      </c>
      <c r="ES33" s="76"/>
      <c r="ET33" s="76"/>
      <c r="EU33" s="76"/>
      <c r="EV33" s="76"/>
      <c r="EW33" s="76"/>
      <c r="EX33" s="76"/>
      <c r="EY33" s="76"/>
      <c r="EZ33" s="77"/>
      <c r="FA33" s="76"/>
      <c r="FB33" s="76"/>
      <c r="FC33" s="76"/>
      <c r="FD33" s="77"/>
      <c r="FE33" s="76"/>
      <c r="FF33" s="77"/>
      <c r="FG33" s="76"/>
      <c r="FH33" s="77"/>
      <c r="FI33" s="76"/>
      <c r="FJ33" s="76"/>
      <c r="FK33" s="76"/>
      <c r="FL33" s="77"/>
      <c r="FM33" s="76"/>
      <c r="FN33" s="77"/>
      <c r="FO33" s="76"/>
      <c r="FP33" s="77"/>
      <c r="FQ33" s="76"/>
      <c r="FR33" s="76"/>
      <c r="FS33" s="76"/>
      <c r="FT33" s="77"/>
      <c r="FU33" s="76"/>
      <c r="FV33" s="77"/>
      <c r="FW33" s="76"/>
      <c r="FX33" s="77"/>
      <c r="FY33" s="76"/>
      <c r="FZ33" s="77"/>
      <c r="GA33" s="76"/>
      <c r="GB33" s="76"/>
      <c r="GC33" s="76"/>
      <c r="GD33" s="77"/>
      <c r="GE33" s="76"/>
      <c r="GF33" s="77"/>
      <c r="GG33" s="76"/>
      <c r="GH33" s="76"/>
      <c r="GI33" s="76"/>
      <c r="GJ33" s="76"/>
      <c r="GK33" s="76"/>
      <c r="GL33" s="76"/>
      <c r="GM33" s="76">
        <v>1</v>
      </c>
      <c r="GN33" s="76">
        <v>0.97</v>
      </c>
      <c r="GO33" s="76">
        <v>0.95</v>
      </c>
      <c r="GP33" s="76">
        <v>0.93</v>
      </c>
      <c r="GQ33" s="76">
        <f t="shared" si="150"/>
        <v>0.91</v>
      </c>
      <c r="GR33" s="76">
        <f t="shared" si="150"/>
        <v>0.89</v>
      </c>
      <c r="GS33" s="76">
        <f t="shared" si="150"/>
        <v>0.87</v>
      </c>
      <c r="GT33" s="76">
        <f t="shared" si="150"/>
        <v>0.85</v>
      </c>
      <c r="GU33" s="76">
        <f t="shared" si="150"/>
        <v>0.83</v>
      </c>
      <c r="GV33" s="76">
        <f t="shared" si="150"/>
        <v>0.80999999999999994</v>
      </c>
      <c r="GW33" s="76">
        <f t="shared" si="150"/>
        <v>0.78999999999999992</v>
      </c>
      <c r="GX33" s="76">
        <f t="shared" si="150"/>
        <v>0.76999999999999991</v>
      </c>
      <c r="GY33" s="76">
        <f t="shared" si="150"/>
        <v>0.74999999999999989</v>
      </c>
      <c r="GZ33" s="76">
        <f t="shared" si="150"/>
        <v>0.72999999999999987</v>
      </c>
      <c r="HA33" s="76">
        <f t="shared" si="150"/>
        <v>0.70999999999999985</v>
      </c>
      <c r="HB33" s="76">
        <f t="shared" si="150"/>
        <v>0.68999999999999984</v>
      </c>
      <c r="HC33" s="76">
        <f t="shared" si="150"/>
        <v>0.66999999999999982</v>
      </c>
      <c r="HD33" s="76">
        <f t="shared" si="150"/>
        <v>0.6499999999999998</v>
      </c>
      <c r="HE33" s="76">
        <f t="shared" si="150"/>
        <v>0.62999999999999978</v>
      </c>
      <c r="HF33" s="76">
        <f t="shared" si="150"/>
        <v>0.60999999999999976</v>
      </c>
      <c r="HG33" s="76">
        <f t="shared" si="151"/>
        <v>0.58999999999999975</v>
      </c>
      <c r="HH33" s="74">
        <f t="shared" si="151"/>
        <v>0.56999999999999973</v>
      </c>
    </row>
    <row r="34" spans="1:216" x14ac:dyDescent="0.3">
      <c r="A34" s="2">
        <v>1</v>
      </c>
      <c r="C34" s="38" t="s">
        <v>15</v>
      </c>
      <c r="D34" s="40">
        <v>31510</v>
      </c>
      <c r="E34" s="71">
        <f t="shared" ref="E34:E53" si="152">TRUNC(+D34*3.3058,-1)</f>
        <v>104160</v>
      </c>
      <c r="H34" s="54">
        <f t="shared" si="61"/>
        <v>114576.00000000001</v>
      </c>
      <c r="I34" s="54">
        <f t="shared" si="62"/>
        <v>114576.00000000001</v>
      </c>
      <c r="J34" s="58">
        <f t="shared" si="63"/>
        <v>378765.34080000006</v>
      </c>
      <c r="K34" s="54">
        <f t="shared" ref="K34:K54" si="153">+I34*BD34</f>
        <v>111138.72000000002</v>
      </c>
      <c r="L34" s="58">
        <f t="shared" ref="L34:L54" si="154">+K34*3.3058</f>
        <v>367402.38057600008</v>
      </c>
      <c r="M34" s="54">
        <f t="shared" ref="M34:M54" si="155">+I34*BE34</f>
        <v>108847.20000000001</v>
      </c>
      <c r="N34" s="58">
        <f t="shared" ref="N34:N54" si="156">+M34*3.3058</f>
        <v>359827.07376000006</v>
      </c>
      <c r="O34" s="54">
        <f t="shared" ref="O34:O54" si="157">+I34*BF34</f>
        <v>106555.68000000002</v>
      </c>
      <c r="P34" s="58">
        <f t="shared" ref="P34:P54" si="158">+O34*3.3058</f>
        <v>352251.76694400009</v>
      </c>
      <c r="Q34" s="56">
        <f t="shared" ref="Q34:Q54" si="159">+I34*BG34</f>
        <v>104264.16000000002</v>
      </c>
      <c r="R34" s="58">
        <f t="shared" ref="R34:R54" si="160">+Q34*3.3058</f>
        <v>344676.46012800006</v>
      </c>
      <c r="S34" s="54">
        <f t="shared" ref="S34:S54" si="161">+I34*BH34</f>
        <v>101972.64000000001</v>
      </c>
      <c r="T34" s="58">
        <f t="shared" ref="T34:T54" si="162">+S34*3.3058</f>
        <v>337101.15331200004</v>
      </c>
      <c r="U34" s="56">
        <f t="shared" ref="U34:U54" si="163">+I34*BI34</f>
        <v>99681.12000000001</v>
      </c>
      <c r="V34" s="58">
        <f t="shared" ref="V34:V54" si="164">+U34*3.3058</f>
        <v>329525.84649600001</v>
      </c>
      <c r="W34" s="59">
        <f t="shared" ref="W34:W54" si="165">+I34*BJ34</f>
        <v>97389.6</v>
      </c>
      <c r="X34" s="58">
        <f t="shared" ref="X34:X54" si="166">+W34*3.3058</f>
        <v>321950.53968000005</v>
      </c>
      <c r="Y34" s="56">
        <f t="shared" ref="Y34:Y54" si="167">+I34*BK34</f>
        <v>95098.08</v>
      </c>
      <c r="Z34" s="58">
        <f t="shared" ref="Z34:Z54" si="168">+Y34*3.3058</f>
        <v>314375.23286400002</v>
      </c>
      <c r="AA34" s="54">
        <f t="shared" ref="AA34:AA54" si="169">+I34*BL34</f>
        <v>92806.560000000012</v>
      </c>
      <c r="AB34" s="58">
        <f t="shared" ref="AB34:AB54" si="170">+AA34*3.3058</f>
        <v>306799.92604800005</v>
      </c>
      <c r="AC34" s="59">
        <f t="shared" ref="AC34:AC54" si="171">+I34*BM34</f>
        <v>90515.040000000008</v>
      </c>
      <c r="AD34" s="58">
        <f t="shared" ref="AD34:AD54" si="172">+AC34*3.3058</f>
        <v>299224.61923200003</v>
      </c>
      <c r="AE34" s="59">
        <f t="shared" ref="AE34:AE54" si="173">+I34*BN34</f>
        <v>88223.52</v>
      </c>
      <c r="AF34" s="58">
        <f t="shared" ref="AF34:AF54" si="174">+AE34*3.3058</f>
        <v>291649.312416</v>
      </c>
      <c r="AG34" s="59">
        <f t="shared" ref="AG34:AG54" si="175">+I34*BO34</f>
        <v>85932</v>
      </c>
      <c r="AH34" s="58">
        <f t="shared" ref="AH34:AH54" si="176">+AG34*3.3058</f>
        <v>284074.00560000003</v>
      </c>
      <c r="AI34" s="54">
        <f t="shared" ref="AI34:AI54" si="177">+I34*BP34</f>
        <v>83640.479999999996</v>
      </c>
      <c r="AJ34" s="58">
        <f t="shared" ref="AJ34:AJ54" si="178">+AI34*3.3058</f>
        <v>276498.69878400001</v>
      </c>
      <c r="AK34" s="59">
        <f t="shared" ref="AK34:AK54" si="179">+I34*BQ34</f>
        <v>81348.959999999992</v>
      </c>
      <c r="AL34" s="58">
        <f t="shared" ref="AL34:AL54" si="180">+AK34*3.3058</f>
        <v>268923.39196799998</v>
      </c>
      <c r="AM34" s="59">
        <f t="shared" ref="AM34:AM54" si="181">+I34*BR34</f>
        <v>79057.439999999988</v>
      </c>
      <c r="AN34" s="58">
        <f t="shared" ref="AN34:AN54" si="182">+AM34*3.3058</f>
        <v>261348.08515199996</v>
      </c>
      <c r="AO34" s="59">
        <f t="shared" ref="AO34:AO54" si="183">+I34*BS34</f>
        <v>76765.919999999984</v>
      </c>
      <c r="AP34" s="58">
        <f t="shared" ref="AP34:AP54" si="184">+AO34*3.3058</f>
        <v>253772.77833599996</v>
      </c>
      <c r="AQ34" s="59">
        <f t="shared" ref="AQ34:AQ54" si="185">+I34*BT34</f>
        <v>74474.39999999998</v>
      </c>
      <c r="AR34" s="58">
        <f t="shared" ref="AR34:AR54" si="186">+AQ34*3.3058</f>
        <v>246197.47151999993</v>
      </c>
      <c r="AS34" s="54">
        <f t="shared" ref="AS34:AS54" si="187">+I34*BU34</f>
        <v>72182.87999999999</v>
      </c>
      <c r="AT34" s="58">
        <f t="shared" ref="AT34:AT54" si="188">+AS34*3.3058</f>
        <v>238622.16470399997</v>
      </c>
      <c r="AU34" s="59">
        <f t="shared" ref="AU34:AU54" si="189">+I34*BV34</f>
        <v>69891.359999999986</v>
      </c>
      <c r="AV34" s="58">
        <f t="shared" ref="AV34:AV54" si="190">+AU34*3.3058</f>
        <v>231046.85788799997</v>
      </c>
      <c r="AW34" s="59">
        <f t="shared" ref="AW34:AW54" si="191">+I34*BW34</f>
        <v>67599.839999999982</v>
      </c>
      <c r="AX34" s="58">
        <f t="shared" ref="AX34:AX54" si="192">+AW34*3.3058</f>
        <v>223471.55107199994</v>
      </c>
      <c r="AY34" s="54">
        <f t="shared" ref="AY34:AY54" si="193">+I34*BX34</f>
        <v>65308.319999999978</v>
      </c>
      <c r="AZ34" s="58">
        <f t="shared" ref="AZ34:AZ54" si="194">+AY34*3.3058</f>
        <v>215896.24425599992</v>
      </c>
      <c r="BC34" s="54">
        <v>1</v>
      </c>
      <c r="BD34" s="54">
        <v>0.97</v>
      </c>
      <c r="BE34" s="54">
        <v>0.95</v>
      </c>
      <c r="BF34" s="54">
        <v>0.93</v>
      </c>
      <c r="BG34" s="54">
        <f t="shared" si="143"/>
        <v>0.91</v>
      </c>
      <c r="BH34" s="54">
        <f t="shared" si="143"/>
        <v>0.89</v>
      </c>
      <c r="BI34" s="54">
        <f t="shared" si="143"/>
        <v>0.87</v>
      </c>
      <c r="BJ34" s="54">
        <f t="shared" si="143"/>
        <v>0.85</v>
      </c>
      <c r="BK34" s="54">
        <f t="shared" si="143"/>
        <v>0.83</v>
      </c>
      <c r="BL34" s="54">
        <f t="shared" si="143"/>
        <v>0.80999999999999994</v>
      </c>
      <c r="BM34" s="54">
        <f t="shared" si="143"/>
        <v>0.78999999999999992</v>
      </c>
      <c r="BN34" s="54">
        <f t="shared" si="143"/>
        <v>0.76999999999999991</v>
      </c>
      <c r="BO34" s="54">
        <f t="shared" si="143"/>
        <v>0.74999999999999989</v>
      </c>
      <c r="BP34" s="54">
        <f t="shared" si="143"/>
        <v>0.72999999999999987</v>
      </c>
      <c r="BQ34" s="54">
        <f t="shared" si="143"/>
        <v>0.70999999999999985</v>
      </c>
      <c r="BR34" s="54">
        <f t="shared" si="143"/>
        <v>0.68999999999999984</v>
      </c>
      <c r="BS34" s="54">
        <f t="shared" si="143"/>
        <v>0.66999999999999982</v>
      </c>
      <c r="BT34" s="54">
        <f t="shared" si="143"/>
        <v>0.6499999999999998</v>
      </c>
      <c r="BU34" s="54">
        <f t="shared" si="143"/>
        <v>0.62999999999999978</v>
      </c>
      <c r="BV34" s="54">
        <f t="shared" si="143"/>
        <v>0.60999999999999976</v>
      </c>
      <c r="BW34" s="54">
        <f t="shared" si="143"/>
        <v>0.58999999999999975</v>
      </c>
      <c r="BX34" s="54">
        <f t="shared" si="143"/>
        <v>0.56999999999999973</v>
      </c>
      <c r="BZ34" s="54">
        <f t="shared" si="88"/>
        <v>104264.16000000002</v>
      </c>
      <c r="CA34" s="54">
        <f t="shared" si="89"/>
        <v>104264.16000000002</v>
      </c>
      <c r="CB34" s="58">
        <f t="shared" ref="CB34:CB54" si="195">+CA34*3.3058</f>
        <v>344676.46012800006</v>
      </c>
      <c r="CC34" s="54">
        <f t="shared" ref="CC34:CC54" si="196">+CA34*DV34</f>
        <v>101136.23520000001</v>
      </c>
      <c r="CD34" s="58">
        <f t="shared" ref="CD34:CD54" si="197">+CC34*3.3058</f>
        <v>334336.16632416006</v>
      </c>
      <c r="CE34" s="54">
        <f t="shared" ref="CE34:CE54" si="198">+CA34*DW34</f>
        <v>99050.952000000019</v>
      </c>
      <c r="CF34" s="58">
        <f t="shared" ref="CF34:CF54" si="199">+CE34*3.3058</f>
        <v>327442.6371216001</v>
      </c>
      <c r="CG34" s="54">
        <f t="shared" ref="CG34:CG54" si="200">+CA34*DX34</f>
        <v>96965.668800000029</v>
      </c>
      <c r="CH34" s="58">
        <f t="shared" ref="CH34:CH54" si="201">+CG34*3.3058</f>
        <v>320549.10791904008</v>
      </c>
      <c r="CI34" s="56">
        <f t="shared" ref="CI34:CI54" si="202">+CA34*DY34</f>
        <v>94880.385600000023</v>
      </c>
      <c r="CJ34" s="58">
        <f t="shared" ref="CJ34:CJ54" si="203">+CI34*3.3058</f>
        <v>313655.57871648006</v>
      </c>
      <c r="CK34" s="54">
        <f t="shared" ref="CK34:CK54" si="204">+CA34*DZ34</f>
        <v>92795.102400000018</v>
      </c>
      <c r="CL34" s="58">
        <f t="shared" ref="CL34:CL54" si="205">+CK34*3.3058</f>
        <v>306762.04951392009</v>
      </c>
      <c r="CM34" s="56">
        <f t="shared" ref="CM34:CM54" si="206">+CA34*EA34</f>
        <v>90709.819200000013</v>
      </c>
      <c r="CN34" s="58">
        <f t="shared" ref="CN34:CN54" si="207">+CM34*3.3058</f>
        <v>299868.52031136007</v>
      </c>
      <c r="CO34" s="59">
        <f t="shared" ref="CO34:CO54" si="208">+CA34*EB34</f>
        <v>88624.536000000007</v>
      </c>
      <c r="CP34" s="58">
        <f t="shared" ref="CP34:CP54" si="209">+CO34*3.3058</f>
        <v>292974.99110880005</v>
      </c>
      <c r="CQ34" s="56">
        <f t="shared" ref="CQ34:CQ54" si="210">+CA34*EC34</f>
        <v>86539.252800000017</v>
      </c>
      <c r="CR34" s="58">
        <f t="shared" ref="CR34:CR54" si="211">+CQ34*3.3058</f>
        <v>286081.46190624009</v>
      </c>
      <c r="CS34" s="54">
        <f t="shared" ref="CS34:CS54" si="212">+CA34*ED34</f>
        <v>84453.969600000011</v>
      </c>
      <c r="CT34" s="58">
        <f t="shared" ref="CT34:CT54" si="213">+CS34*3.3058</f>
        <v>279187.93270368007</v>
      </c>
      <c r="CU34" s="59">
        <f t="shared" ref="CU34:CU54" si="214">+CA34*EE34</f>
        <v>82368.686400000006</v>
      </c>
      <c r="CV34" s="58">
        <f t="shared" ref="CV34:CV54" si="215">+CU34*3.3058</f>
        <v>272294.40350112005</v>
      </c>
      <c r="CW34" s="59">
        <f t="shared" ref="CW34:CW54" si="216">+CA34*EF34</f>
        <v>80283.403200000001</v>
      </c>
      <c r="CX34" s="58">
        <f t="shared" ref="CX34:CX54" si="217">+CW34*3.3058</f>
        <v>265400.87429856003</v>
      </c>
      <c r="CY34" s="59">
        <f t="shared" ref="CY34:CY54" si="218">+CA34*EG34</f>
        <v>78198.12</v>
      </c>
      <c r="CZ34" s="58">
        <f t="shared" ref="CZ34:CZ54" si="219">+CY34*3.3058</f>
        <v>258507.345096</v>
      </c>
      <c r="DA34" s="54">
        <f t="shared" ref="DA34:DA54" si="220">+CA34*EH34</f>
        <v>76112.836800000005</v>
      </c>
      <c r="DB34" s="58">
        <f t="shared" ref="DB34:DB54" si="221">+DA34*3.3058</f>
        <v>251613.81589344001</v>
      </c>
      <c r="DC34" s="59">
        <f t="shared" ref="DC34:DC54" si="222">+CA34*EI34</f>
        <v>74027.553599999999</v>
      </c>
      <c r="DD34" s="58">
        <f t="shared" ref="DD34:DD54" si="223">+DC34*3.3058</f>
        <v>244720.28669087999</v>
      </c>
      <c r="DE34" s="59">
        <f t="shared" ref="DE34:DE54" si="224">+CA34*EJ34</f>
        <v>71942.270399999994</v>
      </c>
      <c r="DF34" s="58">
        <f t="shared" ref="DF34:DF54" si="225">+DE34*3.3058</f>
        <v>237826.75748832</v>
      </c>
      <c r="DG34" s="59">
        <f t="shared" ref="DG34:DG54" si="226">+CA34*EK34</f>
        <v>69856.987199999989</v>
      </c>
      <c r="DH34" s="58">
        <f t="shared" ref="DH34:DH54" si="227">+DG34*3.3058</f>
        <v>230933.22828575998</v>
      </c>
      <c r="DI34" s="59">
        <f t="shared" ref="DI34:DI54" si="228">+CA34*EL34</f>
        <v>67771.703999999998</v>
      </c>
      <c r="DJ34" s="58">
        <f t="shared" ref="DJ34:DJ54" si="229">+DI34*3.3058</f>
        <v>224039.69908319999</v>
      </c>
      <c r="DK34" s="54">
        <f t="shared" ref="DK34:DK54" si="230">+CA34*EM34</f>
        <v>65686.420799999993</v>
      </c>
      <c r="DL34" s="58">
        <f t="shared" ref="DL34:DL54" si="231">+DK34*3.3058</f>
        <v>217146.16988063999</v>
      </c>
      <c r="DM34" s="59">
        <f t="shared" ref="DM34:DM54" si="232">+CA34*EN34</f>
        <v>63601.137599999987</v>
      </c>
      <c r="DN34" s="58">
        <f t="shared" ref="DN34:DN54" si="233">+DM34*3.3058</f>
        <v>210252.64067807997</v>
      </c>
      <c r="DO34" s="59">
        <f t="shared" ref="DO34:DO54" si="234">+CA34*EO34</f>
        <v>61515.854399999982</v>
      </c>
      <c r="DP34" s="58">
        <f t="shared" ref="DP34:DP54" si="235">+DO34*3.3058</f>
        <v>203359.11147551995</v>
      </c>
      <c r="DQ34" s="54">
        <f t="shared" ref="DQ34:DQ54" si="236">+CA34*EP34</f>
        <v>59430.571199999984</v>
      </c>
      <c r="DR34" s="58">
        <f t="shared" ref="DR34:DR54" si="237">+DQ34*3.3058</f>
        <v>196465.58227295996</v>
      </c>
      <c r="DU34" s="54">
        <v>1</v>
      </c>
      <c r="DV34" s="54">
        <v>0.97</v>
      </c>
      <c r="DW34" s="54">
        <v>0.95</v>
      </c>
      <c r="DX34" s="54">
        <v>0.93</v>
      </c>
      <c r="DY34" s="54">
        <f t="shared" ref="DY34:EP48" si="238">+DX34-0.02</f>
        <v>0.91</v>
      </c>
      <c r="DZ34" s="54">
        <f t="shared" si="238"/>
        <v>0.89</v>
      </c>
      <c r="EA34" s="54">
        <f t="shared" si="238"/>
        <v>0.87</v>
      </c>
      <c r="EB34" s="54">
        <f t="shared" si="238"/>
        <v>0.85</v>
      </c>
      <c r="EC34" s="54">
        <f t="shared" si="238"/>
        <v>0.83</v>
      </c>
      <c r="ED34" s="54">
        <f t="shared" si="238"/>
        <v>0.80999999999999994</v>
      </c>
      <c r="EE34" s="54">
        <f t="shared" si="238"/>
        <v>0.78999999999999992</v>
      </c>
      <c r="EF34" s="54">
        <f t="shared" si="238"/>
        <v>0.76999999999999991</v>
      </c>
      <c r="EG34" s="54">
        <f t="shared" si="238"/>
        <v>0.74999999999999989</v>
      </c>
      <c r="EH34" s="54">
        <f t="shared" si="238"/>
        <v>0.72999999999999987</v>
      </c>
      <c r="EI34" s="54">
        <f t="shared" si="238"/>
        <v>0.70999999999999985</v>
      </c>
      <c r="EJ34" s="54">
        <f t="shared" si="238"/>
        <v>0.68999999999999984</v>
      </c>
      <c r="EK34" s="54">
        <f t="shared" si="238"/>
        <v>0.66999999999999982</v>
      </c>
      <c r="EL34" s="54">
        <f t="shared" si="238"/>
        <v>0.6499999999999998</v>
      </c>
      <c r="EM34" s="54">
        <f t="shared" si="238"/>
        <v>0.62999999999999978</v>
      </c>
      <c r="EN34" s="54">
        <f t="shared" si="238"/>
        <v>0.60999999999999976</v>
      </c>
      <c r="EO34" s="54">
        <f t="shared" si="238"/>
        <v>0.58999999999999975</v>
      </c>
      <c r="EP34" s="54">
        <f t="shared" si="238"/>
        <v>0.56999999999999973</v>
      </c>
      <c r="ER34" s="54">
        <f t="shared" si="142"/>
        <v>94880.385600000023</v>
      </c>
      <c r="ES34" s="54">
        <f t="shared" si="116"/>
        <v>94880.385600000023</v>
      </c>
      <c r="ET34" s="58">
        <f t="shared" ref="ET34:ET54" si="239">+ES34*3.3058</f>
        <v>313655.57871648006</v>
      </c>
      <c r="EU34" s="54">
        <f t="shared" ref="EU34:EU54" si="240">+ES34*GN34</f>
        <v>92033.974032000013</v>
      </c>
      <c r="EV34" s="58">
        <f t="shared" ref="EV34:EV54" si="241">+EU34*3.3058</f>
        <v>304245.91135498567</v>
      </c>
      <c r="EW34" s="54">
        <f t="shared" ref="EW34:EW54" si="242">+ES34*GO34</f>
        <v>90136.366320000016</v>
      </c>
      <c r="EX34" s="58">
        <f t="shared" ref="EX34:EX54" si="243">+EW34*3.3058</f>
        <v>297972.79978065606</v>
      </c>
      <c r="EY34" s="54">
        <f t="shared" ref="EY34:EY54" si="244">+ES34*GP34</f>
        <v>88238.758608000033</v>
      </c>
      <c r="EZ34" s="58">
        <f t="shared" ref="EZ34:EZ54" si="245">+EY34*3.3058</f>
        <v>291699.68820632651</v>
      </c>
      <c r="FA34" s="56">
        <f t="shared" ref="FA34:FA54" si="246">+ES34*GQ34</f>
        <v>86341.150896000021</v>
      </c>
      <c r="FB34" s="58">
        <f t="shared" ref="FB34:FB54" si="247">+FA34*3.3058</f>
        <v>285426.5766319969</v>
      </c>
      <c r="FC34" s="54">
        <f t="shared" ref="FC34:FC54" si="248">+ES34*GR34</f>
        <v>84443.543184000024</v>
      </c>
      <c r="FD34" s="58">
        <f t="shared" ref="FD34:FD54" si="249">+FC34*3.3058</f>
        <v>279153.46505766729</v>
      </c>
      <c r="FE34" s="56">
        <f t="shared" ref="FE34:FE54" si="250">+ES34*GS34</f>
        <v>82545.935472000026</v>
      </c>
      <c r="FF34" s="58">
        <f t="shared" ref="FF34:FF54" si="251">+FE34*3.3058</f>
        <v>272880.35348333768</v>
      </c>
      <c r="FG34" s="59">
        <f t="shared" ref="FG34:FG54" si="252">+ES34*GT34</f>
        <v>80648.327760000015</v>
      </c>
      <c r="FH34" s="58">
        <f t="shared" ref="FH34:FH54" si="253">+FG34*3.3058</f>
        <v>266607.24190900807</v>
      </c>
      <c r="FI34" s="56">
        <f t="shared" ref="FI34:FI54" si="254">+ES34*GU34</f>
        <v>78750.720048000017</v>
      </c>
      <c r="FJ34" s="58">
        <f t="shared" ref="FJ34:FJ54" si="255">+FI34*3.3058</f>
        <v>260334.13033467846</v>
      </c>
      <c r="FK34" s="54">
        <f t="shared" ref="FK34:FK54" si="256">+ES34*GV34</f>
        <v>76853.11233600002</v>
      </c>
      <c r="FL34" s="58">
        <f t="shared" ref="FL34:FL54" si="257">+FK34*3.3058</f>
        <v>254061.01876034887</v>
      </c>
      <c r="FM34" s="59">
        <f t="shared" ref="FM34:FM54" si="258">+ES34*GW34</f>
        <v>74955.504624000008</v>
      </c>
      <c r="FN34" s="58">
        <f t="shared" ref="FN34:FN54" si="259">+FM34*3.3058</f>
        <v>247787.90718601923</v>
      </c>
      <c r="FO34" s="59">
        <f t="shared" ref="FO34:FO54" si="260">+ES34*GX34</f>
        <v>73057.896912000011</v>
      </c>
      <c r="FP34" s="58">
        <f t="shared" ref="FP34:FP54" si="261">+FO34*3.3058</f>
        <v>241514.79561168965</v>
      </c>
      <c r="FQ34" s="59">
        <f t="shared" ref="FQ34:FQ54" si="262">+ES34*GY34</f>
        <v>71160.289200000014</v>
      </c>
      <c r="FR34" s="58">
        <f t="shared" ref="FR34:FR54" si="263">+FQ34*3.3058</f>
        <v>235241.68403736004</v>
      </c>
      <c r="FS34" s="54">
        <f t="shared" ref="FS34:FS54" si="264">+ES34*GZ34</f>
        <v>69262.681488000002</v>
      </c>
      <c r="FT34" s="58">
        <f t="shared" ref="FT34:FT54" si="265">+FS34*3.3058</f>
        <v>228968.5724630304</v>
      </c>
      <c r="FU34" s="59">
        <f t="shared" ref="FU34:FU54" si="266">+ES34*HA34</f>
        <v>67365.073776000005</v>
      </c>
      <c r="FV34" s="58">
        <f t="shared" ref="FV34:FV54" si="267">+FU34*3.3058</f>
        <v>222695.46088870082</v>
      </c>
      <c r="FW34" s="59">
        <f t="shared" ref="FW34:FW54" si="268">+ES34*HB34</f>
        <v>65467.466064</v>
      </c>
      <c r="FX34" s="58">
        <f t="shared" ref="FX34:FX54" si="269">+FW34*3.3058</f>
        <v>216422.34931437121</v>
      </c>
      <c r="FY34" s="59">
        <f t="shared" ref="FY34:FY54" si="270">+ES34*HC34</f>
        <v>63569.858351999996</v>
      </c>
      <c r="FZ34" s="58">
        <f t="shared" ref="FZ34:FZ54" si="271">+FY34*3.3058</f>
        <v>210149.2377400416</v>
      </c>
      <c r="GA34" s="59">
        <f t="shared" ref="GA34:GA54" si="272">+ES34*HD34</f>
        <v>61672.250639999998</v>
      </c>
      <c r="GB34" s="58">
        <f t="shared" ref="GB34:GB54" si="273">+GA34*3.3058</f>
        <v>203876.12616571199</v>
      </c>
      <c r="GC34" s="54">
        <f t="shared" ref="GC34:GC54" si="274">+ES34*HE34</f>
        <v>59774.642927999994</v>
      </c>
      <c r="GD34" s="58">
        <f t="shared" ref="GD34:GD54" si="275">+GC34*3.3058</f>
        <v>197603.01459138238</v>
      </c>
      <c r="GE34" s="59">
        <f t="shared" ref="GE34:GE54" si="276">+ES34*HF34</f>
        <v>57877.035215999989</v>
      </c>
      <c r="GF34" s="58">
        <f t="shared" ref="GF34:GF54" si="277">+GE34*3.3058</f>
        <v>191329.90301705277</v>
      </c>
      <c r="GG34" s="59">
        <f t="shared" ref="GG34:GG54" si="278">+ES34*HG34</f>
        <v>55979.427503999992</v>
      </c>
      <c r="GH34" s="58">
        <f t="shared" ref="GH34:GH54" si="279">+GG34*3.3058</f>
        <v>185056.79144272319</v>
      </c>
      <c r="GI34" s="54">
        <f t="shared" ref="GI34:GI54" si="280">+ES34*HH34</f>
        <v>54081.819791999988</v>
      </c>
      <c r="GJ34" s="58">
        <f t="shared" ref="GJ34:GJ54" si="281">+GI34*3.3058</f>
        <v>178783.67986839355</v>
      </c>
      <c r="GK34" s="54"/>
      <c r="GL34" s="54"/>
      <c r="GM34" s="54">
        <v>1</v>
      </c>
      <c r="GN34" s="54">
        <v>0.97</v>
      </c>
      <c r="GO34" s="54">
        <v>0.95</v>
      </c>
      <c r="GP34" s="54">
        <v>0.93</v>
      </c>
      <c r="GQ34" s="54">
        <f t="shared" ref="GQ34:HH48" si="282">+GP34-0.02</f>
        <v>0.91</v>
      </c>
      <c r="GR34" s="54">
        <f t="shared" si="282"/>
        <v>0.89</v>
      </c>
      <c r="GS34" s="54">
        <f t="shared" si="282"/>
        <v>0.87</v>
      </c>
      <c r="GT34" s="54">
        <f t="shared" si="282"/>
        <v>0.85</v>
      </c>
      <c r="GU34" s="54">
        <f t="shared" si="282"/>
        <v>0.83</v>
      </c>
      <c r="GV34" s="54">
        <f t="shared" si="282"/>
        <v>0.80999999999999994</v>
      </c>
      <c r="GW34" s="54">
        <f t="shared" si="282"/>
        <v>0.78999999999999992</v>
      </c>
      <c r="GX34" s="54">
        <f t="shared" si="282"/>
        <v>0.76999999999999991</v>
      </c>
      <c r="GY34" s="54">
        <f t="shared" si="282"/>
        <v>0.74999999999999989</v>
      </c>
      <c r="GZ34" s="54">
        <f t="shared" si="282"/>
        <v>0.72999999999999987</v>
      </c>
      <c r="HA34" s="54">
        <f t="shared" si="282"/>
        <v>0.70999999999999985</v>
      </c>
      <c r="HB34" s="54">
        <f t="shared" si="282"/>
        <v>0.68999999999999984</v>
      </c>
      <c r="HC34" s="54">
        <f t="shared" si="282"/>
        <v>0.66999999999999982</v>
      </c>
      <c r="HD34" s="54">
        <f t="shared" si="282"/>
        <v>0.6499999999999998</v>
      </c>
      <c r="HE34" s="54">
        <f t="shared" si="282"/>
        <v>0.62999999999999978</v>
      </c>
      <c r="HF34" s="54">
        <f t="shared" si="282"/>
        <v>0.60999999999999976</v>
      </c>
      <c r="HG34" s="54">
        <f t="shared" si="282"/>
        <v>0.58999999999999975</v>
      </c>
      <c r="HH34" s="54">
        <f t="shared" si="282"/>
        <v>0.56999999999999973</v>
      </c>
    </row>
    <row r="35" spans="1:216" x14ac:dyDescent="0.3">
      <c r="A35" s="2">
        <v>2</v>
      </c>
      <c r="C35" s="38" t="s">
        <v>13</v>
      </c>
      <c r="D35" s="42">
        <v>135840</v>
      </c>
      <c r="E35" s="72">
        <f t="shared" si="152"/>
        <v>449050</v>
      </c>
      <c r="H35" s="54">
        <f t="shared" si="61"/>
        <v>493955.00000000006</v>
      </c>
      <c r="I35" s="54">
        <f t="shared" si="62"/>
        <v>493955.00000000006</v>
      </c>
      <c r="J35" s="58">
        <f t="shared" si="63"/>
        <v>1632916.4390000002</v>
      </c>
      <c r="K35" s="54">
        <f t="shared" si="153"/>
        <v>479136.35000000003</v>
      </c>
      <c r="L35" s="58">
        <f t="shared" si="154"/>
        <v>1583928.9458300001</v>
      </c>
      <c r="M35" s="54">
        <f t="shared" si="155"/>
        <v>469257.25000000006</v>
      </c>
      <c r="N35" s="58">
        <f t="shared" si="156"/>
        <v>1551270.6170500002</v>
      </c>
      <c r="O35" s="54">
        <f t="shared" si="157"/>
        <v>459378.15000000008</v>
      </c>
      <c r="P35" s="58">
        <f t="shared" si="158"/>
        <v>1518612.2882700004</v>
      </c>
      <c r="Q35" s="56">
        <f t="shared" si="159"/>
        <v>449499.05000000005</v>
      </c>
      <c r="R35" s="58">
        <f t="shared" si="160"/>
        <v>1485953.9594900003</v>
      </c>
      <c r="S35" s="54">
        <f t="shared" si="161"/>
        <v>439619.95000000007</v>
      </c>
      <c r="T35" s="58">
        <f t="shared" si="162"/>
        <v>1453295.6307100002</v>
      </c>
      <c r="U35" s="56">
        <f t="shared" si="163"/>
        <v>429740.85000000003</v>
      </c>
      <c r="V35" s="58">
        <f t="shared" si="164"/>
        <v>1420637.3019300001</v>
      </c>
      <c r="W35" s="59">
        <f t="shared" si="165"/>
        <v>419861.75000000006</v>
      </c>
      <c r="X35" s="58">
        <f t="shared" si="166"/>
        <v>1387978.9731500002</v>
      </c>
      <c r="Y35" s="56">
        <f t="shared" si="167"/>
        <v>409982.65</v>
      </c>
      <c r="Z35" s="58">
        <f t="shared" si="168"/>
        <v>1355320.6443700001</v>
      </c>
      <c r="AA35" s="54">
        <f t="shared" si="169"/>
        <v>400103.55000000005</v>
      </c>
      <c r="AB35" s="58">
        <f t="shared" si="170"/>
        <v>1322662.3155900002</v>
      </c>
      <c r="AC35" s="59">
        <f t="shared" si="171"/>
        <v>390224.45</v>
      </c>
      <c r="AD35" s="58">
        <f t="shared" si="172"/>
        <v>1290003.9868100001</v>
      </c>
      <c r="AE35" s="59">
        <f t="shared" si="173"/>
        <v>380345.35</v>
      </c>
      <c r="AF35" s="58">
        <f t="shared" si="174"/>
        <v>1257345.65803</v>
      </c>
      <c r="AG35" s="59">
        <f t="shared" si="175"/>
        <v>370466.25</v>
      </c>
      <c r="AH35" s="58">
        <f t="shared" si="176"/>
        <v>1224687.32925</v>
      </c>
      <c r="AI35" s="54">
        <f t="shared" si="177"/>
        <v>360587.14999999997</v>
      </c>
      <c r="AJ35" s="58">
        <f t="shared" si="178"/>
        <v>1192029.0004699999</v>
      </c>
      <c r="AK35" s="59">
        <f t="shared" si="179"/>
        <v>350708.05</v>
      </c>
      <c r="AL35" s="58">
        <f t="shared" si="180"/>
        <v>1159370.67169</v>
      </c>
      <c r="AM35" s="59">
        <f t="shared" si="181"/>
        <v>340828.94999999995</v>
      </c>
      <c r="AN35" s="58">
        <f t="shared" si="182"/>
        <v>1126712.3429099999</v>
      </c>
      <c r="AO35" s="59">
        <f t="shared" si="183"/>
        <v>330949.84999999998</v>
      </c>
      <c r="AP35" s="58">
        <f t="shared" si="184"/>
        <v>1094054.01413</v>
      </c>
      <c r="AQ35" s="59">
        <f t="shared" si="185"/>
        <v>321070.74999999994</v>
      </c>
      <c r="AR35" s="58">
        <f t="shared" si="186"/>
        <v>1061395.6853499999</v>
      </c>
      <c r="AS35" s="54">
        <f t="shared" si="187"/>
        <v>311191.64999999991</v>
      </c>
      <c r="AT35" s="58">
        <f t="shared" si="188"/>
        <v>1028737.3565699997</v>
      </c>
      <c r="AU35" s="59">
        <f t="shared" si="189"/>
        <v>301312.54999999993</v>
      </c>
      <c r="AV35" s="58">
        <f t="shared" si="190"/>
        <v>996079.02778999985</v>
      </c>
      <c r="AW35" s="59">
        <f t="shared" si="191"/>
        <v>291433.4499999999</v>
      </c>
      <c r="AX35" s="58">
        <f t="shared" si="192"/>
        <v>963420.69900999963</v>
      </c>
      <c r="AY35" s="54">
        <f t="shared" si="193"/>
        <v>281554.34999999992</v>
      </c>
      <c r="AZ35" s="58">
        <f t="shared" si="194"/>
        <v>930762.37022999977</v>
      </c>
      <c r="BC35" s="54">
        <v>1</v>
      </c>
      <c r="BD35" s="54">
        <v>0.97</v>
      </c>
      <c r="BE35" s="54">
        <v>0.95</v>
      </c>
      <c r="BF35" s="54">
        <v>0.93</v>
      </c>
      <c r="BG35" s="54">
        <f t="shared" si="143"/>
        <v>0.91</v>
      </c>
      <c r="BH35" s="54">
        <f t="shared" si="143"/>
        <v>0.89</v>
      </c>
      <c r="BI35" s="54">
        <f t="shared" si="143"/>
        <v>0.87</v>
      </c>
      <c r="BJ35" s="54">
        <f t="shared" si="143"/>
        <v>0.85</v>
      </c>
      <c r="BK35" s="54">
        <f t="shared" si="143"/>
        <v>0.83</v>
      </c>
      <c r="BL35" s="54">
        <f t="shared" si="143"/>
        <v>0.80999999999999994</v>
      </c>
      <c r="BM35" s="54">
        <f t="shared" si="143"/>
        <v>0.78999999999999992</v>
      </c>
      <c r="BN35" s="54">
        <f t="shared" si="143"/>
        <v>0.76999999999999991</v>
      </c>
      <c r="BO35" s="54">
        <f t="shared" si="143"/>
        <v>0.74999999999999989</v>
      </c>
      <c r="BP35" s="54">
        <f t="shared" si="143"/>
        <v>0.72999999999999987</v>
      </c>
      <c r="BQ35" s="54">
        <f t="shared" si="143"/>
        <v>0.70999999999999985</v>
      </c>
      <c r="BR35" s="54">
        <f t="shared" si="143"/>
        <v>0.68999999999999984</v>
      </c>
      <c r="BS35" s="54">
        <f t="shared" si="143"/>
        <v>0.66999999999999982</v>
      </c>
      <c r="BT35" s="54">
        <f t="shared" si="143"/>
        <v>0.6499999999999998</v>
      </c>
      <c r="BU35" s="54">
        <f t="shared" si="143"/>
        <v>0.62999999999999978</v>
      </c>
      <c r="BV35" s="54">
        <f t="shared" si="143"/>
        <v>0.60999999999999976</v>
      </c>
      <c r="BW35" s="54">
        <f t="shared" si="143"/>
        <v>0.58999999999999975</v>
      </c>
      <c r="BX35" s="54">
        <f t="shared" si="143"/>
        <v>0.56999999999999973</v>
      </c>
      <c r="BZ35" s="54">
        <f t="shared" si="88"/>
        <v>449499.05000000005</v>
      </c>
      <c r="CA35" s="54">
        <f t="shared" si="89"/>
        <v>449499.05000000005</v>
      </c>
      <c r="CB35" s="58">
        <f t="shared" si="195"/>
        <v>1485953.9594900003</v>
      </c>
      <c r="CC35" s="54">
        <f t="shared" si="196"/>
        <v>436014.07850000006</v>
      </c>
      <c r="CD35" s="58">
        <f t="shared" si="197"/>
        <v>1441375.3407053002</v>
      </c>
      <c r="CE35" s="54">
        <f t="shared" si="198"/>
        <v>427024.09750000003</v>
      </c>
      <c r="CF35" s="58">
        <f t="shared" si="199"/>
        <v>1411656.2615155</v>
      </c>
      <c r="CG35" s="54">
        <f t="shared" si="200"/>
        <v>418034.11650000006</v>
      </c>
      <c r="CH35" s="58">
        <f t="shared" si="201"/>
        <v>1381937.1823257003</v>
      </c>
      <c r="CI35" s="56">
        <f t="shared" si="202"/>
        <v>409044.13550000003</v>
      </c>
      <c r="CJ35" s="58">
        <f t="shared" si="203"/>
        <v>1352218.1031359001</v>
      </c>
      <c r="CK35" s="54">
        <f t="shared" si="204"/>
        <v>400054.15450000006</v>
      </c>
      <c r="CL35" s="58">
        <f t="shared" si="205"/>
        <v>1322499.0239461001</v>
      </c>
      <c r="CM35" s="56">
        <f t="shared" si="206"/>
        <v>391064.17350000003</v>
      </c>
      <c r="CN35" s="58">
        <f t="shared" si="207"/>
        <v>1292779.9447563002</v>
      </c>
      <c r="CO35" s="59">
        <f t="shared" si="208"/>
        <v>382074.1925</v>
      </c>
      <c r="CP35" s="58">
        <f t="shared" si="209"/>
        <v>1263060.8655665</v>
      </c>
      <c r="CQ35" s="56">
        <f t="shared" si="210"/>
        <v>373084.21150000003</v>
      </c>
      <c r="CR35" s="58">
        <f t="shared" si="211"/>
        <v>1233341.7863767</v>
      </c>
      <c r="CS35" s="54">
        <f t="shared" si="212"/>
        <v>364094.23050000001</v>
      </c>
      <c r="CT35" s="58">
        <f t="shared" si="213"/>
        <v>1203622.7071869001</v>
      </c>
      <c r="CU35" s="59">
        <f t="shared" si="214"/>
        <v>355104.24949999998</v>
      </c>
      <c r="CV35" s="58">
        <f t="shared" si="215"/>
        <v>1173903.6279970999</v>
      </c>
      <c r="CW35" s="59">
        <f t="shared" si="216"/>
        <v>346114.26850000001</v>
      </c>
      <c r="CX35" s="58">
        <f t="shared" si="217"/>
        <v>1144184.5488072999</v>
      </c>
      <c r="CY35" s="59">
        <f t="shared" si="218"/>
        <v>337124.28749999998</v>
      </c>
      <c r="CZ35" s="58">
        <f t="shared" si="219"/>
        <v>1114465.4696175</v>
      </c>
      <c r="DA35" s="54">
        <f t="shared" si="220"/>
        <v>328134.30649999995</v>
      </c>
      <c r="DB35" s="58">
        <f t="shared" si="221"/>
        <v>1084746.3904276998</v>
      </c>
      <c r="DC35" s="59">
        <f t="shared" si="222"/>
        <v>319144.32549999998</v>
      </c>
      <c r="DD35" s="58">
        <f t="shared" si="223"/>
        <v>1055027.3112379001</v>
      </c>
      <c r="DE35" s="59">
        <f t="shared" si="224"/>
        <v>310154.34449999995</v>
      </c>
      <c r="DF35" s="58">
        <f t="shared" si="225"/>
        <v>1025308.2320480999</v>
      </c>
      <c r="DG35" s="59">
        <f t="shared" si="226"/>
        <v>301164.36349999998</v>
      </c>
      <c r="DH35" s="58">
        <f t="shared" si="227"/>
        <v>995589.1528582999</v>
      </c>
      <c r="DI35" s="59">
        <f t="shared" si="228"/>
        <v>292174.38249999995</v>
      </c>
      <c r="DJ35" s="58">
        <f t="shared" si="229"/>
        <v>965870.07366849983</v>
      </c>
      <c r="DK35" s="54">
        <f t="shared" si="230"/>
        <v>283184.40149999992</v>
      </c>
      <c r="DL35" s="58">
        <f t="shared" si="231"/>
        <v>936150.99447869975</v>
      </c>
      <c r="DM35" s="59">
        <f t="shared" si="232"/>
        <v>274194.42049999995</v>
      </c>
      <c r="DN35" s="58">
        <f t="shared" si="233"/>
        <v>906431.91528889991</v>
      </c>
      <c r="DO35" s="59">
        <f t="shared" si="234"/>
        <v>265204.43949999992</v>
      </c>
      <c r="DP35" s="58">
        <f t="shared" si="235"/>
        <v>876712.83609909972</v>
      </c>
      <c r="DQ35" s="54">
        <f t="shared" si="236"/>
        <v>256214.45849999989</v>
      </c>
      <c r="DR35" s="58">
        <f t="shared" si="237"/>
        <v>846993.75690929964</v>
      </c>
      <c r="DU35" s="54">
        <v>1</v>
      </c>
      <c r="DV35" s="54">
        <v>0.97</v>
      </c>
      <c r="DW35" s="54">
        <v>0.95</v>
      </c>
      <c r="DX35" s="54">
        <v>0.93</v>
      </c>
      <c r="DY35" s="54">
        <f t="shared" si="238"/>
        <v>0.91</v>
      </c>
      <c r="DZ35" s="54">
        <f t="shared" si="238"/>
        <v>0.89</v>
      </c>
      <c r="EA35" s="54">
        <f t="shared" si="238"/>
        <v>0.87</v>
      </c>
      <c r="EB35" s="54">
        <f t="shared" si="238"/>
        <v>0.85</v>
      </c>
      <c r="EC35" s="54">
        <f t="shared" si="238"/>
        <v>0.83</v>
      </c>
      <c r="ED35" s="54">
        <f t="shared" si="238"/>
        <v>0.80999999999999994</v>
      </c>
      <c r="EE35" s="54">
        <f t="shared" si="238"/>
        <v>0.78999999999999992</v>
      </c>
      <c r="EF35" s="54">
        <f t="shared" si="238"/>
        <v>0.76999999999999991</v>
      </c>
      <c r="EG35" s="54">
        <f t="shared" si="238"/>
        <v>0.74999999999999989</v>
      </c>
      <c r="EH35" s="54">
        <f t="shared" si="238"/>
        <v>0.72999999999999987</v>
      </c>
      <c r="EI35" s="54">
        <f t="shared" si="238"/>
        <v>0.70999999999999985</v>
      </c>
      <c r="EJ35" s="54">
        <f t="shared" si="238"/>
        <v>0.68999999999999984</v>
      </c>
      <c r="EK35" s="54">
        <f t="shared" si="238"/>
        <v>0.66999999999999982</v>
      </c>
      <c r="EL35" s="54">
        <f t="shared" si="238"/>
        <v>0.6499999999999998</v>
      </c>
      <c r="EM35" s="54">
        <f t="shared" si="238"/>
        <v>0.62999999999999978</v>
      </c>
      <c r="EN35" s="54">
        <f t="shared" si="238"/>
        <v>0.60999999999999976</v>
      </c>
      <c r="EO35" s="54">
        <f t="shared" si="238"/>
        <v>0.58999999999999975</v>
      </c>
      <c r="EP35" s="54">
        <f t="shared" si="238"/>
        <v>0.56999999999999973</v>
      </c>
      <c r="ER35" s="54">
        <f t="shared" si="142"/>
        <v>409044.13550000003</v>
      </c>
      <c r="ES35" s="54">
        <f t="shared" si="116"/>
        <v>409044.13550000003</v>
      </c>
      <c r="ET35" s="58">
        <f t="shared" si="239"/>
        <v>1352218.1031359001</v>
      </c>
      <c r="EU35" s="54">
        <f t="shared" si="240"/>
        <v>396772.81143500004</v>
      </c>
      <c r="EV35" s="58">
        <f t="shared" si="241"/>
        <v>1311651.5600418232</v>
      </c>
      <c r="EW35" s="54">
        <f t="shared" si="242"/>
        <v>388591.92872500001</v>
      </c>
      <c r="EX35" s="58">
        <f t="shared" si="243"/>
        <v>1284607.1979791049</v>
      </c>
      <c r="EY35" s="54">
        <f t="shared" si="244"/>
        <v>380411.04601500003</v>
      </c>
      <c r="EZ35" s="58">
        <f t="shared" si="245"/>
        <v>1257562.8359163872</v>
      </c>
      <c r="FA35" s="56">
        <f t="shared" si="246"/>
        <v>372230.16330500005</v>
      </c>
      <c r="FB35" s="58">
        <f t="shared" si="247"/>
        <v>1230518.4738536691</v>
      </c>
      <c r="FC35" s="54">
        <f t="shared" si="248"/>
        <v>364049.28059500002</v>
      </c>
      <c r="FD35" s="58">
        <f t="shared" si="249"/>
        <v>1203474.1117909511</v>
      </c>
      <c r="FE35" s="56">
        <f t="shared" si="250"/>
        <v>355868.39788500004</v>
      </c>
      <c r="FF35" s="58">
        <f t="shared" si="251"/>
        <v>1176429.7497282331</v>
      </c>
      <c r="FG35" s="59">
        <f t="shared" si="252"/>
        <v>347687.51517500001</v>
      </c>
      <c r="FH35" s="58">
        <f t="shared" si="253"/>
        <v>1149385.3876655151</v>
      </c>
      <c r="FI35" s="56">
        <f t="shared" si="254"/>
        <v>339506.63246500003</v>
      </c>
      <c r="FJ35" s="58">
        <f t="shared" si="255"/>
        <v>1122341.025602797</v>
      </c>
      <c r="FK35" s="54">
        <f t="shared" si="256"/>
        <v>331325.749755</v>
      </c>
      <c r="FL35" s="58">
        <f t="shared" si="257"/>
        <v>1095296.663540079</v>
      </c>
      <c r="FM35" s="59">
        <f t="shared" si="258"/>
        <v>323144.86704500002</v>
      </c>
      <c r="FN35" s="58">
        <f t="shared" si="259"/>
        <v>1068252.301477361</v>
      </c>
      <c r="FO35" s="59">
        <f t="shared" si="260"/>
        <v>314963.98433499999</v>
      </c>
      <c r="FP35" s="58">
        <f t="shared" si="261"/>
        <v>1041207.939414643</v>
      </c>
      <c r="FQ35" s="59">
        <f t="shared" si="262"/>
        <v>306783.10162499995</v>
      </c>
      <c r="FR35" s="58">
        <f t="shared" si="263"/>
        <v>1014163.5773519248</v>
      </c>
      <c r="FS35" s="54">
        <f t="shared" si="264"/>
        <v>298602.21891499998</v>
      </c>
      <c r="FT35" s="58">
        <f t="shared" si="265"/>
        <v>987119.21528920694</v>
      </c>
      <c r="FU35" s="59">
        <f t="shared" si="266"/>
        <v>290421.33620499994</v>
      </c>
      <c r="FV35" s="58">
        <f t="shared" si="267"/>
        <v>960074.85322648881</v>
      </c>
      <c r="FW35" s="59">
        <f t="shared" si="268"/>
        <v>282240.45349499997</v>
      </c>
      <c r="FX35" s="58">
        <f t="shared" si="269"/>
        <v>933030.4911637709</v>
      </c>
      <c r="FY35" s="59">
        <f t="shared" si="270"/>
        <v>274059.57078499993</v>
      </c>
      <c r="FZ35" s="58">
        <f t="shared" si="271"/>
        <v>905986.12910105276</v>
      </c>
      <c r="GA35" s="59">
        <f t="shared" si="272"/>
        <v>265878.68807499995</v>
      </c>
      <c r="GB35" s="58">
        <f t="shared" si="273"/>
        <v>878941.76703833486</v>
      </c>
      <c r="GC35" s="54">
        <f t="shared" si="274"/>
        <v>257697.80536499992</v>
      </c>
      <c r="GD35" s="58">
        <f t="shared" si="275"/>
        <v>851897.40497561672</v>
      </c>
      <c r="GE35" s="59">
        <f t="shared" si="276"/>
        <v>249516.92265499991</v>
      </c>
      <c r="GF35" s="58">
        <f t="shared" si="277"/>
        <v>824853.0429128987</v>
      </c>
      <c r="GG35" s="59">
        <f t="shared" si="278"/>
        <v>241336.03994499991</v>
      </c>
      <c r="GH35" s="58">
        <f t="shared" si="279"/>
        <v>797808.68085018068</v>
      </c>
      <c r="GI35" s="54">
        <f t="shared" si="280"/>
        <v>233155.1572349999</v>
      </c>
      <c r="GJ35" s="58">
        <f t="shared" si="281"/>
        <v>770764.31878746266</v>
      </c>
      <c r="GK35" s="54"/>
      <c r="GL35" s="54"/>
      <c r="GM35" s="54">
        <v>1</v>
      </c>
      <c r="GN35" s="54">
        <v>0.97</v>
      </c>
      <c r="GO35" s="54">
        <v>0.95</v>
      </c>
      <c r="GP35" s="54">
        <v>0.93</v>
      </c>
      <c r="GQ35" s="54">
        <f t="shared" si="282"/>
        <v>0.91</v>
      </c>
      <c r="GR35" s="54">
        <f t="shared" si="282"/>
        <v>0.89</v>
      </c>
      <c r="GS35" s="54">
        <f t="shared" si="282"/>
        <v>0.87</v>
      </c>
      <c r="GT35" s="54">
        <f t="shared" si="282"/>
        <v>0.85</v>
      </c>
      <c r="GU35" s="54">
        <f t="shared" si="282"/>
        <v>0.83</v>
      </c>
      <c r="GV35" s="54">
        <f t="shared" si="282"/>
        <v>0.80999999999999994</v>
      </c>
      <c r="GW35" s="54">
        <f t="shared" si="282"/>
        <v>0.78999999999999992</v>
      </c>
      <c r="GX35" s="54">
        <f t="shared" si="282"/>
        <v>0.76999999999999991</v>
      </c>
      <c r="GY35" s="54">
        <f t="shared" si="282"/>
        <v>0.74999999999999989</v>
      </c>
      <c r="GZ35" s="54">
        <f t="shared" si="282"/>
        <v>0.72999999999999987</v>
      </c>
      <c r="HA35" s="54">
        <f t="shared" si="282"/>
        <v>0.70999999999999985</v>
      </c>
      <c r="HB35" s="54">
        <f t="shared" si="282"/>
        <v>0.68999999999999984</v>
      </c>
      <c r="HC35" s="54">
        <f t="shared" si="282"/>
        <v>0.66999999999999982</v>
      </c>
      <c r="HD35" s="54">
        <f t="shared" si="282"/>
        <v>0.6499999999999998</v>
      </c>
      <c r="HE35" s="54">
        <f t="shared" si="282"/>
        <v>0.62999999999999978</v>
      </c>
      <c r="HF35" s="54">
        <f t="shared" si="282"/>
        <v>0.60999999999999976</v>
      </c>
      <c r="HG35" s="54">
        <f t="shared" si="282"/>
        <v>0.58999999999999975</v>
      </c>
      <c r="HH35" s="54">
        <f t="shared" si="282"/>
        <v>0.56999999999999973</v>
      </c>
    </row>
    <row r="36" spans="1:216" x14ac:dyDescent="0.3">
      <c r="A36" s="2">
        <v>3</v>
      </c>
      <c r="C36" s="38" t="s">
        <v>14</v>
      </c>
      <c r="D36" s="42"/>
      <c r="E36" s="72">
        <f t="shared" si="152"/>
        <v>0</v>
      </c>
      <c r="H36" s="54">
        <f t="shared" si="61"/>
        <v>0</v>
      </c>
      <c r="I36" s="54">
        <f t="shared" si="62"/>
        <v>0</v>
      </c>
      <c r="J36" s="58">
        <f t="shared" si="63"/>
        <v>0</v>
      </c>
      <c r="K36" s="54">
        <f t="shared" si="153"/>
        <v>0</v>
      </c>
      <c r="L36" s="58">
        <f t="shared" si="154"/>
        <v>0</v>
      </c>
      <c r="M36" s="54">
        <f t="shared" si="155"/>
        <v>0</v>
      </c>
      <c r="N36" s="58">
        <f t="shared" si="156"/>
        <v>0</v>
      </c>
      <c r="O36" s="54">
        <f t="shared" si="157"/>
        <v>0</v>
      </c>
      <c r="P36" s="58">
        <f t="shared" si="158"/>
        <v>0</v>
      </c>
      <c r="Q36" s="56">
        <f t="shared" si="159"/>
        <v>0</v>
      </c>
      <c r="R36" s="58">
        <f t="shared" si="160"/>
        <v>0</v>
      </c>
      <c r="S36" s="54">
        <f t="shared" si="161"/>
        <v>0</v>
      </c>
      <c r="T36" s="58">
        <f t="shared" si="162"/>
        <v>0</v>
      </c>
      <c r="U36" s="56">
        <f t="shared" si="163"/>
        <v>0</v>
      </c>
      <c r="V36" s="58">
        <f t="shared" si="164"/>
        <v>0</v>
      </c>
      <c r="W36" s="59">
        <f t="shared" si="165"/>
        <v>0</v>
      </c>
      <c r="X36" s="58">
        <f t="shared" si="166"/>
        <v>0</v>
      </c>
      <c r="Y36" s="56">
        <f t="shared" si="167"/>
        <v>0</v>
      </c>
      <c r="Z36" s="58">
        <f t="shared" si="168"/>
        <v>0</v>
      </c>
      <c r="AA36" s="54">
        <f t="shared" si="169"/>
        <v>0</v>
      </c>
      <c r="AB36" s="58">
        <f t="shared" si="170"/>
        <v>0</v>
      </c>
      <c r="AC36" s="59">
        <f t="shared" si="171"/>
        <v>0</v>
      </c>
      <c r="AD36" s="58">
        <f t="shared" si="172"/>
        <v>0</v>
      </c>
      <c r="AE36" s="59">
        <f t="shared" si="173"/>
        <v>0</v>
      </c>
      <c r="AF36" s="58">
        <f t="shared" si="174"/>
        <v>0</v>
      </c>
      <c r="AG36" s="59">
        <f t="shared" si="175"/>
        <v>0</v>
      </c>
      <c r="AH36" s="58">
        <f t="shared" si="176"/>
        <v>0</v>
      </c>
      <c r="AI36" s="54">
        <f t="shared" si="177"/>
        <v>0</v>
      </c>
      <c r="AJ36" s="58">
        <f t="shared" si="178"/>
        <v>0</v>
      </c>
      <c r="AK36" s="59">
        <f t="shared" si="179"/>
        <v>0</v>
      </c>
      <c r="AL36" s="58">
        <f t="shared" si="180"/>
        <v>0</v>
      </c>
      <c r="AM36" s="59">
        <f t="shared" si="181"/>
        <v>0</v>
      </c>
      <c r="AN36" s="58">
        <f t="shared" si="182"/>
        <v>0</v>
      </c>
      <c r="AO36" s="59">
        <f t="shared" si="183"/>
        <v>0</v>
      </c>
      <c r="AP36" s="58">
        <f t="shared" si="184"/>
        <v>0</v>
      </c>
      <c r="AQ36" s="59">
        <f t="shared" si="185"/>
        <v>0</v>
      </c>
      <c r="AR36" s="58">
        <f t="shared" si="186"/>
        <v>0</v>
      </c>
      <c r="AS36" s="54">
        <f t="shared" si="187"/>
        <v>0</v>
      </c>
      <c r="AT36" s="58">
        <f t="shared" si="188"/>
        <v>0</v>
      </c>
      <c r="AU36" s="59">
        <f t="shared" si="189"/>
        <v>0</v>
      </c>
      <c r="AV36" s="58">
        <f t="shared" si="190"/>
        <v>0</v>
      </c>
      <c r="AW36" s="59">
        <f t="shared" si="191"/>
        <v>0</v>
      </c>
      <c r="AX36" s="58">
        <f t="shared" si="192"/>
        <v>0</v>
      </c>
      <c r="AY36" s="54">
        <f t="shared" si="193"/>
        <v>0</v>
      </c>
      <c r="AZ36" s="58">
        <f t="shared" si="194"/>
        <v>0</v>
      </c>
      <c r="BC36" s="54">
        <v>1</v>
      </c>
      <c r="BD36" s="54">
        <v>0.97</v>
      </c>
      <c r="BE36" s="54">
        <v>0.95</v>
      </c>
      <c r="BF36" s="54">
        <v>0.93</v>
      </c>
      <c r="BG36" s="54">
        <f t="shared" si="143"/>
        <v>0.91</v>
      </c>
      <c r="BH36" s="54">
        <f t="shared" si="143"/>
        <v>0.89</v>
      </c>
      <c r="BI36" s="54">
        <f t="shared" si="143"/>
        <v>0.87</v>
      </c>
      <c r="BJ36" s="54">
        <f t="shared" si="143"/>
        <v>0.85</v>
      </c>
      <c r="BK36" s="54">
        <f t="shared" si="143"/>
        <v>0.83</v>
      </c>
      <c r="BL36" s="54">
        <f t="shared" si="143"/>
        <v>0.80999999999999994</v>
      </c>
      <c r="BM36" s="54">
        <f t="shared" si="143"/>
        <v>0.78999999999999992</v>
      </c>
      <c r="BN36" s="54">
        <f t="shared" si="143"/>
        <v>0.76999999999999991</v>
      </c>
      <c r="BO36" s="54">
        <f t="shared" si="143"/>
        <v>0.74999999999999989</v>
      </c>
      <c r="BP36" s="54">
        <f t="shared" si="143"/>
        <v>0.72999999999999987</v>
      </c>
      <c r="BQ36" s="54">
        <f t="shared" si="143"/>
        <v>0.70999999999999985</v>
      </c>
      <c r="BR36" s="54">
        <f t="shared" si="143"/>
        <v>0.68999999999999984</v>
      </c>
      <c r="BS36" s="54">
        <f t="shared" si="143"/>
        <v>0.66999999999999982</v>
      </c>
      <c r="BT36" s="54">
        <f t="shared" si="143"/>
        <v>0.6499999999999998</v>
      </c>
      <c r="BU36" s="54">
        <f t="shared" si="143"/>
        <v>0.62999999999999978</v>
      </c>
      <c r="BV36" s="54">
        <f t="shared" si="143"/>
        <v>0.60999999999999976</v>
      </c>
      <c r="BW36" s="54">
        <f t="shared" si="143"/>
        <v>0.58999999999999975</v>
      </c>
      <c r="BX36" s="54">
        <f t="shared" si="143"/>
        <v>0.56999999999999973</v>
      </c>
      <c r="BZ36" s="54">
        <f t="shared" si="88"/>
        <v>0</v>
      </c>
      <c r="CA36" s="54">
        <f t="shared" si="89"/>
        <v>0</v>
      </c>
      <c r="CB36" s="58">
        <f t="shared" si="195"/>
        <v>0</v>
      </c>
      <c r="CC36" s="54">
        <f t="shared" si="196"/>
        <v>0</v>
      </c>
      <c r="CD36" s="58">
        <f t="shared" si="197"/>
        <v>0</v>
      </c>
      <c r="CE36" s="54">
        <f t="shared" si="198"/>
        <v>0</v>
      </c>
      <c r="CF36" s="58">
        <f t="shared" si="199"/>
        <v>0</v>
      </c>
      <c r="CG36" s="54">
        <f t="shared" si="200"/>
        <v>0</v>
      </c>
      <c r="CH36" s="58">
        <f t="shared" si="201"/>
        <v>0</v>
      </c>
      <c r="CI36" s="56">
        <f t="shared" si="202"/>
        <v>0</v>
      </c>
      <c r="CJ36" s="58">
        <f t="shared" si="203"/>
        <v>0</v>
      </c>
      <c r="CK36" s="54">
        <f t="shared" si="204"/>
        <v>0</v>
      </c>
      <c r="CL36" s="58">
        <f t="shared" si="205"/>
        <v>0</v>
      </c>
      <c r="CM36" s="56">
        <f t="shared" si="206"/>
        <v>0</v>
      </c>
      <c r="CN36" s="58">
        <f t="shared" si="207"/>
        <v>0</v>
      </c>
      <c r="CO36" s="59">
        <f t="shared" si="208"/>
        <v>0</v>
      </c>
      <c r="CP36" s="58">
        <f t="shared" si="209"/>
        <v>0</v>
      </c>
      <c r="CQ36" s="56">
        <f t="shared" si="210"/>
        <v>0</v>
      </c>
      <c r="CR36" s="58">
        <f t="shared" si="211"/>
        <v>0</v>
      </c>
      <c r="CS36" s="54">
        <f t="shared" si="212"/>
        <v>0</v>
      </c>
      <c r="CT36" s="58">
        <f t="shared" si="213"/>
        <v>0</v>
      </c>
      <c r="CU36" s="59">
        <f t="shared" si="214"/>
        <v>0</v>
      </c>
      <c r="CV36" s="58">
        <f t="shared" si="215"/>
        <v>0</v>
      </c>
      <c r="CW36" s="59">
        <f t="shared" si="216"/>
        <v>0</v>
      </c>
      <c r="CX36" s="58">
        <f t="shared" si="217"/>
        <v>0</v>
      </c>
      <c r="CY36" s="59">
        <f t="shared" si="218"/>
        <v>0</v>
      </c>
      <c r="CZ36" s="58">
        <f t="shared" si="219"/>
        <v>0</v>
      </c>
      <c r="DA36" s="54">
        <f t="shared" si="220"/>
        <v>0</v>
      </c>
      <c r="DB36" s="58">
        <f t="shared" si="221"/>
        <v>0</v>
      </c>
      <c r="DC36" s="59">
        <f t="shared" si="222"/>
        <v>0</v>
      </c>
      <c r="DD36" s="58">
        <f t="shared" si="223"/>
        <v>0</v>
      </c>
      <c r="DE36" s="59">
        <f t="shared" si="224"/>
        <v>0</v>
      </c>
      <c r="DF36" s="58">
        <f t="shared" si="225"/>
        <v>0</v>
      </c>
      <c r="DG36" s="59">
        <f t="shared" si="226"/>
        <v>0</v>
      </c>
      <c r="DH36" s="58">
        <f t="shared" si="227"/>
        <v>0</v>
      </c>
      <c r="DI36" s="59">
        <f t="shared" si="228"/>
        <v>0</v>
      </c>
      <c r="DJ36" s="58">
        <f t="shared" si="229"/>
        <v>0</v>
      </c>
      <c r="DK36" s="54">
        <f t="shared" si="230"/>
        <v>0</v>
      </c>
      <c r="DL36" s="58">
        <f t="shared" si="231"/>
        <v>0</v>
      </c>
      <c r="DM36" s="59">
        <f t="shared" si="232"/>
        <v>0</v>
      </c>
      <c r="DN36" s="58">
        <f t="shared" si="233"/>
        <v>0</v>
      </c>
      <c r="DO36" s="59">
        <f t="shared" si="234"/>
        <v>0</v>
      </c>
      <c r="DP36" s="58">
        <f t="shared" si="235"/>
        <v>0</v>
      </c>
      <c r="DQ36" s="54">
        <f t="shared" si="236"/>
        <v>0</v>
      </c>
      <c r="DR36" s="58">
        <f t="shared" si="237"/>
        <v>0</v>
      </c>
      <c r="DU36" s="54">
        <v>1</v>
      </c>
      <c r="DV36" s="54">
        <v>0.97</v>
      </c>
      <c r="DW36" s="54">
        <v>0.95</v>
      </c>
      <c r="DX36" s="54">
        <v>0.93</v>
      </c>
      <c r="DY36" s="54">
        <f t="shared" si="238"/>
        <v>0.91</v>
      </c>
      <c r="DZ36" s="54">
        <f t="shared" si="238"/>
        <v>0.89</v>
      </c>
      <c r="EA36" s="54">
        <f t="shared" si="238"/>
        <v>0.87</v>
      </c>
      <c r="EB36" s="54">
        <f t="shared" si="238"/>
        <v>0.85</v>
      </c>
      <c r="EC36" s="54">
        <f t="shared" si="238"/>
        <v>0.83</v>
      </c>
      <c r="ED36" s="54">
        <f t="shared" si="238"/>
        <v>0.80999999999999994</v>
      </c>
      <c r="EE36" s="54">
        <f t="shared" si="238"/>
        <v>0.78999999999999992</v>
      </c>
      <c r="EF36" s="54">
        <f t="shared" si="238"/>
        <v>0.76999999999999991</v>
      </c>
      <c r="EG36" s="54">
        <f t="shared" si="238"/>
        <v>0.74999999999999989</v>
      </c>
      <c r="EH36" s="54">
        <f t="shared" si="238"/>
        <v>0.72999999999999987</v>
      </c>
      <c r="EI36" s="54">
        <f t="shared" si="238"/>
        <v>0.70999999999999985</v>
      </c>
      <c r="EJ36" s="54">
        <f t="shared" si="238"/>
        <v>0.68999999999999984</v>
      </c>
      <c r="EK36" s="54">
        <f t="shared" si="238"/>
        <v>0.66999999999999982</v>
      </c>
      <c r="EL36" s="54">
        <f t="shared" si="238"/>
        <v>0.6499999999999998</v>
      </c>
      <c r="EM36" s="54">
        <f t="shared" si="238"/>
        <v>0.62999999999999978</v>
      </c>
      <c r="EN36" s="54">
        <f t="shared" si="238"/>
        <v>0.60999999999999976</v>
      </c>
      <c r="EO36" s="54">
        <f t="shared" si="238"/>
        <v>0.58999999999999975</v>
      </c>
      <c r="EP36" s="54">
        <f t="shared" si="238"/>
        <v>0.56999999999999973</v>
      </c>
      <c r="ER36" s="54">
        <f t="shared" si="142"/>
        <v>0</v>
      </c>
      <c r="ES36" s="54">
        <f t="shared" si="116"/>
        <v>0</v>
      </c>
      <c r="ET36" s="58">
        <f t="shared" si="239"/>
        <v>0</v>
      </c>
      <c r="EU36" s="54">
        <f t="shared" si="240"/>
        <v>0</v>
      </c>
      <c r="EV36" s="58">
        <f t="shared" si="241"/>
        <v>0</v>
      </c>
      <c r="EW36" s="54">
        <f t="shared" si="242"/>
        <v>0</v>
      </c>
      <c r="EX36" s="58">
        <f t="shared" si="243"/>
        <v>0</v>
      </c>
      <c r="EY36" s="54">
        <f t="shared" si="244"/>
        <v>0</v>
      </c>
      <c r="EZ36" s="58">
        <f t="shared" si="245"/>
        <v>0</v>
      </c>
      <c r="FA36" s="56">
        <f t="shared" si="246"/>
        <v>0</v>
      </c>
      <c r="FB36" s="58">
        <f t="shared" si="247"/>
        <v>0</v>
      </c>
      <c r="FC36" s="54">
        <f t="shared" si="248"/>
        <v>0</v>
      </c>
      <c r="FD36" s="58">
        <f t="shared" si="249"/>
        <v>0</v>
      </c>
      <c r="FE36" s="56">
        <f t="shared" si="250"/>
        <v>0</v>
      </c>
      <c r="FF36" s="58">
        <f t="shared" si="251"/>
        <v>0</v>
      </c>
      <c r="FG36" s="59">
        <f t="shared" si="252"/>
        <v>0</v>
      </c>
      <c r="FH36" s="58">
        <f t="shared" si="253"/>
        <v>0</v>
      </c>
      <c r="FI36" s="56">
        <f t="shared" si="254"/>
        <v>0</v>
      </c>
      <c r="FJ36" s="58">
        <f t="shared" si="255"/>
        <v>0</v>
      </c>
      <c r="FK36" s="54">
        <f t="shared" si="256"/>
        <v>0</v>
      </c>
      <c r="FL36" s="58">
        <f t="shared" si="257"/>
        <v>0</v>
      </c>
      <c r="FM36" s="59">
        <f t="shared" si="258"/>
        <v>0</v>
      </c>
      <c r="FN36" s="58">
        <f t="shared" si="259"/>
        <v>0</v>
      </c>
      <c r="FO36" s="59">
        <f t="shared" si="260"/>
        <v>0</v>
      </c>
      <c r="FP36" s="58">
        <f t="shared" si="261"/>
        <v>0</v>
      </c>
      <c r="FQ36" s="59">
        <f t="shared" si="262"/>
        <v>0</v>
      </c>
      <c r="FR36" s="58">
        <f t="shared" si="263"/>
        <v>0</v>
      </c>
      <c r="FS36" s="54">
        <f t="shared" si="264"/>
        <v>0</v>
      </c>
      <c r="FT36" s="58">
        <f t="shared" si="265"/>
        <v>0</v>
      </c>
      <c r="FU36" s="59">
        <f t="shared" si="266"/>
        <v>0</v>
      </c>
      <c r="FV36" s="58">
        <f t="shared" si="267"/>
        <v>0</v>
      </c>
      <c r="FW36" s="59">
        <f t="shared" si="268"/>
        <v>0</v>
      </c>
      <c r="FX36" s="58">
        <f t="shared" si="269"/>
        <v>0</v>
      </c>
      <c r="FY36" s="59">
        <f t="shared" si="270"/>
        <v>0</v>
      </c>
      <c r="FZ36" s="58">
        <f t="shared" si="271"/>
        <v>0</v>
      </c>
      <c r="GA36" s="59">
        <f t="shared" si="272"/>
        <v>0</v>
      </c>
      <c r="GB36" s="58">
        <f t="shared" si="273"/>
        <v>0</v>
      </c>
      <c r="GC36" s="54">
        <f t="shared" si="274"/>
        <v>0</v>
      </c>
      <c r="GD36" s="58">
        <f t="shared" si="275"/>
        <v>0</v>
      </c>
      <c r="GE36" s="59">
        <f t="shared" si="276"/>
        <v>0</v>
      </c>
      <c r="GF36" s="58">
        <f t="shared" si="277"/>
        <v>0</v>
      </c>
      <c r="GG36" s="59">
        <f t="shared" si="278"/>
        <v>0</v>
      </c>
      <c r="GH36" s="58">
        <f t="shared" si="279"/>
        <v>0</v>
      </c>
      <c r="GI36" s="54">
        <f t="shared" si="280"/>
        <v>0</v>
      </c>
      <c r="GJ36" s="58">
        <f t="shared" si="281"/>
        <v>0</v>
      </c>
      <c r="GK36" s="54"/>
      <c r="GL36" s="54"/>
      <c r="GM36" s="54">
        <v>1</v>
      </c>
      <c r="GN36" s="54">
        <v>0.97</v>
      </c>
      <c r="GO36" s="54">
        <v>0.95</v>
      </c>
      <c r="GP36" s="54">
        <v>0.93</v>
      </c>
      <c r="GQ36" s="54">
        <f t="shared" si="282"/>
        <v>0.91</v>
      </c>
      <c r="GR36" s="54">
        <f t="shared" si="282"/>
        <v>0.89</v>
      </c>
      <c r="GS36" s="54">
        <f t="shared" si="282"/>
        <v>0.87</v>
      </c>
      <c r="GT36" s="54">
        <f t="shared" si="282"/>
        <v>0.85</v>
      </c>
      <c r="GU36" s="54">
        <f t="shared" si="282"/>
        <v>0.83</v>
      </c>
      <c r="GV36" s="54">
        <f t="shared" si="282"/>
        <v>0.80999999999999994</v>
      </c>
      <c r="GW36" s="54">
        <f t="shared" si="282"/>
        <v>0.78999999999999992</v>
      </c>
      <c r="GX36" s="54">
        <f t="shared" si="282"/>
        <v>0.76999999999999991</v>
      </c>
      <c r="GY36" s="54">
        <f t="shared" si="282"/>
        <v>0.74999999999999989</v>
      </c>
      <c r="GZ36" s="54">
        <f t="shared" si="282"/>
        <v>0.72999999999999987</v>
      </c>
      <c r="HA36" s="54">
        <f t="shared" si="282"/>
        <v>0.70999999999999985</v>
      </c>
      <c r="HB36" s="54">
        <f t="shared" si="282"/>
        <v>0.68999999999999984</v>
      </c>
      <c r="HC36" s="54">
        <f t="shared" si="282"/>
        <v>0.66999999999999982</v>
      </c>
      <c r="HD36" s="54">
        <f t="shared" si="282"/>
        <v>0.6499999999999998</v>
      </c>
      <c r="HE36" s="54">
        <f t="shared" si="282"/>
        <v>0.62999999999999978</v>
      </c>
      <c r="HF36" s="54">
        <f t="shared" si="282"/>
        <v>0.60999999999999976</v>
      </c>
      <c r="HG36" s="54">
        <f t="shared" si="282"/>
        <v>0.58999999999999975</v>
      </c>
      <c r="HH36" s="54">
        <f t="shared" si="282"/>
        <v>0.56999999999999973</v>
      </c>
    </row>
    <row r="37" spans="1:216" x14ac:dyDescent="0.3">
      <c r="A37" s="2">
        <v>4</v>
      </c>
      <c r="C37" s="38" t="s">
        <v>16</v>
      </c>
      <c r="D37" s="42">
        <v>18880</v>
      </c>
      <c r="E37" s="72">
        <f t="shared" si="152"/>
        <v>62410</v>
      </c>
      <c r="H37" s="54">
        <f t="shared" si="61"/>
        <v>68651</v>
      </c>
      <c r="I37" s="54">
        <f t="shared" si="62"/>
        <v>68651</v>
      </c>
      <c r="J37" s="58">
        <f t="shared" si="63"/>
        <v>226946.47580000001</v>
      </c>
      <c r="K37" s="54">
        <f t="shared" si="153"/>
        <v>66591.47</v>
      </c>
      <c r="L37" s="58">
        <f t="shared" si="154"/>
        <v>220138.08152599999</v>
      </c>
      <c r="M37" s="54">
        <f t="shared" si="155"/>
        <v>65218.45</v>
      </c>
      <c r="N37" s="58">
        <f t="shared" si="156"/>
        <v>215599.15200999999</v>
      </c>
      <c r="O37" s="54">
        <f t="shared" si="157"/>
        <v>63845.43</v>
      </c>
      <c r="P37" s="58">
        <f t="shared" si="158"/>
        <v>211060.22249400002</v>
      </c>
      <c r="Q37" s="56">
        <f t="shared" si="159"/>
        <v>62472.41</v>
      </c>
      <c r="R37" s="58">
        <f t="shared" si="160"/>
        <v>206521.29297800001</v>
      </c>
      <c r="S37" s="54">
        <f t="shared" si="161"/>
        <v>61099.39</v>
      </c>
      <c r="T37" s="58">
        <f t="shared" si="162"/>
        <v>201982.36346200001</v>
      </c>
      <c r="U37" s="56">
        <f t="shared" si="163"/>
        <v>59726.37</v>
      </c>
      <c r="V37" s="58">
        <f t="shared" si="164"/>
        <v>197443.433946</v>
      </c>
      <c r="W37" s="59">
        <f t="shared" si="165"/>
        <v>58353.35</v>
      </c>
      <c r="X37" s="58">
        <f t="shared" si="166"/>
        <v>192904.50443</v>
      </c>
      <c r="Y37" s="56">
        <f t="shared" si="167"/>
        <v>56980.329999999994</v>
      </c>
      <c r="Z37" s="58">
        <f t="shared" si="168"/>
        <v>188365.574914</v>
      </c>
      <c r="AA37" s="54">
        <f t="shared" si="169"/>
        <v>55607.31</v>
      </c>
      <c r="AB37" s="58">
        <f t="shared" si="170"/>
        <v>183826.64539799999</v>
      </c>
      <c r="AC37" s="59">
        <f t="shared" si="171"/>
        <v>54234.289999999994</v>
      </c>
      <c r="AD37" s="58">
        <f t="shared" si="172"/>
        <v>179287.71588199999</v>
      </c>
      <c r="AE37" s="59">
        <f t="shared" si="173"/>
        <v>52861.27</v>
      </c>
      <c r="AF37" s="58">
        <f t="shared" si="174"/>
        <v>174748.78636599999</v>
      </c>
      <c r="AG37" s="59">
        <f t="shared" si="175"/>
        <v>51488.249999999993</v>
      </c>
      <c r="AH37" s="58">
        <f t="shared" si="176"/>
        <v>170209.85684999998</v>
      </c>
      <c r="AI37" s="54">
        <f t="shared" si="177"/>
        <v>50115.229999999989</v>
      </c>
      <c r="AJ37" s="58">
        <f t="shared" si="178"/>
        <v>165670.92733399998</v>
      </c>
      <c r="AK37" s="59">
        <f t="shared" si="179"/>
        <v>48742.209999999992</v>
      </c>
      <c r="AL37" s="58">
        <f t="shared" si="180"/>
        <v>161131.99781799997</v>
      </c>
      <c r="AM37" s="59">
        <f t="shared" si="181"/>
        <v>47369.189999999988</v>
      </c>
      <c r="AN37" s="58">
        <f t="shared" si="182"/>
        <v>156593.06830199997</v>
      </c>
      <c r="AO37" s="59">
        <f t="shared" si="183"/>
        <v>45996.169999999991</v>
      </c>
      <c r="AP37" s="58">
        <f t="shared" si="184"/>
        <v>152054.13878599997</v>
      </c>
      <c r="AQ37" s="59">
        <f t="shared" si="185"/>
        <v>44623.149999999987</v>
      </c>
      <c r="AR37" s="58">
        <f t="shared" si="186"/>
        <v>147515.20926999996</v>
      </c>
      <c r="AS37" s="54">
        <f t="shared" si="187"/>
        <v>43250.129999999983</v>
      </c>
      <c r="AT37" s="58">
        <f t="shared" si="188"/>
        <v>142976.27975399996</v>
      </c>
      <c r="AU37" s="59">
        <f t="shared" si="189"/>
        <v>41877.109999999986</v>
      </c>
      <c r="AV37" s="58">
        <f t="shared" si="190"/>
        <v>138437.35023799996</v>
      </c>
      <c r="AW37" s="59">
        <f t="shared" si="191"/>
        <v>40504.089999999982</v>
      </c>
      <c r="AX37" s="58">
        <f t="shared" si="192"/>
        <v>133898.42072199995</v>
      </c>
      <c r="AY37" s="54">
        <f t="shared" si="193"/>
        <v>39131.069999999978</v>
      </c>
      <c r="AZ37" s="58">
        <f t="shared" si="194"/>
        <v>129359.49120599993</v>
      </c>
      <c r="BC37" s="54">
        <v>1</v>
      </c>
      <c r="BD37" s="54">
        <v>0.97</v>
      </c>
      <c r="BE37" s="54">
        <v>0.95</v>
      </c>
      <c r="BF37" s="54">
        <v>0.93</v>
      </c>
      <c r="BG37" s="54">
        <f t="shared" si="143"/>
        <v>0.91</v>
      </c>
      <c r="BH37" s="54">
        <f t="shared" si="143"/>
        <v>0.89</v>
      </c>
      <c r="BI37" s="54">
        <f t="shared" si="143"/>
        <v>0.87</v>
      </c>
      <c r="BJ37" s="54">
        <f t="shared" si="143"/>
        <v>0.85</v>
      </c>
      <c r="BK37" s="54">
        <f t="shared" si="143"/>
        <v>0.83</v>
      </c>
      <c r="BL37" s="54">
        <f t="shared" si="143"/>
        <v>0.80999999999999994</v>
      </c>
      <c r="BM37" s="54">
        <f t="shared" si="143"/>
        <v>0.78999999999999992</v>
      </c>
      <c r="BN37" s="54">
        <f t="shared" si="143"/>
        <v>0.76999999999999991</v>
      </c>
      <c r="BO37" s="54">
        <f t="shared" si="143"/>
        <v>0.74999999999999989</v>
      </c>
      <c r="BP37" s="54">
        <f t="shared" si="143"/>
        <v>0.72999999999999987</v>
      </c>
      <c r="BQ37" s="54">
        <f t="shared" si="143"/>
        <v>0.70999999999999985</v>
      </c>
      <c r="BR37" s="54">
        <f t="shared" si="143"/>
        <v>0.68999999999999984</v>
      </c>
      <c r="BS37" s="54">
        <f t="shared" si="143"/>
        <v>0.66999999999999982</v>
      </c>
      <c r="BT37" s="54">
        <f t="shared" si="143"/>
        <v>0.6499999999999998</v>
      </c>
      <c r="BU37" s="54">
        <f t="shared" si="143"/>
        <v>0.62999999999999978</v>
      </c>
      <c r="BV37" s="54">
        <f t="shared" si="143"/>
        <v>0.60999999999999976</v>
      </c>
      <c r="BW37" s="54">
        <f t="shared" si="143"/>
        <v>0.58999999999999975</v>
      </c>
      <c r="BX37" s="54">
        <f t="shared" si="143"/>
        <v>0.56999999999999973</v>
      </c>
      <c r="BZ37" s="54">
        <f t="shared" si="88"/>
        <v>62472.41</v>
      </c>
      <c r="CA37" s="54">
        <f t="shared" si="89"/>
        <v>62472.41</v>
      </c>
      <c r="CB37" s="58">
        <f t="shared" si="195"/>
        <v>206521.29297800001</v>
      </c>
      <c r="CC37" s="54">
        <f t="shared" si="196"/>
        <v>60598.237700000005</v>
      </c>
      <c r="CD37" s="58">
        <f t="shared" si="197"/>
        <v>200325.65418866003</v>
      </c>
      <c r="CE37" s="54">
        <f t="shared" si="198"/>
        <v>59348.789499999999</v>
      </c>
      <c r="CF37" s="58">
        <f t="shared" si="199"/>
        <v>196195.22832910001</v>
      </c>
      <c r="CG37" s="54">
        <f t="shared" si="200"/>
        <v>58099.341300000007</v>
      </c>
      <c r="CH37" s="58">
        <f t="shared" si="201"/>
        <v>192064.80246954004</v>
      </c>
      <c r="CI37" s="56">
        <f t="shared" si="202"/>
        <v>56849.893100000008</v>
      </c>
      <c r="CJ37" s="58">
        <f t="shared" si="203"/>
        <v>187934.37660998004</v>
      </c>
      <c r="CK37" s="54">
        <f t="shared" si="204"/>
        <v>55600.444900000002</v>
      </c>
      <c r="CL37" s="58">
        <f t="shared" si="205"/>
        <v>183803.95075042002</v>
      </c>
      <c r="CM37" s="56">
        <f t="shared" si="206"/>
        <v>54350.996700000003</v>
      </c>
      <c r="CN37" s="58">
        <f t="shared" si="207"/>
        <v>179673.52489086002</v>
      </c>
      <c r="CO37" s="59">
        <f t="shared" si="208"/>
        <v>53101.548500000004</v>
      </c>
      <c r="CP37" s="58">
        <f t="shared" si="209"/>
        <v>175543.09903130002</v>
      </c>
      <c r="CQ37" s="56">
        <f t="shared" si="210"/>
        <v>51852.100299999998</v>
      </c>
      <c r="CR37" s="58">
        <f t="shared" si="211"/>
        <v>171412.67317174</v>
      </c>
      <c r="CS37" s="54">
        <f t="shared" si="212"/>
        <v>50602.652099999999</v>
      </c>
      <c r="CT37" s="58">
        <f t="shared" si="213"/>
        <v>167282.24731218</v>
      </c>
      <c r="CU37" s="59">
        <f t="shared" si="214"/>
        <v>49353.2039</v>
      </c>
      <c r="CV37" s="58">
        <f t="shared" si="215"/>
        <v>163151.82145262</v>
      </c>
      <c r="CW37" s="59">
        <f t="shared" si="216"/>
        <v>48103.755699999994</v>
      </c>
      <c r="CX37" s="58">
        <f t="shared" si="217"/>
        <v>159021.39559305998</v>
      </c>
      <c r="CY37" s="59">
        <f t="shared" si="218"/>
        <v>46854.307499999995</v>
      </c>
      <c r="CZ37" s="58">
        <f t="shared" si="219"/>
        <v>154890.96973349998</v>
      </c>
      <c r="DA37" s="54">
        <f t="shared" si="220"/>
        <v>45604.859299999996</v>
      </c>
      <c r="DB37" s="58">
        <f t="shared" si="221"/>
        <v>150760.54387393998</v>
      </c>
      <c r="DC37" s="59">
        <f t="shared" si="222"/>
        <v>44355.41109999999</v>
      </c>
      <c r="DD37" s="58">
        <f t="shared" si="223"/>
        <v>146630.11801437996</v>
      </c>
      <c r="DE37" s="59">
        <f t="shared" si="224"/>
        <v>43105.962899999991</v>
      </c>
      <c r="DF37" s="58">
        <f t="shared" si="225"/>
        <v>142499.69215481996</v>
      </c>
      <c r="DG37" s="59">
        <f t="shared" si="226"/>
        <v>41856.514699999992</v>
      </c>
      <c r="DH37" s="58">
        <f t="shared" si="227"/>
        <v>138369.26629525996</v>
      </c>
      <c r="DI37" s="59">
        <f t="shared" si="228"/>
        <v>40607.066499999986</v>
      </c>
      <c r="DJ37" s="58">
        <f t="shared" si="229"/>
        <v>134238.84043569997</v>
      </c>
      <c r="DK37" s="54">
        <f t="shared" si="230"/>
        <v>39357.618299999987</v>
      </c>
      <c r="DL37" s="58">
        <f t="shared" si="231"/>
        <v>130108.41457613996</v>
      </c>
      <c r="DM37" s="59">
        <f t="shared" si="232"/>
        <v>38108.170099999988</v>
      </c>
      <c r="DN37" s="58">
        <f t="shared" si="233"/>
        <v>125977.98871657996</v>
      </c>
      <c r="DO37" s="59">
        <f t="shared" si="234"/>
        <v>36858.72189999999</v>
      </c>
      <c r="DP37" s="58">
        <f t="shared" si="235"/>
        <v>121847.56285701996</v>
      </c>
      <c r="DQ37" s="54">
        <f t="shared" si="236"/>
        <v>35609.273699999983</v>
      </c>
      <c r="DR37" s="58">
        <f t="shared" si="237"/>
        <v>117717.13699745995</v>
      </c>
      <c r="DU37" s="54">
        <v>1</v>
      </c>
      <c r="DV37" s="54">
        <v>0.97</v>
      </c>
      <c r="DW37" s="54">
        <v>0.95</v>
      </c>
      <c r="DX37" s="54">
        <v>0.93</v>
      </c>
      <c r="DY37" s="54">
        <f t="shared" si="238"/>
        <v>0.91</v>
      </c>
      <c r="DZ37" s="54">
        <f t="shared" si="238"/>
        <v>0.89</v>
      </c>
      <c r="EA37" s="54">
        <f t="shared" si="238"/>
        <v>0.87</v>
      </c>
      <c r="EB37" s="54">
        <f t="shared" si="238"/>
        <v>0.85</v>
      </c>
      <c r="EC37" s="54">
        <f t="shared" si="238"/>
        <v>0.83</v>
      </c>
      <c r="ED37" s="54">
        <f t="shared" si="238"/>
        <v>0.80999999999999994</v>
      </c>
      <c r="EE37" s="54">
        <f t="shared" si="238"/>
        <v>0.78999999999999992</v>
      </c>
      <c r="EF37" s="54">
        <f t="shared" si="238"/>
        <v>0.76999999999999991</v>
      </c>
      <c r="EG37" s="54">
        <f t="shared" si="238"/>
        <v>0.74999999999999989</v>
      </c>
      <c r="EH37" s="54">
        <f t="shared" si="238"/>
        <v>0.72999999999999987</v>
      </c>
      <c r="EI37" s="54">
        <f t="shared" si="238"/>
        <v>0.70999999999999985</v>
      </c>
      <c r="EJ37" s="54">
        <f t="shared" si="238"/>
        <v>0.68999999999999984</v>
      </c>
      <c r="EK37" s="54">
        <f t="shared" si="238"/>
        <v>0.66999999999999982</v>
      </c>
      <c r="EL37" s="54">
        <f t="shared" si="238"/>
        <v>0.6499999999999998</v>
      </c>
      <c r="EM37" s="54">
        <f t="shared" si="238"/>
        <v>0.62999999999999978</v>
      </c>
      <c r="EN37" s="54">
        <f t="shared" si="238"/>
        <v>0.60999999999999976</v>
      </c>
      <c r="EO37" s="54">
        <f t="shared" si="238"/>
        <v>0.58999999999999975</v>
      </c>
      <c r="EP37" s="54">
        <f t="shared" si="238"/>
        <v>0.56999999999999973</v>
      </c>
      <c r="ER37" s="54">
        <f t="shared" si="142"/>
        <v>56849.893100000008</v>
      </c>
      <c r="ES37" s="54">
        <f t="shared" si="116"/>
        <v>56849.893100000008</v>
      </c>
      <c r="ET37" s="58">
        <f t="shared" si="239"/>
        <v>187934.37660998004</v>
      </c>
      <c r="EU37" s="54">
        <f t="shared" si="240"/>
        <v>55144.39630700001</v>
      </c>
      <c r="EV37" s="58">
        <f t="shared" si="241"/>
        <v>182296.34531168063</v>
      </c>
      <c r="EW37" s="54">
        <f t="shared" si="242"/>
        <v>54007.398445000006</v>
      </c>
      <c r="EX37" s="58">
        <f t="shared" si="243"/>
        <v>178537.65777948103</v>
      </c>
      <c r="EY37" s="54">
        <f t="shared" si="244"/>
        <v>52870.40058300001</v>
      </c>
      <c r="EZ37" s="58">
        <f t="shared" si="245"/>
        <v>174778.97024728142</v>
      </c>
      <c r="FA37" s="56">
        <f t="shared" si="246"/>
        <v>51733.402721000006</v>
      </c>
      <c r="FB37" s="58">
        <f t="shared" si="247"/>
        <v>171020.28271508182</v>
      </c>
      <c r="FC37" s="54">
        <f t="shared" si="248"/>
        <v>50596.404859000009</v>
      </c>
      <c r="FD37" s="58">
        <f t="shared" si="249"/>
        <v>167261.59518288224</v>
      </c>
      <c r="FE37" s="56">
        <f t="shared" si="250"/>
        <v>49459.406997000006</v>
      </c>
      <c r="FF37" s="58">
        <f t="shared" si="251"/>
        <v>163502.90765068261</v>
      </c>
      <c r="FG37" s="59">
        <f t="shared" si="252"/>
        <v>48322.409135000009</v>
      </c>
      <c r="FH37" s="58">
        <f t="shared" si="253"/>
        <v>159744.22011848303</v>
      </c>
      <c r="FI37" s="56">
        <f t="shared" si="254"/>
        <v>47185.411273000005</v>
      </c>
      <c r="FJ37" s="58">
        <f t="shared" si="255"/>
        <v>155985.53258628343</v>
      </c>
      <c r="FK37" s="54">
        <f t="shared" si="256"/>
        <v>46048.413411000001</v>
      </c>
      <c r="FL37" s="58">
        <f t="shared" si="257"/>
        <v>152226.84505408379</v>
      </c>
      <c r="FM37" s="59">
        <f t="shared" si="258"/>
        <v>44911.415549000005</v>
      </c>
      <c r="FN37" s="58">
        <f t="shared" si="259"/>
        <v>148468.15752188422</v>
      </c>
      <c r="FO37" s="59">
        <f t="shared" si="260"/>
        <v>43774.417687000001</v>
      </c>
      <c r="FP37" s="58">
        <f t="shared" si="261"/>
        <v>144709.46998968461</v>
      </c>
      <c r="FQ37" s="59">
        <f t="shared" si="262"/>
        <v>42637.419824999997</v>
      </c>
      <c r="FR37" s="58">
        <f t="shared" si="263"/>
        <v>140950.78245748498</v>
      </c>
      <c r="FS37" s="54">
        <f t="shared" si="264"/>
        <v>41500.421963000001</v>
      </c>
      <c r="FT37" s="58">
        <f t="shared" si="265"/>
        <v>137192.0949252854</v>
      </c>
      <c r="FU37" s="59">
        <f t="shared" si="266"/>
        <v>40363.424100999997</v>
      </c>
      <c r="FV37" s="58">
        <f t="shared" si="267"/>
        <v>133433.4073930858</v>
      </c>
      <c r="FW37" s="59">
        <f t="shared" si="268"/>
        <v>39226.426238999993</v>
      </c>
      <c r="FX37" s="58">
        <f t="shared" si="269"/>
        <v>129674.71986088618</v>
      </c>
      <c r="FY37" s="59">
        <f t="shared" si="270"/>
        <v>38089.428376999997</v>
      </c>
      <c r="FZ37" s="58">
        <f t="shared" si="271"/>
        <v>125916.03232868659</v>
      </c>
      <c r="GA37" s="59">
        <f t="shared" si="272"/>
        <v>36952.430514999993</v>
      </c>
      <c r="GB37" s="58">
        <f t="shared" si="273"/>
        <v>122157.34479648698</v>
      </c>
      <c r="GC37" s="54">
        <f t="shared" si="274"/>
        <v>35815.432652999996</v>
      </c>
      <c r="GD37" s="58">
        <f t="shared" si="275"/>
        <v>118398.65726428739</v>
      </c>
      <c r="GE37" s="59">
        <f t="shared" si="276"/>
        <v>34678.434790999992</v>
      </c>
      <c r="GF37" s="58">
        <f t="shared" si="277"/>
        <v>114639.96973208777</v>
      </c>
      <c r="GG37" s="59">
        <f t="shared" si="278"/>
        <v>33541.436928999989</v>
      </c>
      <c r="GH37" s="58">
        <f t="shared" si="279"/>
        <v>110881.28219988817</v>
      </c>
      <c r="GI37" s="54">
        <f t="shared" si="280"/>
        <v>32404.439066999988</v>
      </c>
      <c r="GJ37" s="58">
        <f t="shared" si="281"/>
        <v>107122.59466768857</v>
      </c>
      <c r="GK37" s="54"/>
      <c r="GL37" s="54"/>
      <c r="GM37" s="54">
        <v>1</v>
      </c>
      <c r="GN37" s="54">
        <v>0.97</v>
      </c>
      <c r="GO37" s="54">
        <v>0.95</v>
      </c>
      <c r="GP37" s="54">
        <v>0.93</v>
      </c>
      <c r="GQ37" s="54">
        <f t="shared" si="282"/>
        <v>0.91</v>
      </c>
      <c r="GR37" s="54">
        <f t="shared" si="282"/>
        <v>0.89</v>
      </c>
      <c r="GS37" s="54">
        <f t="shared" si="282"/>
        <v>0.87</v>
      </c>
      <c r="GT37" s="54">
        <f t="shared" si="282"/>
        <v>0.85</v>
      </c>
      <c r="GU37" s="54">
        <f t="shared" si="282"/>
        <v>0.83</v>
      </c>
      <c r="GV37" s="54">
        <f t="shared" si="282"/>
        <v>0.80999999999999994</v>
      </c>
      <c r="GW37" s="54">
        <f t="shared" si="282"/>
        <v>0.78999999999999992</v>
      </c>
      <c r="GX37" s="54">
        <f t="shared" si="282"/>
        <v>0.76999999999999991</v>
      </c>
      <c r="GY37" s="54">
        <f t="shared" si="282"/>
        <v>0.74999999999999989</v>
      </c>
      <c r="GZ37" s="54">
        <f t="shared" si="282"/>
        <v>0.72999999999999987</v>
      </c>
      <c r="HA37" s="54">
        <f t="shared" si="282"/>
        <v>0.70999999999999985</v>
      </c>
      <c r="HB37" s="54">
        <f t="shared" si="282"/>
        <v>0.68999999999999984</v>
      </c>
      <c r="HC37" s="54">
        <f t="shared" si="282"/>
        <v>0.66999999999999982</v>
      </c>
      <c r="HD37" s="54">
        <f t="shared" si="282"/>
        <v>0.6499999999999998</v>
      </c>
      <c r="HE37" s="54">
        <f t="shared" si="282"/>
        <v>0.62999999999999978</v>
      </c>
      <c r="HF37" s="54">
        <f t="shared" si="282"/>
        <v>0.60999999999999976</v>
      </c>
      <c r="HG37" s="54">
        <f t="shared" si="282"/>
        <v>0.58999999999999975</v>
      </c>
      <c r="HH37" s="54">
        <f t="shared" si="282"/>
        <v>0.56999999999999973</v>
      </c>
    </row>
    <row r="38" spans="1:216" x14ac:dyDescent="0.3">
      <c r="A38" s="2">
        <v>5</v>
      </c>
      <c r="C38" s="38" t="s">
        <v>17</v>
      </c>
      <c r="D38" s="42">
        <v>18260</v>
      </c>
      <c r="E38" s="72">
        <f t="shared" si="152"/>
        <v>60360</v>
      </c>
      <c r="H38" s="54">
        <f t="shared" si="61"/>
        <v>66396</v>
      </c>
      <c r="I38" s="54">
        <f t="shared" si="62"/>
        <v>66396</v>
      </c>
      <c r="J38" s="58">
        <f t="shared" si="63"/>
        <v>219491.89680000002</v>
      </c>
      <c r="K38" s="54">
        <f t="shared" si="153"/>
        <v>64404.119999999995</v>
      </c>
      <c r="L38" s="58">
        <f t="shared" si="154"/>
        <v>212907.13989599998</v>
      </c>
      <c r="M38" s="54">
        <f t="shared" si="155"/>
        <v>63076.2</v>
      </c>
      <c r="N38" s="58">
        <f t="shared" si="156"/>
        <v>208517.30195999998</v>
      </c>
      <c r="O38" s="54">
        <f t="shared" si="157"/>
        <v>61748.280000000006</v>
      </c>
      <c r="P38" s="58">
        <f t="shared" si="158"/>
        <v>204127.46402400002</v>
      </c>
      <c r="Q38" s="56">
        <f t="shared" si="159"/>
        <v>60420.36</v>
      </c>
      <c r="R38" s="58">
        <f t="shared" si="160"/>
        <v>199737.62608800002</v>
      </c>
      <c r="S38" s="54">
        <f t="shared" si="161"/>
        <v>59092.44</v>
      </c>
      <c r="T38" s="58">
        <f t="shared" si="162"/>
        <v>195347.78815200002</v>
      </c>
      <c r="U38" s="56">
        <f t="shared" si="163"/>
        <v>57764.52</v>
      </c>
      <c r="V38" s="58">
        <f t="shared" si="164"/>
        <v>190957.950216</v>
      </c>
      <c r="W38" s="59">
        <f t="shared" si="165"/>
        <v>56436.6</v>
      </c>
      <c r="X38" s="58">
        <f t="shared" si="166"/>
        <v>186568.11228</v>
      </c>
      <c r="Y38" s="56">
        <f t="shared" si="167"/>
        <v>55108.68</v>
      </c>
      <c r="Z38" s="58">
        <f t="shared" si="168"/>
        <v>182178.274344</v>
      </c>
      <c r="AA38" s="54">
        <f t="shared" si="169"/>
        <v>53780.759999999995</v>
      </c>
      <c r="AB38" s="58">
        <f t="shared" si="170"/>
        <v>177788.43640799998</v>
      </c>
      <c r="AC38" s="59">
        <f t="shared" si="171"/>
        <v>52452.84</v>
      </c>
      <c r="AD38" s="58">
        <f t="shared" si="172"/>
        <v>173398.59847199998</v>
      </c>
      <c r="AE38" s="59">
        <f t="shared" si="173"/>
        <v>51124.919999999991</v>
      </c>
      <c r="AF38" s="58">
        <f t="shared" si="174"/>
        <v>169008.76053599999</v>
      </c>
      <c r="AG38" s="59">
        <f t="shared" si="175"/>
        <v>49796.999999999993</v>
      </c>
      <c r="AH38" s="58">
        <f t="shared" si="176"/>
        <v>164618.92259999999</v>
      </c>
      <c r="AI38" s="54">
        <f t="shared" si="177"/>
        <v>48469.079999999994</v>
      </c>
      <c r="AJ38" s="58">
        <f t="shared" si="178"/>
        <v>160229.08466399999</v>
      </c>
      <c r="AK38" s="59">
        <f t="shared" si="179"/>
        <v>47141.159999999989</v>
      </c>
      <c r="AL38" s="58">
        <f t="shared" si="180"/>
        <v>155839.24672799997</v>
      </c>
      <c r="AM38" s="59">
        <f t="shared" si="181"/>
        <v>45813.239999999991</v>
      </c>
      <c r="AN38" s="58">
        <f t="shared" si="182"/>
        <v>151449.40879199997</v>
      </c>
      <c r="AO38" s="59">
        <f t="shared" si="183"/>
        <v>44485.319999999985</v>
      </c>
      <c r="AP38" s="58">
        <f t="shared" si="184"/>
        <v>147059.57085599995</v>
      </c>
      <c r="AQ38" s="59">
        <f t="shared" si="185"/>
        <v>43157.399999999987</v>
      </c>
      <c r="AR38" s="58">
        <f t="shared" si="186"/>
        <v>142669.73291999995</v>
      </c>
      <c r="AS38" s="54">
        <f t="shared" si="187"/>
        <v>41829.479999999989</v>
      </c>
      <c r="AT38" s="58">
        <f t="shared" si="188"/>
        <v>138279.89498399996</v>
      </c>
      <c r="AU38" s="59">
        <f t="shared" si="189"/>
        <v>40501.559999999983</v>
      </c>
      <c r="AV38" s="58">
        <f t="shared" si="190"/>
        <v>133890.05704799996</v>
      </c>
      <c r="AW38" s="59">
        <f t="shared" si="191"/>
        <v>39173.639999999985</v>
      </c>
      <c r="AX38" s="58">
        <f t="shared" si="192"/>
        <v>129500.21911199995</v>
      </c>
      <c r="AY38" s="54">
        <f t="shared" si="193"/>
        <v>37845.719999999979</v>
      </c>
      <c r="AZ38" s="58">
        <f t="shared" si="194"/>
        <v>125110.38117599994</v>
      </c>
      <c r="BC38" s="54">
        <v>1</v>
      </c>
      <c r="BD38" s="54">
        <v>0.97</v>
      </c>
      <c r="BE38" s="54">
        <v>0.95</v>
      </c>
      <c r="BF38" s="54">
        <v>0.93</v>
      </c>
      <c r="BG38" s="54">
        <f t="shared" si="143"/>
        <v>0.91</v>
      </c>
      <c r="BH38" s="54">
        <f t="shared" si="143"/>
        <v>0.89</v>
      </c>
      <c r="BI38" s="54">
        <f t="shared" si="143"/>
        <v>0.87</v>
      </c>
      <c r="BJ38" s="54">
        <f t="shared" si="143"/>
        <v>0.85</v>
      </c>
      <c r="BK38" s="54">
        <f t="shared" si="143"/>
        <v>0.83</v>
      </c>
      <c r="BL38" s="54">
        <f t="shared" si="143"/>
        <v>0.80999999999999994</v>
      </c>
      <c r="BM38" s="54">
        <f t="shared" si="143"/>
        <v>0.78999999999999992</v>
      </c>
      <c r="BN38" s="54">
        <f t="shared" si="143"/>
        <v>0.76999999999999991</v>
      </c>
      <c r="BO38" s="54">
        <f t="shared" si="143"/>
        <v>0.74999999999999989</v>
      </c>
      <c r="BP38" s="54">
        <f t="shared" si="143"/>
        <v>0.72999999999999987</v>
      </c>
      <c r="BQ38" s="54">
        <f t="shared" si="143"/>
        <v>0.70999999999999985</v>
      </c>
      <c r="BR38" s="54">
        <f t="shared" si="143"/>
        <v>0.68999999999999984</v>
      </c>
      <c r="BS38" s="54">
        <f t="shared" si="143"/>
        <v>0.66999999999999982</v>
      </c>
      <c r="BT38" s="54">
        <f t="shared" si="143"/>
        <v>0.6499999999999998</v>
      </c>
      <c r="BU38" s="54">
        <f t="shared" si="143"/>
        <v>0.62999999999999978</v>
      </c>
      <c r="BV38" s="54">
        <f t="shared" si="143"/>
        <v>0.60999999999999976</v>
      </c>
      <c r="BW38" s="54">
        <f t="shared" si="143"/>
        <v>0.58999999999999975</v>
      </c>
      <c r="BX38" s="54">
        <f t="shared" si="143"/>
        <v>0.56999999999999973</v>
      </c>
      <c r="BZ38" s="54">
        <f t="shared" si="88"/>
        <v>60420.36</v>
      </c>
      <c r="CA38" s="54">
        <f t="shared" si="89"/>
        <v>60420.36</v>
      </c>
      <c r="CB38" s="58">
        <f t="shared" si="195"/>
        <v>199737.62608800002</v>
      </c>
      <c r="CC38" s="54">
        <f t="shared" si="196"/>
        <v>58607.749199999998</v>
      </c>
      <c r="CD38" s="58">
        <f t="shared" si="197"/>
        <v>193745.49730536001</v>
      </c>
      <c r="CE38" s="54">
        <f t="shared" si="198"/>
        <v>57399.341999999997</v>
      </c>
      <c r="CF38" s="58">
        <f t="shared" si="199"/>
        <v>189750.74478360001</v>
      </c>
      <c r="CG38" s="54">
        <f t="shared" si="200"/>
        <v>56190.934800000003</v>
      </c>
      <c r="CH38" s="58">
        <f t="shared" si="201"/>
        <v>185755.99226184</v>
      </c>
      <c r="CI38" s="56">
        <f t="shared" si="202"/>
        <v>54982.527600000001</v>
      </c>
      <c r="CJ38" s="58">
        <f t="shared" si="203"/>
        <v>181761.23974008</v>
      </c>
      <c r="CK38" s="54">
        <f t="shared" si="204"/>
        <v>53774.1204</v>
      </c>
      <c r="CL38" s="58">
        <f t="shared" si="205"/>
        <v>177766.48721831999</v>
      </c>
      <c r="CM38" s="56">
        <f t="shared" si="206"/>
        <v>52565.713199999998</v>
      </c>
      <c r="CN38" s="58">
        <f t="shared" si="207"/>
        <v>173771.73469655999</v>
      </c>
      <c r="CO38" s="59">
        <f t="shared" si="208"/>
        <v>51357.305999999997</v>
      </c>
      <c r="CP38" s="58">
        <f t="shared" si="209"/>
        <v>169776.98217479998</v>
      </c>
      <c r="CQ38" s="56">
        <f t="shared" si="210"/>
        <v>50148.898799999995</v>
      </c>
      <c r="CR38" s="58">
        <f t="shared" si="211"/>
        <v>165782.22965303998</v>
      </c>
      <c r="CS38" s="54">
        <f t="shared" si="212"/>
        <v>48940.491599999994</v>
      </c>
      <c r="CT38" s="58">
        <f t="shared" si="213"/>
        <v>161787.47713127997</v>
      </c>
      <c r="CU38" s="59">
        <f t="shared" si="214"/>
        <v>47732.084399999992</v>
      </c>
      <c r="CV38" s="58">
        <f t="shared" si="215"/>
        <v>157792.72460951997</v>
      </c>
      <c r="CW38" s="59">
        <f t="shared" si="216"/>
        <v>46523.677199999998</v>
      </c>
      <c r="CX38" s="58">
        <f t="shared" si="217"/>
        <v>153797.97208775999</v>
      </c>
      <c r="CY38" s="59">
        <f t="shared" si="218"/>
        <v>45315.27</v>
      </c>
      <c r="CZ38" s="58">
        <f t="shared" si="219"/>
        <v>149803.21956599999</v>
      </c>
      <c r="DA38" s="54">
        <f t="shared" si="220"/>
        <v>44106.862799999995</v>
      </c>
      <c r="DB38" s="58">
        <f t="shared" si="221"/>
        <v>145808.46704423998</v>
      </c>
      <c r="DC38" s="59">
        <f t="shared" si="222"/>
        <v>42898.455599999994</v>
      </c>
      <c r="DD38" s="58">
        <f t="shared" si="223"/>
        <v>141813.71452247998</v>
      </c>
      <c r="DE38" s="59">
        <f t="shared" si="224"/>
        <v>41690.048399999992</v>
      </c>
      <c r="DF38" s="58">
        <f t="shared" si="225"/>
        <v>137818.96200071997</v>
      </c>
      <c r="DG38" s="59">
        <f t="shared" si="226"/>
        <v>40481.641199999991</v>
      </c>
      <c r="DH38" s="58">
        <f t="shared" si="227"/>
        <v>133824.20947895997</v>
      </c>
      <c r="DI38" s="59">
        <f t="shared" si="228"/>
        <v>39273.233999999989</v>
      </c>
      <c r="DJ38" s="58">
        <f t="shared" si="229"/>
        <v>129829.45695719997</v>
      </c>
      <c r="DK38" s="54">
        <f t="shared" si="230"/>
        <v>38064.826799999988</v>
      </c>
      <c r="DL38" s="58">
        <f t="shared" si="231"/>
        <v>125834.70443543997</v>
      </c>
      <c r="DM38" s="59">
        <f t="shared" si="232"/>
        <v>36856.419599999987</v>
      </c>
      <c r="DN38" s="58">
        <f t="shared" si="233"/>
        <v>121839.95191367996</v>
      </c>
      <c r="DO38" s="59">
        <f t="shared" si="234"/>
        <v>35648.012399999985</v>
      </c>
      <c r="DP38" s="58">
        <f t="shared" si="235"/>
        <v>117845.19939191996</v>
      </c>
      <c r="DQ38" s="54">
        <f t="shared" si="236"/>
        <v>34439.605199999984</v>
      </c>
      <c r="DR38" s="58">
        <f t="shared" si="237"/>
        <v>113850.44687015995</v>
      </c>
      <c r="DU38" s="54">
        <v>1</v>
      </c>
      <c r="DV38" s="54">
        <v>0.97</v>
      </c>
      <c r="DW38" s="54">
        <v>0.95</v>
      </c>
      <c r="DX38" s="54">
        <v>0.93</v>
      </c>
      <c r="DY38" s="54">
        <f t="shared" si="238"/>
        <v>0.91</v>
      </c>
      <c r="DZ38" s="54">
        <f t="shared" si="238"/>
        <v>0.89</v>
      </c>
      <c r="EA38" s="54">
        <f t="shared" si="238"/>
        <v>0.87</v>
      </c>
      <c r="EB38" s="54">
        <f t="shared" si="238"/>
        <v>0.85</v>
      </c>
      <c r="EC38" s="54">
        <f t="shared" si="238"/>
        <v>0.83</v>
      </c>
      <c r="ED38" s="54">
        <f t="shared" si="238"/>
        <v>0.80999999999999994</v>
      </c>
      <c r="EE38" s="54">
        <f t="shared" si="238"/>
        <v>0.78999999999999992</v>
      </c>
      <c r="EF38" s="54">
        <f t="shared" si="238"/>
        <v>0.76999999999999991</v>
      </c>
      <c r="EG38" s="54">
        <f t="shared" si="238"/>
        <v>0.74999999999999989</v>
      </c>
      <c r="EH38" s="54">
        <f t="shared" si="238"/>
        <v>0.72999999999999987</v>
      </c>
      <c r="EI38" s="54">
        <f t="shared" si="238"/>
        <v>0.70999999999999985</v>
      </c>
      <c r="EJ38" s="54">
        <f t="shared" si="238"/>
        <v>0.68999999999999984</v>
      </c>
      <c r="EK38" s="54">
        <f t="shared" si="238"/>
        <v>0.66999999999999982</v>
      </c>
      <c r="EL38" s="54">
        <f t="shared" si="238"/>
        <v>0.6499999999999998</v>
      </c>
      <c r="EM38" s="54">
        <f t="shared" si="238"/>
        <v>0.62999999999999978</v>
      </c>
      <c r="EN38" s="54">
        <f t="shared" si="238"/>
        <v>0.60999999999999976</v>
      </c>
      <c r="EO38" s="54">
        <f t="shared" si="238"/>
        <v>0.58999999999999975</v>
      </c>
      <c r="EP38" s="54">
        <f t="shared" si="238"/>
        <v>0.56999999999999973</v>
      </c>
      <c r="ER38" s="54">
        <f t="shared" si="142"/>
        <v>54982.527600000001</v>
      </c>
      <c r="ES38" s="54">
        <f t="shared" si="116"/>
        <v>54982.527600000001</v>
      </c>
      <c r="ET38" s="58">
        <f t="shared" si="239"/>
        <v>181761.23974008</v>
      </c>
      <c r="EU38" s="54">
        <f t="shared" si="240"/>
        <v>53333.051771999999</v>
      </c>
      <c r="EV38" s="58">
        <f t="shared" si="241"/>
        <v>176308.4025478776</v>
      </c>
      <c r="EW38" s="54">
        <f t="shared" si="242"/>
        <v>52233.40122</v>
      </c>
      <c r="EX38" s="58">
        <f t="shared" si="243"/>
        <v>172673.17775307602</v>
      </c>
      <c r="EY38" s="54">
        <f t="shared" si="244"/>
        <v>51133.750668000001</v>
      </c>
      <c r="EZ38" s="58">
        <f t="shared" si="245"/>
        <v>169037.9529582744</v>
      </c>
      <c r="FA38" s="56">
        <f t="shared" si="246"/>
        <v>50034.100116000001</v>
      </c>
      <c r="FB38" s="58">
        <f t="shared" si="247"/>
        <v>165402.72816347281</v>
      </c>
      <c r="FC38" s="54">
        <f t="shared" si="248"/>
        <v>48934.449564000002</v>
      </c>
      <c r="FD38" s="58">
        <f t="shared" si="249"/>
        <v>161767.5033686712</v>
      </c>
      <c r="FE38" s="56">
        <f t="shared" si="250"/>
        <v>47834.799012000003</v>
      </c>
      <c r="FF38" s="58">
        <f t="shared" si="251"/>
        <v>158132.27857386961</v>
      </c>
      <c r="FG38" s="59">
        <f t="shared" si="252"/>
        <v>46735.148459999997</v>
      </c>
      <c r="FH38" s="58">
        <f t="shared" si="253"/>
        <v>154497.053779068</v>
      </c>
      <c r="FI38" s="56">
        <f t="shared" si="254"/>
        <v>45635.497907999998</v>
      </c>
      <c r="FJ38" s="58">
        <f t="shared" si="255"/>
        <v>150861.82898426641</v>
      </c>
      <c r="FK38" s="54">
        <f t="shared" si="256"/>
        <v>44535.847355999998</v>
      </c>
      <c r="FL38" s="58">
        <f t="shared" si="257"/>
        <v>147226.60418946479</v>
      </c>
      <c r="FM38" s="59">
        <f t="shared" si="258"/>
        <v>43436.196803999999</v>
      </c>
      <c r="FN38" s="58">
        <f t="shared" si="259"/>
        <v>143591.37939466321</v>
      </c>
      <c r="FO38" s="59">
        <f t="shared" si="260"/>
        <v>42336.546251999993</v>
      </c>
      <c r="FP38" s="58">
        <f t="shared" si="261"/>
        <v>139956.15459986159</v>
      </c>
      <c r="FQ38" s="59">
        <f t="shared" si="262"/>
        <v>41236.895699999994</v>
      </c>
      <c r="FR38" s="58">
        <f t="shared" si="263"/>
        <v>136320.92980505998</v>
      </c>
      <c r="FS38" s="54">
        <f t="shared" si="264"/>
        <v>40137.245147999995</v>
      </c>
      <c r="FT38" s="58">
        <f t="shared" si="265"/>
        <v>132685.70501025839</v>
      </c>
      <c r="FU38" s="59">
        <f t="shared" si="266"/>
        <v>39037.594595999995</v>
      </c>
      <c r="FV38" s="58">
        <f t="shared" si="267"/>
        <v>129050.48021545679</v>
      </c>
      <c r="FW38" s="59">
        <f t="shared" si="268"/>
        <v>37937.944043999989</v>
      </c>
      <c r="FX38" s="58">
        <f t="shared" si="269"/>
        <v>125415.25542065517</v>
      </c>
      <c r="FY38" s="59">
        <f t="shared" si="270"/>
        <v>36838.29349199999</v>
      </c>
      <c r="FZ38" s="58">
        <f t="shared" si="271"/>
        <v>121780.03062585357</v>
      </c>
      <c r="GA38" s="59">
        <f t="shared" si="272"/>
        <v>35738.642939999991</v>
      </c>
      <c r="GB38" s="58">
        <f t="shared" si="273"/>
        <v>118144.80583105197</v>
      </c>
      <c r="GC38" s="54">
        <f t="shared" si="274"/>
        <v>34638.992387999991</v>
      </c>
      <c r="GD38" s="58">
        <f t="shared" si="275"/>
        <v>114509.58103625037</v>
      </c>
      <c r="GE38" s="59">
        <f t="shared" si="276"/>
        <v>33539.341835999985</v>
      </c>
      <c r="GF38" s="58">
        <f t="shared" si="277"/>
        <v>110874.35624144875</v>
      </c>
      <c r="GG38" s="59">
        <f t="shared" si="278"/>
        <v>32439.691283999986</v>
      </c>
      <c r="GH38" s="58">
        <f t="shared" si="279"/>
        <v>107239.13144664715</v>
      </c>
      <c r="GI38" s="54">
        <f t="shared" si="280"/>
        <v>31340.040731999987</v>
      </c>
      <c r="GJ38" s="58">
        <f t="shared" si="281"/>
        <v>103603.90665184557</v>
      </c>
      <c r="GK38" s="54"/>
      <c r="GL38" s="54"/>
      <c r="GM38" s="54">
        <v>1</v>
      </c>
      <c r="GN38" s="54">
        <v>0.97</v>
      </c>
      <c r="GO38" s="54">
        <v>0.95</v>
      </c>
      <c r="GP38" s="54">
        <v>0.93</v>
      </c>
      <c r="GQ38" s="54">
        <f t="shared" si="282"/>
        <v>0.91</v>
      </c>
      <c r="GR38" s="54">
        <f t="shared" si="282"/>
        <v>0.89</v>
      </c>
      <c r="GS38" s="54">
        <f t="shared" si="282"/>
        <v>0.87</v>
      </c>
      <c r="GT38" s="54">
        <f t="shared" si="282"/>
        <v>0.85</v>
      </c>
      <c r="GU38" s="54">
        <f t="shared" si="282"/>
        <v>0.83</v>
      </c>
      <c r="GV38" s="54">
        <f t="shared" si="282"/>
        <v>0.80999999999999994</v>
      </c>
      <c r="GW38" s="54">
        <f t="shared" si="282"/>
        <v>0.78999999999999992</v>
      </c>
      <c r="GX38" s="54">
        <f t="shared" si="282"/>
        <v>0.76999999999999991</v>
      </c>
      <c r="GY38" s="54">
        <f t="shared" si="282"/>
        <v>0.74999999999999989</v>
      </c>
      <c r="GZ38" s="54">
        <f t="shared" si="282"/>
        <v>0.72999999999999987</v>
      </c>
      <c r="HA38" s="54">
        <f t="shared" si="282"/>
        <v>0.70999999999999985</v>
      </c>
      <c r="HB38" s="54">
        <f t="shared" si="282"/>
        <v>0.68999999999999984</v>
      </c>
      <c r="HC38" s="54">
        <f t="shared" si="282"/>
        <v>0.66999999999999982</v>
      </c>
      <c r="HD38" s="54">
        <f t="shared" si="282"/>
        <v>0.6499999999999998</v>
      </c>
      <c r="HE38" s="54">
        <f t="shared" si="282"/>
        <v>0.62999999999999978</v>
      </c>
      <c r="HF38" s="54">
        <f t="shared" si="282"/>
        <v>0.60999999999999976</v>
      </c>
      <c r="HG38" s="54">
        <f t="shared" si="282"/>
        <v>0.58999999999999975</v>
      </c>
      <c r="HH38" s="54">
        <f t="shared" si="282"/>
        <v>0.56999999999999973</v>
      </c>
    </row>
    <row r="39" spans="1:216" x14ac:dyDescent="0.3">
      <c r="A39" s="2">
        <v>6</v>
      </c>
      <c r="C39" s="38" t="s">
        <v>18</v>
      </c>
      <c r="D39" s="42">
        <v>57550</v>
      </c>
      <c r="E39" s="72">
        <f t="shared" si="152"/>
        <v>190240</v>
      </c>
      <c r="F39" s="2" t="s">
        <v>305</v>
      </c>
      <c r="H39" s="54">
        <f t="shared" si="61"/>
        <v>209264.00000000003</v>
      </c>
      <c r="I39" s="54">
        <f t="shared" si="62"/>
        <v>209264.00000000003</v>
      </c>
      <c r="J39" s="58">
        <f t="shared" si="63"/>
        <v>691784.93120000011</v>
      </c>
      <c r="K39" s="54">
        <f t="shared" si="153"/>
        <v>202986.08000000002</v>
      </c>
      <c r="L39" s="58">
        <f t="shared" si="154"/>
        <v>671031.38326400006</v>
      </c>
      <c r="M39" s="54">
        <f t="shared" si="155"/>
        <v>198800.80000000002</v>
      </c>
      <c r="N39" s="58">
        <f t="shared" si="156"/>
        <v>657195.68464000011</v>
      </c>
      <c r="O39" s="54">
        <f t="shared" si="157"/>
        <v>194615.52000000005</v>
      </c>
      <c r="P39" s="58">
        <f t="shared" si="158"/>
        <v>643359.98601600016</v>
      </c>
      <c r="Q39" s="56">
        <f t="shared" si="159"/>
        <v>190430.24000000002</v>
      </c>
      <c r="R39" s="58">
        <f t="shared" si="160"/>
        <v>629524.28739200009</v>
      </c>
      <c r="S39" s="54">
        <f t="shared" si="161"/>
        <v>186244.96000000002</v>
      </c>
      <c r="T39" s="58">
        <f t="shared" si="162"/>
        <v>615688.58876800013</v>
      </c>
      <c r="U39" s="56">
        <f t="shared" si="163"/>
        <v>182059.68000000002</v>
      </c>
      <c r="V39" s="58">
        <f t="shared" si="164"/>
        <v>601852.89014400006</v>
      </c>
      <c r="W39" s="59">
        <f t="shared" si="165"/>
        <v>177874.40000000002</v>
      </c>
      <c r="X39" s="58">
        <f t="shared" si="166"/>
        <v>588017.19152000011</v>
      </c>
      <c r="Y39" s="56">
        <f t="shared" si="167"/>
        <v>173689.12000000002</v>
      </c>
      <c r="Z39" s="58">
        <f t="shared" si="168"/>
        <v>574181.49289600004</v>
      </c>
      <c r="AA39" s="54">
        <f t="shared" si="169"/>
        <v>169503.84000000003</v>
      </c>
      <c r="AB39" s="58">
        <f t="shared" si="170"/>
        <v>560345.79427200009</v>
      </c>
      <c r="AC39" s="59">
        <f t="shared" si="171"/>
        <v>165318.56</v>
      </c>
      <c r="AD39" s="58">
        <f t="shared" si="172"/>
        <v>546510.09564800002</v>
      </c>
      <c r="AE39" s="59">
        <f t="shared" si="173"/>
        <v>161133.28</v>
      </c>
      <c r="AF39" s="58">
        <f t="shared" si="174"/>
        <v>532674.39702400006</v>
      </c>
      <c r="AG39" s="59">
        <f t="shared" si="175"/>
        <v>156948</v>
      </c>
      <c r="AH39" s="58">
        <f t="shared" si="176"/>
        <v>518838.69839999999</v>
      </c>
      <c r="AI39" s="54">
        <f t="shared" si="177"/>
        <v>152762.72</v>
      </c>
      <c r="AJ39" s="58">
        <f t="shared" si="178"/>
        <v>505002.99977600004</v>
      </c>
      <c r="AK39" s="59">
        <f t="shared" si="179"/>
        <v>148577.44</v>
      </c>
      <c r="AL39" s="58">
        <f t="shared" si="180"/>
        <v>491167.30115200003</v>
      </c>
      <c r="AM39" s="59">
        <f t="shared" si="181"/>
        <v>144392.15999999997</v>
      </c>
      <c r="AN39" s="58">
        <f t="shared" si="182"/>
        <v>477331.6025279999</v>
      </c>
      <c r="AO39" s="59">
        <f t="shared" si="183"/>
        <v>140206.87999999998</v>
      </c>
      <c r="AP39" s="58">
        <f t="shared" si="184"/>
        <v>463495.90390399995</v>
      </c>
      <c r="AQ39" s="59">
        <f t="shared" si="185"/>
        <v>136021.59999999998</v>
      </c>
      <c r="AR39" s="58">
        <f t="shared" si="186"/>
        <v>449660.20527999994</v>
      </c>
      <c r="AS39" s="54">
        <f t="shared" si="187"/>
        <v>131836.31999999998</v>
      </c>
      <c r="AT39" s="58">
        <f t="shared" si="188"/>
        <v>435824.50665599992</v>
      </c>
      <c r="AU39" s="59">
        <f t="shared" si="189"/>
        <v>127651.03999999996</v>
      </c>
      <c r="AV39" s="58">
        <f t="shared" si="190"/>
        <v>421988.80803199991</v>
      </c>
      <c r="AW39" s="59">
        <f t="shared" si="191"/>
        <v>123465.75999999997</v>
      </c>
      <c r="AX39" s="58">
        <f t="shared" si="192"/>
        <v>408153.1094079999</v>
      </c>
      <c r="AY39" s="54">
        <f t="shared" si="193"/>
        <v>119280.47999999997</v>
      </c>
      <c r="AZ39" s="58">
        <f t="shared" si="194"/>
        <v>394317.41078399989</v>
      </c>
      <c r="BC39" s="54">
        <v>1</v>
      </c>
      <c r="BD39" s="54">
        <v>0.97</v>
      </c>
      <c r="BE39" s="54">
        <v>0.95</v>
      </c>
      <c r="BF39" s="54">
        <v>0.93</v>
      </c>
      <c r="BG39" s="54">
        <f t="shared" si="143"/>
        <v>0.91</v>
      </c>
      <c r="BH39" s="54">
        <f t="shared" si="143"/>
        <v>0.89</v>
      </c>
      <c r="BI39" s="54">
        <f t="shared" si="143"/>
        <v>0.87</v>
      </c>
      <c r="BJ39" s="54">
        <f t="shared" si="143"/>
        <v>0.85</v>
      </c>
      <c r="BK39" s="54">
        <f t="shared" si="143"/>
        <v>0.83</v>
      </c>
      <c r="BL39" s="54">
        <f t="shared" si="143"/>
        <v>0.80999999999999994</v>
      </c>
      <c r="BM39" s="54">
        <f t="shared" si="143"/>
        <v>0.78999999999999992</v>
      </c>
      <c r="BN39" s="54">
        <f t="shared" si="143"/>
        <v>0.76999999999999991</v>
      </c>
      <c r="BO39" s="54">
        <f t="shared" si="143"/>
        <v>0.74999999999999989</v>
      </c>
      <c r="BP39" s="54">
        <f t="shared" si="143"/>
        <v>0.72999999999999987</v>
      </c>
      <c r="BQ39" s="54">
        <f t="shared" si="143"/>
        <v>0.70999999999999985</v>
      </c>
      <c r="BR39" s="54">
        <f t="shared" si="143"/>
        <v>0.68999999999999984</v>
      </c>
      <c r="BS39" s="54">
        <f t="shared" si="143"/>
        <v>0.66999999999999982</v>
      </c>
      <c r="BT39" s="54">
        <f t="shared" si="143"/>
        <v>0.6499999999999998</v>
      </c>
      <c r="BU39" s="54">
        <f t="shared" si="143"/>
        <v>0.62999999999999978</v>
      </c>
      <c r="BV39" s="54">
        <f t="shared" si="143"/>
        <v>0.60999999999999976</v>
      </c>
      <c r="BW39" s="54">
        <f t="shared" si="143"/>
        <v>0.58999999999999975</v>
      </c>
      <c r="BX39" s="54">
        <f t="shared" si="143"/>
        <v>0.56999999999999973</v>
      </c>
      <c r="BZ39" s="54">
        <f t="shared" si="88"/>
        <v>190430.24000000002</v>
      </c>
      <c r="CA39" s="54">
        <f t="shared" si="89"/>
        <v>190430.24000000002</v>
      </c>
      <c r="CB39" s="58">
        <f t="shared" si="195"/>
        <v>629524.28739200009</v>
      </c>
      <c r="CC39" s="54">
        <f t="shared" si="196"/>
        <v>184717.3328</v>
      </c>
      <c r="CD39" s="58">
        <f t="shared" si="197"/>
        <v>610638.55877024005</v>
      </c>
      <c r="CE39" s="54">
        <f t="shared" si="198"/>
        <v>180908.728</v>
      </c>
      <c r="CF39" s="58">
        <f t="shared" si="199"/>
        <v>598048.07302240003</v>
      </c>
      <c r="CG39" s="54">
        <f t="shared" si="200"/>
        <v>177100.12320000003</v>
      </c>
      <c r="CH39" s="58">
        <f t="shared" si="201"/>
        <v>585457.58727456012</v>
      </c>
      <c r="CI39" s="56">
        <f t="shared" si="202"/>
        <v>173291.51840000003</v>
      </c>
      <c r="CJ39" s="58">
        <f t="shared" si="203"/>
        <v>572867.1015267201</v>
      </c>
      <c r="CK39" s="54">
        <f t="shared" si="204"/>
        <v>169482.91360000003</v>
      </c>
      <c r="CL39" s="58">
        <f t="shared" si="205"/>
        <v>560276.61577888008</v>
      </c>
      <c r="CM39" s="56">
        <f t="shared" si="206"/>
        <v>165674.30880000003</v>
      </c>
      <c r="CN39" s="58">
        <f t="shared" si="207"/>
        <v>547686.13003104005</v>
      </c>
      <c r="CO39" s="59">
        <f t="shared" si="208"/>
        <v>161865.70400000003</v>
      </c>
      <c r="CP39" s="58">
        <f t="shared" si="209"/>
        <v>535095.64428320015</v>
      </c>
      <c r="CQ39" s="56">
        <f t="shared" si="210"/>
        <v>158057.0992</v>
      </c>
      <c r="CR39" s="58">
        <f t="shared" si="211"/>
        <v>522505.15853536001</v>
      </c>
      <c r="CS39" s="54">
        <f t="shared" si="212"/>
        <v>154248.4944</v>
      </c>
      <c r="CT39" s="58">
        <f t="shared" si="213"/>
        <v>509914.67278751999</v>
      </c>
      <c r="CU39" s="59">
        <f t="shared" si="214"/>
        <v>150439.88959999999</v>
      </c>
      <c r="CV39" s="58">
        <f t="shared" si="215"/>
        <v>497324.18703968002</v>
      </c>
      <c r="CW39" s="59">
        <f t="shared" si="216"/>
        <v>146631.28479999999</v>
      </c>
      <c r="CX39" s="58">
        <f t="shared" si="217"/>
        <v>484733.70129184</v>
      </c>
      <c r="CY39" s="59">
        <f t="shared" si="218"/>
        <v>142822.68</v>
      </c>
      <c r="CZ39" s="58">
        <f t="shared" si="219"/>
        <v>472143.21554399998</v>
      </c>
      <c r="DA39" s="54">
        <f t="shared" si="220"/>
        <v>139014.07519999999</v>
      </c>
      <c r="DB39" s="58">
        <f t="shared" si="221"/>
        <v>459552.72979616001</v>
      </c>
      <c r="DC39" s="59">
        <f t="shared" si="222"/>
        <v>135205.47039999999</v>
      </c>
      <c r="DD39" s="58">
        <f t="shared" si="223"/>
        <v>446962.24404831999</v>
      </c>
      <c r="DE39" s="59">
        <f t="shared" si="224"/>
        <v>131396.86559999999</v>
      </c>
      <c r="DF39" s="58">
        <f t="shared" si="225"/>
        <v>434371.75830047997</v>
      </c>
      <c r="DG39" s="59">
        <f t="shared" si="226"/>
        <v>127588.26079999997</v>
      </c>
      <c r="DH39" s="58">
        <f t="shared" si="227"/>
        <v>421781.27255263994</v>
      </c>
      <c r="DI39" s="59">
        <f t="shared" si="228"/>
        <v>123779.65599999997</v>
      </c>
      <c r="DJ39" s="58">
        <f t="shared" si="229"/>
        <v>409190.78680479992</v>
      </c>
      <c r="DK39" s="54">
        <f t="shared" si="230"/>
        <v>119971.05119999997</v>
      </c>
      <c r="DL39" s="58">
        <f t="shared" si="231"/>
        <v>396600.3010569599</v>
      </c>
      <c r="DM39" s="59">
        <f t="shared" si="232"/>
        <v>116162.44639999997</v>
      </c>
      <c r="DN39" s="58">
        <f t="shared" si="233"/>
        <v>384009.81530911993</v>
      </c>
      <c r="DO39" s="59">
        <f t="shared" si="234"/>
        <v>112353.84159999997</v>
      </c>
      <c r="DP39" s="58">
        <f t="shared" si="235"/>
        <v>371419.32956127991</v>
      </c>
      <c r="DQ39" s="54">
        <f t="shared" si="236"/>
        <v>108545.23679999996</v>
      </c>
      <c r="DR39" s="58">
        <f t="shared" si="237"/>
        <v>358828.84381343983</v>
      </c>
      <c r="DU39" s="54">
        <v>1</v>
      </c>
      <c r="DV39" s="54">
        <v>0.97</v>
      </c>
      <c r="DW39" s="54">
        <v>0.95</v>
      </c>
      <c r="DX39" s="54">
        <v>0.93</v>
      </c>
      <c r="DY39" s="54">
        <f t="shared" si="238"/>
        <v>0.91</v>
      </c>
      <c r="DZ39" s="54">
        <f t="shared" si="238"/>
        <v>0.89</v>
      </c>
      <c r="EA39" s="54">
        <f t="shared" si="238"/>
        <v>0.87</v>
      </c>
      <c r="EB39" s="54">
        <f t="shared" si="238"/>
        <v>0.85</v>
      </c>
      <c r="EC39" s="54">
        <f t="shared" si="238"/>
        <v>0.83</v>
      </c>
      <c r="ED39" s="54">
        <f t="shared" si="238"/>
        <v>0.80999999999999994</v>
      </c>
      <c r="EE39" s="54">
        <f t="shared" si="238"/>
        <v>0.78999999999999992</v>
      </c>
      <c r="EF39" s="54">
        <f t="shared" si="238"/>
        <v>0.76999999999999991</v>
      </c>
      <c r="EG39" s="54">
        <f t="shared" si="238"/>
        <v>0.74999999999999989</v>
      </c>
      <c r="EH39" s="54">
        <f t="shared" si="238"/>
        <v>0.72999999999999987</v>
      </c>
      <c r="EI39" s="54">
        <f t="shared" si="238"/>
        <v>0.70999999999999985</v>
      </c>
      <c r="EJ39" s="54">
        <f t="shared" si="238"/>
        <v>0.68999999999999984</v>
      </c>
      <c r="EK39" s="54">
        <f t="shared" si="238"/>
        <v>0.66999999999999982</v>
      </c>
      <c r="EL39" s="54">
        <f t="shared" si="238"/>
        <v>0.6499999999999998</v>
      </c>
      <c r="EM39" s="54">
        <f t="shared" si="238"/>
        <v>0.62999999999999978</v>
      </c>
      <c r="EN39" s="54">
        <f t="shared" si="238"/>
        <v>0.60999999999999976</v>
      </c>
      <c r="EO39" s="54">
        <f t="shared" si="238"/>
        <v>0.58999999999999975</v>
      </c>
      <c r="EP39" s="54">
        <f t="shared" si="238"/>
        <v>0.56999999999999973</v>
      </c>
      <c r="ER39" s="54">
        <f t="shared" si="142"/>
        <v>173291.51840000003</v>
      </c>
      <c r="ES39" s="54">
        <f t="shared" si="116"/>
        <v>173291.51840000003</v>
      </c>
      <c r="ET39" s="58">
        <f t="shared" si="239"/>
        <v>572867.1015267201</v>
      </c>
      <c r="EU39" s="54">
        <f t="shared" si="240"/>
        <v>168092.77284800002</v>
      </c>
      <c r="EV39" s="58">
        <f t="shared" si="241"/>
        <v>555681.08848091844</v>
      </c>
      <c r="EW39" s="54">
        <f t="shared" si="242"/>
        <v>164626.94248000003</v>
      </c>
      <c r="EX39" s="58">
        <f t="shared" si="243"/>
        <v>544223.74645038415</v>
      </c>
      <c r="EY39" s="54">
        <f t="shared" si="244"/>
        <v>161161.11211200003</v>
      </c>
      <c r="EZ39" s="58">
        <f t="shared" si="245"/>
        <v>532766.40441984974</v>
      </c>
      <c r="FA39" s="56">
        <f t="shared" si="246"/>
        <v>157695.28174400004</v>
      </c>
      <c r="FB39" s="58">
        <f t="shared" si="247"/>
        <v>521309.06238931534</v>
      </c>
      <c r="FC39" s="54">
        <f t="shared" si="248"/>
        <v>154229.45137600004</v>
      </c>
      <c r="FD39" s="58">
        <f t="shared" si="249"/>
        <v>509851.72035878093</v>
      </c>
      <c r="FE39" s="56">
        <f t="shared" si="250"/>
        <v>150763.62100800002</v>
      </c>
      <c r="FF39" s="58">
        <f t="shared" si="251"/>
        <v>498394.37832824647</v>
      </c>
      <c r="FG39" s="59">
        <f t="shared" si="252"/>
        <v>147297.79064000002</v>
      </c>
      <c r="FH39" s="58">
        <f t="shared" si="253"/>
        <v>486937.03629771207</v>
      </c>
      <c r="FI39" s="56">
        <f t="shared" si="254"/>
        <v>143831.96027200003</v>
      </c>
      <c r="FJ39" s="58">
        <f t="shared" si="255"/>
        <v>475479.69426717772</v>
      </c>
      <c r="FK39" s="54">
        <f t="shared" si="256"/>
        <v>140366.129904</v>
      </c>
      <c r="FL39" s="58">
        <f t="shared" si="257"/>
        <v>464022.3522366432</v>
      </c>
      <c r="FM39" s="59">
        <f t="shared" si="258"/>
        <v>136900.29953600001</v>
      </c>
      <c r="FN39" s="58">
        <f t="shared" si="259"/>
        <v>452565.01020610885</v>
      </c>
      <c r="FO39" s="59">
        <f t="shared" si="260"/>
        <v>133434.46916800001</v>
      </c>
      <c r="FP39" s="58">
        <f t="shared" si="261"/>
        <v>441107.66817557445</v>
      </c>
      <c r="FQ39" s="59">
        <f t="shared" si="262"/>
        <v>129968.6388</v>
      </c>
      <c r="FR39" s="58">
        <f t="shared" si="263"/>
        <v>429650.32614503999</v>
      </c>
      <c r="FS39" s="54">
        <f t="shared" si="264"/>
        <v>126502.80843200001</v>
      </c>
      <c r="FT39" s="58">
        <f t="shared" si="265"/>
        <v>418192.98411450564</v>
      </c>
      <c r="FU39" s="59">
        <f t="shared" si="266"/>
        <v>123036.978064</v>
      </c>
      <c r="FV39" s="58">
        <f t="shared" si="267"/>
        <v>406735.64208397118</v>
      </c>
      <c r="FW39" s="59">
        <f t="shared" si="268"/>
        <v>119571.14769599999</v>
      </c>
      <c r="FX39" s="58">
        <f t="shared" si="269"/>
        <v>395278.30005343677</v>
      </c>
      <c r="FY39" s="59">
        <f t="shared" si="270"/>
        <v>116105.31732799999</v>
      </c>
      <c r="FZ39" s="58">
        <f t="shared" si="271"/>
        <v>383820.95802290237</v>
      </c>
      <c r="GA39" s="59">
        <f t="shared" si="272"/>
        <v>112639.48695999998</v>
      </c>
      <c r="GB39" s="58">
        <f t="shared" si="273"/>
        <v>372363.61599236797</v>
      </c>
      <c r="GC39" s="54">
        <f t="shared" si="274"/>
        <v>109173.65659199998</v>
      </c>
      <c r="GD39" s="58">
        <f t="shared" si="275"/>
        <v>360906.27396183356</v>
      </c>
      <c r="GE39" s="59">
        <f t="shared" si="276"/>
        <v>105707.82622399997</v>
      </c>
      <c r="GF39" s="58">
        <f t="shared" si="277"/>
        <v>349448.9319312991</v>
      </c>
      <c r="GG39" s="59">
        <f t="shared" si="278"/>
        <v>102241.99585599998</v>
      </c>
      <c r="GH39" s="58">
        <f t="shared" si="279"/>
        <v>337991.58990076475</v>
      </c>
      <c r="GI39" s="54">
        <f t="shared" si="280"/>
        <v>98776.16548799997</v>
      </c>
      <c r="GJ39" s="58">
        <f t="shared" si="281"/>
        <v>326534.24787023029</v>
      </c>
      <c r="GK39" s="54"/>
      <c r="GL39" s="54"/>
      <c r="GM39" s="54">
        <v>1</v>
      </c>
      <c r="GN39" s="54">
        <v>0.97</v>
      </c>
      <c r="GO39" s="54">
        <v>0.95</v>
      </c>
      <c r="GP39" s="54">
        <v>0.93</v>
      </c>
      <c r="GQ39" s="54">
        <f t="shared" si="282"/>
        <v>0.91</v>
      </c>
      <c r="GR39" s="54">
        <f t="shared" si="282"/>
        <v>0.89</v>
      </c>
      <c r="GS39" s="54">
        <f t="shared" si="282"/>
        <v>0.87</v>
      </c>
      <c r="GT39" s="54">
        <f t="shared" si="282"/>
        <v>0.85</v>
      </c>
      <c r="GU39" s="54">
        <f t="shared" si="282"/>
        <v>0.83</v>
      </c>
      <c r="GV39" s="54">
        <f t="shared" si="282"/>
        <v>0.80999999999999994</v>
      </c>
      <c r="GW39" s="54">
        <f t="shared" si="282"/>
        <v>0.78999999999999992</v>
      </c>
      <c r="GX39" s="54">
        <f t="shared" si="282"/>
        <v>0.76999999999999991</v>
      </c>
      <c r="GY39" s="54">
        <f t="shared" si="282"/>
        <v>0.74999999999999989</v>
      </c>
      <c r="GZ39" s="54">
        <f t="shared" si="282"/>
        <v>0.72999999999999987</v>
      </c>
      <c r="HA39" s="54">
        <f t="shared" si="282"/>
        <v>0.70999999999999985</v>
      </c>
      <c r="HB39" s="54">
        <f t="shared" si="282"/>
        <v>0.68999999999999984</v>
      </c>
      <c r="HC39" s="54">
        <f t="shared" si="282"/>
        <v>0.66999999999999982</v>
      </c>
      <c r="HD39" s="54">
        <f t="shared" si="282"/>
        <v>0.6499999999999998</v>
      </c>
      <c r="HE39" s="54">
        <f t="shared" si="282"/>
        <v>0.62999999999999978</v>
      </c>
      <c r="HF39" s="54">
        <f t="shared" si="282"/>
        <v>0.60999999999999976</v>
      </c>
      <c r="HG39" s="54">
        <f t="shared" si="282"/>
        <v>0.58999999999999975</v>
      </c>
      <c r="HH39" s="54">
        <f t="shared" si="282"/>
        <v>0.56999999999999973</v>
      </c>
    </row>
    <row r="40" spans="1:216" x14ac:dyDescent="0.3">
      <c r="A40" s="2">
        <v>7</v>
      </c>
      <c r="C40" s="38" t="s">
        <v>19</v>
      </c>
      <c r="D40" s="42">
        <v>2250</v>
      </c>
      <c r="E40" s="72">
        <f t="shared" si="152"/>
        <v>7430</v>
      </c>
      <c r="H40" s="54">
        <f t="shared" si="61"/>
        <v>8173.0000000000009</v>
      </c>
      <c r="I40" s="54">
        <f t="shared" si="62"/>
        <v>8173.0000000000009</v>
      </c>
      <c r="J40" s="58">
        <f t="shared" si="63"/>
        <v>27018.303400000004</v>
      </c>
      <c r="K40" s="54">
        <f t="shared" si="153"/>
        <v>7927.81</v>
      </c>
      <c r="L40" s="58">
        <f t="shared" si="154"/>
        <v>26207.754298000003</v>
      </c>
      <c r="M40" s="54">
        <f t="shared" si="155"/>
        <v>7764.35</v>
      </c>
      <c r="N40" s="58">
        <f t="shared" si="156"/>
        <v>25667.38823</v>
      </c>
      <c r="O40" s="54">
        <f t="shared" si="157"/>
        <v>7600.8900000000012</v>
      </c>
      <c r="P40" s="58">
        <f t="shared" si="158"/>
        <v>25127.022162000005</v>
      </c>
      <c r="Q40" s="56">
        <f t="shared" si="159"/>
        <v>7437.4300000000012</v>
      </c>
      <c r="R40" s="58">
        <f t="shared" si="160"/>
        <v>24586.656094000005</v>
      </c>
      <c r="S40" s="54">
        <f t="shared" si="161"/>
        <v>7273.9700000000012</v>
      </c>
      <c r="T40" s="58">
        <f t="shared" si="162"/>
        <v>24046.290026000006</v>
      </c>
      <c r="U40" s="56">
        <f t="shared" si="163"/>
        <v>7110.5100000000011</v>
      </c>
      <c r="V40" s="58">
        <f t="shared" si="164"/>
        <v>23505.923958000003</v>
      </c>
      <c r="W40" s="59">
        <f t="shared" si="165"/>
        <v>6947.05</v>
      </c>
      <c r="X40" s="58">
        <f t="shared" si="166"/>
        <v>22965.55789</v>
      </c>
      <c r="Y40" s="56">
        <f t="shared" si="167"/>
        <v>6783.59</v>
      </c>
      <c r="Z40" s="58">
        <f t="shared" si="168"/>
        <v>22425.191822000001</v>
      </c>
      <c r="AA40" s="54">
        <f t="shared" si="169"/>
        <v>6620.13</v>
      </c>
      <c r="AB40" s="58">
        <f t="shared" si="170"/>
        <v>21884.825754000001</v>
      </c>
      <c r="AC40" s="59">
        <f t="shared" si="171"/>
        <v>6456.67</v>
      </c>
      <c r="AD40" s="58">
        <f t="shared" si="172"/>
        <v>21344.459686000002</v>
      </c>
      <c r="AE40" s="59">
        <f t="shared" si="173"/>
        <v>6293.21</v>
      </c>
      <c r="AF40" s="58">
        <f t="shared" si="174"/>
        <v>20804.093617999999</v>
      </c>
      <c r="AG40" s="59">
        <f t="shared" si="175"/>
        <v>6129.75</v>
      </c>
      <c r="AH40" s="58">
        <f t="shared" si="176"/>
        <v>20263.72755</v>
      </c>
      <c r="AI40" s="54">
        <f t="shared" si="177"/>
        <v>5966.29</v>
      </c>
      <c r="AJ40" s="58">
        <f t="shared" si="178"/>
        <v>19723.361482</v>
      </c>
      <c r="AK40" s="59">
        <f t="shared" si="179"/>
        <v>5802.829999999999</v>
      </c>
      <c r="AL40" s="58">
        <f t="shared" si="180"/>
        <v>19182.995413999997</v>
      </c>
      <c r="AM40" s="59">
        <f t="shared" si="181"/>
        <v>5639.369999999999</v>
      </c>
      <c r="AN40" s="58">
        <f t="shared" si="182"/>
        <v>18642.629345999998</v>
      </c>
      <c r="AO40" s="59">
        <f t="shared" si="183"/>
        <v>5475.9099999999989</v>
      </c>
      <c r="AP40" s="58">
        <f t="shared" si="184"/>
        <v>18102.263277999999</v>
      </c>
      <c r="AQ40" s="59">
        <f t="shared" si="185"/>
        <v>5312.4499999999989</v>
      </c>
      <c r="AR40" s="58">
        <f t="shared" si="186"/>
        <v>17561.897209999996</v>
      </c>
      <c r="AS40" s="54">
        <f t="shared" si="187"/>
        <v>5148.9899999999989</v>
      </c>
      <c r="AT40" s="58">
        <f t="shared" si="188"/>
        <v>17021.531141999996</v>
      </c>
      <c r="AU40" s="59">
        <f t="shared" si="189"/>
        <v>4985.5299999999988</v>
      </c>
      <c r="AV40" s="58">
        <f t="shared" si="190"/>
        <v>16481.165073999997</v>
      </c>
      <c r="AW40" s="59">
        <f t="shared" si="191"/>
        <v>4822.0699999999988</v>
      </c>
      <c r="AX40" s="58">
        <f t="shared" si="192"/>
        <v>15940.799005999996</v>
      </c>
      <c r="AY40" s="54">
        <f t="shared" si="193"/>
        <v>4658.6099999999979</v>
      </c>
      <c r="AZ40" s="58">
        <f t="shared" si="194"/>
        <v>15400.432937999993</v>
      </c>
      <c r="BC40" s="54">
        <v>1</v>
      </c>
      <c r="BD40" s="54">
        <v>0.97</v>
      </c>
      <c r="BE40" s="54">
        <v>0.95</v>
      </c>
      <c r="BF40" s="54">
        <v>0.93</v>
      </c>
      <c r="BG40" s="54">
        <f t="shared" si="143"/>
        <v>0.91</v>
      </c>
      <c r="BH40" s="54">
        <f t="shared" si="143"/>
        <v>0.89</v>
      </c>
      <c r="BI40" s="54">
        <f t="shared" si="143"/>
        <v>0.87</v>
      </c>
      <c r="BJ40" s="54">
        <f t="shared" si="143"/>
        <v>0.85</v>
      </c>
      <c r="BK40" s="54">
        <f t="shared" si="143"/>
        <v>0.83</v>
      </c>
      <c r="BL40" s="54">
        <f t="shared" si="143"/>
        <v>0.80999999999999994</v>
      </c>
      <c r="BM40" s="54">
        <f t="shared" si="143"/>
        <v>0.78999999999999992</v>
      </c>
      <c r="BN40" s="54">
        <f t="shared" si="143"/>
        <v>0.76999999999999991</v>
      </c>
      <c r="BO40" s="54">
        <f t="shared" si="143"/>
        <v>0.74999999999999989</v>
      </c>
      <c r="BP40" s="54">
        <f t="shared" si="143"/>
        <v>0.72999999999999987</v>
      </c>
      <c r="BQ40" s="54">
        <f t="shared" si="143"/>
        <v>0.70999999999999985</v>
      </c>
      <c r="BR40" s="54">
        <f t="shared" si="143"/>
        <v>0.68999999999999984</v>
      </c>
      <c r="BS40" s="54">
        <f t="shared" si="143"/>
        <v>0.66999999999999982</v>
      </c>
      <c r="BT40" s="54">
        <f t="shared" si="143"/>
        <v>0.6499999999999998</v>
      </c>
      <c r="BU40" s="54">
        <f t="shared" si="143"/>
        <v>0.62999999999999978</v>
      </c>
      <c r="BV40" s="54">
        <f t="shared" si="143"/>
        <v>0.60999999999999976</v>
      </c>
      <c r="BW40" s="54">
        <f t="shared" si="143"/>
        <v>0.58999999999999975</v>
      </c>
      <c r="BX40" s="54">
        <f t="shared" si="143"/>
        <v>0.56999999999999973</v>
      </c>
      <c r="BZ40" s="54">
        <f t="shared" si="88"/>
        <v>7437.4300000000012</v>
      </c>
      <c r="CA40" s="54">
        <f t="shared" si="89"/>
        <v>7437.4300000000012</v>
      </c>
      <c r="CB40" s="58">
        <f t="shared" si="195"/>
        <v>24586.656094000005</v>
      </c>
      <c r="CC40" s="54">
        <f t="shared" si="196"/>
        <v>7214.3071000000009</v>
      </c>
      <c r="CD40" s="58">
        <f t="shared" si="197"/>
        <v>23849.056411180005</v>
      </c>
      <c r="CE40" s="54">
        <f t="shared" si="198"/>
        <v>7065.558500000001</v>
      </c>
      <c r="CF40" s="58">
        <f t="shared" si="199"/>
        <v>23357.323289300002</v>
      </c>
      <c r="CG40" s="54">
        <f t="shared" si="200"/>
        <v>6916.8099000000011</v>
      </c>
      <c r="CH40" s="58">
        <f t="shared" si="201"/>
        <v>22865.590167420003</v>
      </c>
      <c r="CI40" s="56">
        <f t="shared" si="202"/>
        <v>6768.0613000000012</v>
      </c>
      <c r="CJ40" s="58">
        <f t="shared" si="203"/>
        <v>22373.857045540004</v>
      </c>
      <c r="CK40" s="54">
        <f t="shared" si="204"/>
        <v>6619.3127000000013</v>
      </c>
      <c r="CL40" s="58">
        <f t="shared" si="205"/>
        <v>21882.123923660005</v>
      </c>
      <c r="CM40" s="56">
        <f t="shared" si="206"/>
        <v>6470.5641000000014</v>
      </c>
      <c r="CN40" s="58">
        <f t="shared" si="207"/>
        <v>21390.390801780006</v>
      </c>
      <c r="CO40" s="59">
        <f t="shared" si="208"/>
        <v>6321.8155000000006</v>
      </c>
      <c r="CP40" s="58">
        <f t="shared" si="209"/>
        <v>20898.657679900003</v>
      </c>
      <c r="CQ40" s="56">
        <f t="shared" si="210"/>
        <v>6173.0669000000007</v>
      </c>
      <c r="CR40" s="58">
        <f t="shared" si="211"/>
        <v>20406.924558020004</v>
      </c>
      <c r="CS40" s="54">
        <f t="shared" si="212"/>
        <v>6024.3183000000008</v>
      </c>
      <c r="CT40" s="58">
        <f t="shared" si="213"/>
        <v>19915.191436140005</v>
      </c>
      <c r="CU40" s="59">
        <f t="shared" si="214"/>
        <v>5875.5697</v>
      </c>
      <c r="CV40" s="58">
        <f t="shared" si="215"/>
        <v>19423.458314260002</v>
      </c>
      <c r="CW40" s="59">
        <f t="shared" si="216"/>
        <v>5726.8211000000001</v>
      </c>
      <c r="CX40" s="58">
        <f t="shared" si="217"/>
        <v>18931.725192379999</v>
      </c>
      <c r="CY40" s="59">
        <f t="shared" si="218"/>
        <v>5578.0725000000002</v>
      </c>
      <c r="CZ40" s="58">
        <f t="shared" si="219"/>
        <v>18439.9920705</v>
      </c>
      <c r="DA40" s="54">
        <f t="shared" si="220"/>
        <v>5429.3239000000003</v>
      </c>
      <c r="DB40" s="58">
        <f t="shared" si="221"/>
        <v>17948.258948620001</v>
      </c>
      <c r="DC40" s="59">
        <f t="shared" si="222"/>
        <v>5280.5752999999995</v>
      </c>
      <c r="DD40" s="58">
        <f t="shared" si="223"/>
        <v>17456.525826739999</v>
      </c>
      <c r="DE40" s="59">
        <f t="shared" si="224"/>
        <v>5131.8266999999996</v>
      </c>
      <c r="DF40" s="58">
        <f t="shared" si="225"/>
        <v>16964.79270486</v>
      </c>
      <c r="DG40" s="59">
        <f t="shared" si="226"/>
        <v>4983.0780999999997</v>
      </c>
      <c r="DH40" s="58">
        <f t="shared" si="227"/>
        <v>16473.05958298</v>
      </c>
      <c r="DI40" s="59">
        <f t="shared" si="228"/>
        <v>4834.3294999999989</v>
      </c>
      <c r="DJ40" s="58">
        <f t="shared" si="229"/>
        <v>15981.326461099996</v>
      </c>
      <c r="DK40" s="54">
        <f t="shared" si="230"/>
        <v>4685.580899999999</v>
      </c>
      <c r="DL40" s="58">
        <f t="shared" si="231"/>
        <v>15489.593339219997</v>
      </c>
      <c r="DM40" s="59">
        <f t="shared" si="232"/>
        <v>4536.8322999999991</v>
      </c>
      <c r="DN40" s="58">
        <f t="shared" si="233"/>
        <v>14997.860217339998</v>
      </c>
      <c r="DO40" s="59">
        <f t="shared" si="234"/>
        <v>4388.0836999999992</v>
      </c>
      <c r="DP40" s="58">
        <f t="shared" si="235"/>
        <v>14506.127095459999</v>
      </c>
      <c r="DQ40" s="54">
        <f t="shared" si="236"/>
        <v>4239.3350999999984</v>
      </c>
      <c r="DR40" s="58">
        <f t="shared" si="237"/>
        <v>14014.393973579996</v>
      </c>
      <c r="DU40" s="54">
        <v>1</v>
      </c>
      <c r="DV40" s="54">
        <v>0.97</v>
      </c>
      <c r="DW40" s="54">
        <v>0.95</v>
      </c>
      <c r="DX40" s="54">
        <v>0.93</v>
      </c>
      <c r="DY40" s="54">
        <f t="shared" si="238"/>
        <v>0.91</v>
      </c>
      <c r="DZ40" s="54">
        <f t="shared" si="238"/>
        <v>0.89</v>
      </c>
      <c r="EA40" s="54">
        <f t="shared" si="238"/>
        <v>0.87</v>
      </c>
      <c r="EB40" s="54">
        <f t="shared" si="238"/>
        <v>0.85</v>
      </c>
      <c r="EC40" s="54">
        <f t="shared" si="238"/>
        <v>0.83</v>
      </c>
      <c r="ED40" s="54">
        <f t="shared" si="238"/>
        <v>0.80999999999999994</v>
      </c>
      <c r="EE40" s="54">
        <f t="shared" si="238"/>
        <v>0.78999999999999992</v>
      </c>
      <c r="EF40" s="54">
        <f t="shared" si="238"/>
        <v>0.76999999999999991</v>
      </c>
      <c r="EG40" s="54">
        <f t="shared" si="238"/>
        <v>0.74999999999999989</v>
      </c>
      <c r="EH40" s="54">
        <f t="shared" si="238"/>
        <v>0.72999999999999987</v>
      </c>
      <c r="EI40" s="54">
        <f t="shared" si="238"/>
        <v>0.70999999999999985</v>
      </c>
      <c r="EJ40" s="54">
        <f t="shared" si="238"/>
        <v>0.68999999999999984</v>
      </c>
      <c r="EK40" s="54">
        <f t="shared" si="238"/>
        <v>0.66999999999999982</v>
      </c>
      <c r="EL40" s="54">
        <f t="shared" si="238"/>
        <v>0.6499999999999998</v>
      </c>
      <c r="EM40" s="54">
        <f t="shared" si="238"/>
        <v>0.62999999999999978</v>
      </c>
      <c r="EN40" s="54">
        <f t="shared" si="238"/>
        <v>0.60999999999999976</v>
      </c>
      <c r="EO40" s="54">
        <f t="shared" si="238"/>
        <v>0.58999999999999975</v>
      </c>
      <c r="EP40" s="54">
        <f t="shared" si="238"/>
        <v>0.56999999999999973</v>
      </c>
      <c r="ER40" s="54">
        <f t="shared" si="142"/>
        <v>6768.0613000000012</v>
      </c>
      <c r="ES40" s="54">
        <f t="shared" si="116"/>
        <v>6768.0613000000012</v>
      </c>
      <c r="ET40" s="58">
        <f t="shared" si="239"/>
        <v>22373.857045540004</v>
      </c>
      <c r="EU40" s="54">
        <f t="shared" si="240"/>
        <v>6565.0194610000008</v>
      </c>
      <c r="EV40" s="58">
        <f t="shared" si="241"/>
        <v>21702.641334173804</v>
      </c>
      <c r="EW40" s="54">
        <f t="shared" si="242"/>
        <v>6429.6582350000008</v>
      </c>
      <c r="EX40" s="58">
        <f t="shared" si="243"/>
        <v>21255.164193263005</v>
      </c>
      <c r="EY40" s="54">
        <f t="shared" si="244"/>
        <v>6294.2970090000017</v>
      </c>
      <c r="EZ40" s="58">
        <f t="shared" si="245"/>
        <v>20807.687052352205</v>
      </c>
      <c r="FA40" s="56">
        <f t="shared" si="246"/>
        <v>6158.9357830000017</v>
      </c>
      <c r="FB40" s="58">
        <f t="shared" si="247"/>
        <v>20360.209911441405</v>
      </c>
      <c r="FC40" s="54">
        <f t="shared" si="248"/>
        <v>6023.5745570000008</v>
      </c>
      <c r="FD40" s="58">
        <f t="shared" si="249"/>
        <v>19912.732770530602</v>
      </c>
      <c r="FE40" s="56">
        <f t="shared" si="250"/>
        <v>5888.2133310000008</v>
      </c>
      <c r="FF40" s="58">
        <f t="shared" si="251"/>
        <v>19465.255629619802</v>
      </c>
      <c r="FG40" s="59">
        <f t="shared" si="252"/>
        <v>5752.8521050000008</v>
      </c>
      <c r="FH40" s="58">
        <f t="shared" si="253"/>
        <v>19017.778488709002</v>
      </c>
      <c r="FI40" s="56">
        <f t="shared" si="254"/>
        <v>5617.4908790000009</v>
      </c>
      <c r="FJ40" s="58">
        <f t="shared" si="255"/>
        <v>18570.301347798202</v>
      </c>
      <c r="FK40" s="54">
        <f t="shared" si="256"/>
        <v>5482.1296530000009</v>
      </c>
      <c r="FL40" s="58">
        <f t="shared" si="257"/>
        <v>18122.824206887402</v>
      </c>
      <c r="FM40" s="59">
        <f t="shared" si="258"/>
        <v>5346.7684270000009</v>
      </c>
      <c r="FN40" s="58">
        <f t="shared" si="259"/>
        <v>17675.347065976603</v>
      </c>
      <c r="FO40" s="59">
        <f t="shared" si="260"/>
        <v>5211.407201</v>
      </c>
      <c r="FP40" s="58">
        <f t="shared" si="261"/>
        <v>17227.869925065799</v>
      </c>
      <c r="FQ40" s="59">
        <f t="shared" si="262"/>
        <v>5076.045975</v>
      </c>
      <c r="FR40" s="58">
        <f t="shared" si="263"/>
        <v>16780.392784154999</v>
      </c>
      <c r="FS40" s="54">
        <f t="shared" si="264"/>
        <v>4940.684749</v>
      </c>
      <c r="FT40" s="58">
        <f t="shared" si="265"/>
        <v>16332.9156432442</v>
      </c>
      <c r="FU40" s="59">
        <f t="shared" si="266"/>
        <v>4805.323523</v>
      </c>
      <c r="FV40" s="58">
        <f t="shared" si="267"/>
        <v>15885.4385023334</v>
      </c>
      <c r="FW40" s="59">
        <f t="shared" si="268"/>
        <v>4669.962297</v>
      </c>
      <c r="FX40" s="58">
        <f t="shared" si="269"/>
        <v>15437.9613614226</v>
      </c>
      <c r="FY40" s="59">
        <f t="shared" si="270"/>
        <v>4534.6010709999991</v>
      </c>
      <c r="FZ40" s="58">
        <f t="shared" si="271"/>
        <v>14990.484220511797</v>
      </c>
      <c r="GA40" s="59">
        <f t="shared" si="272"/>
        <v>4399.2398449999991</v>
      </c>
      <c r="GB40" s="58">
        <f t="shared" si="273"/>
        <v>14543.007079600997</v>
      </c>
      <c r="GC40" s="54">
        <f t="shared" si="274"/>
        <v>4263.8786189999992</v>
      </c>
      <c r="GD40" s="58">
        <f t="shared" si="275"/>
        <v>14095.529938690197</v>
      </c>
      <c r="GE40" s="59">
        <f t="shared" si="276"/>
        <v>4128.5173929999992</v>
      </c>
      <c r="GF40" s="58">
        <f t="shared" si="277"/>
        <v>13648.052797779397</v>
      </c>
      <c r="GG40" s="59">
        <f t="shared" si="278"/>
        <v>3993.1561669999992</v>
      </c>
      <c r="GH40" s="58">
        <f t="shared" si="279"/>
        <v>13200.575656868597</v>
      </c>
      <c r="GI40" s="54">
        <f t="shared" si="280"/>
        <v>3857.7949409999987</v>
      </c>
      <c r="GJ40" s="58">
        <f t="shared" si="281"/>
        <v>12753.098515957796</v>
      </c>
      <c r="GK40" s="54"/>
      <c r="GL40" s="54"/>
      <c r="GM40" s="54">
        <v>1</v>
      </c>
      <c r="GN40" s="54">
        <v>0.97</v>
      </c>
      <c r="GO40" s="54">
        <v>0.95</v>
      </c>
      <c r="GP40" s="54">
        <v>0.93</v>
      </c>
      <c r="GQ40" s="54">
        <f t="shared" si="282"/>
        <v>0.91</v>
      </c>
      <c r="GR40" s="54">
        <f t="shared" si="282"/>
        <v>0.89</v>
      </c>
      <c r="GS40" s="54">
        <f t="shared" si="282"/>
        <v>0.87</v>
      </c>
      <c r="GT40" s="54">
        <f t="shared" si="282"/>
        <v>0.85</v>
      </c>
      <c r="GU40" s="54">
        <f t="shared" si="282"/>
        <v>0.83</v>
      </c>
      <c r="GV40" s="54">
        <f t="shared" si="282"/>
        <v>0.80999999999999994</v>
      </c>
      <c r="GW40" s="54">
        <f t="shared" si="282"/>
        <v>0.78999999999999992</v>
      </c>
      <c r="GX40" s="54">
        <f t="shared" si="282"/>
        <v>0.76999999999999991</v>
      </c>
      <c r="GY40" s="54">
        <f t="shared" si="282"/>
        <v>0.74999999999999989</v>
      </c>
      <c r="GZ40" s="54">
        <f t="shared" si="282"/>
        <v>0.72999999999999987</v>
      </c>
      <c r="HA40" s="54">
        <f t="shared" si="282"/>
        <v>0.70999999999999985</v>
      </c>
      <c r="HB40" s="54">
        <f t="shared" si="282"/>
        <v>0.68999999999999984</v>
      </c>
      <c r="HC40" s="54">
        <f t="shared" si="282"/>
        <v>0.66999999999999982</v>
      </c>
      <c r="HD40" s="54">
        <f t="shared" si="282"/>
        <v>0.6499999999999998</v>
      </c>
      <c r="HE40" s="54">
        <f t="shared" si="282"/>
        <v>0.62999999999999978</v>
      </c>
      <c r="HF40" s="54">
        <f t="shared" si="282"/>
        <v>0.60999999999999976</v>
      </c>
      <c r="HG40" s="54">
        <f t="shared" si="282"/>
        <v>0.58999999999999975</v>
      </c>
      <c r="HH40" s="54">
        <f t="shared" si="282"/>
        <v>0.56999999999999973</v>
      </c>
    </row>
    <row r="41" spans="1:216" x14ac:dyDescent="0.3">
      <c r="A41" s="2">
        <v>8</v>
      </c>
      <c r="C41" s="38" t="s">
        <v>20</v>
      </c>
      <c r="D41" s="42">
        <v>9770</v>
      </c>
      <c r="E41" s="72">
        <f t="shared" si="152"/>
        <v>32290</v>
      </c>
      <c r="H41" s="54">
        <f t="shared" si="61"/>
        <v>35519</v>
      </c>
      <c r="I41" s="54">
        <f t="shared" si="62"/>
        <v>35519</v>
      </c>
      <c r="J41" s="58">
        <f t="shared" si="63"/>
        <v>117418.7102</v>
      </c>
      <c r="K41" s="54">
        <f t="shared" si="153"/>
        <v>34453.43</v>
      </c>
      <c r="L41" s="58">
        <f t="shared" si="154"/>
        <v>113896.148894</v>
      </c>
      <c r="M41" s="54">
        <f t="shared" si="155"/>
        <v>33743.049999999996</v>
      </c>
      <c r="N41" s="58">
        <f t="shared" si="156"/>
        <v>111547.77468999999</v>
      </c>
      <c r="O41" s="54">
        <f t="shared" si="157"/>
        <v>33032.67</v>
      </c>
      <c r="P41" s="58">
        <f t="shared" si="158"/>
        <v>109199.400486</v>
      </c>
      <c r="Q41" s="56">
        <f t="shared" si="159"/>
        <v>32322.29</v>
      </c>
      <c r="R41" s="58">
        <f t="shared" si="160"/>
        <v>106851.02628200001</v>
      </c>
      <c r="S41" s="54">
        <f t="shared" si="161"/>
        <v>31611.91</v>
      </c>
      <c r="T41" s="58">
        <f t="shared" si="162"/>
        <v>104502.652078</v>
      </c>
      <c r="U41" s="56">
        <f t="shared" si="163"/>
        <v>30901.53</v>
      </c>
      <c r="V41" s="58">
        <f t="shared" si="164"/>
        <v>102154.27787399999</v>
      </c>
      <c r="W41" s="59">
        <f t="shared" si="165"/>
        <v>30191.149999999998</v>
      </c>
      <c r="X41" s="58">
        <f t="shared" si="166"/>
        <v>99805.90367</v>
      </c>
      <c r="Y41" s="56">
        <f t="shared" si="167"/>
        <v>29480.769999999997</v>
      </c>
      <c r="Z41" s="58">
        <f t="shared" si="168"/>
        <v>97457.529465999993</v>
      </c>
      <c r="AA41" s="54">
        <f t="shared" si="169"/>
        <v>28770.39</v>
      </c>
      <c r="AB41" s="58">
        <f t="shared" si="170"/>
        <v>95109.155262</v>
      </c>
      <c r="AC41" s="59">
        <f t="shared" si="171"/>
        <v>28060.01</v>
      </c>
      <c r="AD41" s="58">
        <f t="shared" si="172"/>
        <v>92760.781057999993</v>
      </c>
      <c r="AE41" s="59">
        <f t="shared" si="173"/>
        <v>27349.629999999997</v>
      </c>
      <c r="AF41" s="58">
        <f t="shared" si="174"/>
        <v>90412.406853999986</v>
      </c>
      <c r="AG41" s="59">
        <f t="shared" si="175"/>
        <v>26639.249999999996</v>
      </c>
      <c r="AH41" s="58">
        <f t="shared" si="176"/>
        <v>88064.032649999994</v>
      </c>
      <c r="AI41" s="54">
        <f t="shared" si="177"/>
        <v>25928.869999999995</v>
      </c>
      <c r="AJ41" s="58">
        <f t="shared" si="178"/>
        <v>85715.658445999987</v>
      </c>
      <c r="AK41" s="59">
        <f t="shared" si="179"/>
        <v>25218.489999999994</v>
      </c>
      <c r="AL41" s="58">
        <f t="shared" si="180"/>
        <v>83367.28424199998</v>
      </c>
      <c r="AM41" s="59">
        <f t="shared" si="181"/>
        <v>24508.109999999993</v>
      </c>
      <c r="AN41" s="58">
        <f t="shared" si="182"/>
        <v>81018.910037999973</v>
      </c>
      <c r="AO41" s="59">
        <f t="shared" si="183"/>
        <v>23797.729999999992</v>
      </c>
      <c r="AP41" s="58">
        <f t="shared" si="184"/>
        <v>78670.53583399998</v>
      </c>
      <c r="AQ41" s="59">
        <f t="shared" si="185"/>
        <v>23087.349999999991</v>
      </c>
      <c r="AR41" s="58">
        <f t="shared" si="186"/>
        <v>76322.161629999973</v>
      </c>
      <c r="AS41" s="54">
        <f t="shared" si="187"/>
        <v>22376.969999999994</v>
      </c>
      <c r="AT41" s="58">
        <f t="shared" si="188"/>
        <v>73973.787425999981</v>
      </c>
      <c r="AU41" s="59">
        <f t="shared" si="189"/>
        <v>21666.589999999993</v>
      </c>
      <c r="AV41" s="58">
        <f t="shared" si="190"/>
        <v>71625.413221999974</v>
      </c>
      <c r="AW41" s="59">
        <f t="shared" si="191"/>
        <v>20956.209999999992</v>
      </c>
      <c r="AX41" s="58">
        <f t="shared" si="192"/>
        <v>69277.039017999981</v>
      </c>
      <c r="AY41" s="54">
        <f t="shared" si="193"/>
        <v>20245.829999999991</v>
      </c>
      <c r="AZ41" s="58">
        <f t="shared" si="194"/>
        <v>66928.664813999974</v>
      </c>
      <c r="BC41" s="54">
        <v>1</v>
      </c>
      <c r="BD41" s="54">
        <v>0.97</v>
      </c>
      <c r="BE41" s="54">
        <v>0.95</v>
      </c>
      <c r="BF41" s="54">
        <v>0.93</v>
      </c>
      <c r="BG41" s="54">
        <f t="shared" si="143"/>
        <v>0.91</v>
      </c>
      <c r="BH41" s="54">
        <f t="shared" si="143"/>
        <v>0.89</v>
      </c>
      <c r="BI41" s="54">
        <f t="shared" si="143"/>
        <v>0.87</v>
      </c>
      <c r="BJ41" s="54">
        <f t="shared" si="143"/>
        <v>0.85</v>
      </c>
      <c r="BK41" s="54">
        <f t="shared" si="143"/>
        <v>0.83</v>
      </c>
      <c r="BL41" s="54">
        <f t="shared" si="143"/>
        <v>0.80999999999999994</v>
      </c>
      <c r="BM41" s="54">
        <f t="shared" si="143"/>
        <v>0.78999999999999992</v>
      </c>
      <c r="BN41" s="54">
        <f t="shared" si="143"/>
        <v>0.76999999999999991</v>
      </c>
      <c r="BO41" s="54">
        <f t="shared" si="143"/>
        <v>0.74999999999999989</v>
      </c>
      <c r="BP41" s="54">
        <f t="shared" si="143"/>
        <v>0.72999999999999987</v>
      </c>
      <c r="BQ41" s="54">
        <f t="shared" si="143"/>
        <v>0.70999999999999985</v>
      </c>
      <c r="BR41" s="54">
        <f t="shared" si="143"/>
        <v>0.68999999999999984</v>
      </c>
      <c r="BS41" s="54">
        <f t="shared" si="143"/>
        <v>0.66999999999999982</v>
      </c>
      <c r="BT41" s="54">
        <f t="shared" si="143"/>
        <v>0.6499999999999998</v>
      </c>
      <c r="BU41" s="54">
        <f t="shared" si="143"/>
        <v>0.62999999999999978</v>
      </c>
      <c r="BV41" s="54">
        <f t="shared" si="143"/>
        <v>0.60999999999999976</v>
      </c>
      <c r="BW41" s="54">
        <f t="shared" si="143"/>
        <v>0.58999999999999975</v>
      </c>
      <c r="BX41" s="54">
        <f t="shared" si="143"/>
        <v>0.56999999999999973</v>
      </c>
      <c r="BZ41" s="54">
        <f t="shared" si="88"/>
        <v>32322.29</v>
      </c>
      <c r="CA41" s="54">
        <f t="shared" si="89"/>
        <v>32322.29</v>
      </c>
      <c r="CB41" s="58">
        <f t="shared" si="195"/>
        <v>106851.02628200001</v>
      </c>
      <c r="CC41" s="54">
        <f t="shared" si="196"/>
        <v>31352.621299999999</v>
      </c>
      <c r="CD41" s="58">
        <f t="shared" si="197"/>
        <v>103645.49549354</v>
      </c>
      <c r="CE41" s="54">
        <f t="shared" si="198"/>
        <v>30706.175500000001</v>
      </c>
      <c r="CF41" s="58">
        <f t="shared" si="199"/>
        <v>101508.47496790001</v>
      </c>
      <c r="CG41" s="54">
        <f t="shared" si="200"/>
        <v>30059.729700000004</v>
      </c>
      <c r="CH41" s="58">
        <f t="shared" si="201"/>
        <v>99371.454442260016</v>
      </c>
      <c r="CI41" s="56">
        <f t="shared" si="202"/>
        <v>29413.283900000002</v>
      </c>
      <c r="CJ41" s="58">
        <f t="shared" si="203"/>
        <v>97234.433916620008</v>
      </c>
      <c r="CK41" s="54">
        <f t="shared" si="204"/>
        <v>28766.838100000001</v>
      </c>
      <c r="CL41" s="58">
        <f t="shared" si="205"/>
        <v>95097.41339098</v>
      </c>
      <c r="CM41" s="56">
        <f t="shared" si="206"/>
        <v>28120.3923</v>
      </c>
      <c r="CN41" s="58">
        <f t="shared" si="207"/>
        <v>92960.392865340007</v>
      </c>
      <c r="CO41" s="59">
        <f t="shared" si="208"/>
        <v>27473.946500000002</v>
      </c>
      <c r="CP41" s="58">
        <f t="shared" si="209"/>
        <v>90823.372339700014</v>
      </c>
      <c r="CQ41" s="56">
        <f t="shared" si="210"/>
        <v>26827.500700000001</v>
      </c>
      <c r="CR41" s="58">
        <f t="shared" si="211"/>
        <v>88686.351814060006</v>
      </c>
      <c r="CS41" s="54">
        <f t="shared" si="212"/>
        <v>26181.054899999999</v>
      </c>
      <c r="CT41" s="58">
        <f t="shared" si="213"/>
        <v>86549.331288419999</v>
      </c>
      <c r="CU41" s="59">
        <f t="shared" si="214"/>
        <v>25534.609099999998</v>
      </c>
      <c r="CV41" s="58">
        <f t="shared" si="215"/>
        <v>84412.310762779991</v>
      </c>
      <c r="CW41" s="59">
        <f t="shared" si="216"/>
        <v>24888.163299999997</v>
      </c>
      <c r="CX41" s="58">
        <f t="shared" si="217"/>
        <v>82275.290237139983</v>
      </c>
      <c r="CY41" s="59">
        <f t="shared" si="218"/>
        <v>24241.717499999999</v>
      </c>
      <c r="CZ41" s="58">
        <f t="shared" si="219"/>
        <v>80138.269711500005</v>
      </c>
      <c r="DA41" s="54">
        <f t="shared" si="220"/>
        <v>23595.271699999998</v>
      </c>
      <c r="DB41" s="58">
        <f t="shared" si="221"/>
        <v>78001.249185859997</v>
      </c>
      <c r="DC41" s="59">
        <f t="shared" si="222"/>
        <v>22948.825899999996</v>
      </c>
      <c r="DD41" s="58">
        <f t="shared" si="223"/>
        <v>75864.228660219989</v>
      </c>
      <c r="DE41" s="59">
        <f t="shared" si="224"/>
        <v>22302.380099999995</v>
      </c>
      <c r="DF41" s="58">
        <f t="shared" si="225"/>
        <v>73727.208134579982</v>
      </c>
      <c r="DG41" s="59">
        <f t="shared" si="226"/>
        <v>21655.934299999994</v>
      </c>
      <c r="DH41" s="58">
        <f t="shared" si="227"/>
        <v>71590.187608939974</v>
      </c>
      <c r="DI41" s="59">
        <f t="shared" si="228"/>
        <v>21009.488499999996</v>
      </c>
      <c r="DJ41" s="58">
        <f t="shared" si="229"/>
        <v>69453.167083299981</v>
      </c>
      <c r="DK41" s="54">
        <f t="shared" si="230"/>
        <v>20363.042699999995</v>
      </c>
      <c r="DL41" s="58">
        <f t="shared" si="231"/>
        <v>67316.146557659988</v>
      </c>
      <c r="DM41" s="59">
        <f t="shared" si="232"/>
        <v>19716.596899999993</v>
      </c>
      <c r="DN41" s="58">
        <f t="shared" si="233"/>
        <v>65179.12603201998</v>
      </c>
      <c r="DO41" s="59">
        <f t="shared" si="234"/>
        <v>19070.151099999992</v>
      </c>
      <c r="DP41" s="58">
        <f t="shared" si="235"/>
        <v>63042.105506379972</v>
      </c>
      <c r="DQ41" s="54">
        <f t="shared" si="236"/>
        <v>18423.705299999991</v>
      </c>
      <c r="DR41" s="58">
        <f t="shared" si="237"/>
        <v>60905.084980739972</v>
      </c>
      <c r="DU41" s="54">
        <v>1</v>
      </c>
      <c r="DV41" s="54">
        <v>0.97</v>
      </c>
      <c r="DW41" s="54">
        <v>0.95</v>
      </c>
      <c r="DX41" s="54">
        <v>0.93</v>
      </c>
      <c r="DY41" s="54">
        <f t="shared" si="238"/>
        <v>0.91</v>
      </c>
      <c r="DZ41" s="54">
        <f t="shared" si="238"/>
        <v>0.89</v>
      </c>
      <c r="EA41" s="54">
        <f t="shared" si="238"/>
        <v>0.87</v>
      </c>
      <c r="EB41" s="54">
        <f t="shared" si="238"/>
        <v>0.85</v>
      </c>
      <c r="EC41" s="54">
        <f t="shared" si="238"/>
        <v>0.83</v>
      </c>
      <c r="ED41" s="54">
        <f t="shared" si="238"/>
        <v>0.80999999999999994</v>
      </c>
      <c r="EE41" s="54">
        <f t="shared" si="238"/>
        <v>0.78999999999999992</v>
      </c>
      <c r="EF41" s="54">
        <f t="shared" si="238"/>
        <v>0.76999999999999991</v>
      </c>
      <c r="EG41" s="54">
        <f t="shared" si="238"/>
        <v>0.74999999999999989</v>
      </c>
      <c r="EH41" s="54">
        <f t="shared" si="238"/>
        <v>0.72999999999999987</v>
      </c>
      <c r="EI41" s="54">
        <f t="shared" si="238"/>
        <v>0.70999999999999985</v>
      </c>
      <c r="EJ41" s="54">
        <f t="shared" si="238"/>
        <v>0.68999999999999984</v>
      </c>
      <c r="EK41" s="54">
        <f t="shared" si="238"/>
        <v>0.66999999999999982</v>
      </c>
      <c r="EL41" s="54">
        <f t="shared" si="238"/>
        <v>0.6499999999999998</v>
      </c>
      <c r="EM41" s="54">
        <f t="shared" si="238"/>
        <v>0.62999999999999978</v>
      </c>
      <c r="EN41" s="54">
        <f t="shared" si="238"/>
        <v>0.60999999999999976</v>
      </c>
      <c r="EO41" s="54">
        <f t="shared" si="238"/>
        <v>0.58999999999999975</v>
      </c>
      <c r="EP41" s="54">
        <f t="shared" si="238"/>
        <v>0.56999999999999973</v>
      </c>
      <c r="ER41" s="54">
        <f t="shared" si="142"/>
        <v>29413.283900000002</v>
      </c>
      <c r="ES41" s="54">
        <f t="shared" si="116"/>
        <v>29413.283900000002</v>
      </c>
      <c r="ET41" s="58">
        <f t="shared" si="239"/>
        <v>97234.433916620008</v>
      </c>
      <c r="EU41" s="54">
        <f t="shared" si="240"/>
        <v>28530.885383000001</v>
      </c>
      <c r="EV41" s="58">
        <f t="shared" si="241"/>
        <v>94317.400899121407</v>
      </c>
      <c r="EW41" s="54">
        <f t="shared" si="242"/>
        <v>27942.619705000001</v>
      </c>
      <c r="EX41" s="58">
        <f t="shared" si="243"/>
        <v>92372.712220789006</v>
      </c>
      <c r="EY41" s="54">
        <f t="shared" si="244"/>
        <v>27354.354027000005</v>
      </c>
      <c r="EZ41" s="58">
        <f t="shared" si="245"/>
        <v>90428.02354245662</v>
      </c>
      <c r="FA41" s="56">
        <f t="shared" si="246"/>
        <v>26766.088349000001</v>
      </c>
      <c r="FB41" s="58">
        <f t="shared" si="247"/>
        <v>88483.334864124205</v>
      </c>
      <c r="FC41" s="54">
        <f t="shared" si="248"/>
        <v>26177.822671000002</v>
      </c>
      <c r="FD41" s="58">
        <f t="shared" si="249"/>
        <v>86538.646185791804</v>
      </c>
      <c r="FE41" s="56">
        <f t="shared" si="250"/>
        <v>25589.556993000002</v>
      </c>
      <c r="FF41" s="58">
        <f t="shared" si="251"/>
        <v>84593.957507459403</v>
      </c>
      <c r="FG41" s="59">
        <f t="shared" si="252"/>
        <v>25001.291315000002</v>
      </c>
      <c r="FH41" s="58">
        <f t="shared" si="253"/>
        <v>82649.268829127002</v>
      </c>
      <c r="FI41" s="56">
        <f t="shared" si="254"/>
        <v>24413.025636999999</v>
      </c>
      <c r="FJ41" s="58">
        <f t="shared" si="255"/>
        <v>80704.580150794602</v>
      </c>
      <c r="FK41" s="54">
        <f t="shared" si="256"/>
        <v>23824.759958999999</v>
      </c>
      <c r="FL41" s="58">
        <f t="shared" si="257"/>
        <v>78759.891472462201</v>
      </c>
      <c r="FM41" s="59">
        <f t="shared" si="258"/>
        <v>23236.494280999999</v>
      </c>
      <c r="FN41" s="58">
        <f t="shared" si="259"/>
        <v>76815.2027941298</v>
      </c>
      <c r="FO41" s="59">
        <f t="shared" si="260"/>
        <v>22648.228603</v>
      </c>
      <c r="FP41" s="58">
        <f t="shared" si="261"/>
        <v>74870.514115797399</v>
      </c>
      <c r="FQ41" s="59">
        <f t="shared" si="262"/>
        <v>22059.962925</v>
      </c>
      <c r="FR41" s="58">
        <f t="shared" si="263"/>
        <v>72925.825437464999</v>
      </c>
      <c r="FS41" s="54">
        <f t="shared" si="264"/>
        <v>21471.697246999996</v>
      </c>
      <c r="FT41" s="58">
        <f t="shared" si="265"/>
        <v>70981.136759132583</v>
      </c>
      <c r="FU41" s="59">
        <f t="shared" si="266"/>
        <v>20883.431568999997</v>
      </c>
      <c r="FV41" s="58">
        <f t="shared" si="267"/>
        <v>69036.448080800197</v>
      </c>
      <c r="FW41" s="59">
        <f t="shared" si="268"/>
        <v>20295.165890999997</v>
      </c>
      <c r="FX41" s="58">
        <f t="shared" si="269"/>
        <v>67091.759402467796</v>
      </c>
      <c r="FY41" s="59">
        <f t="shared" si="270"/>
        <v>19706.900212999997</v>
      </c>
      <c r="FZ41" s="58">
        <f t="shared" si="271"/>
        <v>65147.070724135388</v>
      </c>
      <c r="GA41" s="59">
        <f t="shared" si="272"/>
        <v>19118.634534999994</v>
      </c>
      <c r="GB41" s="58">
        <f t="shared" si="273"/>
        <v>63202.38204580298</v>
      </c>
      <c r="GC41" s="54">
        <f t="shared" si="274"/>
        <v>18530.368856999994</v>
      </c>
      <c r="GD41" s="58">
        <f t="shared" si="275"/>
        <v>61257.69336747058</v>
      </c>
      <c r="GE41" s="59">
        <f t="shared" si="276"/>
        <v>17942.103178999994</v>
      </c>
      <c r="GF41" s="58">
        <f t="shared" si="277"/>
        <v>59313.004689138179</v>
      </c>
      <c r="GG41" s="59">
        <f t="shared" si="278"/>
        <v>17353.837500999995</v>
      </c>
      <c r="GH41" s="58">
        <f t="shared" si="279"/>
        <v>57368.316010805785</v>
      </c>
      <c r="GI41" s="54">
        <f t="shared" si="280"/>
        <v>16765.571822999995</v>
      </c>
      <c r="GJ41" s="58">
        <f t="shared" si="281"/>
        <v>55423.627332473385</v>
      </c>
      <c r="GK41" s="54"/>
      <c r="GL41" s="54"/>
      <c r="GM41" s="54">
        <v>1</v>
      </c>
      <c r="GN41" s="54">
        <v>0.97</v>
      </c>
      <c r="GO41" s="54">
        <v>0.95</v>
      </c>
      <c r="GP41" s="54">
        <v>0.93</v>
      </c>
      <c r="GQ41" s="54">
        <f t="shared" si="282"/>
        <v>0.91</v>
      </c>
      <c r="GR41" s="54">
        <f t="shared" si="282"/>
        <v>0.89</v>
      </c>
      <c r="GS41" s="54">
        <f t="shared" si="282"/>
        <v>0.87</v>
      </c>
      <c r="GT41" s="54">
        <f t="shared" si="282"/>
        <v>0.85</v>
      </c>
      <c r="GU41" s="54">
        <f t="shared" si="282"/>
        <v>0.83</v>
      </c>
      <c r="GV41" s="54">
        <f t="shared" si="282"/>
        <v>0.80999999999999994</v>
      </c>
      <c r="GW41" s="54">
        <f t="shared" si="282"/>
        <v>0.78999999999999992</v>
      </c>
      <c r="GX41" s="54">
        <f t="shared" si="282"/>
        <v>0.76999999999999991</v>
      </c>
      <c r="GY41" s="54">
        <f t="shared" si="282"/>
        <v>0.74999999999999989</v>
      </c>
      <c r="GZ41" s="54">
        <f t="shared" si="282"/>
        <v>0.72999999999999987</v>
      </c>
      <c r="HA41" s="54">
        <f t="shared" si="282"/>
        <v>0.70999999999999985</v>
      </c>
      <c r="HB41" s="54">
        <f t="shared" si="282"/>
        <v>0.68999999999999984</v>
      </c>
      <c r="HC41" s="54">
        <f t="shared" si="282"/>
        <v>0.66999999999999982</v>
      </c>
      <c r="HD41" s="54">
        <f t="shared" si="282"/>
        <v>0.6499999999999998</v>
      </c>
      <c r="HE41" s="54">
        <f t="shared" si="282"/>
        <v>0.62999999999999978</v>
      </c>
      <c r="HF41" s="54">
        <f t="shared" si="282"/>
        <v>0.60999999999999976</v>
      </c>
      <c r="HG41" s="54">
        <f t="shared" si="282"/>
        <v>0.58999999999999975</v>
      </c>
      <c r="HH41" s="54">
        <f t="shared" si="282"/>
        <v>0.56999999999999973</v>
      </c>
    </row>
    <row r="42" spans="1:216" x14ac:dyDescent="0.3">
      <c r="A42" s="2">
        <v>9</v>
      </c>
      <c r="C42" s="38" t="s">
        <v>21</v>
      </c>
      <c r="D42" s="42">
        <v>21390</v>
      </c>
      <c r="E42" s="72">
        <f t="shared" si="152"/>
        <v>70710</v>
      </c>
      <c r="F42" s="2" t="s">
        <v>306</v>
      </c>
      <c r="H42" s="54">
        <f t="shared" si="61"/>
        <v>77781</v>
      </c>
      <c r="I42" s="54">
        <f t="shared" si="62"/>
        <v>77781</v>
      </c>
      <c r="J42" s="58">
        <f t="shared" si="63"/>
        <v>257128.42980000001</v>
      </c>
      <c r="K42" s="54">
        <f t="shared" si="153"/>
        <v>75447.569999999992</v>
      </c>
      <c r="L42" s="58">
        <f t="shared" si="154"/>
        <v>249414.57690599997</v>
      </c>
      <c r="M42" s="54">
        <f t="shared" si="155"/>
        <v>73891.95</v>
      </c>
      <c r="N42" s="58">
        <f t="shared" si="156"/>
        <v>244272.00831</v>
      </c>
      <c r="O42" s="54">
        <f t="shared" si="157"/>
        <v>72336.33</v>
      </c>
      <c r="P42" s="58">
        <f t="shared" si="158"/>
        <v>239129.43971400001</v>
      </c>
      <c r="Q42" s="56">
        <f t="shared" si="159"/>
        <v>70780.710000000006</v>
      </c>
      <c r="R42" s="58">
        <f t="shared" si="160"/>
        <v>233986.87111800004</v>
      </c>
      <c r="S42" s="54">
        <f t="shared" si="161"/>
        <v>69225.09</v>
      </c>
      <c r="T42" s="58">
        <f t="shared" si="162"/>
        <v>228844.30252199998</v>
      </c>
      <c r="U42" s="56">
        <f t="shared" si="163"/>
        <v>67669.47</v>
      </c>
      <c r="V42" s="58">
        <f t="shared" si="164"/>
        <v>223701.73392600002</v>
      </c>
      <c r="W42" s="59">
        <f t="shared" si="165"/>
        <v>66113.849999999991</v>
      </c>
      <c r="X42" s="58">
        <f t="shared" si="166"/>
        <v>218559.16532999999</v>
      </c>
      <c r="Y42" s="56">
        <f t="shared" si="167"/>
        <v>64558.229999999996</v>
      </c>
      <c r="Z42" s="58">
        <f t="shared" si="168"/>
        <v>213416.59673399999</v>
      </c>
      <c r="AA42" s="54">
        <f t="shared" si="169"/>
        <v>63002.609999999993</v>
      </c>
      <c r="AB42" s="58">
        <f t="shared" si="170"/>
        <v>208274.02813799999</v>
      </c>
      <c r="AC42" s="59">
        <f t="shared" si="171"/>
        <v>61446.989999999991</v>
      </c>
      <c r="AD42" s="58">
        <f t="shared" si="172"/>
        <v>203131.45954199997</v>
      </c>
      <c r="AE42" s="59">
        <f t="shared" si="173"/>
        <v>59891.369999999995</v>
      </c>
      <c r="AF42" s="58">
        <f t="shared" si="174"/>
        <v>197988.890946</v>
      </c>
      <c r="AG42" s="59">
        <f t="shared" si="175"/>
        <v>58335.749999999993</v>
      </c>
      <c r="AH42" s="58">
        <f t="shared" si="176"/>
        <v>192846.32234999997</v>
      </c>
      <c r="AI42" s="54">
        <f t="shared" si="177"/>
        <v>56780.12999999999</v>
      </c>
      <c r="AJ42" s="58">
        <f t="shared" si="178"/>
        <v>187703.75375399998</v>
      </c>
      <c r="AK42" s="59">
        <f t="shared" si="179"/>
        <v>55224.509999999987</v>
      </c>
      <c r="AL42" s="58">
        <f t="shared" si="180"/>
        <v>182561.18515799995</v>
      </c>
      <c r="AM42" s="59">
        <f t="shared" si="181"/>
        <v>53668.889999999985</v>
      </c>
      <c r="AN42" s="58">
        <f t="shared" si="182"/>
        <v>177418.61656199995</v>
      </c>
      <c r="AO42" s="59">
        <f t="shared" si="183"/>
        <v>52113.269999999982</v>
      </c>
      <c r="AP42" s="58">
        <f t="shared" si="184"/>
        <v>172276.04796599995</v>
      </c>
      <c r="AQ42" s="59">
        <f t="shared" si="185"/>
        <v>50557.649999999987</v>
      </c>
      <c r="AR42" s="58">
        <f t="shared" si="186"/>
        <v>167133.47936999996</v>
      </c>
      <c r="AS42" s="54">
        <f t="shared" si="187"/>
        <v>49002.029999999984</v>
      </c>
      <c r="AT42" s="58">
        <f t="shared" si="188"/>
        <v>161990.91077399996</v>
      </c>
      <c r="AU42" s="59">
        <f t="shared" si="189"/>
        <v>47446.409999999982</v>
      </c>
      <c r="AV42" s="58">
        <f t="shared" si="190"/>
        <v>156848.34217799993</v>
      </c>
      <c r="AW42" s="59">
        <f t="shared" si="191"/>
        <v>45890.789999999979</v>
      </c>
      <c r="AX42" s="58">
        <f t="shared" si="192"/>
        <v>151705.77358199994</v>
      </c>
      <c r="AY42" s="54">
        <f t="shared" si="193"/>
        <v>44335.169999999976</v>
      </c>
      <c r="AZ42" s="58">
        <f t="shared" si="194"/>
        <v>146563.20498599994</v>
      </c>
      <c r="BC42" s="54">
        <v>1</v>
      </c>
      <c r="BD42" s="54">
        <v>0.97</v>
      </c>
      <c r="BE42" s="54">
        <v>0.95</v>
      </c>
      <c r="BF42" s="54">
        <v>0.93</v>
      </c>
      <c r="BG42" s="54">
        <f t="shared" si="143"/>
        <v>0.91</v>
      </c>
      <c r="BH42" s="54">
        <f t="shared" si="143"/>
        <v>0.89</v>
      </c>
      <c r="BI42" s="54">
        <f t="shared" si="143"/>
        <v>0.87</v>
      </c>
      <c r="BJ42" s="54">
        <f t="shared" si="143"/>
        <v>0.85</v>
      </c>
      <c r="BK42" s="54">
        <f t="shared" si="143"/>
        <v>0.83</v>
      </c>
      <c r="BL42" s="54">
        <f t="shared" si="143"/>
        <v>0.80999999999999994</v>
      </c>
      <c r="BM42" s="54">
        <f t="shared" si="143"/>
        <v>0.78999999999999992</v>
      </c>
      <c r="BN42" s="54">
        <f t="shared" si="143"/>
        <v>0.76999999999999991</v>
      </c>
      <c r="BO42" s="54">
        <f t="shared" si="143"/>
        <v>0.74999999999999989</v>
      </c>
      <c r="BP42" s="54">
        <f t="shared" si="143"/>
        <v>0.72999999999999987</v>
      </c>
      <c r="BQ42" s="54">
        <f t="shared" si="143"/>
        <v>0.70999999999999985</v>
      </c>
      <c r="BR42" s="54">
        <f t="shared" si="143"/>
        <v>0.68999999999999984</v>
      </c>
      <c r="BS42" s="54">
        <f t="shared" si="143"/>
        <v>0.66999999999999982</v>
      </c>
      <c r="BT42" s="54">
        <f t="shared" si="143"/>
        <v>0.6499999999999998</v>
      </c>
      <c r="BU42" s="54">
        <f t="shared" si="143"/>
        <v>0.62999999999999978</v>
      </c>
      <c r="BV42" s="54">
        <f t="shared" si="143"/>
        <v>0.60999999999999976</v>
      </c>
      <c r="BW42" s="54">
        <f t="shared" si="143"/>
        <v>0.58999999999999975</v>
      </c>
      <c r="BX42" s="54">
        <f t="shared" si="143"/>
        <v>0.56999999999999973</v>
      </c>
      <c r="BZ42" s="54">
        <f t="shared" si="88"/>
        <v>70780.710000000006</v>
      </c>
      <c r="CA42" s="54">
        <f t="shared" si="89"/>
        <v>70780.710000000006</v>
      </c>
      <c r="CB42" s="58">
        <f t="shared" si="195"/>
        <v>233986.87111800004</v>
      </c>
      <c r="CC42" s="54">
        <f t="shared" si="196"/>
        <v>68657.288700000005</v>
      </c>
      <c r="CD42" s="58">
        <f t="shared" si="197"/>
        <v>226967.26498446002</v>
      </c>
      <c r="CE42" s="54">
        <f t="shared" si="198"/>
        <v>67241.674500000008</v>
      </c>
      <c r="CF42" s="58">
        <f t="shared" si="199"/>
        <v>222287.52756210003</v>
      </c>
      <c r="CG42" s="54">
        <f t="shared" si="200"/>
        <v>65826.060300000012</v>
      </c>
      <c r="CH42" s="58">
        <f t="shared" si="201"/>
        <v>217607.79013974004</v>
      </c>
      <c r="CI42" s="56">
        <f t="shared" si="202"/>
        <v>64410.446100000008</v>
      </c>
      <c r="CJ42" s="58">
        <f t="shared" si="203"/>
        <v>212928.05271738002</v>
      </c>
      <c r="CK42" s="54">
        <f t="shared" si="204"/>
        <v>62994.831900000005</v>
      </c>
      <c r="CL42" s="58">
        <f t="shared" si="205"/>
        <v>208248.31529502003</v>
      </c>
      <c r="CM42" s="56">
        <f t="shared" si="206"/>
        <v>61579.217700000008</v>
      </c>
      <c r="CN42" s="58">
        <f t="shared" si="207"/>
        <v>203568.57787266004</v>
      </c>
      <c r="CO42" s="59">
        <f t="shared" si="208"/>
        <v>60163.603500000005</v>
      </c>
      <c r="CP42" s="58">
        <f t="shared" si="209"/>
        <v>198888.84045030002</v>
      </c>
      <c r="CQ42" s="56">
        <f t="shared" si="210"/>
        <v>58747.989300000001</v>
      </c>
      <c r="CR42" s="58">
        <f t="shared" si="211"/>
        <v>194209.10302794</v>
      </c>
      <c r="CS42" s="54">
        <f t="shared" si="212"/>
        <v>57332.375099999997</v>
      </c>
      <c r="CT42" s="58">
        <f t="shared" si="213"/>
        <v>189529.36560558001</v>
      </c>
      <c r="CU42" s="59">
        <f t="shared" si="214"/>
        <v>55916.760900000001</v>
      </c>
      <c r="CV42" s="58">
        <f t="shared" si="215"/>
        <v>184849.62818322002</v>
      </c>
      <c r="CW42" s="59">
        <f t="shared" si="216"/>
        <v>54501.146699999998</v>
      </c>
      <c r="CX42" s="58">
        <f t="shared" si="217"/>
        <v>180169.89076086</v>
      </c>
      <c r="CY42" s="59">
        <f t="shared" si="218"/>
        <v>53085.532499999994</v>
      </c>
      <c r="CZ42" s="58">
        <f t="shared" si="219"/>
        <v>175490.15333849998</v>
      </c>
      <c r="DA42" s="54">
        <f t="shared" si="220"/>
        <v>51669.918299999998</v>
      </c>
      <c r="DB42" s="58">
        <f t="shared" si="221"/>
        <v>170810.41591613999</v>
      </c>
      <c r="DC42" s="59">
        <f t="shared" si="222"/>
        <v>50254.304099999994</v>
      </c>
      <c r="DD42" s="58">
        <f t="shared" si="223"/>
        <v>166130.67849378</v>
      </c>
      <c r="DE42" s="59">
        <f t="shared" si="224"/>
        <v>48838.68989999999</v>
      </c>
      <c r="DF42" s="58">
        <f t="shared" si="225"/>
        <v>161450.94107141998</v>
      </c>
      <c r="DG42" s="59">
        <f t="shared" si="226"/>
        <v>47423.075699999994</v>
      </c>
      <c r="DH42" s="58">
        <f t="shared" si="227"/>
        <v>156771.20364905999</v>
      </c>
      <c r="DI42" s="59">
        <f t="shared" si="228"/>
        <v>46007.46149999999</v>
      </c>
      <c r="DJ42" s="58">
        <f t="shared" si="229"/>
        <v>152091.46622669997</v>
      </c>
      <c r="DK42" s="54">
        <f t="shared" si="230"/>
        <v>44591.847299999987</v>
      </c>
      <c r="DL42" s="58">
        <f t="shared" si="231"/>
        <v>147411.72880433995</v>
      </c>
      <c r="DM42" s="59">
        <f t="shared" si="232"/>
        <v>43176.23309999999</v>
      </c>
      <c r="DN42" s="58">
        <f t="shared" si="233"/>
        <v>142731.99138197998</v>
      </c>
      <c r="DO42" s="59">
        <f t="shared" si="234"/>
        <v>41760.618899999987</v>
      </c>
      <c r="DP42" s="58">
        <f t="shared" si="235"/>
        <v>138052.25395961996</v>
      </c>
      <c r="DQ42" s="54">
        <f t="shared" si="236"/>
        <v>40345.004699999983</v>
      </c>
      <c r="DR42" s="58">
        <f t="shared" si="237"/>
        <v>133372.51653725994</v>
      </c>
      <c r="DU42" s="54">
        <v>1</v>
      </c>
      <c r="DV42" s="54">
        <v>0.97</v>
      </c>
      <c r="DW42" s="54">
        <v>0.95</v>
      </c>
      <c r="DX42" s="54">
        <v>0.93</v>
      </c>
      <c r="DY42" s="54">
        <f t="shared" si="238"/>
        <v>0.91</v>
      </c>
      <c r="DZ42" s="54">
        <f t="shared" si="238"/>
        <v>0.89</v>
      </c>
      <c r="EA42" s="54">
        <f t="shared" si="238"/>
        <v>0.87</v>
      </c>
      <c r="EB42" s="54">
        <f t="shared" si="238"/>
        <v>0.85</v>
      </c>
      <c r="EC42" s="54">
        <f t="shared" si="238"/>
        <v>0.83</v>
      </c>
      <c r="ED42" s="54">
        <f t="shared" si="238"/>
        <v>0.80999999999999994</v>
      </c>
      <c r="EE42" s="54">
        <f t="shared" si="238"/>
        <v>0.78999999999999992</v>
      </c>
      <c r="EF42" s="54">
        <f t="shared" si="238"/>
        <v>0.76999999999999991</v>
      </c>
      <c r="EG42" s="54">
        <f t="shared" si="238"/>
        <v>0.74999999999999989</v>
      </c>
      <c r="EH42" s="54">
        <f t="shared" si="238"/>
        <v>0.72999999999999987</v>
      </c>
      <c r="EI42" s="54">
        <f t="shared" si="238"/>
        <v>0.70999999999999985</v>
      </c>
      <c r="EJ42" s="54">
        <f t="shared" si="238"/>
        <v>0.68999999999999984</v>
      </c>
      <c r="EK42" s="54">
        <f t="shared" si="238"/>
        <v>0.66999999999999982</v>
      </c>
      <c r="EL42" s="54">
        <f t="shared" si="238"/>
        <v>0.6499999999999998</v>
      </c>
      <c r="EM42" s="54">
        <f t="shared" si="238"/>
        <v>0.62999999999999978</v>
      </c>
      <c r="EN42" s="54">
        <f t="shared" si="238"/>
        <v>0.60999999999999976</v>
      </c>
      <c r="EO42" s="54">
        <f t="shared" si="238"/>
        <v>0.58999999999999975</v>
      </c>
      <c r="EP42" s="54">
        <f t="shared" si="238"/>
        <v>0.56999999999999973</v>
      </c>
      <c r="ER42" s="54">
        <f t="shared" si="142"/>
        <v>64410.446100000008</v>
      </c>
      <c r="ES42" s="54">
        <f t="shared" si="116"/>
        <v>64410.446100000008</v>
      </c>
      <c r="ET42" s="58">
        <f t="shared" si="239"/>
        <v>212928.05271738002</v>
      </c>
      <c r="EU42" s="54">
        <f t="shared" si="240"/>
        <v>62478.132717000008</v>
      </c>
      <c r="EV42" s="58">
        <f t="shared" si="241"/>
        <v>206540.21113585864</v>
      </c>
      <c r="EW42" s="54">
        <f t="shared" si="242"/>
        <v>61189.923795000002</v>
      </c>
      <c r="EX42" s="58">
        <f t="shared" si="243"/>
        <v>202281.650081511</v>
      </c>
      <c r="EY42" s="54">
        <f t="shared" si="244"/>
        <v>59901.714873000012</v>
      </c>
      <c r="EZ42" s="58">
        <f t="shared" si="245"/>
        <v>198023.08902716346</v>
      </c>
      <c r="FA42" s="56">
        <f t="shared" si="246"/>
        <v>58613.505951000006</v>
      </c>
      <c r="FB42" s="58">
        <f t="shared" si="247"/>
        <v>193764.52797281582</v>
      </c>
      <c r="FC42" s="54">
        <f t="shared" si="248"/>
        <v>57325.297029000008</v>
      </c>
      <c r="FD42" s="58">
        <f t="shared" si="249"/>
        <v>189505.96691846824</v>
      </c>
      <c r="FE42" s="56">
        <f t="shared" si="250"/>
        <v>56037.08810700001</v>
      </c>
      <c r="FF42" s="58">
        <f t="shared" si="251"/>
        <v>185247.40586412064</v>
      </c>
      <c r="FG42" s="59">
        <f t="shared" si="252"/>
        <v>54748.879185000005</v>
      </c>
      <c r="FH42" s="58">
        <f t="shared" si="253"/>
        <v>180988.84480977303</v>
      </c>
      <c r="FI42" s="56">
        <f t="shared" si="254"/>
        <v>53460.670263000007</v>
      </c>
      <c r="FJ42" s="58">
        <f t="shared" si="255"/>
        <v>176730.28375542542</v>
      </c>
      <c r="FK42" s="54">
        <f t="shared" si="256"/>
        <v>52172.461341000002</v>
      </c>
      <c r="FL42" s="58">
        <f t="shared" si="257"/>
        <v>172471.72270107782</v>
      </c>
      <c r="FM42" s="59">
        <f t="shared" si="258"/>
        <v>50884.252419000004</v>
      </c>
      <c r="FN42" s="58">
        <f t="shared" si="259"/>
        <v>168213.16164673021</v>
      </c>
      <c r="FO42" s="59">
        <f t="shared" si="260"/>
        <v>49596.043496999999</v>
      </c>
      <c r="FP42" s="58">
        <f t="shared" si="261"/>
        <v>163954.6005923826</v>
      </c>
      <c r="FQ42" s="59">
        <f t="shared" si="262"/>
        <v>48307.834575000001</v>
      </c>
      <c r="FR42" s="58">
        <f t="shared" si="263"/>
        <v>159696.03953803499</v>
      </c>
      <c r="FS42" s="54">
        <f t="shared" si="264"/>
        <v>47019.625652999996</v>
      </c>
      <c r="FT42" s="58">
        <f t="shared" si="265"/>
        <v>155437.47848368739</v>
      </c>
      <c r="FU42" s="59">
        <f t="shared" si="266"/>
        <v>45731.416730999998</v>
      </c>
      <c r="FV42" s="58">
        <f t="shared" si="267"/>
        <v>151178.91742933978</v>
      </c>
      <c r="FW42" s="59">
        <f t="shared" si="268"/>
        <v>44443.207808999992</v>
      </c>
      <c r="FX42" s="58">
        <f t="shared" si="269"/>
        <v>146920.35637499217</v>
      </c>
      <c r="FY42" s="59">
        <f t="shared" si="270"/>
        <v>43154.998886999994</v>
      </c>
      <c r="FZ42" s="58">
        <f t="shared" si="271"/>
        <v>142661.7953206446</v>
      </c>
      <c r="GA42" s="59">
        <f t="shared" si="272"/>
        <v>41866.789964999989</v>
      </c>
      <c r="GB42" s="58">
        <f t="shared" si="273"/>
        <v>138403.23426629696</v>
      </c>
      <c r="GC42" s="54">
        <f t="shared" si="274"/>
        <v>40578.581042999991</v>
      </c>
      <c r="GD42" s="58">
        <f t="shared" si="275"/>
        <v>134144.67321194938</v>
      </c>
      <c r="GE42" s="59">
        <f t="shared" si="276"/>
        <v>39290.372120999993</v>
      </c>
      <c r="GF42" s="58">
        <f t="shared" si="277"/>
        <v>129886.11215760178</v>
      </c>
      <c r="GG42" s="59">
        <f t="shared" si="278"/>
        <v>38002.163198999988</v>
      </c>
      <c r="GH42" s="58">
        <f t="shared" si="279"/>
        <v>125627.55110325417</v>
      </c>
      <c r="GI42" s="54">
        <f t="shared" si="280"/>
        <v>36713.95427699999</v>
      </c>
      <c r="GJ42" s="58">
        <f t="shared" si="281"/>
        <v>121368.99004890656</v>
      </c>
      <c r="GK42" s="54"/>
      <c r="GL42" s="54"/>
      <c r="GM42" s="54">
        <v>1</v>
      </c>
      <c r="GN42" s="54">
        <v>0.97</v>
      </c>
      <c r="GO42" s="54">
        <v>0.95</v>
      </c>
      <c r="GP42" s="54">
        <v>0.93</v>
      </c>
      <c r="GQ42" s="54">
        <f t="shared" si="282"/>
        <v>0.91</v>
      </c>
      <c r="GR42" s="54">
        <f t="shared" si="282"/>
        <v>0.89</v>
      </c>
      <c r="GS42" s="54">
        <f t="shared" si="282"/>
        <v>0.87</v>
      </c>
      <c r="GT42" s="54">
        <f t="shared" si="282"/>
        <v>0.85</v>
      </c>
      <c r="GU42" s="54">
        <f t="shared" si="282"/>
        <v>0.83</v>
      </c>
      <c r="GV42" s="54">
        <f t="shared" si="282"/>
        <v>0.80999999999999994</v>
      </c>
      <c r="GW42" s="54">
        <f t="shared" si="282"/>
        <v>0.78999999999999992</v>
      </c>
      <c r="GX42" s="54">
        <f t="shared" si="282"/>
        <v>0.76999999999999991</v>
      </c>
      <c r="GY42" s="54">
        <f t="shared" si="282"/>
        <v>0.74999999999999989</v>
      </c>
      <c r="GZ42" s="54">
        <f t="shared" si="282"/>
        <v>0.72999999999999987</v>
      </c>
      <c r="HA42" s="54">
        <f t="shared" si="282"/>
        <v>0.70999999999999985</v>
      </c>
      <c r="HB42" s="54">
        <f t="shared" si="282"/>
        <v>0.68999999999999984</v>
      </c>
      <c r="HC42" s="54">
        <f t="shared" si="282"/>
        <v>0.66999999999999982</v>
      </c>
      <c r="HD42" s="54">
        <f t="shared" si="282"/>
        <v>0.6499999999999998</v>
      </c>
      <c r="HE42" s="54">
        <f t="shared" si="282"/>
        <v>0.62999999999999978</v>
      </c>
      <c r="HF42" s="54">
        <f t="shared" si="282"/>
        <v>0.60999999999999976</v>
      </c>
      <c r="HG42" s="54">
        <f t="shared" si="282"/>
        <v>0.58999999999999975</v>
      </c>
      <c r="HH42" s="54">
        <f t="shared" si="282"/>
        <v>0.56999999999999973</v>
      </c>
    </row>
    <row r="43" spans="1:216" x14ac:dyDescent="0.3">
      <c r="A43" s="2">
        <v>10</v>
      </c>
      <c r="C43" s="38" t="s">
        <v>22</v>
      </c>
      <c r="D43" s="42">
        <v>23980</v>
      </c>
      <c r="E43" s="72">
        <f t="shared" si="152"/>
        <v>79270</v>
      </c>
      <c r="H43" s="54">
        <f t="shared" si="61"/>
        <v>87197</v>
      </c>
      <c r="I43" s="54">
        <f t="shared" si="62"/>
        <v>87197</v>
      </c>
      <c r="J43" s="58">
        <f t="shared" si="63"/>
        <v>288255.84260000003</v>
      </c>
      <c r="K43" s="54">
        <f t="shared" si="153"/>
        <v>84581.09</v>
      </c>
      <c r="L43" s="58">
        <f t="shared" si="154"/>
        <v>279608.16732200002</v>
      </c>
      <c r="M43" s="54">
        <f t="shared" si="155"/>
        <v>82837.149999999994</v>
      </c>
      <c r="N43" s="58">
        <f t="shared" si="156"/>
        <v>273843.05046999996</v>
      </c>
      <c r="O43" s="54">
        <f t="shared" si="157"/>
        <v>81093.210000000006</v>
      </c>
      <c r="P43" s="58">
        <f t="shared" si="158"/>
        <v>268077.93361800001</v>
      </c>
      <c r="Q43" s="56">
        <f t="shared" si="159"/>
        <v>79349.27</v>
      </c>
      <c r="R43" s="58">
        <f t="shared" si="160"/>
        <v>262312.816766</v>
      </c>
      <c r="S43" s="54">
        <f t="shared" si="161"/>
        <v>77605.33</v>
      </c>
      <c r="T43" s="58">
        <f t="shared" si="162"/>
        <v>256547.699914</v>
      </c>
      <c r="U43" s="56">
        <f t="shared" si="163"/>
        <v>75861.39</v>
      </c>
      <c r="V43" s="58">
        <f t="shared" si="164"/>
        <v>250782.58306199999</v>
      </c>
      <c r="W43" s="59">
        <f t="shared" si="165"/>
        <v>74117.45</v>
      </c>
      <c r="X43" s="58">
        <f t="shared" si="166"/>
        <v>245017.46620999998</v>
      </c>
      <c r="Y43" s="56">
        <f t="shared" si="167"/>
        <v>72373.509999999995</v>
      </c>
      <c r="Z43" s="58">
        <f t="shared" si="168"/>
        <v>239252.34935799998</v>
      </c>
      <c r="AA43" s="54">
        <f t="shared" si="169"/>
        <v>70629.569999999992</v>
      </c>
      <c r="AB43" s="58">
        <f t="shared" si="170"/>
        <v>233487.23250599997</v>
      </c>
      <c r="AC43" s="59">
        <f t="shared" si="171"/>
        <v>68885.62999999999</v>
      </c>
      <c r="AD43" s="58">
        <f t="shared" si="172"/>
        <v>227722.11565399996</v>
      </c>
      <c r="AE43" s="59">
        <f t="shared" si="173"/>
        <v>67141.689999999988</v>
      </c>
      <c r="AF43" s="58">
        <f t="shared" si="174"/>
        <v>221956.99880199996</v>
      </c>
      <c r="AG43" s="59">
        <f t="shared" si="175"/>
        <v>65397.749999999993</v>
      </c>
      <c r="AH43" s="58">
        <f t="shared" si="176"/>
        <v>216191.88194999998</v>
      </c>
      <c r="AI43" s="54">
        <f t="shared" si="177"/>
        <v>63653.80999999999</v>
      </c>
      <c r="AJ43" s="58">
        <f t="shared" si="178"/>
        <v>210426.76509799997</v>
      </c>
      <c r="AK43" s="59">
        <f t="shared" si="179"/>
        <v>61909.869999999988</v>
      </c>
      <c r="AL43" s="58">
        <f t="shared" si="180"/>
        <v>204661.64824599997</v>
      </c>
      <c r="AM43" s="59">
        <f t="shared" si="181"/>
        <v>60165.929999999986</v>
      </c>
      <c r="AN43" s="58">
        <f t="shared" si="182"/>
        <v>198896.53139399996</v>
      </c>
      <c r="AO43" s="59">
        <f t="shared" si="183"/>
        <v>58421.989999999983</v>
      </c>
      <c r="AP43" s="58">
        <f t="shared" si="184"/>
        <v>193131.41454199995</v>
      </c>
      <c r="AQ43" s="59">
        <f t="shared" si="185"/>
        <v>56678.049999999981</v>
      </c>
      <c r="AR43" s="58">
        <f t="shared" si="186"/>
        <v>187366.29768999995</v>
      </c>
      <c r="AS43" s="54">
        <f t="shared" si="187"/>
        <v>54934.109999999979</v>
      </c>
      <c r="AT43" s="58">
        <f t="shared" si="188"/>
        <v>181601.18083799994</v>
      </c>
      <c r="AU43" s="59">
        <f t="shared" si="189"/>
        <v>53190.169999999976</v>
      </c>
      <c r="AV43" s="58">
        <f t="shared" si="190"/>
        <v>175836.06398599994</v>
      </c>
      <c r="AW43" s="59">
        <f t="shared" si="191"/>
        <v>51446.229999999981</v>
      </c>
      <c r="AX43" s="58">
        <f t="shared" si="192"/>
        <v>170070.94713399993</v>
      </c>
      <c r="AY43" s="54">
        <f t="shared" si="193"/>
        <v>49702.289999999979</v>
      </c>
      <c r="AZ43" s="58">
        <f t="shared" si="194"/>
        <v>164305.83028199992</v>
      </c>
      <c r="BC43" s="54">
        <v>1</v>
      </c>
      <c r="BD43" s="54">
        <v>0.97</v>
      </c>
      <c r="BE43" s="54">
        <v>0.95</v>
      </c>
      <c r="BF43" s="54">
        <v>0.93</v>
      </c>
      <c r="BG43" s="54">
        <f t="shared" si="143"/>
        <v>0.91</v>
      </c>
      <c r="BH43" s="54">
        <f t="shared" si="143"/>
        <v>0.89</v>
      </c>
      <c r="BI43" s="54">
        <f t="shared" si="143"/>
        <v>0.87</v>
      </c>
      <c r="BJ43" s="54">
        <f t="shared" si="143"/>
        <v>0.85</v>
      </c>
      <c r="BK43" s="54">
        <f t="shared" si="143"/>
        <v>0.83</v>
      </c>
      <c r="BL43" s="54">
        <f t="shared" si="143"/>
        <v>0.80999999999999994</v>
      </c>
      <c r="BM43" s="54">
        <f t="shared" si="143"/>
        <v>0.78999999999999992</v>
      </c>
      <c r="BN43" s="54">
        <f t="shared" si="143"/>
        <v>0.76999999999999991</v>
      </c>
      <c r="BO43" s="54">
        <f t="shared" si="143"/>
        <v>0.74999999999999989</v>
      </c>
      <c r="BP43" s="54">
        <f t="shared" si="143"/>
        <v>0.72999999999999987</v>
      </c>
      <c r="BQ43" s="54">
        <f t="shared" si="143"/>
        <v>0.70999999999999985</v>
      </c>
      <c r="BR43" s="54">
        <f t="shared" si="143"/>
        <v>0.68999999999999984</v>
      </c>
      <c r="BS43" s="54">
        <f t="shared" si="143"/>
        <v>0.66999999999999982</v>
      </c>
      <c r="BT43" s="54">
        <f t="shared" si="143"/>
        <v>0.6499999999999998</v>
      </c>
      <c r="BU43" s="54">
        <f t="shared" si="143"/>
        <v>0.62999999999999978</v>
      </c>
      <c r="BV43" s="54">
        <f t="shared" si="143"/>
        <v>0.60999999999999976</v>
      </c>
      <c r="BW43" s="54">
        <f t="shared" si="143"/>
        <v>0.58999999999999975</v>
      </c>
      <c r="BX43" s="54">
        <f t="shared" si="143"/>
        <v>0.56999999999999973</v>
      </c>
      <c r="BZ43" s="54">
        <f t="shared" si="88"/>
        <v>79349.27</v>
      </c>
      <c r="CA43" s="54">
        <f t="shared" si="89"/>
        <v>79349.27</v>
      </c>
      <c r="CB43" s="58">
        <f t="shared" si="195"/>
        <v>262312.816766</v>
      </c>
      <c r="CC43" s="54">
        <f t="shared" si="196"/>
        <v>76968.791899999997</v>
      </c>
      <c r="CD43" s="58">
        <f t="shared" si="197"/>
        <v>254443.43226301999</v>
      </c>
      <c r="CE43" s="54">
        <f t="shared" si="198"/>
        <v>75381.806500000006</v>
      </c>
      <c r="CF43" s="58">
        <f t="shared" si="199"/>
        <v>249197.17592770004</v>
      </c>
      <c r="CG43" s="54">
        <f t="shared" si="200"/>
        <v>73794.821100000001</v>
      </c>
      <c r="CH43" s="58">
        <f t="shared" si="201"/>
        <v>243950.91959238</v>
      </c>
      <c r="CI43" s="56">
        <f t="shared" si="202"/>
        <v>72207.835700000011</v>
      </c>
      <c r="CJ43" s="58">
        <f t="shared" si="203"/>
        <v>238704.66325706005</v>
      </c>
      <c r="CK43" s="54">
        <f t="shared" si="204"/>
        <v>70620.850300000006</v>
      </c>
      <c r="CL43" s="58">
        <f t="shared" si="205"/>
        <v>233458.40692174001</v>
      </c>
      <c r="CM43" s="56">
        <f t="shared" si="206"/>
        <v>69033.8649</v>
      </c>
      <c r="CN43" s="58">
        <f t="shared" si="207"/>
        <v>228212.15058642</v>
      </c>
      <c r="CO43" s="59">
        <f t="shared" si="208"/>
        <v>67446.879499999995</v>
      </c>
      <c r="CP43" s="58">
        <f t="shared" si="209"/>
        <v>222965.89425109999</v>
      </c>
      <c r="CQ43" s="56">
        <f t="shared" si="210"/>
        <v>65859.894100000005</v>
      </c>
      <c r="CR43" s="58">
        <f t="shared" si="211"/>
        <v>217719.63791578001</v>
      </c>
      <c r="CS43" s="54">
        <f t="shared" si="212"/>
        <v>64272.9087</v>
      </c>
      <c r="CT43" s="58">
        <f t="shared" si="213"/>
        <v>212473.38158046</v>
      </c>
      <c r="CU43" s="59">
        <f t="shared" si="214"/>
        <v>62685.923299999995</v>
      </c>
      <c r="CV43" s="58">
        <f t="shared" si="215"/>
        <v>207227.12524513999</v>
      </c>
      <c r="CW43" s="59">
        <f t="shared" si="216"/>
        <v>61098.937899999997</v>
      </c>
      <c r="CX43" s="58">
        <f t="shared" si="217"/>
        <v>201980.86890981998</v>
      </c>
      <c r="CY43" s="59">
        <f t="shared" si="218"/>
        <v>59511.952499999992</v>
      </c>
      <c r="CZ43" s="58">
        <f t="shared" si="219"/>
        <v>196734.61257449997</v>
      </c>
      <c r="DA43" s="54">
        <f t="shared" si="220"/>
        <v>57924.967099999994</v>
      </c>
      <c r="DB43" s="58">
        <f t="shared" si="221"/>
        <v>191488.35623917999</v>
      </c>
      <c r="DC43" s="59">
        <f t="shared" si="222"/>
        <v>56337.981699999989</v>
      </c>
      <c r="DD43" s="58">
        <f t="shared" si="223"/>
        <v>186242.09990385995</v>
      </c>
      <c r="DE43" s="59">
        <f t="shared" si="224"/>
        <v>54750.996299999992</v>
      </c>
      <c r="DF43" s="58">
        <f t="shared" si="225"/>
        <v>180995.84356853997</v>
      </c>
      <c r="DG43" s="59">
        <f t="shared" si="226"/>
        <v>53164.010899999987</v>
      </c>
      <c r="DH43" s="58">
        <f t="shared" si="227"/>
        <v>175749.58723321997</v>
      </c>
      <c r="DI43" s="59">
        <f t="shared" si="228"/>
        <v>51577.025499999989</v>
      </c>
      <c r="DJ43" s="58">
        <f t="shared" si="229"/>
        <v>170503.33089789996</v>
      </c>
      <c r="DK43" s="54">
        <f t="shared" si="230"/>
        <v>49990.040099999984</v>
      </c>
      <c r="DL43" s="58">
        <f t="shared" si="231"/>
        <v>165257.07456257995</v>
      </c>
      <c r="DM43" s="59">
        <f t="shared" si="232"/>
        <v>48403.054699999986</v>
      </c>
      <c r="DN43" s="58">
        <f t="shared" si="233"/>
        <v>160010.81822725997</v>
      </c>
      <c r="DO43" s="59">
        <f t="shared" si="234"/>
        <v>46816.069299999981</v>
      </c>
      <c r="DP43" s="58">
        <f t="shared" si="235"/>
        <v>154764.56189193993</v>
      </c>
      <c r="DQ43" s="54">
        <f t="shared" si="236"/>
        <v>45229.083899999983</v>
      </c>
      <c r="DR43" s="58">
        <f t="shared" si="237"/>
        <v>149518.30555661995</v>
      </c>
      <c r="DU43" s="54">
        <v>1</v>
      </c>
      <c r="DV43" s="54">
        <v>0.97</v>
      </c>
      <c r="DW43" s="54">
        <v>0.95</v>
      </c>
      <c r="DX43" s="54">
        <v>0.93</v>
      </c>
      <c r="DY43" s="54">
        <f t="shared" si="238"/>
        <v>0.91</v>
      </c>
      <c r="DZ43" s="54">
        <f t="shared" si="238"/>
        <v>0.89</v>
      </c>
      <c r="EA43" s="54">
        <f t="shared" si="238"/>
        <v>0.87</v>
      </c>
      <c r="EB43" s="54">
        <f t="shared" si="238"/>
        <v>0.85</v>
      </c>
      <c r="EC43" s="54">
        <f t="shared" si="238"/>
        <v>0.83</v>
      </c>
      <c r="ED43" s="54">
        <f t="shared" si="238"/>
        <v>0.80999999999999994</v>
      </c>
      <c r="EE43" s="54">
        <f t="shared" si="238"/>
        <v>0.78999999999999992</v>
      </c>
      <c r="EF43" s="54">
        <f t="shared" si="238"/>
        <v>0.76999999999999991</v>
      </c>
      <c r="EG43" s="54">
        <f t="shared" si="238"/>
        <v>0.74999999999999989</v>
      </c>
      <c r="EH43" s="54">
        <f t="shared" si="238"/>
        <v>0.72999999999999987</v>
      </c>
      <c r="EI43" s="54">
        <f t="shared" si="238"/>
        <v>0.70999999999999985</v>
      </c>
      <c r="EJ43" s="54">
        <f t="shared" si="238"/>
        <v>0.68999999999999984</v>
      </c>
      <c r="EK43" s="54">
        <f t="shared" si="238"/>
        <v>0.66999999999999982</v>
      </c>
      <c r="EL43" s="54">
        <f t="shared" si="238"/>
        <v>0.6499999999999998</v>
      </c>
      <c r="EM43" s="54">
        <f t="shared" si="238"/>
        <v>0.62999999999999978</v>
      </c>
      <c r="EN43" s="54">
        <f t="shared" si="238"/>
        <v>0.60999999999999976</v>
      </c>
      <c r="EO43" s="54">
        <f t="shared" si="238"/>
        <v>0.58999999999999975</v>
      </c>
      <c r="EP43" s="54">
        <f t="shared" si="238"/>
        <v>0.56999999999999973</v>
      </c>
      <c r="ER43" s="54">
        <f t="shared" si="142"/>
        <v>72207.835700000011</v>
      </c>
      <c r="ES43" s="54">
        <f t="shared" si="116"/>
        <v>72207.835700000011</v>
      </c>
      <c r="ET43" s="58">
        <f t="shared" si="239"/>
        <v>238704.66325706005</v>
      </c>
      <c r="EU43" s="54">
        <f t="shared" si="240"/>
        <v>70041.600629000008</v>
      </c>
      <c r="EV43" s="58">
        <f t="shared" si="241"/>
        <v>231543.52335934824</v>
      </c>
      <c r="EW43" s="54">
        <f t="shared" si="242"/>
        <v>68597.443915000011</v>
      </c>
      <c r="EX43" s="58">
        <f t="shared" si="243"/>
        <v>226769.43009420705</v>
      </c>
      <c r="EY43" s="54">
        <f t="shared" si="244"/>
        <v>67153.287201000014</v>
      </c>
      <c r="EZ43" s="58">
        <f t="shared" si="245"/>
        <v>221995.33682906584</v>
      </c>
      <c r="FA43" s="56">
        <f t="shared" si="246"/>
        <v>65709.130487000017</v>
      </c>
      <c r="FB43" s="58">
        <f t="shared" si="247"/>
        <v>217221.24356392465</v>
      </c>
      <c r="FC43" s="54">
        <f t="shared" si="248"/>
        <v>64264.973773000012</v>
      </c>
      <c r="FD43" s="58">
        <f t="shared" si="249"/>
        <v>212447.15029878344</v>
      </c>
      <c r="FE43" s="56">
        <f t="shared" si="250"/>
        <v>62820.817059000008</v>
      </c>
      <c r="FF43" s="58">
        <f t="shared" si="251"/>
        <v>207673.05703364222</v>
      </c>
      <c r="FG43" s="59">
        <f t="shared" si="252"/>
        <v>61376.660345000004</v>
      </c>
      <c r="FH43" s="58">
        <f t="shared" si="253"/>
        <v>202898.96376850101</v>
      </c>
      <c r="FI43" s="56">
        <f t="shared" si="254"/>
        <v>59932.503631000007</v>
      </c>
      <c r="FJ43" s="58">
        <f t="shared" si="255"/>
        <v>198124.87050335982</v>
      </c>
      <c r="FK43" s="54">
        <f t="shared" si="256"/>
        <v>58488.346917000003</v>
      </c>
      <c r="FL43" s="58">
        <f t="shared" si="257"/>
        <v>193350.77723821861</v>
      </c>
      <c r="FM43" s="59">
        <f t="shared" si="258"/>
        <v>57044.190203000006</v>
      </c>
      <c r="FN43" s="58">
        <f t="shared" si="259"/>
        <v>188576.68397307742</v>
      </c>
      <c r="FO43" s="59">
        <f t="shared" si="260"/>
        <v>55600.033489000001</v>
      </c>
      <c r="FP43" s="58">
        <f t="shared" si="261"/>
        <v>183802.59070793621</v>
      </c>
      <c r="FQ43" s="59">
        <f t="shared" si="262"/>
        <v>54155.876774999997</v>
      </c>
      <c r="FR43" s="58">
        <f t="shared" si="263"/>
        <v>179028.49744279499</v>
      </c>
      <c r="FS43" s="54">
        <f t="shared" si="264"/>
        <v>52711.720061</v>
      </c>
      <c r="FT43" s="58">
        <f t="shared" si="265"/>
        <v>174254.40417765381</v>
      </c>
      <c r="FU43" s="59">
        <f t="shared" si="266"/>
        <v>51267.563346999996</v>
      </c>
      <c r="FV43" s="58">
        <f t="shared" si="267"/>
        <v>169480.31091251259</v>
      </c>
      <c r="FW43" s="59">
        <f t="shared" si="268"/>
        <v>49823.406632999999</v>
      </c>
      <c r="FX43" s="58">
        <f t="shared" si="269"/>
        <v>164706.21764737141</v>
      </c>
      <c r="FY43" s="59">
        <f t="shared" si="270"/>
        <v>48379.249918999994</v>
      </c>
      <c r="FZ43" s="58">
        <f t="shared" si="271"/>
        <v>159932.12438223019</v>
      </c>
      <c r="GA43" s="59">
        <f t="shared" si="272"/>
        <v>46935.09320499999</v>
      </c>
      <c r="GB43" s="58">
        <f t="shared" si="273"/>
        <v>155158.03111708898</v>
      </c>
      <c r="GC43" s="54">
        <f t="shared" si="274"/>
        <v>45490.936490999993</v>
      </c>
      <c r="GD43" s="58">
        <f t="shared" si="275"/>
        <v>150383.93785194779</v>
      </c>
      <c r="GE43" s="59">
        <f t="shared" si="276"/>
        <v>44046.779776999989</v>
      </c>
      <c r="GF43" s="58">
        <f t="shared" si="277"/>
        <v>145609.84458680658</v>
      </c>
      <c r="GG43" s="59">
        <f t="shared" si="278"/>
        <v>42602.623062999985</v>
      </c>
      <c r="GH43" s="58">
        <f t="shared" si="279"/>
        <v>140835.75132166536</v>
      </c>
      <c r="GI43" s="54">
        <f t="shared" si="280"/>
        <v>41158.466348999988</v>
      </c>
      <c r="GJ43" s="58">
        <f t="shared" si="281"/>
        <v>136061.65805652417</v>
      </c>
      <c r="GK43" s="54"/>
      <c r="GL43" s="54"/>
      <c r="GM43" s="54">
        <v>1</v>
      </c>
      <c r="GN43" s="54">
        <v>0.97</v>
      </c>
      <c r="GO43" s="54">
        <v>0.95</v>
      </c>
      <c r="GP43" s="54">
        <v>0.93</v>
      </c>
      <c r="GQ43" s="54">
        <f t="shared" si="282"/>
        <v>0.91</v>
      </c>
      <c r="GR43" s="54">
        <f t="shared" si="282"/>
        <v>0.89</v>
      </c>
      <c r="GS43" s="54">
        <f t="shared" si="282"/>
        <v>0.87</v>
      </c>
      <c r="GT43" s="54">
        <f t="shared" si="282"/>
        <v>0.85</v>
      </c>
      <c r="GU43" s="54">
        <f t="shared" si="282"/>
        <v>0.83</v>
      </c>
      <c r="GV43" s="54">
        <f t="shared" si="282"/>
        <v>0.80999999999999994</v>
      </c>
      <c r="GW43" s="54">
        <f t="shared" si="282"/>
        <v>0.78999999999999992</v>
      </c>
      <c r="GX43" s="54">
        <f t="shared" si="282"/>
        <v>0.76999999999999991</v>
      </c>
      <c r="GY43" s="54">
        <f t="shared" si="282"/>
        <v>0.74999999999999989</v>
      </c>
      <c r="GZ43" s="54">
        <f t="shared" si="282"/>
        <v>0.72999999999999987</v>
      </c>
      <c r="HA43" s="54">
        <f t="shared" si="282"/>
        <v>0.70999999999999985</v>
      </c>
      <c r="HB43" s="54">
        <f t="shared" si="282"/>
        <v>0.68999999999999984</v>
      </c>
      <c r="HC43" s="54">
        <f t="shared" si="282"/>
        <v>0.66999999999999982</v>
      </c>
      <c r="HD43" s="54">
        <f t="shared" si="282"/>
        <v>0.6499999999999998</v>
      </c>
      <c r="HE43" s="54">
        <f t="shared" si="282"/>
        <v>0.62999999999999978</v>
      </c>
      <c r="HF43" s="54">
        <f t="shared" si="282"/>
        <v>0.60999999999999976</v>
      </c>
      <c r="HG43" s="54">
        <f t="shared" si="282"/>
        <v>0.58999999999999975</v>
      </c>
      <c r="HH43" s="54">
        <f t="shared" si="282"/>
        <v>0.56999999999999973</v>
      </c>
    </row>
    <row r="44" spans="1:216" x14ac:dyDescent="0.3">
      <c r="A44" s="2">
        <v>11</v>
      </c>
      <c r="C44" s="38" t="s">
        <v>155</v>
      </c>
      <c r="D44" s="42">
        <v>15770</v>
      </c>
      <c r="E44" s="72">
        <f t="shared" si="152"/>
        <v>52130</v>
      </c>
      <c r="H44" s="54">
        <f t="shared" si="61"/>
        <v>57343.000000000007</v>
      </c>
      <c r="I44" s="54">
        <f t="shared" si="62"/>
        <v>57343.000000000007</v>
      </c>
      <c r="J44" s="58">
        <f t="shared" si="63"/>
        <v>189564.48940000002</v>
      </c>
      <c r="K44" s="54">
        <f t="shared" si="153"/>
        <v>55622.710000000006</v>
      </c>
      <c r="L44" s="58">
        <f t="shared" si="154"/>
        <v>183877.55471800003</v>
      </c>
      <c r="M44" s="54">
        <f t="shared" si="155"/>
        <v>54475.850000000006</v>
      </c>
      <c r="N44" s="58">
        <f t="shared" si="156"/>
        <v>180086.26493000003</v>
      </c>
      <c r="O44" s="54">
        <f t="shared" si="157"/>
        <v>53328.990000000013</v>
      </c>
      <c r="P44" s="58">
        <f t="shared" si="158"/>
        <v>176294.97514200004</v>
      </c>
      <c r="Q44" s="56">
        <f t="shared" si="159"/>
        <v>52182.130000000012</v>
      </c>
      <c r="R44" s="58">
        <f t="shared" si="160"/>
        <v>172503.68535400004</v>
      </c>
      <c r="S44" s="54">
        <f t="shared" si="161"/>
        <v>51035.270000000004</v>
      </c>
      <c r="T44" s="58">
        <f t="shared" si="162"/>
        <v>168712.39556600002</v>
      </c>
      <c r="U44" s="56">
        <f t="shared" si="163"/>
        <v>49888.41</v>
      </c>
      <c r="V44" s="58">
        <f t="shared" si="164"/>
        <v>164921.10577800003</v>
      </c>
      <c r="W44" s="59">
        <f t="shared" si="165"/>
        <v>48741.55</v>
      </c>
      <c r="X44" s="58">
        <f t="shared" si="166"/>
        <v>161129.81599</v>
      </c>
      <c r="Y44" s="56">
        <f t="shared" si="167"/>
        <v>47594.69</v>
      </c>
      <c r="Z44" s="58">
        <f t="shared" si="168"/>
        <v>157338.52620200001</v>
      </c>
      <c r="AA44" s="54">
        <f t="shared" si="169"/>
        <v>46447.83</v>
      </c>
      <c r="AB44" s="58">
        <f t="shared" si="170"/>
        <v>153547.23641400001</v>
      </c>
      <c r="AC44" s="59">
        <f t="shared" si="171"/>
        <v>45300.97</v>
      </c>
      <c r="AD44" s="58">
        <f t="shared" si="172"/>
        <v>149755.94662600002</v>
      </c>
      <c r="AE44" s="59">
        <f t="shared" si="173"/>
        <v>44154.11</v>
      </c>
      <c r="AF44" s="58">
        <f t="shared" si="174"/>
        <v>145964.656838</v>
      </c>
      <c r="AG44" s="59">
        <f t="shared" si="175"/>
        <v>43007.25</v>
      </c>
      <c r="AH44" s="58">
        <f t="shared" si="176"/>
        <v>142173.36705</v>
      </c>
      <c r="AI44" s="54">
        <f t="shared" si="177"/>
        <v>41860.39</v>
      </c>
      <c r="AJ44" s="58">
        <f t="shared" si="178"/>
        <v>138382.07726200001</v>
      </c>
      <c r="AK44" s="59">
        <f t="shared" si="179"/>
        <v>40713.53</v>
      </c>
      <c r="AL44" s="58">
        <f t="shared" si="180"/>
        <v>134590.78747400001</v>
      </c>
      <c r="AM44" s="59">
        <f t="shared" si="181"/>
        <v>39566.67</v>
      </c>
      <c r="AN44" s="58">
        <f t="shared" si="182"/>
        <v>130799.497686</v>
      </c>
      <c r="AO44" s="59">
        <f t="shared" si="183"/>
        <v>38419.81</v>
      </c>
      <c r="AP44" s="58">
        <f t="shared" si="184"/>
        <v>127008.20789799999</v>
      </c>
      <c r="AQ44" s="59">
        <f t="shared" si="185"/>
        <v>37272.94999999999</v>
      </c>
      <c r="AR44" s="58">
        <f t="shared" si="186"/>
        <v>123216.91810999997</v>
      </c>
      <c r="AS44" s="54">
        <f t="shared" si="187"/>
        <v>36126.089999999989</v>
      </c>
      <c r="AT44" s="58">
        <f t="shared" si="188"/>
        <v>119425.62832199996</v>
      </c>
      <c r="AU44" s="59">
        <f t="shared" si="189"/>
        <v>34979.229999999989</v>
      </c>
      <c r="AV44" s="58">
        <f t="shared" si="190"/>
        <v>115634.33853399997</v>
      </c>
      <c r="AW44" s="59">
        <f t="shared" si="191"/>
        <v>33832.369999999988</v>
      </c>
      <c r="AX44" s="58">
        <f t="shared" si="192"/>
        <v>111843.04874599996</v>
      </c>
      <c r="AY44" s="54">
        <f t="shared" si="193"/>
        <v>32685.509999999987</v>
      </c>
      <c r="AZ44" s="58">
        <f t="shared" si="194"/>
        <v>108051.75895799996</v>
      </c>
      <c r="BC44" s="54">
        <v>1</v>
      </c>
      <c r="BD44" s="54">
        <v>0.97</v>
      </c>
      <c r="BE44" s="54">
        <v>0.95</v>
      </c>
      <c r="BF44" s="54">
        <v>0.93</v>
      </c>
      <c r="BG44" s="54">
        <f t="shared" si="143"/>
        <v>0.91</v>
      </c>
      <c r="BH44" s="54">
        <f t="shared" si="143"/>
        <v>0.89</v>
      </c>
      <c r="BI44" s="54">
        <f t="shared" si="143"/>
        <v>0.87</v>
      </c>
      <c r="BJ44" s="54">
        <f t="shared" si="143"/>
        <v>0.85</v>
      </c>
      <c r="BK44" s="54">
        <f t="shared" si="143"/>
        <v>0.83</v>
      </c>
      <c r="BL44" s="54">
        <f t="shared" si="143"/>
        <v>0.80999999999999994</v>
      </c>
      <c r="BM44" s="54">
        <f t="shared" si="143"/>
        <v>0.78999999999999992</v>
      </c>
      <c r="BN44" s="54">
        <f t="shared" si="143"/>
        <v>0.76999999999999991</v>
      </c>
      <c r="BO44" s="54">
        <f t="shared" si="143"/>
        <v>0.74999999999999989</v>
      </c>
      <c r="BP44" s="54">
        <f t="shared" si="143"/>
        <v>0.72999999999999987</v>
      </c>
      <c r="BQ44" s="54">
        <f t="shared" si="143"/>
        <v>0.70999999999999985</v>
      </c>
      <c r="BR44" s="54">
        <f t="shared" si="143"/>
        <v>0.68999999999999984</v>
      </c>
      <c r="BS44" s="54">
        <f t="shared" si="143"/>
        <v>0.66999999999999982</v>
      </c>
      <c r="BT44" s="54">
        <f t="shared" si="143"/>
        <v>0.6499999999999998</v>
      </c>
      <c r="BU44" s="54">
        <f t="shared" si="143"/>
        <v>0.62999999999999978</v>
      </c>
      <c r="BV44" s="54">
        <f t="shared" si="143"/>
        <v>0.60999999999999976</v>
      </c>
      <c r="BW44" s="54">
        <f t="shared" si="143"/>
        <v>0.58999999999999975</v>
      </c>
      <c r="BX44" s="54">
        <f t="shared" si="143"/>
        <v>0.56999999999999973</v>
      </c>
      <c r="BZ44" s="54">
        <f t="shared" si="88"/>
        <v>52182.130000000012</v>
      </c>
      <c r="CA44" s="54">
        <f t="shared" si="89"/>
        <v>52182.130000000012</v>
      </c>
      <c r="CB44" s="58">
        <f t="shared" si="195"/>
        <v>172503.68535400004</v>
      </c>
      <c r="CC44" s="54">
        <f t="shared" si="196"/>
        <v>50616.666100000009</v>
      </c>
      <c r="CD44" s="58">
        <f t="shared" si="197"/>
        <v>167328.57479338004</v>
      </c>
      <c r="CE44" s="54">
        <f t="shared" si="198"/>
        <v>49573.02350000001</v>
      </c>
      <c r="CF44" s="58">
        <f t="shared" si="199"/>
        <v>163878.50108630004</v>
      </c>
      <c r="CG44" s="54">
        <f t="shared" si="200"/>
        <v>48529.380900000011</v>
      </c>
      <c r="CH44" s="58">
        <f t="shared" si="201"/>
        <v>160428.42737922003</v>
      </c>
      <c r="CI44" s="56">
        <f t="shared" si="202"/>
        <v>47485.738300000012</v>
      </c>
      <c r="CJ44" s="58">
        <f t="shared" si="203"/>
        <v>156978.35367214005</v>
      </c>
      <c r="CK44" s="54">
        <f t="shared" si="204"/>
        <v>46442.095700000013</v>
      </c>
      <c r="CL44" s="58">
        <f t="shared" si="205"/>
        <v>153528.27996506004</v>
      </c>
      <c r="CM44" s="56">
        <f t="shared" si="206"/>
        <v>45398.453100000013</v>
      </c>
      <c r="CN44" s="58">
        <f t="shared" si="207"/>
        <v>150078.20625798005</v>
      </c>
      <c r="CO44" s="59">
        <f t="shared" si="208"/>
        <v>44354.810500000007</v>
      </c>
      <c r="CP44" s="58">
        <f t="shared" si="209"/>
        <v>146628.13255090002</v>
      </c>
      <c r="CQ44" s="56">
        <f t="shared" si="210"/>
        <v>43311.167900000008</v>
      </c>
      <c r="CR44" s="58">
        <f t="shared" si="211"/>
        <v>143178.05884382004</v>
      </c>
      <c r="CS44" s="54">
        <f t="shared" si="212"/>
        <v>42267.525300000008</v>
      </c>
      <c r="CT44" s="58">
        <f t="shared" si="213"/>
        <v>139727.98513674003</v>
      </c>
      <c r="CU44" s="59">
        <f t="shared" si="214"/>
        <v>41223.882700000002</v>
      </c>
      <c r="CV44" s="58">
        <f t="shared" si="215"/>
        <v>136277.91142966002</v>
      </c>
      <c r="CW44" s="59">
        <f t="shared" si="216"/>
        <v>40180.240100000003</v>
      </c>
      <c r="CX44" s="58">
        <f t="shared" si="217"/>
        <v>132827.83772258001</v>
      </c>
      <c r="CY44" s="59">
        <f t="shared" si="218"/>
        <v>39136.597500000003</v>
      </c>
      <c r="CZ44" s="58">
        <f t="shared" si="219"/>
        <v>129377.76401550001</v>
      </c>
      <c r="DA44" s="54">
        <f t="shared" si="220"/>
        <v>38092.954900000004</v>
      </c>
      <c r="DB44" s="58">
        <f t="shared" si="221"/>
        <v>125927.69030842002</v>
      </c>
      <c r="DC44" s="59">
        <f t="shared" si="222"/>
        <v>37049.312299999998</v>
      </c>
      <c r="DD44" s="58">
        <f t="shared" si="223"/>
        <v>122477.61660133999</v>
      </c>
      <c r="DE44" s="59">
        <f t="shared" si="224"/>
        <v>36005.669699999999</v>
      </c>
      <c r="DF44" s="58">
        <f t="shared" si="225"/>
        <v>119027.54289426</v>
      </c>
      <c r="DG44" s="59">
        <f t="shared" si="226"/>
        <v>34962.027099999999</v>
      </c>
      <c r="DH44" s="58">
        <f t="shared" si="227"/>
        <v>115577.46918718</v>
      </c>
      <c r="DI44" s="59">
        <f t="shared" si="228"/>
        <v>33918.3845</v>
      </c>
      <c r="DJ44" s="58">
        <f t="shared" si="229"/>
        <v>112127.39548010001</v>
      </c>
      <c r="DK44" s="54">
        <f t="shared" si="230"/>
        <v>32874.741899999994</v>
      </c>
      <c r="DL44" s="58">
        <f t="shared" si="231"/>
        <v>108677.32177301998</v>
      </c>
      <c r="DM44" s="59">
        <f t="shared" si="232"/>
        <v>31831.099299999994</v>
      </c>
      <c r="DN44" s="58">
        <f t="shared" si="233"/>
        <v>105227.24806593999</v>
      </c>
      <c r="DO44" s="59">
        <f t="shared" si="234"/>
        <v>30787.456699999995</v>
      </c>
      <c r="DP44" s="58">
        <f t="shared" si="235"/>
        <v>101777.17435885999</v>
      </c>
      <c r="DQ44" s="54">
        <f t="shared" si="236"/>
        <v>29743.814099999992</v>
      </c>
      <c r="DR44" s="58">
        <f t="shared" si="237"/>
        <v>98327.100651779983</v>
      </c>
      <c r="DU44" s="54">
        <v>1</v>
      </c>
      <c r="DV44" s="54">
        <v>0.97</v>
      </c>
      <c r="DW44" s="54">
        <v>0.95</v>
      </c>
      <c r="DX44" s="54">
        <v>0.93</v>
      </c>
      <c r="DY44" s="54">
        <f t="shared" si="238"/>
        <v>0.91</v>
      </c>
      <c r="DZ44" s="54">
        <f t="shared" si="238"/>
        <v>0.89</v>
      </c>
      <c r="EA44" s="54">
        <f t="shared" si="238"/>
        <v>0.87</v>
      </c>
      <c r="EB44" s="54">
        <f t="shared" si="238"/>
        <v>0.85</v>
      </c>
      <c r="EC44" s="54">
        <f t="shared" si="238"/>
        <v>0.83</v>
      </c>
      <c r="ED44" s="54">
        <f t="shared" si="238"/>
        <v>0.80999999999999994</v>
      </c>
      <c r="EE44" s="54">
        <f t="shared" si="238"/>
        <v>0.78999999999999992</v>
      </c>
      <c r="EF44" s="54">
        <f t="shared" si="238"/>
        <v>0.76999999999999991</v>
      </c>
      <c r="EG44" s="54">
        <f t="shared" si="238"/>
        <v>0.74999999999999989</v>
      </c>
      <c r="EH44" s="54">
        <f t="shared" si="238"/>
        <v>0.72999999999999987</v>
      </c>
      <c r="EI44" s="54">
        <f t="shared" si="238"/>
        <v>0.70999999999999985</v>
      </c>
      <c r="EJ44" s="54">
        <f t="shared" si="238"/>
        <v>0.68999999999999984</v>
      </c>
      <c r="EK44" s="54">
        <f t="shared" si="238"/>
        <v>0.66999999999999982</v>
      </c>
      <c r="EL44" s="54">
        <f t="shared" si="238"/>
        <v>0.6499999999999998</v>
      </c>
      <c r="EM44" s="54">
        <f t="shared" si="238"/>
        <v>0.62999999999999978</v>
      </c>
      <c r="EN44" s="54">
        <f t="shared" si="238"/>
        <v>0.60999999999999976</v>
      </c>
      <c r="EO44" s="54">
        <f t="shared" si="238"/>
        <v>0.58999999999999975</v>
      </c>
      <c r="EP44" s="54">
        <f t="shared" si="238"/>
        <v>0.56999999999999973</v>
      </c>
      <c r="ER44" s="54">
        <f t="shared" si="142"/>
        <v>47485.738300000012</v>
      </c>
      <c r="ES44" s="54">
        <f t="shared" si="116"/>
        <v>47485.738300000012</v>
      </c>
      <c r="ET44" s="58">
        <f t="shared" si="239"/>
        <v>156978.35367214005</v>
      </c>
      <c r="EU44" s="54">
        <f t="shared" si="240"/>
        <v>46061.166151000012</v>
      </c>
      <c r="EV44" s="58">
        <f t="shared" si="241"/>
        <v>152269.00306197585</v>
      </c>
      <c r="EW44" s="54">
        <f t="shared" si="242"/>
        <v>45111.451385000008</v>
      </c>
      <c r="EX44" s="58">
        <f t="shared" si="243"/>
        <v>149129.43598853302</v>
      </c>
      <c r="EY44" s="54">
        <f t="shared" si="244"/>
        <v>44161.73661900001</v>
      </c>
      <c r="EZ44" s="58">
        <f t="shared" si="245"/>
        <v>145989.86891509025</v>
      </c>
      <c r="FA44" s="56">
        <f t="shared" si="246"/>
        <v>43212.021853000013</v>
      </c>
      <c r="FB44" s="58">
        <f t="shared" si="247"/>
        <v>142850.30184164745</v>
      </c>
      <c r="FC44" s="54">
        <f t="shared" si="248"/>
        <v>42262.307087000008</v>
      </c>
      <c r="FD44" s="58">
        <f t="shared" si="249"/>
        <v>139710.73476820462</v>
      </c>
      <c r="FE44" s="56">
        <f t="shared" si="250"/>
        <v>41312.592321000011</v>
      </c>
      <c r="FF44" s="58">
        <f t="shared" si="251"/>
        <v>136571.16769476183</v>
      </c>
      <c r="FG44" s="59">
        <f t="shared" si="252"/>
        <v>40362.877555000006</v>
      </c>
      <c r="FH44" s="58">
        <f t="shared" si="253"/>
        <v>133431.60062131903</v>
      </c>
      <c r="FI44" s="56">
        <f t="shared" si="254"/>
        <v>39413.162789000009</v>
      </c>
      <c r="FJ44" s="58">
        <f t="shared" si="255"/>
        <v>130292.03354787623</v>
      </c>
      <c r="FK44" s="54">
        <f t="shared" si="256"/>
        <v>38463.448023000004</v>
      </c>
      <c r="FL44" s="58">
        <f t="shared" si="257"/>
        <v>127152.46647443341</v>
      </c>
      <c r="FM44" s="59">
        <f t="shared" si="258"/>
        <v>37513.733257000007</v>
      </c>
      <c r="FN44" s="58">
        <f t="shared" si="259"/>
        <v>124012.89940099063</v>
      </c>
      <c r="FO44" s="59">
        <f t="shared" si="260"/>
        <v>36564.018491000003</v>
      </c>
      <c r="FP44" s="58">
        <f t="shared" si="261"/>
        <v>120873.33232754782</v>
      </c>
      <c r="FQ44" s="59">
        <f t="shared" si="262"/>
        <v>35614.303725000005</v>
      </c>
      <c r="FR44" s="58">
        <f t="shared" si="263"/>
        <v>117733.76525410502</v>
      </c>
      <c r="FS44" s="54">
        <f t="shared" si="264"/>
        <v>34664.588959000001</v>
      </c>
      <c r="FT44" s="58">
        <f t="shared" si="265"/>
        <v>114594.19818066221</v>
      </c>
      <c r="FU44" s="59">
        <f t="shared" si="266"/>
        <v>33714.874193000003</v>
      </c>
      <c r="FV44" s="58">
        <f t="shared" si="267"/>
        <v>111454.63110721941</v>
      </c>
      <c r="FW44" s="59">
        <f t="shared" si="268"/>
        <v>32765.159426999999</v>
      </c>
      <c r="FX44" s="58">
        <f t="shared" si="269"/>
        <v>108315.06403377659</v>
      </c>
      <c r="FY44" s="59">
        <f t="shared" si="270"/>
        <v>31815.444660999998</v>
      </c>
      <c r="FZ44" s="58">
        <f t="shared" si="271"/>
        <v>105175.4969603338</v>
      </c>
      <c r="GA44" s="59">
        <f t="shared" si="272"/>
        <v>30865.729894999997</v>
      </c>
      <c r="GB44" s="58">
        <f t="shared" si="273"/>
        <v>102035.929886891</v>
      </c>
      <c r="GC44" s="54">
        <f t="shared" si="274"/>
        <v>29916.015128999996</v>
      </c>
      <c r="GD44" s="58">
        <f t="shared" si="275"/>
        <v>98896.362813448184</v>
      </c>
      <c r="GE44" s="59">
        <f t="shared" si="276"/>
        <v>28966.300362999995</v>
      </c>
      <c r="GF44" s="58">
        <f t="shared" si="277"/>
        <v>95756.795740005386</v>
      </c>
      <c r="GG44" s="59">
        <f t="shared" si="278"/>
        <v>28016.585596999994</v>
      </c>
      <c r="GH44" s="58">
        <f t="shared" si="279"/>
        <v>92617.228666562587</v>
      </c>
      <c r="GI44" s="54">
        <f t="shared" si="280"/>
        <v>27066.870830999993</v>
      </c>
      <c r="GJ44" s="58">
        <f t="shared" si="281"/>
        <v>89477.661593119774</v>
      </c>
      <c r="GK44" s="54"/>
      <c r="GL44" s="54"/>
      <c r="GM44" s="54">
        <v>1</v>
      </c>
      <c r="GN44" s="54">
        <v>0.97</v>
      </c>
      <c r="GO44" s="54">
        <v>0.95</v>
      </c>
      <c r="GP44" s="54">
        <v>0.93</v>
      </c>
      <c r="GQ44" s="54">
        <f t="shared" si="282"/>
        <v>0.91</v>
      </c>
      <c r="GR44" s="54">
        <f t="shared" si="282"/>
        <v>0.89</v>
      </c>
      <c r="GS44" s="54">
        <f t="shared" si="282"/>
        <v>0.87</v>
      </c>
      <c r="GT44" s="54">
        <f t="shared" si="282"/>
        <v>0.85</v>
      </c>
      <c r="GU44" s="54">
        <f t="shared" si="282"/>
        <v>0.83</v>
      </c>
      <c r="GV44" s="54">
        <f t="shared" si="282"/>
        <v>0.80999999999999994</v>
      </c>
      <c r="GW44" s="54">
        <f t="shared" si="282"/>
        <v>0.78999999999999992</v>
      </c>
      <c r="GX44" s="54">
        <f t="shared" si="282"/>
        <v>0.76999999999999991</v>
      </c>
      <c r="GY44" s="54">
        <f t="shared" si="282"/>
        <v>0.74999999999999989</v>
      </c>
      <c r="GZ44" s="54">
        <f t="shared" si="282"/>
        <v>0.72999999999999987</v>
      </c>
      <c r="HA44" s="54">
        <f t="shared" si="282"/>
        <v>0.70999999999999985</v>
      </c>
      <c r="HB44" s="54">
        <f t="shared" si="282"/>
        <v>0.68999999999999984</v>
      </c>
      <c r="HC44" s="54">
        <f t="shared" si="282"/>
        <v>0.66999999999999982</v>
      </c>
      <c r="HD44" s="54">
        <f t="shared" si="282"/>
        <v>0.6499999999999998</v>
      </c>
      <c r="HE44" s="54">
        <f t="shared" si="282"/>
        <v>0.62999999999999978</v>
      </c>
      <c r="HF44" s="54">
        <f t="shared" si="282"/>
        <v>0.60999999999999976</v>
      </c>
      <c r="HG44" s="54">
        <f t="shared" si="282"/>
        <v>0.58999999999999975</v>
      </c>
      <c r="HH44" s="54">
        <f t="shared" si="282"/>
        <v>0.56999999999999973</v>
      </c>
    </row>
    <row r="45" spans="1:216" x14ac:dyDescent="0.3">
      <c r="A45" s="2">
        <v>12</v>
      </c>
      <c r="C45" s="38" t="s">
        <v>23</v>
      </c>
      <c r="D45" s="42">
        <v>4720</v>
      </c>
      <c r="E45" s="72">
        <f t="shared" si="152"/>
        <v>15600</v>
      </c>
      <c r="H45" s="54">
        <f t="shared" si="61"/>
        <v>17160</v>
      </c>
      <c r="I45" s="54">
        <f t="shared" si="62"/>
        <v>17160</v>
      </c>
      <c r="J45" s="58">
        <f t="shared" si="63"/>
        <v>56727.527999999998</v>
      </c>
      <c r="K45" s="54">
        <f t="shared" si="153"/>
        <v>16645.2</v>
      </c>
      <c r="L45" s="58">
        <f t="shared" si="154"/>
        <v>55025.702160000001</v>
      </c>
      <c r="M45" s="54">
        <f t="shared" si="155"/>
        <v>16302</v>
      </c>
      <c r="N45" s="58">
        <f t="shared" si="156"/>
        <v>53891.151600000005</v>
      </c>
      <c r="O45" s="54">
        <f t="shared" si="157"/>
        <v>15958.800000000001</v>
      </c>
      <c r="P45" s="58">
        <f t="shared" si="158"/>
        <v>52756.601040000001</v>
      </c>
      <c r="Q45" s="56">
        <f t="shared" si="159"/>
        <v>15615.6</v>
      </c>
      <c r="R45" s="58">
        <f t="shared" si="160"/>
        <v>51622.050480000005</v>
      </c>
      <c r="S45" s="54">
        <f t="shared" si="161"/>
        <v>15272.4</v>
      </c>
      <c r="T45" s="58">
        <f t="shared" si="162"/>
        <v>50487.499920000002</v>
      </c>
      <c r="U45" s="56">
        <f t="shared" si="163"/>
        <v>14929.2</v>
      </c>
      <c r="V45" s="58">
        <f t="shared" si="164"/>
        <v>49352.949360000006</v>
      </c>
      <c r="W45" s="59">
        <f t="shared" si="165"/>
        <v>14586</v>
      </c>
      <c r="X45" s="58">
        <f t="shared" si="166"/>
        <v>48218.398800000003</v>
      </c>
      <c r="Y45" s="56">
        <f t="shared" si="167"/>
        <v>14242.8</v>
      </c>
      <c r="Z45" s="58">
        <f t="shared" si="168"/>
        <v>47083.848239999999</v>
      </c>
      <c r="AA45" s="54">
        <f t="shared" si="169"/>
        <v>13899.599999999999</v>
      </c>
      <c r="AB45" s="58">
        <f t="shared" si="170"/>
        <v>45949.297679999996</v>
      </c>
      <c r="AC45" s="59">
        <f t="shared" si="171"/>
        <v>13556.399999999998</v>
      </c>
      <c r="AD45" s="58">
        <f t="shared" si="172"/>
        <v>44814.747119999993</v>
      </c>
      <c r="AE45" s="59">
        <f t="shared" si="173"/>
        <v>13213.199999999999</v>
      </c>
      <c r="AF45" s="58">
        <f t="shared" si="174"/>
        <v>43680.196559999997</v>
      </c>
      <c r="AG45" s="59">
        <f t="shared" si="175"/>
        <v>12869.999999999998</v>
      </c>
      <c r="AH45" s="58">
        <f t="shared" si="176"/>
        <v>42545.645999999993</v>
      </c>
      <c r="AI45" s="54">
        <f t="shared" si="177"/>
        <v>12526.799999999997</v>
      </c>
      <c r="AJ45" s="58">
        <f t="shared" si="178"/>
        <v>41411.09543999999</v>
      </c>
      <c r="AK45" s="59">
        <f t="shared" si="179"/>
        <v>12183.599999999997</v>
      </c>
      <c r="AL45" s="58">
        <f t="shared" si="180"/>
        <v>40276.544879999987</v>
      </c>
      <c r="AM45" s="59">
        <f t="shared" si="181"/>
        <v>11840.399999999998</v>
      </c>
      <c r="AN45" s="58">
        <f t="shared" si="182"/>
        <v>39141.994319999991</v>
      </c>
      <c r="AO45" s="59">
        <f t="shared" si="183"/>
        <v>11497.199999999997</v>
      </c>
      <c r="AP45" s="58">
        <f t="shared" si="184"/>
        <v>38007.443759999995</v>
      </c>
      <c r="AQ45" s="59">
        <f t="shared" si="185"/>
        <v>11153.999999999996</v>
      </c>
      <c r="AR45" s="58">
        <f t="shared" si="186"/>
        <v>36872.893199999991</v>
      </c>
      <c r="AS45" s="54">
        <f t="shared" si="187"/>
        <v>10810.799999999996</v>
      </c>
      <c r="AT45" s="58">
        <f t="shared" si="188"/>
        <v>35738.342639999988</v>
      </c>
      <c r="AU45" s="59">
        <f t="shared" si="189"/>
        <v>10467.599999999997</v>
      </c>
      <c r="AV45" s="58">
        <f t="shared" si="190"/>
        <v>34603.792079999992</v>
      </c>
      <c r="AW45" s="59">
        <f t="shared" si="191"/>
        <v>10124.399999999996</v>
      </c>
      <c r="AX45" s="58">
        <f t="shared" si="192"/>
        <v>33469.241519999989</v>
      </c>
      <c r="AY45" s="54">
        <f t="shared" si="193"/>
        <v>9781.1999999999953</v>
      </c>
      <c r="AZ45" s="58">
        <f t="shared" si="194"/>
        <v>32334.690959999985</v>
      </c>
      <c r="BC45" s="54">
        <v>1</v>
      </c>
      <c r="BD45" s="54">
        <v>0.97</v>
      </c>
      <c r="BE45" s="54">
        <v>0.95</v>
      </c>
      <c r="BF45" s="54">
        <v>0.93</v>
      </c>
      <c r="BG45" s="54">
        <f t="shared" si="143"/>
        <v>0.91</v>
      </c>
      <c r="BH45" s="54">
        <f t="shared" si="143"/>
        <v>0.89</v>
      </c>
      <c r="BI45" s="54">
        <f t="shared" si="143"/>
        <v>0.87</v>
      </c>
      <c r="BJ45" s="54">
        <f t="shared" ref="BJ45:BX45" si="283">+BI45-0.02</f>
        <v>0.85</v>
      </c>
      <c r="BK45" s="54">
        <f t="shared" si="283"/>
        <v>0.83</v>
      </c>
      <c r="BL45" s="54">
        <f t="shared" si="283"/>
        <v>0.80999999999999994</v>
      </c>
      <c r="BM45" s="54">
        <f t="shared" si="283"/>
        <v>0.78999999999999992</v>
      </c>
      <c r="BN45" s="54">
        <f t="shared" si="283"/>
        <v>0.76999999999999991</v>
      </c>
      <c r="BO45" s="54">
        <f t="shared" si="283"/>
        <v>0.74999999999999989</v>
      </c>
      <c r="BP45" s="54">
        <f t="shared" si="283"/>
        <v>0.72999999999999987</v>
      </c>
      <c r="BQ45" s="54">
        <f t="shared" si="283"/>
        <v>0.70999999999999985</v>
      </c>
      <c r="BR45" s="54">
        <f t="shared" si="283"/>
        <v>0.68999999999999984</v>
      </c>
      <c r="BS45" s="54">
        <f t="shared" si="283"/>
        <v>0.66999999999999982</v>
      </c>
      <c r="BT45" s="54">
        <f t="shared" si="283"/>
        <v>0.6499999999999998</v>
      </c>
      <c r="BU45" s="54">
        <f t="shared" si="283"/>
        <v>0.62999999999999978</v>
      </c>
      <c r="BV45" s="54">
        <f t="shared" si="283"/>
        <v>0.60999999999999976</v>
      </c>
      <c r="BW45" s="54">
        <f t="shared" si="283"/>
        <v>0.58999999999999975</v>
      </c>
      <c r="BX45" s="54">
        <f t="shared" si="283"/>
        <v>0.56999999999999973</v>
      </c>
      <c r="BZ45" s="54">
        <f t="shared" si="88"/>
        <v>15615.6</v>
      </c>
      <c r="CA45" s="54">
        <f t="shared" si="89"/>
        <v>15615.6</v>
      </c>
      <c r="CB45" s="58">
        <f t="shared" si="195"/>
        <v>51622.050480000005</v>
      </c>
      <c r="CC45" s="54">
        <f t="shared" si="196"/>
        <v>15147.132</v>
      </c>
      <c r="CD45" s="58">
        <f t="shared" si="197"/>
        <v>50073.388965600003</v>
      </c>
      <c r="CE45" s="54">
        <f t="shared" si="198"/>
        <v>14834.82</v>
      </c>
      <c r="CF45" s="58">
        <f t="shared" si="199"/>
        <v>49040.947956000004</v>
      </c>
      <c r="CG45" s="54">
        <f t="shared" si="200"/>
        <v>14522.508000000002</v>
      </c>
      <c r="CH45" s="58">
        <f t="shared" si="201"/>
        <v>48008.506946400004</v>
      </c>
      <c r="CI45" s="56">
        <f t="shared" si="202"/>
        <v>14210.196</v>
      </c>
      <c r="CJ45" s="58">
        <f t="shared" si="203"/>
        <v>46976.065936799998</v>
      </c>
      <c r="CK45" s="54">
        <f t="shared" si="204"/>
        <v>13897.884</v>
      </c>
      <c r="CL45" s="58">
        <f t="shared" si="205"/>
        <v>45943.624927199999</v>
      </c>
      <c r="CM45" s="56">
        <f t="shared" si="206"/>
        <v>13585.572</v>
      </c>
      <c r="CN45" s="58">
        <f t="shared" si="207"/>
        <v>44911.183917599999</v>
      </c>
      <c r="CO45" s="59">
        <f t="shared" si="208"/>
        <v>13273.26</v>
      </c>
      <c r="CP45" s="58">
        <f t="shared" si="209"/>
        <v>43878.742908</v>
      </c>
      <c r="CQ45" s="56">
        <f t="shared" si="210"/>
        <v>12960.948</v>
      </c>
      <c r="CR45" s="58">
        <f t="shared" si="211"/>
        <v>42846.301898400001</v>
      </c>
      <c r="CS45" s="54">
        <f t="shared" si="212"/>
        <v>12648.635999999999</v>
      </c>
      <c r="CT45" s="58">
        <f t="shared" si="213"/>
        <v>41813.860888799994</v>
      </c>
      <c r="CU45" s="59">
        <f t="shared" si="214"/>
        <v>12336.323999999999</v>
      </c>
      <c r="CV45" s="58">
        <f t="shared" si="215"/>
        <v>40781.419879199995</v>
      </c>
      <c r="CW45" s="59">
        <f t="shared" si="216"/>
        <v>12024.011999999999</v>
      </c>
      <c r="CX45" s="58">
        <f t="shared" si="217"/>
        <v>39748.978869599996</v>
      </c>
      <c r="CY45" s="59">
        <f t="shared" si="218"/>
        <v>11711.699999999999</v>
      </c>
      <c r="CZ45" s="58">
        <f t="shared" si="219"/>
        <v>38716.537859999997</v>
      </c>
      <c r="DA45" s="54">
        <f t="shared" si="220"/>
        <v>11399.387999999999</v>
      </c>
      <c r="DB45" s="58">
        <f t="shared" si="221"/>
        <v>37684.096850399997</v>
      </c>
      <c r="DC45" s="59">
        <f t="shared" si="222"/>
        <v>11087.075999999997</v>
      </c>
      <c r="DD45" s="58">
        <f t="shared" si="223"/>
        <v>36651.655840799991</v>
      </c>
      <c r="DE45" s="59">
        <f t="shared" si="224"/>
        <v>10774.763999999997</v>
      </c>
      <c r="DF45" s="58">
        <f t="shared" si="225"/>
        <v>35619.214831199992</v>
      </c>
      <c r="DG45" s="59">
        <f t="shared" si="226"/>
        <v>10462.451999999997</v>
      </c>
      <c r="DH45" s="58">
        <f t="shared" si="227"/>
        <v>34586.773821599993</v>
      </c>
      <c r="DI45" s="59">
        <f t="shared" si="228"/>
        <v>10150.139999999998</v>
      </c>
      <c r="DJ45" s="58">
        <f t="shared" si="229"/>
        <v>33554.332811999993</v>
      </c>
      <c r="DK45" s="54">
        <f t="shared" si="230"/>
        <v>9837.8279999999977</v>
      </c>
      <c r="DL45" s="58">
        <f t="shared" si="231"/>
        <v>32521.891802399994</v>
      </c>
      <c r="DM45" s="59">
        <f t="shared" si="232"/>
        <v>9525.515999999996</v>
      </c>
      <c r="DN45" s="58">
        <f t="shared" si="233"/>
        <v>31489.450792799988</v>
      </c>
      <c r="DO45" s="59">
        <f t="shared" si="234"/>
        <v>9213.2039999999961</v>
      </c>
      <c r="DP45" s="58">
        <f t="shared" si="235"/>
        <v>30457.009783199988</v>
      </c>
      <c r="DQ45" s="54">
        <f t="shared" si="236"/>
        <v>8900.8919999999962</v>
      </c>
      <c r="DR45" s="58">
        <f t="shared" si="237"/>
        <v>29424.568773599989</v>
      </c>
      <c r="DU45" s="54">
        <v>1</v>
      </c>
      <c r="DV45" s="54">
        <v>0.97</v>
      </c>
      <c r="DW45" s="54">
        <v>0.95</v>
      </c>
      <c r="DX45" s="54">
        <v>0.93</v>
      </c>
      <c r="DY45" s="54">
        <f t="shared" si="238"/>
        <v>0.91</v>
      </c>
      <c r="DZ45" s="54">
        <f t="shared" si="238"/>
        <v>0.89</v>
      </c>
      <c r="EA45" s="54">
        <f t="shared" si="238"/>
        <v>0.87</v>
      </c>
      <c r="EB45" s="54">
        <f t="shared" si="238"/>
        <v>0.85</v>
      </c>
      <c r="EC45" s="54">
        <f t="shared" si="238"/>
        <v>0.83</v>
      </c>
      <c r="ED45" s="54">
        <f t="shared" si="238"/>
        <v>0.80999999999999994</v>
      </c>
      <c r="EE45" s="54">
        <f t="shared" si="238"/>
        <v>0.78999999999999992</v>
      </c>
      <c r="EF45" s="54">
        <f t="shared" si="238"/>
        <v>0.76999999999999991</v>
      </c>
      <c r="EG45" s="54">
        <f t="shared" si="238"/>
        <v>0.74999999999999989</v>
      </c>
      <c r="EH45" s="54">
        <f t="shared" si="238"/>
        <v>0.72999999999999987</v>
      </c>
      <c r="EI45" s="54">
        <f t="shared" si="238"/>
        <v>0.70999999999999985</v>
      </c>
      <c r="EJ45" s="54">
        <f t="shared" si="238"/>
        <v>0.68999999999999984</v>
      </c>
      <c r="EK45" s="54">
        <f t="shared" si="238"/>
        <v>0.66999999999999982</v>
      </c>
      <c r="EL45" s="54">
        <f t="shared" si="238"/>
        <v>0.6499999999999998</v>
      </c>
      <c r="EM45" s="54">
        <f t="shared" si="238"/>
        <v>0.62999999999999978</v>
      </c>
      <c r="EN45" s="54">
        <f t="shared" si="238"/>
        <v>0.60999999999999976</v>
      </c>
      <c r="EO45" s="54">
        <f t="shared" si="238"/>
        <v>0.58999999999999975</v>
      </c>
      <c r="EP45" s="54">
        <f t="shared" si="238"/>
        <v>0.56999999999999973</v>
      </c>
      <c r="ER45" s="54">
        <f t="shared" si="142"/>
        <v>14210.196</v>
      </c>
      <c r="ES45" s="54">
        <f t="shared" si="116"/>
        <v>14210.196</v>
      </c>
      <c r="ET45" s="58">
        <f t="shared" si="239"/>
        <v>46976.065936799998</v>
      </c>
      <c r="EU45" s="54">
        <f t="shared" si="240"/>
        <v>13783.89012</v>
      </c>
      <c r="EV45" s="58">
        <f t="shared" si="241"/>
        <v>45566.783958696004</v>
      </c>
      <c r="EW45" s="54">
        <f t="shared" si="242"/>
        <v>13499.6862</v>
      </c>
      <c r="EX45" s="58">
        <f t="shared" si="243"/>
        <v>44627.262639960005</v>
      </c>
      <c r="EY45" s="54">
        <f t="shared" si="244"/>
        <v>13215.48228</v>
      </c>
      <c r="EZ45" s="58">
        <f t="shared" si="245"/>
        <v>43687.741321223999</v>
      </c>
      <c r="FA45" s="56">
        <f t="shared" si="246"/>
        <v>12931.27836</v>
      </c>
      <c r="FB45" s="58">
        <f t="shared" si="247"/>
        <v>42748.220002488</v>
      </c>
      <c r="FC45" s="54">
        <f t="shared" si="248"/>
        <v>12647.07444</v>
      </c>
      <c r="FD45" s="58">
        <f t="shared" si="249"/>
        <v>41808.698683752002</v>
      </c>
      <c r="FE45" s="56">
        <f t="shared" si="250"/>
        <v>12362.87052</v>
      </c>
      <c r="FF45" s="58">
        <f t="shared" si="251"/>
        <v>40869.177365016003</v>
      </c>
      <c r="FG45" s="59">
        <f t="shared" si="252"/>
        <v>12078.6666</v>
      </c>
      <c r="FH45" s="58">
        <f t="shared" si="253"/>
        <v>39929.656046280004</v>
      </c>
      <c r="FI45" s="56">
        <f t="shared" si="254"/>
        <v>11794.462679999999</v>
      </c>
      <c r="FJ45" s="58">
        <f t="shared" si="255"/>
        <v>38990.134727543998</v>
      </c>
      <c r="FK45" s="54">
        <f t="shared" si="256"/>
        <v>11510.258759999999</v>
      </c>
      <c r="FL45" s="58">
        <f t="shared" si="257"/>
        <v>38050.613408808</v>
      </c>
      <c r="FM45" s="59">
        <f t="shared" si="258"/>
        <v>11226.054839999999</v>
      </c>
      <c r="FN45" s="58">
        <f t="shared" si="259"/>
        <v>37111.092090071994</v>
      </c>
      <c r="FO45" s="59">
        <f t="shared" si="260"/>
        <v>10941.850919999999</v>
      </c>
      <c r="FP45" s="58">
        <f t="shared" si="261"/>
        <v>36171.570771335995</v>
      </c>
      <c r="FQ45" s="59">
        <f t="shared" si="262"/>
        <v>10657.646999999999</v>
      </c>
      <c r="FR45" s="58">
        <f t="shared" si="263"/>
        <v>35232.049452599997</v>
      </c>
      <c r="FS45" s="54">
        <f t="shared" si="264"/>
        <v>10373.443079999997</v>
      </c>
      <c r="FT45" s="58">
        <f t="shared" si="265"/>
        <v>34292.528133863991</v>
      </c>
      <c r="FU45" s="59">
        <f t="shared" si="266"/>
        <v>10089.239159999997</v>
      </c>
      <c r="FV45" s="58">
        <f t="shared" si="267"/>
        <v>33353.006815127992</v>
      </c>
      <c r="FW45" s="59">
        <f t="shared" si="268"/>
        <v>9805.0352399999974</v>
      </c>
      <c r="FX45" s="58">
        <f t="shared" si="269"/>
        <v>32413.485496391993</v>
      </c>
      <c r="FY45" s="59">
        <f t="shared" si="270"/>
        <v>9520.8313199999975</v>
      </c>
      <c r="FZ45" s="58">
        <f t="shared" si="271"/>
        <v>31473.964177655991</v>
      </c>
      <c r="GA45" s="59">
        <f t="shared" si="272"/>
        <v>9236.6273999999976</v>
      </c>
      <c r="GB45" s="58">
        <f t="shared" si="273"/>
        <v>30534.442858919992</v>
      </c>
      <c r="GC45" s="54">
        <f t="shared" si="274"/>
        <v>8952.4234799999977</v>
      </c>
      <c r="GD45" s="58">
        <f t="shared" si="275"/>
        <v>29594.921540183994</v>
      </c>
      <c r="GE45" s="59">
        <f t="shared" si="276"/>
        <v>8668.2195599999959</v>
      </c>
      <c r="GF45" s="58">
        <f t="shared" si="277"/>
        <v>28655.400221447988</v>
      </c>
      <c r="GG45" s="59">
        <f t="shared" si="278"/>
        <v>8384.015639999996</v>
      </c>
      <c r="GH45" s="58">
        <f t="shared" si="279"/>
        <v>27715.878902711986</v>
      </c>
      <c r="GI45" s="54">
        <f t="shared" si="280"/>
        <v>8099.8117199999961</v>
      </c>
      <c r="GJ45" s="58">
        <f t="shared" si="281"/>
        <v>26776.357583975987</v>
      </c>
      <c r="GK45" s="54"/>
      <c r="GL45" s="54"/>
      <c r="GM45" s="54">
        <v>1</v>
      </c>
      <c r="GN45" s="54">
        <v>0.97</v>
      </c>
      <c r="GO45" s="54">
        <v>0.95</v>
      </c>
      <c r="GP45" s="54">
        <v>0.93</v>
      </c>
      <c r="GQ45" s="54">
        <f t="shared" si="282"/>
        <v>0.91</v>
      </c>
      <c r="GR45" s="54">
        <f t="shared" si="282"/>
        <v>0.89</v>
      </c>
      <c r="GS45" s="54">
        <f t="shared" si="282"/>
        <v>0.87</v>
      </c>
      <c r="GT45" s="54">
        <f t="shared" si="282"/>
        <v>0.85</v>
      </c>
      <c r="GU45" s="54">
        <f t="shared" si="282"/>
        <v>0.83</v>
      </c>
      <c r="GV45" s="54">
        <f t="shared" si="282"/>
        <v>0.80999999999999994</v>
      </c>
      <c r="GW45" s="54">
        <f t="shared" si="282"/>
        <v>0.78999999999999992</v>
      </c>
      <c r="GX45" s="54">
        <f t="shared" si="282"/>
        <v>0.76999999999999991</v>
      </c>
      <c r="GY45" s="54">
        <f t="shared" si="282"/>
        <v>0.74999999999999989</v>
      </c>
      <c r="GZ45" s="54">
        <f t="shared" si="282"/>
        <v>0.72999999999999987</v>
      </c>
      <c r="HA45" s="54">
        <f t="shared" si="282"/>
        <v>0.70999999999999985</v>
      </c>
      <c r="HB45" s="54">
        <f t="shared" si="282"/>
        <v>0.68999999999999984</v>
      </c>
      <c r="HC45" s="54">
        <f t="shared" si="282"/>
        <v>0.66999999999999982</v>
      </c>
      <c r="HD45" s="54">
        <f t="shared" si="282"/>
        <v>0.6499999999999998</v>
      </c>
      <c r="HE45" s="54">
        <f t="shared" si="282"/>
        <v>0.62999999999999978</v>
      </c>
      <c r="HF45" s="54">
        <f t="shared" si="282"/>
        <v>0.60999999999999976</v>
      </c>
      <c r="HG45" s="54">
        <f t="shared" si="282"/>
        <v>0.58999999999999975</v>
      </c>
      <c r="HH45" s="54">
        <f t="shared" si="282"/>
        <v>0.56999999999999973</v>
      </c>
    </row>
    <row r="46" spans="1:216" x14ac:dyDescent="0.3">
      <c r="A46" s="2">
        <v>13</v>
      </c>
      <c r="C46" s="38" t="s">
        <v>24</v>
      </c>
      <c r="D46" s="42">
        <v>9720</v>
      </c>
      <c r="E46" s="72">
        <f t="shared" si="152"/>
        <v>32130</v>
      </c>
      <c r="H46" s="54">
        <f t="shared" si="61"/>
        <v>35343</v>
      </c>
      <c r="I46" s="54">
        <f t="shared" si="62"/>
        <v>35343</v>
      </c>
      <c r="J46" s="58">
        <f t="shared" si="63"/>
        <v>116836.8894</v>
      </c>
      <c r="K46" s="54">
        <f t="shared" si="153"/>
        <v>34282.71</v>
      </c>
      <c r="L46" s="58">
        <f t="shared" si="154"/>
        <v>113331.782718</v>
      </c>
      <c r="M46" s="54">
        <f t="shared" si="155"/>
        <v>33575.85</v>
      </c>
      <c r="N46" s="58">
        <f t="shared" si="156"/>
        <v>110995.04493</v>
      </c>
      <c r="O46" s="54">
        <f t="shared" si="157"/>
        <v>32868.990000000005</v>
      </c>
      <c r="P46" s="58">
        <f t="shared" si="158"/>
        <v>108658.30714200002</v>
      </c>
      <c r="Q46" s="56">
        <f t="shared" si="159"/>
        <v>32162.13</v>
      </c>
      <c r="R46" s="58">
        <f t="shared" si="160"/>
        <v>106321.56935400001</v>
      </c>
      <c r="S46" s="54">
        <f t="shared" si="161"/>
        <v>31455.27</v>
      </c>
      <c r="T46" s="58">
        <f t="shared" si="162"/>
        <v>103984.83156600001</v>
      </c>
      <c r="U46" s="56">
        <f t="shared" si="163"/>
        <v>30748.41</v>
      </c>
      <c r="V46" s="58">
        <f t="shared" si="164"/>
        <v>101648.09377799999</v>
      </c>
      <c r="W46" s="59">
        <f t="shared" si="165"/>
        <v>30041.55</v>
      </c>
      <c r="X46" s="58">
        <f t="shared" si="166"/>
        <v>99311.355989999996</v>
      </c>
      <c r="Y46" s="56">
        <f t="shared" si="167"/>
        <v>29334.69</v>
      </c>
      <c r="Z46" s="58">
        <f t="shared" si="168"/>
        <v>96974.618201999998</v>
      </c>
      <c r="AA46" s="54">
        <f t="shared" si="169"/>
        <v>28627.829999999998</v>
      </c>
      <c r="AB46" s="58">
        <f t="shared" si="170"/>
        <v>94637.880413999999</v>
      </c>
      <c r="AC46" s="59">
        <f t="shared" si="171"/>
        <v>27920.969999999998</v>
      </c>
      <c r="AD46" s="58">
        <f t="shared" si="172"/>
        <v>92301.142626000001</v>
      </c>
      <c r="AE46" s="59">
        <f t="shared" si="173"/>
        <v>27214.109999999997</v>
      </c>
      <c r="AF46" s="58">
        <f t="shared" si="174"/>
        <v>89964.404837999988</v>
      </c>
      <c r="AG46" s="59">
        <f t="shared" si="175"/>
        <v>26507.249999999996</v>
      </c>
      <c r="AH46" s="58">
        <f t="shared" si="176"/>
        <v>87627.667049999989</v>
      </c>
      <c r="AI46" s="54">
        <f t="shared" si="177"/>
        <v>25800.389999999996</v>
      </c>
      <c r="AJ46" s="58">
        <f t="shared" si="178"/>
        <v>85290.929261999991</v>
      </c>
      <c r="AK46" s="59">
        <f t="shared" si="179"/>
        <v>25093.529999999995</v>
      </c>
      <c r="AL46" s="58">
        <f t="shared" si="180"/>
        <v>82954.191473999992</v>
      </c>
      <c r="AM46" s="59">
        <f t="shared" si="181"/>
        <v>24386.669999999995</v>
      </c>
      <c r="AN46" s="58">
        <f t="shared" si="182"/>
        <v>80617.453685999979</v>
      </c>
      <c r="AO46" s="59">
        <f t="shared" si="183"/>
        <v>23679.809999999994</v>
      </c>
      <c r="AP46" s="58">
        <f t="shared" si="184"/>
        <v>78280.71589799998</v>
      </c>
      <c r="AQ46" s="59">
        <f t="shared" si="185"/>
        <v>22972.949999999993</v>
      </c>
      <c r="AR46" s="58">
        <f t="shared" si="186"/>
        <v>75943.978109999982</v>
      </c>
      <c r="AS46" s="54">
        <f t="shared" si="187"/>
        <v>22266.089999999993</v>
      </c>
      <c r="AT46" s="58">
        <f t="shared" si="188"/>
        <v>73607.240321999983</v>
      </c>
      <c r="AU46" s="59">
        <f t="shared" si="189"/>
        <v>21559.229999999992</v>
      </c>
      <c r="AV46" s="58">
        <f t="shared" si="190"/>
        <v>71270.50253399997</v>
      </c>
      <c r="AW46" s="59">
        <f t="shared" si="191"/>
        <v>20852.369999999992</v>
      </c>
      <c r="AX46" s="58">
        <f t="shared" si="192"/>
        <v>68933.764745999972</v>
      </c>
      <c r="AY46" s="54">
        <f t="shared" si="193"/>
        <v>20145.509999999991</v>
      </c>
      <c r="AZ46" s="58">
        <f t="shared" si="194"/>
        <v>66597.026957999973</v>
      </c>
      <c r="BC46" s="54">
        <v>1</v>
      </c>
      <c r="BD46" s="54">
        <v>0.97</v>
      </c>
      <c r="BE46" s="54">
        <v>0.95</v>
      </c>
      <c r="BF46" s="54">
        <v>0.93</v>
      </c>
      <c r="BG46" s="54">
        <f t="shared" ref="BG46:BX54" si="284">+BF46-0.02</f>
        <v>0.91</v>
      </c>
      <c r="BH46" s="54">
        <f t="shared" si="284"/>
        <v>0.89</v>
      </c>
      <c r="BI46" s="54">
        <f t="shared" si="284"/>
        <v>0.87</v>
      </c>
      <c r="BJ46" s="54">
        <f t="shared" si="284"/>
        <v>0.85</v>
      </c>
      <c r="BK46" s="54">
        <f t="shared" si="284"/>
        <v>0.83</v>
      </c>
      <c r="BL46" s="54">
        <f t="shared" si="284"/>
        <v>0.80999999999999994</v>
      </c>
      <c r="BM46" s="54">
        <f t="shared" si="284"/>
        <v>0.78999999999999992</v>
      </c>
      <c r="BN46" s="54">
        <f t="shared" si="284"/>
        <v>0.76999999999999991</v>
      </c>
      <c r="BO46" s="54">
        <f t="shared" si="284"/>
        <v>0.74999999999999989</v>
      </c>
      <c r="BP46" s="54">
        <f t="shared" si="284"/>
        <v>0.72999999999999987</v>
      </c>
      <c r="BQ46" s="54">
        <f t="shared" si="284"/>
        <v>0.70999999999999985</v>
      </c>
      <c r="BR46" s="54">
        <f t="shared" si="284"/>
        <v>0.68999999999999984</v>
      </c>
      <c r="BS46" s="54">
        <f t="shared" si="284"/>
        <v>0.66999999999999982</v>
      </c>
      <c r="BT46" s="54">
        <f t="shared" si="284"/>
        <v>0.6499999999999998</v>
      </c>
      <c r="BU46" s="54">
        <f t="shared" si="284"/>
        <v>0.62999999999999978</v>
      </c>
      <c r="BV46" s="54">
        <f t="shared" si="284"/>
        <v>0.60999999999999976</v>
      </c>
      <c r="BW46" s="54">
        <f t="shared" si="284"/>
        <v>0.58999999999999975</v>
      </c>
      <c r="BX46" s="54">
        <f t="shared" si="284"/>
        <v>0.56999999999999973</v>
      </c>
      <c r="BZ46" s="54">
        <f t="shared" si="88"/>
        <v>32162.13</v>
      </c>
      <c r="CA46" s="54">
        <f t="shared" si="89"/>
        <v>32162.13</v>
      </c>
      <c r="CB46" s="58">
        <f t="shared" si="195"/>
        <v>106321.56935400001</v>
      </c>
      <c r="CC46" s="54">
        <f t="shared" si="196"/>
        <v>31197.266100000001</v>
      </c>
      <c r="CD46" s="58">
        <f t="shared" si="197"/>
        <v>103131.92227338</v>
      </c>
      <c r="CE46" s="54">
        <f t="shared" si="198"/>
        <v>30554.023499999999</v>
      </c>
      <c r="CF46" s="58">
        <f t="shared" si="199"/>
        <v>101005.4908863</v>
      </c>
      <c r="CG46" s="54">
        <f t="shared" si="200"/>
        <v>29910.780900000002</v>
      </c>
      <c r="CH46" s="58">
        <f t="shared" si="201"/>
        <v>98879.059499220006</v>
      </c>
      <c r="CI46" s="56">
        <f t="shared" si="202"/>
        <v>29267.5383</v>
      </c>
      <c r="CJ46" s="58">
        <f t="shared" si="203"/>
        <v>96752.62811214001</v>
      </c>
      <c r="CK46" s="54">
        <f t="shared" si="204"/>
        <v>28624.295700000002</v>
      </c>
      <c r="CL46" s="58">
        <f t="shared" si="205"/>
        <v>94626.196725060014</v>
      </c>
      <c r="CM46" s="56">
        <f t="shared" si="206"/>
        <v>27981.053100000001</v>
      </c>
      <c r="CN46" s="58">
        <f t="shared" si="207"/>
        <v>92499.765337980003</v>
      </c>
      <c r="CO46" s="59">
        <f t="shared" si="208"/>
        <v>27337.8105</v>
      </c>
      <c r="CP46" s="58">
        <f t="shared" si="209"/>
        <v>90373.333950900007</v>
      </c>
      <c r="CQ46" s="56">
        <f t="shared" si="210"/>
        <v>26694.567899999998</v>
      </c>
      <c r="CR46" s="58">
        <f t="shared" si="211"/>
        <v>88246.902563819996</v>
      </c>
      <c r="CS46" s="54">
        <f t="shared" si="212"/>
        <v>26051.3253</v>
      </c>
      <c r="CT46" s="58">
        <f t="shared" si="213"/>
        <v>86120.47117674</v>
      </c>
      <c r="CU46" s="59">
        <f t="shared" si="214"/>
        <v>25408.082699999999</v>
      </c>
      <c r="CV46" s="58">
        <f t="shared" si="215"/>
        <v>83994.039789660004</v>
      </c>
      <c r="CW46" s="59">
        <f t="shared" si="216"/>
        <v>24764.840099999998</v>
      </c>
      <c r="CX46" s="58">
        <f t="shared" si="217"/>
        <v>81867.608402579994</v>
      </c>
      <c r="CY46" s="59">
        <f t="shared" si="218"/>
        <v>24121.597499999996</v>
      </c>
      <c r="CZ46" s="58">
        <f t="shared" si="219"/>
        <v>79741.177015499983</v>
      </c>
      <c r="DA46" s="54">
        <f t="shared" si="220"/>
        <v>23478.354899999995</v>
      </c>
      <c r="DB46" s="58">
        <f t="shared" si="221"/>
        <v>77614.745628419987</v>
      </c>
      <c r="DC46" s="59">
        <f t="shared" si="222"/>
        <v>22835.112299999997</v>
      </c>
      <c r="DD46" s="58">
        <f t="shared" si="223"/>
        <v>75488.314241339991</v>
      </c>
      <c r="DE46" s="59">
        <f t="shared" si="224"/>
        <v>22191.869699999996</v>
      </c>
      <c r="DF46" s="58">
        <f t="shared" si="225"/>
        <v>73361.88285425998</v>
      </c>
      <c r="DG46" s="59">
        <f t="shared" si="226"/>
        <v>21548.627099999994</v>
      </c>
      <c r="DH46" s="58">
        <f t="shared" si="227"/>
        <v>71235.451467179984</v>
      </c>
      <c r="DI46" s="59">
        <f t="shared" si="228"/>
        <v>20905.384499999993</v>
      </c>
      <c r="DJ46" s="58">
        <f t="shared" si="229"/>
        <v>69109.020080099974</v>
      </c>
      <c r="DK46" s="54">
        <f t="shared" si="230"/>
        <v>20262.141899999995</v>
      </c>
      <c r="DL46" s="58">
        <f t="shared" si="231"/>
        <v>66982.588693019992</v>
      </c>
      <c r="DM46" s="59">
        <f t="shared" si="232"/>
        <v>19618.899299999994</v>
      </c>
      <c r="DN46" s="58">
        <f t="shared" si="233"/>
        <v>64856.157305939982</v>
      </c>
      <c r="DO46" s="59">
        <f t="shared" si="234"/>
        <v>18975.656699999992</v>
      </c>
      <c r="DP46" s="58">
        <f t="shared" si="235"/>
        <v>62729.725918859978</v>
      </c>
      <c r="DQ46" s="54">
        <f t="shared" si="236"/>
        <v>18332.414099999991</v>
      </c>
      <c r="DR46" s="58">
        <f t="shared" si="237"/>
        <v>60603.294531779968</v>
      </c>
      <c r="DU46" s="54">
        <v>1</v>
      </c>
      <c r="DV46" s="54">
        <v>0.97</v>
      </c>
      <c r="DW46" s="54">
        <v>0.95</v>
      </c>
      <c r="DX46" s="54">
        <v>0.93</v>
      </c>
      <c r="DY46" s="54">
        <f t="shared" si="238"/>
        <v>0.91</v>
      </c>
      <c r="DZ46" s="54">
        <f t="shared" si="238"/>
        <v>0.89</v>
      </c>
      <c r="EA46" s="54">
        <f t="shared" si="238"/>
        <v>0.87</v>
      </c>
      <c r="EB46" s="54">
        <f t="shared" si="238"/>
        <v>0.85</v>
      </c>
      <c r="EC46" s="54">
        <f t="shared" si="238"/>
        <v>0.83</v>
      </c>
      <c r="ED46" s="54">
        <f t="shared" si="238"/>
        <v>0.80999999999999994</v>
      </c>
      <c r="EE46" s="54">
        <f t="shared" si="238"/>
        <v>0.78999999999999992</v>
      </c>
      <c r="EF46" s="54">
        <f t="shared" si="238"/>
        <v>0.76999999999999991</v>
      </c>
      <c r="EG46" s="54">
        <f t="shared" si="238"/>
        <v>0.74999999999999989</v>
      </c>
      <c r="EH46" s="54">
        <f t="shared" si="238"/>
        <v>0.72999999999999987</v>
      </c>
      <c r="EI46" s="54">
        <f t="shared" si="238"/>
        <v>0.70999999999999985</v>
      </c>
      <c r="EJ46" s="54">
        <f t="shared" si="238"/>
        <v>0.68999999999999984</v>
      </c>
      <c r="EK46" s="54">
        <f t="shared" si="238"/>
        <v>0.66999999999999982</v>
      </c>
      <c r="EL46" s="54">
        <f t="shared" si="238"/>
        <v>0.6499999999999998</v>
      </c>
      <c r="EM46" s="54">
        <f t="shared" si="238"/>
        <v>0.62999999999999978</v>
      </c>
      <c r="EN46" s="54">
        <f t="shared" si="238"/>
        <v>0.60999999999999976</v>
      </c>
      <c r="EO46" s="54">
        <f t="shared" si="238"/>
        <v>0.58999999999999975</v>
      </c>
      <c r="EP46" s="54">
        <f t="shared" si="238"/>
        <v>0.56999999999999973</v>
      </c>
      <c r="ER46" s="54">
        <f t="shared" si="142"/>
        <v>29267.5383</v>
      </c>
      <c r="ES46" s="54">
        <f t="shared" si="116"/>
        <v>29267.5383</v>
      </c>
      <c r="ET46" s="58">
        <f t="shared" si="239"/>
        <v>96752.62811214001</v>
      </c>
      <c r="EU46" s="54">
        <f t="shared" si="240"/>
        <v>28389.512150999999</v>
      </c>
      <c r="EV46" s="58">
        <f t="shared" si="241"/>
        <v>93850.049268775794</v>
      </c>
      <c r="EW46" s="54">
        <f t="shared" si="242"/>
        <v>27804.161384999999</v>
      </c>
      <c r="EX46" s="58">
        <f t="shared" si="243"/>
        <v>91914.996706532998</v>
      </c>
      <c r="EY46" s="54">
        <f t="shared" si="244"/>
        <v>27218.810619</v>
      </c>
      <c r="EZ46" s="58">
        <f t="shared" si="245"/>
        <v>89979.944144290203</v>
      </c>
      <c r="FA46" s="56">
        <f t="shared" si="246"/>
        <v>26633.459853</v>
      </c>
      <c r="FB46" s="58">
        <f t="shared" si="247"/>
        <v>88044.891582047407</v>
      </c>
      <c r="FC46" s="54">
        <f t="shared" si="248"/>
        <v>26048.109087000001</v>
      </c>
      <c r="FD46" s="58">
        <f t="shared" si="249"/>
        <v>86109.839019804611</v>
      </c>
      <c r="FE46" s="56">
        <f t="shared" si="250"/>
        <v>25462.758321000001</v>
      </c>
      <c r="FF46" s="58">
        <f t="shared" si="251"/>
        <v>84174.7864575618</v>
      </c>
      <c r="FG46" s="59">
        <f t="shared" si="252"/>
        <v>24877.407554999998</v>
      </c>
      <c r="FH46" s="58">
        <f t="shared" si="253"/>
        <v>82239.73389531899</v>
      </c>
      <c r="FI46" s="56">
        <f t="shared" si="254"/>
        <v>24292.056788999998</v>
      </c>
      <c r="FJ46" s="58">
        <f t="shared" si="255"/>
        <v>80304.681333076194</v>
      </c>
      <c r="FK46" s="54">
        <f t="shared" si="256"/>
        <v>23706.706022999999</v>
      </c>
      <c r="FL46" s="58">
        <f t="shared" si="257"/>
        <v>78369.628770833398</v>
      </c>
      <c r="FM46" s="59">
        <f t="shared" si="258"/>
        <v>23121.355256999999</v>
      </c>
      <c r="FN46" s="58">
        <f t="shared" si="259"/>
        <v>76434.576208590603</v>
      </c>
      <c r="FO46" s="59">
        <f t="shared" si="260"/>
        <v>22536.004490999996</v>
      </c>
      <c r="FP46" s="58">
        <f t="shared" si="261"/>
        <v>74499.523646347792</v>
      </c>
      <c r="FQ46" s="59">
        <f t="shared" si="262"/>
        <v>21950.653724999996</v>
      </c>
      <c r="FR46" s="58">
        <f t="shared" si="263"/>
        <v>72564.471084104996</v>
      </c>
      <c r="FS46" s="54">
        <f t="shared" si="264"/>
        <v>21365.302958999997</v>
      </c>
      <c r="FT46" s="58">
        <f t="shared" si="265"/>
        <v>70629.418521862186</v>
      </c>
      <c r="FU46" s="59">
        <f t="shared" si="266"/>
        <v>20779.952192999997</v>
      </c>
      <c r="FV46" s="58">
        <f t="shared" si="267"/>
        <v>68694.36595961939</v>
      </c>
      <c r="FW46" s="59">
        <f t="shared" si="268"/>
        <v>20194.601426999994</v>
      </c>
      <c r="FX46" s="58">
        <f t="shared" si="269"/>
        <v>66759.31339737658</v>
      </c>
      <c r="FY46" s="59">
        <f t="shared" si="270"/>
        <v>19609.250660999995</v>
      </c>
      <c r="FZ46" s="58">
        <f t="shared" si="271"/>
        <v>64824.260835133784</v>
      </c>
      <c r="GA46" s="59">
        <f t="shared" si="272"/>
        <v>19023.899894999995</v>
      </c>
      <c r="GB46" s="58">
        <f t="shared" si="273"/>
        <v>62889.208272890988</v>
      </c>
      <c r="GC46" s="54">
        <f t="shared" si="274"/>
        <v>18438.549128999995</v>
      </c>
      <c r="GD46" s="58">
        <f t="shared" si="275"/>
        <v>60954.155710648185</v>
      </c>
      <c r="GE46" s="59">
        <f t="shared" si="276"/>
        <v>17853.198362999992</v>
      </c>
      <c r="GF46" s="58">
        <f t="shared" si="277"/>
        <v>59019.103148405375</v>
      </c>
      <c r="GG46" s="59">
        <f t="shared" si="278"/>
        <v>17267.847596999993</v>
      </c>
      <c r="GH46" s="58">
        <f t="shared" si="279"/>
        <v>57084.050586162579</v>
      </c>
      <c r="GI46" s="54">
        <f t="shared" si="280"/>
        <v>16682.496830999993</v>
      </c>
      <c r="GJ46" s="58">
        <f t="shared" si="281"/>
        <v>55148.998023919776</v>
      </c>
      <c r="GK46" s="54"/>
      <c r="GL46" s="54"/>
      <c r="GM46" s="54">
        <v>1</v>
      </c>
      <c r="GN46" s="54">
        <v>0.97</v>
      </c>
      <c r="GO46" s="54">
        <v>0.95</v>
      </c>
      <c r="GP46" s="54">
        <v>0.93</v>
      </c>
      <c r="GQ46" s="54">
        <f t="shared" si="282"/>
        <v>0.91</v>
      </c>
      <c r="GR46" s="54">
        <f t="shared" si="282"/>
        <v>0.89</v>
      </c>
      <c r="GS46" s="54">
        <f t="shared" si="282"/>
        <v>0.87</v>
      </c>
      <c r="GT46" s="54">
        <f t="shared" si="282"/>
        <v>0.85</v>
      </c>
      <c r="GU46" s="54">
        <f t="shared" si="282"/>
        <v>0.83</v>
      </c>
      <c r="GV46" s="54">
        <f t="shared" si="282"/>
        <v>0.80999999999999994</v>
      </c>
      <c r="GW46" s="54">
        <f t="shared" si="282"/>
        <v>0.78999999999999992</v>
      </c>
      <c r="GX46" s="54">
        <f t="shared" si="282"/>
        <v>0.76999999999999991</v>
      </c>
      <c r="GY46" s="54">
        <f t="shared" si="282"/>
        <v>0.74999999999999989</v>
      </c>
      <c r="GZ46" s="54">
        <f t="shared" si="282"/>
        <v>0.72999999999999987</v>
      </c>
      <c r="HA46" s="54">
        <f t="shared" si="282"/>
        <v>0.70999999999999985</v>
      </c>
      <c r="HB46" s="54">
        <f t="shared" si="282"/>
        <v>0.68999999999999984</v>
      </c>
      <c r="HC46" s="54">
        <f t="shared" si="282"/>
        <v>0.66999999999999982</v>
      </c>
      <c r="HD46" s="54">
        <f t="shared" si="282"/>
        <v>0.6499999999999998</v>
      </c>
      <c r="HE46" s="54">
        <f t="shared" si="282"/>
        <v>0.62999999999999978</v>
      </c>
      <c r="HF46" s="54">
        <f t="shared" si="282"/>
        <v>0.60999999999999976</v>
      </c>
      <c r="HG46" s="54">
        <f t="shared" si="282"/>
        <v>0.58999999999999975</v>
      </c>
      <c r="HH46" s="54">
        <f t="shared" si="282"/>
        <v>0.56999999999999973</v>
      </c>
    </row>
    <row r="47" spans="1:216" x14ac:dyDescent="0.3">
      <c r="A47" s="2">
        <v>14</v>
      </c>
      <c r="C47" s="38" t="s">
        <v>25</v>
      </c>
      <c r="D47" s="42">
        <v>29120</v>
      </c>
      <c r="E47" s="72">
        <f t="shared" si="152"/>
        <v>96260</v>
      </c>
      <c r="H47" s="54">
        <f t="shared" si="61"/>
        <v>105886.00000000001</v>
      </c>
      <c r="I47" s="54">
        <f t="shared" si="62"/>
        <v>105886.00000000001</v>
      </c>
      <c r="J47" s="58">
        <f t="shared" si="63"/>
        <v>350037.93880000006</v>
      </c>
      <c r="K47" s="54">
        <f t="shared" si="153"/>
        <v>102709.42000000001</v>
      </c>
      <c r="L47" s="58">
        <f t="shared" si="154"/>
        <v>339536.80063600006</v>
      </c>
      <c r="M47" s="54">
        <f t="shared" si="155"/>
        <v>100591.70000000001</v>
      </c>
      <c r="N47" s="58">
        <f t="shared" si="156"/>
        <v>332536.04186000006</v>
      </c>
      <c r="O47" s="54">
        <f t="shared" si="157"/>
        <v>98473.980000000025</v>
      </c>
      <c r="P47" s="58">
        <f t="shared" si="158"/>
        <v>325535.28308400011</v>
      </c>
      <c r="Q47" s="56">
        <f t="shared" si="159"/>
        <v>96356.260000000009</v>
      </c>
      <c r="R47" s="58">
        <f t="shared" si="160"/>
        <v>318534.52430800005</v>
      </c>
      <c r="S47" s="54">
        <f t="shared" si="161"/>
        <v>94238.540000000008</v>
      </c>
      <c r="T47" s="58">
        <f t="shared" si="162"/>
        <v>311533.76553200005</v>
      </c>
      <c r="U47" s="56">
        <f t="shared" si="163"/>
        <v>92120.82</v>
      </c>
      <c r="V47" s="58">
        <f t="shared" si="164"/>
        <v>304533.00675600005</v>
      </c>
      <c r="W47" s="59">
        <f t="shared" si="165"/>
        <v>90003.1</v>
      </c>
      <c r="X47" s="58">
        <f t="shared" si="166"/>
        <v>297532.24798000004</v>
      </c>
      <c r="Y47" s="56">
        <f t="shared" si="167"/>
        <v>87885.38</v>
      </c>
      <c r="Z47" s="58">
        <f t="shared" si="168"/>
        <v>290531.48920400004</v>
      </c>
      <c r="AA47" s="54">
        <f t="shared" si="169"/>
        <v>85767.66</v>
      </c>
      <c r="AB47" s="58">
        <f t="shared" si="170"/>
        <v>283530.73042800004</v>
      </c>
      <c r="AC47" s="59">
        <f t="shared" si="171"/>
        <v>83649.94</v>
      </c>
      <c r="AD47" s="58">
        <f t="shared" si="172"/>
        <v>276529.97165200004</v>
      </c>
      <c r="AE47" s="59">
        <f t="shared" si="173"/>
        <v>81532.22</v>
      </c>
      <c r="AF47" s="58">
        <f t="shared" si="174"/>
        <v>269529.21287600003</v>
      </c>
      <c r="AG47" s="59">
        <f t="shared" si="175"/>
        <v>79414.5</v>
      </c>
      <c r="AH47" s="58">
        <f t="shared" si="176"/>
        <v>262528.45410000003</v>
      </c>
      <c r="AI47" s="54">
        <f t="shared" si="177"/>
        <v>77296.78</v>
      </c>
      <c r="AJ47" s="58">
        <f t="shared" si="178"/>
        <v>255527.695324</v>
      </c>
      <c r="AK47" s="59">
        <f t="shared" si="179"/>
        <v>75179.06</v>
      </c>
      <c r="AL47" s="58">
        <f t="shared" si="180"/>
        <v>248526.936548</v>
      </c>
      <c r="AM47" s="59">
        <f t="shared" si="181"/>
        <v>73061.34</v>
      </c>
      <c r="AN47" s="58">
        <f t="shared" si="182"/>
        <v>241526.177772</v>
      </c>
      <c r="AO47" s="59">
        <f t="shared" si="183"/>
        <v>70943.62</v>
      </c>
      <c r="AP47" s="58">
        <f t="shared" si="184"/>
        <v>234525.41899599999</v>
      </c>
      <c r="AQ47" s="59">
        <f t="shared" si="185"/>
        <v>68825.899999999994</v>
      </c>
      <c r="AR47" s="58">
        <f t="shared" si="186"/>
        <v>227524.66021999999</v>
      </c>
      <c r="AS47" s="54">
        <f t="shared" si="187"/>
        <v>66708.179999999993</v>
      </c>
      <c r="AT47" s="58">
        <f t="shared" si="188"/>
        <v>220523.90144399999</v>
      </c>
      <c r="AU47" s="59">
        <f t="shared" si="189"/>
        <v>64590.459999999985</v>
      </c>
      <c r="AV47" s="58">
        <f t="shared" si="190"/>
        <v>213523.14266799996</v>
      </c>
      <c r="AW47" s="59">
        <f t="shared" si="191"/>
        <v>62472.739999999983</v>
      </c>
      <c r="AX47" s="58">
        <f t="shared" si="192"/>
        <v>206522.38389199995</v>
      </c>
      <c r="AY47" s="54">
        <f t="shared" si="193"/>
        <v>60355.019999999982</v>
      </c>
      <c r="AZ47" s="58">
        <f t="shared" si="194"/>
        <v>199521.62511599995</v>
      </c>
      <c r="BC47" s="54">
        <v>1</v>
      </c>
      <c r="BD47" s="54">
        <v>0.97</v>
      </c>
      <c r="BE47" s="54">
        <v>0.95</v>
      </c>
      <c r="BF47" s="54">
        <v>0.93</v>
      </c>
      <c r="BG47" s="54">
        <f t="shared" si="284"/>
        <v>0.91</v>
      </c>
      <c r="BH47" s="54">
        <f t="shared" si="284"/>
        <v>0.89</v>
      </c>
      <c r="BI47" s="54">
        <f t="shared" si="284"/>
        <v>0.87</v>
      </c>
      <c r="BJ47" s="54">
        <f t="shared" si="284"/>
        <v>0.85</v>
      </c>
      <c r="BK47" s="54">
        <f t="shared" si="284"/>
        <v>0.83</v>
      </c>
      <c r="BL47" s="54">
        <f t="shared" si="284"/>
        <v>0.80999999999999994</v>
      </c>
      <c r="BM47" s="54">
        <f t="shared" si="284"/>
        <v>0.78999999999999992</v>
      </c>
      <c r="BN47" s="54">
        <f t="shared" si="284"/>
        <v>0.76999999999999991</v>
      </c>
      <c r="BO47" s="54">
        <f t="shared" si="284"/>
        <v>0.74999999999999989</v>
      </c>
      <c r="BP47" s="54">
        <f t="shared" si="284"/>
        <v>0.72999999999999987</v>
      </c>
      <c r="BQ47" s="54">
        <f t="shared" si="284"/>
        <v>0.70999999999999985</v>
      </c>
      <c r="BR47" s="54">
        <f t="shared" si="284"/>
        <v>0.68999999999999984</v>
      </c>
      <c r="BS47" s="54">
        <f t="shared" si="284"/>
        <v>0.66999999999999982</v>
      </c>
      <c r="BT47" s="54">
        <f t="shared" si="284"/>
        <v>0.6499999999999998</v>
      </c>
      <c r="BU47" s="54">
        <f t="shared" si="284"/>
        <v>0.62999999999999978</v>
      </c>
      <c r="BV47" s="54">
        <f t="shared" si="284"/>
        <v>0.60999999999999976</v>
      </c>
      <c r="BW47" s="54">
        <f t="shared" si="284"/>
        <v>0.58999999999999975</v>
      </c>
      <c r="BX47" s="54">
        <f t="shared" si="284"/>
        <v>0.56999999999999973</v>
      </c>
      <c r="BZ47" s="54">
        <f t="shared" si="88"/>
        <v>96356.260000000009</v>
      </c>
      <c r="CA47" s="54">
        <f t="shared" si="89"/>
        <v>96356.260000000009</v>
      </c>
      <c r="CB47" s="58">
        <f t="shared" si="195"/>
        <v>318534.52430800005</v>
      </c>
      <c r="CC47" s="54">
        <f t="shared" si="196"/>
        <v>93465.57220000001</v>
      </c>
      <c r="CD47" s="58">
        <f t="shared" si="197"/>
        <v>308978.48857876007</v>
      </c>
      <c r="CE47" s="54">
        <f t="shared" si="198"/>
        <v>91538.447</v>
      </c>
      <c r="CF47" s="58">
        <f t="shared" si="199"/>
        <v>302607.79809260002</v>
      </c>
      <c r="CG47" s="54">
        <f t="shared" si="200"/>
        <v>89611.32180000002</v>
      </c>
      <c r="CH47" s="58">
        <f t="shared" si="201"/>
        <v>296237.10760644008</v>
      </c>
      <c r="CI47" s="56">
        <f t="shared" si="202"/>
        <v>87684.19660000001</v>
      </c>
      <c r="CJ47" s="58">
        <f t="shared" si="203"/>
        <v>289866.41712028004</v>
      </c>
      <c r="CK47" s="54">
        <f t="shared" si="204"/>
        <v>85757.071400000015</v>
      </c>
      <c r="CL47" s="58">
        <f t="shared" si="205"/>
        <v>283495.72663412004</v>
      </c>
      <c r="CM47" s="56">
        <f t="shared" si="206"/>
        <v>83829.946200000006</v>
      </c>
      <c r="CN47" s="58">
        <f t="shared" si="207"/>
        <v>277125.03614796</v>
      </c>
      <c r="CO47" s="59">
        <f t="shared" si="208"/>
        <v>81902.821000000011</v>
      </c>
      <c r="CP47" s="58">
        <f t="shared" si="209"/>
        <v>270754.34566180006</v>
      </c>
      <c r="CQ47" s="56">
        <f t="shared" si="210"/>
        <v>79975.695800000001</v>
      </c>
      <c r="CR47" s="58">
        <f t="shared" si="211"/>
        <v>264383.65517564001</v>
      </c>
      <c r="CS47" s="54">
        <f t="shared" si="212"/>
        <v>78048.570600000006</v>
      </c>
      <c r="CT47" s="58">
        <f t="shared" si="213"/>
        <v>258012.96468948002</v>
      </c>
      <c r="CU47" s="59">
        <f t="shared" si="214"/>
        <v>76121.445399999997</v>
      </c>
      <c r="CV47" s="58">
        <f t="shared" si="215"/>
        <v>251642.27420332</v>
      </c>
      <c r="CW47" s="59">
        <f t="shared" si="216"/>
        <v>74194.320200000002</v>
      </c>
      <c r="CX47" s="58">
        <f t="shared" si="217"/>
        <v>245271.58371716001</v>
      </c>
      <c r="CY47" s="59">
        <f t="shared" si="218"/>
        <v>72267.194999999992</v>
      </c>
      <c r="CZ47" s="58">
        <f t="shared" si="219"/>
        <v>238900.89323099999</v>
      </c>
      <c r="DA47" s="54">
        <f t="shared" si="220"/>
        <v>70340.069799999997</v>
      </c>
      <c r="DB47" s="58">
        <f t="shared" si="221"/>
        <v>232530.20274484</v>
      </c>
      <c r="DC47" s="59">
        <f t="shared" si="222"/>
        <v>68412.944599999988</v>
      </c>
      <c r="DD47" s="58">
        <f t="shared" si="223"/>
        <v>226159.51225867996</v>
      </c>
      <c r="DE47" s="59">
        <f t="shared" si="224"/>
        <v>66485.819399999993</v>
      </c>
      <c r="DF47" s="58">
        <f t="shared" si="225"/>
        <v>219788.82177251999</v>
      </c>
      <c r="DG47" s="59">
        <f t="shared" si="226"/>
        <v>64558.694199999991</v>
      </c>
      <c r="DH47" s="58">
        <f t="shared" si="227"/>
        <v>213418.13128635997</v>
      </c>
      <c r="DI47" s="59">
        <f t="shared" si="228"/>
        <v>62631.568999999989</v>
      </c>
      <c r="DJ47" s="58">
        <f t="shared" si="229"/>
        <v>207047.44080019995</v>
      </c>
      <c r="DK47" s="54">
        <f t="shared" si="230"/>
        <v>60704.443799999986</v>
      </c>
      <c r="DL47" s="58">
        <f t="shared" si="231"/>
        <v>200676.75031403996</v>
      </c>
      <c r="DM47" s="59">
        <f t="shared" si="232"/>
        <v>58777.318599999984</v>
      </c>
      <c r="DN47" s="58">
        <f t="shared" si="233"/>
        <v>194306.05982787994</v>
      </c>
      <c r="DO47" s="59">
        <f t="shared" si="234"/>
        <v>56850.193399999982</v>
      </c>
      <c r="DP47" s="58">
        <f t="shared" si="235"/>
        <v>187935.36934171995</v>
      </c>
      <c r="DQ47" s="54">
        <f t="shared" si="236"/>
        <v>54923.06819999998</v>
      </c>
      <c r="DR47" s="58">
        <f t="shared" si="237"/>
        <v>181564.67885555993</v>
      </c>
      <c r="DU47" s="54">
        <v>1</v>
      </c>
      <c r="DV47" s="54">
        <v>0.97</v>
      </c>
      <c r="DW47" s="54">
        <v>0.95</v>
      </c>
      <c r="DX47" s="54">
        <v>0.93</v>
      </c>
      <c r="DY47" s="54">
        <f t="shared" si="238"/>
        <v>0.91</v>
      </c>
      <c r="DZ47" s="54">
        <f t="shared" si="238"/>
        <v>0.89</v>
      </c>
      <c r="EA47" s="54">
        <f t="shared" si="238"/>
        <v>0.87</v>
      </c>
      <c r="EB47" s="54">
        <f t="shared" si="238"/>
        <v>0.85</v>
      </c>
      <c r="EC47" s="54">
        <f t="shared" si="238"/>
        <v>0.83</v>
      </c>
      <c r="ED47" s="54">
        <f t="shared" si="238"/>
        <v>0.80999999999999994</v>
      </c>
      <c r="EE47" s="54">
        <f t="shared" si="238"/>
        <v>0.78999999999999992</v>
      </c>
      <c r="EF47" s="54">
        <f t="shared" si="238"/>
        <v>0.76999999999999991</v>
      </c>
      <c r="EG47" s="54">
        <f t="shared" si="238"/>
        <v>0.74999999999999989</v>
      </c>
      <c r="EH47" s="54">
        <f t="shared" si="238"/>
        <v>0.72999999999999987</v>
      </c>
      <c r="EI47" s="54">
        <f t="shared" si="238"/>
        <v>0.70999999999999985</v>
      </c>
      <c r="EJ47" s="54">
        <f t="shared" si="238"/>
        <v>0.68999999999999984</v>
      </c>
      <c r="EK47" s="54">
        <f t="shared" si="238"/>
        <v>0.66999999999999982</v>
      </c>
      <c r="EL47" s="54">
        <f t="shared" si="238"/>
        <v>0.6499999999999998</v>
      </c>
      <c r="EM47" s="54">
        <f t="shared" si="238"/>
        <v>0.62999999999999978</v>
      </c>
      <c r="EN47" s="54">
        <f t="shared" si="238"/>
        <v>0.60999999999999976</v>
      </c>
      <c r="EO47" s="54">
        <f t="shared" si="238"/>
        <v>0.58999999999999975</v>
      </c>
      <c r="EP47" s="54">
        <f t="shared" si="238"/>
        <v>0.56999999999999973</v>
      </c>
      <c r="ER47" s="54">
        <f t="shared" si="142"/>
        <v>87684.19660000001</v>
      </c>
      <c r="ES47" s="54">
        <f t="shared" si="116"/>
        <v>87684.19660000001</v>
      </c>
      <c r="ET47" s="58">
        <f t="shared" si="239"/>
        <v>289866.41712028004</v>
      </c>
      <c r="EU47" s="54">
        <f t="shared" si="240"/>
        <v>85053.670702000003</v>
      </c>
      <c r="EV47" s="58">
        <f t="shared" si="241"/>
        <v>281170.42460667162</v>
      </c>
      <c r="EW47" s="54">
        <f t="shared" si="242"/>
        <v>83299.986770000003</v>
      </c>
      <c r="EX47" s="58">
        <f t="shared" si="243"/>
        <v>275373.096264266</v>
      </c>
      <c r="EY47" s="54">
        <f t="shared" si="244"/>
        <v>81546.302838000018</v>
      </c>
      <c r="EZ47" s="58">
        <f t="shared" si="245"/>
        <v>269575.76792186045</v>
      </c>
      <c r="FA47" s="56">
        <f t="shared" si="246"/>
        <v>79792.618906000018</v>
      </c>
      <c r="FB47" s="58">
        <f t="shared" si="247"/>
        <v>263778.43957945489</v>
      </c>
      <c r="FC47" s="54">
        <f t="shared" si="248"/>
        <v>78038.934974000003</v>
      </c>
      <c r="FD47" s="58">
        <f t="shared" si="249"/>
        <v>257981.11123704922</v>
      </c>
      <c r="FE47" s="56">
        <f t="shared" si="250"/>
        <v>76285.251042000004</v>
      </c>
      <c r="FF47" s="58">
        <f t="shared" si="251"/>
        <v>252183.78289464361</v>
      </c>
      <c r="FG47" s="59">
        <f t="shared" si="252"/>
        <v>74531.567110000004</v>
      </c>
      <c r="FH47" s="58">
        <f t="shared" si="253"/>
        <v>246386.45455223802</v>
      </c>
      <c r="FI47" s="56">
        <f t="shared" si="254"/>
        <v>72777.883178000004</v>
      </c>
      <c r="FJ47" s="58">
        <f t="shared" si="255"/>
        <v>240589.12620983241</v>
      </c>
      <c r="FK47" s="54">
        <f t="shared" si="256"/>
        <v>71024.199246000004</v>
      </c>
      <c r="FL47" s="58">
        <f t="shared" si="257"/>
        <v>234791.79786742682</v>
      </c>
      <c r="FM47" s="59">
        <f t="shared" si="258"/>
        <v>69270.515314000004</v>
      </c>
      <c r="FN47" s="58">
        <f t="shared" si="259"/>
        <v>228994.46952502121</v>
      </c>
      <c r="FO47" s="59">
        <f t="shared" si="260"/>
        <v>67516.831382000004</v>
      </c>
      <c r="FP47" s="58">
        <f t="shared" si="261"/>
        <v>223197.14118261563</v>
      </c>
      <c r="FQ47" s="59">
        <f t="shared" si="262"/>
        <v>65763.147450000004</v>
      </c>
      <c r="FR47" s="58">
        <f t="shared" si="263"/>
        <v>217399.81284021001</v>
      </c>
      <c r="FS47" s="54">
        <f t="shared" si="264"/>
        <v>64009.463517999997</v>
      </c>
      <c r="FT47" s="58">
        <f t="shared" si="265"/>
        <v>211602.4844978044</v>
      </c>
      <c r="FU47" s="59">
        <f t="shared" si="266"/>
        <v>62255.779585999997</v>
      </c>
      <c r="FV47" s="58">
        <f t="shared" si="267"/>
        <v>205805.15615539878</v>
      </c>
      <c r="FW47" s="59">
        <f t="shared" si="268"/>
        <v>60502.09565399999</v>
      </c>
      <c r="FX47" s="58">
        <f t="shared" si="269"/>
        <v>200007.82781299317</v>
      </c>
      <c r="FY47" s="59">
        <f t="shared" si="270"/>
        <v>58748.41172199999</v>
      </c>
      <c r="FZ47" s="58">
        <f t="shared" si="271"/>
        <v>194210.49947058756</v>
      </c>
      <c r="GA47" s="59">
        <f t="shared" si="272"/>
        <v>56994.72778999999</v>
      </c>
      <c r="GB47" s="58">
        <f t="shared" si="273"/>
        <v>188413.17112818197</v>
      </c>
      <c r="GC47" s="54">
        <f t="shared" si="274"/>
        <v>55241.04385799999</v>
      </c>
      <c r="GD47" s="58">
        <f t="shared" si="275"/>
        <v>182615.84278577636</v>
      </c>
      <c r="GE47" s="59">
        <f t="shared" si="276"/>
        <v>53487.359925999983</v>
      </c>
      <c r="GF47" s="58">
        <f t="shared" si="277"/>
        <v>176818.51444337075</v>
      </c>
      <c r="GG47" s="59">
        <f t="shared" si="278"/>
        <v>51733.675993999983</v>
      </c>
      <c r="GH47" s="58">
        <f t="shared" si="279"/>
        <v>171021.18610096513</v>
      </c>
      <c r="GI47" s="54">
        <f t="shared" si="280"/>
        <v>49979.992061999983</v>
      </c>
      <c r="GJ47" s="58">
        <f t="shared" si="281"/>
        <v>165223.85775855955</v>
      </c>
      <c r="GK47" s="54"/>
      <c r="GL47" s="54"/>
      <c r="GM47" s="54">
        <v>1</v>
      </c>
      <c r="GN47" s="54">
        <v>0.97</v>
      </c>
      <c r="GO47" s="54">
        <v>0.95</v>
      </c>
      <c r="GP47" s="54">
        <v>0.93</v>
      </c>
      <c r="GQ47" s="54">
        <f t="shared" si="282"/>
        <v>0.91</v>
      </c>
      <c r="GR47" s="54">
        <f t="shared" si="282"/>
        <v>0.89</v>
      </c>
      <c r="GS47" s="54">
        <f t="shared" si="282"/>
        <v>0.87</v>
      </c>
      <c r="GT47" s="54">
        <f t="shared" si="282"/>
        <v>0.85</v>
      </c>
      <c r="GU47" s="54">
        <f t="shared" si="282"/>
        <v>0.83</v>
      </c>
      <c r="GV47" s="54">
        <f t="shared" si="282"/>
        <v>0.80999999999999994</v>
      </c>
      <c r="GW47" s="54">
        <f t="shared" si="282"/>
        <v>0.78999999999999992</v>
      </c>
      <c r="GX47" s="54">
        <f t="shared" si="282"/>
        <v>0.76999999999999991</v>
      </c>
      <c r="GY47" s="54">
        <f t="shared" si="282"/>
        <v>0.74999999999999989</v>
      </c>
      <c r="GZ47" s="54">
        <f t="shared" si="282"/>
        <v>0.72999999999999987</v>
      </c>
      <c r="HA47" s="54">
        <f t="shared" si="282"/>
        <v>0.70999999999999985</v>
      </c>
      <c r="HB47" s="54">
        <f t="shared" si="282"/>
        <v>0.68999999999999984</v>
      </c>
      <c r="HC47" s="54">
        <f t="shared" si="282"/>
        <v>0.66999999999999982</v>
      </c>
      <c r="HD47" s="54">
        <f t="shared" si="282"/>
        <v>0.6499999999999998</v>
      </c>
      <c r="HE47" s="54">
        <f t="shared" si="282"/>
        <v>0.62999999999999978</v>
      </c>
      <c r="HF47" s="54">
        <f t="shared" si="282"/>
        <v>0.60999999999999976</v>
      </c>
      <c r="HG47" s="54">
        <f t="shared" si="282"/>
        <v>0.58999999999999975</v>
      </c>
      <c r="HH47" s="54">
        <f t="shared" si="282"/>
        <v>0.56999999999999973</v>
      </c>
    </row>
    <row r="48" spans="1:216" x14ac:dyDescent="0.3">
      <c r="A48" s="2">
        <v>15</v>
      </c>
      <c r="C48" s="38" t="s">
        <v>148</v>
      </c>
      <c r="D48" s="42">
        <v>0</v>
      </c>
      <c r="E48" s="72">
        <f t="shared" si="152"/>
        <v>0</v>
      </c>
      <c r="H48" s="54">
        <f t="shared" si="61"/>
        <v>0</v>
      </c>
      <c r="I48" s="54">
        <f t="shared" si="62"/>
        <v>0</v>
      </c>
      <c r="J48" s="58">
        <f t="shared" si="63"/>
        <v>0</v>
      </c>
      <c r="K48" s="54">
        <f t="shared" si="153"/>
        <v>0</v>
      </c>
      <c r="L48" s="58">
        <f t="shared" si="154"/>
        <v>0</v>
      </c>
      <c r="M48" s="54">
        <f t="shared" si="155"/>
        <v>0</v>
      </c>
      <c r="N48" s="58">
        <f t="shared" si="156"/>
        <v>0</v>
      </c>
      <c r="O48" s="54">
        <f t="shared" si="157"/>
        <v>0</v>
      </c>
      <c r="P48" s="58">
        <f t="shared" si="158"/>
        <v>0</v>
      </c>
      <c r="Q48" s="56">
        <f t="shared" si="159"/>
        <v>0</v>
      </c>
      <c r="R48" s="58">
        <f t="shared" si="160"/>
        <v>0</v>
      </c>
      <c r="S48" s="54">
        <f t="shared" si="161"/>
        <v>0</v>
      </c>
      <c r="T48" s="58">
        <f t="shared" si="162"/>
        <v>0</v>
      </c>
      <c r="U48" s="56">
        <f t="shared" si="163"/>
        <v>0</v>
      </c>
      <c r="V48" s="58">
        <f t="shared" si="164"/>
        <v>0</v>
      </c>
      <c r="W48" s="59">
        <f t="shared" si="165"/>
        <v>0</v>
      </c>
      <c r="X48" s="58">
        <f t="shared" si="166"/>
        <v>0</v>
      </c>
      <c r="Y48" s="56">
        <f t="shared" si="167"/>
        <v>0</v>
      </c>
      <c r="Z48" s="58">
        <f t="shared" si="168"/>
        <v>0</v>
      </c>
      <c r="AA48" s="54">
        <f t="shared" si="169"/>
        <v>0</v>
      </c>
      <c r="AB48" s="58">
        <f t="shared" si="170"/>
        <v>0</v>
      </c>
      <c r="AC48" s="59">
        <f t="shared" si="171"/>
        <v>0</v>
      </c>
      <c r="AD48" s="58">
        <f t="shared" si="172"/>
        <v>0</v>
      </c>
      <c r="AE48" s="59">
        <f t="shared" si="173"/>
        <v>0</v>
      </c>
      <c r="AF48" s="58">
        <f t="shared" si="174"/>
        <v>0</v>
      </c>
      <c r="AG48" s="59">
        <f t="shared" si="175"/>
        <v>0</v>
      </c>
      <c r="AH48" s="58">
        <f t="shared" si="176"/>
        <v>0</v>
      </c>
      <c r="AI48" s="54">
        <f t="shared" si="177"/>
        <v>0</v>
      </c>
      <c r="AJ48" s="58">
        <f t="shared" si="178"/>
        <v>0</v>
      </c>
      <c r="AK48" s="59">
        <f t="shared" si="179"/>
        <v>0</v>
      </c>
      <c r="AL48" s="58">
        <f t="shared" si="180"/>
        <v>0</v>
      </c>
      <c r="AM48" s="59">
        <f t="shared" si="181"/>
        <v>0</v>
      </c>
      <c r="AN48" s="58">
        <f t="shared" si="182"/>
        <v>0</v>
      </c>
      <c r="AO48" s="59">
        <f t="shared" si="183"/>
        <v>0</v>
      </c>
      <c r="AP48" s="58">
        <f t="shared" si="184"/>
        <v>0</v>
      </c>
      <c r="AQ48" s="59">
        <f t="shared" si="185"/>
        <v>0</v>
      </c>
      <c r="AR48" s="58">
        <f t="shared" si="186"/>
        <v>0</v>
      </c>
      <c r="AS48" s="54">
        <f t="shared" si="187"/>
        <v>0</v>
      </c>
      <c r="AT48" s="58">
        <f t="shared" si="188"/>
        <v>0</v>
      </c>
      <c r="AU48" s="59">
        <f t="shared" si="189"/>
        <v>0</v>
      </c>
      <c r="AV48" s="58">
        <f t="shared" si="190"/>
        <v>0</v>
      </c>
      <c r="AW48" s="59">
        <f t="shared" si="191"/>
        <v>0</v>
      </c>
      <c r="AX48" s="58">
        <f t="shared" si="192"/>
        <v>0</v>
      </c>
      <c r="AY48" s="54">
        <f t="shared" si="193"/>
        <v>0</v>
      </c>
      <c r="AZ48" s="58">
        <f t="shared" si="194"/>
        <v>0</v>
      </c>
      <c r="BC48" s="54">
        <v>1</v>
      </c>
      <c r="BD48" s="54">
        <v>0.97</v>
      </c>
      <c r="BE48" s="54">
        <v>0.95</v>
      </c>
      <c r="BF48" s="54">
        <v>0.93</v>
      </c>
      <c r="BG48" s="54">
        <f t="shared" si="284"/>
        <v>0.91</v>
      </c>
      <c r="BH48" s="54">
        <f t="shared" si="284"/>
        <v>0.89</v>
      </c>
      <c r="BI48" s="54">
        <f t="shared" si="284"/>
        <v>0.87</v>
      </c>
      <c r="BJ48" s="54">
        <f t="shared" si="284"/>
        <v>0.85</v>
      </c>
      <c r="BK48" s="54">
        <f t="shared" si="284"/>
        <v>0.83</v>
      </c>
      <c r="BL48" s="54">
        <f t="shared" si="284"/>
        <v>0.80999999999999994</v>
      </c>
      <c r="BM48" s="54">
        <f t="shared" si="284"/>
        <v>0.78999999999999992</v>
      </c>
      <c r="BN48" s="54">
        <f t="shared" si="284"/>
        <v>0.76999999999999991</v>
      </c>
      <c r="BO48" s="54">
        <f t="shared" si="284"/>
        <v>0.74999999999999989</v>
      </c>
      <c r="BP48" s="54">
        <f t="shared" si="284"/>
        <v>0.72999999999999987</v>
      </c>
      <c r="BQ48" s="54">
        <f t="shared" si="284"/>
        <v>0.70999999999999985</v>
      </c>
      <c r="BR48" s="54">
        <f t="shared" si="284"/>
        <v>0.68999999999999984</v>
      </c>
      <c r="BS48" s="54">
        <f t="shared" si="284"/>
        <v>0.66999999999999982</v>
      </c>
      <c r="BT48" s="54">
        <f t="shared" si="284"/>
        <v>0.6499999999999998</v>
      </c>
      <c r="BU48" s="54">
        <f t="shared" si="284"/>
        <v>0.62999999999999978</v>
      </c>
      <c r="BV48" s="54">
        <f t="shared" si="284"/>
        <v>0.60999999999999976</v>
      </c>
      <c r="BW48" s="54">
        <f t="shared" si="284"/>
        <v>0.58999999999999975</v>
      </c>
      <c r="BX48" s="54">
        <f t="shared" si="284"/>
        <v>0.56999999999999973</v>
      </c>
      <c r="BZ48" s="54">
        <f t="shared" si="88"/>
        <v>0</v>
      </c>
      <c r="CA48" s="54">
        <f t="shared" si="89"/>
        <v>0</v>
      </c>
      <c r="CB48" s="58">
        <f t="shared" si="195"/>
        <v>0</v>
      </c>
      <c r="CC48" s="54">
        <f t="shared" si="196"/>
        <v>0</v>
      </c>
      <c r="CD48" s="58">
        <f t="shared" si="197"/>
        <v>0</v>
      </c>
      <c r="CE48" s="54">
        <f t="shared" si="198"/>
        <v>0</v>
      </c>
      <c r="CF48" s="58">
        <f t="shared" si="199"/>
        <v>0</v>
      </c>
      <c r="CG48" s="54">
        <f t="shared" si="200"/>
        <v>0</v>
      </c>
      <c r="CH48" s="58">
        <f t="shared" si="201"/>
        <v>0</v>
      </c>
      <c r="CI48" s="56">
        <f t="shared" si="202"/>
        <v>0</v>
      </c>
      <c r="CJ48" s="58">
        <f t="shared" si="203"/>
        <v>0</v>
      </c>
      <c r="CK48" s="54">
        <f t="shared" si="204"/>
        <v>0</v>
      </c>
      <c r="CL48" s="58">
        <f t="shared" si="205"/>
        <v>0</v>
      </c>
      <c r="CM48" s="56">
        <f t="shared" si="206"/>
        <v>0</v>
      </c>
      <c r="CN48" s="58">
        <f t="shared" si="207"/>
        <v>0</v>
      </c>
      <c r="CO48" s="59">
        <f t="shared" si="208"/>
        <v>0</v>
      </c>
      <c r="CP48" s="58">
        <f t="shared" si="209"/>
        <v>0</v>
      </c>
      <c r="CQ48" s="56">
        <f t="shared" si="210"/>
        <v>0</v>
      </c>
      <c r="CR48" s="58">
        <f t="shared" si="211"/>
        <v>0</v>
      </c>
      <c r="CS48" s="54">
        <f t="shared" si="212"/>
        <v>0</v>
      </c>
      <c r="CT48" s="58">
        <f t="shared" si="213"/>
        <v>0</v>
      </c>
      <c r="CU48" s="59">
        <f t="shared" si="214"/>
        <v>0</v>
      </c>
      <c r="CV48" s="58">
        <f t="shared" si="215"/>
        <v>0</v>
      </c>
      <c r="CW48" s="59">
        <f t="shared" si="216"/>
        <v>0</v>
      </c>
      <c r="CX48" s="58">
        <f t="shared" si="217"/>
        <v>0</v>
      </c>
      <c r="CY48" s="59">
        <f t="shared" si="218"/>
        <v>0</v>
      </c>
      <c r="CZ48" s="58">
        <f t="shared" si="219"/>
        <v>0</v>
      </c>
      <c r="DA48" s="54">
        <f t="shared" si="220"/>
        <v>0</v>
      </c>
      <c r="DB48" s="58">
        <f t="shared" si="221"/>
        <v>0</v>
      </c>
      <c r="DC48" s="59">
        <f t="shared" si="222"/>
        <v>0</v>
      </c>
      <c r="DD48" s="58">
        <f t="shared" si="223"/>
        <v>0</v>
      </c>
      <c r="DE48" s="59">
        <f t="shared" si="224"/>
        <v>0</v>
      </c>
      <c r="DF48" s="58">
        <f t="shared" si="225"/>
        <v>0</v>
      </c>
      <c r="DG48" s="59">
        <f t="shared" si="226"/>
        <v>0</v>
      </c>
      <c r="DH48" s="58">
        <f t="shared" si="227"/>
        <v>0</v>
      </c>
      <c r="DI48" s="59">
        <f t="shared" si="228"/>
        <v>0</v>
      </c>
      <c r="DJ48" s="58">
        <f t="shared" si="229"/>
        <v>0</v>
      </c>
      <c r="DK48" s="54">
        <f t="shared" si="230"/>
        <v>0</v>
      </c>
      <c r="DL48" s="58">
        <f t="shared" si="231"/>
        <v>0</v>
      </c>
      <c r="DM48" s="59">
        <f t="shared" si="232"/>
        <v>0</v>
      </c>
      <c r="DN48" s="58">
        <f t="shared" si="233"/>
        <v>0</v>
      </c>
      <c r="DO48" s="59">
        <f t="shared" si="234"/>
        <v>0</v>
      </c>
      <c r="DP48" s="58">
        <f t="shared" si="235"/>
        <v>0</v>
      </c>
      <c r="DQ48" s="54">
        <f t="shared" si="236"/>
        <v>0</v>
      </c>
      <c r="DR48" s="58">
        <f t="shared" si="237"/>
        <v>0</v>
      </c>
      <c r="DU48" s="54">
        <v>1</v>
      </c>
      <c r="DV48" s="54">
        <v>0.97</v>
      </c>
      <c r="DW48" s="54">
        <v>0.95</v>
      </c>
      <c r="DX48" s="54">
        <v>0.93</v>
      </c>
      <c r="DY48" s="54">
        <f t="shared" si="238"/>
        <v>0.91</v>
      </c>
      <c r="DZ48" s="54">
        <f t="shared" si="238"/>
        <v>0.89</v>
      </c>
      <c r="EA48" s="54">
        <f t="shared" si="238"/>
        <v>0.87</v>
      </c>
      <c r="EB48" s="54">
        <f t="shared" ref="EB48:EP48" si="285">+EA48-0.02</f>
        <v>0.85</v>
      </c>
      <c r="EC48" s="54">
        <f t="shared" si="285"/>
        <v>0.83</v>
      </c>
      <c r="ED48" s="54">
        <f t="shared" si="285"/>
        <v>0.80999999999999994</v>
      </c>
      <c r="EE48" s="54">
        <f t="shared" si="285"/>
        <v>0.78999999999999992</v>
      </c>
      <c r="EF48" s="54">
        <f t="shared" si="285"/>
        <v>0.76999999999999991</v>
      </c>
      <c r="EG48" s="54">
        <f t="shared" si="285"/>
        <v>0.74999999999999989</v>
      </c>
      <c r="EH48" s="54">
        <f t="shared" si="285"/>
        <v>0.72999999999999987</v>
      </c>
      <c r="EI48" s="54">
        <f t="shared" si="285"/>
        <v>0.70999999999999985</v>
      </c>
      <c r="EJ48" s="54">
        <f t="shared" si="285"/>
        <v>0.68999999999999984</v>
      </c>
      <c r="EK48" s="54">
        <f t="shared" si="285"/>
        <v>0.66999999999999982</v>
      </c>
      <c r="EL48" s="54">
        <f t="shared" si="285"/>
        <v>0.6499999999999998</v>
      </c>
      <c r="EM48" s="54">
        <f t="shared" si="285"/>
        <v>0.62999999999999978</v>
      </c>
      <c r="EN48" s="54">
        <f t="shared" si="285"/>
        <v>0.60999999999999976</v>
      </c>
      <c r="EO48" s="54">
        <f t="shared" si="285"/>
        <v>0.58999999999999975</v>
      </c>
      <c r="EP48" s="54">
        <f t="shared" si="285"/>
        <v>0.56999999999999973</v>
      </c>
      <c r="ER48" s="54">
        <f t="shared" si="142"/>
        <v>0</v>
      </c>
      <c r="ES48" s="54">
        <f t="shared" si="116"/>
        <v>0</v>
      </c>
      <c r="ET48" s="58">
        <f t="shared" si="239"/>
        <v>0</v>
      </c>
      <c r="EU48" s="54">
        <f t="shared" si="240"/>
        <v>0</v>
      </c>
      <c r="EV48" s="58">
        <f t="shared" si="241"/>
        <v>0</v>
      </c>
      <c r="EW48" s="54">
        <f t="shared" si="242"/>
        <v>0</v>
      </c>
      <c r="EX48" s="58">
        <f t="shared" si="243"/>
        <v>0</v>
      </c>
      <c r="EY48" s="54">
        <f t="shared" si="244"/>
        <v>0</v>
      </c>
      <c r="EZ48" s="58">
        <f t="shared" si="245"/>
        <v>0</v>
      </c>
      <c r="FA48" s="56">
        <f t="shared" si="246"/>
        <v>0</v>
      </c>
      <c r="FB48" s="58">
        <f t="shared" si="247"/>
        <v>0</v>
      </c>
      <c r="FC48" s="54">
        <f t="shared" si="248"/>
        <v>0</v>
      </c>
      <c r="FD48" s="58">
        <f t="shared" si="249"/>
        <v>0</v>
      </c>
      <c r="FE48" s="56">
        <f t="shared" si="250"/>
        <v>0</v>
      </c>
      <c r="FF48" s="58">
        <f t="shared" si="251"/>
        <v>0</v>
      </c>
      <c r="FG48" s="59">
        <f t="shared" si="252"/>
        <v>0</v>
      </c>
      <c r="FH48" s="58">
        <f t="shared" si="253"/>
        <v>0</v>
      </c>
      <c r="FI48" s="56">
        <f t="shared" si="254"/>
        <v>0</v>
      </c>
      <c r="FJ48" s="58">
        <f t="shared" si="255"/>
        <v>0</v>
      </c>
      <c r="FK48" s="54">
        <f t="shared" si="256"/>
        <v>0</v>
      </c>
      <c r="FL48" s="58">
        <f t="shared" si="257"/>
        <v>0</v>
      </c>
      <c r="FM48" s="59">
        <f t="shared" si="258"/>
        <v>0</v>
      </c>
      <c r="FN48" s="58">
        <f t="shared" si="259"/>
        <v>0</v>
      </c>
      <c r="FO48" s="59">
        <f t="shared" si="260"/>
        <v>0</v>
      </c>
      <c r="FP48" s="58">
        <f t="shared" si="261"/>
        <v>0</v>
      </c>
      <c r="FQ48" s="59">
        <f t="shared" si="262"/>
        <v>0</v>
      </c>
      <c r="FR48" s="58">
        <f t="shared" si="263"/>
        <v>0</v>
      </c>
      <c r="FS48" s="54">
        <f t="shared" si="264"/>
        <v>0</v>
      </c>
      <c r="FT48" s="58">
        <f t="shared" si="265"/>
        <v>0</v>
      </c>
      <c r="FU48" s="59">
        <f t="shared" si="266"/>
        <v>0</v>
      </c>
      <c r="FV48" s="58">
        <f t="shared" si="267"/>
        <v>0</v>
      </c>
      <c r="FW48" s="59">
        <f t="shared" si="268"/>
        <v>0</v>
      </c>
      <c r="FX48" s="58">
        <f t="shared" si="269"/>
        <v>0</v>
      </c>
      <c r="FY48" s="59">
        <f t="shared" si="270"/>
        <v>0</v>
      </c>
      <c r="FZ48" s="58">
        <f t="shared" si="271"/>
        <v>0</v>
      </c>
      <c r="GA48" s="59">
        <f t="shared" si="272"/>
        <v>0</v>
      </c>
      <c r="GB48" s="58">
        <f t="shared" si="273"/>
        <v>0</v>
      </c>
      <c r="GC48" s="54">
        <f t="shared" si="274"/>
        <v>0</v>
      </c>
      <c r="GD48" s="58">
        <f t="shared" si="275"/>
        <v>0</v>
      </c>
      <c r="GE48" s="59">
        <f t="shared" si="276"/>
        <v>0</v>
      </c>
      <c r="GF48" s="58">
        <f t="shared" si="277"/>
        <v>0</v>
      </c>
      <c r="GG48" s="59">
        <f t="shared" si="278"/>
        <v>0</v>
      </c>
      <c r="GH48" s="58">
        <f t="shared" si="279"/>
        <v>0</v>
      </c>
      <c r="GI48" s="54">
        <f t="shared" si="280"/>
        <v>0</v>
      </c>
      <c r="GJ48" s="58">
        <f t="shared" si="281"/>
        <v>0</v>
      </c>
      <c r="GK48" s="54"/>
      <c r="GL48" s="54"/>
      <c r="GM48" s="54">
        <v>1</v>
      </c>
      <c r="GN48" s="54">
        <v>0.97</v>
      </c>
      <c r="GO48" s="54">
        <v>0.95</v>
      </c>
      <c r="GP48" s="54">
        <v>0.93</v>
      </c>
      <c r="GQ48" s="54">
        <f t="shared" si="282"/>
        <v>0.91</v>
      </c>
      <c r="GR48" s="54">
        <f t="shared" si="282"/>
        <v>0.89</v>
      </c>
      <c r="GS48" s="54">
        <f t="shared" si="282"/>
        <v>0.87</v>
      </c>
      <c r="GT48" s="54">
        <f t="shared" ref="GT48:HH48" si="286">+GS48-0.02</f>
        <v>0.85</v>
      </c>
      <c r="GU48" s="54">
        <f t="shared" si="286"/>
        <v>0.83</v>
      </c>
      <c r="GV48" s="54">
        <f t="shared" si="286"/>
        <v>0.80999999999999994</v>
      </c>
      <c r="GW48" s="54">
        <f t="shared" si="286"/>
        <v>0.78999999999999992</v>
      </c>
      <c r="GX48" s="54">
        <f t="shared" si="286"/>
        <v>0.76999999999999991</v>
      </c>
      <c r="GY48" s="54">
        <f t="shared" si="286"/>
        <v>0.74999999999999989</v>
      </c>
      <c r="GZ48" s="54">
        <f t="shared" si="286"/>
        <v>0.72999999999999987</v>
      </c>
      <c r="HA48" s="54">
        <f t="shared" si="286"/>
        <v>0.70999999999999985</v>
      </c>
      <c r="HB48" s="54">
        <f t="shared" si="286"/>
        <v>0.68999999999999984</v>
      </c>
      <c r="HC48" s="54">
        <f t="shared" si="286"/>
        <v>0.66999999999999982</v>
      </c>
      <c r="HD48" s="54">
        <f t="shared" si="286"/>
        <v>0.6499999999999998</v>
      </c>
      <c r="HE48" s="54">
        <f t="shared" si="286"/>
        <v>0.62999999999999978</v>
      </c>
      <c r="HF48" s="54">
        <f t="shared" si="286"/>
        <v>0.60999999999999976</v>
      </c>
      <c r="HG48" s="54">
        <f t="shared" si="286"/>
        <v>0.58999999999999975</v>
      </c>
      <c r="HH48" s="54">
        <f t="shared" si="286"/>
        <v>0.56999999999999973</v>
      </c>
    </row>
    <row r="49" spans="1:216" x14ac:dyDescent="0.3">
      <c r="A49" s="2">
        <v>16</v>
      </c>
      <c r="C49" s="38" t="s">
        <v>145</v>
      </c>
      <c r="D49" s="42">
        <v>0</v>
      </c>
      <c r="E49" s="72">
        <f t="shared" si="152"/>
        <v>0</v>
      </c>
      <c r="H49" s="54">
        <f t="shared" si="61"/>
        <v>0</v>
      </c>
      <c r="I49" s="54">
        <f t="shared" si="62"/>
        <v>0</v>
      </c>
      <c r="J49" s="58">
        <f t="shared" si="63"/>
        <v>0</v>
      </c>
      <c r="K49" s="54">
        <f t="shared" si="153"/>
        <v>0</v>
      </c>
      <c r="L49" s="58">
        <f t="shared" si="154"/>
        <v>0</v>
      </c>
      <c r="M49" s="54">
        <f t="shared" si="155"/>
        <v>0</v>
      </c>
      <c r="N49" s="58">
        <f t="shared" si="156"/>
        <v>0</v>
      </c>
      <c r="O49" s="54">
        <f t="shared" si="157"/>
        <v>0</v>
      </c>
      <c r="P49" s="58">
        <f t="shared" si="158"/>
        <v>0</v>
      </c>
      <c r="Q49" s="56">
        <f t="shared" si="159"/>
        <v>0</v>
      </c>
      <c r="R49" s="58">
        <f t="shared" si="160"/>
        <v>0</v>
      </c>
      <c r="S49" s="54">
        <f t="shared" si="161"/>
        <v>0</v>
      </c>
      <c r="T49" s="58">
        <f t="shared" si="162"/>
        <v>0</v>
      </c>
      <c r="U49" s="56">
        <f t="shared" si="163"/>
        <v>0</v>
      </c>
      <c r="V49" s="58">
        <f t="shared" si="164"/>
        <v>0</v>
      </c>
      <c r="W49" s="59">
        <f t="shared" si="165"/>
        <v>0</v>
      </c>
      <c r="X49" s="58">
        <f t="shared" si="166"/>
        <v>0</v>
      </c>
      <c r="Y49" s="56">
        <f t="shared" si="167"/>
        <v>0</v>
      </c>
      <c r="Z49" s="58">
        <f t="shared" si="168"/>
        <v>0</v>
      </c>
      <c r="AA49" s="54">
        <f t="shared" si="169"/>
        <v>0</v>
      </c>
      <c r="AB49" s="58">
        <f t="shared" si="170"/>
        <v>0</v>
      </c>
      <c r="AC49" s="59">
        <f t="shared" si="171"/>
        <v>0</v>
      </c>
      <c r="AD49" s="58">
        <f t="shared" si="172"/>
        <v>0</v>
      </c>
      <c r="AE49" s="59">
        <f t="shared" si="173"/>
        <v>0</v>
      </c>
      <c r="AF49" s="58">
        <f t="shared" si="174"/>
        <v>0</v>
      </c>
      <c r="AG49" s="59">
        <f t="shared" si="175"/>
        <v>0</v>
      </c>
      <c r="AH49" s="58">
        <f t="shared" si="176"/>
        <v>0</v>
      </c>
      <c r="AI49" s="54">
        <f t="shared" si="177"/>
        <v>0</v>
      </c>
      <c r="AJ49" s="58">
        <f t="shared" si="178"/>
        <v>0</v>
      </c>
      <c r="AK49" s="59">
        <f t="shared" si="179"/>
        <v>0</v>
      </c>
      <c r="AL49" s="58">
        <f t="shared" si="180"/>
        <v>0</v>
      </c>
      <c r="AM49" s="59">
        <f t="shared" si="181"/>
        <v>0</v>
      </c>
      <c r="AN49" s="58">
        <f t="shared" si="182"/>
        <v>0</v>
      </c>
      <c r="AO49" s="59">
        <f t="shared" si="183"/>
        <v>0</v>
      </c>
      <c r="AP49" s="58">
        <f t="shared" si="184"/>
        <v>0</v>
      </c>
      <c r="AQ49" s="59">
        <f t="shared" si="185"/>
        <v>0</v>
      </c>
      <c r="AR49" s="58">
        <f t="shared" si="186"/>
        <v>0</v>
      </c>
      <c r="AS49" s="54">
        <f t="shared" si="187"/>
        <v>0</v>
      </c>
      <c r="AT49" s="58">
        <f t="shared" si="188"/>
        <v>0</v>
      </c>
      <c r="AU49" s="59">
        <f t="shared" si="189"/>
        <v>0</v>
      </c>
      <c r="AV49" s="58">
        <f t="shared" si="190"/>
        <v>0</v>
      </c>
      <c r="AW49" s="59">
        <f t="shared" si="191"/>
        <v>0</v>
      </c>
      <c r="AX49" s="58">
        <f t="shared" si="192"/>
        <v>0</v>
      </c>
      <c r="AY49" s="54">
        <f t="shared" si="193"/>
        <v>0</v>
      </c>
      <c r="AZ49" s="58">
        <f t="shared" si="194"/>
        <v>0</v>
      </c>
      <c r="BC49" s="54">
        <v>1</v>
      </c>
      <c r="BD49" s="54">
        <v>0.97</v>
      </c>
      <c r="BE49" s="54">
        <v>0.95</v>
      </c>
      <c r="BF49" s="54">
        <v>0.93</v>
      </c>
      <c r="BG49" s="54">
        <f t="shared" si="284"/>
        <v>0.91</v>
      </c>
      <c r="BH49" s="54">
        <f t="shared" si="284"/>
        <v>0.89</v>
      </c>
      <c r="BI49" s="54">
        <f t="shared" si="284"/>
        <v>0.87</v>
      </c>
      <c r="BJ49" s="54">
        <f t="shared" si="284"/>
        <v>0.85</v>
      </c>
      <c r="BK49" s="54">
        <f t="shared" si="284"/>
        <v>0.83</v>
      </c>
      <c r="BL49" s="54">
        <f t="shared" si="284"/>
        <v>0.80999999999999994</v>
      </c>
      <c r="BM49" s="54">
        <f t="shared" si="284"/>
        <v>0.78999999999999992</v>
      </c>
      <c r="BN49" s="54">
        <f t="shared" si="284"/>
        <v>0.76999999999999991</v>
      </c>
      <c r="BO49" s="54">
        <f t="shared" si="284"/>
        <v>0.74999999999999989</v>
      </c>
      <c r="BP49" s="54">
        <f t="shared" si="284"/>
        <v>0.72999999999999987</v>
      </c>
      <c r="BQ49" s="54">
        <f t="shared" si="284"/>
        <v>0.70999999999999985</v>
      </c>
      <c r="BR49" s="54">
        <f t="shared" si="284"/>
        <v>0.68999999999999984</v>
      </c>
      <c r="BS49" s="54">
        <f t="shared" si="284"/>
        <v>0.66999999999999982</v>
      </c>
      <c r="BT49" s="54">
        <f t="shared" si="284"/>
        <v>0.6499999999999998</v>
      </c>
      <c r="BU49" s="54">
        <f t="shared" si="284"/>
        <v>0.62999999999999978</v>
      </c>
      <c r="BV49" s="54">
        <f t="shared" si="284"/>
        <v>0.60999999999999976</v>
      </c>
      <c r="BW49" s="54">
        <f t="shared" si="284"/>
        <v>0.58999999999999975</v>
      </c>
      <c r="BX49" s="54">
        <f t="shared" si="284"/>
        <v>0.56999999999999973</v>
      </c>
      <c r="BZ49" s="54">
        <f t="shared" si="88"/>
        <v>0</v>
      </c>
      <c r="CA49" s="54">
        <f t="shared" si="89"/>
        <v>0</v>
      </c>
      <c r="CB49" s="58">
        <f t="shared" si="195"/>
        <v>0</v>
      </c>
      <c r="CC49" s="54">
        <f t="shared" si="196"/>
        <v>0</v>
      </c>
      <c r="CD49" s="58">
        <f t="shared" si="197"/>
        <v>0</v>
      </c>
      <c r="CE49" s="54">
        <f t="shared" si="198"/>
        <v>0</v>
      </c>
      <c r="CF49" s="58">
        <f t="shared" si="199"/>
        <v>0</v>
      </c>
      <c r="CG49" s="54">
        <f t="shared" si="200"/>
        <v>0</v>
      </c>
      <c r="CH49" s="58">
        <f t="shared" si="201"/>
        <v>0</v>
      </c>
      <c r="CI49" s="56">
        <f t="shared" si="202"/>
        <v>0</v>
      </c>
      <c r="CJ49" s="58">
        <f t="shared" si="203"/>
        <v>0</v>
      </c>
      <c r="CK49" s="54">
        <f t="shared" si="204"/>
        <v>0</v>
      </c>
      <c r="CL49" s="58">
        <f t="shared" si="205"/>
        <v>0</v>
      </c>
      <c r="CM49" s="56">
        <f t="shared" si="206"/>
        <v>0</v>
      </c>
      <c r="CN49" s="58">
        <f t="shared" si="207"/>
        <v>0</v>
      </c>
      <c r="CO49" s="59">
        <f t="shared" si="208"/>
        <v>0</v>
      </c>
      <c r="CP49" s="58">
        <f t="shared" si="209"/>
        <v>0</v>
      </c>
      <c r="CQ49" s="56">
        <f t="shared" si="210"/>
        <v>0</v>
      </c>
      <c r="CR49" s="58">
        <f t="shared" si="211"/>
        <v>0</v>
      </c>
      <c r="CS49" s="54">
        <f t="shared" si="212"/>
        <v>0</v>
      </c>
      <c r="CT49" s="58">
        <f t="shared" si="213"/>
        <v>0</v>
      </c>
      <c r="CU49" s="59">
        <f t="shared" si="214"/>
        <v>0</v>
      </c>
      <c r="CV49" s="58">
        <f t="shared" si="215"/>
        <v>0</v>
      </c>
      <c r="CW49" s="59">
        <f t="shared" si="216"/>
        <v>0</v>
      </c>
      <c r="CX49" s="58">
        <f t="shared" si="217"/>
        <v>0</v>
      </c>
      <c r="CY49" s="59">
        <f t="shared" si="218"/>
        <v>0</v>
      </c>
      <c r="CZ49" s="58">
        <f t="shared" si="219"/>
        <v>0</v>
      </c>
      <c r="DA49" s="54">
        <f t="shared" si="220"/>
        <v>0</v>
      </c>
      <c r="DB49" s="58">
        <f t="shared" si="221"/>
        <v>0</v>
      </c>
      <c r="DC49" s="59">
        <f t="shared" si="222"/>
        <v>0</v>
      </c>
      <c r="DD49" s="58">
        <f t="shared" si="223"/>
        <v>0</v>
      </c>
      <c r="DE49" s="59">
        <f t="shared" si="224"/>
        <v>0</v>
      </c>
      <c r="DF49" s="58">
        <f t="shared" si="225"/>
        <v>0</v>
      </c>
      <c r="DG49" s="59">
        <f t="shared" si="226"/>
        <v>0</v>
      </c>
      <c r="DH49" s="58">
        <f t="shared" si="227"/>
        <v>0</v>
      </c>
      <c r="DI49" s="59">
        <f t="shared" si="228"/>
        <v>0</v>
      </c>
      <c r="DJ49" s="58">
        <f t="shared" si="229"/>
        <v>0</v>
      </c>
      <c r="DK49" s="54">
        <f t="shared" si="230"/>
        <v>0</v>
      </c>
      <c r="DL49" s="58">
        <f t="shared" si="231"/>
        <v>0</v>
      </c>
      <c r="DM49" s="59">
        <f t="shared" si="232"/>
        <v>0</v>
      </c>
      <c r="DN49" s="58">
        <f t="shared" si="233"/>
        <v>0</v>
      </c>
      <c r="DO49" s="59">
        <f t="shared" si="234"/>
        <v>0</v>
      </c>
      <c r="DP49" s="58">
        <f t="shared" si="235"/>
        <v>0</v>
      </c>
      <c r="DQ49" s="54">
        <f t="shared" si="236"/>
        <v>0</v>
      </c>
      <c r="DR49" s="58">
        <f t="shared" si="237"/>
        <v>0</v>
      </c>
      <c r="DU49" s="54">
        <v>1</v>
      </c>
      <c r="DV49" s="54">
        <v>0.97</v>
      </c>
      <c r="DW49" s="54">
        <v>0.95</v>
      </c>
      <c r="DX49" s="54">
        <v>0.93</v>
      </c>
      <c r="DY49" s="54">
        <f t="shared" ref="DY49:EP63" si="287">+DX49-0.02</f>
        <v>0.91</v>
      </c>
      <c r="DZ49" s="54">
        <f t="shared" si="287"/>
        <v>0.89</v>
      </c>
      <c r="EA49" s="54">
        <f t="shared" si="287"/>
        <v>0.87</v>
      </c>
      <c r="EB49" s="54">
        <f t="shared" si="287"/>
        <v>0.85</v>
      </c>
      <c r="EC49" s="54">
        <f t="shared" si="287"/>
        <v>0.83</v>
      </c>
      <c r="ED49" s="54">
        <f t="shared" si="287"/>
        <v>0.80999999999999994</v>
      </c>
      <c r="EE49" s="54">
        <f t="shared" si="287"/>
        <v>0.78999999999999992</v>
      </c>
      <c r="EF49" s="54">
        <f t="shared" si="287"/>
        <v>0.76999999999999991</v>
      </c>
      <c r="EG49" s="54">
        <f t="shared" si="287"/>
        <v>0.74999999999999989</v>
      </c>
      <c r="EH49" s="54">
        <f t="shared" si="287"/>
        <v>0.72999999999999987</v>
      </c>
      <c r="EI49" s="54">
        <f t="shared" si="287"/>
        <v>0.70999999999999985</v>
      </c>
      <c r="EJ49" s="54">
        <f t="shared" si="287"/>
        <v>0.68999999999999984</v>
      </c>
      <c r="EK49" s="54">
        <f t="shared" si="287"/>
        <v>0.66999999999999982</v>
      </c>
      <c r="EL49" s="54">
        <f t="shared" si="287"/>
        <v>0.6499999999999998</v>
      </c>
      <c r="EM49" s="54">
        <f t="shared" si="287"/>
        <v>0.62999999999999978</v>
      </c>
      <c r="EN49" s="54">
        <f t="shared" si="287"/>
        <v>0.60999999999999976</v>
      </c>
      <c r="EO49" s="54">
        <f t="shared" si="287"/>
        <v>0.58999999999999975</v>
      </c>
      <c r="EP49" s="54">
        <f t="shared" si="287"/>
        <v>0.56999999999999973</v>
      </c>
      <c r="ER49" s="54">
        <f t="shared" si="142"/>
        <v>0</v>
      </c>
      <c r="ES49" s="54">
        <f t="shared" si="116"/>
        <v>0</v>
      </c>
      <c r="ET49" s="58">
        <f t="shared" si="239"/>
        <v>0</v>
      </c>
      <c r="EU49" s="54">
        <f t="shared" si="240"/>
        <v>0</v>
      </c>
      <c r="EV49" s="58">
        <f t="shared" si="241"/>
        <v>0</v>
      </c>
      <c r="EW49" s="54">
        <f t="shared" si="242"/>
        <v>0</v>
      </c>
      <c r="EX49" s="58">
        <f t="shared" si="243"/>
        <v>0</v>
      </c>
      <c r="EY49" s="54">
        <f t="shared" si="244"/>
        <v>0</v>
      </c>
      <c r="EZ49" s="58">
        <f t="shared" si="245"/>
        <v>0</v>
      </c>
      <c r="FA49" s="56">
        <f t="shared" si="246"/>
        <v>0</v>
      </c>
      <c r="FB49" s="58">
        <f t="shared" si="247"/>
        <v>0</v>
      </c>
      <c r="FC49" s="54">
        <f t="shared" si="248"/>
        <v>0</v>
      </c>
      <c r="FD49" s="58">
        <f t="shared" si="249"/>
        <v>0</v>
      </c>
      <c r="FE49" s="56">
        <f t="shared" si="250"/>
        <v>0</v>
      </c>
      <c r="FF49" s="58">
        <f t="shared" si="251"/>
        <v>0</v>
      </c>
      <c r="FG49" s="59">
        <f t="shared" si="252"/>
        <v>0</v>
      </c>
      <c r="FH49" s="58">
        <f t="shared" si="253"/>
        <v>0</v>
      </c>
      <c r="FI49" s="56">
        <f t="shared" si="254"/>
        <v>0</v>
      </c>
      <c r="FJ49" s="58">
        <f t="shared" si="255"/>
        <v>0</v>
      </c>
      <c r="FK49" s="54">
        <f t="shared" si="256"/>
        <v>0</v>
      </c>
      <c r="FL49" s="58">
        <f t="shared" si="257"/>
        <v>0</v>
      </c>
      <c r="FM49" s="59">
        <f t="shared" si="258"/>
        <v>0</v>
      </c>
      <c r="FN49" s="58">
        <f t="shared" si="259"/>
        <v>0</v>
      </c>
      <c r="FO49" s="59">
        <f t="shared" si="260"/>
        <v>0</v>
      </c>
      <c r="FP49" s="58">
        <f t="shared" si="261"/>
        <v>0</v>
      </c>
      <c r="FQ49" s="59">
        <f t="shared" si="262"/>
        <v>0</v>
      </c>
      <c r="FR49" s="58">
        <f t="shared" si="263"/>
        <v>0</v>
      </c>
      <c r="FS49" s="54">
        <f t="shared" si="264"/>
        <v>0</v>
      </c>
      <c r="FT49" s="58">
        <f t="shared" si="265"/>
        <v>0</v>
      </c>
      <c r="FU49" s="59">
        <f t="shared" si="266"/>
        <v>0</v>
      </c>
      <c r="FV49" s="58">
        <f t="shared" si="267"/>
        <v>0</v>
      </c>
      <c r="FW49" s="59">
        <f t="shared" si="268"/>
        <v>0</v>
      </c>
      <c r="FX49" s="58">
        <f t="shared" si="269"/>
        <v>0</v>
      </c>
      <c r="FY49" s="59">
        <f t="shared" si="270"/>
        <v>0</v>
      </c>
      <c r="FZ49" s="58">
        <f t="shared" si="271"/>
        <v>0</v>
      </c>
      <c r="GA49" s="59">
        <f t="shared" si="272"/>
        <v>0</v>
      </c>
      <c r="GB49" s="58">
        <f t="shared" si="273"/>
        <v>0</v>
      </c>
      <c r="GC49" s="54">
        <f t="shared" si="274"/>
        <v>0</v>
      </c>
      <c r="GD49" s="58">
        <f t="shared" si="275"/>
        <v>0</v>
      </c>
      <c r="GE49" s="59">
        <f t="shared" si="276"/>
        <v>0</v>
      </c>
      <c r="GF49" s="58">
        <f t="shared" si="277"/>
        <v>0</v>
      </c>
      <c r="GG49" s="59">
        <f t="shared" si="278"/>
        <v>0</v>
      </c>
      <c r="GH49" s="58">
        <f t="shared" si="279"/>
        <v>0</v>
      </c>
      <c r="GI49" s="54">
        <f t="shared" si="280"/>
        <v>0</v>
      </c>
      <c r="GJ49" s="58">
        <f t="shared" si="281"/>
        <v>0</v>
      </c>
      <c r="GK49" s="54"/>
      <c r="GL49" s="54"/>
      <c r="GM49" s="54">
        <v>1</v>
      </c>
      <c r="GN49" s="54">
        <v>0.97</v>
      </c>
      <c r="GO49" s="54">
        <v>0.95</v>
      </c>
      <c r="GP49" s="54">
        <v>0.93</v>
      </c>
      <c r="GQ49" s="54">
        <f t="shared" ref="GQ49:HH63" si="288">+GP49-0.02</f>
        <v>0.91</v>
      </c>
      <c r="GR49" s="54">
        <f t="shared" si="288"/>
        <v>0.89</v>
      </c>
      <c r="GS49" s="54">
        <f t="shared" si="288"/>
        <v>0.87</v>
      </c>
      <c r="GT49" s="54">
        <f t="shared" si="288"/>
        <v>0.85</v>
      </c>
      <c r="GU49" s="54">
        <f t="shared" si="288"/>
        <v>0.83</v>
      </c>
      <c r="GV49" s="54">
        <f t="shared" si="288"/>
        <v>0.80999999999999994</v>
      </c>
      <c r="GW49" s="54">
        <f t="shared" si="288"/>
        <v>0.78999999999999992</v>
      </c>
      <c r="GX49" s="54">
        <f t="shared" si="288"/>
        <v>0.76999999999999991</v>
      </c>
      <c r="GY49" s="54">
        <f t="shared" si="288"/>
        <v>0.74999999999999989</v>
      </c>
      <c r="GZ49" s="54">
        <f t="shared" si="288"/>
        <v>0.72999999999999987</v>
      </c>
      <c r="HA49" s="54">
        <f t="shared" si="288"/>
        <v>0.70999999999999985</v>
      </c>
      <c r="HB49" s="54">
        <f t="shared" si="288"/>
        <v>0.68999999999999984</v>
      </c>
      <c r="HC49" s="54">
        <f t="shared" si="288"/>
        <v>0.66999999999999982</v>
      </c>
      <c r="HD49" s="54">
        <f t="shared" si="288"/>
        <v>0.6499999999999998</v>
      </c>
      <c r="HE49" s="54">
        <f t="shared" si="288"/>
        <v>0.62999999999999978</v>
      </c>
      <c r="HF49" s="54">
        <f t="shared" si="288"/>
        <v>0.60999999999999976</v>
      </c>
      <c r="HG49" s="54">
        <f t="shared" si="288"/>
        <v>0.58999999999999975</v>
      </c>
      <c r="HH49" s="54">
        <f t="shared" si="288"/>
        <v>0.56999999999999973</v>
      </c>
    </row>
    <row r="50" spans="1:216" x14ac:dyDescent="0.3">
      <c r="A50" s="2">
        <v>17</v>
      </c>
      <c r="C50" s="38" t="s">
        <v>146</v>
      </c>
      <c r="D50" s="42">
        <v>0</v>
      </c>
      <c r="E50" s="72">
        <f t="shared" si="152"/>
        <v>0</v>
      </c>
      <c r="H50" s="54">
        <f t="shared" si="61"/>
        <v>0</v>
      </c>
      <c r="I50" s="54">
        <f t="shared" si="62"/>
        <v>0</v>
      </c>
      <c r="J50" s="58">
        <f t="shared" si="63"/>
        <v>0</v>
      </c>
      <c r="K50" s="54">
        <f t="shared" si="153"/>
        <v>0</v>
      </c>
      <c r="L50" s="58">
        <f t="shared" si="154"/>
        <v>0</v>
      </c>
      <c r="M50" s="54">
        <f t="shared" si="155"/>
        <v>0</v>
      </c>
      <c r="N50" s="58">
        <f t="shared" si="156"/>
        <v>0</v>
      </c>
      <c r="O50" s="54">
        <f t="shared" si="157"/>
        <v>0</v>
      </c>
      <c r="P50" s="58">
        <f t="shared" si="158"/>
        <v>0</v>
      </c>
      <c r="Q50" s="56">
        <f t="shared" si="159"/>
        <v>0</v>
      </c>
      <c r="R50" s="58">
        <f t="shared" si="160"/>
        <v>0</v>
      </c>
      <c r="S50" s="54">
        <f t="shared" si="161"/>
        <v>0</v>
      </c>
      <c r="T50" s="58">
        <f t="shared" si="162"/>
        <v>0</v>
      </c>
      <c r="U50" s="56">
        <f t="shared" si="163"/>
        <v>0</v>
      </c>
      <c r="V50" s="58">
        <f t="shared" si="164"/>
        <v>0</v>
      </c>
      <c r="W50" s="59">
        <f t="shared" si="165"/>
        <v>0</v>
      </c>
      <c r="X50" s="58">
        <f t="shared" si="166"/>
        <v>0</v>
      </c>
      <c r="Y50" s="56">
        <f t="shared" si="167"/>
        <v>0</v>
      </c>
      <c r="Z50" s="58">
        <f t="shared" si="168"/>
        <v>0</v>
      </c>
      <c r="AA50" s="54">
        <f t="shared" si="169"/>
        <v>0</v>
      </c>
      <c r="AB50" s="58">
        <f t="shared" si="170"/>
        <v>0</v>
      </c>
      <c r="AC50" s="59">
        <f t="shared" si="171"/>
        <v>0</v>
      </c>
      <c r="AD50" s="58">
        <f t="shared" si="172"/>
        <v>0</v>
      </c>
      <c r="AE50" s="59">
        <f t="shared" si="173"/>
        <v>0</v>
      </c>
      <c r="AF50" s="58">
        <f t="shared" si="174"/>
        <v>0</v>
      </c>
      <c r="AG50" s="59">
        <f t="shared" si="175"/>
        <v>0</v>
      </c>
      <c r="AH50" s="58">
        <f t="shared" si="176"/>
        <v>0</v>
      </c>
      <c r="AI50" s="54">
        <f t="shared" si="177"/>
        <v>0</v>
      </c>
      <c r="AJ50" s="58">
        <f t="shared" si="178"/>
        <v>0</v>
      </c>
      <c r="AK50" s="59">
        <f t="shared" si="179"/>
        <v>0</v>
      </c>
      <c r="AL50" s="58">
        <f t="shared" si="180"/>
        <v>0</v>
      </c>
      <c r="AM50" s="59">
        <f t="shared" si="181"/>
        <v>0</v>
      </c>
      <c r="AN50" s="58">
        <f t="shared" si="182"/>
        <v>0</v>
      </c>
      <c r="AO50" s="59">
        <f t="shared" si="183"/>
        <v>0</v>
      </c>
      <c r="AP50" s="58">
        <f t="shared" si="184"/>
        <v>0</v>
      </c>
      <c r="AQ50" s="59">
        <f t="shared" si="185"/>
        <v>0</v>
      </c>
      <c r="AR50" s="58">
        <f t="shared" si="186"/>
        <v>0</v>
      </c>
      <c r="AS50" s="54">
        <f t="shared" si="187"/>
        <v>0</v>
      </c>
      <c r="AT50" s="58">
        <f t="shared" si="188"/>
        <v>0</v>
      </c>
      <c r="AU50" s="59">
        <f t="shared" si="189"/>
        <v>0</v>
      </c>
      <c r="AV50" s="58">
        <f t="shared" si="190"/>
        <v>0</v>
      </c>
      <c r="AW50" s="59">
        <f t="shared" si="191"/>
        <v>0</v>
      </c>
      <c r="AX50" s="58">
        <f t="shared" si="192"/>
        <v>0</v>
      </c>
      <c r="AY50" s="54">
        <f t="shared" si="193"/>
        <v>0</v>
      </c>
      <c r="AZ50" s="58">
        <f t="shared" si="194"/>
        <v>0</v>
      </c>
      <c r="BC50" s="54">
        <v>1</v>
      </c>
      <c r="BD50" s="54">
        <v>0.97</v>
      </c>
      <c r="BE50" s="54">
        <v>0.95</v>
      </c>
      <c r="BF50" s="54">
        <v>0.93</v>
      </c>
      <c r="BG50" s="54">
        <f t="shared" si="284"/>
        <v>0.91</v>
      </c>
      <c r="BH50" s="54">
        <f t="shared" si="284"/>
        <v>0.89</v>
      </c>
      <c r="BI50" s="54">
        <f t="shared" si="284"/>
        <v>0.87</v>
      </c>
      <c r="BJ50" s="54">
        <f t="shared" si="284"/>
        <v>0.85</v>
      </c>
      <c r="BK50" s="54">
        <f t="shared" si="284"/>
        <v>0.83</v>
      </c>
      <c r="BL50" s="54">
        <f t="shared" si="284"/>
        <v>0.80999999999999994</v>
      </c>
      <c r="BM50" s="54">
        <f t="shared" si="284"/>
        <v>0.78999999999999992</v>
      </c>
      <c r="BN50" s="54">
        <f t="shared" si="284"/>
        <v>0.76999999999999991</v>
      </c>
      <c r="BO50" s="54">
        <f t="shared" si="284"/>
        <v>0.74999999999999989</v>
      </c>
      <c r="BP50" s="54">
        <f t="shared" si="284"/>
        <v>0.72999999999999987</v>
      </c>
      <c r="BQ50" s="54">
        <f t="shared" si="284"/>
        <v>0.70999999999999985</v>
      </c>
      <c r="BR50" s="54">
        <f t="shared" si="284"/>
        <v>0.68999999999999984</v>
      </c>
      <c r="BS50" s="54">
        <f t="shared" si="284"/>
        <v>0.66999999999999982</v>
      </c>
      <c r="BT50" s="54">
        <f t="shared" si="284"/>
        <v>0.6499999999999998</v>
      </c>
      <c r="BU50" s="54">
        <f t="shared" si="284"/>
        <v>0.62999999999999978</v>
      </c>
      <c r="BV50" s="54">
        <f t="shared" si="284"/>
        <v>0.60999999999999976</v>
      </c>
      <c r="BW50" s="54">
        <f t="shared" si="284"/>
        <v>0.58999999999999975</v>
      </c>
      <c r="BX50" s="54">
        <f t="shared" si="284"/>
        <v>0.56999999999999973</v>
      </c>
      <c r="BZ50" s="54">
        <f t="shared" si="88"/>
        <v>0</v>
      </c>
      <c r="CA50" s="54">
        <f t="shared" si="89"/>
        <v>0</v>
      </c>
      <c r="CB50" s="58">
        <f t="shared" si="195"/>
        <v>0</v>
      </c>
      <c r="CC50" s="54">
        <f t="shared" si="196"/>
        <v>0</v>
      </c>
      <c r="CD50" s="58">
        <f t="shared" si="197"/>
        <v>0</v>
      </c>
      <c r="CE50" s="54">
        <f t="shared" si="198"/>
        <v>0</v>
      </c>
      <c r="CF50" s="58">
        <f t="shared" si="199"/>
        <v>0</v>
      </c>
      <c r="CG50" s="54">
        <f t="shared" si="200"/>
        <v>0</v>
      </c>
      <c r="CH50" s="58">
        <f t="shared" si="201"/>
        <v>0</v>
      </c>
      <c r="CI50" s="56">
        <f t="shared" si="202"/>
        <v>0</v>
      </c>
      <c r="CJ50" s="58">
        <f t="shared" si="203"/>
        <v>0</v>
      </c>
      <c r="CK50" s="54">
        <f t="shared" si="204"/>
        <v>0</v>
      </c>
      <c r="CL50" s="58">
        <f t="shared" si="205"/>
        <v>0</v>
      </c>
      <c r="CM50" s="56">
        <f t="shared" si="206"/>
        <v>0</v>
      </c>
      <c r="CN50" s="58">
        <f t="shared" si="207"/>
        <v>0</v>
      </c>
      <c r="CO50" s="59">
        <f t="shared" si="208"/>
        <v>0</v>
      </c>
      <c r="CP50" s="58">
        <f t="shared" si="209"/>
        <v>0</v>
      </c>
      <c r="CQ50" s="56">
        <f t="shared" si="210"/>
        <v>0</v>
      </c>
      <c r="CR50" s="58">
        <f t="shared" si="211"/>
        <v>0</v>
      </c>
      <c r="CS50" s="54">
        <f t="shared" si="212"/>
        <v>0</v>
      </c>
      <c r="CT50" s="58">
        <f t="shared" si="213"/>
        <v>0</v>
      </c>
      <c r="CU50" s="59">
        <f t="shared" si="214"/>
        <v>0</v>
      </c>
      <c r="CV50" s="58">
        <f t="shared" si="215"/>
        <v>0</v>
      </c>
      <c r="CW50" s="59">
        <f t="shared" si="216"/>
        <v>0</v>
      </c>
      <c r="CX50" s="58">
        <f t="shared" si="217"/>
        <v>0</v>
      </c>
      <c r="CY50" s="59">
        <f t="shared" si="218"/>
        <v>0</v>
      </c>
      <c r="CZ50" s="58">
        <f t="shared" si="219"/>
        <v>0</v>
      </c>
      <c r="DA50" s="54">
        <f t="shared" si="220"/>
        <v>0</v>
      </c>
      <c r="DB50" s="58">
        <f t="shared" si="221"/>
        <v>0</v>
      </c>
      <c r="DC50" s="59">
        <f t="shared" si="222"/>
        <v>0</v>
      </c>
      <c r="DD50" s="58">
        <f t="shared" si="223"/>
        <v>0</v>
      </c>
      <c r="DE50" s="59">
        <f t="shared" si="224"/>
        <v>0</v>
      </c>
      <c r="DF50" s="58">
        <f t="shared" si="225"/>
        <v>0</v>
      </c>
      <c r="DG50" s="59">
        <f t="shared" si="226"/>
        <v>0</v>
      </c>
      <c r="DH50" s="58">
        <f t="shared" si="227"/>
        <v>0</v>
      </c>
      <c r="DI50" s="59">
        <f t="shared" si="228"/>
        <v>0</v>
      </c>
      <c r="DJ50" s="58">
        <f t="shared" si="229"/>
        <v>0</v>
      </c>
      <c r="DK50" s="54">
        <f t="shared" si="230"/>
        <v>0</v>
      </c>
      <c r="DL50" s="58">
        <f t="shared" si="231"/>
        <v>0</v>
      </c>
      <c r="DM50" s="59">
        <f t="shared" si="232"/>
        <v>0</v>
      </c>
      <c r="DN50" s="58">
        <f t="shared" si="233"/>
        <v>0</v>
      </c>
      <c r="DO50" s="59">
        <f t="shared" si="234"/>
        <v>0</v>
      </c>
      <c r="DP50" s="58">
        <f t="shared" si="235"/>
        <v>0</v>
      </c>
      <c r="DQ50" s="54">
        <f t="shared" si="236"/>
        <v>0</v>
      </c>
      <c r="DR50" s="58">
        <f t="shared" si="237"/>
        <v>0</v>
      </c>
      <c r="DU50" s="54">
        <v>1</v>
      </c>
      <c r="DV50" s="54">
        <v>0.97</v>
      </c>
      <c r="DW50" s="54">
        <v>0.95</v>
      </c>
      <c r="DX50" s="54">
        <v>0.93</v>
      </c>
      <c r="DY50" s="54">
        <f t="shared" si="287"/>
        <v>0.91</v>
      </c>
      <c r="DZ50" s="54">
        <f t="shared" si="287"/>
        <v>0.89</v>
      </c>
      <c r="EA50" s="54">
        <f t="shared" si="287"/>
        <v>0.87</v>
      </c>
      <c r="EB50" s="54">
        <f t="shared" si="287"/>
        <v>0.85</v>
      </c>
      <c r="EC50" s="54">
        <f t="shared" si="287"/>
        <v>0.83</v>
      </c>
      <c r="ED50" s="54">
        <f t="shared" si="287"/>
        <v>0.80999999999999994</v>
      </c>
      <c r="EE50" s="54">
        <f t="shared" si="287"/>
        <v>0.78999999999999992</v>
      </c>
      <c r="EF50" s="54">
        <f t="shared" si="287"/>
        <v>0.76999999999999991</v>
      </c>
      <c r="EG50" s="54">
        <f t="shared" si="287"/>
        <v>0.74999999999999989</v>
      </c>
      <c r="EH50" s="54">
        <f t="shared" si="287"/>
        <v>0.72999999999999987</v>
      </c>
      <c r="EI50" s="54">
        <f t="shared" si="287"/>
        <v>0.70999999999999985</v>
      </c>
      <c r="EJ50" s="54">
        <f t="shared" si="287"/>
        <v>0.68999999999999984</v>
      </c>
      <c r="EK50" s="54">
        <f t="shared" si="287"/>
        <v>0.66999999999999982</v>
      </c>
      <c r="EL50" s="54">
        <f t="shared" si="287"/>
        <v>0.6499999999999998</v>
      </c>
      <c r="EM50" s="54">
        <f t="shared" si="287"/>
        <v>0.62999999999999978</v>
      </c>
      <c r="EN50" s="54">
        <f t="shared" si="287"/>
        <v>0.60999999999999976</v>
      </c>
      <c r="EO50" s="54">
        <f t="shared" si="287"/>
        <v>0.58999999999999975</v>
      </c>
      <c r="EP50" s="54">
        <f t="shared" si="287"/>
        <v>0.56999999999999973</v>
      </c>
      <c r="ER50" s="54">
        <f t="shared" si="142"/>
        <v>0</v>
      </c>
      <c r="ES50" s="54">
        <f t="shared" si="116"/>
        <v>0</v>
      </c>
      <c r="ET50" s="58">
        <f t="shared" si="239"/>
        <v>0</v>
      </c>
      <c r="EU50" s="54">
        <f t="shared" si="240"/>
        <v>0</v>
      </c>
      <c r="EV50" s="58">
        <f t="shared" si="241"/>
        <v>0</v>
      </c>
      <c r="EW50" s="54">
        <f t="shared" si="242"/>
        <v>0</v>
      </c>
      <c r="EX50" s="58">
        <f t="shared" si="243"/>
        <v>0</v>
      </c>
      <c r="EY50" s="54">
        <f t="shared" si="244"/>
        <v>0</v>
      </c>
      <c r="EZ50" s="58">
        <f t="shared" si="245"/>
        <v>0</v>
      </c>
      <c r="FA50" s="56">
        <f t="shared" si="246"/>
        <v>0</v>
      </c>
      <c r="FB50" s="58">
        <f t="shared" si="247"/>
        <v>0</v>
      </c>
      <c r="FC50" s="54">
        <f t="shared" si="248"/>
        <v>0</v>
      </c>
      <c r="FD50" s="58">
        <f t="shared" si="249"/>
        <v>0</v>
      </c>
      <c r="FE50" s="56">
        <f t="shared" si="250"/>
        <v>0</v>
      </c>
      <c r="FF50" s="58">
        <f t="shared" si="251"/>
        <v>0</v>
      </c>
      <c r="FG50" s="59">
        <f t="shared" si="252"/>
        <v>0</v>
      </c>
      <c r="FH50" s="58">
        <f t="shared" si="253"/>
        <v>0</v>
      </c>
      <c r="FI50" s="56">
        <f t="shared" si="254"/>
        <v>0</v>
      </c>
      <c r="FJ50" s="58">
        <f t="shared" si="255"/>
        <v>0</v>
      </c>
      <c r="FK50" s="54">
        <f t="shared" si="256"/>
        <v>0</v>
      </c>
      <c r="FL50" s="58">
        <f t="shared" si="257"/>
        <v>0</v>
      </c>
      <c r="FM50" s="59">
        <f t="shared" si="258"/>
        <v>0</v>
      </c>
      <c r="FN50" s="58">
        <f t="shared" si="259"/>
        <v>0</v>
      </c>
      <c r="FO50" s="59">
        <f t="shared" si="260"/>
        <v>0</v>
      </c>
      <c r="FP50" s="58">
        <f t="shared" si="261"/>
        <v>0</v>
      </c>
      <c r="FQ50" s="59">
        <f t="shared" si="262"/>
        <v>0</v>
      </c>
      <c r="FR50" s="58">
        <f t="shared" si="263"/>
        <v>0</v>
      </c>
      <c r="FS50" s="54">
        <f t="shared" si="264"/>
        <v>0</v>
      </c>
      <c r="FT50" s="58">
        <f t="shared" si="265"/>
        <v>0</v>
      </c>
      <c r="FU50" s="59">
        <f t="shared" si="266"/>
        <v>0</v>
      </c>
      <c r="FV50" s="58">
        <f t="shared" si="267"/>
        <v>0</v>
      </c>
      <c r="FW50" s="59">
        <f t="shared" si="268"/>
        <v>0</v>
      </c>
      <c r="FX50" s="58">
        <f t="shared" si="269"/>
        <v>0</v>
      </c>
      <c r="FY50" s="59">
        <f t="shared" si="270"/>
        <v>0</v>
      </c>
      <c r="FZ50" s="58">
        <f t="shared" si="271"/>
        <v>0</v>
      </c>
      <c r="GA50" s="59">
        <f t="shared" si="272"/>
        <v>0</v>
      </c>
      <c r="GB50" s="58">
        <f t="shared" si="273"/>
        <v>0</v>
      </c>
      <c r="GC50" s="54">
        <f t="shared" si="274"/>
        <v>0</v>
      </c>
      <c r="GD50" s="58">
        <f t="shared" si="275"/>
        <v>0</v>
      </c>
      <c r="GE50" s="59">
        <f t="shared" si="276"/>
        <v>0</v>
      </c>
      <c r="GF50" s="58">
        <f t="shared" si="277"/>
        <v>0</v>
      </c>
      <c r="GG50" s="59">
        <f t="shared" si="278"/>
        <v>0</v>
      </c>
      <c r="GH50" s="58">
        <f t="shared" si="279"/>
        <v>0</v>
      </c>
      <c r="GI50" s="54">
        <f t="shared" si="280"/>
        <v>0</v>
      </c>
      <c r="GJ50" s="58">
        <f t="shared" si="281"/>
        <v>0</v>
      </c>
      <c r="GK50" s="54"/>
      <c r="GL50" s="54"/>
      <c r="GM50" s="54">
        <v>1</v>
      </c>
      <c r="GN50" s="54">
        <v>0.97</v>
      </c>
      <c r="GO50" s="54">
        <v>0.95</v>
      </c>
      <c r="GP50" s="54">
        <v>0.93</v>
      </c>
      <c r="GQ50" s="54">
        <f t="shared" si="288"/>
        <v>0.91</v>
      </c>
      <c r="GR50" s="54">
        <f t="shared" si="288"/>
        <v>0.89</v>
      </c>
      <c r="GS50" s="54">
        <f t="shared" si="288"/>
        <v>0.87</v>
      </c>
      <c r="GT50" s="54">
        <f t="shared" si="288"/>
        <v>0.85</v>
      </c>
      <c r="GU50" s="54">
        <f t="shared" si="288"/>
        <v>0.83</v>
      </c>
      <c r="GV50" s="54">
        <f t="shared" si="288"/>
        <v>0.80999999999999994</v>
      </c>
      <c r="GW50" s="54">
        <f t="shared" si="288"/>
        <v>0.78999999999999992</v>
      </c>
      <c r="GX50" s="54">
        <f t="shared" si="288"/>
        <v>0.76999999999999991</v>
      </c>
      <c r="GY50" s="54">
        <f t="shared" si="288"/>
        <v>0.74999999999999989</v>
      </c>
      <c r="GZ50" s="54">
        <f t="shared" si="288"/>
        <v>0.72999999999999987</v>
      </c>
      <c r="HA50" s="54">
        <f t="shared" si="288"/>
        <v>0.70999999999999985</v>
      </c>
      <c r="HB50" s="54">
        <f t="shared" si="288"/>
        <v>0.68999999999999984</v>
      </c>
      <c r="HC50" s="54">
        <f t="shared" si="288"/>
        <v>0.66999999999999982</v>
      </c>
      <c r="HD50" s="54">
        <f t="shared" si="288"/>
        <v>0.6499999999999998</v>
      </c>
      <c r="HE50" s="54">
        <f t="shared" si="288"/>
        <v>0.62999999999999978</v>
      </c>
      <c r="HF50" s="54">
        <f t="shared" si="288"/>
        <v>0.60999999999999976</v>
      </c>
      <c r="HG50" s="54">
        <f t="shared" si="288"/>
        <v>0.58999999999999975</v>
      </c>
      <c r="HH50" s="54">
        <f t="shared" si="288"/>
        <v>0.56999999999999973</v>
      </c>
    </row>
    <row r="51" spans="1:216" x14ac:dyDescent="0.3">
      <c r="A51" s="2">
        <v>18</v>
      </c>
      <c r="C51" s="38" t="s">
        <v>147</v>
      </c>
      <c r="D51" s="42">
        <v>0</v>
      </c>
      <c r="E51" s="72">
        <f t="shared" si="152"/>
        <v>0</v>
      </c>
      <c r="H51" s="54">
        <f t="shared" si="61"/>
        <v>0</v>
      </c>
      <c r="I51" s="54">
        <f t="shared" si="62"/>
        <v>0</v>
      </c>
      <c r="J51" s="58">
        <f t="shared" si="63"/>
        <v>0</v>
      </c>
      <c r="K51" s="54">
        <f t="shared" si="153"/>
        <v>0</v>
      </c>
      <c r="L51" s="58">
        <f t="shared" si="154"/>
        <v>0</v>
      </c>
      <c r="M51" s="54">
        <f t="shared" si="155"/>
        <v>0</v>
      </c>
      <c r="N51" s="58">
        <f t="shared" si="156"/>
        <v>0</v>
      </c>
      <c r="O51" s="54">
        <f t="shared" si="157"/>
        <v>0</v>
      </c>
      <c r="P51" s="58">
        <f t="shared" si="158"/>
        <v>0</v>
      </c>
      <c r="Q51" s="56">
        <f t="shared" si="159"/>
        <v>0</v>
      </c>
      <c r="R51" s="58">
        <f t="shared" si="160"/>
        <v>0</v>
      </c>
      <c r="S51" s="54">
        <f t="shared" si="161"/>
        <v>0</v>
      </c>
      <c r="T51" s="58">
        <f t="shared" si="162"/>
        <v>0</v>
      </c>
      <c r="U51" s="56">
        <f t="shared" si="163"/>
        <v>0</v>
      </c>
      <c r="V51" s="58">
        <f t="shared" si="164"/>
        <v>0</v>
      </c>
      <c r="W51" s="59">
        <f t="shared" si="165"/>
        <v>0</v>
      </c>
      <c r="X51" s="58">
        <f t="shared" si="166"/>
        <v>0</v>
      </c>
      <c r="Y51" s="56">
        <f t="shared" si="167"/>
        <v>0</v>
      </c>
      <c r="Z51" s="58">
        <f t="shared" si="168"/>
        <v>0</v>
      </c>
      <c r="AA51" s="54">
        <f t="shared" si="169"/>
        <v>0</v>
      </c>
      <c r="AB51" s="58">
        <f t="shared" si="170"/>
        <v>0</v>
      </c>
      <c r="AC51" s="59">
        <f t="shared" si="171"/>
        <v>0</v>
      </c>
      <c r="AD51" s="58">
        <f t="shared" si="172"/>
        <v>0</v>
      </c>
      <c r="AE51" s="59">
        <f t="shared" si="173"/>
        <v>0</v>
      </c>
      <c r="AF51" s="58">
        <f t="shared" si="174"/>
        <v>0</v>
      </c>
      <c r="AG51" s="59">
        <f t="shared" si="175"/>
        <v>0</v>
      </c>
      <c r="AH51" s="58">
        <f t="shared" si="176"/>
        <v>0</v>
      </c>
      <c r="AI51" s="54">
        <f t="shared" si="177"/>
        <v>0</v>
      </c>
      <c r="AJ51" s="58">
        <f t="shared" si="178"/>
        <v>0</v>
      </c>
      <c r="AK51" s="59">
        <f t="shared" si="179"/>
        <v>0</v>
      </c>
      <c r="AL51" s="58">
        <f t="shared" si="180"/>
        <v>0</v>
      </c>
      <c r="AM51" s="59">
        <f t="shared" si="181"/>
        <v>0</v>
      </c>
      <c r="AN51" s="58">
        <f t="shared" si="182"/>
        <v>0</v>
      </c>
      <c r="AO51" s="59">
        <f t="shared" si="183"/>
        <v>0</v>
      </c>
      <c r="AP51" s="58">
        <f t="shared" si="184"/>
        <v>0</v>
      </c>
      <c r="AQ51" s="59">
        <f t="shared" si="185"/>
        <v>0</v>
      </c>
      <c r="AR51" s="58">
        <f t="shared" si="186"/>
        <v>0</v>
      </c>
      <c r="AS51" s="54">
        <f t="shared" si="187"/>
        <v>0</v>
      </c>
      <c r="AT51" s="58">
        <f t="shared" si="188"/>
        <v>0</v>
      </c>
      <c r="AU51" s="59">
        <f t="shared" si="189"/>
        <v>0</v>
      </c>
      <c r="AV51" s="58">
        <f t="shared" si="190"/>
        <v>0</v>
      </c>
      <c r="AW51" s="59">
        <f t="shared" si="191"/>
        <v>0</v>
      </c>
      <c r="AX51" s="58">
        <f t="shared" si="192"/>
        <v>0</v>
      </c>
      <c r="AY51" s="54">
        <f t="shared" si="193"/>
        <v>0</v>
      </c>
      <c r="AZ51" s="58">
        <f t="shared" si="194"/>
        <v>0</v>
      </c>
      <c r="BC51" s="54">
        <v>1</v>
      </c>
      <c r="BD51" s="54">
        <v>0.97</v>
      </c>
      <c r="BE51" s="54">
        <v>0.95</v>
      </c>
      <c r="BF51" s="54">
        <v>0.93</v>
      </c>
      <c r="BG51" s="54">
        <f t="shared" si="284"/>
        <v>0.91</v>
      </c>
      <c r="BH51" s="54">
        <f t="shared" si="284"/>
        <v>0.89</v>
      </c>
      <c r="BI51" s="54">
        <f t="shared" si="284"/>
        <v>0.87</v>
      </c>
      <c r="BJ51" s="54">
        <f t="shared" si="284"/>
        <v>0.85</v>
      </c>
      <c r="BK51" s="54">
        <f t="shared" si="284"/>
        <v>0.83</v>
      </c>
      <c r="BL51" s="54">
        <f t="shared" si="284"/>
        <v>0.80999999999999994</v>
      </c>
      <c r="BM51" s="54">
        <f t="shared" si="284"/>
        <v>0.78999999999999992</v>
      </c>
      <c r="BN51" s="54">
        <f t="shared" si="284"/>
        <v>0.76999999999999991</v>
      </c>
      <c r="BO51" s="54">
        <f t="shared" si="284"/>
        <v>0.74999999999999989</v>
      </c>
      <c r="BP51" s="54">
        <f t="shared" si="284"/>
        <v>0.72999999999999987</v>
      </c>
      <c r="BQ51" s="54">
        <f t="shared" si="284"/>
        <v>0.70999999999999985</v>
      </c>
      <c r="BR51" s="54">
        <f t="shared" si="284"/>
        <v>0.68999999999999984</v>
      </c>
      <c r="BS51" s="54">
        <f t="shared" si="284"/>
        <v>0.66999999999999982</v>
      </c>
      <c r="BT51" s="54">
        <f t="shared" si="284"/>
        <v>0.6499999999999998</v>
      </c>
      <c r="BU51" s="54">
        <f t="shared" si="284"/>
        <v>0.62999999999999978</v>
      </c>
      <c r="BV51" s="54">
        <f t="shared" si="284"/>
        <v>0.60999999999999976</v>
      </c>
      <c r="BW51" s="54">
        <f t="shared" si="284"/>
        <v>0.58999999999999975</v>
      </c>
      <c r="BX51" s="54">
        <f t="shared" si="284"/>
        <v>0.56999999999999973</v>
      </c>
      <c r="BZ51" s="54">
        <f t="shared" si="88"/>
        <v>0</v>
      </c>
      <c r="CA51" s="54">
        <f t="shared" si="89"/>
        <v>0</v>
      </c>
      <c r="CB51" s="58">
        <f t="shared" si="195"/>
        <v>0</v>
      </c>
      <c r="CC51" s="54">
        <f t="shared" si="196"/>
        <v>0</v>
      </c>
      <c r="CD51" s="58">
        <f t="shared" si="197"/>
        <v>0</v>
      </c>
      <c r="CE51" s="54">
        <f t="shared" si="198"/>
        <v>0</v>
      </c>
      <c r="CF51" s="58">
        <f t="shared" si="199"/>
        <v>0</v>
      </c>
      <c r="CG51" s="54">
        <f t="shared" si="200"/>
        <v>0</v>
      </c>
      <c r="CH51" s="58">
        <f t="shared" si="201"/>
        <v>0</v>
      </c>
      <c r="CI51" s="56">
        <f t="shared" si="202"/>
        <v>0</v>
      </c>
      <c r="CJ51" s="58">
        <f t="shared" si="203"/>
        <v>0</v>
      </c>
      <c r="CK51" s="54">
        <f t="shared" si="204"/>
        <v>0</v>
      </c>
      <c r="CL51" s="58">
        <f t="shared" si="205"/>
        <v>0</v>
      </c>
      <c r="CM51" s="56">
        <f t="shared" si="206"/>
        <v>0</v>
      </c>
      <c r="CN51" s="58">
        <f t="shared" si="207"/>
        <v>0</v>
      </c>
      <c r="CO51" s="59">
        <f t="shared" si="208"/>
        <v>0</v>
      </c>
      <c r="CP51" s="58">
        <f t="shared" si="209"/>
        <v>0</v>
      </c>
      <c r="CQ51" s="56">
        <f t="shared" si="210"/>
        <v>0</v>
      </c>
      <c r="CR51" s="58">
        <f t="shared" si="211"/>
        <v>0</v>
      </c>
      <c r="CS51" s="54">
        <f t="shared" si="212"/>
        <v>0</v>
      </c>
      <c r="CT51" s="58">
        <f t="shared" si="213"/>
        <v>0</v>
      </c>
      <c r="CU51" s="59">
        <f t="shared" si="214"/>
        <v>0</v>
      </c>
      <c r="CV51" s="58">
        <f t="shared" si="215"/>
        <v>0</v>
      </c>
      <c r="CW51" s="59">
        <f t="shared" si="216"/>
        <v>0</v>
      </c>
      <c r="CX51" s="58">
        <f t="shared" si="217"/>
        <v>0</v>
      </c>
      <c r="CY51" s="59">
        <f t="shared" si="218"/>
        <v>0</v>
      </c>
      <c r="CZ51" s="58">
        <f t="shared" si="219"/>
        <v>0</v>
      </c>
      <c r="DA51" s="54">
        <f t="shared" si="220"/>
        <v>0</v>
      </c>
      <c r="DB51" s="58">
        <f t="shared" si="221"/>
        <v>0</v>
      </c>
      <c r="DC51" s="59">
        <f t="shared" si="222"/>
        <v>0</v>
      </c>
      <c r="DD51" s="58">
        <f t="shared" si="223"/>
        <v>0</v>
      </c>
      <c r="DE51" s="59">
        <f t="shared" si="224"/>
        <v>0</v>
      </c>
      <c r="DF51" s="58">
        <f t="shared" si="225"/>
        <v>0</v>
      </c>
      <c r="DG51" s="59">
        <f t="shared" si="226"/>
        <v>0</v>
      </c>
      <c r="DH51" s="58">
        <f t="shared" si="227"/>
        <v>0</v>
      </c>
      <c r="DI51" s="59">
        <f t="shared" si="228"/>
        <v>0</v>
      </c>
      <c r="DJ51" s="58">
        <f t="shared" si="229"/>
        <v>0</v>
      </c>
      <c r="DK51" s="54">
        <f t="shared" si="230"/>
        <v>0</v>
      </c>
      <c r="DL51" s="58">
        <f t="shared" si="231"/>
        <v>0</v>
      </c>
      <c r="DM51" s="59">
        <f t="shared" si="232"/>
        <v>0</v>
      </c>
      <c r="DN51" s="58">
        <f t="shared" si="233"/>
        <v>0</v>
      </c>
      <c r="DO51" s="59">
        <f t="shared" si="234"/>
        <v>0</v>
      </c>
      <c r="DP51" s="58">
        <f t="shared" si="235"/>
        <v>0</v>
      </c>
      <c r="DQ51" s="54">
        <f t="shared" si="236"/>
        <v>0</v>
      </c>
      <c r="DR51" s="58">
        <f t="shared" si="237"/>
        <v>0</v>
      </c>
      <c r="DU51" s="54">
        <v>1</v>
      </c>
      <c r="DV51" s="54">
        <v>0.97</v>
      </c>
      <c r="DW51" s="54">
        <v>0.95</v>
      </c>
      <c r="DX51" s="54">
        <v>0.93</v>
      </c>
      <c r="DY51" s="54">
        <f t="shared" si="287"/>
        <v>0.91</v>
      </c>
      <c r="DZ51" s="54">
        <f t="shared" si="287"/>
        <v>0.89</v>
      </c>
      <c r="EA51" s="54">
        <f t="shared" si="287"/>
        <v>0.87</v>
      </c>
      <c r="EB51" s="54">
        <f t="shared" si="287"/>
        <v>0.85</v>
      </c>
      <c r="EC51" s="54">
        <f t="shared" si="287"/>
        <v>0.83</v>
      </c>
      <c r="ED51" s="54">
        <f t="shared" si="287"/>
        <v>0.80999999999999994</v>
      </c>
      <c r="EE51" s="54">
        <f t="shared" si="287"/>
        <v>0.78999999999999992</v>
      </c>
      <c r="EF51" s="54">
        <f t="shared" si="287"/>
        <v>0.76999999999999991</v>
      </c>
      <c r="EG51" s="54">
        <f t="shared" si="287"/>
        <v>0.74999999999999989</v>
      </c>
      <c r="EH51" s="54">
        <f t="shared" si="287"/>
        <v>0.72999999999999987</v>
      </c>
      <c r="EI51" s="54">
        <f t="shared" si="287"/>
        <v>0.70999999999999985</v>
      </c>
      <c r="EJ51" s="54">
        <f t="shared" si="287"/>
        <v>0.68999999999999984</v>
      </c>
      <c r="EK51" s="54">
        <f t="shared" si="287"/>
        <v>0.66999999999999982</v>
      </c>
      <c r="EL51" s="54">
        <f t="shared" si="287"/>
        <v>0.6499999999999998</v>
      </c>
      <c r="EM51" s="54">
        <f t="shared" si="287"/>
        <v>0.62999999999999978</v>
      </c>
      <c r="EN51" s="54">
        <f t="shared" si="287"/>
        <v>0.60999999999999976</v>
      </c>
      <c r="EO51" s="54">
        <f t="shared" si="287"/>
        <v>0.58999999999999975</v>
      </c>
      <c r="EP51" s="54">
        <f t="shared" si="287"/>
        <v>0.56999999999999973</v>
      </c>
      <c r="ER51" s="54">
        <f t="shared" si="142"/>
        <v>0</v>
      </c>
      <c r="ES51" s="54">
        <f t="shared" si="116"/>
        <v>0</v>
      </c>
      <c r="ET51" s="58">
        <f t="shared" si="239"/>
        <v>0</v>
      </c>
      <c r="EU51" s="54">
        <f t="shared" si="240"/>
        <v>0</v>
      </c>
      <c r="EV51" s="58">
        <f t="shared" si="241"/>
        <v>0</v>
      </c>
      <c r="EW51" s="54">
        <f t="shared" si="242"/>
        <v>0</v>
      </c>
      <c r="EX51" s="58">
        <f t="shared" si="243"/>
        <v>0</v>
      </c>
      <c r="EY51" s="54">
        <f t="shared" si="244"/>
        <v>0</v>
      </c>
      <c r="EZ51" s="58">
        <f t="shared" si="245"/>
        <v>0</v>
      </c>
      <c r="FA51" s="56">
        <f t="shared" si="246"/>
        <v>0</v>
      </c>
      <c r="FB51" s="58">
        <f t="shared" si="247"/>
        <v>0</v>
      </c>
      <c r="FC51" s="54">
        <f t="shared" si="248"/>
        <v>0</v>
      </c>
      <c r="FD51" s="58">
        <f t="shared" si="249"/>
        <v>0</v>
      </c>
      <c r="FE51" s="56">
        <f t="shared" si="250"/>
        <v>0</v>
      </c>
      <c r="FF51" s="58">
        <f t="shared" si="251"/>
        <v>0</v>
      </c>
      <c r="FG51" s="59">
        <f t="shared" si="252"/>
        <v>0</v>
      </c>
      <c r="FH51" s="58">
        <f t="shared" si="253"/>
        <v>0</v>
      </c>
      <c r="FI51" s="56">
        <f t="shared" si="254"/>
        <v>0</v>
      </c>
      <c r="FJ51" s="58">
        <f t="shared" si="255"/>
        <v>0</v>
      </c>
      <c r="FK51" s="54">
        <f t="shared" si="256"/>
        <v>0</v>
      </c>
      <c r="FL51" s="58">
        <f t="shared" si="257"/>
        <v>0</v>
      </c>
      <c r="FM51" s="59">
        <f t="shared" si="258"/>
        <v>0</v>
      </c>
      <c r="FN51" s="58">
        <f t="shared" si="259"/>
        <v>0</v>
      </c>
      <c r="FO51" s="59">
        <f t="shared" si="260"/>
        <v>0</v>
      </c>
      <c r="FP51" s="58">
        <f t="shared" si="261"/>
        <v>0</v>
      </c>
      <c r="FQ51" s="59">
        <f t="shared" si="262"/>
        <v>0</v>
      </c>
      <c r="FR51" s="58">
        <f t="shared" si="263"/>
        <v>0</v>
      </c>
      <c r="FS51" s="54">
        <f t="shared" si="264"/>
        <v>0</v>
      </c>
      <c r="FT51" s="58">
        <f t="shared" si="265"/>
        <v>0</v>
      </c>
      <c r="FU51" s="59">
        <f t="shared" si="266"/>
        <v>0</v>
      </c>
      <c r="FV51" s="58">
        <f t="shared" si="267"/>
        <v>0</v>
      </c>
      <c r="FW51" s="59">
        <f t="shared" si="268"/>
        <v>0</v>
      </c>
      <c r="FX51" s="58">
        <f t="shared" si="269"/>
        <v>0</v>
      </c>
      <c r="FY51" s="59">
        <f t="shared" si="270"/>
        <v>0</v>
      </c>
      <c r="FZ51" s="58">
        <f t="shared" si="271"/>
        <v>0</v>
      </c>
      <c r="GA51" s="59">
        <f t="shared" si="272"/>
        <v>0</v>
      </c>
      <c r="GB51" s="58">
        <f t="shared" si="273"/>
        <v>0</v>
      </c>
      <c r="GC51" s="54">
        <f t="shared" si="274"/>
        <v>0</v>
      </c>
      <c r="GD51" s="58">
        <f t="shared" si="275"/>
        <v>0</v>
      </c>
      <c r="GE51" s="59">
        <f t="shared" si="276"/>
        <v>0</v>
      </c>
      <c r="GF51" s="58">
        <f t="shared" si="277"/>
        <v>0</v>
      </c>
      <c r="GG51" s="59">
        <f t="shared" si="278"/>
        <v>0</v>
      </c>
      <c r="GH51" s="58">
        <f t="shared" si="279"/>
        <v>0</v>
      </c>
      <c r="GI51" s="54">
        <f t="shared" si="280"/>
        <v>0</v>
      </c>
      <c r="GJ51" s="58">
        <f t="shared" si="281"/>
        <v>0</v>
      </c>
      <c r="GK51" s="54"/>
      <c r="GL51" s="54"/>
      <c r="GM51" s="54">
        <v>1</v>
      </c>
      <c r="GN51" s="54">
        <v>0.97</v>
      </c>
      <c r="GO51" s="54">
        <v>0.95</v>
      </c>
      <c r="GP51" s="54">
        <v>0.93</v>
      </c>
      <c r="GQ51" s="54">
        <f t="shared" si="288"/>
        <v>0.91</v>
      </c>
      <c r="GR51" s="54">
        <f t="shared" si="288"/>
        <v>0.89</v>
      </c>
      <c r="GS51" s="54">
        <f t="shared" si="288"/>
        <v>0.87</v>
      </c>
      <c r="GT51" s="54">
        <f t="shared" si="288"/>
        <v>0.85</v>
      </c>
      <c r="GU51" s="54">
        <f t="shared" si="288"/>
        <v>0.83</v>
      </c>
      <c r="GV51" s="54">
        <f t="shared" si="288"/>
        <v>0.80999999999999994</v>
      </c>
      <c r="GW51" s="54">
        <f t="shared" si="288"/>
        <v>0.78999999999999992</v>
      </c>
      <c r="GX51" s="54">
        <f t="shared" si="288"/>
        <v>0.76999999999999991</v>
      </c>
      <c r="GY51" s="54">
        <f t="shared" si="288"/>
        <v>0.74999999999999989</v>
      </c>
      <c r="GZ51" s="54">
        <f t="shared" si="288"/>
        <v>0.72999999999999987</v>
      </c>
      <c r="HA51" s="54">
        <f t="shared" si="288"/>
        <v>0.70999999999999985</v>
      </c>
      <c r="HB51" s="54">
        <f t="shared" si="288"/>
        <v>0.68999999999999984</v>
      </c>
      <c r="HC51" s="54">
        <f t="shared" si="288"/>
        <v>0.66999999999999982</v>
      </c>
      <c r="HD51" s="54">
        <f t="shared" si="288"/>
        <v>0.6499999999999998</v>
      </c>
      <c r="HE51" s="54">
        <f t="shared" si="288"/>
        <v>0.62999999999999978</v>
      </c>
      <c r="HF51" s="54">
        <f t="shared" si="288"/>
        <v>0.60999999999999976</v>
      </c>
      <c r="HG51" s="54">
        <f t="shared" si="288"/>
        <v>0.58999999999999975</v>
      </c>
      <c r="HH51" s="54">
        <f t="shared" si="288"/>
        <v>0.56999999999999973</v>
      </c>
    </row>
    <row r="52" spans="1:216" x14ac:dyDescent="0.3">
      <c r="A52" s="2">
        <v>19</v>
      </c>
      <c r="C52" s="38" t="s">
        <v>26</v>
      </c>
      <c r="D52" s="42">
        <f>35470+18260+52300-400</f>
        <v>105630</v>
      </c>
      <c r="E52" s="72">
        <f t="shared" si="152"/>
        <v>349190</v>
      </c>
      <c r="F52" s="2" t="s">
        <v>307</v>
      </c>
      <c r="H52" s="54">
        <f t="shared" si="61"/>
        <v>384109.00000000006</v>
      </c>
      <c r="I52" s="54">
        <f t="shared" si="62"/>
        <v>384109.00000000006</v>
      </c>
      <c r="J52" s="58">
        <f t="shared" si="63"/>
        <v>1269787.5322000002</v>
      </c>
      <c r="K52" s="54">
        <f t="shared" si="153"/>
        <v>372585.73000000004</v>
      </c>
      <c r="L52" s="58">
        <f t="shared" si="154"/>
        <v>1231693.9062340001</v>
      </c>
      <c r="M52" s="54">
        <f t="shared" si="155"/>
        <v>364903.55000000005</v>
      </c>
      <c r="N52" s="58">
        <f t="shared" si="156"/>
        <v>1206298.1555900001</v>
      </c>
      <c r="O52" s="54">
        <f t="shared" si="157"/>
        <v>357221.37000000005</v>
      </c>
      <c r="P52" s="58">
        <f t="shared" si="158"/>
        <v>1180902.4049460003</v>
      </c>
      <c r="Q52" s="56">
        <f t="shared" si="159"/>
        <v>349539.19000000006</v>
      </c>
      <c r="R52" s="58">
        <f t="shared" si="160"/>
        <v>1155506.6543020003</v>
      </c>
      <c r="S52" s="54">
        <f t="shared" si="161"/>
        <v>341857.01000000007</v>
      </c>
      <c r="T52" s="58">
        <f t="shared" si="162"/>
        <v>1130110.9036580003</v>
      </c>
      <c r="U52" s="56">
        <f t="shared" si="163"/>
        <v>334174.83000000007</v>
      </c>
      <c r="V52" s="58">
        <f t="shared" si="164"/>
        <v>1104715.1530140003</v>
      </c>
      <c r="W52" s="59">
        <f t="shared" si="165"/>
        <v>326492.65000000002</v>
      </c>
      <c r="X52" s="58">
        <f t="shared" si="166"/>
        <v>1079319.40237</v>
      </c>
      <c r="Y52" s="56">
        <f t="shared" si="167"/>
        <v>318810.47000000003</v>
      </c>
      <c r="Z52" s="58">
        <f t="shared" si="168"/>
        <v>1053923.651726</v>
      </c>
      <c r="AA52" s="54">
        <f t="shared" si="169"/>
        <v>311128.29000000004</v>
      </c>
      <c r="AB52" s="58">
        <f t="shared" si="170"/>
        <v>1028527.9010820001</v>
      </c>
      <c r="AC52" s="59">
        <f t="shared" si="171"/>
        <v>303446.11000000004</v>
      </c>
      <c r="AD52" s="58">
        <f t="shared" si="172"/>
        <v>1003132.1504380002</v>
      </c>
      <c r="AE52" s="59">
        <f t="shared" si="173"/>
        <v>295763.93</v>
      </c>
      <c r="AF52" s="58">
        <f t="shared" si="174"/>
        <v>977736.39979399997</v>
      </c>
      <c r="AG52" s="59">
        <f t="shared" si="175"/>
        <v>288081.75</v>
      </c>
      <c r="AH52" s="58">
        <f t="shared" si="176"/>
        <v>952340.64915000007</v>
      </c>
      <c r="AI52" s="54">
        <f t="shared" si="177"/>
        <v>280399.57</v>
      </c>
      <c r="AJ52" s="58">
        <f t="shared" si="178"/>
        <v>926944.89850600006</v>
      </c>
      <c r="AK52" s="59">
        <f t="shared" si="179"/>
        <v>272717.39</v>
      </c>
      <c r="AL52" s="58">
        <f t="shared" si="180"/>
        <v>901549.14786200004</v>
      </c>
      <c r="AM52" s="59">
        <f t="shared" si="181"/>
        <v>265035.20999999996</v>
      </c>
      <c r="AN52" s="58">
        <f t="shared" si="182"/>
        <v>876153.39721799991</v>
      </c>
      <c r="AO52" s="59">
        <f t="shared" si="183"/>
        <v>257353.02999999997</v>
      </c>
      <c r="AP52" s="58">
        <f t="shared" si="184"/>
        <v>850757.6465739999</v>
      </c>
      <c r="AQ52" s="59">
        <f t="shared" si="185"/>
        <v>249670.84999999995</v>
      </c>
      <c r="AR52" s="58">
        <f t="shared" si="186"/>
        <v>825361.89592999988</v>
      </c>
      <c r="AS52" s="54">
        <f t="shared" si="187"/>
        <v>241988.66999999995</v>
      </c>
      <c r="AT52" s="58">
        <f t="shared" si="188"/>
        <v>799966.14528599987</v>
      </c>
      <c r="AU52" s="59">
        <f t="shared" si="189"/>
        <v>234306.48999999993</v>
      </c>
      <c r="AV52" s="58">
        <f t="shared" si="190"/>
        <v>774570.39464199974</v>
      </c>
      <c r="AW52" s="59">
        <f t="shared" si="191"/>
        <v>226624.30999999994</v>
      </c>
      <c r="AX52" s="58">
        <f t="shared" si="192"/>
        <v>749174.64399799984</v>
      </c>
      <c r="AY52" s="54">
        <f t="shared" si="193"/>
        <v>218942.12999999992</v>
      </c>
      <c r="AZ52" s="58">
        <f t="shared" si="194"/>
        <v>723778.89335399971</v>
      </c>
      <c r="BC52" s="54">
        <v>1</v>
      </c>
      <c r="BD52" s="54">
        <v>0.97</v>
      </c>
      <c r="BE52" s="54">
        <v>0.95</v>
      </c>
      <c r="BF52" s="54">
        <v>0.93</v>
      </c>
      <c r="BG52" s="54">
        <f t="shared" si="284"/>
        <v>0.91</v>
      </c>
      <c r="BH52" s="54">
        <f t="shared" si="284"/>
        <v>0.89</v>
      </c>
      <c r="BI52" s="54">
        <f t="shared" si="284"/>
        <v>0.87</v>
      </c>
      <c r="BJ52" s="54">
        <f t="shared" si="284"/>
        <v>0.85</v>
      </c>
      <c r="BK52" s="54">
        <f t="shared" si="284"/>
        <v>0.83</v>
      </c>
      <c r="BL52" s="54">
        <f t="shared" si="284"/>
        <v>0.80999999999999994</v>
      </c>
      <c r="BM52" s="54">
        <f t="shared" si="284"/>
        <v>0.78999999999999992</v>
      </c>
      <c r="BN52" s="54">
        <f t="shared" si="284"/>
        <v>0.76999999999999991</v>
      </c>
      <c r="BO52" s="54">
        <f t="shared" si="284"/>
        <v>0.74999999999999989</v>
      </c>
      <c r="BP52" s="54">
        <f t="shared" si="284"/>
        <v>0.72999999999999987</v>
      </c>
      <c r="BQ52" s="54">
        <f t="shared" si="284"/>
        <v>0.70999999999999985</v>
      </c>
      <c r="BR52" s="54">
        <f t="shared" si="284"/>
        <v>0.68999999999999984</v>
      </c>
      <c r="BS52" s="54">
        <f t="shared" si="284"/>
        <v>0.66999999999999982</v>
      </c>
      <c r="BT52" s="54">
        <f t="shared" si="284"/>
        <v>0.6499999999999998</v>
      </c>
      <c r="BU52" s="54">
        <f t="shared" si="284"/>
        <v>0.62999999999999978</v>
      </c>
      <c r="BV52" s="54">
        <f t="shared" si="284"/>
        <v>0.60999999999999976</v>
      </c>
      <c r="BW52" s="54">
        <f t="shared" si="284"/>
        <v>0.58999999999999975</v>
      </c>
      <c r="BX52" s="54">
        <f t="shared" si="284"/>
        <v>0.56999999999999973</v>
      </c>
      <c r="BZ52" s="54">
        <f t="shared" si="88"/>
        <v>349539.19000000006</v>
      </c>
      <c r="CA52" s="54">
        <f t="shared" si="89"/>
        <v>349539.19000000006</v>
      </c>
      <c r="CB52" s="58">
        <f t="shared" si="195"/>
        <v>1155506.6543020003</v>
      </c>
      <c r="CC52" s="54">
        <f t="shared" si="196"/>
        <v>339053.01430000004</v>
      </c>
      <c r="CD52" s="58">
        <f t="shared" si="197"/>
        <v>1120841.4546729401</v>
      </c>
      <c r="CE52" s="54">
        <f t="shared" si="198"/>
        <v>332062.23050000006</v>
      </c>
      <c r="CF52" s="58">
        <f t="shared" si="199"/>
        <v>1097731.3215869002</v>
      </c>
      <c r="CG52" s="54">
        <f t="shared" si="200"/>
        <v>325071.44670000009</v>
      </c>
      <c r="CH52" s="58">
        <f t="shared" si="201"/>
        <v>1074621.1885008602</v>
      </c>
      <c r="CI52" s="56">
        <f t="shared" si="202"/>
        <v>318080.66290000005</v>
      </c>
      <c r="CJ52" s="58">
        <f t="shared" si="203"/>
        <v>1051511.0554148201</v>
      </c>
      <c r="CK52" s="54">
        <f t="shared" si="204"/>
        <v>311089.87910000008</v>
      </c>
      <c r="CL52" s="58">
        <f t="shared" si="205"/>
        <v>1028400.9223287803</v>
      </c>
      <c r="CM52" s="56">
        <f t="shared" si="206"/>
        <v>304099.09530000004</v>
      </c>
      <c r="CN52" s="58">
        <f t="shared" si="207"/>
        <v>1005290.7892427401</v>
      </c>
      <c r="CO52" s="59">
        <f t="shared" si="208"/>
        <v>297108.31150000007</v>
      </c>
      <c r="CP52" s="58">
        <f t="shared" si="209"/>
        <v>982180.65615670022</v>
      </c>
      <c r="CQ52" s="56">
        <f t="shared" si="210"/>
        <v>290117.52770000004</v>
      </c>
      <c r="CR52" s="58">
        <f t="shared" si="211"/>
        <v>959070.52307066019</v>
      </c>
      <c r="CS52" s="54">
        <f t="shared" si="212"/>
        <v>283126.7439</v>
      </c>
      <c r="CT52" s="58">
        <f t="shared" si="213"/>
        <v>935960.38998462004</v>
      </c>
      <c r="CU52" s="59">
        <f t="shared" si="214"/>
        <v>276135.96010000003</v>
      </c>
      <c r="CV52" s="58">
        <f t="shared" si="215"/>
        <v>912850.25689858012</v>
      </c>
      <c r="CW52" s="59">
        <f t="shared" si="216"/>
        <v>269145.17629999999</v>
      </c>
      <c r="CX52" s="58">
        <f t="shared" si="217"/>
        <v>889740.12381253997</v>
      </c>
      <c r="CY52" s="59">
        <f t="shared" si="218"/>
        <v>262154.39250000002</v>
      </c>
      <c r="CZ52" s="58">
        <f t="shared" si="219"/>
        <v>866629.99072650005</v>
      </c>
      <c r="DA52" s="54">
        <f t="shared" si="220"/>
        <v>255163.60870000001</v>
      </c>
      <c r="DB52" s="58">
        <f t="shared" si="221"/>
        <v>843519.85764046002</v>
      </c>
      <c r="DC52" s="59">
        <f t="shared" si="222"/>
        <v>248172.82489999998</v>
      </c>
      <c r="DD52" s="58">
        <f t="shared" si="223"/>
        <v>820409.72455441998</v>
      </c>
      <c r="DE52" s="59">
        <f t="shared" si="224"/>
        <v>241182.04109999997</v>
      </c>
      <c r="DF52" s="58">
        <f t="shared" si="225"/>
        <v>797299.59146837995</v>
      </c>
      <c r="DG52" s="59">
        <f t="shared" si="226"/>
        <v>234191.25729999997</v>
      </c>
      <c r="DH52" s="58">
        <f t="shared" si="227"/>
        <v>774189.45838233992</v>
      </c>
      <c r="DI52" s="59">
        <f t="shared" si="228"/>
        <v>227200.47349999996</v>
      </c>
      <c r="DJ52" s="58">
        <f t="shared" si="229"/>
        <v>751079.32529629988</v>
      </c>
      <c r="DK52" s="54">
        <f t="shared" si="230"/>
        <v>220209.68969999996</v>
      </c>
      <c r="DL52" s="58">
        <f t="shared" si="231"/>
        <v>727969.19221025985</v>
      </c>
      <c r="DM52" s="59">
        <f t="shared" si="232"/>
        <v>213218.90589999995</v>
      </c>
      <c r="DN52" s="58">
        <f t="shared" si="233"/>
        <v>704859.05912421981</v>
      </c>
      <c r="DO52" s="59">
        <f t="shared" si="234"/>
        <v>206228.12209999995</v>
      </c>
      <c r="DP52" s="58">
        <f t="shared" si="235"/>
        <v>681748.9260381799</v>
      </c>
      <c r="DQ52" s="54">
        <f t="shared" si="236"/>
        <v>199237.33829999994</v>
      </c>
      <c r="DR52" s="58">
        <f t="shared" si="237"/>
        <v>658638.79295213986</v>
      </c>
      <c r="DU52" s="54">
        <v>1</v>
      </c>
      <c r="DV52" s="54">
        <v>0.97</v>
      </c>
      <c r="DW52" s="54">
        <v>0.95</v>
      </c>
      <c r="DX52" s="54">
        <v>0.93</v>
      </c>
      <c r="DY52" s="54">
        <f t="shared" si="287"/>
        <v>0.91</v>
      </c>
      <c r="DZ52" s="54">
        <f t="shared" si="287"/>
        <v>0.89</v>
      </c>
      <c r="EA52" s="54">
        <f t="shared" si="287"/>
        <v>0.87</v>
      </c>
      <c r="EB52" s="54">
        <f t="shared" si="287"/>
        <v>0.85</v>
      </c>
      <c r="EC52" s="54">
        <f t="shared" si="287"/>
        <v>0.83</v>
      </c>
      <c r="ED52" s="54">
        <f t="shared" si="287"/>
        <v>0.80999999999999994</v>
      </c>
      <c r="EE52" s="54">
        <f t="shared" si="287"/>
        <v>0.78999999999999992</v>
      </c>
      <c r="EF52" s="54">
        <f t="shared" si="287"/>
        <v>0.76999999999999991</v>
      </c>
      <c r="EG52" s="54">
        <f t="shared" si="287"/>
        <v>0.74999999999999989</v>
      </c>
      <c r="EH52" s="54">
        <f t="shared" si="287"/>
        <v>0.72999999999999987</v>
      </c>
      <c r="EI52" s="54">
        <f t="shared" si="287"/>
        <v>0.70999999999999985</v>
      </c>
      <c r="EJ52" s="54">
        <f t="shared" si="287"/>
        <v>0.68999999999999984</v>
      </c>
      <c r="EK52" s="54">
        <f t="shared" si="287"/>
        <v>0.66999999999999982</v>
      </c>
      <c r="EL52" s="54">
        <f t="shared" si="287"/>
        <v>0.6499999999999998</v>
      </c>
      <c r="EM52" s="54">
        <f t="shared" si="287"/>
        <v>0.62999999999999978</v>
      </c>
      <c r="EN52" s="54">
        <f t="shared" si="287"/>
        <v>0.60999999999999976</v>
      </c>
      <c r="EO52" s="54">
        <f t="shared" si="287"/>
        <v>0.58999999999999975</v>
      </c>
      <c r="EP52" s="54">
        <f t="shared" si="287"/>
        <v>0.56999999999999973</v>
      </c>
      <c r="ER52" s="54">
        <f t="shared" si="142"/>
        <v>318080.66290000005</v>
      </c>
      <c r="ES52" s="54">
        <f t="shared" si="116"/>
        <v>318080.66290000005</v>
      </c>
      <c r="ET52" s="58">
        <f t="shared" si="239"/>
        <v>1051511.0554148201</v>
      </c>
      <c r="EU52" s="54">
        <f t="shared" si="240"/>
        <v>308538.24301300006</v>
      </c>
      <c r="EV52" s="58">
        <f t="shared" si="241"/>
        <v>1019965.7237523756</v>
      </c>
      <c r="EW52" s="54">
        <f t="shared" si="242"/>
        <v>302176.62975500006</v>
      </c>
      <c r="EX52" s="58">
        <f t="shared" si="243"/>
        <v>998935.50264407927</v>
      </c>
      <c r="EY52" s="54">
        <f t="shared" si="244"/>
        <v>295815.01649700006</v>
      </c>
      <c r="EZ52" s="58">
        <f t="shared" si="245"/>
        <v>977905.28153578285</v>
      </c>
      <c r="FA52" s="56">
        <f t="shared" si="246"/>
        <v>289453.40323900006</v>
      </c>
      <c r="FB52" s="58">
        <f t="shared" si="247"/>
        <v>956875.06042748643</v>
      </c>
      <c r="FC52" s="54">
        <f t="shared" si="248"/>
        <v>283091.78998100007</v>
      </c>
      <c r="FD52" s="58">
        <f t="shared" si="249"/>
        <v>935844.83931919001</v>
      </c>
      <c r="FE52" s="56">
        <f t="shared" si="250"/>
        <v>276730.17672300007</v>
      </c>
      <c r="FF52" s="58">
        <f t="shared" si="251"/>
        <v>914814.61821089371</v>
      </c>
      <c r="FG52" s="59">
        <f t="shared" si="252"/>
        <v>270368.56346500001</v>
      </c>
      <c r="FH52" s="58">
        <f t="shared" si="253"/>
        <v>893784.39710259705</v>
      </c>
      <c r="FI52" s="56">
        <f t="shared" si="254"/>
        <v>264006.95020700002</v>
      </c>
      <c r="FJ52" s="58">
        <f t="shared" si="255"/>
        <v>872754.17599430063</v>
      </c>
      <c r="FK52" s="54">
        <f t="shared" si="256"/>
        <v>257645.33694900002</v>
      </c>
      <c r="FL52" s="58">
        <f t="shared" si="257"/>
        <v>851723.95488600433</v>
      </c>
      <c r="FM52" s="59">
        <f t="shared" si="258"/>
        <v>251283.72369100002</v>
      </c>
      <c r="FN52" s="58">
        <f t="shared" si="259"/>
        <v>830693.73377770791</v>
      </c>
      <c r="FO52" s="59">
        <f t="shared" si="260"/>
        <v>244922.11043300002</v>
      </c>
      <c r="FP52" s="58">
        <f t="shared" si="261"/>
        <v>809663.51266941149</v>
      </c>
      <c r="FQ52" s="59">
        <f t="shared" si="262"/>
        <v>238560.497175</v>
      </c>
      <c r="FR52" s="58">
        <f t="shared" si="263"/>
        <v>788633.29156111495</v>
      </c>
      <c r="FS52" s="54">
        <f t="shared" si="264"/>
        <v>232198.883917</v>
      </c>
      <c r="FT52" s="58">
        <f t="shared" si="265"/>
        <v>767603.07045281865</v>
      </c>
      <c r="FU52" s="59">
        <f t="shared" si="266"/>
        <v>225837.270659</v>
      </c>
      <c r="FV52" s="58">
        <f t="shared" si="267"/>
        <v>746572.84934452223</v>
      </c>
      <c r="FW52" s="59">
        <f t="shared" si="268"/>
        <v>219475.65740099997</v>
      </c>
      <c r="FX52" s="58">
        <f t="shared" si="269"/>
        <v>725542.62823622569</v>
      </c>
      <c r="FY52" s="59">
        <f t="shared" si="270"/>
        <v>213114.04414299998</v>
      </c>
      <c r="FZ52" s="58">
        <f t="shared" si="271"/>
        <v>704512.40712792939</v>
      </c>
      <c r="GA52" s="59">
        <f t="shared" si="272"/>
        <v>206752.43088499998</v>
      </c>
      <c r="GB52" s="58">
        <f t="shared" si="273"/>
        <v>683482.18601963297</v>
      </c>
      <c r="GC52" s="54">
        <f t="shared" si="274"/>
        <v>200390.81762699995</v>
      </c>
      <c r="GD52" s="58">
        <f t="shared" si="275"/>
        <v>662451.96491133643</v>
      </c>
      <c r="GE52" s="59">
        <f t="shared" si="276"/>
        <v>194029.20436899996</v>
      </c>
      <c r="GF52" s="58">
        <f t="shared" si="277"/>
        <v>641421.74380304012</v>
      </c>
      <c r="GG52" s="59">
        <f t="shared" si="278"/>
        <v>187667.59111099996</v>
      </c>
      <c r="GH52" s="58">
        <f t="shared" si="279"/>
        <v>620391.5226947437</v>
      </c>
      <c r="GI52" s="54">
        <f t="shared" si="280"/>
        <v>181305.97785299993</v>
      </c>
      <c r="GJ52" s="58">
        <f t="shared" si="281"/>
        <v>599361.30158644717</v>
      </c>
      <c r="GK52" s="54"/>
      <c r="GL52" s="54"/>
      <c r="GM52" s="54">
        <v>1</v>
      </c>
      <c r="GN52" s="54">
        <v>0.97</v>
      </c>
      <c r="GO52" s="54">
        <v>0.95</v>
      </c>
      <c r="GP52" s="54">
        <v>0.93</v>
      </c>
      <c r="GQ52" s="54">
        <f t="shared" si="288"/>
        <v>0.91</v>
      </c>
      <c r="GR52" s="54">
        <f t="shared" si="288"/>
        <v>0.89</v>
      </c>
      <c r="GS52" s="54">
        <f t="shared" si="288"/>
        <v>0.87</v>
      </c>
      <c r="GT52" s="54">
        <f t="shared" si="288"/>
        <v>0.85</v>
      </c>
      <c r="GU52" s="54">
        <f t="shared" si="288"/>
        <v>0.83</v>
      </c>
      <c r="GV52" s="54">
        <f t="shared" si="288"/>
        <v>0.80999999999999994</v>
      </c>
      <c r="GW52" s="54">
        <f t="shared" si="288"/>
        <v>0.78999999999999992</v>
      </c>
      <c r="GX52" s="54">
        <f t="shared" si="288"/>
        <v>0.76999999999999991</v>
      </c>
      <c r="GY52" s="54">
        <f t="shared" si="288"/>
        <v>0.74999999999999989</v>
      </c>
      <c r="GZ52" s="54">
        <f t="shared" si="288"/>
        <v>0.72999999999999987</v>
      </c>
      <c r="HA52" s="54">
        <f t="shared" si="288"/>
        <v>0.70999999999999985</v>
      </c>
      <c r="HB52" s="54">
        <f t="shared" si="288"/>
        <v>0.68999999999999984</v>
      </c>
      <c r="HC52" s="54">
        <f t="shared" si="288"/>
        <v>0.66999999999999982</v>
      </c>
      <c r="HD52" s="54">
        <f t="shared" si="288"/>
        <v>0.6499999999999998</v>
      </c>
      <c r="HE52" s="54">
        <f t="shared" si="288"/>
        <v>0.62999999999999978</v>
      </c>
      <c r="HF52" s="54">
        <f t="shared" si="288"/>
        <v>0.60999999999999976</v>
      </c>
      <c r="HG52" s="54">
        <f t="shared" si="288"/>
        <v>0.58999999999999975</v>
      </c>
      <c r="HH52" s="54">
        <f t="shared" si="288"/>
        <v>0.56999999999999973</v>
      </c>
    </row>
    <row r="53" spans="1:216" ht="17.25" thickBot="1" x14ac:dyDescent="0.35">
      <c r="A53" s="2">
        <v>20</v>
      </c>
      <c r="C53" s="38" t="s">
        <v>149</v>
      </c>
      <c r="D53" s="43">
        <f>TRUNC(128634.93947306,-1)</f>
        <v>128630</v>
      </c>
      <c r="E53" s="73">
        <f t="shared" si="152"/>
        <v>425220</v>
      </c>
      <c r="F53" s="2" t="s">
        <v>322</v>
      </c>
      <c r="H53" s="54">
        <f t="shared" si="61"/>
        <v>467742.00000000006</v>
      </c>
      <c r="I53" s="54">
        <f t="shared" si="62"/>
        <v>467742.00000000006</v>
      </c>
      <c r="J53" s="58">
        <f t="shared" si="63"/>
        <v>1546261.5036000002</v>
      </c>
      <c r="K53" s="54">
        <f t="shared" si="153"/>
        <v>453709.74000000005</v>
      </c>
      <c r="L53" s="58">
        <f t="shared" si="154"/>
        <v>1499873.6584920003</v>
      </c>
      <c r="M53" s="54">
        <f t="shared" si="155"/>
        <v>444354.9</v>
      </c>
      <c r="N53" s="58">
        <f t="shared" si="156"/>
        <v>1468948.42842</v>
      </c>
      <c r="O53" s="54">
        <f t="shared" si="157"/>
        <v>435000.06000000006</v>
      </c>
      <c r="P53" s="58">
        <f t="shared" si="158"/>
        <v>1438023.1983480002</v>
      </c>
      <c r="Q53" s="56">
        <f t="shared" si="159"/>
        <v>425645.22000000009</v>
      </c>
      <c r="R53" s="58">
        <f t="shared" si="160"/>
        <v>1407097.9682760003</v>
      </c>
      <c r="S53" s="54">
        <f t="shared" si="161"/>
        <v>416290.38000000006</v>
      </c>
      <c r="T53" s="58">
        <f t="shared" si="162"/>
        <v>1376172.7382040003</v>
      </c>
      <c r="U53" s="56">
        <f t="shared" si="163"/>
        <v>406935.54000000004</v>
      </c>
      <c r="V53" s="58">
        <f t="shared" si="164"/>
        <v>1345247.5081320002</v>
      </c>
      <c r="W53" s="59">
        <f t="shared" si="165"/>
        <v>397580.7</v>
      </c>
      <c r="X53" s="58">
        <f t="shared" si="166"/>
        <v>1314322.2780600002</v>
      </c>
      <c r="Y53" s="56">
        <f t="shared" si="167"/>
        <v>388225.86000000004</v>
      </c>
      <c r="Z53" s="58">
        <f t="shared" si="168"/>
        <v>1283397.0479880001</v>
      </c>
      <c r="AA53" s="54">
        <f t="shared" si="169"/>
        <v>378871.02</v>
      </c>
      <c r="AB53" s="58">
        <f t="shared" si="170"/>
        <v>1252471.817916</v>
      </c>
      <c r="AC53" s="59">
        <f t="shared" si="171"/>
        <v>369516.18</v>
      </c>
      <c r="AD53" s="58">
        <f t="shared" si="172"/>
        <v>1221546.587844</v>
      </c>
      <c r="AE53" s="59">
        <f t="shared" si="173"/>
        <v>360161.34</v>
      </c>
      <c r="AF53" s="58">
        <f t="shared" si="174"/>
        <v>1190621.3577720001</v>
      </c>
      <c r="AG53" s="59">
        <f t="shared" si="175"/>
        <v>350806.5</v>
      </c>
      <c r="AH53" s="58">
        <f t="shared" si="176"/>
        <v>1159696.1277000001</v>
      </c>
      <c r="AI53" s="54">
        <f t="shared" si="177"/>
        <v>341451.66</v>
      </c>
      <c r="AJ53" s="58">
        <f t="shared" si="178"/>
        <v>1128770.897628</v>
      </c>
      <c r="AK53" s="59">
        <f t="shared" si="179"/>
        <v>332096.81999999995</v>
      </c>
      <c r="AL53" s="58">
        <f t="shared" si="180"/>
        <v>1097845.6675559999</v>
      </c>
      <c r="AM53" s="59">
        <f t="shared" si="181"/>
        <v>322741.98</v>
      </c>
      <c r="AN53" s="58">
        <f t="shared" si="182"/>
        <v>1066920.4374839999</v>
      </c>
      <c r="AO53" s="59">
        <f t="shared" si="183"/>
        <v>313387.13999999996</v>
      </c>
      <c r="AP53" s="58">
        <f t="shared" si="184"/>
        <v>1035995.2074119999</v>
      </c>
      <c r="AQ53" s="59">
        <f t="shared" si="185"/>
        <v>304032.29999999993</v>
      </c>
      <c r="AR53" s="58">
        <f t="shared" si="186"/>
        <v>1005069.9773399998</v>
      </c>
      <c r="AS53" s="54">
        <f t="shared" si="187"/>
        <v>294677.45999999996</v>
      </c>
      <c r="AT53" s="58">
        <f t="shared" si="188"/>
        <v>974144.74726799992</v>
      </c>
      <c r="AU53" s="59">
        <f t="shared" si="189"/>
        <v>285322.61999999994</v>
      </c>
      <c r="AV53" s="58">
        <f t="shared" si="190"/>
        <v>943219.51719599986</v>
      </c>
      <c r="AW53" s="59">
        <f t="shared" si="191"/>
        <v>275967.77999999991</v>
      </c>
      <c r="AX53" s="58">
        <f t="shared" si="192"/>
        <v>912294.28712399967</v>
      </c>
      <c r="AY53" s="54">
        <f t="shared" si="193"/>
        <v>266612.93999999989</v>
      </c>
      <c r="AZ53" s="58">
        <f t="shared" si="194"/>
        <v>881369.05705199961</v>
      </c>
      <c r="BC53" s="54">
        <v>1</v>
      </c>
      <c r="BD53" s="54">
        <v>0.97</v>
      </c>
      <c r="BE53" s="54">
        <v>0.95</v>
      </c>
      <c r="BF53" s="54">
        <v>0.93</v>
      </c>
      <c r="BG53" s="54">
        <f t="shared" si="284"/>
        <v>0.91</v>
      </c>
      <c r="BH53" s="54">
        <f t="shared" si="284"/>
        <v>0.89</v>
      </c>
      <c r="BI53" s="54">
        <f t="shared" si="284"/>
        <v>0.87</v>
      </c>
      <c r="BJ53" s="54">
        <f t="shared" si="284"/>
        <v>0.85</v>
      </c>
      <c r="BK53" s="54">
        <f t="shared" si="284"/>
        <v>0.83</v>
      </c>
      <c r="BL53" s="54">
        <f t="shared" si="284"/>
        <v>0.80999999999999994</v>
      </c>
      <c r="BM53" s="54">
        <f t="shared" si="284"/>
        <v>0.78999999999999992</v>
      </c>
      <c r="BN53" s="54">
        <f t="shared" si="284"/>
        <v>0.76999999999999991</v>
      </c>
      <c r="BO53" s="54">
        <f t="shared" si="284"/>
        <v>0.74999999999999989</v>
      </c>
      <c r="BP53" s="54">
        <f t="shared" si="284"/>
        <v>0.72999999999999987</v>
      </c>
      <c r="BQ53" s="54">
        <f t="shared" si="284"/>
        <v>0.70999999999999985</v>
      </c>
      <c r="BR53" s="54">
        <f t="shared" si="284"/>
        <v>0.68999999999999984</v>
      </c>
      <c r="BS53" s="54">
        <f t="shared" si="284"/>
        <v>0.66999999999999982</v>
      </c>
      <c r="BT53" s="54">
        <f t="shared" si="284"/>
        <v>0.6499999999999998</v>
      </c>
      <c r="BU53" s="54">
        <f t="shared" si="284"/>
        <v>0.62999999999999978</v>
      </c>
      <c r="BV53" s="54">
        <f t="shared" si="284"/>
        <v>0.60999999999999976</v>
      </c>
      <c r="BW53" s="54">
        <f t="shared" si="284"/>
        <v>0.58999999999999975</v>
      </c>
      <c r="BX53" s="54">
        <f t="shared" si="284"/>
        <v>0.56999999999999973</v>
      </c>
      <c r="BZ53" s="54">
        <f t="shared" si="88"/>
        <v>425645.22000000009</v>
      </c>
      <c r="CA53" s="54">
        <f t="shared" si="89"/>
        <v>425645.22000000009</v>
      </c>
      <c r="CB53" s="58">
        <f t="shared" si="195"/>
        <v>1407097.9682760003</v>
      </c>
      <c r="CC53" s="54">
        <f t="shared" si="196"/>
        <v>412875.86340000009</v>
      </c>
      <c r="CD53" s="58">
        <f t="shared" si="197"/>
        <v>1364885.0292277203</v>
      </c>
      <c r="CE53" s="54">
        <f t="shared" si="198"/>
        <v>404362.95900000009</v>
      </c>
      <c r="CF53" s="58">
        <f t="shared" si="199"/>
        <v>1336743.0698622004</v>
      </c>
      <c r="CG53" s="54">
        <f t="shared" si="200"/>
        <v>395850.05460000009</v>
      </c>
      <c r="CH53" s="58">
        <f t="shared" si="201"/>
        <v>1308601.1104966803</v>
      </c>
      <c r="CI53" s="56">
        <f t="shared" si="202"/>
        <v>387337.15020000009</v>
      </c>
      <c r="CJ53" s="58">
        <f t="shared" si="203"/>
        <v>1280459.1511311603</v>
      </c>
      <c r="CK53" s="54">
        <f t="shared" si="204"/>
        <v>378824.24580000009</v>
      </c>
      <c r="CL53" s="58">
        <f t="shared" si="205"/>
        <v>1252317.1917656404</v>
      </c>
      <c r="CM53" s="56">
        <f t="shared" si="206"/>
        <v>370311.34140000009</v>
      </c>
      <c r="CN53" s="58">
        <f t="shared" si="207"/>
        <v>1224175.2324001202</v>
      </c>
      <c r="CO53" s="59">
        <f t="shared" si="208"/>
        <v>361798.43700000009</v>
      </c>
      <c r="CP53" s="58">
        <f t="shared" si="209"/>
        <v>1196033.2730346003</v>
      </c>
      <c r="CQ53" s="56">
        <f t="shared" si="210"/>
        <v>353285.53260000004</v>
      </c>
      <c r="CR53" s="58">
        <f t="shared" si="211"/>
        <v>1167891.3136690801</v>
      </c>
      <c r="CS53" s="54">
        <f t="shared" si="212"/>
        <v>344772.62820000004</v>
      </c>
      <c r="CT53" s="58">
        <f t="shared" si="213"/>
        <v>1139749.3543035602</v>
      </c>
      <c r="CU53" s="59">
        <f t="shared" si="214"/>
        <v>336259.72380000004</v>
      </c>
      <c r="CV53" s="58">
        <f t="shared" si="215"/>
        <v>1111607.3949380401</v>
      </c>
      <c r="CW53" s="59">
        <f t="shared" si="216"/>
        <v>327746.81940000004</v>
      </c>
      <c r="CX53" s="58">
        <f t="shared" si="217"/>
        <v>1083465.4355725201</v>
      </c>
      <c r="CY53" s="59">
        <f t="shared" si="218"/>
        <v>319233.91500000004</v>
      </c>
      <c r="CZ53" s="58">
        <f t="shared" si="219"/>
        <v>1055323.4762070002</v>
      </c>
      <c r="DA53" s="54">
        <f t="shared" si="220"/>
        <v>310721.01060000004</v>
      </c>
      <c r="DB53" s="58">
        <f t="shared" si="221"/>
        <v>1027181.5168414802</v>
      </c>
      <c r="DC53" s="59">
        <f t="shared" si="222"/>
        <v>302208.10619999998</v>
      </c>
      <c r="DD53" s="58">
        <f t="shared" si="223"/>
        <v>999039.55747596</v>
      </c>
      <c r="DE53" s="59">
        <f t="shared" si="224"/>
        <v>293695.20179999998</v>
      </c>
      <c r="DF53" s="58">
        <f t="shared" si="225"/>
        <v>970897.59811043995</v>
      </c>
      <c r="DG53" s="59">
        <f t="shared" si="226"/>
        <v>285182.29739999998</v>
      </c>
      <c r="DH53" s="58">
        <f t="shared" si="227"/>
        <v>942755.63874491991</v>
      </c>
      <c r="DI53" s="59">
        <f t="shared" si="228"/>
        <v>276669.39299999998</v>
      </c>
      <c r="DJ53" s="58">
        <f t="shared" si="229"/>
        <v>914613.67937939998</v>
      </c>
      <c r="DK53" s="54">
        <f t="shared" si="230"/>
        <v>268156.48859999998</v>
      </c>
      <c r="DL53" s="58">
        <f t="shared" si="231"/>
        <v>886471.72001387994</v>
      </c>
      <c r="DM53" s="59">
        <f t="shared" si="232"/>
        <v>259643.58419999995</v>
      </c>
      <c r="DN53" s="58">
        <f t="shared" si="233"/>
        <v>858329.76064835989</v>
      </c>
      <c r="DO53" s="59">
        <f t="shared" si="234"/>
        <v>251130.67979999995</v>
      </c>
      <c r="DP53" s="58">
        <f t="shared" si="235"/>
        <v>830187.80128283985</v>
      </c>
      <c r="DQ53" s="54">
        <f t="shared" si="236"/>
        <v>242617.77539999993</v>
      </c>
      <c r="DR53" s="58">
        <f t="shared" si="237"/>
        <v>802045.84191731981</v>
      </c>
      <c r="DU53" s="54">
        <v>1</v>
      </c>
      <c r="DV53" s="54">
        <v>0.97</v>
      </c>
      <c r="DW53" s="54">
        <v>0.95</v>
      </c>
      <c r="DX53" s="54">
        <v>0.93</v>
      </c>
      <c r="DY53" s="54">
        <f t="shared" si="287"/>
        <v>0.91</v>
      </c>
      <c r="DZ53" s="54">
        <f t="shared" si="287"/>
        <v>0.89</v>
      </c>
      <c r="EA53" s="54">
        <f t="shared" si="287"/>
        <v>0.87</v>
      </c>
      <c r="EB53" s="54">
        <f t="shared" si="287"/>
        <v>0.85</v>
      </c>
      <c r="EC53" s="54">
        <f t="shared" si="287"/>
        <v>0.83</v>
      </c>
      <c r="ED53" s="54">
        <f t="shared" si="287"/>
        <v>0.80999999999999994</v>
      </c>
      <c r="EE53" s="54">
        <f t="shared" si="287"/>
        <v>0.78999999999999992</v>
      </c>
      <c r="EF53" s="54">
        <f t="shared" si="287"/>
        <v>0.76999999999999991</v>
      </c>
      <c r="EG53" s="54">
        <f t="shared" si="287"/>
        <v>0.74999999999999989</v>
      </c>
      <c r="EH53" s="54">
        <f t="shared" si="287"/>
        <v>0.72999999999999987</v>
      </c>
      <c r="EI53" s="54">
        <f t="shared" si="287"/>
        <v>0.70999999999999985</v>
      </c>
      <c r="EJ53" s="54">
        <f t="shared" si="287"/>
        <v>0.68999999999999984</v>
      </c>
      <c r="EK53" s="54">
        <f t="shared" si="287"/>
        <v>0.66999999999999982</v>
      </c>
      <c r="EL53" s="54">
        <f t="shared" si="287"/>
        <v>0.6499999999999998</v>
      </c>
      <c r="EM53" s="54">
        <f t="shared" si="287"/>
        <v>0.62999999999999978</v>
      </c>
      <c r="EN53" s="54">
        <f t="shared" si="287"/>
        <v>0.60999999999999976</v>
      </c>
      <c r="EO53" s="54">
        <f t="shared" si="287"/>
        <v>0.58999999999999975</v>
      </c>
      <c r="EP53" s="54">
        <f t="shared" si="287"/>
        <v>0.56999999999999973</v>
      </c>
      <c r="ER53" s="54">
        <f t="shared" si="142"/>
        <v>387337.15020000009</v>
      </c>
      <c r="ES53" s="54">
        <f t="shared" si="116"/>
        <v>387337.15020000009</v>
      </c>
      <c r="ET53" s="58">
        <f t="shared" si="239"/>
        <v>1280459.1511311603</v>
      </c>
      <c r="EU53" s="54">
        <f t="shared" si="240"/>
        <v>375717.03569400008</v>
      </c>
      <c r="EV53" s="58">
        <f t="shared" si="241"/>
        <v>1242045.3765972254</v>
      </c>
      <c r="EW53" s="54">
        <f t="shared" si="242"/>
        <v>367970.29269000009</v>
      </c>
      <c r="EX53" s="58">
        <f t="shared" si="243"/>
        <v>1216436.1935746023</v>
      </c>
      <c r="EY53" s="54">
        <f t="shared" si="244"/>
        <v>360223.5496860001</v>
      </c>
      <c r="EZ53" s="58">
        <f t="shared" si="245"/>
        <v>1190827.0105519791</v>
      </c>
      <c r="FA53" s="56">
        <f t="shared" si="246"/>
        <v>352476.80668200011</v>
      </c>
      <c r="FB53" s="58">
        <f t="shared" si="247"/>
        <v>1165217.8275293559</v>
      </c>
      <c r="FC53" s="54">
        <f t="shared" si="248"/>
        <v>344730.06367800006</v>
      </c>
      <c r="FD53" s="58">
        <f t="shared" si="249"/>
        <v>1139608.6445067327</v>
      </c>
      <c r="FE53" s="56">
        <f t="shared" si="250"/>
        <v>336983.32067400008</v>
      </c>
      <c r="FF53" s="58">
        <f t="shared" si="251"/>
        <v>1113999.4614841095</v>
      </c>
      <c r="FG53" s="59">
        <f t="shared" si="252"/>
        <v>329236.57767000009</v>
      </c>
      <c r="FH53" s="58">
        <f t="shared" si="253"/>
        <v>1088390.2784614863</v>
      </c>
      <c r="FI53" s="56">
        <f t="shared" si="254"/>
        <v>321489.83466600004</v>
      </c>
      <c r="FJ53" s="58">
        <f t="shared" si="255"/>
        <v>1062781.0954388629</v>
      </c>
      <c r="FK53" s="54">
        <f t="shared" si="256"/>
        <v>313743.09166200005</v>
      </c>
      <c r="FL53" s="58">
        <f t="shared" si="257"/>
        <v>1037171.9124162397</v>
      </c>
      <c r="FM53" s="59">
        <f t="shared" si="258"/>
        <v>305996.34865800006</v>
      </c>
      <c r="FN53" s="58">
        <f t="shared" si="259"/>
        <v>1011562.7293936167</v>
      </c>
      <c r="FO53" s="59">
        <f t="shared" si="260"/>
        <v>298249.60565400001</v>
      </c>
      <c r="FP53" s="58">
        <f t="shared" si="261"/>
        <v>985953.54637099325</v>
      </c>
      <c r="FQ53" s="59">
        <f t="shared" si="262"/>
        <v>290502.86265000002</v>
      </c>
      <c r="FR53" s="58">
        <f t="shared" si="263"/>
        <v>960344.36334837007</v>
      </c>
      <c r="FS53" s="54">
        <f t="shared" si="264"/>
        <v>282756.11964600004</v>
      </c>
      <c r="FT53" s="58">
        <f t="shared" si="265"/>
        <v>934735.18032574689</v>
      </c>
      <c r="FU53" s="59">
        <f t="shared" si="266"/>
        <v>275009.37664199999</v>
      </c>
      <c r="FV53" s="58">
        <f t="shared" si="267"/>
        <v>909125.99730312359</v>
      </c>
      <c r="FW53" s="59">
        <f t="shared" si="268"/>
        <v>267262.633638</v>
      </c>
      <c r="FX53" s="58">
        <f t="shared" si="269"/>
        <v>883516.8142805004</v>
      </c>
      <c r="FY53" s="59">
        <f t="shared" si="270"/>
        <v>259515.89063399998</v>
      </c>
      <c r="FZ53" s="58">
        <f t="shared" si="271"/>
        <v>857907.6312578771</v>
      </c>
      <c r="GA53" s="59">
        <f t="shared" si="272"/>
        <v>251769.14762999999</v>
      </c>
      <c r="GB53" s="58">
        <f t="shared" si="273"/>
        <v>832298.44823525404</v>
      </c>
      <c r="GC53" s="54">
        <f t="shared" si="274"/>
        <v>244022.40462599997</v>
      </c>
      <c r="GD53" s="58">
        <f t="shared" si="275"/>
        <v>806689.26521263074</v>
      </c>
      <c r="GE53" s="59">
        <f t="shared" si="276"/>
        <v>236275.66162199996</v>
      </c>
      <c r="GF53" s="58">
        <f t="shared" si="277"/>
        <v>781080.08219000744</v>
      </c>
      <c r="GG53" s="59">
        <f t="shared" si="278"/>
        <v>228528.91861799997</v>
      </c>
      <c r="GH53" s="58">
        <f t="shared" si="279"/>
        <v>755470.89916738425</v>
      </c>
      <c r="GI53" s="54">
        <f t="shared" si="280"/>
        <v>220782.17561399995</v>
      </c>
      <c r="GJ53" s="58">
        <f t="shared" si="281"/>
        <v>729861.71614476107</v>
      </c>
      <c r="GK53" s="54"/>
      <c r="GL53" s="54"/>
      <c r="GM53" s="54">
        <v>1</v>
      </c>
      <c r="GN53" s="54">
        <v>0.97</v>
      </c>
      <c r="GO53" s="54">
        <v>0.95</v>
      </c>
      <c r="GP53" s="54">
        <v>0.93</v>
      </c>
      <c r="GQ53" s="54">
        <f t="shared" si="288"/>
        <v>0.91</v>
      </c>
      <c r="GR53" s="54">
        <f t="shared" si="288"/>
        <v>0.89</v>
      </c>
      <c r="GS53" s="54">
        <f t="shared" si="288"/>
        <v>0.87</v>
      </c>
      <c r="GT53" s="54">
        <f t="shared" si="288"/>
        <v>0.85</v>
      </c>
      <c r="GU53" s="54">
        <f t="shared" si="288"/>
        <v>0.83</v>
      </c>
      <c r="GV53" s="54">
        <f t="shared" si="288"/>
        <v>0.80999999999999994</v>
      </c>
      <c r="GW53" s="54">
        <f t="shared" si="288"/>
        <v>0.78999999999999992</v>
      </c>
      <c r="GX53" s="54">
        <f t="shared" si="288"/>
        <v>0.76999999999999991</v>
      </c>
      <c r="GY53" s="54">
        <f t="shared" si="288"/>
        <v>0.74999999999999989</v>
      </c>
      <c r="GZ53" s="54">
        <f t="shared" si="288"/>
        <v>0.72999999999999987</v>
      </c>
      <c r="HA53" s="54">
        <f t="shared" si="288"/>
        <v>0.70999999999999985</v>
      </c>
      <c r="HB53" s="54">
        <f t="shared" si="288"/>
        <v>0.68999999999999984</v>
      </c>
      <c r="HC53" s="54">
        <f t="shared" si="288"/>
        <v>0.66999999999999982</v>
      </c>
      <c r="HD53" s="54">
        <f t="shared" si="288"/>
        <v>0.6499999999999998</v>
      </c>
      <c r="HE53" s="54">
        <f t="shared" si="288"/>
        <v>0.62999999999999978</v>
      </c>
      <c r="HF53" s="54">
        <f t="shared" si="288"/>
        <v>0.60999999999999976</v>
      </c>
      <c r="HG53" s="54">
        <f t="shared" si="288"/>
        <v>0.58999999999999975</v>
      </c>
      <c r="HH53" s="54">
        <f t="shared" si="288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613020</v>
      </c>
      <c r="E54" s="39">
        <f>SUM(E34:E53)</f>
        <v>2026450</v>
      </c>
      <c r="H54" s="54">
        <f t="shared" si="61"/>
        <v>2229095</v>
      </c>
      <c r="I54" s="54">
        <f t="shared" si="62"/>
        <v>2229095</v>
      </c>
      <c r="J54" s="58">
        <f t="shared" si="63"/>
        <v>7368942.2510000002</v>
      </c>
      <c r="K54" s="54">
        <f t="shared" si="153"/>
        <v>2162222.15</v>
      </c>
      <c r="L54" s="58">
        <f t="shared" si="154"/>
        <v>7147873.9834699994</v>
      </c>
      <c r="M54" s="54">
        <f t="shared" si="155"/>
        <v>2117640.25</v>
      </c>
      <c r="N54" s="58">
        <f t="shared" si="156"/>
        <v>7000495.1384500004</v>
      </c>
      <c r="O54" s="54">
        <f t="shared" si="157"/>
        <v>2073058.35</v>
      </c>
      <c r="P54" s="58">
        <f t="shared" si="158"/>
        <v>6853116.2934300005</v>
      </c>
      <c r="Q54" s="56">
        <f t="shared" si="159"/>
        <v>2028476.45</v>
      </c>
      <c r="R54" s="58">
        <f t="shared" si="160"/>
        <v>6705737.4484099997</v>
      </c>
      <c r="S54" s="54">
        <f t="shared" si="161"/>
        <v>1983894.55</v>
      </c>
      <c r="T54" s="58">
        <f t="shared" si="162"/>
        <v>6558358.6033900008</v>
      </c>
      <c r="U54" s="56">
        <f t="shared" si="163"/>
        <v>1939312.65</v>
      </c>
      <c r="V54" s="58">
        <f t="shared" si="164"/>
        <v>6410979.7583699999</v>
      </c>
      <c r="W54" s="59">
        <f t="shared" si="165"/>
        <v>1894730.75</v>
      </c>
      <c r="X54" s="58">
        <f t="shared" si="166"/>
        <v>6263600.91335</v>
      </c>
      <c r="Y54" s="56">
        <f t="shared" si="167"/>
        <v>1850148.8499999999</v>
      </c>
      <c r="Z54" s="58">
        <f t="shared" si="168"/>
        <v>6116222.0683299992</v>
      </c>
      <c r="AA54" s="54">
        <f t="shared" si="169"/>
        <v>1805566.95</v>
      </c>
      <c r="AB54" s="58">
        <f t="shared" si="170"/>
        <v>5968843.2233100003</v>
      </c>
      <c r="AC54" s="59">
        <f t="shared" si="171"/>
        <v>1760985.0499999998</v>
      </c>
      <c r="AD54" s="58">
        <f t="shared" si="172"/>
        <v>5821464.3782899994</v>
      </c>
      <c r="AE54" s="59">
        <f t="shared" si="173"/>
        <v>1716403.15</v>
      </c>
      <c r="AF54" s="58">
        <f t="shared" si="174"/>
        <v>5674085.5332699995</v>
      </c>
      <c r="AG54" s="59">
        <f t="shared" si="175"/>
        <v>1671821.2499999998</v>
      </c>
      <c r="AH54" s="58">
        <f t="shared" si="176"/>
        <v>5526706.6882499997</v>
      </c>
      <c r="AI54" s="54">
        <f t="shared" si="177"/>
        <v>1627239.3499999996</v>
      </c>
      <c r="AJ54" s="58">
        <f t="shared" si="178"/>
        <v>5379327.8432299988</v>
      </c>
      <c r="AK54" s="59">
        <f t="shared" si="179"/>
        <v>1582657.4499999997</v>
      </c>
      <c r="AL54" s="58">
        <f t="shared" si="180"/>
        <v>5231948.9982099989</v>
      </c>
      <c r="AM54" s="59">
        <f t="shared" si="181"/>
        <v>1538075.5499999996</v>
      </c>
      <c r="AN54" s="58">
        <f t="shared" si="182"/>
        <v>5084570.1531899991</v>
      </c>
      <c r="AO54" s="59">
        <f t="shared" si="183"/>
        <v>1493493.6499999997</v>
      </c>
      <c r="AP54" s="58">
        <f t="shared" si="184"/>
        <v>4937191.3081699992</v>
      </c>
      <c r="AQ54" s="59">
        <f t="shared" si="185"/>
        <v>1448911.7499999995</v>
      </c>
      <c r="AR54" s="58">
        <f t="shared" si="186"/>
        <v>4789812.4631499983</v>
      </c>
      <c r="AS54" s="54">
        <f t="shared" si="187"/>
        <v>1404329.8499999996</v>
      </c>
      <c r="AT54" s="58">
        <f t="shared" si="188"/>
        <v>4642433.6181299984</v>
      </c>
      <c r="AU54" s="59">
        <f t="shared" si="189"/>
        <v>1359747.9499999995</v>
      </c>
      <c r="AV54" s="58">
        <f t="shared" si="190"/>
        <v>4495054.7731099986</v>
      </c>
      <c r="AW54" s="59">
        <f t="shared" si="191"/>
        <v>1315166.0499999993</v>
      </c>
      <c r="AX54" s="58">
        <f t="shared" si="192"/>
        <v>4347675.9280899977</v>
      </c>
      <c r="AY54" s="54">
        <f t="shared" si="193"/>
        <v>1270584.1499999994</v>
      </c>
      <c r="AZ54" s="58">
        <f t="shared" si="194"/>
        <v>4200297.0830699978</v>
      </c>
      <c r="BC54" s="54">
        <v>1</v>
      </c>
      <c r="BD54" s="54">
        <v>0.97</v>
      </c>
      <c r="BE54" s="54">
        <v>0.95</v>
      </c>
      <c r="BF54" s="54">
        <v>0.93</v>
      </c>
      <c r="BG54" s="54">
        <f t="shared" si="284"/>
        <v>0.91</v>
      </c>
      <c r="BH54" s="54">
        <f t="shared" si="284"/>
        <v>0.89</v>
      </c>
      <c r="BI54" s="54">
        <f t="shared" si="284"/>
        <v>0.87</v>
      </c>
      <c r="BJ54" s="54">
        <f t="shared" si="284"/>
        <v>0.85</v>
      </c>
      <c r="BK54" s="54">
        <f t="shared" si="284"/>
        <v>0.83</v>
      </c>
      <c r="BL54" s="54">
        <f t="shared" si="284"/>
        <v>0.80999999999999994</v>
      </c>
      <c r="BM54" s="54">
        <f t="shared" si="284"/>
        <v>0.78999999999999992</v>
      </c>
      <c r="BN54" s="54">
        <f t="shared" si="284"/>
        <v>0.76999999999999991</v>
      </c>
      <c r="BO54" s="54">
        <f t="shared" si="284"/>
        <v>0.74999999999999989</v>
      </c>
      <c r="BP54" s="54">
        <f t="shared" si="284"/>
        <v>0.72999999999999987</v>
      </c>
      <c r="BQ54" s="54">
        <f t="shared" si="284"/>
        <v>0.70999999999999985</v>
      </c>
      <c r="BR54" s="54">
        <f t="shared" si="284"/>
        <v>0.68999999999999984</v>
      </c>
      <c r="BS54" s="54">
        <f t="shared" si="284"/>
        <v>0.66999999999999982</v>
      </c>
      <c r="BT54" s="54">
        <f t="shared" si="284"/>
        <v>0.6499999999999998</v>
      </c>
      <c r="BU54" s="54">
        <f t="shared" si="284"/>
        <v>0.62999999999999978</v>
      </c>
      <c r="BV54" s="54">
        <f t="shared" si="284"/>
        <v>0.60999999999999976</v>
      </c>
      <c r="BW54" s="54">
        <f t="shared" si="284"/>
        <v>0.58999999999999975</v>
      </c>
      <c r="BX54" s="54">
        <f t="shared" si="284"/>
        <v>0.56999999999999973</v>
      </c>
      <c r="BZ54" s="54">
        <f t="shared" si="88"/>
        <v>2028476.45</v>
      </c>
      <c r="CA54" s="54">
        <f t="shared" si="89"/>
        <v>2028476.45</v>
      </c>
      <c r="CB54" s="58">
        <f t="shared" si="195"/>
        <v>6705737.4484099997</v>
      </c>
      <c r="CC54" s="54">
        <f t="shared" si="196"/>
        <v>1967622.1564999998</v>
      </c>
      <c r="CD54" s="58">
        <f t="shared" si="197"/>
        <v>6504565.3249576995</v>
      </c>
      <c r="CE54" s="54">
        <f t="shared" si="198"/>
        <v>1927052.6274999999</v>
      </c>
      <c r="CF54" s="58">
        <f t="shared" si="199"/>
        <v>6370450.5759894997</v>
      </c>
      <c r="CG54" s="54">
        <f t="shared" si="200"/>
        <v>1886483.0985000001</v>
      </c>
      <c r="CH54" s="58">
        <f t="shared" si="201"/>
        <v>6236335.8270213008</v>
      </c>
      <c r="CI54" s="56">
        <f t="shared" si="202"/>
        <v>1845913.5695</v>
      </c>
      <c r="CJ54" s="58">
        <f t="shared" si="203"/>
        <v>6102221.0780531</v>
      </c>
      <c r="CK54" s="54">
        <f t="shared" si="204"/>
        <v>1805344.0404999999</v>
      </c>
      <c r="CL54" s="58">
        <f t="shared" si="205"/>
        <v>5968106.3290849002</v>
      </c>
      <c r="CM54" s="56">
        <f t="shared" si="206"/>
        <v>1764774.5115</v>
      </c>
      <c r="CN54" s="58">
        <f t="shared" si="207"/>
        <v>5833991.5801167004</v>
      </c>
      <c r="CO54" s="59">
        <f t="shared" si="208"/>
        <v>1724204.9824999999</v>
      </c>
      <c r="CP54" s="58">
        <f t="shared" si="209"/>
        <v>5699876.8311484996</v>
      </c>
      <c r="CQ54" s="56">
        <f t="shared" si="210"/>
        <v>1683635.4534999998</v>
      </c>
      <c r="CR54" s="58">
        <f t="shared" si="211"/>
        <v>5565762.0821802998</v>
      </c>
      <c r="CS54" s="54">
        <f t="shared" si="212"/>
        <v>1643065.9244999997</v>
      </c>
      <c r="CT54" s="58">
        <f t="shared" si="213"/>
        <v>5431647.333212099</v>
      </c>
      <c r="CU54" s="59">
        <f t="shared" si="214"/>
        <v>1602496.3954999999</v>
      </c>
      <c r="CV54" s="58">
        <f t="shared" si="215"/>
        <v>5297532.5842439001</v>
      </c>
      <c r="CW54" s="59">
        <f t="shared" si="216"/>
        <v>1561926.8664999998</v>
      </c>
      <c r="CX54" s="58">
        <f t="shared" si="217"/>
        <v>5163417.8352756994</v>
      </c>
      <c r="CY54" s="59">
        <f t="shared" si="218"/>
        <v>1521357.3374999997</v>
      </c>
      <c r="CZ54" s="58">
        <f t="shared" si="219"/>
        <v>5029303.0863074986</v>
      </c>
      <c r="DA54" s="54">
        <f t="shared" si="220"/>
        <v>1480787.8084999998</v>
      </c>
      <c r="DB54" s="58">
        <f t="shared" si="221"/>
        <v>4895188.3373392997</v>
      </c>
      <c r="DC54" s="59">
        <f t="shared" si="222"/>
        <v>1440218.2794999997</v>
      </c>
      <c r="DD54" s="58">
        <f t="shared" si="223"/>
        <v>4761073.588371099</v>
      </c>
      <c r="DE54" s="59">
        <f t="shared" si="224"/>
        <v>1399648.7504999996</v>
      </c>
      <c r="DF54" s="58">
        <f t="shared" si="225"/>
        <v>4626958.8394028991</v>
      </c>
      <c r="DG54" s="59">
        <f t="shared" si="226"/>
        <v>1359079.2214999995</v>
      </c>
      <c r="DH54" s="58">
        <f t="shared" si="227"/>
        <v>4492844.0904346984</v>
      </c>
      <c r="DI54" s="59">
        <f t="shared" si="228"/>
        <v>1318509.6924999997</v>
      </c>
      <c r="DJ54" s="58">
        <f t="shared" si="229"/>
        <v>4358729.3414664986</v>
      </c>
      <c r="DK54" s="54">
        <f t="shared" si="230"/>
        <v>1277940.1634999996</v>
      </c>
      <c r="DL54" s="58">
        <f t="shared" si="231"/>
        <v>4224614.5924982987</v>
      </c>
      <c r="DM54" s="59">
        <f t="shared" si="232"/>
        <v>1237370.6344999995</v>
      </c>
      <c r="DN54" s="58">
        <f t="shared" si="233"/>
        <v>4090499.8435300984</v>
      </c>
      <c r="DO54" s="59">
        <f t="shared" si="234"/>
        <v>1196801.1054999994</v>
      </c>
      <c r="DP54" s="58">
        <f t="shared" si="235"/>
        <v>3956385.0945618981</v>
      </c>
      <c r="DQ54" s="54">
        <f t="shared" si="236"/>
        <v>1156231.5764999995</v>
      </c>
      <c r="DR54" s="58">
        <f t="shared" si="237"/>
        <v>3822270.3455936983</v>
      </c>
      <c r="DU54" s="54">
        <v>1</v>
      </c>
      <c r="DV54" s="54">
        <v>0.97</v>
      </c>
      <c r="DW54" s="54">
        <v>0.95</v>
      </c>
      <c r="DX54" s="54">
        <v>0.93</v>
      </c>
      <c r="DY54" s="54">
        <f t="shared" si="287"/>
        <v>0.91</v>
      </c>
      <c r="DZ54" s="54">
        <f t="shared" si="287"/>
        <v>0.89</v>
      </c>
      <c r="EA54" s="54">
        <f t="shared" si="287"/>
        <v>0.87</v>
      </c>
      <c r="EB54" s="54">
        <f t="shared" si="287"/>
        <v>0.85</v>
      </c>
      <c r="EC54" s="54">
        <f t="shared" si="287"/>
        <v>0.83</v>
      </c>
      <c r="ED54" s="54">
        <f t="shared" si="287"/>
        <v>0.80999999999999994</v>
      </c>
      <c r="EE54" s="54">
        <f t="shared" si="287"/>
        <v>0.78999999999999992</v>
      </c>
      <c r="EF54" s="54">
        <f t="shared" si="287"/>
        <v>0.76999999999999991</v>
      </c>
      <c r="EG54" s="54">
        <f t="shared" si="287"/>
        <v>0.74999999999999989</v>
      </c>
      <c r="EH54" s="54">
        <f t="shared" si="287"/>
        <v>0.72999999999999987</v>
      </c>
      <c r="EI54" s="54">
        <f t="shared" si="287"/>
        <v>0.70999999999999985</v>
      </c>
      <c r="EJ54" s="54">
        <f t="shared" si="287"/>
        <v>0.68999999999999984</v>
      </c>
      <c r="EK54" s="54">
        <f t="shared" si="287"/>
        <v>0.66999999999999982</v>
      </c>
      <c r="EL54" s="54">
        <f t="shared" si="287"/>
        <v>0.6499999999999998</v>
      </c>
      <c r="EM54" s="54">
        <f t="shared" si="287"/>
        <v>0.62999999999999978</v>
      </c>
      <c r="EN54" s="54">
        <f t="shared" si="287"/>
        <v>0.60999999999999976</v>
      </c>
      <c r="EO54" s="54">
        <f t="shared" si="287"/>
        <v>0.58999999999999975</v>
      </c>
      <c r="EP54" s="54">
        <f t="shared" si="287"/>
        <v>0.56999999999999973</v>
      </c>
      <c r="ER54" s="54">
        <f t="shared" si="142"/>
        <v>1845913.5695</v>
      </c>
      <c r="ES54" s="54">
        <f t="shared" si="116"/>
        <v>1845913.5695</v>
      </c>
      <c r="ET54" s="58">
        <f t="shared" si="239"/>
        <v>6102221.0780531</v>
      </c>
      <c r="EU54" s="54">
        <f t="shared" si="240"/>
        <v>1790536.1624149999</v>
      </c>
      <c r="EV54" s="58">
        <f t="shared" si="241"/>
        <v>5919154.4457115065</v>
      </c>
      <c r="EW54" s="54">
        <f t="shared" si="242"/>
        <v>1753617.8910249998</v>
      </c>
      <c r="EX54" s="58">
        <f t="shared" si="243"/>
        <v>5797110.0241504442</v>
      </c>
      <c r="EY54" s="54">
        <f t="shared" si="244"/>
        <v>1716699.6196350001</v>
      </c>
      <c r="EZ54" s="58">
        <f t="shared" si="245"/>
        <v>5675065.6025893837</v>
      </c>
      <c r="FA54" s="56">
        <f t="shared" si="246"/>
        <v>1679781.348245</v>
      </c>
      <c r="FB54" s="58">
        <f t="shared" si="247"/>
        <v>5553021.1810283214</v>
      </c>
      <c r="FC54" s="54">
        <f t="shared" si="248"/>
        <v>1642863.0768550001</v>
      </c>
      <c r="FD54" s="58">
        <f t="shared" si="249"/>
        <v>5430976.759467259</v>
      </c>
      <c r="FE54" s="56">
        <f t="shared" si="250"/>
        <v>1605944.805465</v>
      </c>
      <c r="FF54" s="58">
        <f t="shared" si="251"/>
        <v>5308932.3379061967</v>
      </c>
      <c r="FG54" s="59">
        <f t="shared" si="252"/>
        <v>1569026.5340749999</v>
      </c>
      <c r="FH54" s="58">
        <f t="shared" si="253"/>
        <v>5186887.9163451344</v>
      </c>
      <c r="FI54" s="56">
        <f t="shared" si="254"/>
        <v>1532108.262685</v>
      </c>
      <c r="FJ54" s="58">
        <f t="shared" si="255"/>
        <v>5064843.494784073</v>
      </c>
      <c r="FK54" s="54">
        <f t="shared" si="256"/>
        <v>1495189.9912949998</v>
      </c>
      <c r="FL54" s="58">
        <f t="shared" si="257"/>
        <v>4942799.0732230106</v>
      </c>
      <c r="FM54" s="59">
        <f t="shared" si="258"/>
        <v>1458271.7199049999</v>
      </c>
      <c r="FN54" s="58">
        <f t="shared" si="259"/>
        <v>4820754.6516619492</v>
      </c>
      <c r="FO54" s="59">
        <f t="shared" si="260"/>
        <v>1421353.4485149998</v>
      </c>
      <c r="FP54" s="58">
        <f t="shared" si="261"/>
        <v>4698710.2301008869</v>
      </c>
      <c r="FQ54" s="59">
        <f t="shared" si="262"/>
        <v>1384435.1771249997</v>
      </c>
      <c r="FR54" s="58">
        <f t="shared" si="263"/>
        <v>4576665.8085398246</v>
      </c>
      <c r="FS54" s="54">
        <f t="shared" si="264"/>
        <v>1347516.9057349998</v>
      </c>
      <c r="FT54" s="58">
        <f t="shared" si="265"/>
        <v>4454621.3869787622</v>
      </c>
      <c r="FU54" s="59">
        <f t="shared" si="266"/>
        <v>1310598.6343449997</v>
      </c>
      <c r="FV54" s="58">
        <f t="shared" si="267"/>
        <v>4332576.9654176999</v>
      </c>
      <c r="FW54" s="59">
        <f t="shared" si="268"/>
        <v>1273680.3629549998</v>
      </c>
      <c r="FX54" s="58">
        <f t="shared" si="269"/>
        <v>4210532.5438566385</v>
      </c>
      <c r="FY54" s="59">
        <f t="shared" si="270"/>
        <v>1236762.0915649997</v>
      </c>
      <c r="FZ54" s="58">
        <f t="shared" si="271"/>
        <v>4088488.1222955761</v>
      </c>
      <c r="GA54" s="59">
        <f t="shared" si="272"/>
        <v>1199843.8201749995</v>
      </c>
      <c r="GB54" s="58">
        <f t="shared" si="273"/>
        <v>3966443.7007345133</v>
      </c>
      <c r="GC54" s="54">
        <f t="shared" si="274"/>
        <v>1162925.5487849996</v>
      </c>
      <c r="GD54" s="58">
        <f t="shared" si="275"/>
        <v>3844399.2791734519</v>
      </c>
      <c r="GE54" s="59">
        <f t="shared" si="276"/>
        <v>1126007.2773949995</v>
      </c>
      <c r="GF54" s="58">
        <f t="shared" si="277"/>
        <v>3722354.8576123896</v>
      </c>
      <c r="GG54" s="59">
        <f t="shared" si="278"/>
        <v>1089089.0060049996</v>
      </c>
      <c r="GH54" s="58">
        <f t="shared" si="279"/>
        <v>3600310.4360513277</v>
      </c>
      <c r="GI54" s="54">
        <f t="shared" si="280"/>
        <v>1052170.7346149995</v>
      </c>
      <c r="GJ54" s="58">
        <f t="shared" si="281"/>
        <v>3478266.0144902654</v>
      </c>
      <c r="GK54" s="54"/>
      <c r="GL54" s="54"/>
      <c r="GM54" s="54">
        <v>1</v>
      </c>
      <c r="GN54" s="54">
        <v>0.97</v>
      </c>
      <c r="GO54" s="54">
        <v>0.95</v>
      </c>
      <c r="GP54" s="54">
        <v>0.93</v>
      </c>
      <c r="GQ54" s="54">
        <f t="shared" si="288"/>
        <v>0.91</v>
      </c>
      <c r="GR54" s="54">
        <f t="shared" si="288"/>
        <v>0.89</v>
      </c>
      <c r="GS54" s="54">
        <f t="shared" si="288"/>
        <v>0.87</v>
      </c>
      <c r="GT54" s="54">
        <f t="shared" si="288"/>
        <v>0.85</v>
      </c>
      <c r="GU54" s="54">
        <f t="shared" si="288"/>
        <v>0.83</v>
      </c>
      <c r="GV54" s="54">
        <f t="shared" si="288"/>
        <v>0.80999999999999994</v>
      </c>
      <c r="GW54" s="54">
        <f t="shared" si="288"/>
        <v>0.78999999999999992</v>
      </c>
      <c r="GX54" s="54">
        <f t="shared" si="288"/>
        <v>0.76999999999999991</v>
      </c>
      <c r="GY54" s="54">
        <f t="shared" si="288"/>
        <v>0.74999999999999989</v>
      </c>
      <c r="GZ54" s="54">
        <f t="shared" si="288"/>
        <v>0.72999999999999987</v>
      </c>
      <c r="HA54" s="54">
        <f t="shared" si="288"/>
        <v>0.70999999999999985</v>
      </c>
      <c r="HB54" s="54">
        <f t="shared" si="288"/>
        <v>0.68999999999999984</v>
      </c>
      <c r="HC54" s="54">
        <f t="shared" si="288"/>
        <v>0.66999999999999982</v>
      </c>
      <c r="HD54" s="54">
        <f t="shared" si="288"/>
        <v>0.6499999999999998</v>
      </c>
      <c r="HE54" s="54">
        <f t="shared" si="288"/>
        <v>0.62999999999999978</v>
      </c>
      <c r="HF54" s="54">
        <f t="shared" si="288"/>
        <v>0.60999999999999976</v>
      </c>
      <c r="HG54" s="54">
        <f t="shared" si="288"/>
        <v>0.58999999999999975</v>
      </c>
      <c r="HH54" s="54">
        <f t="shared" si="288"/>
        <v>0.56999999999999973</v>
      </c>
    </row>
    <row r="55" spans="1:216" s="63" customFormat="1" x14ac:dyDescent="0.3">
      <c r="C55" s="64"/>
      <c r="D55" s="64"/>
      <c r="E55" s="64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1"/>
      <c r="Q55" s="60"/>
      <c r="R55" s="60"/>
      <c r="S55" s="60"/>
      <c r="T55" s="61"/>
      <c r="U55" s="60"/>
      <c r="V55" s="62"/>
      <c r="W55" s="60"/>
      <c r="X55" s="61"/>
      <c r="Y55" s="60"/>
      <c r="Z55" s="60"/>
      <c r="AA55" s="60"/>
      <c r="AB55" s="62"/>
      <c r="AC55" s="60"/>
      <c r="AD55" s="62"/>
      <c r="AE55" s="60"/>
      <c r="AF55" s="62"/>
      <c r="AG55" s="60"/>
      <c r="AH55" s="60"/>
      <c r="AI55" s="60"/>
      <c r="AJ55" s="62"/>
      <c r="AK55" s="60"/>
      <c r="AL55" s="62"/>
      <c r="AM55" s="60"/>
      <c r="AN55" s="62"/>
      <c r="AO55" s="60"/>
      <c r="AP55" s="62"/>
      <c r="AQ55" s="60"/>
      <c r="AR55" s="60"/>
      <c r="AS55" s="60"/>
      <c r="AT55" s="62"/>
      <c r="AU55" s="60"/>
      <c r="AV55" s="62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>
        <f t="shared" ref="BY55:BY56" si="289">+G55*0.91</f>
        <v>0</v>
      </c>
      <c r="BZ55" s="60"/>
      <c r="CA55" s="60"/>
      <c r="CB55" s="60"/>
      <c r="CC55" s="60"/>
      <c r="CD55" s="60"/>
      <c r="CE55" s="60"/>
      <c r="CF55" s="60"/>
      <c r="CG55" s="60"/>
      <c r="CH55" s="61"/>
      <c r="CI55" s="60"/>
      <c r="CJ55" s="60"/>
      <c r="CK55" s="60"/>
      <c r="CL55" s="61"/>
      <c r="CM55" s="60"/>
      <c r="CN55" s="62"/>
      <c r="CO55" s="60"/>
      <c r="CP55" s="61"/>
      <c r="CQ55" s="60"/>
      <c r="CR55" s="60"/>
      <c r="CS55" s="60"/>
      <c r="CT55" s="62"/>
      <c r="CU55" s="60"/>
      <c r="CV55" s="62"/>
      <c r="CW55" s="60"/>
      <c r="CX55" s="62"/>
      <c r="CY55" s="60"/>
      <c r="CZ55" s="60"/>
      <c r="DA55" s="60"/>
      <c r="DB55" s="62"/>
      <c r="DC55" s="60"/>
      <c r="DD55" s="62"/>
      <c r="DE55" s="60"/>
      <c r="DF55" s="62"/>
      <c r="DG55" s="60"/>
      <c r="DH55" s="62"/>
      <c r="DI55" s="60"/>
      <c r="DJ55" s="60"/>
      <c r="DK55" s="60"/>
      <c r="DL55" s="62"/>
      <c r="DM55" s="60"/>
      <c r="DN55" s="62"/>
      <c r="DO55" s="60"/>
      <c r="DP55" s="60"/>
      <c r="DQ55" s="60"/>
      <c r="DR55" s="60"/>
      <c r="DS55" s="60"/>
      <c r="DT55" s="60">
        <v>1</v>
      </c>
      <c r="DU55" s="60">
        <v>0.97</v>
      </c>
      <c r="DV55" s="60">
        <v>0.95</v>
      </c>
      <c r="DW55" s="60">
        <v>0.93</v>
      </c>
      <c r="DX55" s="60">
        <f t="shared" ref="DX55:EO56" si="290">+DW55-0.02</f>
        <v>0.91</v>
      </c>
      <c r="DY55" s="60">
        <f t="shared" si="290"/>
        <v>0.89</v>
      </c>
      <c r="DZ55" s="60">
        <f t="shared" si="290"/>
        <v>0.87</v>
      </c>
      <c r="EA55" s="60">
        <f t="shared" si="290"/>
        <v>0.85</v>
      </c>
      <c r="EB55" s="60">
        <f t="shared" si="290"/>
        <v>0.83</v>
      </c>
      <c r="EC55" s="60">
        <f t="shared" si="290"/>
        <v>0.80999999999999994</v>
      </c>
      <c r="ED55" s="60">
        <f t="shared" si="290"/>
        <v>0.78999999999999992</v>
      </c>
      <c r="EE55" s="60">
        <f t="shared" si="290"/>
        <v>0.76999999999999991</v>
      </c>
      <c r="EF55" s="60">
        <f t="shared" si="290"/>
        <v>0.74999999999999989</v>
      </c>
      <c r="EG55" s="60">
        <f t="shared" si="290"/>
        <v>0.72999999999999987</v>
      </c>
      <c r="EH55" s="60">
        <f t="shared" si="290"/>
        <v>0.70999999999999985</v>
      </c>
      <c r="EI55" s="60">
        <f t="shared" si="290"/>
        <v>0.68999999999999984</v>
      </c>
      <c r="EJ55" s="60">
        <f t="shared" si="290"/>
        <v>0.66999999999999982</v>
      </c>
      <c r="EK55" s="60">
        <f t="shared" si="290"/>
        <v>0.6499999999999998</v>
      </c>
      <c r="EL55" s="60">
        <f t="shared" si="290"/>
        <v>0.62999999999999978</v>
      </c>
      <c r="EM55" s="60">
        <f t="shared" si="290"/>
        <v>0.60999999999999976</v>
      </c>
      <c r="EN55" s="60">
        <f t="shared" si="290"/>
        <v>0.58999999999999975</v>
      </c>
      <c r="EO55" s="60">
        <f t="shared" si="290"/>
        <v>0.56999999999999973</v>
      </c>
      <c r="EQ55" s="60">
        <f t="shared" ref="EQ55:EQ56" si="291">+BY55*0.91</f>
        <v>0</v>
      </c>
      <c r="ER55" s="60"/>
      <c r="ES55" s="60"/>
      <c r="ET55" s="60"/>
      <c r="EU55" s="60"/>
      <c r="EV55" s="60"/>
      <c r="EW55" s="60"/>
      <c r="EX55" s="60"/>
      <c r="EY55" s="60"/>
      <c r="EZ55" s="61"/>
      <c r="FA55" s="60"/>
      <c r="FB55" s="60"/>
      <c r="FC55" s="60"/>
      <c r="FD55" s="61"/>
      <c r="FE55" s="60"/>
      <c r="FF55" s="62"/>
      <c r="FG55" s="60"/>
      <c r="FH55" s="61"/>
      <c r="FI55" s="60"/>
      <c r="FJ55" s="60"/>
      <c r="FK55" s="60"/>
      <c r="FL55" s="62"/>
      <c r="FM55" s="60"/>
      <c r="FN55" s="62"/>
      <c r="FO55" s="60"/>
      <c r="FP55" s="62"/>
      <c r="FQ55" s="60"/>
      <c r="FR55" s="60"/>
      <c r="FS55" s="60"/>
      <c r="FT55" s="62"/>
      <c r="FU55" s="60"/>
      <c r="FV55" s="62"/>
      <c r="FW55" s="60"/>
      <c r="FX55" s="62"/>
      <c r="FY55" s="60"/>
      <c r="FZ55" s="62"/>
      <c r="GA55" s="60"/>
      <c r="GB55" s="60"/>
      <c r="GC55" s="60"/>
      <c r="GD55" s="62"/>
      <c r="GE55" s="60"/>
      <c r="GF55" s="62"/>
      <c r="GG55" s="60"/>
      <c r="GH55" s="60"/>
      <c r="GI55" s="60"/>
      <c r="GJ55" s="60"/>
      <c r="GK55" s="60"/>
      <c r="GL55" s="60">
        <v>1</v>
      </c>
      <c r="GM55" s="60">
        <v>0.97</v>
      </c>
      <c r="GN55" s="60">
        <v>0.95</v>
      </c>
      <c r="GO55" s="60">
        <v>0.93</v>
      </c>
      <c r="GP55" s="60">
        <f t="shared" ref="GP55:HG56" si="292">+GO55-0.02</f>
        <v>0.91</v>
      </c>
      <c r="GQ55" s="60">
        <f t="shared" si="292"/>
        <v>0.89</v>
      </c>
      <c r="GR55" s="60">
        <f t="shared" si="292"/>
        <v>0.87</v>
      </c>
      <c r="GS55" s="60">
        <f t="shared" si="292"/>
        <v>0.85</v>
      </c>
      <c r="GT55" s="60">
        <f t="shared" si="292"/>
        <v>0.83</v>
      </c>
      <c r="GU55" s="60">
        <f t="shared" si="292"/>
        <v>0.80999999999999994</v>
      </c>
      <c r="GV55" s="60">
        <f t="shared" si="292"/>
        <v>0.78999999999999992</v>
      </c>
      <c r="GW55" s="60">
        <f t="shared" si="292"/>
        <v>0.76999999999999991</v>
      </c>
      <c r="GX55" s="60">
        <f t="shared" si="292"/>
        <v>0.74999999999999989</v>
      </c>
      <c r="GY55" s="60">
        <f t="shared" si="292"/>
        <v>0.72999999999999987</v>
      </c>
      <c r="GZ55" s="60">
        <f t="shared" si="292"/>
        <v>0.70999999999999985</v>
      </c>
      <c r="HA55" s="60">
        <f t="shared" si="292"/>
        <v>0.68999999999999984</v>
      </c>
      <c r="HB55" s="60">
        <f t="shared" si="292"/>
        <v>0.66999999999999982</v>
      </c>
      <c r="HC55" s="60">
        <f t="shared" si="292"/>
        <v>0.6499999999999998</v>
      </c>
      <c r="HD55" s="60">
        <f t="shared" si="292"/>
        <v>0.62999999999999978</v>
      </c>
      <c r="HE55" s="60">
        <f t="shared" si="292"/>
        <v>0.60999999999999976</v>
      </c>
      <c r="HF55" s="60">
        <f t="shared" si="292"/>
        <v>0.58999999999999975</v>
      </c>
      <c r="HG55" s="60">
        <f t="shared" si="292"/>
        <v>0.56999999999999973</v>
      </c>
    </row>
    <row r="56" spans="1:216" s="63" customFormat="1" ht="17.25" thickBot="1" x14ac:dyDescent="0.35">
      <c r="B56" s="63" t="s">
        <v>291</v>
      </c>
      <c r="C56" s="63" t="s">
        <v>292</v>
      </c>
      <c r="D56" s="64" t="s">
        <v>304</v>
      </c>
      <c r="E56" s="64" t="s">
        <v>271</v>
      </c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1"/>
      <c r="Q56" s="60"/>
      <c r="R56" s="60"/>
      <c r="S56" s="60"/>
      <c r="T56" s="61"/>
      <c r="U56" s="60"/>
      <c r="V56" s="62"/>
      <c r="W56" s="60"/>
      <c r="X56" s="61"/>
      <c r="Y56" s="60"/>
      <c r="Z56" s="60"/>
      <c r="AA56" s="60"/>
      <c r="AB56" s="62"/>
      <c r="AC56" s="60"/>
      <c r="AD56" s="62"/>
      <c r="AE56" s="60"/>
      <c r="AF56" s="62"/>
      <c r="AG56" s="60"/>
      <c r="AH56" s="60"/>
      <c r="AI56" s="60"/>
      <c r="AJ56" s="62"/>
      <c r="AK56" s="60"/>
      <c r="AL56" s="62"/>
      <c r="AM56" s="60"/>
      <c r="AN56" s="62"/>
      <c r="AO56" s="60"/>
      <c r="AP56" s="62"/>
      <c r="AQ56" s="60"/>
      <c r="AR56" s="60"/>
      <c r="AS56" s="60"/>
      <c r="AT56" s="62"/>
      <c r="AU56" s="60"/>
      <c r="AV56" s="62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>
        <f t="shared" si="289"/>
        <v>0</v>
      </c>
      <c r="BZ56" s="60"/>
      <c r="CA56" s="60"/>
      <c r="CB56" s="60"/>
      <c r="CC56" s="60"/>
      <c r="CD56" s="60"/>
      <c r="CE56" s="60"/>
      <c r="CF56" s="60"/>
      <c r="CG56" s="60"/>
      <c r="CH56" s="61"/>
      <c r="CI56" s="60"/>
      <c r="CJ56" s="60"/>
      <c r="CK56" s="60"/>
      <c r="CL56" s="61"/>
      <c r="CM56" s="60"/>
      <c r="CN56" s="62"/>
      <c r="CO56" s="60"/>
      <c r="CP56" s="61"/>
      <c r="CQ56" s="60"/>
      <c r="CR56" s="60"/>
      <c r="CS56" s="60"/>
      <c r="CT56" s="62"/>
      <c r="CU56" s="60"/>
      <c r="CV56" s="62"/>
      <c r="CW56" s="60"/>
      <c r="CX56" s="62"/>
      <c r="CY56" s="60"/>
      <c r="CZ56" s="60"/>
      <c r="DA56" s="60"/>
      <c r="DB56" s="62"/>
      <c r="DC56" s="60"/>
      <c r="DD56" s="62"/>
      <c r="DE56" s="60"/>
      <c r="DF56" s="62"/>
      <c r="DG56" s="60"/>
      <c r="DH56" s="62"/>
      <c r="DI56" s="60"/>
      <c r="DJ56" s="60"/>
      <c r="DK56" s="60"/>
      <c r="DL56" s="62"/>
      <c r="DM56" s="60"/>
      <c r="DN56" s="62"/>
      <c r="DO56" s="60"/>
      <c r="DP56" s="60"/>
      <c r="DQ56" s="60"/>
      <c r="DR56" s="60"/>
      <c r="DS56" s="60"/>
      <c r="DT56" s="60">
        <v>1</v>
      </c>
      <c r="DU56" s="60">
        <v>0.97</v>
      </c>
      <c r="DV56" s="60">
        <v>0.95</v>
      </c>
      <c r="DW56" s="60">
        <v>0.93</v>
      </c>
      <c r="DX56" s="60">
        <f t="shared" si="290"/>
        <v>0.91</v>
      </c>
      <c r="DY56" s="60">
        <f t="shared" si="290"/>
        <v>0.89</v>
      </c>
      <c r="DZ56" s="60">
        <f t="shared" si="290"/>
        <v>0.87</v>
      </c>
      <c r="EA56" s="60">
        <f t="shared" si="290"/>
        <v>0.85</v>
      </c>
      <c r="EB56" s="60">
        <f t="shared" si="290"/>
        <v>0.83</v>
      </c>
      <c r="EC56" s="60">
        <f t="shared" si="290"/>
        <v>0.80999999999999994</v>
      </c>
      <c r="ED56" s="60">
        <f t="shared" si="290"/>
        <v>0.78999999999999992</v>
      </c>
      <c r="EE56" s="60">
        <f t="shared" si="290"/>
        <v>0.76999999999999991</v>
      </c>
      <c r="EF56" s="60">
        <f t="shared" si="290"/>
        <v>0.74999999999999989</v>
      </c>
      <c r="EG56" s="60">
        <f t="shared" si="290"/>
        <v>0.72999999999999987</v>
      </c>
      <c r="EH56" s="60">
        <f t="shared" si="290"/>
        <v>0.70999999999999985</v>
      </c>
      <c r="EI56" s="60">
        <f t="shared" si="290"/>
        <v>0.68999999999999984</v>
      </c>
      <c r="EJ56" s="60">
        <f t="shared" si="290"/>
        <v>0.66999999999999982</v>
      </c>
      <c r="EK56" s="60">
        <f t="shared" si="290"/>
        <v>0.6499999999999998</v>
      </c>
      <c r="EL56" s="60">
        <f t="shared" si="290"/>
        <v>0.62999999999999978</v>
      </c>
      <c r="EM56" s="60">
        <f t="shared" si="290"/>
        <v>0.60999999999999976</v>
      </c>
      <c r="EN56" s="60">
        <f t="shared" si="290"/>
        <v>0.58999999999999975</v>
      </c>
      <c r="EO56" s="60">
        <f t="shared" si="290"/>
        <v>0.56999999999999973</v>
      </c>
      <c r="EQ56" s="60">
        <f t="shared" si="291"/>
        <v>0</v>
      </c>
      <c r="ER56" s="60"/>
      <c r="ES56" s="60"/>
      <c r="ET56" s="60"/>
      <c r="EU56" s="60"/>
      <c r="EV56" s="60"/>
      <c r="EW56" s="60"/>
      <c r="EX56" s="60"/>
      <c r="EY56" s="60"/>
      <c r="EZ56" s="61"/>
      <c r="FA56" s="60"/>
      <c r="FB56" s="60"/>
      <c r="FC56" s="60"/>
      <c r="FD56" s="61"/>
      <c r="FE56" s="60"/>
      <c r="FF56" s="62"/>
      <c r="FG56" s="60"/>
      <c r="FH56" s="61"/>
      <c r="FI56" s="60"/>
      <c r="FJ56" s="60"/>
      <c r="FK56" s="60"/>
      <c r="FL56" s="62"/>
      <c r="FM56" s="60"/>
      <c r="FN56" s="62"/>
      <c r="FO56" s="60"/>
      <c r="FP56" s="62"/>
      <c r="FQ56" s="60"/>
      <c r="FR56" s="60"/>
      <c r="FS56" s="60"/>
      <c r="FT56" s="62"/>
      <c r="FU56" s="60"/>
      <c r="FV56" s="62"/>
      <c r="FW56" s="60"/>
      <c r="FX56" s="62"/>
      <c r="FY56" s="60"/>
      <c r="FZ56" s="62"/>
      <c r="GA56" s="60"/>
      <c r="GB56" s="60"/>
      <c r="GC56" s="60"/>
      <c r="GD56" s="62"/>
      <c r="GE56" s="60"/>
      <c r="GF56" s="62"/>
      <c r="GG56" s="60"/>
      <c r="GH56" s="60"/>
      <c r="GI56" s="60"/>
      <c r="GJ56" s="60"/>
      <c r="GK56" s="60"/>
      <c r="GL56" s="60">
        <v>1</v>
      </c>
      <c r="GM56" s="60">
        <v>0.97</v>
      </c>
      <c r="GN56" s="60">
        <v>0.95</v>
      </c>
      <c r="GO56" s="60">
        <v>0.93</v>
      </c>
      <c r="GP56" s="60">
        <f t="shared" si="292"/>
        <v>0.91</v>
      </c>
      <c r="GQ56" s="60">
        <f t="shared" si="292"/>
        <v>0.89</v>
      </c>
      <c r="GR56" s="60">
        <f t="shared" si="292"/>
        <v>0.87</v>
      </c>
      <c r="GS56" s="60">
        <f t="shared" si="292"/>
        <v>0.85</v>
      </c>
      <c r="GT56" s="60">
        <f t="shared" si="292"/>
        <v>0.83</v>
      </c>
      <c r="GU56" s="60">
        <f t="shared" si="292"/>
        <v>0.80999999999999994</v>
      </c>
      <c r="GV56" s="60">
        <f t="shared" si="292"/>
        <v>0.78999999999999992</v>
      </c>
      <c r="GW56" s="60">
        <f t="shared" si="292"/>
        <v>0.76999999999999991</v>
      </c>
      <c r="GX56" s="60">
        <f t="shared" si="292"/>
        <v>0.74999999999999989</v>
      </c>
      <c r="GY56" s="60">
        <f t="shared" si="292"/>
        <v>0.72999999999999987</v>
      </c>
      <c r="GZ56" s="60">
        <f t="shared" si="292"/>
        <v>0.70999999999999985</v>
      </c>
      <c r="HA56" s="60">
        <f t="shared" si="292"/>
        <v>0.68999999999999984</v>
      </c>
      <c r="HB56" s="60">
        <f t="shared" si="292"/>
        <v>0.66999999999999982</v>
      </c>
      <c r="HC56" s="60">
        <f t="shared" si="292"/>
        <v>0.6499999999999998</v>
      </c>
      <c r="HD56" s="60">
        <f t="shared" si="292"/>
        <v>0.62999999999999978</v>
      </c>
      <c r="HE56" s="60">
        <f t="shared" si="292"/>
        <v>0.60999999999999976</v>
      </c>
      <c r="HF56" s="60">
        <f t="shared" si="292"/>
        <v>0.58999999999999975</v>
      </c>
      <c r="HG56" s="60">
        <f t="shared" si="292"/>
        <v>0.56999999999999973</v>
      </c>
    </row>
    <row r="57" spans="1:216" x14ac:dyDescent="0.3">
      <c r="A57" s="2">
        <v>1</v>
      </c>
      <c r="C57" s="38" t="s">
        <v>27</v>
      </c>
      <c r="D57" s="40">
        <v>7240</v>
      </c>
      <c r="E57" s="71">
        <f>TRUNC(+D57*3.3058,-1)</f>
        <v>23930</v>
      </c>
      <c r="H57" s="54">
        <f t="shared" si="61"/>
        <v>26323.000000000004</v>
      </c>
      <c r="I57" s="54">
        <f t="shared" si="62"/>
        <v>26323.000000000004</v>
      </c>
      <c r="J57" s="58">
        <f t="shared" si="63"/>
        <v>87018.573400000008</v>
      </c>
      <c r="K57" s="54">
        <f t="shared" ref="K57:K60" si="293">+I57*BD57</f>
        <v>25533.31</v>
      </c>
      <c r="L57" s="58">
        <f t="shared" ref="L57:L60" si="294">+K57*3.3058</f>
        <v>84408.016198000012</v>
      </c>
      <c r="M57" s="54">
        <f t="shared" ref="M57:M60" si="295">+I57*BE57</f>
        <v>25006.850000000002</v>
      </c>
      <c r="N57" s="58">
        <f t="shared" ref="N57:N60" si="296">+M57*3.3058</f>
        <v>82667.644730000015</v>
      </c>
      <c r="O57" s="54">
        <f>+I57*BF57</f>
        <v>24480.390000000003</v>
      </c>
      <c r="P57" s="58">
        <f t="shared" ref="P57:P60" si="297">+O57*3.3058</f>
        <v>80927.273262000017</v>
      </c>
      <c r="Q57" s="56">
        <f>+I57*BG57</f>
        <v>23953.930000000004</v>
      </c>
      <c r="R57" s="58">
        <f t="shared" ref="R57:R60" si="298">+Q57*3.3058</f>
        <v>79186.901794000019</v>
      </c>
      <c r="S57" s="54">
        <f>+I57*BH57</f>
        <v>23427.470000000005</v>
      </c>
      <c r="T57" s="58">
        <f t="shared" ref="T57:T60" si="299">+S57*3.3058</f>
        <v>77446.530326000022</v>
      </c>
      <c r="U57" s="56">
        <f>+I57*BI57</f>
        <v>22901.010000000002</v>
      </c>
      <c r="V57" s="58">
        <f t="shared" ref="V57:V60" si="300">+U57*3.3058</f>
        <v>75706.15885800001</v>
      </c>
      <c r="W57" s="59">
        <f>+I57*BJ57</f>
        <v>22374.550000000003</v>
      </c>
      <c r="X57" s="58">
        <f t="shared" ref="X57:X60" si="301">+W57*3.3058</f>
        <v>73965.787390000012</v>
      </c>
      <c r="Y57" s="56">
        <f>+I57*BK57</f>
        <v>21848.090000000004</v>
      </c>
      <c r="Z57" s="58">
        <f t="shared" ref="Z57:Z60" si="302">+Y57*3.3058</f>
        <v>72225.415922000015</v>
      </c>
      <c r="AA57" s="54">
        <f>+I57*BL57</f>
        <v>21321.63</v>
      </c>
      <c r="AB57" s="58">
        <f t="shared" ref="AB57:AB60" si="303">+AA57*3.3058</f>
        <v>70485.044454000003</v>
      </c>
      <c r="AC57" s="59">
        <f>+I57*BM57</f>
        <v>20795.170000000002</v>
      </c>
      <c r="AD57" s="58">
        <f t="shared" ref="AD57:AD60" si="304">+AC57*3.3058</f>
        <v>68744.672986000005</v>
      </c>
      <c r="AE57" s="59">
        <f>+I57*BN57</f>
        <v>20268.71</v>
      </c>
      <c r="AF57" s="58">
        <f t="shared" ref="AF57:AF60" si="305">+AE57*3.3058</f>
        <v>67004.301517999993</v>
      </c>
      <c r="AG57" s="59">
        <f>+I57*BO57</f>
        <v>19742.25</v>
      </c>
      <c r="AH57" s="58">
        <f t="shared" ref="AH57:AH60" si="306">+AG57*3.3058</f>
        <v>65263.930050000003</v>
      </c>
      <c r="AI57" s="54">
        <f>+I57*BP57</f>
        <v>19215.79</v>
      </c>
      <c r="AJ57" s="58">
        <f t="shared" ref="AJ57:AJ60" si="307">+AI57*3.3058</f>
        <v>63523.558582000005</v>
      </c>
      <c r="AK57" s="59">
        <f>+I57*BQ57</f>
        <v>18689.329999999998</v>
      </c>
      <c r="AL57" s="58">
        <f t="shared" ref="AL57:AL60" si="308">+AK57*3.3058</f>
        <v>61783.187113999993</v>
      </c>
      <c r="AM57" s="59">
        <f>+I57*BR57</f>
        <v>18162.87</v>
      </c>
      <c r="AN57" s="58">
        <f t="shared" ref="AN57:AN60" si="309">+AM57*3.3058</f>
        <v>60042.815645999995</v>
      </c>
      <c r="AO57" s="59">
        <f>+I57*BS57</f>
        <v>17636.409999999996</v>
      </c>
      <c r="AP57" s="58">
        <f t="shared" ref="AP57:AP60" si="310">+AO57*3.3058</f>
        <v>58302.444177999991</v>
      </c>
      <c r="AQ57" s="59">
        <f>+I57*BT57</f>
        <v>17109.949999999997</v>
      </c>
      <c r="AR57" s="58">
        <f t="shared" ref="AR57:AR60" si="311">+AQ57*3.3058</f>
        <v>56562.072709999993</v>
      </c>
      <c r="AS57" s="54">
        <f>+I57*BU57</f>
        <v>16583.489999999998</v>
      </c>
      <c r="AT57" s="58">
        <f t="shared" ref="AT57:AT60" si="312">+AS57*3.3058</f>
        <v>54821.701241999996</v>
      </c>
      <c r="AU57" s="59">
        <f>+I57*BV57</f>
        <v>16057.029999999995</v>
      </c>
      <c r="AV57" s="58">
        <f t="shared" ref="AV57:AV60" si="313">+AU57*3.3058</f>
        <v>53081.329773999983</v>
      </c>
      <c r="AW57" s="59">
        <f>+I57*BW57</f>
        <v>15530.569999999996</v>
      </c>
      <c r="AX57" s="58">
        <f t="shared" ref="AX57:AX60" si="314">+AW57*3.3058</f>
        <v>51340.958305999986</v>
      </c>
      <c r="AY57" s="54">
        <f>+I57*BX57</f>
        <v>15004.109999999995</v>
      </c>
      <c r="AZ57" s="58">
        <f t="shared" ref="AZ57:AZ60" si="315">+AY57*3.3058</f>
        <v>49600.586837999988</v>
      </c>
      <c r="BC57" s="54">
        <v>1</v>
      </c>
      <c r="BD57" s="54">
        <v>0.97</v>
      </c>
      <c r="BE57" s="54">
        <v>0.95</v>
      </c>
      <c r="BF57" s="54">
        <v>0.93</v>
      </c>
      <c r="BG57" s="54">
        <f t="shared" ref="BG57:BX60" si="316">+BF57-0.02</f>
        <v>0.91</v>
      </c>
      <c r="BH57" s="54">
        <f t="shared" si="316"/>
        <v>0.89</v>
      </c>
      <c r="BI57" s="54">
        <f t="shared" si="316"/>
        <v>0.87</v>
      </c>
      <c r="BJ57" s="54">
        <f t="shared" si="316"/>
        <v>0.85</v>
      </c>
      <c r="BK57" s="54">
        <f t="shared" si="316"/>
        <v>0.83</v>
      </c>
      <c r="BL57" s="54">
        <f t="shared" si="316"/>
        <v>0.80999999999999994</v>
      </c>
      <c r="BM57" s="54">
        <f t="shared" si="316"/>
        <v>0.78999999999999992</v>
      </c>
      <c r="BN57" s="54">
        <f t="shared" si="316"/>
        <v>0.76999999999999991</v>
      </c>
      <c r="BO57" s="54">
        <f t="shared" si="316"/>
        <v>0.74999999999999989</v>
      </c>
      <c r="BP57" s="54">
        <f t="shared" si="316"/>
        <v>0.72999999999999987</v>
      </c>
      <c r="BQ57" s="54">
        <f t="shared" si="316"/>
        <v>0.70999999999999985</v>
      </c>
      <c r="BR57" s="54">
        <f t="shared" si="316"/>
        <v>0.68999999999999984</v>
      </c>
      <c r="BS57" s="54">
        <f t="shared" si="316"/>
        <v>0.66999999999999982</v>
      </c>
      <c r="BT57" s="54">
        <f t="shared" si="316"/>
        <v>0.6499999999999998</v>
      </c>
      <c r="BU57" s="54">
        <f t="shared" si="316"/>
        <v>0.62999999999999978</v>
      </c>
      <c r="BV57" s="54">
        <f t="shared" si="316"/>
        <v>0.60999999999999976</v>
      </c>
      <c r="BW57" s="54">
        <f t="shared" si="316"/>
        <v>0.58999999999999975</v>
      </c>
      <c r="BX57" s="54">
        <f t="shared" si="316"/>
        <v>0.56999999999999973</v>
      </c>
      <c r="BZ57" s="54">
        <f t="shared" si="88"/>
        <v>23953.930000000004</v>
      </c>
      <c r="CA57" s="54">
        <f t="shared" si="89"/>
        <v>23953.930000000004</v>
      </c>
      <c r="CB57" s="58">
        <f t="shared" ref="CB57:CB60" si="317">+CA57*3.3058</f>
        <v>79186.901794000019</v>
      </c>
      <c r="CC57" s="54">
        <f t="shared" ref="CC57:CC60" si="318">+CA57*DV57</f>
        <v>23235.312100000003</v>
      </c>
      <c r="CD57" s="58">
        <f t="shared" ref="CD57:CD60" si="319">+CC57*3.3058</f>
        <v>76811.294740180005</v>
      </c>
      <c r="CE57" s="54">
        <f t="shared" ref="CE57:CE60" si="320">+CA57*DW57</f>
        <v>22756.233500000002</v>
      </c>
      <c r="CF57" s="58">
        <f t="shared" ref="CF57:CF60" si="321">+CE57*3.3058</f>
        <v>75227.556704300005</v>
      </c>
      <c r="CG57" s="54">
        <f>+CA57*DX57</f>
        <v>22277.154900000005</v>
      </c>
      <c r="CH57" s="58">
        <f t="shared" ref="CH57:CH60" si="322">+CG57*3.3058</f>
        <v>73643.818668420019</v>
      </c>
      <c r="CI57" s="56">
        <f>+CA57*DY57</f>
        <v>21798.076300000004</v>
      </c>
      <c r="CJ57" s="58">
        <f t="shared" ref="CJ57:CJ60" si="323">+CI57*3.3058</f>
        <v>72060.080632540019</v>
      </c>
      <c r="CK57" s="54">
        <f>+CA57*DZ57</f>
        <v>21318.997700000004</v>
      </c>
      <c r="CL57" s="58">
        <f t="shared" ref="CL57:CL60" si="324">+CK57*3.3058</f>
        <v>70476.342596660019</v>
      </c>
      <c r="CM57" s="56">
        <f>+CA57*EA57</f>
        <v>20839.919100000003</v>
      </c>
      <c r="CN57" s="58">
        <f t="shared" ref="CN57:CN60" si="325">+CM57*3.3058</f>
        <v>68892.604560780004</v>
      </c>
      <c r="CO57" s="59">
        <f>+CA57*EB57</f>
        <v>20360.840500000002</v>
      </c>
      <c r="CP57" s="58">
        <f t="shared" ref="CP57:CP60" si="326">+CO57*3.3058</f>
        <v>67308.866524900004</v>
      </c>
      <c r="CQ57" s="56">
        <f>+CA57*EC57</f>
        <v>19881.761900000001</v>
      </c>
      <c r="CR57" s="58">
        <f t="shared" ref="CR57:CR60" si="327">+CQ57*3.3058</f>
        <v>65725.128489020004</v>
      </c>
      <c r="CS57" s="54">
        <f>+CA57*ED57</f>
        <v>19402.683300000001</v>
      </c>
      <c r="CT57" s="58">
        <f t="shared" ref="CT57:CT60" si="328">+CS57*3.3058</f>
        <v>64141.390453140004</v>
      </c>
      <c r="CU57" s="59">
        <f>+CA57*EE57</f>
        <v>18923.6047</v>
      </c>
      <c r="CV57" s="58">
        <f t="shared" ref="CV57:CV60" si="329">+CU57*3.3058</f>
        <v>62557.652417260004</v>
      </c>
      <c r="CW57" s="59">
        <f>+CA57*EF57</f>
        <v>18444.526099999999</v>
      </c>
      <c r="CX57" s="58">
        <f t="shared" ref="CX57:CX60" si="330">+CW57*3.3058</f>
        <v>60973.914381379996</v>
      </c>
      <c r="CY57" s="59">
        <f>+CA57*EG57</f>
        <v>17965.447500000002</v>
      </c>
      <c r="CZ57" s="58">
        <f t="shared" ref="CZ57:CZ60" si="331">+CY57*3.3058</f>
        <v>59390.176345500011</v>
      </c>
      <c r="DA57" s="54">
        <f>+CA57*EH57</f>
        <v>17486.368900000001</v>
      </c>
      <c r="DB57" s="58">
        <f t="shared" ref="DB57:DB60" si="332">+DA57*3.3058</f>
        <v>57806.438309620004</v>
      </c>
      <c r="DC57" s="59">
        <f>+CA57*EI57</f>
        <v>17007.290300000001</v>
      </c>
      <c r="DD57" s="58">
        <f t="shared" ref="DD57:DD60" si="333">+DC57*3.3058</f>
        <v>56222.700273740003</v>
      </c>
      <c r="DE57" s="59">
        <f>+CA57*EJ57</f>
        <v>16528.2117</v>
      </c>
      <c r="DF57" s="58">
        <f t="shared" ref="DF57:DF60" si="334">+DE57*3.3058</f>
        <v>54638.962237860003</v>
      </c>
      <c r="DG57" s="59">
        <f>+CA57*EK57</f>
        <v>16049.133099999999</v>
      </c>
      <c r="DH57" s="58">
        <f t="shared" ref="DH57:DH60" si="335">+DG57*3.3058</f>
        <v>53055.224201979996</v>
      </c>
      <c r="DI57" s="59">
        <f>+CA57*EL57</f>
        <v>15570.054499999998</v>
      </c>
      <c r="DJ57" s="58">
        <f t="shared" ref="DJ57:DJ60" si="336">+DI57*3.3058</f>
        <v>51471.486166099996</v>
      </c>
      <c r="DK57" s="54">
        <f>+CA57*EM57</f>
        <v>15090.975899999998</v>
      </c>
      <c r="DL57" s="58">
        <f t="shared" ref="DL57:DL60" si="337">+DK57*3.3058</f>
        <v>49887.748130219996</v>
      </c>
      <c r="DM57" s="59">
        <f>+CA57*EN57</f>
        <v>14611.897299999997</v>
      </c>
      <c r="DN57" s="58">
        <f t="shared" ref="DN57:DN60" si="338">+DM57*3.3058</f>
        <v>48304.010094339988</v>
      </c>
      <c r="DO57" s="59">
        <f>+CA57*EO57</f>
        <v>14132.818699999996</v>
      </c>
      <c r="DP57" s="58">
        <f t="shared" ref="DP57:DP60" si="339">+DO57*3.3058</f>
        <v>46720.272058459988</v>
      </c>
      <c r="DQ57" s="54">
        <f>+CA57*EP57</f>
        <v>13653.740099999995</v>
      </c>
      <c r="DR57" s="58">
        <f t="shared" ref="DR57:DR60" si="340">+DQ57*3.3058</f>
        <v>45136.534022579988</v>
      </c>
      <c r="DU57" s="54">
        <v>1</v>
      </c>
      <c r="DV57" s="54">
        <v>0.97</v>
      </c>
      <c r="DW57" s="54">
        <v>0.95</v>
      </c>
      <c r="DX57" s="54">
        <v>0.93</v>
      </c>
      <c r="DY57" s="54">
        <f t="shared" si="287"/>
        <v>0.91</v>
      </c>
      <c r="DZ57" s="54">
        <f t="shared" si="287"/>
        <v>0.89</v>
      </c>
      <c r="EA57" s="54">
        <f t="shared" si="287"/>
        <v>0.87</v>
      </c>
      <c r="EB57" s="54">
        <f t="shared" si="287"/>
        <v>0.85</v>
      </c>
      <c r="EC57" s="54">
        <f t="shared" si="287"/>
        <v>0.83</v>
      </c>
      <c r="ED57" s="54">
        <f t="shared" si="287"/>
        <v>0.80999999999999994</v>
      </c>
      <c r="EE57" s="54">
        <f t="shared" si="287"/>
        <v>0.78999999999999992</v>
      </c>
      <c r="EF57" s="54">
        <f t="shared" si="287"/>
        <v>0.76999999999999991</v>
      </c>
      <c r="EG57" s="54">
        <f t="shared" si="287"/>
        <v>0.74999999999999989</v>
      </c>
      <c r="EH57" s="54">
        <f t="shared" si="287"/>
        <v>0.72999999999999987</v>
      </c>
      <c r="EI57" s="54">
        <f t="shared" si="287"/>
        <v>0.70999999999999985</v>
      </c>
      <c r="EJ57" s="54">
        <f t="shared" si="287"/>
        <v>0.68999999999999984</v>
      </c>
      <c r="EK57" s="54">
        <f t="shared" si="287"/>
        <v>0.66999999999999982</v>
      </c>
      <c r="EL57" s="54">
        <f t="shared" si="287"/>
        <v>0.6499999999999998</v>
      </c>
      <c r="EM57" s="54">
        <f t="shared" si="287"/>
        <v>0.62999999999999978</v>
      </c>
      <c r="EN57" s="54">
        <f t="shared" si="287"/>
        <v>0.60999999999999976</v>
      </c>
      <c r="EO57" s="54">
        <f t="shared" si="287"/>
        <v>0.58999999999999975</v>
      </c>
      <c r="EP57" s="54">
        <f t="shared" si="287"/>
        <v>0.56999999999999973</v>
      </c>
      <c r="ER57" s="54">
        <f t="shared" si="142"/>
        <v>21798.076300000004</v>
      </c>
      <c r="ES57" s="54">
        <f t="shared" si="116"/>
        <v>21798.076300000004</v>
      </c>
      <c r="ET57" s="58">
        <f t="shared" ref="ET57:ET60" si="341">+ES57*3.3058</f>
        <v>72060.080632540019</v>
      </c>
      <c r="EU57" s="54">
        <f t="shared" ref="EU57:EU60" si="342">+ES57*GN57</f>
        <v>21144.134011000002</v>
      </c>
      <c r="EV57" s="58">
        <f t="shared" ref="EV57:EV60" si="343">+EU57*3.3058</f>
        <v>69898.278213563812</v>
      </c>
      <c r="EW57" s="54">
        <f t="shared" ref="EW57:EW60" si="344">+ES57*GO57</f>
        <v>20708.172485000003</v>
      </c>
      <c r="EX57" s="58">
        <f t="shared" ref="EX57:EX60" si="345">+EW57*3.3058</f>
        <v>68457.076600913017</v>
      </c>
      <c r="EY57" s="54">
        <f>+ES57*GP57</f>
        <v>20272.210959000004</v>
      </c>
      <c r="EZ57" s="58">
        <f t="shared" ref="EZ57:EZ60" si="346">+EY57*3.3058</f>
        <v>67015.874988262207</v>
      </c>
      <c r="FA57" s="56">
        <f>+ES57*GQ57</f>
        <v>19836.249433000005</v>
      </c>
      <c r="FB57" s="58">
        <f t="shared" ref="FB57:FB60" si="347">+FA57*3.3058</f>
        <v>65574.673375611412</v>
      </c>
      <c r="FC57" s="54">
        <f>+ES57*GR57</f>
        <v>19400.287907000005</v>
      </c>
      <c r="FD57" s="58">
        <f t="shared" ref="FD57:FD60" si="348">+FC57*3.3058</f>
        <v>64133.471762960617</v>
      </c>
      <c r="FE57" s="56">
        <f>+ES57*GS57</f>
        <v>18964.326381000003</v>
      </c>
      <c r="FF57" s="58">
        <f t="shared" ref="FF57:FF60" si="349">+FE57*3.3058</f>
        <v>62692.270150309807</v>
      </c>
      <c r="FG57" s="59">
        <f>+ES57*GT57</f>
        <v>18528.364855000003</v>
      </c>
      <c r="FH57" s="58">
        <f t="shared" ref="FH57:FH60" si="350">+FG57*3.3058</f>
        <v>61251.068537659012</v>
      </c>
      <c r="FI57" s="56">
        <f>+ES57*GU57</f>
        <v>18092.403329000004</v>
      </c>
      <c r="FJ57" s="58">
        <f t="shared" ref="FJ57:FJ60" si="351">+FI57*3.3058</f>
        <v>59809.866925008217</v>
      </c>
      <c r="FK57" s="54">
        <f>+ES57*GV57</f>
        <v>17656.441803000002</v>
      </c>
      <c r="FL57" s="58">
        <f t="shared" ref="FL57:FL60" si="352">+FK57*3.3058</f>
        <v>58368.665312357407</v>
      </c>
      <c r="FM57" s="59">
        <f>+ES57*GW57</f>
        <v>17220.480277000002</v>
      </c>
      <c r="FN57" s="58">
        <f t="shared" ref="FN57:FN60" si="353">+FM57*3.3058</f>
        <v>56927.463699706612</v>
      </c>
      <c r="FO57" s="59">
        <f>+ES57*GX57</f>
        <v>16784.518751</v>
      </c>
      <c r="FP57" s="58">
        <f t="shared" ref="FP57:FP60" si="354">+FO57*3.3058</f>
        <v>55486.262087055802</v>
      </c>
      <c r="FQ57" s="59">
        <f>+ES57*GY57</f>
        <v>16348.557225</v>
      </c>
      <c r="FR57" s="58">
        <f t="shared" ref="FR57:FR60" si="355">+FQ57*3.3058</f>
        <v>54045.060474405</v>
      </c>
      <c r="FS57" s="54">
        <f>+ES57*GZ57</f>
        <v>15912.595699</v>
      </c>
      <c r="FT57" s="58">
        <f t="shared" ref="FT57:FT60" si="356">+FS57*3.3058</f>
        <v>52603.858861754197</v>
      </c>
      <c r="FU57" s="59">
        <f>+ES57*HA57</f>
        <v>15476.634173</v>
      </c>
      <c r="FV57" s="58">
        <f t="shared" ref="FV57:FV60" si="357">+FU57*3.3058</f>
        <v>51162.657249103402</v>
      </c>
      <c r="FW57" s="59">
        <f>+ES57*HB57</f>
        <v>15040.672646999999</v>
      </c>
      <c r="FX57" s="58">
        <f t="shared" ref="FX57:FX60" si="358">+FW57*3.3058</f>
        <v>49721.4556364526</v>
      </c>
      <c r="FY57" s="59">
        <f>+ES57*HC57</f>
        <v>14604.711120999998</v>
      </c>
      <c r="FZ57" s="58">
        <f t="shared" ref="FZ57:FZ60" si="359">+FY57*3.3058</f>
        <v>48280.254023801797</v>
      </c>
      <c r="GA57" s="59">
        <f>+ES57*HD57</f>
        <v>14168.749594999999</v>
      </c>
      <c r="GB57" s="58">
        <f t="shared" ref="GB57:GB60" si="360">+GA57*3.3058</f>
        <v>46839.052411151002</v>
      </c>
      <c r="GC57" s="54">
        <f>+ES57*HE57</f>
        <v>13732.788068999998</v>
      </c>
      <c r="GD57" s="58">
        <f t="shared" ref="GD57:GD60" si="361">+GC57*3.3058</f>
        <v>45397.850798500192</v>
      </c>
      <c r="GE57" s="59">
        <f>+ES57*HF57</f>
        <v>13296.826542999997</v>
      </c>
      <c r="GF57" s="58">
        <f t="shared" ref="GF57:GF60" si="362">+GE57*3.3058</f>
        <v>43956.64918584939</v>
      </c>
      <c r="GG57" s="59">
        <f>+ES57*HG57</f>
        <v>12860.865016999996</v>
      </c>
      <c r="GH57" s="58">
        <f t="shared" ref="GH57:GH60" si="363">+GG57*3.3058</f>
        <v>42515.447573198588</v>
      </c>
      <c r="GI57" s="54">
        <f>+ES57*HH57</f>
        <v>12424.903490999997</v>
      </c>
      <c r="GJ57" s="58">
        <f t="shared" ref="GJ57:GJ60" si="364">+GI57*3.3058</f>
        <v>41074.245960547792</v>
      </c>
      <c r="GK57" s="54"/>
      <c r="GL57" s="54"/>
      <c r="GM57" s="54">
        <v>1</v>
      </c>
      <c r="GN57" s="54">
        <v>0.97</v>
      </c>
      <c r="GO57" s="54">
        <v>0.95</v>
      </c>
      <c r="GP57" s="54">
        <v>0.93</v>
      </c>
      <c r="GQ57" s="54">
        <f t="shared" si="288"/>
        <v>0.91</v>
      </c>
      <c r="GR57" s="54">
        <f t="shared" si="288"/>
        <v>0.89</v>
      </c>
      <c r="GS57" s="54">
        <f t="shared" si="288"/>
        <v>0.87</v>
      </c>
      <c r="GT57" s="54">
        <f t="shared" si="288"/>
        <v>0.85</v>
      </c>
      <c r="GU57" s="54">
        <f t="shared" si="288"/>
        <v>0.83</v>
      </c>
      <c r="GV57" s="54">
        <f t="shared" si="288"/>
        <v>0.80999999999999994</v>
      </c>
      <c r="GW57" s="54">
        <f t="shared" si="288"/>
        <v>0.78999999999999992</v>
      </c>
      <c r="GX57" s="54">
        <f t="shared" si="288"/>
        <v>0.76999999999999991</v>
      </c>
      <c r="GY57" s="54">
        <f t="shared" si="288"/>
        <v>0.74999999999999989</v>
      </c>
      <c r="GZ57" s="54">
        <f t="shared" si="288"/>
        <v>0.72999999999999987</v>
      </c>
      <c r="HA57" s="54">
        <f t="shared" si="288"/>
        <v>0.70999999999999985</v>
      </c>
      <c r="HB57" s="54">
        <f t="shared" si="288"/>
        <v>0.68999999999999984</v>
      </c>
      <c r="HC57" s="54">
        <f t="shared" si="288"/>
        <v>0.66999999999999982</v>
      </c>
      <c r="HD57" s="54">
        <f t="shared" si="288"/>
        <v>0.6499999999999998</v>
      </c>
      <c r="HE57" s="54">
        <f t="shared" si="288"/>
        <v>0.62999999999999978</v>
      </c>
      <c r="HF57" s="54">
        <f t="shared" si="288"/>
        <v>0.60999999999999976</v>
      </c>
      <c r="HG57" s="54">
        <f t="shared" si="288"/>
        <v>0.58999999999999975</v>
      </c>
      <c r="HH57" s="54">
        <f t="shared" si="288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2">
        <f>TRUNC(+D58*3.3058,-1)</f>
        <v>0</v>
      </c>
      <c r="H58" s="54">
        <f t="shared" si="61"/>
        <v>0</v>
      </c>
      <c r="I58" s="54">
        <f t="shared" si="62"/>
        <v>0</v>
      </c>
      <c r="J58" s="58">
        <f t="shared" si="63"/>
        <v>0</v>
      </c>
      <c r="K58" s="54">
        <f t="shared" si="293"/>
        <v>0</v>
      </c>
      <c r="L58" s="58">
        <f t="shared" si="294"/>
        <v>0</v>
      </c>
      <c r="M58" s="54">
        <f t="shared" si="295"/>
        <v>0</v>
      </c>
      <c r="N58" s="58">
        <f t="shared" si="296"/>
        <v>0</v>
      </c>
      <c r="O58" s="54">
        <f>+I58*BF58</f>
        <v>0</v>
      </c>
      <c r="P58" s="58">
        <f t="shared" si="297"/>
        <v>0</v>
      </c>
      <c r="Q58" s="56">
        <f>+I58*BG58</f>
        <v>0</v>
      </c>
      <c r="R58" s="58">
        <f t="shared" si="298"/>
        <v>0</v>
      </c>
      <c r="S58" s="54">
        <f>+I58*BH58</f>
        <v>0</v>
      </c>
      <c r="T58" s="58">
        <f t="shared" si="299"/>
        <v>0</v>
      </c>
      <c r="U58" s="56">
        <f>+I58*BI58</f>
        <v>0</v>
      </c>
      <c r="V58" s="58">
        <f t="shared" si="300"/>
        <v>0</v>
      </c>
      <c r="W58" s="59">
        <f>+I58*BJ58</f>
        <v>0</v>
      </c>
      <c r="X58" s="58">
        <f t="shared" si="301"/>
        <v>0</v>
      </c>
      <c r="Y58" s="56">
        <f>+I58*BK58</f>
        <v>0</v>
      </c>
      <c r="Z58" s="58">
        <f t="shared" si="302"/>
        <v>0</v>
      </c>
      <c r="AA58" s="54">
        <f>+I58*BL58</f>
        <v>0</v>
      </c>
      <c r="AB58" s="58">
        <f t="shared" si="303"/>
        <v>0</v>
      </c>
      <c r="AC58" s="59">
        <f>+I58*BM58</f>
        <v>0</v>
      </c>
      <c r="AD58" s="58">
        <f t="shared" si="304"/>
        <v>0</v>
      </c>
      <c r="AE58" s="59">
        <f>+I58*BN58</f>
        <v>0</v>
      </c>
      <c r="AF58" s="58">
        <f t="shared" si="305"/>
        <v>0</v>
      </c>
      <c r="AG58" s="59">
        <f>+I58*BO58</f>
        <v>0</v>
      </c>
      <c r="AH58" s="58">
        <f t="shared" si="306"/>
        <v>0</v>
      </c>
      <c r="AI58" s="54">
        <f>+I58*BP58</f>
        <v>0</v>
      </c>
      <c r="AJ58" s="58">
        <f t="shared" si="307"/>
        <v>0</v>
      </c>
      <c r="AK58" s="59">
        <f>+I58*BQ58</f>
        <v>0</v>
      </c>
      <c r="AL58" s="58">
        <f t="shared" si="308"/>
        <v>0</v>
      </c>
      <c r="AM58" s="59">
        <f>+I58*BR58</f>
        <v>0</v>
      </c>
      <c r="AN58" s="58">
        <f t="shared" si="309"/>
        <v>0</v>
      </c>
      <c r="AO58" s="59">
        <f>+I58*BS58</f>
        <v>0</v>
      </c>
      <c r="AP58" s="58">
        <f t="shared" si="310"/>
        <v>0</v>
      </c>
      <c r="AQ58" s="59">
        <f>+I58*BT58</f>
        <v>0</v>
      </c>
      <c r="AR58" s="58">
        <f t="shared" si="311"/>
        <v>0</v>
      </c>
      <c r="AS58" s="54">
        <f>+I58*BU58</f>
        <v>0</v>
      </c>
      <c r="AT58" s="58">
        <f t="shared" si="312"/>
        <v>0</v>
      </c>
      <c r="AU58" s="59">
        <f>+I58*BV58</f>
        <v>0</v>
      </c>
      <c r="AV58" s="58">
        <f t="shared" si="313"/>
        <v>0</v>
      </c>
      <c r="AW58" s="59">
        <f>+I58*BW58</f>
        <v>0</v>
      </c>
      <c r="AX58" s="58">
        <f t="shared" si="314"/>
        <v>0</v>
      </c>
      <c r="AY58" s="54">
        <f>+I58*BX58</f>
        <v>0</v>
      </c>
      <c r="AZ58" s="58">
        <f t="shared" si="315"/>
        <v>0</v>
      </c>
      <c r="BC58" s="54">
        <v>1</v>
      </c>
      <c r="BD58" s="54">
        <v>0.97</v>
      </c>
      <c r="BE58" s="54">
        <v>0.95</v>
      </c>
      <c r="BF58" s="54">
        <v>0.93</v>
      </c>
      <c r="BG58" s="54">
        <f t="shared" si="316"/>
        <v>0.91</v>
      </c>
      <c r="BH58" s="54">
        <f t="shared" si="316"/>
        <v>0.89</v>
      </c>
      <c r="BI58" s="54">
        <f t="shared" si="316"/>
        <v>0.87</v>
      </c>
      <c r="BJ58" s="54">
        <f t="shared" si="316"/>
        <v>0.85</v>
      </c>
      <c r="BK58" s="54">
        <f t="shared" si="316"/>
        <v>0.83</v>
      </c>
      <c r="BL58" s="54">
        <f t="shared" si="316"/>
        <v>0.80999999999999994</v>
      </c>
      <c r="BM58" s="54">
        <f t="shared" si="316"/>
        <v>0.78999999999999992</v>
      </c>
      <c r="BN58" s="54">
        <f t="shared" si="316"/>
        <v>0.76999999999999991</v>
      </c>
      <c r="BO58" s="54">
        <f t="shared" si="316"/>
        <v>0.74999999999999989</v>
      </c>
      <c r="BP58" s="54">
        <f t="shared" si="316"/>
        <v>0.72999999999999987</v>
      </c>
      <c r="BQ58" s="54">
        <f t="shared" si="316"/>
        <v>0.70999999999999985</v>
      </c>
      <c r="BR58" s="54">
        <f t="shared" si="316"/>
        <v>0.68999999999999984</v>
      </c>
      <c r="BS58" s="54">
        <f t="shared" si="316"/>
        <v>0.66999999999999982</v>
      </c>
      <c r="BT58" s="54">
        <f t="shared" si="316"/>
        <v>0.6499999999999998</v>
      </c>
      <c r="BU58" s="54">
        <f t="shared" si="316"/>
        <v>0.62999999999999978</v>
      </c>
      <c r="BV58" s="54">
        <f t="shared" si="316"/>
        <v>0.60999999999999976</v>
      </c>
      <c r="BW58" s="54">
        <f t="shared" si="316"/>
        <v>0.58999999999999975</v>
      </c>
      <c r="BX58" s="54">
        <f t="shared" si="316"/>
        <v>0.56999999999999973</v>
      </c>
      <c r="BZ58" s="54">
        <f t="shared" si="88"/>
        <v>0</v>
      </c>
      <c r="CA58" s="54">
        <f t="shared" si="89"/>
        <v>0</v>
      </c>
      <c r="CB58" s="58">
        <f t="shared" si="317"/>
        <v>0</v>
      </c>
      <c r="CC58" s="54">
        <f t="shared" si="318"/>
        <v>0</v>
      </c>
      <c r="CD58" s="58">
        <f t="shared" si="319"/>
        <v>0</v>
      </c>
      <c r="CE58" s="54">
        <f t="shared" si="320"/>
        <v>0</v>
      </c>
      <c r="CF58" s="58">
        <f t="shared" si="321"/>
        <v>0</v>
      </c>
      <c r="CG58" s="54">
        <f>+CA58*DX58</f>
        <v>0</v>
      </c>
      <c r="CH58" s="58">
        <f t="shared" si="322"/>
        <v>0</v>
      </c>
      <c r="CI58" s="56">
        <f>+CA58*DY58</f>
        <v>0</v>
      </c>
      <c r="CJ58" s="58">
        <f t="shared" si="323"/>
        <v>0</v>
      </c>
      <c r="CK58" s="54">
        <f>+CA58*DZ58</f>
        <v>0</v>
      </c>
      <c r="CL58" s="58">
        <f t="shared" si="324"/>
        <v>0</v>
      </c>
      <c r="CM58" s="56">
        <f>+CA58*EA58</f>
        <v>0</v>
      </c>
      <c r="CN58" s="58">
        <f t="shared" si="325"/>
        <v>0</v>
      </c>
      <c r="CO58" s="59">
        <f>+CA58*EB58</f>
        <v>0</v>
      </c>
      <c r="CP58" s="58">
        <f t="shared" si="326"/>
        <v>0</v>
      </c>
      <c r="CQ58" s="56">
        <f>+CA58*EC58</f>
        <v>0</v>
      </c>
      <c r="CR58" s="58">
        <f t="shared" si="327"/>
        <v>0</v>
      </c>
      <c r="CS58" s="54">
        <f>+CA58*ED58</f>
        <v>0</v>
      </c>
      <c r="CT58" s="58">
        <f t="shared" si="328"/>
        <v>0</v>
      </c>
      <c r="CU58" s="59">
        <f>+CA58*EE58</f>
        <v>0</v>
      </c>
      <c r="CV58" s="58">
        <f t="shared" si="329"/>
        <v>0</v>
      </c>
      <c r="CW58" s="59">
        <f>+CA58*EF58</f>
        <v>0</v>
      </c>
      <c r="CX58" s="58">
        <f t="shared" si="330"/>
        <v>0</v>
      </c>
      <c r="CY58" s="59">
        <f>+CA58*EG58</f>
        <v>0</v>
      </c>
      <c r="CZ58" s="58">
        <f t="shared" si="331"/>
        <v>0</v>
      </c>
      <c r="DA58" s="54">
        <f>+CA58*EH58</f>
        <v>0</v>
      </c>
      <c r="DB58" s="58">
        <f t="shared" si="332"/>
        <v>0</v>
      </c>
      <c r="DC58" s="59">
        <f>+CA58*EI58</f>
        <v>0</v>
      </c>
      <c r="DD58" s="58">
        <f t="shared" si="333"/>
        <v>0</v>
      </c>
      <c r="DE58" s="59">
        <f>+CA58*EJ58</f>
        <v>0</v>
      </c>
      <c r="DF58" s="58">
        <f t="shared" si="334"/>
        <v>0</v>
      </c>
      <c r="DG58" s="59">
        <f>+CA58*EK58</f>
        <v>0</v>
      </c>
      <c r="DH58" s="58">
        <f t="shared" si="335"/>
        <v>0</v>
      </c>
      <c r="DI58" s="59">
        <f>+CA58*EL58</f>
        <v>0</v>
      </c>
      <c r="DJ58" s="58">
        <f t="shared" si="336"/>
        <v>0</v>
      </c>
      <c r="DK58" s="54">
        <f>+CA58*EM58</f>
        <v>0</v>
      </c>
      <c r="DL58" s="58">
        <f t="shared" si="337"/>
        <v>0</v>
      </c>
      <c r="DM58" s="59">
        <f>+CA58*EN58</f>
        <v>0</v>
      </c>
      <c r="DN58" s="58">
        <f t="shared" si="338"/>
        <v>0</v>
      </c>
      <c r="DO58" s="59">
        <f>+CA58*EO58</f>
        <v>0</v>
      </c>
      <c r="DP58" s="58">
        <f t="shared" si="339"/>
        <v>0</v>
      </c>
      <c r="DQ58" s="54">
        <f>+CA58*EP58</f>
        <v>0</v>
      </c>
      <c r="DR58" s="58">
        <f t="shared" si="340"/>
        <v>0</v>
      </c>
      <c r="DU58" s="54">
        <v>1</v>
      </c>
      <c r="DV58" s="54">
        <v>0.97</v>
      </c>
      <c r="DW58" s="54">
        <v>0.95</v>
      </c>
      <c r="DX58" s="54">
        <v>0.93</v>
      </c>
      <c r="DY58" s="54">
        <f t="shared" si="287"/>
        <v>0.91</v>
      </c>
      <c r="DZ58" s="54">
        <f t="shared" si="287"/>
        <v>0.89</v>
      </c>
      <c r="EA58" s="54">
        <f t="shared" si="287"/>
        <v>0.87</v>
      </c>
      <c r="EB58" s="54">
        <f t="shared" si="287"/>
        <v>0.85</v>
      </c>
      <c r="EC58" s="54">
        <f t="shared" si="287"/>
        <v>0.83</v>
      </c>
      <c r="ED58" s="54">
        <f t="shared" si="287"/>
        <v>0.80999999999999994</v>
      </c>
      <c r="EE58" s="54">
        <f t="shared" si="287"/>
        <v>0.78999999999999992</v>
      </c>
      <c r="EF58" s="54">
        <f t="shared" si="287"/>
        <v>0.76999999999999991</v>
      </c>
      <c r="EG58" s="54">
        <f t="shared" si="287"/>
        <v>0.74999999999999989</v>
      </c>
      <c r="EH58" s="54">
        <f t="shared" si="287"/>
        <v>0.72999999999999987</v>
      </c>
      <c r="EI58" s="54">
        <f t="shared" si="287"/>
        <v>0.70999999999999985</v>
      </c>
      <c r="EJ58" s="54">
        <f t="shared" si="287"/>
        <v>0.68999999999999984</v>
      </c>
      <c r="EK58" s="54">
        <f t="shared" si="287"/>
        <v>0.66999999999999982</v>
      </c>
      <c r="EL58" s="54">
        <f t="shared" si="287"/>
        <v>0.6499999999999998</v>
      </c>
      <c r="EM58" s="54">
        <f t="shared" si="287"/>
        <v>0.62999999999999978</v>
      </c>
      <c r="EN58" s="54">
        <f t="shared" si="287"/>
        <v>0.60999999999999976</v>
      </c>
      <c r="EO58" s="54">
        <f t="shared" si="287"/>
        <v>0.58999999999999975</v>
      </c>
      <c r="EP58" s="54">
        <f t="shared" si="287"/>
        <v>0.56999999999999973</v>
      </c>
      <c r="ER58" s="54">
        <f t="shared" si="142"/>
        <v>0</v>
      </c>
      <c r="ES58" s="54">
        <f t="shared" si="116"/>
        <v>0</v>
      </c>
      <c r="ET58" s="58">
        <f t="shared" si="341"/>
        <v>0</v>
      </c>
      <c r="EU58" s="54">
        <f t="shared" si="342"/>
        <v>0</v>
      </c>
      <c r="EV58" s="58">
        <f t="shared" si="343"/>
        <v>0</v>
      </c>
      <c r="EW58" s="54">
        <f t="shared" si="344"/>
        <v>0</v>
      </c>
      <c r="EX58" s="58">
        <f t="shared" si="345"/>
        <v>0</v>
      </c>
      <c r="EY58" s="54">
        <f>+ES58*GP58</f>
        <v>0</v>
      </c>
      <c r="EZ58" s="58">
        <f t="shared" si="346"/>
        <v>0</v>
      </c>
      <c r="FA58" s="56">
        <f>+ES58*GQ58</f>
        <v>0</v>
      </c>
      <c r="FB58" s="58">
        <f t="shared" si="347"/>
        <v>0</v>
      </c>
      <c r="FC58" s="54">
        <f>+ES58*GR58</f>
        <v>0</v>
      </c>
      <c r="FD58" s="58">
        <f t="shared" si="348"/>
        <v>0</v>
      </c>
      <c r="FE58" s="56">
        <f>+ES58*GS58</f>
        <v>0</v>
      </c>
      <c r="FF58" s="58">
        <f t="shared" si="349"/>
        <v>0</v>
      </c>
      <c r="FG58" s="59">
        <f>+ES58*GT58</f>
        <v>0</v>
      </c>
      <c r="FH58" s="58">
        <f t="shared" si="350"/>
        <v>0</v>
      </c>
      <c r="FI58" s="56">
        <f>+ES58*GU58</f>
        <v>0</v>
      </c>
      <c r="FJ58" s="58">
        <f t="shared" si="351"/>
        <v>0</v>
      </c>
      <c r="FK58" s="54">
        <f>+ES58*GV58</f>
        <v>0</v>
      </c>
      <c r="FL58" s="58">
        <f t="shared" si="352"/>
        <v>0</v>
      </c>
      <c r="FM58" s="59">
        <f>+ES58*GW58</f>
        <v>0</v>
      </c>
      <c r="FN58" s="58">
        <f t="shared" si="353"/>
        <v>0</v>
      </c>
      <c r="FO58" s="59">
        <f>+ES58*GX58</f>
        <v>0</v>
      </c>
      <c r="FP58" s="58">
        <f t="shared" si="354"/>
        <v>0</v>
      </c>
      <c r="FQ58" s="59">
        <f>+ES58*GY58</f>
        <v>0</v>
      </c>
      <c r="FR58" s="58">
        <f t="shared" si="355"/>
        <v>0</v>
      </c>
      <c r="FS58" s="54">
        <f>+ES58*GZ58</f>
        <v>0</v>
      </c>
      <c r="FT58" s="58">
        <f t="shared" si="356"/>
        <v>0</v>
      </c>
      <c r="FU58" s="59">
        <f>+ES58*HA58</f>
        <v>0</v>
      </c>
      <c r="FV58" s="58">
        <f t="shared" si="357"/>
        <v>0</v>
      </c>
      <c r="FW58" s="59">
        <f>+ES58*HB58</f>
        <v>0</v>
      </c>
      <c r="FX58" s="58">
        <f t="shared" si="358"/>
        <v>0</v>
      </c>
      <c r="FY58" s="59">
        <f>+ES58*HC58</f>
        <v>0</v>
      </c>
      <c r="FZ58" s="58">
        <f t="shared" si="359"/>
        <v>0</v>
      </c>
      <c r="GA58" s="59">
        <f>+ES58*HD58</f>
        <v>0</v>
      </c>
      <c r="GB58" s="58">
        <f t="shared" si="360"/>
        <v>0</v>
      </c>
      <c r="GC58" s="54">
        <f>+ES58*HE58</f>
        <v>0</v>
      </c>
      <c r="GD58" s="58">
        <f t="shared" si="361"/>
        <v>0</v>
      </c>
      <c r="GE58" s="59">
        <f>+ES58*HF58</f>
        <v>0</v>
      </c>
      <c r="GF58" s="58">
        <f t="shared" si="362"/>
        <v>0</v>
      </c>
      <c r="GG58" s="59">
        <f>+ES58*HG58</f>
        <v>0</v>
      </c>
      <c r="GH58" s="58">
        <f t="shared" si="363"/>
        <v>0</v>
      </c>
      <c r="GI58" s="54">
        <f>+ES58*HH58</f>
        <v>0</v>
      </c>
      <c r="GJ58" s="58">
        <f t="shared" si="364"/>
        <v>0</v>
      </c>
      <c r="GK58" s="54"/>
      <c r="GL58" s="54"/>
      <c r="GM58" s="54">
        <v>1</v>
      </c>
      <c r="GN58" s="54">
        <v>0.97</v>
      </c>
      <c r="GO58" s="54">
        <v>0.95</v>
      </c>
      <c r="GP58" s="54">
        <v>0.93</v>
      </c>
      <c r="GQ58" s="54">
        <f t="shared" si="288"/>
        <v>0.91</v>
      </c>
      <c r="GR58" s="54">
        <f t="shared" si="288"/>
        <v>0.89</v>
      </c>
      <c r="GS58" s="54">
        <f t="shared" si="288"/>
        <v>0.87</v>
      </c>
      <c r="GT58" s="54">
        <f t="shared" si="288"/>
        <v>0.85</v>
      </c>
      <c r="GU58" s="54">
        <f t="shared" si="288"/>
        <v>0.83</v>
      </c>
      <c r="GV58" s="54">
        <f t="shared" si="288"/>
        <v>0.80999999999999994</v>
      </c>
      <c r="GW58" s="54">
        <f t="shared" si="288"/>
        <v>0.78999999999999992</v>
      </c>
      <c r="GX58" s="54">
        <f t="shared" si="288"/>
        <v>0.76999999999999991</v>
      </c>
      <c r="GY58" s="54">
        <f t="shared" si="288"/>
        <v>0.74999999999999989</v>
      </c>
      <c r="GZ58" s="54">
        <f t="shared" si="288"/>
        <v>0.72999999999999987</v>
      </c>
      <c r="HA58" s="54">
        <f t="shared" si="288"/>
        <v>0.70999999999999985</v>
      </c>
      <c r="HB58" s="54">
        <f t="shared" si="288"/>
        <v>0.68999999999999984</v>
      </c>
      <c r="HC58" s="54">
        <f t="shared" si="288"/>
        <v>0.66999999999999982</v>
      </c>
      <c r="HD58" s="54">
        <f t="shared" si="288"/>
        <v>0.6499999999999998</v>
      </c>
      <c r="HE58" s="54">
        <f t="shared" si="288"/>
        <v>0.62999999999999978</v>
      </c>
      <c r="HF58" s="54">
        <f t="shared" si="288"/>
        <v>0.60999999999999976</v>
      </c>
      <c r="HG58" s="54">
        <f t="shared" si="288"/>
        <v>0.58999999999999975</v>
      </c>
      <c r="HH58" s="54">
        <f t="shared" si="288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3">
        <f>TRUNC(+D59*3.3058,-1)</f>
        <v>0</v>
      </c>
      <c r="H59" s="54">
        <f t="shared" si="61"/>
        <v>0</v>
      </c>
      <c r="I59" s="54">
        <f t="shared" si="62"/>
        <v>0</v>
      </c>
      <c r="J59" s="58">
        <f t="shared" si="63"/>
        <v>0</v>
      </c>
      <c r="K59" s="54">
        <f t="shared" si="293"/>
        <v>0</v>
      </c>
      <c r="L59" s="58">
        <f t="shared" si="294"/>
        <v>0</v>
      </c>
      <c r="M59" s="54">
        <f t="shared" si="295"/>
        <v>0</v>
      </c>
      <c r="N59" s="58">
        <f t="shared" si="296"/>
        <v>0</v>
      </c>
      <c r="O59" s="54">
        <f>+I59*BF59</f>
        <v>0</v>
      </c>
      <c r="P59" s="58">
        <f t="shared" si="297"/>
        <v>0</v>
      </c>
      <c r="Q59" s="56">
        <f>+I59*BG59</f>
        <v>0</v>
      </c>
      <c r="R59" s="58">
        <f t="shared" si="298"/>
        <v>0</v>
      </c>
      <c r="S59" s="54">
        <f>+I59*BH59</f>
        <v>0</v>
      </c>
      <c r="T59" s="58">
        <f t="shared" si="299"/>
        <v>0</v>
      </c>
      <c r="U59" s="56">
        <f>+I59*BI59</f>
        <v>0</v>
      </c>
      <c r="V59" s="58">
        <f t="shared" si="300"/>
        <v>0</v>
      </c>
      <c r="W59" s="59">
        <f>+I59*BJ59</f>
        <v>0</v>
      </c>
      <c r="X59" s="58">
        <f t="shared" si="301"/>
        <v>0</v>
      </c>
      <c r="Y59" s="56">
        <f>+I59*BK59</f>
        <v>0</v>
      </c>
      <c r="Z59" s="58">
        <f t="shared" si="302"/>
        <v>0</v>
      </c>
      <c r="AA59" s="54">
        <f>+I59*BL59</f>
        <v>0</v>
      </c>
      <c r="AB59" s="58">
        <f t="shared" si="303"/>
        <v>0</v>
      </c>
      <c r="AC59" s="59">
        <f>+I59*BM59</f>
        <v>0</v>
      </c>
      <c r="AD59" s="58">
        <f t="shared" si="304"/>
        <v>0</v>
      </c>
      <c r="AE59" s="59">
        <f>+I59*BN59</f>
        <v>0</v>
      </c>
      <c r="AF59" s="58">
        <f t="shared" si="305"/>
        <v>0</v>
      </c>
      <c r="AG59" s="59">
        <f>+I59*BO59</f>
        <v>0</v>
      </c>
      <c r="AH59" s="58">
        <f t="shared" si="306"/>
        <v>0</v>
      </c>
      <c r="AI59" s="54">
        <f>+I59*BP59</f>
        <v>0</v>
      </c>
      <c r="AJ59" s="58">
        <f t="shared" si="307"/>
        <v>0</v>
      </c>
      <c r="AK59" s="59">
        <f>+I59*BQ59</f>
        <v>0</v>
      </c>
      <c r="AL59" s="58">
        <f t="shared" si="308"/>
        <v>0</v>
      </c>
      <c r="AM59" s="59">
        <f>+I59*BR59</f>
        <v>0</v>
      </c>
      <c r="AN59" s="58">
        <f t="shared" si="309"/>
        <v>0</v>
      </c>
      <c r="AO59" s="59">
        <f>+I59*BS59</f>
        <v>0</v>
      </c>
      <c r="AP59" s="58">
        <f t="shared" si="310"/>
        <v>0</v>
      </c>
      <c r="AQ59" s="59">
        <f>+I59*BT59</f>
        <v>0</v>
      </c>
      <c r="AR59" s="58">
        <f t="shared" si="311"/>
        <v>0</v>
      </c>
      <c r="AS59" s="54">
        <f>+I59*BU59</f>
        <v>0</v>
      </c>
      <c r="AT59" s="58">
        <f t="shared" si="312"/>
        <v>0</v>
      </c>
      <c r="AU59" s="59">
        <f>+I59*BV59</f>
        <v>0</v>
      </c>
      <c r="AV59" s="58">
        <f t="shared" si="313"/>
        <v>0</v>
      </c>
      <c r="AW59" s="59">
        <f>+I59*BW59</f>
        <v>0</v>
      </c>
      <c r="AX59" s="58">
        <f t="shared" si="314"/>
        <v>0</v>
      </c>
      <c r="AY59" s="54">
        <f>+I59*BX59</f>
        <v>0</v>
      </c>
      <c r="AZ59" s="58">
        <f t="shared" si="315"/>
        <v>0</v>
      </c>
      <c r="BC59" s="54">
        <v>1</v>
      </c>
      <c r="BD59" s="54">
        <v>0.97</v>
      </c>
      <c r="BE59" s="54">
        <v>0.95</v>
      </c>
      <c r="BF59" s="54">
        <v>0.93</v>
      </c>
      <c r="BG59" s="54">
        <f t="shared" si="316"/>
        <v>0.91</v>
      </c>
      <c r="BH59" s="54">
        <f t="shared" si="316"/>
        <v>0.89</v>
      </c>
      <c r="BI59" s="54">
        <f t="shared" si="316"/>
        <v>0.87</v>
      </c>
      <c r="BJ59" s="54">
        <f t="shared" si="316"/>
        <v>0.85</v>
      </c>
      <c r="BK59" s="54">
        <f t="shared" si="316"/>
        <v>0.83</v>
      </c>
      <c r="BL59" s="54">
        <f t="shared" si="316"/>
        <v>0.80999999999999994</v>
      </c>
      <c r="BM59" s="54">
        <f t="shared" si="316"/>
        <v>0.78999999999999992</v>
      </c>
      <c r="BN59" s="54">
        <f t="shared" si="316"/>
        <v>0.76999999999999991</v>
      </c>
      <c r="BO59" s="54">
        <f t="shared" si="316"/>
        <v>0.74999999999999989</v>
      </c>
      <c r="BP59" s="54">
        <f t="shared" si="316"/>
        <v>0.72999999999999987</v>
      </c>
      <c r="BQ59" s="54">
        <f t="shared" si="316"/>
        <v>0.70999999999999985</v>
      </c>
      <c r="BR59" s="54">
        <f t="shared" si="316"/>
        <v>0.68999999999999984</v>
      </c>
      <c r="BS59" s="54">
        <f t="shared" si="316"/>
        <v>0.66999999999999982</v>
      </c>
      <c r="BT59" s="54">
        <f t="shared" si="316"/>
        <v>0.6499999999999998</v>
      </c>
      <c r="BU59" s="54">
        <f t="shared" si="316"/>
        <v>0.62999999999999978</v>
      </c>
      <c r="BV59" s="54">
        <f t="shared" si="316"/>
        <v>0.60999999999999976</v>
      </c>
      <c r="BW59" s="54">
        <f t="shared" si="316"/>
        <v>0.58999999999999975</v>
      </c>
      <c r="BX59" s="54">
        <f t="shared" si="316"/>
        <v>0.56999999999999973</v>
      </c>
      <c r="BZ59" s="54">
        <f t="shared" si="88"/>
        <v>0</v>
      </c>
      <c r="CA59" s="54">
        <f t="shared" si="89"/>
        <v>0</v>
      </c>
      <c r="CB59" s="58">
        <f t="shared" si="317"/>
        <v>0</v>
      </c>
      <c r="CC59" s="54">
        <f t="shared" si="318"/>
        <v>0</v>
      </c>
      <c r="CD59" s="58">
        <f t="shared" si="319"/>
        <v>0</v>
      </c>
      <c r="CE59" s="54">
        <f t="shared" si="320"/>
        <v>0</v>
      </c>
      <c r="CF59" s="58">
        <f t="shared" si="321"/>
        <v>0</v>
      </c>
      <c r="CG59" s="54">
        <f>+CA59*DX59</f>
        <v>0</v>
      </c>
      <c r="CH59" s="58">
        <f t="shared" si="322"/>
        <v>0</v>
      </c>
      <c r="CI59" s="56">
        <f>+CA59*DY59</f>
        <v>0</v>
      </c>
      <c r="CJ59" s="58">
        <f t="shared" si="323"/>
        <v>0</v>
      </c>
      <c r="CK59" s="54">
        <f>+CA59*DZ59</f>
        <v>0</v>
      </c>
      <c r="CL59" s="58">
        <f t="shared" si="324"/>
        <v>0</v>
      </c>
      <c r="CM59" s="56">
        <f>+CA59*EA59</f>
        <v>0</v>
      </c>
      <c r="CN59" s="58">
        <f t="shared" si="325"/>
        <v>0</v>
      </c>
      <c r="CO59" s="59">
        <f>+CA59*EB59</f>
        <v>0</v>
      </c>
      <c r="CP59" s="58">
        <f t="shared" si="326"/>
        <v>0</v>
      </c>
      <c r="CQ59" s="56">
        <f>+CA59*EC59</f>
        <v>0</v>
      </c>
      <c r="CR59" s="58">
        <f t="shared" si="327"/>
        <v>0</v>
      </c>
      <c r="CS59" s="54">
        <f>+CA59*ED59</f>
        <v>0</v>
      </c>
      <c r="CT59" s="58">
        <f t="shared" si="328"/>
        <v>0</v>
      </c>
      <c r="CU59" s="59">
        <f>+CA59*EE59</f>
        <v>0</v>
      </c>
      <c r="CV59" s="58">
        <f t="shared" si="329"/>
        <v>0</v>
      </c>
      <c r="CW59" s="59">
        <f>+CA59*EF59</f>
        <v>0</v>
      </c>
      <c r="CX59" s="58">
        <f t="shared" si="330"/>
        <v>0</v>
      </c>
      <c r="CY59" s="59">
        <f>+CA59*EG59</f>
        <v>0</v>
      </c>
      <c r="CZ59" s="58">
        <f t="shared" si="331"/>
        <v>0</v>
      </c>
      <c r="DA59" s="54">
        <f>+CA59*EH59</f>
        <v>0</v>
      </c>
      <c r="DB59" s="58">
        <f t="shared" si="332"/>
        <v>0</v>
      </c>
      <c r="DC59" s="59">
        <f>+CA59*EI59</f>
        <v>0</v>
      </c>
      <c r="DD59" s="58">
        <f t="shared" si="333"/>
        <v>0</v>
      </c>
      <c r="DE59" s="59">
        <f>+CA59*EJ59</f>
        <v>0</v>
      </c>
      <c r="DF59" s="58">
        <f t="shared" si="334"/>
        <v>0</v>
      </c>
      <c r="DG59" s="59">
        <f>+CA59*EK59</f>
        <v>0</v>
      </c>
      <c r="DH59" s="58">
        <f t="shared" si="335"/>
        <v>0</v>
      </c>
      <c r="DI59" s="59">
        <f>+CA59*EL59</f>
        <v>0</v>
      </c>
      <c r="DJ59" s="58">
        <f t="shared" si="336"/>
        <v>0</v>
      </c>
      <c r="DK59" s="54">
        <f>+CA59*EM59</f>
        <v>0</v>
      </c>
      <c r="DL59" s="58">
        <f t="shared" si="337"/>
        <v>0</v>
      </c>
      <c r="DM59" s="59">
        <f>+CA59*EN59</f>
        <v>0</v>
      </c>
      <c r="DN59" s="58">
        <f t="shared" si="338"/>
        <v>0</v>
      </c>
      <c r="DO59" s="59">
        <f>+CA59*EO59</f>
        <v>0</v>
      </c>
      <c r="DP59" s="58">
        <f t="shared" si="339"/>
        <v>0</v>
      </c>
      <c r="DQ59" s="54">
        <f>+CA59*EP59</f>
        <v>0</v>
      </c>
      <c r="DR59" s="58">
        <f t="shared" si="340"/>
        <v>0</v>
      </c>
      <c r="DU59" s="54">
        <v>1</v>
      </c>
      <c r="DV59" s="54">
        <v>0.97</v>
      </c>
      <c r="DW59" s="54">
        <v>0.95</v>
      </c>
      <c r="DX59" s="54">
        <v>0.93</v>
      </c>
      <c r="DY59" s="54">
        <f t="shared" si="287"/>
        <v>0.91</v>
      </c>
      <c r="DZ59" s="54">
        <f t="shared" si="287"/>
        <v>0.89</v>
      </c>
      <c r="EA59" s="54">
        <f t="shared" si="287"/>
        <v>0.87</v>
      </c>
      <c r="EB59" s="54">
        <f t="shared" si="287"/>
        <v>0.85</v>
      </c>
      <c r="EC59" s="54">
        <f t="shared" si="287"/>
        <v>0.83</v>
      </c>
      <c r="ED59" s="54">
        <f t="shared" si="287"/>
        <v>0.80999999999999994</v>
      </c>
      <c r="EE59" s="54">
        <f t="shared" si="287"/>
        <v>0.78999999999999992</v>
      </c>
      <c r="EF59" s="54">
        <f t="shared" si="287"/>
        <v>0.76999999999999991</v>
      </c>
      <c r="EG59" s="54">
        <f t="shared" si="287"/>
        <v>0.74999999999999989</v>
      </c>
      <c r="EH59" s="54">
        <f t="shared" si="287"/>
        <v>0.72999999999999987</v>
      </c>
      <c r="EI59" s="54">
        <f t="shared" si="287"/>
        <v>0.70999999999999985</v>
      </c>
      <c r="EJ59" s="54">
        <f t="shared" si="287"/>
        <v>0.68999999999999984</v>
      </c>
      <c r="EK59" s="54">
        <f t="shared" si="287"/>
        <v>0.66999999999999982</v>
      </c>
      <c r="EL59" s="54">
        <f t="shared" si="287"/>
        <v>0.6499999999999998</v>
      </c>
      <c r="EM59" s="54">
        <f t="shared" si="287"/>
        <v>0.62999999999999978</v>
      </c>
      <c r="EN59" s="54">
        <f t="shared" si="287"/>
        <v>0.60999999999999976</v>
      </c>
      <c r="EO59" s="54">
        <f t="shared" si="287"/>
        <v>0.58999999999999975</v>
      </c>
      <c r="EP59" s="54">
        <f t="shared" si="287"/>
        <v>0.56999999999999973</v>
      </c>
      <c r="ER59" s="54">
        <f t="shared" si="142"/>
        <v>0</v>
      </c>
      <c r="ES59" s="54">
        <f t="shared" si="116"/>
        <v>0</v>
      </c>
      <c r="ET59" s="58">
        <f t="shared" si="341"/>
        <v>0</v>
      </c>
      <c r="EU59" s="54">
        <f t="shared" si="342"/>
        <v>0</v>
      </c>
      <c r="EV59" s="58">
        <f t="shared" si="343"/>
        <v>0</v>
      </c>
      <c r="EW59" s="54">
        <f t="shared" si="344"/>
        <v>0</v>
      </c>
      <c r="EX59" s="58">
        <f t="shared" si="345"/>
        <v>0</v>
      </c>
      <c r="EY59" s="54">
        <f>+ES59*GP59</f>
        <v>0</v>
      </c>
      <c r="EZ59" s="58">
        <f t="shared" si="346"/>
        <v>0</v>
      </c>
      <c r="FA59" s="56">
        <f>+ES59*GQ59</f>
        <v>0</v>
      </c>
      <c r="FB59" s="58">
        <f t="shared" si="347"/>
        <v>0</v>
      </c>
      <c r="FC59" s="54">
        <f>+ES59*GR59</f>
        <v>0</v>
      </c>
      <c r="FD59" s="58">
        <f t="shared" si="348"/>
        <v>0</v>
      </c>
      <c r="FE59" s="56">
        <f>+ES59*GS59</f>
        <v>0</v>
      </c>
      <c r="FF59" s="58">
        <f t="shared" si="349"/>
        <v>0</v>
      </c>
      <c r="FG59" s="59">
        <f>+ES59*GT59</f>
        <v>0</v>
      </c>
      <c r="FH59" s="58">
        <f t="shared" si="350"/>
        <v>0</v>
      </c>
      <c r="FI59" s="56">
        <f>+ES59*GU59</f>
        <v>0</v>
      </c>
      <c r="FJ59" s="58">
        <f t="shared" si="351"/>
        <v>0</v>
      </c>
      <c r="FK59" s="54">
        <f>+ES59*GV59</f>
        <v>0</v>
      </c>
      <c r="FL59" s="58">
        <f t="shared" si="352"/>
        <v>0</v>
      </c>
      <c r="FM59" s="59">
        <f>+ES59*GW59</f>
        <v>0</v>
      </c>
      <c r="FN59" s="58">
        <f t="shared" si="353"/>
        <v>0</v>
      </c>
      <c r="FO59" s="59">
        <f>+ES59*GX59</f>
        <v>0</v>
      </c>
      <c r="FP59" s="58">
        <f t="shared" si="354"/>
        <v>0</v>
      </c>
      <c r="FQ59" s="59">
        <f>+ES59*GY59</f>
        <v>0</v>
      </c>
      <c r="FR59" s="58">
        <f t="shared" si="355"/>
        <v>0</v>
      </c>
      <c r="FS59" s="54">
        <f>+ES59*GZ59</f>
        <v>0</v>
      </c>
      <c r="FT59" s="58">
        <f t="shared" si="356"/>
        <v>0</v>
      </c>
      <c r="FU59" s="59">
        <f>+ES59*HA59</f>
        <v>0</v>
      </c>
      <c r="FV59" s="58">
        <f t="shared" si="357"/>
        <v>0</v>
      </c>
      <c r="FW59" s="59">
        <f>+ES59*HB59</f>
        <v>0</v>
      </c>
      <c r="FX59" s="58">
        <f t="shared" si="358"/>
        <v>0</v>
      </c>
      <c r="FY59" s="59">
        <f>+ES59*HC59</f>
        <v>0</v>
      </c>
      <c r="FZ59" s="58">
        <f t="shared" si="359"/>
        <v>0</v>
      </c>
      <c r="GA59" s="59">
        <f>+ES59*HD59</f>
        <v>0</v>
      </c>
      <c r="GB59" s="58">
        <f t="shared" si="360"/>
        <v>0</v>
      </c>
      <c r="GC59" s="54">
        <f>+ES59*HE59</f>
        <v>0</v>
      </c>
      <c r="GD59" s="58">
        <f t="shared" si="361"/>
        <v>0</v>
      </c>
      <c r="GE59" s="59">
        <f>+ES59*HF59</f>
        <v>0</v>
      </c>
      <c r="GF59" s="58">
        <f t="shared" si="362"/>
        <v>0</v>
      </c>
      <c r="GG59" s="59">
        <f>+ES59*HG59</f>
        <v>0</v>
      </c>
      <c r="GH59" s="58">
        <f t="shared" si="363"/>
        <v>0</v>
      </c>
      <c r="GI59" s="54">
        <f>+ES59*HH59</f>
        <v>0</v>
      </c>
      <c r="GJ59" s="58">
        <f t="shared" si="364"/>
        <v>0</v>
      </c>
      <c r="GK59" s="54"/>
      <c r="GL59" s="54"/>
      <c r="GM59" s="54">
        <v>1</v>
      </c>
      <c r="GN59" s="54">
        <v>0.97</v>
      </c>
      <c r="GO59" s="54">
        <v>0.95</v>
      </c>
      <c r="GP59" s="54">
        <v>0.93</v>
      </c>
      <c r="GQ59" s="54">
        <f t="shared" si="288"/>
        <v>0.91</v>
      </c>
      <c r="GR59" s="54">
        <f t="shared" si="288"/>
        <v>0.89</v>
      </c>
      <c r="GS59" s="54">
        <f t="shared" si="288"/>
        <v>0.87</v>
      </c>
      <c r="GT59" s="54">
        <f t="shared" si="288"/>
        <v>0.85</v>
      </c>
      <c r="GU59" s="54">
        <f t="shared" si="288"/>
        <v>0.83</v>
      </c>
      <c r="GV59" s="54">
        <f t="shared" si="288"/>
        <v>0.80999999999999994</v>
      </c>
      <c r="GW59" s="54">
        <f t="shared" si="288"/>
        <v>0.78999999999999992</v>
      </c>
      <c r="GX59" s="54">
        <f t="shared" si="288"/>
        <v>0.76999999999999991</v>
      </c>
      <c r="GY59" s="54">
        <f t="shared" si="288"/>
        <v>0.74999999999999989</v>
      </c>
      <c r="GZ59" s="54">
        <f t="shared" si="288"/>
        <v>0.72999999999999987</v>
      </c>
      <c r="HA59" s="54">
        <f t="shared" si="288"/>
        <v>0.70999999999999985</v>
      </c>
      <c r="HB59" s="54">
        <f t="shared" si="288"/>
        <v>0.68999999999999984</v>
      </c>
      <c r="HC59" s="54">
        <f t="shared" si="288"/>
        <v>0.66999999999999982</v>
      </c>
      <c r="HD59" s="54">
        <f t="shared" si="288"/>
        <v>0.6499999999999998</v>
      </c>
      <c r="HE59" s="54">
        <f t="shared" si="288"/>
        <v>0.62999999999999978</v>
      </c>
      <c r="HF59" s="54">
        <f t="shared" si="288"/>
        <v>0.60999999999999976</v>
      </c>
      <c r="HG59" s="54">
        <f t="shared" si="288"/>
        <v>0.58999999999999975</v>
      </c>
      <c r="HH59" s="54">
        <f t="shared" si="288"/>
        <v>0.56999999999999973</v>
      </c>
    </row>
    <row r="60" spans="1:216" x14ac:dyDescent="0.3">
      <c r="A60" s="2">
        <v>4</v>
      </c>
      <c r="C60" s="27" t="s">
        <v>113</v>
      </c>
      <c r="D60" s="65">
        <f>SUM(D57:D59)</f>
        <v>7240</v>
      </c>
      <c r="E60" s="65">
        <f>SUM(E57:E59)</f>
        <v>23930</v>
      </c>
      <c r="H60" s="54">
        <f t="shared" si="61"/>
        <v>26323.000000000004</v>
      </c>
      <c r="I60" s="54">
        <f t="shared" si="62"/>
        <v>26323.000000000004</v>
      </c>
      <c r="J60" s="58">
        <f t="shared" si="63"/>
        <v>87018.573400000008</v>
      </c>
      <c r="K60" s="54">
        <f t="shared" si="293"/>
        <v>25533.31</v>
      </c>
      <c r="L60" s="58">
        <f t="shared" si="294"/>
        <v>84408.016198000012</v>
      </c>
      <c r="M60" s="54">
        <f t="shared" si="295"/>
        <v>25006.850000000002</v>
      </c>
      <c r="N60" s="58">
        <f t="shared" si="296"/>
        <v>82667.644730000015</v>
      </c>
      <c r="O60" s="54">
        <f>+I60*BF60</f>
        <v>24480.390000000003</v>
      </c>
      <c r="P60" s="58">
        <f t="shared" si="297"/>
        <v>80927.273262000017</v>
      </c>
      <c r="Q60" s="56">
        <f>+I60*BG60</f>
        <v>23953.930000000004</v>
      </c>
      <c r="R60" s="58">
        <f t="shared" si="298"/>
        <v>79186.901794000019</v>
      </c>
      <c r="S60" s="54">
        <f>+I60*BH60</f>
        <v>23427.470000000005</v>
      </c>
      <c r="T60" s="58">
        <f t="shared" si="299"/>
        <v>77446.530326000022</v>
      </c>
      <c r="U60" s="56">
        <f>+I60*BI60</f>
        <v>22901.010000000002</v>
      </c>
      <c r="V60" s="58">
        <f t="shared" si="300"/>
        <v>75706.15885800001</v>
      </c>
      <c r="W60" s="59">
        <f>+I60*BJ60</f>
        <v>22374.550000000003</v>
      </c>
      <c r="X60" s="58">
        <f t="shared" si="301"/>
        <v>73965.787390000012</v>
      </c>
      <c r="Y60" s="56">
        <f>+I60*BK60</f>
        <v>21848.090000000004</v>
      </c>
      <c r="Z60" s="58">
        <f t="shared" si="302"/>
        <v>72225.415922000015</v>
      </c>
      <c r="AA60" s="54">
        <f>+I60*BL60</f>
        <v>21321.63</v>
      </c>
      <c r="AB60" s="58">
        <f t="shared" si="303"/>
        <v>70485.044454000003</v>
      </c>
      <c r="AC60" s="59">
        <f>+I60*BM60</f>
        <v>20795.170000000002</v>
      </c>
      <c r="AD60" s="58">
        <f t="shared" si="304"/>
        <v>68744.672986000005</v>
      </c>
      <c r="AE60" s="59">
        <f>+I60*BN60</f>
        <v>20268.71</v>
      </c>
      <c r="AF60" s="58">
        <f t="shared" si="305"/>
        <v>67004.301517999993</v>
      </c>
      <c r="AG60" s="59">
        <f>+I60*BO60</f>
        <v>19742.25</v>
      </c>
      <c r="AH60" s="58">
        <f t="shared" si="306"/>
        <v>65263.930050000003</v>
      </c>
      <c r="AI60" s="54">
        <f>+I60*BP60</f>
        <v>19215.79</v>
      </c>
      <c r="AJ60" s="58">
        <f t="shared" si="307"/>
        <v>63523.558582000005</v>
      </c>
      <c r="AK60" s="59">
        <f>+I60*BQ60</f>
        <v>18689.329999999998</v>
      </c>
      <c r="AL60" s="58">
        <f t="shared" si="308"/>
        <v>61783.187113999993</v>
      </c>
      <c r="AM60" s="59">
        <f>+I60*BR60</f>
        <v>18162.87</v>
      </c>
      <c r="AN60" s="58">
        <f t="shared" si="309"/>
        <v>60042.815645999995</v>
      </c>
      <c r="AO60" s="59">
        <f>+I60*BS60</f>
        <v>17636.409999999996</v>
      </c>
      <c r="AP60" s="58">
        <f t="shared" si="310"/>
        <v>58302.444177999991</v>
      </c>
      <c r="AQ60" s="59">
        <f>+I60*BT60</f>
        <v>17109.949999999997</v>
      </c>
      <c r="AR60" s="58">
        <f t="shared" si="311"/>
        <v>56562.072709999993</v>
      </c>
      <c r="AS60" s="54">
        <f>+I60*BU60</f>
        <v>16583.489999999998</v>
      </c>
      <c r="AT60" s="58">
        <f t="shared" si="312"/>
        <v>54821.701241999996</v>
      </c>
      <c r="AU60" s="59">
        <f>+I60*BV60</f>
        <v>16057.029999999995</v>
      </c>
      <c r="AV60" s="58">
        <f t="shared" si="313"/>
        <v>53081.329773999983</v>
      </c>
      <c r="AW60" s="59">
        <f>+I60*BW60</f>
        <v>15530.569999999996</v>
      </c>
      <c r="AX60" s="58">
        <f t="shared" si="314"/>
        <v>51340.958305999986</v>
      </c>
      <c r="AY60" s="54">
        <f>+I60*BX60</f>
        <v>15004.109999999995</v>
      </c>
      <c r="AZ60" s="58">
        <f t="shared" si="315"/>
        <v>49600.586837999988</v>
      </c>
      <c r="BC60" s="54">
        <v>1</v>
      </c>
      <c r="BD60" s="54">
        <v>0.97</v>
      </c>
      <c r="BE60" s="54">
        <v>0.95</v>
      </c>
      <c r="BF60" s="54">
        <v>0.93</v>
      </c>
      <c r="BG60" s="54">
        <f t="shared" si="316"/>
        <v>0.91</v>
      </c>
      <c r="BH60" s="54">
        <f t="shared" si="316"/>
        <v>0.89</v>
      </c>
      <c r="BI60" s="54">
        <f t="shared" si="316"/>
        <v>0.87</v>
      </c>
      <c r="BJ60" s="54">
        <f t="shared" si="316"/>
        <v>0.85</v>
      </c>
      <c r="BK60" s="54">
        <f t="shared" si="316"/>
        <v>0.83</v>
      </c>
      <c r="BL60" s="54">
        <f t="shared" si="316"/>
        <v>0.80999999999999994</v>
      </c>
      <c r="BM60" s="54">
        <f t="shared" si="316"/>
        <v>0.78999999999999992</v>
      </c>
      <c r="BN60" s="54">
        <f t="shared" si="316"/>
        <v>0.76999999999999991</v>
      </c>
      <c r="BO60" s="54">
        <f t="shared" si="316"/>
        <v>0.74999999999999989</v>
      </c>
      <c r="BP60" s="54">
        <f t="shared" si="316"/>
        <v>0.72999999999999987</v>
      </c>
      <c r="BQ60" s="54">
        <f t="shared" si="316"/>
        <v>0.70999999999999985</v>
      </c>
      <c r="BR60" s="54">
        <f t="shared" si="316"/>
        <v>0.68999999999999984</v>
      </c>
      <c r="BS60" s="54">
        <f t="shared" si="316"/>
        <v>0.66999999999999982</v>
      </c>
      <c r="BT60" s="54">
        <f t="shared" si="316"/>
        <v>0.6499999999999998</v>
      </c>
      <c r="BU60" s="54">
        <f t="shared" si="316"/>
        <v>0.62999999999999978</v>
      </c>
      <c r="BV60" s="54">
        <f t="shared" si="316"/>
        <v>0.60999999999999976</v>
      </c>
      <c r="BW60" s="54">
        <f t="shared" si="316"/>
        <v>0.58999999999999975</v>
      </c>
      <c r="BX60" s="54">
        <f t="shared" si="316"/>
        <v>0.56999999999999973</v>
      </c>
      <c r="BZ60" s="54">
        <f t="shared" si="88"/>
        <v>23953.930000000004</v>
      </c>
      <c r="CA60" s="54">
        <f t="shared" si="89"/>
        <v>23953.930000000004</v>
      </c>
      <c r="CB60" s="58">
        <f t="shared" si="317"/>
        <v>79186.901794000019</v>
      </c>
      <c r="CC60" s="54">
        <f t="shared" si="318"/>
        <v>23235.312100000003</v>
      </c>
      <c r="CD60" s="58">
        <f t="shared" si="319"/>
        <v>76811.294740180005</v>
      </c>
      <c r="CE60" s="54">
        <f t="shared" si="320"/>
        <v>22756.233500000002</v>
      </c>
      <c r="CF60" s="58">
        <f t="shared" si="321"/>
        <v>75227.556704300005</v>
      </c>
      <c r="CG60" s="54">
        <f>+CA60*DX60</f>
        <v>22277.154900000005</v>
      </c>
      <c r="CH60" s="58">
        <f t="shared" si="322"/>
        <v>73643.818668420019</v>
      </c>
      <c r="CI60" s="56">
        <f>+CA60*DY60</f>
        <v>21798.076300000004</v>
      </c>
      <c r="CJ60" s="58">
        <f t="shared" si="323"/>
        <v>72060.080632540019</v>
      </c>
      <c r="CK60" s="54">
        <f>+CA60*DZ60</f>
        <v>21318.997700000004</v>
      </c>
      <c r="CL60" s="58">
        <f t="shared" si="324"/>
        <v>70476.342596660019</v>
      </c>
      <c r="CM60" s="56">
        <f>+CA60*EA60</f>
        <v>20839.919100000003</v>
      </c>
      <c r="CN60" s="58">
        <f t="shared" si="325"/>
        <v>68892.604560780004</v>
      </c>
      <c r="CO60" s="59">
        <f>+CA60*EB60</f>
        <v>20360.840500000002</v>
      </c>
      <c r="CP60" s="58">
        <f t="shared" si="326"/>
        <v>67308.866524900004</v>
      </c>
      <c r="CQ60" s="56">
        <f>+CA60*EC60</f>
        <v>19881.761900000001</v>
      </c>
      <c r="CR60" s="58">
        <f t="shared" si="327"/>
        <v>65725.128489020004</v>
      </c>
      <c r="CS60" s="54">
        <f>+CA60*ED60</f>
        <v>19402.683300000001</v>
      </c>
      <c r="CT60" s="58">
        <f t="shared" si="328"/>
        <v>64141.390453140004</v>
      </c>
      <c r="CU60" s="59">
        <f>+CA60*EE60</f>
        <v>18923.6047</v>
      </c>
      <c r="CV60" s="58">
        <f t="shared" si="329"/>
        <v>62557.652417260004</v>
      </c>
      <c r="CW60" s="59">
        <f>+CA60*EF60</f>
        <v>18444.526099999999</v>
      </c>
      <c r="CX60" s="58">
        <f t="shared" si="330"/>
        <v>60973.914381379996</v>
      </c>
      <c r="CY60" s="59">
        <f>+CA60*EG60</f>
        <v>17965.447500000002</v>
      </c>
      <c r="CZ60" s="58">
        <f t="shared" si="331"/>
        <v>59390.176345500011</v>
      </c>
      <c r="DA60" s="54">
        <f>+CA60*EH60</f>
        <v>17486.368900000001</v>
      </c>
      <c r="DB60" s="58">
        <f t="shared" si="332"/>
        <v>57806.438309620004</v>
      </c>
      <c r="DC60" s="59">
        <f>+CA60*EI60</f>
        <v>17007.290300000001</v>
      </c>
      <c r="DD60" s="58">
        <f t="shared" si="333"/>
        <v>56222.700273740003</v>
      </c>
      <c r="DE60" s="59">
        <f>+CA60*EJ60</f>
        <v>16528.2117</v>
      </c>
      <c r="DF60" s="58">
        <f t="shared" si="334"/>
        <v>54638.962237860003</v>
      </c>
      <c r="DG60" s="59">
        <f>+CA60*EK60</f>
        <v>16049.133099999999</v>
      </c>
      <c r="DH60" s="58">
        <f t="shared" si="335"/>
        <v>53055.224201979996</v>
      </c>
      <c r="DI60" s="59">
        <f>+CA60*EL60</f>
        <v>15570.054499999998</v>
      </c>
      <c r="DJ60" s="58">
        <f t="shared" si="336"/>
        <v>51471.486166099996</v>
      </c>
      <c r="DK60" s="54">
        <f>+CA60*EM60</f>
        <v>15090.975899999998</v>
      </c>
      <c r="DL60" s="58">
        <f t="shared" si="337"/>
        <v>49887.748130219996</v>
      </c>
      <c r="DM60" s="59">
        <f>+CA60*EN60</f>
        <v>14611.897299999997</v>
      </c>
      <c r="DN60" s="58">
        <f t="shared" si="338"/>
        <v>48304.010094339988</v>
      </c>
      <c r="DO60" s="59">
        <f>+CA60*EO60</f>
        <v>14132.818699999996</v>
      </c>
      <c r="DP60" s="58">
        <f t="shared" si="339"/>
        <v>46720.272058459988</v>
      </c>
      <c r="DQ60" s="54">
        <f>+CA60*EP60</f>
        <v>13653.740099999995</v>
      </c>
      <c r="DR60" s="58">
        <f t="shared" si="340"/>
        <v>45136.534022579988</v>
      </c>
      <c r="DU60" s="54">
        <v>1</v>
      </c>
      <c r="DV60" s="54">
        <v>0.97</v>
      </c>
      <c r="DW60" s="54">
        <v>0.95</v>
      </c>
      <c r="DX60" s="54">
        <v>0.93</v>
      </c>
      <c r="DY60" s="54">
        <f t="shared" si="287"/>
        <v>0.91</v>
      </c>
      <c r="DZ60" s="54">
        <f t="shared" si="287"/>
        <v>0.89</v>
      </c>
      <c r="EA60" s="54">
        <f t="shared" si="287"/>
        <v>0.87</v>
      </c>
      <c r="EB60" s="54">
        <f t="shared" si="287"/>
        <v>0.85</v>
      </c>
      <c r="EC60" s="54">
        <f t="shared" si="287"/>
        <v>0.83</v>
      </c>
      <c r="ED60" s="54">
        <f t="shared" si="287"/>
        <v>0.80999999999999994</v>
      </c>
      <c r="EE60" s="54">
        <f t="shared" si="287"/>
        <v>0.78999999999999992</v>
      </c>
      <c r="EF60" s="54">
        <f t="shared" si="287"/>
        <v>0.76999999999999991</v>
      </c>
      <c r="EG60" s="54">
        <f t="shared" si="287"/>
        <v>0.74999999999999989</v>
      </c>
      <c r="EH60" s="54">
        <f t="shared" si="287"/>
        <v>0.72999999999999987</v>
      </c>
      <c r="EI60" s="54">
        <f t="shared" si="287"/>
        <v>0.70999999999999985</v>
      </c>
      <c r="EJ60" s="54">
        <f t="shared" si="287"/>
        <v>0.68999999999999984</v>
      </c>
      <c r="EK60" s="54">
        <f t="shared" si="287"/>
        <v>0.66999999999999982</v>
      </c>
      <c r="EL60" s="54">
        <f t="shared" si="287"/>
        <v>0.6499999999999998</v>
      </c>
      <c r="EM60" s="54">
        <f t="shared" si="287"/>
        <v>0.62999999999999978</v>
      </c>
      <c r="EN60" s="54">
        <f t="shared" si="287"/>
        <v>0.60999999999999976</v>
      </c>
      <c r="EO60" s="54">
        <f t="shared" si="287"/>
        <v>0.58999999999999975</v>
      </c>
      <c r="EP60" s="54">
        <f t="shared" si="287"/>
        <v>0.56999999999999973</v>
      </c>
      <c r="ER60" s="54">
        <f t="shared" si="142"/>
        <v>21798.076300000004</v>
      </c>
      <c r="ES60" s="54">
        <f t="shared" si="116"/>
        <v>21798.076300000004</v>
      </c>
      <c r="ET60" s="58">
        <f t="shared" si="341"/>
        <v>72060.080632540019</v>
      </c>
      <c r="EU60" s="54">
        <f t="shared" si="342"/>
        <v>21144.134011000002</v>
      </c>
      <c r="EV60" s="58">
        <f t="shared" si="343"/>
        <v>69898.278213563812</v>
      </c>
      <c r="EW60" s="54">
        <f t="shared" si="344"/>
        <v>20708.172485000003</v>
      </c>
      <c r="EX60" s="58">
        <f t="shared" si="345"/>
        <v>68457.076600913017</v>
      </c>
      <c r="EY60" s="54">
        <f>+ES60*GP60</f>
        <v>20272.210959000004</v>
      </c>
      <c r="EZ60" s="58">
        <f t="shared" si="346"/>
        <v>67015.874988262207</v>
      </c>
      <c r="FA60" s="56">
        <f>+ES60*GQ60</f>
        <v>19836.249433000005</v>
      </c>
      <c r="FB60" s="58">
        <f t="shared" si="347"/>
        <v>65574.673375611412</v>
      </c>
      <c r="FC60" s="54">
        <f>+ES60*GR60</f>
        <v>19400.287907000005</v>
      </c>
      <c r="FD60" s="58">
        <f t="shared" si="348"/>
        <v>64133.471762960617</v>
      </c>
      <c r="FE60" s="56">
        <f>+ES60*GS60</f>
        <v>18964.326381000003</v>
      </c>
      <c r="FF60" s="58">
        <f t="shared" si="349"/>
        <v>62692.270150309807</v>
      </c>
      <c r="FG60" s="59">
        <f>+ES60*GT60</f>
        <v>18528.364855000003</v>
      </c>
      <c r="FH60" s="58">
        <f t="shared" si="350"/>
        <v>61251.068537659012</v>
      </c>
      <c r="FI60" s="56">
        <f>+ES60*GU60</f>
        <v>18092.403329000004</v>
      </c>
      <c r="FJ60" s="58">
        <f t="shared" si="351"/>
        <v>59809.866925008217</v>
      </c>
      <c r="FK60" s="54">
        <f>+ES60*GV60</f>
        <v>17656.441803000002</v>
      </c>
      <c r="FL60" s="58">
        <f t="shared" si="352"/>
        <v>58368.665312357407</v>
      </c>
      <c r="FM60" s="59">
        <f>+ES60*GW60</f>
        <v>17220.480277000002</v>
      </c>
      <c r="FN60" s="58">
        <f t="shared" si="353"/>
        <v>56927.463699706612</v>
      </c>
      <c r="FO60" s="59">
        <f>+ES60*GX60</f>
        <v>16784.518751</v>
      </c>
      <c r="FP60" s="58">
        <f t="shared" si="354"/>
        <v>55486.262087055802</v>
      </c>
      <c r="FQ60" s="59">
        <f>+ES60*GY60</f>
        <v>16348.557225</v>
      </c>
      <c r="FR60" s="58">
        <f t="shared" si="355"/>
        <v>54045.060474405</v>
      </c>
      <c r="FS60" s="54">
        <f>+ES60*GZ60</f>
        <v>15912.595699</v>
      </c>
      <c r="FT60" s="58">
        <f t="shared" si="356"/>
        <v>52603.858861754197</v>
      </c>
      <c r="FU60" s="59">
        <f>+ES60*HA60</f>
        <v>15476.634173</v>
      </c>
      <c r="FV60" s="58">
        <f t="shared" si="357"/>
        <v>51162.657249103402</v>
      </c>
      <c r="FW60" s="59">
        <f>+ES60*HB60</f>
        <v>15040.672646999999</v>
      </c>
      <c r="FX60" s="58">
        <f t="shared" si="358"/>
        <v>49721.4556364526</v>
      </c>
      <c r="FY60" s="59">
        <f>+ES60*HC60</f>
        <v>14604.711120999998</v>
      </c>
      <c r="FZ60" s="58">
        <f t="shared" si="359"/>
        <v>48280.254023801797</v>
      </c>
      <c r="GA60" s="59">
        <f>+ES60*HD60</f>
        <v>14168.749594999999</v>
      </c>
      <c r="GB60" s="58">
        <f t="shared" si="360"/>
        <v>46839.052411151002</v>
      </c>
      <c r="GC60" s="54">
        <f>+ES60*HE60</f>
        <v>13732.788068999998</v>
      </c>
      <c r="GD60" s="58">
        <f t="shared" si="361"/>
        <v>45397.850798500192</v>
      </c>
      <c r="GE60" s="59">
        <f>+ES60*HF60</f>
        <v>13296.826542999997</v>
      </c>
      <c r="GF60" s="58">
        <f t="shared" si="362"/>
        <v>43956.64918584939</v>
      </c>
      <c r="GG60" s="59">
        <f>+ES60*HG60</f>
        <v>12860.865016999996</v>
      </c>
      <c r="GH60" s="58">
        <f t="shared" si="363"/>
        <v>42515.447573198588</v>
      </c>
      <c r="GI60" s="54">
        <f>+ES60*HH60</f>
        <v>12424.903490999997</v>
      </c>
      <c r="GJ60" s="58">
        <f t="shared" si="364"/>
        <v>41074.245960547792</v>
      </c>
      <c r="GK60" s="54"/>
      <c r="GL60" s="54"/>
      <c r="GM60" s="54">
        <v>1</v>
      </c>
      <c r="GN60" s="54">
        <v>0.97</v>
      </c>
      <c r="GO60" s="54">
        <v>0.95</v>
      </c>
      <c r="GP60" s="54">
        <v>0.93</v>
      </c>
      <c r="GQ60" s="54">
        <f t="shared" si="288"/>
        <v>0.91</v>
      </c>
      <c r="GR60" s="54">
        <f t="shared" si="288"/>
        <v>0.89</v>
      </c>
      <c r="GS60" s="54">
        <f t="shared" si="288"/>
        <v>0.87</v>
      </c>
      <c r="GT60" s="54">
        <f t="shared" si="288"/>
        <v>0.85</v>
      </c>
      <c r="GU60" s="54">
        <f t="shared" si="288"/>
        <v>0.83</v>
      </c>
      <c r="GV60" s="54">
        <f t="shared" si="288"/>
        <v>0.80999999999999994</v>
      </c>
      <c r="GW60" s="54">
        <f t="shared" si="288"/>
        <v>0.78999999999999992</v>
      </c>
      <c r="GX60" s="54">
        <f t="shared" si="288"/>
        <v>0.76999999999999991</v>
      </c>
      <c r="GY60" s="54">
        <f t="shared" si="288"/>
        <v>0.74999999999999989</v>
      </c>
      <c r="GZ60" s="54">
        <f t="shared" si="288"/>
        <v>0.72999999999999987</v>
      </c>
      <c r="HA60" s="54">
        <f t="shared" si="288"/>
        <v>0.70999999999999985</v>
      </c>
      <c r="HB60" s="54">
        <f t="shared" si="288"/>
        <v>0.68999999999999984</v>
      </c>
      <c r="HC60" s="54">
        <f t="shared" si="288"/>
        <v>0.66999999999999982</v>
      </c>
      <c r="HD60" s="54">
        <f t="shared" si="288"/>
        <v>0.6499999999999998</v>
      </c>
      <c r="HE60" s="54">
        <f t="shared" si="288"/>
        <v>0.62999999999999978</v>
      </c>
      <c r="HF60" s="54">
        <f t="shared" si="288"/>
        <v>0.60999999999999976</v>
      </c>
      <c r="HG60" s="54">
        <f t="shared" si="288"/>
        <v>0.58999999999999975</v>
      </c>
      <c r="HH60" s="54">
        <f t="shared" si="288"/>
        <v>0.56999999999999973</v>
      </c>
    </row>
    <row r="61" spans="1:216" s="63" customFormat="1" x14ac:dyDescent="0.3">
      <c r="C61" s="64"/>
      <c r="D61" s="64"/>
      <c r="E61" s="64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1"/>
      <c r="Q61" s="60"/>
      <c r="R61" s="60"/>
      <c r="S61" s="60"/>
      <c r="T61" s="61"/>
      <c r="U61" s="60"/>
      <c r="V61" s="62"/>
      <c r="W61" s="60"/>
      <c r="X61" s="61"/>
      <c r="Y61" s="60"/>
      <c r="Z61" s="60"/>
      <c r="AA61" s="60"/>
      <c r="AB61" s="62"/>
      <c r="AC61" s="60"/>
      <c r="AD61" s="62"/>
      <c r="AE61" s="60"/>
      <c r="AF61" s="62"/>
      <c r="AG61" s="60"/>
      <c r="AH61" s="60"/>
      <c r="AI61" s="60"/>
      <c r="AJ61" s="62"/>
      <c r="AK61" s="60"/>
      <c r="AL61" s="62"/>
      <c r="AM61" s="60"/>
      <c r="AN61" s="62"/>
      <c r="AO61" s="60"/>
      <c r="AP61" s="62"/>
      <c r="AQ61" s="60"/>
      <c r="AR61" s="60"/>
      <c r="AS61" s="60"/>
      <c r="AT61" s="62"/>
      <c r="AU61" s="60"/>
      <c r="AV61" s="62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>
        <f t="shared" ref="BY61:BY62" si="365">+G61*0.91</f>
        <v>0</v>
      </c>
      <c r="BZ61" s="60"/>
      <c r="CA61" s="60"/>
      <c r="CB61" s="60"/>
      <c r="CC61" s="60"/>
      <c r="CD61" s="60"/>
      <c r="CE61" s="60"/>
      <c r="CF61" s="60"/>
      <c r="CG61" s="60"/>
      <c r="CH61" s="61"/>
      <c r="CI61" s="60"/>
      <c r="CJ61" s="60"/>
      <c r="CK61" s="60"/>
      <c r="CL61" s="61"/>
      <c r="CM61" s="60"/>
      <c r="CN61" s="62"/>
      <c r="CO61" s="60"/>
      <c r="CP61" s="61"/>
      <c r="CQ61" s="60"/>
      <c r="CR61" s="60"/>
      <c r="CS61" s="60"/>
      <c r="CT61" s="62"/>
      <c r="CU61" s="60"/>
      <c r="CV61" s="62"/>
      <c r="CW61" s="60"/>
      <c r="CX61" s="62"/>
      <c r="CY61" s="60"/>
      <c r="CZ61" s="60"/>
      <c r="DA61" s="60"/>
      <c r="DB61" s="62"/>
      <c r="DC61" s="60"/>
      <c r="DD61" s="62"/>
      <c r="DE61" s="60"/>
      <c r="DF61" s="62"/>
      <c r="DG61" s="60"/>
      <c r="DH61" s="62"/>
      <c r="DI61" s="60"/>
      <c r="DJ61" s="60"/>
      <c r="DK61" s="60"/>
      <c r="DL61" s="62"/>
      <c r="DM61" s="60"/>
      <c r="DN61" s="62"/>
      <c r="DO61" s="60"/>
      <c r="DP61" s="60"/>
      <c r="DQ61" s="60"/>
      <c r="DR61" s="60"/>
      <c r="DS61" s="60"/>
      <c r="DT61" s="60">
        <v>1</v>
      </c>
      <c r="DU61" s="60">
        <v>0.97</v>
      </c>
      <c r="DV61" s="60">
        <v>0.95</v>
      </c>
      <c r="DW61" s="60">
        <v>0.93</v>
      </c>
      <c r="DX61" s="60">
        <f t="shared" ref="DX61:EO62" si="366">+DW61-0.02</f>
        <v>0.91</v>
      </c>
      <c r="DY61" s="60">
        <f t="shared" si="366"/>
        <v>0.89</v>
      </c>
      <c r="DZ61" s="60">
        <f t="shared" si="366"/>
        <v>0.87</v>
      </c>
      <c r="EA61" s="60">
        <f t="shared" si="366"/>
        <v>0.85</v>
      </c>
      <c r="EB61" s="60">
        <f t="shared" si="366"/>
        <v>0.83</v>
      </c>
      <c r="EC61" s="60">
        <f t="shared" si="366"/>
        <v>0.80999999999999994</v>
      </c>
      <c r="ED61" s="60">
        <f t="shared" si="366"/>
        <v>0.78999999999999992</v>
      </c>
      <c r="EE61" s="60">
        <f t="shared" si="366"/>
        <v>0.76999999999999991</v>
      </c>
      <c r="EF61" s="60">
        <f t="shared" si="366"/>
        <v>0.74999999999999989</v>
      </c>
      <c r="EG61" s="60">
        <f t="shared" si="366"/>
        <v>0.72999999999999987</v>
      </c>
      <c r="EH61" s="60">
        <f t="shared" si="366"/>
        <v>0.70999999999999985</v>
      </c>
      <c r="EI61" s="60">
        <f t="shared" si="366"/>
        <v>0.68999999999999984</v>
      </c>
      <c r="EJ61" s="60">
        <f t="shared" si="366"/>
        <v>0.66999999999999982</v>
      </c>
      <c r="EK61" s="60">
        <f t="shared" si="366"/>
        <v>0.6499999999999998</v>
      </c>
      <c r="EL61" s="60">
        <f t="shared" si="366"/>
        <v>0.62999999999999978</v>
      </c>
      <c r="EM61" s="60">
        <f t="shared" si="366"/>
        <v>0.60999999999999976</v>
      </c>
      <c r="EN61" s="60">
        <f t="shared" si="366"/>
        <v>0.58999999999999975</v>
      </c>
      <c r="EO61" s="60">
        <f t="shared" si="366"/>
        <v>0.56999999999999973</v>
      </c>
      <c r="EQ61" s="60">
        <f t="shared" ref="EQ61:EQ62" si="367">+BY61*0.91</f>
        <v>0</v>
      </c>
      <c r="ER61" s="60"/>
      <c r="ES61" s="60"/>
      <c r="ET61" s="60"/>
      <c r="EU61" s="60"/>
      <c r="EV61" s="60"/>
      <c r="EW61" s="60"/>
      <c r="EX61" s="60"/>
      <c r="EY61" s="60"/>
      <c r="EZ61" s="61"/>
      <c r="FA61" s="60"/>
      <c r="FB61" s="60"/>
      <c r="FC61" s="60"/>
      <c r="FD61" s="61"/>
      <c r="FE61" s="60"/>
      <c r="FF61" s="62"/>
      <c r="FG61" s="60"/>
      <c r="FH61" s="61"/>
      <c r="FI61" s="60"/>
      <c r="FJ61" s="60"/>
      <c r="FK61" s="60"/>
      <c r="FL61" s="62"/>
      <c r="FM61" s="60"/>
      <c r="FN61" s="62"/>
      <c r="FO61" s="60"/>
      <c r="FP61" s="62"/>
      <c r="FQ61" s="60"/>
      <c r="FR61" s="60"/>
      <c r="FS61" s="60"/>
      <c r="FT61" s="62"/>
      <c r="FU61" s="60"/>
      <c r="FV61" s="62"/>
      <c r="FW61" s="60"/>
      <c r="FX61" s="62"/>
      <c r="FY61" s="60"/>
      <c r="FZ61" s="62"/>
      <c r="GA61" s="60"/>
      <c r="GB61" s="60"/>
      <c r="GC61" s="60"/>
      <c r="GD61" s="62"/>
      <c r="GE61" s="60"/>
      <c r="GF61" s="62"/>
      <c r="GG61" s="60"/>
      <c r="GH61" s="60"/>
      <c r="GI61" s="60"/>
      <c r="GJ61" s="60"/>
      <c r="GK61" s="60"/>
      <c r="GL61" s="60">
        <v>1</v>
      </c>
      <c r="GM61" s="60">
        <v>0.97</v>
      </c>
      <c r="GN61" s="60">
        <v>0.95</v>
      </c>
      <c r="GO61" s="60">
        <v>0.93</v>
      </c>
      <c r="GP61" s="60">
        <f t="shared" ref="GP61:HG62" si="368">+GO61-0.02</f>
        <v>0.91</v>
      </c>
      <c r="GQ61" s="60">
        <f t="shared" si="368"/>
        <v>0.89</v>
      </c>
      <c r="GR61" s="60">
        <f t="shared" si="368"/>
        <v>0.87</v>
      </c>
      <c r="GS61" s="60">
        <f t="shared" si="368"/>
        <v>0.85</v>
      </c>
      <c r="GT61" s="60">
        <f t="shared" si="368"/>
        <v>0.83</v>
      </c>
      <c r="GU61" s="60">
        <f t="shared" si="368"/>
        <v>0.80999999999999994</v>
      </c>
      <c r="GV61" s="60">
        <f t="shared" si="368"/>
        <v>0.78999999999999992</v>
      </c>
      <c r="GW61" s="60">
        <f t="shared" si="368"/>
        <v>0.76999999999999991</v>
      </c>
      <c r="GX61" s="60">
        <f t="shared" si="368"/>
        <v>0.74999999999999989</v>
      </c>
      <c r="GY61" s="60">
        <f t="shared" si="368"/>
        <v>0.72999999999999987</v>
      </c>
      <c r="GZ61" s="60">
        <f t="shared" si="368"/>
        <v>0.70999999999999985</v>
      </c>
      <c r="HA61" s="60">
        <f t="shared" si="368"/>
        <v>0.68999999999999984</v>
      </c>
      <c r="HB61" s="60">
        <f t="shared" si="368"/>
        <v>0.66999999999999982</v>
      </c>
      <c r="HC61" s="60">
        <f t="shared" si="368"/>
        <v>0.6499999999999998</v>
      </c>
      <c r="HD61" s="60">
        <f t="shared" si="368"/>
        <v>0.62999999999999978</v>
      </c>
      <c r="HE61" s="60">
        <f t="shared" si="368"/>
        <v>0.60999999999999976</v>
      </c>
      <c r="HF61" s="60">
        <f t="shared" si="368"/>
        <v>0.58999999999999975</v>
      </c>
      <c r="HG61" s="60">
        <f t="shared" si="368"/>
        <v>0.56999999999999973</v>
      </c>
    </row>
    <row r="62" spans="1:216" s="63" customFormat="1" ht="17.25" thickBot="1" x14ac:dyDescent="0.35">
      <c r="B62" s="63" t="s">
        <v>293</v>
      </c>
      <c r="C62" s="63" t="s">
        <v>294</v>
      </c>
      <c r="D62" s="64" t="s">
        <v>304</v>
      </c>
      <c r="E62" s="64" t="s">
        <v>271</v>
      </c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1"/>
      <c r="Q62" s="60"/>
      <c r="R62" s="60"/>
      <c r="S62" s="60"/>
      <c r="T62" s="61"/>
      <c r="U62" s="60"/>
      <c r="V62" s="62"/>
      <c r="W62" s="60"/>
      <c r="X62" s="61"/>
      <c r="Y62" s="60"/>
      <c r="Z62" s="60"/>
      <c r="AA62" s="60"/>
      <c r="AB62" s="62"/>
      <c r="AC62" s="60"/>
      <c r="AD62" s="62"/>
      <c r="AE62" s="60"/>
      <c r="AF62" s="62"/>
      <c r="AG62" s="60"/>
      <c r="AH62" s="60"/>
      <c r="AI62" s="60"/>
      <c r="AJ62" s="62"/>
      <c r="AK62" s="60"/>
      <c r="AL62" s="62"/>
      <c r="AM62" s="60"/>
      <c r="AN62" s="62"/>
      <c r="AO62" s="60"/>
      <c r="AP62" s="62"/>
      <c r="AQ62" s="60"/>
      <c r="AR62" s="60"/>
      <c r="AS62" s="60"/>
      <c r="AT62" s="62"/>
      <c r="AU62" s="60"/>
      <c r="AV62" s="62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>
        <f t="shared" si="365"/>
        <v>0</v>
      </c>
      <c r="BZ62" s="60"/>
      <c r="CA62" s="60"/>
      <c r="CB62" s="60"/>
      <c r="CC62" s="60"/>
      <c r="CD62" s="60"/>
      <c r="CE62" s="60"/>
      <c r="CF62" s="60"/>
      <c r="CG62" s="60"/>
      <c r="CH62" s="61"/>
      <c r="CI62" s="60"/>
      <c r="CJ62" s="60"/>
      <c r="CK62" s="60"/>
      <c r="CL62" s="61"/>
      <c r="CM62" s="60"/>
      <c r="CN62" s="62"/>
      <c r="CO62" s="60"/>
      <c r="CP62" s="61"/>
      <c r="CQ62" s="60"/>
      <c r="CR62" s="60"/>
      <c r="CS62" s="60"/>
      <c r="CT62" s="62"/>
      <c r="CU62" s="60"/>
      <c r="CV62" s="62"/>
      <c r="CW62" s="60"/>
      <c r="CX62" s="62"/>
      <c r="CY62" s="60"/>
      <c r="CZ62" s="60"/>
      <c r="DA62" s="60"/>
      <c r="DB62" s="62"/>
      <c r="DC62" s="60"/>
      <c r="DD62" s="62"/>
      <c r="DE62" s="60"/>
      <c r="DF62" s="62"/>
      <c r="DG62" s="60"/>
      <c r="DH62" s="62"/>
      <c r="DI62" s="60"/>
      <c r="DJ62" s="60"/>
      <c r="DK62" s="60"/>
      <c r="DL62" s="62"/>
      <c r="DM62" s="60"/>
      <c r="DN62" s="62"/>
      <c r="DO62" s="60"/>
      <c r="DP62" s="60"/>
      <c r="DQ62" s="60"/>
      <c r="DR62" s="60"/>
      <c r="DS62" s="60"/>
      <c r="DT62" s="60">
        <v>1</v>
      </c>
      <c r="DU62" s="60">
        <v>0.97</v>
      </c>
      <c r="DV62" s="60">
        <v>0.95</v>
      </c>
      <c r="DW62" s="60">
        <v>0.93</v>
      </c>
      <c r="DX62" s="60">
        <f t="shared" si="366"/>
        <v>0.91</v>
      </c>
      <c r="DY62" s="60">
        <f t="shared" si="366"/>
        <v>0.89</v>
      </c>
      <c r="DZ62" s="60">
        <f t="shared" si="366"/>
        <v>0.87</v>
      </c>
      <c r="EA62" s="60">
        <f t="shared" si="366"/>
        <v>0.85</v>
      </c>
      <c r="EB62" s="60">
        <f t="shared" si="366"/>
        <v>0.83</v>
      </c>
      <c r="EC62" s="60">
        <f t="shared" si="366"/>
        <v>0.80999999999999994</v>
      </c>
      <c r="ED62" s="60">
        <f t="shared" si="366"/>
        <v>0.78999999999999992</v>
      </c>
      <c r="EE62" s="60">
        <f t="shared" si="366"/>
        <v>0.76999999999999991</v>
      </c>
      <c r="EF62" s="60">
        <f t="shared" si="366"/>
        <v>0.74999999999999989</v>
      </c>
      <c r="EG62" s="60">
        <f t="shared" si="366"/>
        <v>0.72999999999999987</v>
      </c>
      <c r="EH62" s="60">
        <f t="shared" si="366"/>
        <v>0.70999999999999985</v>
      </c>
      <c r="EI62" s="60">
        <f t="shared" si="366"/>
        <v>0.68999999999999984</v>
      </c>
      <c r="EJ62" s="60">
        <f t="shared" si="366"/>
        <v>0.66999999999999982</v>
      </c>
      <c r="EK62" s="60">
        <f t="shared" si="366"/>
        <v>0.6499999999999998</v>
      </c>
      <c r="EL62" s="60">
        <f t="shared" si="366"/>
        <v>0.62999999999999978</v>
      </c>
      <c r="EM62" s="60">
        <f t="shared" si="366"/>
        <v>0.60999999999999976</v>
      </c>
      <c r="EN62" s="60">
        <f t="shared" si="366"/>
        <v>0.58999999999999975</v>
      </c>
      <c r="EO62" s="60">
        <f t="shared" si="366"/>
        <v>0.56999999999999973</v>
      </c>
      <c r="EQ62" s="60">
        <f t="shared" si="367"/>
        <v>0</v>
      </c>
      <c r="ER62" s="60"/>
      <c r="ES62" s="60"/>
      <c r="ET62" s="60"/>
      <c r="EU62" s="60"/>
      <c r="EV62" s="60"/>
      <c r="EW62" s="60"/>
      <c r="EX62" s="60"/>
      <c r="EY62" s="60"/>
      <c r="EZ62" s="61"/>
      <c r="FA62" s="60"/>
      <c r="FB62" s="60"/>
      <c r="FC62" s="60"/>
      <c r="FD62" s="61"/>
      <c r="FE62" s="60"/>
      <c r="FF62" s="62"/>
      <c r="FG62" s="60"/>
      <c r="FH62" s="61"/>
      <c r="FI62" s="60"/>
      <c r="FJ62" s="60"/>
      <c r="FK62" s="60"/>
      <c r="FL62" s="62"/>
      <c r="FM62" s="60"/>
      <c r="FN62" s="62"/>
      <c r="FO62" s="60"/>
      <c r="FP62" s="62"/>
      <c r="FQ62" s="60"/>
      <c r="FR62" s="60"/>
      <c r="FS62" s="60"/>
      <c r="FT62" s="62"/>
      <c r="FU62" s="60"/>
      <c r="FV62" s="62"/>
      <c r="FW62" s="60"/>
      <c r="FX62" s="62"/>
      <c r="FY62" s="60"/>
      <c r="FZ62" s="62"/>
      <c r="GA62" s="60"/>
      <c r="GB62" s="60"/>
      <c r="GC62" s="60"/>
      <c r="GD62" s="62"/>
      <c r="GE62" s="60"/>
      <c r="GF62" s="62"/>
      <c r="GG62" s="60"/>
      <c r="GH62" s="60"/>
      <c r="GI62" s="60"/>
      <c r="GJ62" s="60"/>
      <c r="GK62" s="60"/>
      <c r="GL62" s="60">
        <v>1</v>
      </c>
      <c r="GM62" s="60">
        <v>0.97</v>
      </c>
      <c r="GN62" s="60">
        <v>0.95</v>
      </c>
      <c r="GO62" s="60">
        <v>0.93</v>
      </c>
      <c r="GP62" s="60">
        <f t="shared" si="368"/>
        <v>0.91</v>
      </c>
      <c r="GQ62" s="60">
        <f t="shared" si="368"/>
        <v>0.89</v>
      </c>
      <c r="GR62" s="60">
        <f t="shared" si="368"/>
        <v>0.87</v>
      </c>
      <c r="GS62" s="60">
        <f t="shared" si="368"/>
        <v>0.85</v>
      </c>
      <c r="GT62" s="60">
        <f t="shared" si="368"/>
        <v>0.83</v>
      </c>
      <c r="GU62" s="60">
        <f t="shared" si="368"/>
        <v>0.80999999999999994</v>
      </c>
      <c r="GV62" s="60">
        <f t="shared" si="368"/>
        <v>0.78999999999999992</v>
      </c>
      <c r="GW62" s="60">
        <f t="shared" si="368"/>
        <v>0.76999999999999991</v>
      </c>
      <c r="GX62" s="60">
        <f t="shared" si="368"/>
        <v>0.74999999999999989</v>
      </c>
      <c r="GY62" s="60">
        <f t="shared" si="368"/>
        <v>0.72999999999999987</v>
      </c>
      <c r="GZ62" s="60">
        <f t="shared" si="368"/>
        <v>0.70999999999999985</v>
      </c>
      <c r="HA62" s="60">
        <f t="shared" si="368"/>
        <v>0.68999999999999984</v>
      </c>
      <c r="HB62" s="60">
        <f t="shared" si="368"/>
        <v>0.66999999999999982</v>
      </c>
      <c r="HC62" s="60">
        <f t="shared" si="368"/>
        <v>0.6499999999999998</v>
      </c>
      <c r="HD62" s="60">
        <f t="shared" si="368"/>
        <v>0.62999999999999978</v>
      </c>
      <c r="HE62" s="60">
        <f t="shared" si="368"/>
        <v>0.60999999999999976</v>
      </c>
      <c r="HF62" s="60">
        <f t="shared" si="368"/>
        <v>0.58999999999999975</v>
      </c>
      <c r="HG62" s="60">
        <f t="shared" si="368"/>
        <v>0.56999999999999973</v>
      </c>
    </row>
    <row r="63" spans="1:216" x14ac:dyDescent="0.3">
      <c r="A63" s="2">
        <v>1</v>
      </c>
      <c r="C63" s="38" t="s">
        <v>30</v>
      </c>
      <c r="D63" s="40">
        <v>0</v>
      </c>
      <c r="E63" s="71">
        <f>TRUNC(+D63*3.3058,-1)</f>
        <v>0</v>
      </c>
      <c r="H63" s="54">
        <f t="shared" si="61"/>
        <v>0</v>
      </c>
      <c r="I63" s="54">
        <f t="shared" si="62"/>
        <v>0</v>
      </c>
      <c r="J63" s="58">
        <f t="shared" si="63"/>
        <v>0</v>
      </c>
      <c r="K63" s="54">
        <f t="shared" ref="K63:K89" si="369">+I63*BD63</f>
        <v>0</v>
      </c>
      <c r="L63" s="58">
        <f t="shared" ref="L63:L89" si="370">+K63*3.3058</f>
        <v>0</v>
      </c>
      <c r="M63" s="54">
        <f t="shared" ref="M63:M89" si="371">+I63*BE63</f>
        <v>0</v>
      </c>
      <c r="N63" s="58">
        <f t="shared" ref="N63:N89" si="372">+M63*3.3058</f>
        <v>0</v>
      </c>
      <c r="O63" s="54">
        <f t="shared" ref="O63:O89" si="373">+I63*BF63</f>
        <v>0</v>
      </c>
      <c r="P63" s="58">
        <f t="shared" ref="P63:P89" si="374">+O63*3.3058</f>
        <v>0</v>
      </c>
      <c r="Q63" s="56">
        <f t="shared" ref="Q63:Q89" si="375">+I63*BG63</f>
        <v>0</v>
      </c>
      <c r="R63" s="58">
        <f t="shared" ref="R63:R89" si="376">+Q63*3.3058</f>
        <v>0</v>
      </c>
      <c r="S63" s="54">
        <f t="shared" ref="S63:S89" si="377">+I63*BH63</f>
        <v>0</v>
      </c>
      <c r="T63" s="58">
        <f t="shared" ref="T63:T89" si="378">+S63*3.3058</f>
        <v>0</v>
      </c>
      <c r="U63" s="56">
        <f t="shared" ref="U63:U89" si="379">+I63*BI63</f>
        <v>0</v>
      </c>
      <c r="V63" s="58">
        <f t="shared" ref="V63:V89" si="380">+U63*3.3058</f>
        <v>0</v>
      </c>
      <c r="W63" s="59">
        <f t="shared" ref="W63:W89" si="381">+I63*BJ63</f>
        <v>0</v>
      </c>
      <c r="X63" s="58">
        <f t="shared" ref="X63:X89" si="382">+W63*3.3058</f>
        <v>0</v>
      </c>
      <c r="Y63" s="56">
        <f t="shared" ref="Y63:Y89" si="383">+I63*BK63</f>
        <v>0</v>
      </c>
      <c r="Z63" s="58">
        <f t="shared" ref="Z63:Z89" si="384">+Y63*3.3058</f>
        <v>0</v>
      </c>
      <c r="AA63" s="54">
        <f t="shared" ref="AA63:AA89" si="385">+I63*BL63</f>
        <v>0</v>
      </c>
      <c r="AB63" s="58">
        <f t="shared" ref="AB63:AB89" si="386">+AA63*3.3058</f>
        <v>0</v>
      </c>
      <c r="AC63" s="59">
        <f t="shared" ref="AC63:AC89" si="387">+I63*BM63</f>
        <v>0</v>
      </c>
      <c r="AD63" s="58">
        <f t="shared" ref="AD63:AD89" si="388">+AC63*3.3058</f>
        <v>0</v>
      </c>
      <c r="AE63" s="59">
        <f t="shared" ref="AE63:AE89" si="389">+I63*BN63</f>
        <v>0</v>
      </c>
      <c r="AF63" s="58">
        <f t="shared" ref="AF63:AF89" si="390">+AE63*3.3058</f>
        <v>0</v>
      </c>
      <c r="AG63" s="59">
        <f t="shared" ref="AG63:AG89" si="391">+I63*BO63</f>
        <v>0</v>
      </c>
      <c r="AH63" s="58">
        <f t="shared" ref="AH63:AH89" si="392">+AG63*3.3058</f>
        <v>0</v>
      </c>
      <c r="AI63" s="54">
        <f t="shared" ref="AI63:AI89" si="393">+I63*BP63</f>
        <v>0</v>
      </c>
      <c r="AJ63" s="58">
        <f t="shared" ref="AJ63:AJ89" si="394">+AI63*3.3058</f>
        <v>0</v>
      </c>
      <c r="AK63" s="59">
        <f t="shared" ref="AK63:AK89" si="395">+I63*BQ63</f>
        <v>0</v>
      </c>
      <c r="AL63" s="58">
        <f t="shared" ref="AL63:AL89" si="396">+AK63*3.3058</f>
        <v>0</v>
      </c>
      <c r="AM63" s="59">
        <f t="shared" ref="AM63:AM89" si="397">+I63*BR63</f>
        <v>0</v>
      </c>
      <c r="AN63" s="58">
        <f t="shared" ref="AN63:AN89" si="398">+AM63*3.3058</f>
        <v>0</v>
      </c>
      <c r="AO63" s="59">
        <f t="shared" ref="AO63:AO89" si="399">+I63*BS63</f>
        <v>0</v>
      </c>
      <c r="AP63" s="58">
        <f t="shared" ref="AP63:AP89" si="400">+AO63*3.3058</f>
        <v>0</v>
      </c>
      <c r="AQ63" s="59">
        <f t="shared" ref="AQ63:AQ89" si="401">+I63*BT63</f>
        <v>0</v>
      </c>
      <c r="AR63" s="58">
        <f t="shared" ref="AR63:AR89" si="402">+AQ63*3.3058</f>
        <v>0</v>
      </c>
      <c r="AS63" s="54">
        <f t="shared" ref="AS63:AS89" si="403">+I63*BU63</f>
        <v>0</v>
      </c>
      <c r="AT63" s="58">
        <f t="shared" ref="AT63:AT89" si="404">+AS63*3.3058</f>
        <v>0</v>
      </c>
      <c r="AU63" s="59">
        <f t="shared" ref="AU63:AU89" si="405">+I63*BV63</f>
        <v>0</v>
      </c>
      <c r="AV63" s="58">
        <f t="shared" ref="AV63:AV89" si="406">+AU63*3.3058</f>
        <v>0</v>
      </c>
      <c r="AW63" s="59">
        <f t="shared" ref="AW63:AW89" si="407">+I63*BW63</f>
        <v>0</v>
      </c>
      <c r="AX63" s="58">
        <f t="shared" ref="AX63:AX89" si="408">+AW63*3.3058</f>
        <v>0</v>
      </c>
      <c r="AY63" s="54">
        <f t="shared" ref="AY63:AY89" si="409">+I63*BX63</f>
        <v>0</v>
      </c>
      <c r="AZ63" s="58">
        <f t="shared" ref="AZ63:AZ89" si="410">+AY63*3.3058</f>
        <v>0</v>
      </c>
      <c r="BC63" s="54">
        <v>1</v>
      </c>
      <c r="BD63" s="54">
        <v>0.97</v>
      </c>
      <c r="BE63" s="54">
        <v>0.95</v>
      </c>
      <c r="BF63" s="54">
        <v>0.93</v>
      </c>
      <c r="BG63" s="54">
        <f t="shared" ref="BG63:BX77" si="411">+BF63-0.02</f>
        <v>0.91</v>
      </c>
      <c r="BH63" s="54">
        <f t="shared" si="411"/>
        <v>0.89</v>
      </c>
      <c r="BI63" s="54">
        <f t="shared" si="411"/>
        <v>0.87</v>
      </c>
      <c r="BJ63" s="54">
        <f t="shared" si="411"/>
        <v>0.85</v>
      </c>
      <c r="BK63" s="54">
        <f t="shared" si="411"/>
        <v>0.83</v>
      </c>
      <c r="BL63" s="54">
        <f t="shared" si="411"/>
        <v>0.80999999999999994</v>
      </c>
      <c r="BM63" s="54">
        <f t="shared" si="411"/>
        <v>0.78999999999999992</v>
      </c>
      <c r="BN63" s="54">
        <f t="shared" si="411"/>
        <v>0.76999999999999991</v>
      </c>
      <c r="BO63" s="54">
        <f t="shared" si="411"/>
        <v>0.74999999999999989</v>
      </c>
      <c r="BP63" s="54">
        <f t="shared" si="411"/>
        <v>0.72999999999999987</v>
      </c>
      <c r="BQ63" s="54">
        <f t="shared" si="411"/>
        <v>0.70999999999999985</v>
      </c>
      <c r="BR63" s="54">
        <f t="shared" si="411"/>
        <v>0.68999999999999984</v>
      </c>
      <c r="BS63" s="54">
        <f t="shared" si="411"/>
        <v>0.66999999999999982</v>
      </c>
      <c r="BT63" s="54">
        <f t="shared" si="411"/>
        <v>0.6499999999999998</v>
      </c>
      <c r="BU63" s="54">
        <f t="shared" si="411"/>
        <v>0.62999999999999978</v>
      </c>
      <c r="BV63" s="54">
        <f t="shared" si="411"/>
        <v>0.60999999999999976</v>
      </c>
      <c r="BW63" s="54">
        <f t="shared" si="411"/>
        <v>0.58999999999999975</v>
      </c>
      <c r="BX63" s="54">
        <f t="shared" si="411"/>
        <v>0.56999999999999973</v>
      </c>
      <c r="BZ63" s="54">
        <f t="shared" si="88"/>
        <v>0</v>
      </c>
      <c r="CA63" s="54">
        <f t="shared" si="89"/>
        <v>0</v>
      </c>
      <c r="CB63" s="58">
        <f t="shared" ref="CB63:CB89" si="412">+CA63*3.3058</f>
        <v>0</v>
      </c>
      <c r="CC63" s="54">
        <f t="shared" ref="CC63:CC89" si="413">+CA63*DV63</f>
        <v>0</v>
      </c>
      <c r="CD63" s="58">
        <f t="shared" ref="CD63:CD89" si="414">+CC63*3.3058</f>
        <v>0</v>
      </c>
      <c r="CE63" s="54">
        <f t="shared" ref="CE63:CE89" si="415">+CA63*DW63</f>
        <v>0</v>
      </c>
      <c r="CF63" s="58">
        <f t="shared" ref="CF63:CF89" si="416">+CE63*3.3058</f>
        <v>0</v>
      </c>
      <c r="CG63" s="54">
        <f t="shared" ref="CG63:CG89" si="417">+CA63*DX63</f>
        <v>0</v>
      </c>
      <c r="CH63" s="58">
        <f t="shared" ref="CH63:CH89" si="418">+CG63*3.3058</f>
        <v>0</v>
      </c>
      <c r="CI63" s="56">
        <f t="shared" ref="CI63:CI89" si="419">+CA63*DY63</f>
        <v>0</v>
      </c>
      <c r="CJ63" s="58">
        <f t="shared" ref="CJ63:CJ89" si="420">+CI63*3.3058</f>
        <v>0</v>
      </c>
      <c r="CK63" s="54">
        <f t="shared" ref="CK63:CK89" si="421">+CA63*DZ63</f>
        <v>0</v>
      </c>
      <c r="CL63" s="58">
        <f t="shared" ref="CL63:CL89" si="422">+CK63*3.3058</f>
        <v>0</v>
      </c>
      <c r="CM63" s="56">
        <f t="shared" ref="CM63:CM89" si="423">+CA63*EA63</f>
        <v>0</v>
      </c>
      <c r="CN63" s="58">
        <f t="shared" ref="CN63:CN89" si="424">+CM63*3.3058</f>
        <v>0</v>
      </c>
      <c r="CO63" s="59">
        <f t="shared" ref="CO63:CO89" si="425">+CA63*EB63</f>
        <v>0</v>
      </c>
      <c r="CP63" s="58">
        <f t="shared" ref="CP63:CP89" si="426">+CO63*3.3058</f>
        <v>0</v>
      </c>
      <c r="CQ63" s="56">
        <f t="shared" ref="CQ63:CQ89" si="427">+CA63*EC63</f>
        <v>0</v>
      </c>
      <c r="CR63" s="58">
        <f t="shared" ref="CR63:CR89" si="428">+CQ63*3.3058</f>
        <v>0</v>
      </c>
      <c r="CS63" s="54">
        <f t="shared" ref="CS63:CS89" si="429">+CA63*ED63</f>
        <v>0</v>
      </c>
      <c r="CT63" s="58">
        <f t="shared" ref="CT63:CT89" si="430">+CS63*3.3058</f>
        <v>0</v>
      </c>
      <c r="CU63" s="59">
        <f t="shared" ref="CU63:CU89" si="431">+CA63*EE63</f>
        <v>0</v>
      </c>
      <c r="CV63" s="58">
        <f t="shared" ref="CV63:CV89" si="432">+CU63*3.3058</f>
        <v>0</v>
      </c>
      <c r="CW63" s="59">
        <f t="shared" ref="CW63:CW89" si="433">+CA63*EF63</f>
        <v>0</v>
      </c>
      <c r="CX63" s="58">
        <f t="shared" ref="CX63:CX89" si="434">+CW63*3.3058</f>
        <v>0</v>
      </c>
      <c r="CY63" s="59">
        <f t="shared" ref="CY63:CY89" si="435">+CA63*EG63</f>
        <v>0</v>
      </c>
      <c r="CZ63" s="58">
        <f t="shared" ref="CZ63:CZ89" si="436">+CY63*3.3058</f>
        <v>0</v>
      </c>
      <c r="DA63" s="54">
        <f t="shared" ref="DA63:DA89" si="437">+CA63*EH63</f>
        <v>0</v>
      </c>
      <c r="DB63" s="58">
        <f t="shared" ref="DB63:DB89" si="438">+DA63*3.3058</f>
        <v>0</v>
      </c>
      <c r="DC63" s="59">
        <f t="shared" ref="DC63:DC89" si="439">+CA63*EI63</f>
        <v>0</v>
      </c>
      <c r="DD63" s="58">
        <f t="shared" ref="DD63:DD89" si="440">+DC63*3.3058</f>
        <v>0</v>
      </c>
      <c r="DE63" s="59">
        <f t="shared" ref="DE63:DE89" si="441">+CA63*EJ63</f>
        <v>0</v>
      </c>
      <c r="DF63" s="58">
        <f t="shared" ref="DF63:DF89" si="442">+DE63*3.3058</f>
        <v>0</v>
      </c>
      <c r="DG63" s="59">
        <f t="shared" ref="DG63:DG89" si="443">+CA63*EK63</f>
        <v>0</v>
      </c>
      <c r="DH63" s="58">
        <f t="shared" ref="DH63:DH89" si="444">+DG63*3.3058</f>
        <v>0</v>
      </c>
      <c r="DI63" s="59">
        <f t="shared" ref="DI63:DI89" si="445">+CA63*EL63</f>
        <v>0</v>
      </c>
      <c r="DJ63" s="58">
        <f t="shared" ref="DJ63:DJ89" si="446">+DI63*3.3058</f>
        <v>0</v>
      </c>
      <c r="DK63" s="54">
        <f t="shared" ref="DK63:DK89" si="447">+CA63*EM63</f>
        <v>0</v>
      </c>
      <c r="DL63" s="58">
        <f t="shared" ref="DL63:DL89" si="448">+DK63*3.3058</f>
        <v>0</v>
      </c>
      <c r="DM63" s="59">
        <f t="shared" ref="DM63:DM89" si="449">+CA63*EN63</f>
        <v>0</v>
      </c>
      <c r="DN63" s="58">
        <f t="shared" ref="DN63:DN89" si="450">+DM63*3.3058</f>
        <v>0</v>
      </c>
      <c r="DO63" s="59">
        <f t="shared" ref="DO63:DO89" si="451">+CA63*EO63</f>
        <v>0</v>
      </c>
      <c r="DP63" s="58">
        <f t="shared" ref="DP63:DP89" si="452">+DO63*3.3058</f>
        <v>0</v>
      </c>
      <c r="DQ63" s="54">
        <f t="shared" ref="DQ63:DQ89" si="453">+CA63*EP63</f>
        <v>0</v>
      </c>
      <c r="DR63" s="58">
        <f t="shared" ref="DR63:DR89" si="454">+DQ63*3.3058</f>
        <v>0</v>
      </c>
      <c r="DU63" s="54">
        <v>1</v>
      </c>
      <c r="DV63" s="54">
        <v>0.97</v>
      </c>
      <c r="DW63" s="54">
        <v>0.95</v>
      </c>
      <c r="DX63" s="54">
        <v>0.93</v>
      </c>
      <c r="DY63" s="54">
        <f t="shared" si="287"/>
        <v>0.91</v>
      </c>
      <c r="DZ63" s="54">
        <f t="shared" si="287"/>
        <v>0.89</v>
      </c>
      <c r="EA63" s="54">
        <f t="shared" si="287"/>
        <v>0.87</v>
      </c>
      <c r="EB63" s="54">
        <f t="shared" ref="EB63:EP63" si="455">+EA63-0.02</f>
        <v>0.85</v>
      </c>
      <c r="EC63" s="54">
        <f t="shared" si="455"/>
        <v>0.83</v>
      </c>
      <c r="ED63" s="54">
        <f t="shared" si="455"/>
        <v>0.80999999999999994</v>
      </c>
      <c r="EE63" s="54">
        <f t="shared" si="455"/>
        <v>0.78999999999999992</v>
      </c>
      <c r="EF63" s="54">
        <f t="shared" si="455"/>
        <v>0.76999999999999991</v>
      </c>
      <c r="EG63" s="54">
        <f t="shared" si="455"/>
        <v>0.74999999999999989</v>
      </c>
      <c r="EH63" s="54">
        <f t="shared" si="455"/>
        <v>0.72999999999999987</v>
      </c>
      <c r="EI63" s="54">
        <f t="shared" si="455"/>
        <v>0.70999999999999985</v>
      </c>
      <c r="EJ63" s="54">
        <f t="shared" si="455"/>
        <v>0.68999999999999984</v>
      </c>
      <c r="EK63" s="54">
        <f t="shared" si="455"/>
        <v>0.66999999999999982</v>
      </c>
      <c r="EL63" s="54">
        <f t="shared" si="455"/>
        <v>0.6499999999999998</v>
      </c>
      <c r="EM63" s="54">
        <f t="shared" si="455"/>
        <v>0.62999999999999978</v>
      </c>
      <c r="EN63" s="54">
        <f t="shared" si="455"/>
        <v>0.60999999999999976</v>
      </c>
      <c r="EO63" s="54">
        <f t="shared" si="455"/>
        <v>0.58999999999999975</v>
      </c>
      <c r="EP63" s="54">
        <f t="shared" si="455"/>
        <v>0.56999999999999973</v>
      </c>
      <c r="ER63" s="54">
        <f t="shared" si="142"/>
        <v>0</v>
      </c>
      <c r="ES63" s="54">
        <f t="shared" si="116"/>
        <v>0</v>
      </c>
      <c r="ET63" s="58">
        <f t="shared" ref="ET63:ET89" si="456">+ES63*3.3058</f>
        <v>0</v>
      </c>
      <c r="EU63" s="54">
        <f t="shared" ref="EU63:EU89" si="457">+ES63*GN63</f>
        <v>0</v>
      </c>
      <c r="EV63" s="58">
        <f t="shared" ref="EV63:EV89" si="458">+EU63*3.3058</f>
        <v>0</v>
      </c>
      <c r="EW63" s="54">
        <f t="shared" ref="EW63:EW89" si="459">+ES63*GO63</f>
        <v>0</v>
      </c>
      <c r="EX63" s="58">
        <f t="shared" ref="EX63:EX89" si="460">+EW63*3.3058</f>
        <v>0</v>
      </c>
      <c r="EY63" s="54">
        <f t="shared" ref="EY63:EY89" si="461">+ES63*GP63</f>
        <v>0</v>
      </c>
      <c r="EZ63" s="58">
        <f t="shared" ref="EZ63:EZ89" si="462">+EY63*3.3058</f>
        <v>0</v>
      </c>
      <c r="FA63" s="56">
        <f t="shared" ref="FA63:FA89" si="463">+ES63*GQ63</f>
        <v>0</v>
      </c>
      <c r="FB63" s="58">
        <f t="shared" ref="FB63:FB89" si="464">+FA63*3.3058</f>
        <v>0</v>
      </c>
      <c r="FC63" s="54">
        <f t="shared" ref="FC63:FC89" si="465">+ES63*GR63</f>
        <v>0</v>
      </c>
      <c r="FD63" s="58">
        <f t="shared" ref="FD63:FD89" si="466">+FC63*3.3058</f>
        <v>0</v>
      </c>
      <c r="FE63" s="56">
        <f t="shared" ref="FE63:FE89" si="467">+ES63*GS63</f>
        <v>0</v>
      </c>
      <c r="FF63" s="58">
        <f t="shared" ref="FF63:FF89" si="468">+FE63*3.3058</f>
        <v>0</v>
      </c>
      <c r="FG63" s="59">
        <f t="shared" ref="FG63:FG89" si="469">+ES63*GT63</f>
        <v>0</v>
      </c>
      <c r="FH63" s="58">
        <f t="shared" ref="FH63:FH89" si="470">+FG63*3.3058</f>
        <v>0</v>
      </c>
      <c r="FI63" s="56">
        <f t="shared" ref="FI63:FI89" si="471">+ES63*GU63</f>
        <v>0</v>
      </c>
      <c r="FJ63" s="58">
        <f t="shared" ref="FJ63:FJ89" si="472">+FI63*3.3058</f>
        <v>0</v>
      </c>
      <c r="FK63" s="54">
        <f t="shared" ref="FK63:FK89" si="473">+ES63*GV63</f>
        <v>0</v>
      </c>
      <c r="FL63" s="58">
        <f t="shared" ref="FL63:FL89" si="474">+FK63*3.3058</f>
        <v>0</v>
      </c>
      <c r="FM63" s="59">
        <f t="shared" ref="FM63:FM89" si="475">+ES63*GW63</f>
        <v>0</v>
      </c>
      <c r="FN63" s="58">
        <f t="shared" ref="FN63:FN89" si="476">+FM63*3.3058</f>
        <v>0</v>
      </c>
      <c r="FO63" s="59">
        <f t="shared" ref="FO63:FO89" si="477">+ES63*GX63</f>
        <v>0</v>
      </c>
      <c r="FP63" s="58">
        <f t="shared" ref="FP63:FP89" si="478">+FO63*3.3058</f>
        <v>0</v>
      </c>
      <c r="FQ63" s="59">
        <f t="shared" ref="FQ63:FQ89" si="479">+ES63*GY63</f>
        <v>0</v>
      </c>
      <c r="FR63" s="58">
        <f t="shared" ref="FR63:FR89" si="480">+FQ63*3.3058</f>
        <v>0</v>
      </c>
      <c r="FS63" s="54">
        <f t="shared" ref="FS63:FS89" si="481">+ES63*GZ63</f>
        <v>0</v>
      </c>
      <c r="FT63" s="58">
        <f t="shared" ref="FT63:FT89" si="482">+FS63*3.3058</f>
        <v>0</v>
      </c>
      <c r="FU63" s="59">
        <f t="shared" ref="FU63:FU89" si="483">+ES63*HA63</f>
        <v>0</v>
      </c>
      <c r="FV63" s="58">
        <f t="shared" ref="FV63:FV89" si="484">+FU63*3.3058</f>
        <v>0</v>
      </c>
      <c r="FW63" s="59">
        <f t="shared" ref="FW63:FW89" si="485">+ES63*HB63</f>
        <v>0</v>
      </c>
      <c r="FX63" s="58">
        <f t="shared" ref="FX63:FX89" si="486">+FW63*3.3058</f>
        <v>0</v>
      </c>
      <c r="FY63" s="59">
        <f t="shared" ref="FY63:FY89" si="487">+ES63*HC63</f>
        <v>0</v>
      </c>
      <c r="FZ63" s="58">
        <f t="shared" ref="FZ63:FZ89" si="488">+FY63*3.3058</f>
        <v>0</v>
      </c>
      <c r="GA63" s="59">
        <f t="shared" ref="GA63:GA89" si="489">+ES63*HD63</f>
        <v>0</v>
      </c>
      <c r="GB63" s="58">
        <f t="shared" ref="GB63:GB89" si="490">+GA63*3.3058</f>
        <v>0</v>
      </c>
      <c r="GC63" s="54">
        <f t="shared" ref="GC63:GC89" si="491">+ES63*HE63</f>
        <v>0</v>
      </c>
      <c r="GD63" s="58">
        <f t="shared" ref="GD63:GD89" si="492">+GC63*3.3058</f>
        <v>0</v>
      </c>
      <c r="GE63" s="59">
        <f t="shared" ref="GE63:GE89" si="493">+ES63*HF63</f>
        <v>0</v>
      </c>
      <c r="GF63" s="58">
        <f t="shared" ref="GF63:GF89" si="494">+GE63*3.3058</f>
        <v>0</v>
      </c>
      <c r="GG63" s="59">
        <f t="shared" ref="GG63:GG89" si="495">+ES63*HG63</f>
        <v>0</v>
      </c>
      <c r="GH63" s="58">
        <f t="shared" ref="GH63:GH89" si="496">+GG63*3.3058</f>
        <v>0</v>
      </c>
      <c r="GI63" s="54">
        <f t="shared" ref="GI63:GI89" si="497">+ES63*HH63</f>
        <v>0</v>
      </c>
      <c r="GJ63" s="58">
        <f t="shared" ref="GJ63:GJ89" si="498">+GI63*3.3058</f>
        <v>0</v>
      </c>
      <c r="GK63" s="54"/>
      <c r="GL63" s="54"/>
      <c r="GM63" s="54">
        <v>1</v>
      </c>
      <c r="GN63" s="54">
        <v>0.97</v>
      </c>
      <c r="GO63" s="54">
        <v>0.95</v>
      </c>
      <c r="GP63" s="54">
        <v>0.93</v>
      </c>
      <c r="GQ63" s="54">
        <f t="shared" si="288"/>
        <v>0.91</v>
      </c>
      <c r="GR63" s="54">
        <f t="shared" si="288"/>
        <v>0.89</v>
      </c>
      <c r="GS63" s="54">
        <f t="shared" si="288"/>
        <v>0.87</v>
      </c>
      <c r="GT63" s="54">
        <f t="shared" ref="GT63:HH63" si="499">+GS63-0.02</f>
        <v>0.85</v>
      </c>
      <c r="GU63" s="54">
        <f t="shared" si="499"/>
        <v>0.83</v>
      </c>
      <c r="GV63" s="54">
        <f t="shared" si="499"/>
        <v>0.80999999999999994</v>
      </c>
      <c r="GW63" s="54">
        <f t="shared" si="499"/>
        <v>0.78999999999999992</v>
      </c>
      <c r="GX63" s="54">
        <f t="shared" si="499"/>
        <v>0.76999999999999991</v>
      </c>
      <c r="GY63" s="54">
        <f t="shared" si="499"/>
        <v>0.74999999999999989</v>
      </c>
      <c r="GZ63" s="54">
        <f t="shared" si="499"/>
        <v>0.72999999999999987</v>
      </c>
      <c r="HA63" s="54">
        <f t="shared" si="499"/>
        <v>0.70999999999999985</v>
      </c>
      <c r="HB63" s="54">
        <f t="shared" si="499"/>
        <v>0.68999999999999984</v>
      </c>
      <c r="HC63" s="54">
        <f t="shared" si="499"/>
        <v>0.66999999999999982</v>
      </c>
      <c r="HD63" s="54">
        <f t="shared" si="499"/>
        <v>0.6499999999999998</v>
      </c>
      <c r="HE63" s="54">
        <f t="shared" si="499"/>
        <v>0.62999999999999978</v>
      </c>
      <c r="HF63" s="54">
        <f t="shared" si="499"/>
        <v>0.60999999999999976</v>
      </c>
      <c r="HG63" s="54">
        <f t="shared" si="499"/>
        <v>0.58999999999999975</v>
      </c>
      <c r="HH63" s="54">
        <f t="shared" si="499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2">
        <f>TRUNC(+D64*3.3058,-1)</f>
        <v>0</v>
      </c>
      <c r="H64" s="54">
        <f t="shared" si="61"/>
        <v>0</v>
      </c>
      <c r="I64" s="54">
        <f t="shared" si="62"/>
        <v>0</v>
      </c>
      <c r="J64" s="58">
        <f t="shared" si="63"/>
        <v>0</v>
      </c>
      <c r="K64" s="54">
        <f t="shared" si="369"/>
        <v>0</v>
      </c>
      <c r="L64" s="58">
        <f t="shared" si="370"/>
        <v>0</v>
      </c>
      <c r="M64" s="54">
        <f t="shared" si="371"/>
        <v>0</v>
      </c>
      <c r="N64" s="58">
        <f t="shared" si="372"/>
        <v>0</v>
      </c>
      <c r="O64" s="54">
        <f t="shared" si="373"/>
        <v>0</v>
      </c>
      <c r="P64" s="58">
        <f t="shared" si="374"/>
        <v>0</v>
      </c>
      <c r="Q64" s="56">
        <f t="shared" si="375"/>
        <v>0</v>
      </c>
      <c r="R64" s="58">
        <f t="shared" si="376"/>
        <v>0</v>
      </c>
      <c r="S64" s="54">
        <f t="shared" si="377"/>
        <v>0</v>
      </c>
      <c r="T64" s="58">
        <f t="shared" si="378"/>
        <v>0</v>
      </c>
      <c r="U64" s="56">
        <f t="shared" si="379"/>
        <v>0</v>
      </c>
      <c r="V64" s="58">
        <f t="shared" si="380"/>
        <v>0</v>
      </c>
      <c r="W64" s="59">
        <f t="shared" si="381"/>
        <v>0</v>
      </c>
      <c r="X64" s="58">
        <f t="shared" si="382"/>
        <v>0</v>
      </c>
      <c r="Y64" s="56">
        <f t="shared" si="383"/>
        <v>0</v>
      </c>
      <c r="Z64" s="58">
        <f t="shared" si="384"/>
        <v>0</v>
      </c>
      <c r="AA64" s="54">
        <f t="shared" si="385"/>
        <v>0</v>
      </c>
      <c r="AB64" s="58">
        <f t="shared" si="386"/>
        <v>0</v>
      </c>
      <c r="AC64" s="59">
        <f t="shared" si="387"/>
        <v>0</v>
      </c>
      <c r="AD64" s="58">
        <f t="shared" si="388"/>
        <v>0</v>
      </c>
      <c r="AE64" s="59">
        <f t="shared" si="389"/>
        <v>0</v>
      </c>
      <c r="AF64" s="58">
        <f t="shared" si="390"/>
        <v>0</v>
      </c>
      <c r="AG64" s="59">
        <f t="shared" si="391"/>
        <v>0</v>
      </c>
      <c r="AH64" s="58">
        <f t="shared" si="392"/>
        <v>0</v>
      </c>
      <c r="AI64" s="54">
        <f t="shared" si="393"/>
        <v>0</v>
      </c>
      <c r="AJ64" s="58">
        <f t="shared" si="394"/>
        <v>0</v>
      </c>
      <c r="AK64" s="59">
        <f t="shared" si="395"/>
        <v>0</v>
      </c>
      <c r="AL64" s="58">
        <f t="shared" si="396"/>
        <v>0</v>
      </c>
      <c r="AM64" s="59">
        <f t="shared" si="397"/>
        <v>0</v>
      </c>
      <c r="AN64" s="58">
        <f t="shared" si="398"/>
        <v>0</v>
      </c>
      <c r="AO64" s="59">
        <f t="shared" si="399"/>
        <v>0</v>
      </c>
      <c r="AP64" s="58">
        <f t="shared" si="400"/>
        <v>0</v>
      </c>
      <c r="AQ64" s="59">
        <f t="shared" si="401"/>
        <v>0</v>
      </c>
      <c r="AR64" s="58">
        <f t="shared" si="402"/>
        <v>0</v>
      </c>
      <c r="AS64" s="54">
        <f t="shared" si="403"/>
        <v>0</v>
      </c>
      <c r="AT64" s="58">
        <f t="shared" si="404"/>
        <v>0</v>
      </c>
      <c r="AU64" s="59">
        <f t="shared" si="405"/>
        <v>0</v>
      </c>
      <c r="AV64" s="58">
        <f t="shared" si="406"/>
        <v>0</v>
      </c>
      <c r="AW64" s="59">
        <f t="shared" si="407"/>
        <v>0</v>
      </c>
      <c r="AX64" s="58">
        <f t="shared" si="408"/>
        <v>0</v>
      </c>
      <c r="AY64" s="54">
        <f t="shared" si="409"/>
        <v>0</v>
      </c>
      <c r="AZ64" s="58">
        <f t="shared" si="410"/>
        <v>0</v>
      </c>
      <c r="BC64" s="54">
        <v>1</v>
      </c>
      <c r="BD64" s="54">
        <v>0.97</v>
      </c>
      <c r="BE64" s="54">
        <v>0.95</v>
      </c>
      <c r="BF64" s="54">
        <v>0.93</v>
      </c>
      <c r="BG64" s="54">
        <f t="shared" si="411"/>
        <v>0.91</v>
      </c>
      <c r="BH64" s="54">
        <f t="shared" si="411"/>
        <v>0.89</v>
      </c>
      <c r="BI64" s="54">
        <f t="shared" si="411"/>
        <v>0.87</v>
      </c>
      <c r="BJ64" s="54">
        <f t="shared" si="411"/>
        <v>0.85</v>
      </c>
      <c r="BK64" s="54">
        <f t="shared" si="411"/>
        <v>0.83</v>
      </c>
      <c r="BL64" s="54">
        <f t="shared" si="411"/>
        <v>0.80999999999999994</v>
      </c>
      <c r="BM64" s="54">
        <f t="shared" si="411"/>
        <v>0.78999999999999992</v>
      </c>
      <c r="BN64" s="54">
        <f t="shared" si="411"/>
        <v>0.76999999999999991</v>
      </c>
      <c r="BO64" s="54">
        <f t="shared" si="411"/>
        <v>0.74999999999999989</v>
      </c>
      <c r="BP64" s="54">
        <f t="shared" si="411"/>
        <v>0.72999999999999987</v>
      </c>
      <c r="BQ64" s="54">
        <f t="shared" si="411"/>
        <v>0.70999999999999985</v>
      </c>
      <c r="BR64" s="54">
        <f t="shared" si="411"/>
        <v>0.68999999999999984</v>
      </c>
      <c r="BS64" s="54">
        <f t="shared" si="411"/>
        <v>0.66999999999999982</v>
      </c>
      <c r="BT64" s="54">
        <f t="shared" si="411"/>
        <v>0.6499999999999998</v>
      </c>
      <c r="BU64" s="54">
        <f t="shared" si="411"/>
        <v>0.62999999999999978</v>
      </c>
      <c r="BV64" s="54">
        <f t="shared" si="411"/>
        <v>0.60999999999999976</v>
      </c>
      <c r="BW64" s="54">
        <f t="shared" si="411"/>
        <v>0.58999999999999975</v>
      </c>
      <c r="BX64" s="54">
        <f t="shared" si="411"/>
        <v>0.56999999999999973</v>
      </c>
      <c r="BZ64" s="54">
        <f t="shared" si="88"/>
        <v>0</v>
      </c>
      <c r="CA64" s="54">
        <f t="shared" si="89"/>
        <v>0</v>
      </c>
      <c r="CB64" s="58">
        <f t="shared" si="412"/>
        <v>0</v>
      </c>
      <c r="CC64" s="54">
        <f t="shared" si="413"/>
        <v>0</v>
      </c>
      <c r="CD64" s="58">
        <f t="shared" si="414"/>
        <v>0</v>
      </c>
      <c r="CE64" s="54">
        <f t="shared" si="415"/>
        <v>0</v>
      </c>
      <c r="CF64" s="58">
        <f t="shared" si="416"/>
        <v>0</v>
      </c>
      <c r="CG64" s="54">
        <f t="shared" si="417"/>
        <v>0</v>
      </c>
      <c r="CH64" s="58">
        <f t="shared" si="418"/>
        <v>0</v>
      </c>
      <c r="CI64" s="56">
        <f t="shared" si="419"/>
        <v>0</v>
      </c>
      <c r="CJ64" s="58">
        <f t="shared" si="420"/>
        <v>0</v>
      </c>
      <c r="CK64" s="54">
        <f t="shared" si="421"/>
        <v>0</v>
      </c>
      <c r="CL64" s="58">
        <f t="shared" si="422"/>
        <v>0</v>
      </c>
      <c r="CM64" s="56">
        <f t="shared" si="423"/>
        <v>0</v>
      </c>
      <c r="CN64" s="58">
        <f t="shared" si="424"/>
        <v>0</v>
      </c>
      <c r="CO64" s="59">
        <f t="shared" si="425"/>
        <v>0</v>
      </c>
      <c r="CP64" s="58">
        <f t="shared" si="426"/>
        <v>0</v>
      </c>
      <c r="CQ64" s="56">
        <f t="shared" si="427"/>
        <v>0</v>
      </c>
      <c r="CR64" s="58">
        <f t="shared" si="428"/>
        <v>0</v>
      </c>
      <c r="CS64" s="54">
        <f t="shared" si="429"/>
        <v>0</v>
      </c>
      <c r="CT64" s="58">
        <f t="shared" si="430"/>
        <v>0</v>
      </c>
      <c r="CU64" s="59">
        <f t="shared" si="431"/>
        <v>0</v>
      </c>
      <c r="CV64" s="58">
        <f t="shared" si="432"/>
        <v>0</v>
      </c>
      <c r="CW64" s="59">
        <f t="shared" si="433"/>
        <v>0</v>
      </c>
      <c r="CX64" s="58">
        <f t="shared" si="434"/>
        <v>0</v>
      </c>
      <c r="CY64" s="59">
        <f t="shared" si="435"/>
        <v>0</v>
      </c>
      <c r="CZ64" s="58">
        <f t="shared" si="436"/>
        <v>0</v>
      </c>
      <c r="DA64" s="54">
        <f t="shared" si="437"/>
        <v>0</v>
      </c>
      <c r="DB64" s="58">
        <f t="shared" si="438"/>
        <v>0</v>
      </c>
      <c r="DC64" s="59">
        <f t="shared" si="439"/>
        <v>0</v>
      </c>
      <c r="DD64" s="58">
        <f t="shared" si="440"/>
        <v>0</v>
      </c>
      <c r="DE64" s="59">
        <f t="shared" si="441"/>
        <v>0</v>
      </c>
      <c r="DF64" s="58">
        <f t="shared" si="442"/>
        <v>0</v>
      </c>
      <c r="DG64" s="59">
        <f t="shared" si="443"/>
        <v>0</v>
      </c>
      <c r="DH64" s="58">
        <f t="shared" si="444"/>
        <v>0</v>
      </c>
      <c r="DI64" s="59">
        <f t="shared" si="445"/>
        <v>0</v>
      </c>
      <c r="DJ64" s="58">
        <f t="shared" si="446"/>
        <v>0</v>
      </c>
      <c r="DK64" s="54">
        <f t="shared" si="447"/>
        <v>0</v>
      </c>
      <c r="DL64" s="58">
        <f t="shared" si="448"/>
        <v>0</v>
      </c>
      <c r="DM64" s="59">
        <f t="shared" si="449"/>
        <v>0</v>
      </c>
      <c r="DN64" s="58">
        <f t="shared" si="450"/>
        <v>0</v>
      </c>
      <c r="DO64" s="59">
        <f t="shared" si="451"/>
        <v>0</v>
      </c>
      <c r="DP64" s="58">
        <f t="shared" si="452"/>
        <v>0</v>
      </c>
      <c r="DQ64" s="54">
        <f t="shared" si="453"/>
        <v>0</v>
      </c>
      <c r="DR64" s="58">
        <f t="shared" si="454"/>
        <v>0</v>
      </c>
      <c r="DU64" s="54">
        <v>1</v>
      </c>
      <c r="DV64" s="54">
        <v>0.97</v>
      </c>
      <c r="DW64" s="54">
        <v>0.95</v>
      </c>
      <c r="DX64" s="54">
        <v>0.93</v>
      </c>
      <c r="DY64" s="54">
        <f t="shared" ref="DY64:EP78" si="500">+DX64-0.02</f>
        <v>0.91</v>
      </c>
      <c r="DZ64" s="54">
        <f t="shared" si="500"/>
        <v>0.89</v>
      </c>
      <c r="EA64" s="54">
        <f t="shared" si="500"/>
        <v>0.87</v>
      </c>
      <c r="EB64" s="54">
        <f t="shared" si="500"/>
        <v>0.85</v>
      </c>
      <c r="EC64" s="54">
        <f t="shared" si="500"/>
        <v>0.83</v>
      </c>
      <c r="ED64" s="54">
        <f t="shared" si="500"/>
        <v>0.80999999999999994</v>
      </c>
      <c r="EE64" s="54">
        <f t="shared" si="500"/>
        <v>0.78999999999999992</v>
      </c>
      <c r="EF64" s="54">
        <f t="shared" si="500"/>
        <v>0.76999999999999991</v>
      </c>
      <c r="EG64" s="54">
        <f t="shared" si="500"/>
        <v>0.74999999999999989</v>
      </c>
      <c r="EH64" s="54">
        <f t="shared" si="500"/>
        <v>0.72999999999999987</v>
      </c>
      <c r="EI64" s="54">
        <f t="shared" si="500"/>
        <v>0.70999999999999985</v>
      </c>
      <c r="EJ64" s="54">
        <f t="shared" si="500"/>
        <v>0.68999999999999984</v>
      </c>
      <c r="EK64" s="54">
        <f t="shared" si="500"/>
        <v>0.66999999999999982</v>
      </c>
      <c r="EL64" s="54">
        <f t="shared" si="500"/>
        <v>0.6499999999999998</v>
      </c>
      <c r="EM64" s="54">
        <f t="shared" si="500"/>
        <v>0.62999999999999978</v>
      </c>
      <c r="EN64" s="54">
        <f t="shared" si="500"/>
        <v>0.60999999999999976</v>
      </c>
      <c r="EO64" s="54">
        <f t="shared" si="500"/>
        <v>0.58999999999999975</v>
      </c>
      <c r="EP64" s="54">
        <f t="shared" si="500"/>
        <v>0.56999999999999973</v>
      </c>
      <c r="ER64" s="54">
        <f t="shared" si="142"/>
        <v>0</v>
      </c>
      <c r="ES64" s="54">
        <f t="shared" si="116"/>
        <v>0</v>
      </c>
      <c r="ET64" s="58">
        <f t="shared" si="456"/>
        <v>0</v>
      </c>
      <c r="EU64" s="54">
        <f t="shared" si="457"/>
        <v>0</v>
      </c>
      <c r="EV64" s="58">
        <f t="shared" si="458"/>
        <v>0</v>
      </c>
      <c r="EW64" s="54">
        <f t="shared" si="459"/>
        <v>0</v>
      </c>
      <c r="EX64" s="58">
        <f t="shared" si="460"/>
        <v>0</v>
      </c>
      <c r="EY64" s="54">
        <f t="shared" si="461"/>
        <v>0</v>
      </c>
      <c r="EZ64" s="58">
        <f t="shared" si="462"/>
        <v>0</v>
      </c>
      <c r="FA64" s="56">
        <f t="shared" si="463"/>
        <v>0</v>
      </c>
      <c r="FB64" s="58">
        <f t="shared" si="464"/>
        <v>0</v>
      </c>
      <c r="FC64" s="54">
        <f t="shared" si="465"/>
        <v>0</v>
      </c>
      <c r="FD64" s="58">
        <f t="shared" si="466"/>
        <v>0</v>
      </c>
      <c r="FE64" s="56">
        <f t="shared" si="467"/>
        <v>0</v>
      </c>
      <c r="FF64" s="58">
        <f t="shared" si="468"/>
        <v>0</v>
      </c>
      <c r="FG64" s="59">
        <f t="shared" si="469"/>
        <v>0</v>
      </c>
      <c r="FH64" s="58">
        <f t="shared" si="470"/>
        <v>0</v>
      </c>
      <c r="FI64" s="56">
        <f t="shared" si="471"/>
        <v>0</v>
      </c>
      <c r="FJ64" s="58">
        <f t="shared" si="472"/>
        <v>0</v>
      </c>
      <c r="FK64" s="54">
        <f t="shared" si="473"/>
        <v>0</v>
      </c>
      <c r="FL64" s="58">
        <f t="shared" si="474"/>
        <v>0</v>
      </c>
      <c r="FM64" s="59">
        <f t="shared" si="475"/>
        <v>0</v>
      </c>
      <c r="FN64" s="58">
        <f t="shared" si="476"/>
        <v>0</v>
      </c>
      <c r="FO64" s="59">
        <f t="shared" si="477"/>
        <v>0</v>
      </c>
      <c r="FP64" s="58">
        <f t="shared" si="478"/>
        <v>0</v>
      </c>
      <c r="FQ64" s="59">
        <f t="shared" si="479"/>
        <v>0</v>
      </c>
      <c r="FR64" s="58">
        <f t="shared" si="480"/>
        <v>0</v>
      </c>
      <c r="FS64" s="54">
        <f t="shared" si="481"/>
        <v>0</v>
      </c>
      <c r="FT64" s="58">
        <f t="shared" si="482"/>
        <v>0</v>
      </c>
      <c r="FU64" s="59">
        <f t="shared" si="483"/>
        <v>0</v>
      </c>
      <c r="FV64" s="58">
        <f t="shared" si="484"/>
        <v>0</v>
      </c>
      <c r="FW64" s="59">
        <f t="shared" si="485"/>
        <v>0</v>
      </c>
      <c r="FX64" s="58">
        <f t="shared" si="486"/>
        <v>0</v>
      </c>
      <c r="FY64" s="59">
        <f t="shared" si="487"/>
        <v>0</v>
      </c>
      <c r="FZ64" s="58">
        <f t="shared" si="488"/>
        <v>0</v>
      </c>
      <c r="GA64" s="59">
        <f t="shared" si="489"/>
        <v>0</v>
      </c>
      <c r="GB64" s="58">
        <f t="shared" si="490"/>
        <v>0</v>
      </c>
      <c r="GC64" s="54">
        <f t="shared" si="491"/>
        <v>0</v>
      </c>
      <c r="GD64" s="58">
        <f t="shared" si="492"/>
        <v>0</v>
      </c>
      <c r="GE64" s="59">
        <f t="shared" si="493"/>
        <v>0</v>
      </c>
      <c r="GF64" s="58">
        <f t="shared" si="494"/>
        <v>0</v>
      </c>
      <c r="GG64" s="59">
        <f t="shared" si="495"/>
        <v>0</v>
      </c>
      <c r="GH64" s="58">
        <f t="shared" si="496"/>
        <v>0</v>
      </c>
      <c r="GI64" s="54">
        <f t="shared" si="497"/>
        <v>0</v>
      </c>
      <c r="GJ64" s="58">
        <f t="shared" si="498"/>
        <v>0</v>
      </c>
      <c r="GK64" s="54"/>
      <c r="GL64" s="54"/>
      <c r="GM64" s="54">
        <v>1</v>
      </c>
      <c r="GN64" s="54">
        <v>0.97</v>
      </c>
      <c r="GO64" s="54">
        <v>0.95</v>
      </c>
      <c r="GP64" s="54">
        <v>0.93</v>
      </c>
      <c r="GQ64" s="54">
        <f t="shared" ref="GQ64:HH78" si="501">+GP64-0.02</f>
        <v>0.91</v>
      </c>
      <c r="GR64" s="54">
        <f t="shared" si="501"/>
        <v>0.89</v>
      </c>
      <c r="GS64" s="54">
        <f t="shared" si="501"/>
        <v>0.87</v>
      </c>
      <c r="GT64" s="54">
        <f t="shared" si="501"/>
        <v>0.85</v>
      </c>
      <c r="GU64" s="54">
        <f t="shared" si="501"/>
        <v>0.83</v>
      </c>
      <c r="GV64" s="54">
        <f t="shared" si="501"/>
        <v>0.80999999999999994</v>
      </c>
      <c r="GW64" s="54">
        <f t="shared" si="501"/>
        <v>0.78999999999999992</v>
      </c>
      <c r="GX64" s="54">
        <f t="shared" si="501"/>
        <v>0.76999999999999991</v>
      </c>
      <c r="GY64" s="54">
        <f t="shared" si="501"/>
        <v>0.74999999999999989</v>
      </c>
      <c r="GZ64" s="54">
        <f t="shared" si="501"/>
        <v>0.72999999999999987</v>
      </c>
      <c r="HA64" s="54">
        <f t="shared" si="501"/>
        <v>0.70999999999999985</v>
      </c>
      <c r="HB64" s="54">
        <f t="shared" si="501"/>
        <v>0.68999999999999984</v>
      </c>
      <c r="HC64" s="54">
        <f t="shared" si="501"/>
        <v>0.66999999999999982</v>
      </c>
      <c r="HD64" s="54">
        <f t="shared" si="501"/>
        <v>0.6499999999999998</v>
      </c>
      <c r="HE64" s="54">
        <f t="shared" si="501"/>
        <v>0.62999999999999978</v>
      </c>
      <c r="HF64" s="54">
        <f t="shared" si="501"/>
        <v>0.60999999999999976</v>
      </c>
      <c r="HG64" s="54">
        <f t="shared" si="501"/>
        <v>0.58999999999999975</v>
      </c>
      <c r="HH64" s="54">
        <f t="shared" si="501"/>
        <v>0.56999999999999973</v>
      </c>
    </row>
    <row r="65" spans="1:216" x14ac:dyDescent="0.3">
      <c r="A65" s="2">
        <v>3</v>
      </c>
      <c r="C65" s="38" t="s">
        <v>32</v>
      </c>
      <c r="D65" s="42">
        <v>6060</v>
      </c>
      <c r="E65" s="72">
        <f t="shared" ref="E65:E67" si="502">TRUNC(+D65*3.3058,-1)</f>
        <v>20030</v>
      </c>
      <c r="H65" s="54">
        <f t="shared" si="61"/>
        <v>22033</v>
      </c>
      <c r="I65" s="54">
        <f t="shared" si="62"/>
        <v>22033</v>
      </c>
      <c r="J65" s="58">
        <f t="shared" si="63"/>
        <v>72836.691399999996</v>
      </c>
      <c r="K65" s="54">
        <f t="shared" si="369"/>
        <v>21372.01</v>
      </c>
      <c r="L65" s="58">
        <f t="shared" si="370"/>
        <v>70651.590658000001</v>
      </c>
      <c r="M65" s="54">
        <f t="shared" si="371"/>
        <v>20931.349999999999</v>
      </c>
      <c r="N65" s="58">
        <f t="shared" si="372"/>
        <v>69194.85682999999</v>
      </c>
      <c r="O65" s="54">
        <f t="shared" si="373"/>
        <v>20490.690000000002</v>
      </c>
      <c r="P65" s="58">
        <f t="shared" si="374"/>
        <v>67738.123002000008</v>
      </c>
      <c r="Q65" s="56">
        <f t="shared" si="375"/>
        <v>20050.030000000002</v>
      </c>
      <c r="R65" s="58">
        <f t="shared" si="376"/>
        <v>66281.389174000011</v>
      </c>
      <c r="S65" s="54">
        <f t="shared" si="377"/>
        <v>19609.37</v>
      </c>
      <c r="T65" s="58">
        <f t="shared" si="378"/>
        <v>64824.655346</v>
      </c>
      <c r="U65" s="56">
        <f t="shared" si="379"/>
        <v>19168.71</v>
      </c>
      <c r="V65" s="58">
        <f t="shared" si="380"/>
        <v>63367.921517999996</v>
      </c>
      <c r="W65" s="59">
        <f t="shared" si="381"/>
        <v>18728.05</v>
      </c>
      <c r="X65" s="58">
        <f t="shared" si="382"/>
        <v>61911.187689999999</v>
      </c>
      <c r="Y65" s="56">
        <f t="shared" si="383"/>
        <v>18287.39</v>
      </c>
      <c r="Z65" s="58">
        <f t="shared" si="384"/>
        <v>60454.453862000002</v>
      </c>
      <c r="AA65" s="54">
        <f t="shared" si="385"/>
        <v>17846.73</v>
      </c>
      <c r="AB65" s="58">
        <f t="shared" si="386"/>
        <v>58997.720033999998</v>
      </c>
      <c r="AC65" s="59">
        <f t="shared" si="387"/>
        <v>17406.07</v>
      </c>
      <c r="AD65" s="58">
        <f t="shared" si="388"/>
        <v>57540.986206000001</v>
      </c>
      <c r="AE65" s="59">
        <f t="shared" si="389"/>
        <v>16965.409999999996</v>
      </c>
      <c r="AF65" s="58">
        <f t="shared" si="390"/>
        <v>56084.25237799999</v>
      </c>
      <c r="AG65" s="59">
        <f t="shared" si="391"/>
        <v>16524.749999999996</v>
      </c>
      <c r="AH65" s="58">
        <f t="shared" si="392"/>
        <v>54627.518549999986</v>
      </c>
      <c r="AI65" s="54">
        <f t="shared" si="393"/>
        <v>16084.089999999997</v>
      </c>
      <c r="AJ65" s="58">
        <f t="shared" si="394"/>
        <v>53170.784721999989</v>
      </c>
      <c r="AK65" s="59">
        <f t="shared" si="395"/>
        <v>15643.429999999997</v>
      </c>
      <c r="AL65" s="58">
        <f t="shared" si="396"/>
        <v>51714.050893999993</v>
      </c>
      <c r="AM65" s="59">
        <f t="shared" si="397"/>
        <v>15202.769999999997</v>
      </c>
      <c r="AN65" s="58">
        <f t="shared" si="398"/>
        <v>50257.317065999989</v>
      </c>
      <c r="AO65" s="59">
        <f t="shared" si="399"/>
        <v>14762.109999999995</v>
      </c>
      <c r="AP65" s="58">
        <f t="shared" si="400"/>
        <v>48800.583237999985</v>
      </c>
      <c r="AQ65" s="59">
        <f t="shared" si="401"/>
        <v>14321.449999999995</v>
      </c>
      <c r="AR65" s="58">
        <f t="shared" si="402"/>
        <v>47343.849409999988</v>
      </c>
      <c r="AS65" s="54">
        <f t="shared" si="403"/>
        <v>13880.789999999995</v>
      </c>
      <c r="AT65" s="58">
        <f t="shared" si="404"/>
        <v>45887.115581999984</v>
      </c>
      <c r="AU65" s="59">
        <f t="shared" si="405"/>
        <v>13440.129999999996</v>
      </c>
      <c r="AV65" s="58">
        <f t="shared" si="406"/>
        <v>44430.381753999987</v>
      </c>
      <c r="AW65" s="59">
        <f t="shared" si="407"/>
        <v>12999.469999999994</v>
      </c>
      <c r="AX65" s="58">
        <f t="shared" si="408"/>
        <v>42973.647925999983</v>
      </c>
      <c r="AY65" s="54">
        <f t="shared" si="409"/>
        <v>12558.809999999994</v>
      </c>
      <c r="AZ65" s="58">
        <f t="shared" si="410"/>
        <v>41516.914097999979</v>
      </c>
      <c r="BC65" s="54">
        <v>1</v>
      </c>
      <c r="BD65" s="54">
        <v>0.97</v>
      </c>
      <c r="BE65" s="54">
        <v>0.95</v>
      </c>
      <c r="BF65" s="54">
        <v>0.93</v>
      </c>
      <c r="BG65" s="54">
        <f t="shared" si="411"/>
        <v>0.91</v>
      </c>
      <c r="BH65" s="54">
        <f t="shared" si="411"/>
        <v>0.89</v>
      </c>
      <c r="BI65" s="54">
        <f t="shared" si="411"/>
        <v>0.87</v>
      </c>
      <c r="BJ65" s="54">
        <f t="shared" si="411"/>
        <v>0.85</v>
      </c>
      <c r="BK65" s="54">
        <f t="shared" si="411"/>
        <v>0.83</v>
      </c>
      <c r="BL65" s="54">
        <f t="shared" si="411"/>
        <v>0.80999999999999994</v>
      </c>
      <c r="BM65" s="54">
        <f t="shared" si="411"/>
        <v>0.78999999999999992</v>
      </c>
      <c r="BN65" s="54">
        <f t="shared" si="411"/>
        <v>0.76999999999999991</v>
      </c>
      <c r="BO65" s="54">
        <f t="shared" si="411"/>
        <v>0.74999999999999989</v>
      </c>
      <c r="BP65" s="54">
        <f t="shared" si="411"/>
        <v>0.72999999999999987</v>
      </c>
      <c r="BQ65" s="54">
        <f t="shared" si="411"/>
        <v>0.70999999999999985</v>
      </c>
      <c r="BR65" s="54">
        <f t="shared" si="411"/>
        <v>0.68999999999999984</v>
      </c>
      <c r="BS65" s="54">
        <f t="shared" si="411"/>
        <v>0.66999999999999982</v>
      </c>
      <c r="BT65" s="54">
        <f t="shared" si="411"/>
        <v>0.6499999999999998</v>
      </c>
      <c r="BU65" s="54">
        <f t="shared" si="411"/>
        <v>0.62999999999999978</v>
      </c>
      <c r="BV65" s="54">
        <f t="shared" si="411"/>
        <v>0.60999999999999976</v>
      </c>
      <c r="BW65" s="54">
        <f t="shared" si="411"/>
        <v>0.58999999999999975</v>
      </c>
      <c r="BX65" s="54">
        <f t="shared" si="411"/>
        <v>0.56999999999999973</v>
      </c>
      <c r="BZ65" s="54">
        <f t="shared" si="88"/>
        <v>20050.030000000002</v>
      </c>
      <c r="CA65" s="54">
        <f t="shared" si="89"/>
        <v>20050.030000000002</v>
      </c>
      <c r="CB65" s="58">
        <f t="shared" si="412"/>
        <v>66281.389174000011</v>
      </c>
      <c r="CC65" s="54">
        <f t="shared" si="413"/>
        <v>19448.529100000003</v>
      </c>
      <c r="CD65" s="58">
        <f t="shared" si="414"/>
        <v>64292.947498780013</v>
      </c>
      <c r="CE65" s="54">
        <f t="shared" si="415"/>
        <v>19047.5285</v>
      </c>
      <c r="CF65" s="58">
        <f t="shared" si="416"/>
        <v>62967.3197153</v>
      </c>
      <c r="CG65" s="54">
        <f t="shared" si="417"/>
        <v>18646.527900000005</v>
      </c>
      <c r="CH65" s="58">
        <f t="shared" si="418"/>
        <v>61641.691931820016</v>
      </c>
      <c r="CI65" s="56">
        <f t="shared" si="419"/>
        <v>18245.527300000002</v>
      </c>
      <c r="CJ65" s="58">
        <f t="shared" si="420"/>
        <v>60316.064148340003</v>
      </c>
      <c r="CK65" s="54">
        <f t="shared" si="421"/>
        <v>17844.526700000002</v>
      </c>
      <c r="CL65" s="58">
        <f t="shared" si="422"/>
        <v>58990.436364860012</v>
      </c>
      <c r="CM65" s="56">
        <f t="shared" si="423"/>
        <v>17443.526100000003</v>
      </c>
      <c r="CN65" s="58">
        <f t="shared" si="424"/>
        <v>57664.808581380013</v>
      </c>
      <c r="CO65" s="59">
        <f t="shared" si="425"/>
        <v>17042.525500000003</v>
      </c>
      <c r="CP65" s="58">
        <f t="shared" si="426"/>
        <v>56339.180797900015</v>
      </c>
      <c r="CQ65" s="56">
        <f t="shared" si="427"/>
        <v>16641.5249</v>
      </c>
      <c r="CR65" s="58">
        <f t="shared" si="428"/>
        <v>55013.553014420002</v>
      </c>
      <c r="CS65" s="54">
        <f t="shared" si="429"/>
        <v>16240.524300000001</v>
      </c>
      <c r="CT65" s="58">
        <f t="shared" si="430"/>
        <v>53687.925230940004</v>
      </c>
      <c r="CU65" s="59">
        <f t="shared" si="431"/>
        <v>15839.5237</v>
      </c>
      <c r="CV65" s="58">
        <f t="shared" si="432"/>
        <v>52362.297447459998</v>
      </c>
      <c r="CW65" s="59">
        <f t="shared" si="433"/>
        <v>15438.5231</v>
      </c>
      <c r="CX65" s="58">
        <f t="shared" si="434"/>
        <v>51036.669663979999</v>
      </c>
      <c r="CY65" s="59">
        <f t="shared" si="435"/>
        <v>15037.522499999999</v>
      </c>
      <c r="CZ65" s="58">
        <f t="shared" si="436"/>
        <v>49711.041880500001</v>
      </c>
      <c r="DA65" s="54">
        <f t="shared" si="437"/>
        <v>14636.5219</v>
      </c>
      <c r="DB65" s="58">
        <f t="shared" si="438"/>
        <v>48385.414097020002</v>
      </c>
      <c r="DC65" s="59">
        <f t="shared" si="439"/>
        <v>14235.521299999999</v>
      </c>
      <c r="DD65" s="58">
        <f t="shared" si="440"/>
        <v>47059.786313539997</v>
      </c>
      <c r="DE65" s="59">
        <f t="shared" si="441"/>
        <v>13834.520699999999</v>
      </c>
      <c r="DF65" s="58">
        <f t="shared" si="442"/>
        <v>45734.158530059998</v>
      </c>
      <c r="DG65" s="59">
        <f t="shared" si="443"/>
        <v>13433.520099999998</v>
      </c>
      <c r="DH65" s="58">
        <f t="shared" si="444"/>
        <v>44408.530746579992</v>
      </c>
      <c r="DI65" s="59">
        <f t="shared" si="445"/>
        <v>13032.519499999997</v>
      </c>
      <c r="DJ65" s="58">
        <f t="shared" si="446"/>
        <v>43082.902963099987</v>
      </c>
      <c r="DK65" s="54">
        <f t="shared" si="447"/>
        <v>12631.518899999997</v>
      </c>
      <c r="DL65" s="58">
        <f t="shared" si="448"/>
        <v>41757.275179619995</v>
      </c>
      <c r="DM65" s="59">
        <f t="shared" si="449"/>
        <v>12230.518299999996</v>
      </c>
      <c r="DN65" s="58">
        <f t="shared" si="450"/>
        <v>40431.64739613999</v>
      </c>
      <c r="DO65" s="59">
        <f t="shared" si="451"/>
        <v>11829.517699999997</v>
      </c>
      <c r="DP65" s="58">
        <f t="shared" si="452"/>
        <v>39106.019612659991</v>
      </c>
      <c r="DQ65" s="54">
        <f t="shared" si="453"/>
        <v>11428.517099999995</v>
      </c>
      <c r="DR65" s="58">
        <f t="shared" si="454"/>
        <v>37780.391829179986</v>
      </c>
      <c r="DU65" s="54">
        <v>1</v>
      </c>
      <c r="DV65" s="54">
        <v>0.97</v>
      </c>
      <c r="DW65" s="54">
        <v>0.95</v>
      </c>
      <c r="DX65" s="54">
        <v>0.93</v>
      </c>
      <c r="DY65" s="54">
        <f t="shared" si="500"/>
        <v>0.91</v>
      </c>
      <c r="DZ65" s="54">
        <f t="shared" si="500"/>
        <v>0.89</v>
      </c>
      <c r="EA65" s="54">
        <f t="shared" si="500"/>
        <v>0.87</v>
      </c>
      <c r="EB65" s="54">
        <f t="shared" si="500"/>
        <v>0.85</v>
      </c>
      <c r="EC65" s="54">
        <f t="shared" si="500"/>
        <v>0.83</v>
      </c>
      <c r="ED65" s="54">
        <f t="shared" si="500"/>
        <v>0.80999999999999994</v>
      </c>
      <c r="EE65" s="54">
        <f t="shared" si="500"/>
        <v>0.78999999999999992</v>
      </c>
      <c r="EF65" s="54">
        <f t="shared" si="500"/>
        <v>0.76999999999999991</v>
      </c>
      <c r="EG65" s="54">
        <f t="shared" si="500"/>
        <v>0.74999999999999989</v>
      </c>
      <c r="EH65" s="54">
        <f t="shared" si="500"/>
        <v>0.72999999999999987</v>
      </c>
      <c r="EI65" s="54">
        <f t="shared" si="500"/>
        <v>0.70999999999999985</v>
      </c>
      <c r="EJ65" s="54">
        <f t="shared" si="500"/>
        <v>0.68999999999999984</v>
      </c>
      <c r="EK65" s="54">
        <f t="shared" si="500"/>
        <v>0.66999999999999982</v>
      </c>
      <c r="EL65" s="54">
        <f t="shared" si="500"/>
        <v>0.6499999999999998</v>
      </c>
      <c r="EM65" s="54">
        <f t="shared" si="500"/>
        <v>0.62999999999999978</v>
      </c>
      <c r="EN65" s="54">
        <f t="shared" si="500"/>
        <v>0.60999999999999976</v>
      </c>
      <c r="EO65" s="54">
        <f t="shared" si="500"/>
        <v>0.58999999999999975</v>
      </c>
      <c r="EP65" s="54">
        <f t="shared" si="500"/>
        <v>0.56999999999999973</v>
      </c>
      <c r="ER65" s="54">
        <f t="shared" si="142"/>
        <v>18245.527300000002</v>
      </c>
      <c r="ES65" s="54">
        <f t="shared" si="116"/>
        <v>18245.527300000002</v>
      </c>
      <c r="ET65" s="58">
        <f t="shared" si="456"/>
        <v>60316.064148340003</v>
      </c>
      <c r="EU65" s="54">
        <f t="shared" si="457"/>
        <v>17698.161481000003</v>
      </c>
      <c r="EV65" s="58">
        <f t="shared" si="458"/>
        <v>58506.582223889811</v>
      </c>
      <c r="EW65" s="54">
        <f t="shared" si="459"/>
        <v>17333.250935</v>
      </c>
      <c r="EX65" s="58">
        <f t="shared" si="460"/>
        <v>57300.260940922999</v>
      </c>
      <c r="EY65" s="54">
        <f t="shared" si="461"/>
        <v>16968.340389000001</v>
      </c>
      <c r="EZ65" s="58">
        <f t="shared" si="462"/>
        <v>56093.939657956202</v>
      </c>
      <c r="FA65" s="56">
        <f t="shared" si="463"/>
        <v>16603.429843000002</v>
      </c>
      <c r="FB65" s="58">
        <f t="shared" si="464"/>
        <v>54887.618374989404</v>
      </c>
      <c r="FC65" s="54">
        <f t="shared" si="465"/>
        <v>16238.519297000001</v>
      </c>
      <c r="FD65" s="58">
        <f t="shared" si="466"/>
        <v>53681.297092022607</v>
      </c>
      <c r="FE65" s="56">
        <f t="shared" si="467"/>
        <v>15873.608751000002</v>
      </c>
      <c r="FF65" s="58">
        <f t="shared" si="468"/>
        <v>52474.97580905581</v>
      </c>
      <c r="FG65" s="59">
        <f t="shared" si="469"/>
        <v>15508.698205000001</v>
      </c>
      <c r="FH65" s="58">
        <f t="shared" si="470"/>
        <v>51268.654526089005</v>
      </c>
      <c r="FI65" s="56">
        <f t="shared" si="471"/>
        <v>15143.787659000001</v>
      </c>
      <c r="FJ65" s="58">
        <f t="shared" si="472"/>
        <v>50062.333243122208</v>
      </c>
      <c r="FK65" s="54">
        <f t="shared" si="473"/>
        <v>14778.877113</v>
      </c>
      <c r="FL65" s="58">
        <f t="shared" si="474"/>
        <v>48856.011960155403</v>
      </c>
      <c r="FM65" s="59">
        <f t="shared" si="475"/>
        <v>14413.966566999999</v>
      </c>
      <c r="FN65" s="58">
        <f t="shared" si="476"/>
        <v>47649.690677188599</v>
      </c>
      <c r="FO65" s="59">
        <f t="shared" si="477"/>
        <v>14049.056021</v>
      </c>
      <c r="FP65" s="58">
        <f t="shared" si="478"/>
        <v>46443.369394221801</v>
      </c>
      <c r="FQ65" s="59">
        <f t="shared" si="479"/>
        <v>13684.145474999999</v>
      </c>
      <c r="FR65" s="58">
        <f t="shared" si="480"/>
        <v>45237.048111254997</v>
      </c>
      <c r="FS65" s="54">
        <f t="shared" si="481"/>
        <v>13319.234928999998</v>
      </c>
      <c r="FT65" s="58">
        <f t="shared" si="482"/>
        <v>44030.726828288192</v>
      </c>
      <c r="FU65" s="59">
        <f t="shared" si="483"/>
        <v>12954.324382999999</v>
      </c>
      <c r="FV65" s="58">
        <f t="shared" si="484"/>
        <v>42824.405545321395</v>
      </c>
      <c r="FW65" s="59">
        <f t="shared" si="485"/>
        <v>12589.413836999998</v>
      </c>
      <c r="FX65" s="58">
        <f t="shared" si="486"/>
        <v>41618.084262354598</v>
      </c>
      <c r="FY65" s="59">
        <f t="shared" si="487"/>
        <v>12224.503290999997</v>
      </c>
      <c r="FZ65" s="58">
        <f t="shared" si="488"/>
        <v>40411.762979387793</v>
      </c>
      <c r="GA65" s="59">
        <f t="shared" si="489"/>
        <v>11859.592744999998</v>
      </c>
      <c r="GB65" s="58">
        <f t="shared" si="490"/>
        <v>39205.441696420996</v>
      </c>
      <c r="GC65" s="54">
        <f t="shared" si="491"/>
        <v>11494.682198999997</v>
      </c>
      <c r="GD65" s="58">
        <f t="shared" si="492"/>
        <v>37999.120413454191</v>
      </c>
      <c r="GE65" s="59">
        <f t="shared" si="493"/>
        <v>11129.771652999996</v>
      </c>
      <c r="GF65" s="58">
        <f t="shared" si="494"/>
        <v>36792.799130487387</v>
      </c>
      <c r="GG65" s="59">
        <f t="shared" si="495"/>
        <v>10764.861106999997</v>
      </c>
      <c r="GH65" s="58">
        <f t="shared" si="496"/>
        <v>35586.477847520589</v>
      </c>
      <c r="GI65" s="54">
        <f t="shared" si="497"/>
        <v>10399.950560999996</v>
      </c>
      <c r="GJ65" s="58">
        <f t="shared" si="498"/>
        <v>34380.156564553785</v>
      </c>
      <c r="GK65" s="54"/>
      <c r="GL65" s="54"/>
      <c r="GM65" s="54">
        <v>1</v>
      </c>
      <c r="GN65" s="54">
        <v>0.97</v>
      </c>
      <c r="GO65" s="54">
        <v>0.95</v>
      </c>
      <c r="GP65" s="54">
        <v>0.93</v>
      </c>
      <c r="GQ65" s="54">
        <f t="shared" si="501"/>
        <v>0.91</v>
      </c>
      <c r="GR65" s="54">
        <f t="shared" si="501"/>
        <v>0.89</v>
      </c>
      <c r="GS65" s="54">
        <f t="shared" si="501"/>
        <v>0.87</v>
      </c>
      <c r="GT65" s="54">
        <f t="shared" si="501"/>
        <v>0.85</v>
      </c>
      <c r="GU65" s="54">
        <f t="shared" si="501"/>
        <v>0.83</v>
      </c>
      <c r="GV65" s="54">
        <f t="shared" si="501"/>
        <v>0.80999999999999994</v>
      </c>
      <c r="GW65" s="54">
        <f t="shared" si="501"/>
        <v>0.78999999999999992</v>
      </c>
      <c r="GX65" s="54">
        <f t="shared" si="501"/>
        <v>0.76999999999999991</v>
      </c>
      <c r="GY65" s="54">
        <f t="shared" si="501"/>
        <v>0.74999999999999989</v>
      </c>
      <c r="GZ65" s="54">
        <f t="shared" si="501"/>
        <v>0.72999999999999987</v>
      </c>
      <c r="HA65" s="54">
        <f t="shared" si="501"/>
        <v>0.70999999999999985</v>
      </c>
      <c r="HB65" s="54">
        <f t="shared" si="501"/>
        <v>0.68999999999999984</v>
      </c>
      <c r="HC65" s="54">
        <f t="shared" si="501"/>
        <v>0.66999999999999982</v>
      </c>
      <c r="HD65" s="54">
        <f t="shared" si="501"/>
        <v>0.6499999999999998</v>
      </c>
      <c r="HE65" s="54">
        <f t="shared" si="501"/>
        <v>0.62999999999999978</v>
      </c>
      <c r="HF65" s="54">
        <f t="shared" si="501"/>
        <v>0.60999999999999976</v>
      </c>
      <c r="HG65" s="54">
        <f t="shared" si="501"/>
        <v>0.58999999999999975</v>
      </c>
      <c r="HH65" s="54">
        <f t="shared" si="501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2">
        <f t="shared" si="502"/>
        <v>0</v>
      </c>
      <c r="H66" s="54">
        <f t="shared" si="61"/>
        <v>0</v>
      </c>
      <c r="I66" s="54">
        <f t="shared" si="62"/>
        <v>0</v>
      </c>
      <c r="J66" s="58">
        <f t="shared" si="63"/>
        <v>0</v>
      </c>
      <c r="K66" s="54">
        <f t="shared" si="369"/>
        <v>0</v>
      </c>
      <c r="L66" s="58">
        <f t="shared" si="370"/>
        <v>0</v>
      </c>
      <c r="M66" s="54">
        <f t="shared" si="371"/>
        <v>0</v>
      </c>
      <c r="N66" s="58">
        <f t="shared" si="372"/>
        <v>0</v>
      </c>
      <c r="O66" s="54">
        <f t="shared" si="373"/>
        <v>0</v>
      </c>
      <c r="P66" s="58">
        <f t="shared" si="374"/>
        <v>0</v>
      </c>
      <c r="Q66" s="56">
        <f t="shared" si="375"/>
        <v>0</v>
      </c>
      <c r="R66" s="58">
        <f t="shared" si="376"/>
        <v>0</v>
      </c>
      <c r="S66" s="54">
        <f t="shared" si="377"/>
        <v>0</v>
      </c>
      <c r="T66" s="58">
        <f t="shared" si="378"/>
        <v>0</v>
      </c>
      <c r="U66" s="56">
        <f t="shared" si="379"/>
        <v>0</v>
      </c>
      <c r="V66" s="58">
        <f t="shared" si="380"/>
        <v>0</v>
      </c>
      <c r="W66" s="59">
        <f t="shared" si="381"/>
        <v>0</v>
      </c>
      <c r="X66" s="58">
        <f t="shared" si="382"/>
        <v>0</v>
      </c>
      <c r="Y66" s="56">
        <f t="shared" si="383"/>
        <v>0</v>
      </c>
      <c r="Z66" s="58">
        <f t="shared" si="384"/>
        <v>0</v>
      </c>
      <c r="AA66" s="54">
        <f t="shared" si="385"/>
        <v>0</v>
      </c>
      <c r="AB66" s="58">
        <f t="shared" si="386"/>
        <v>0</v>
      </c>
      <c r="AC66" s="59">
        <f t="shared" si="387"/>
        <v>0</v>
      </c>
      <c r="AD66" s="58">
        <f t="shared" si="388"/>
        <v>0</v>
      </c>
      <c r="AE66" s="59">
        <f t="shared" si="389"/>
        <v>0</v>
      </c>
      <c r="AF66" s="58">
        <f t="shared" si="390"/>
        <v>0</v>
      </c>
      <c r="AG66" s="59">
        <f t="shared" si="391"/>
        <v>0</v>
      </c>
      <c r="AH66" s="58">
        <f t="shared" si="392"/>
        <v>0</v>
      </c>
      <c r="AI66" s="54">
        <f t="shared" si="393"/>
        <v>0</v>
      </c>
      <c r="AJ66" s="58">
        <f t="shared" si="394"/>
        <v>0</v>
      </c>
      <c r="AK66" s="59">
        <f t="shared" si="395"/>
        <v>0</v>
      </c>
      <c r="AL66" s="58">
        <f t="shared" si="396"/>
        <v>0</v>
      </c>
      <c r="AM66" s="59">
        <f t="shared" si="397"/>
        <v>0</v>
      </c>
      <c r="AN66" s="58">
        <f t="shared" si="398"/>
        <v>0</v>
      </c>
      <c r="AO66" s="59">
        <f t="shared" si="399"/>
        <v>0</v>
      </c>
      <c r="AP66" s="58">
        <f t="shared" si="400"/>
        <v>0</v>
      </c>
      <c r="AQ66" s="59">
        <f t="shared" si="401"/>
        <v>0</v>
      </c>
      <c r="AR66" s="58">
        <f t="shared" si="402"/>
        <v>0</v>
      </c>
      <c r="AS66" s="54">
        <f t="shared" si="403"/>
        <v>0</v>
      </c>
      <c r="AT66" s="58">
        <f t="shared" si="404"/>
        <v>0</v>
      </c>
      <c r="AU66" s="59">
        <f t="shared" si="405"/>
        <v>0</v>
      </c>
      <c r="AV66" s="58">
        <f t="shared" si="406"/>
        <v>0</v>
      </c>
      <c r="AW66" s="59">
        <f t="shared" si="407"/>
        <v>0</v>
      </c>
      <c r="AX66" s="58">
        <f t="shared" si="408"/>
        <v>0</v>
      </c>
      <c r="AY66" s="54">
        <f t="shared" si="409"/>
        <v>0</v>
      </c>
      <c r="AZ66" s="58">
        <f t="shared" si="410"/>
        <v>0</v>
      </c>
      <c r="BC66" s="54">
        <v>1</v>
      </c>
      <c r="BD66" s="54">
        <v>0.97</v>
      </c>
      <c r="BE66" s="54">
        <v>0.95</v>
      </c>
      <c r="BF66" s="54">
        <v>0.93</v>
      </c>
      <c r="BG66" s="54">
        <f t="shared" si="411"/>
        <v>0.91</v>
      </c>
      <c r="BH66" s="54">
        <f t="shared" si="411"/>
        <v>0.89</v>
      </c>
      <c r="BI66" s="54">
        <f t="shared" si="411"/>
        <v>0.87</v>
      </c>
      <c r="BJ66" s="54">
        <f t="shared" si="411"/>
        <v>0.85</v>
      </c>
      <c r="BK66" s="54">
        <f t="shared" si="411"/>
        <v>0.83</v>
      </c>
      <c r="BL66" s="54">
        <f t="shared" si="411"/>
        <v>0.80999999999999994</v>
      </c>
      <c r="BM66" s="54">
        <f t="shared" si="411"/>
        <v>0.78999999999999992</v>
      </c>
      <c r="BN66" s="54">
        <f t="shared" si="411"/>
        <v>0.76999999999999991</v>
      </c>
      <c r="BO66" s="54">
        <f t="shared" si="411"/>
        <v>0.74999999999999989</v>
      </c>
      <c r="BP66" s="54">
        <f t="shared" si="411"/>
        <v>0.72999999999999987</v>
      </c>
      <c r="BQ66" s="54">
        <f t="shared" si="411"/>
        <v>0.70999999999999985</v>
      </c>
      <c r="BR66" s="54">
        <f t="shared" si="411"/>
        <v>0.68999999999999984</v>
      </c>
      <c r="BS66" s="54">
        <f t="shared" si="411"/>
        <v>0.66999999999999982</v>
      </c>
      <c r="BT66" s="54">
        <f t="shared" si="411"/>
        <v>0.6499999999999998</v>
      </c>
      <c r="BU66" s="54">
        <f t="shared" si="411"/>
        <v>0.62999999999999978</v>
      </c>
      <c r="BV66" s="54">
        <f t="shared" si="411"/>
        <v>0.60999999999999976</v>
      </c>
      <c r="BW66" s="54">
        <f t="shared" si="411"/>
        <v>0.58999999999999975</v>
      </c>
      <c r="BX66" s="54">
        <f t="shared" si="411"/>
        <v>0.56999999999999973</v>
      </c>
      <c r="BZ66" s="54">
        <f t="shared" si="88"/>
        <v>0</v>
      </c>
      <c r="CA66" s="54">
        <f t="shared" si="89"/>
        <v>0</v>
      </c>
      <c r="CB66" s="58">
        <f t="shared" si="412"/>
        <v>0</v>
      </c>
      <c r="CC66" s="54">
        <f t="shared" si="413"/>
        <v>0</v>
      </c>
      <c r="CD66" s="58">
        <f t="shared" si="414"/>
        <v>0</v>
      </c>
      <c r="CE66" s="54">
        <f t="shared" si="415"/>
        <v>0</v>
      </c>
      <c r="CF66" s="58">
        <f t="shared" si="416"/>
        <v>0</v>
      </c>
      <c r="CG66" s="54">
        <f t="shared" si="417"/>
        <v>0</v>
      </c>
      <c r="CH66" s="58">
        <f t="shared" si="418"/>
        <v>0</v>
      </c>
      <c r="CI66" s="56">
        <f t="shared" si="419"/>
        <v>0</v>
      </c>
      <c r="CJ66" s="58">
        <f t="shared" si="420"/>
        <v>0</v>
      </c>
      <c r="CK66" s="54">
        <f t="shared" si="421"/>
        <v>0</v>
      </c>
      <c r="CL66" s="58">
        <f t="shared" si="422"/>
        <v>0</v>
      </c>
      <c r="CM66" s="56">
        <f t="shared" si="423"/>
        <v>0</v>
      </c>
      <c r="CN66" s="58">
        <f t="shared" si="424"/>
        <v>0</v>
      </c>
      <c r="CO66" s="59">
        <f t="shared" si="425"/>
        <v>0</v>
      </c>
      <c r="CP66" s="58">
        <f t="shared" si="426"/>
        <v>0</v>
      </c>
      <c r="CQ66" s="56">
        <f t="shared" si="427"/>
        <v>0</v>
      </c>
      <c r="CR66" s="58">
        <f t="shared" si="428"/>
        <v>0</v>
      </c>
      <c r="CS66" s="54">
        <f t="shared" si="429"/>
        <v>0</v>
      </c>
      <c r="CT66" s="58">
        <f t="shared" si="430"/>
        <v>0</v>
      </c>
      <c r="CU66" s="59">
        <f t="shared" si="431"/>
        <v>0</v>
      </c>
      <c r="CV66" s="58">
        <f t="shared" si="432"/>
        <v>0</v>
      </c>
      <c r="CW66" s="59">
        <f t="shared" si="433"/>
        <v>0</v>
      </c>
      <c r="CX66" s="58">
        <f t="shared" si="434"/>
        <v>0</v>
      </c>
      <c r="CY66" s="59">
        <f t="shared" si="435"/>
        <v>0</v>
      </c>
      <c r="CZ66" s="58">
        <f t="shared" si="436"/>
        <v>0</v>
      </c>
      <c r="DA66" s="54">
        <f t="shared" si="437"/>
        <v>0</v>
      </c>
      <c r="DB66" s="58">
        <f t="shared" si="438"/>
        <v>0</v>
      </c>
      <c r="DC66" s="59">
        <f t="shared" si="439"/>
        <v>0</v>
      </c>
      <c r="DD66" s="58">
        <f t="shared" si="440"/>
        <v>0</v>
      </c>
      <c r="DE66" s="59">
        <f t="shared" si="441"/>
        <v>0</v>
      </c>
      <c r="DF66" s="58">
        <f t="shared" si="442"/>
        <v>0</v>
      </c>
      <c r="DG66" s="59">
        <f t="shared" si="443"/>
        <v>0</v>
      </c>
      <c r="DH66" s="58">
        <f t="shared" si="444"/>
        <v>0</v>
      </c>
      <c r="DI66" s="59">
        <f t="shared" si="445"/>
        <v>0</v>
      </c>
      <c r="DJ66" s="58">
        <f t="shared" si="446"/>
        <v>0</v>
      </c>
      <c r="DK66" s="54">
        <f t="shared" si="447"/>
        <v>0</v>
      </c>
      <c r="DL66" s="58">
        <f t="shared" si="448"/>
        <v>0</v>
      </c>
      <c r="DM66" s="59">
        <f t="shared" si="449"/>
        <v>0</v>
      </c>
      <c r="DN66" s="58">
        <f t="shared" si="450"/>
        <v>0</v>
      </c>
      <c r="DO66" s="59">
        <f t="shared" si="451"/>
        <v>0</v>
      </c>
      <c r="DP66" s="58">
        <f t="shared" si="452"/>
        <v>0</v>
      </c>
      <c r="DQ66" s="54">
        <f t="shared" si="453"/>
        <v>0</v>
      </c>
      <c r="DR66" s="58">
        <f t="shared" si="454"/>
        <v>0</v>
      </c>
      <c r="DU66" s="54">
        <v>1</v>
      </c>
      <c r="DV66" s="54">
        <v>0.97</v>
      </c>
      <c r="DW66" s="54">
        <v>0.95</v>
      </c>
      <c r="DX66" s="54">
        <v>0.93</v>
      </c>
      <c r="DY66" s="54">
        <f t="shared" si="500"/>
        <v>0.91</v>
      </c>
      <c r="DZ66" s="54">
        <f t="shared" si="500"/>
        <v>0.89</v>
      </c>
      <c r="EA66" s="54">
        <f t="shared" si="500"/>
        <v>0.87</v>
      </c>
      <c r="EB66" s="54">
        <f t="shared" si="500"/>
        <v>0.85</v>
      </c>
      <c r="EC66" s="54">
        <f t="shared" si="500"/>
        <v>0.83</v>
      </c>
      <c r="ED66" s="54">
        <f t="shared" si="500"/>
        <v>0.80999999999999994</v>
      </c>
      <c r="EE66" s="54">
        <f t="shared" si="500"/>
        <v>0.78999999999999992</v>
      </c>
      <c r="EF66" s="54">
        <f t="shared" si="500"/>
        <v>0.76999999999999991</v>
      </c>
      <c r="EG66" s="54">
        <f t="shared" si="500"/>
        <v>0.74999999999999989</v>
      </c>
      <c r="EH66" s="54">
        <f t="shared" si="500"/>
        <v>0.72999999999999987</v>
      </c>
      <c r="EI66" s="54">
        <f t="shared" si="500"/>
        <v>0.70999999999999985</v>
      </c>
      <c r="EJ66" s="54">
        <f t="shared" si="500"/>
        <v>0.68999999999999984</v>
      </c>
      <c r="EK66" s="54">
        <f t="shared" si="500"/>
        <v>0.66999999999999982</v>
      </c>
      <c r="EL66" s="54">
        <f t="shared" si="500"/>
        <v>0.6499999999999998</v>
      </c>
      <c r="EM66" s="54">
        <f t="shared" si="500"/>
        <v>0.62999999999999978</v>
      </c>
      <c r="EN66" s="54">
        <f t="shared" si="500"/>
        <v>0.60999999999999976</v>
      </c>
      <c r="EO66" s="54">
        <f t="shared" si="500"/>
        <v>0.58999999999999975</v>
      </c>
      <c r="EP66" s="54">
        <f t="shared" si="500"/>
        <v>0.56999999999999973</v>
      </c>
      <c r="ER66" s="54">
        <f t="shared" si="142"/>
        <v>0</v>
      </c>
      <c r="ES66" s="54">
        <f t="shared" si="116"/>
        <v>0</v>
      </c>
      <c r="ET66" s="58">
        <f t="shared" si="456"/>
        <v>0</v>
      </c>
      <c r="EU66" s="54">
        <f t="shared" si="457"/>
        <v>0</v>
      </c>
      <c r="EV66" s="58">
        <f t="shared" si="458"/>
        <v>0</v>
      </c>
      <c r="EW66" s="54">
        <f t="shared" si="459"/>
        <v>0</v>
      </c>
      <c r="EX66" s="58">
        <f t="shared" si="460"/>
        <v>0</v>
      </c>
      <c r="EY66" s="54">
        <f t="shared" si="461"/>
        <v>0</v>
      </c>
      <c r="EZ66" s="58">
        <f t="shared" si="462"/>
        <v>0</v>
      </c>
      <c r="FA66" s="56">
        <f t="shared" si="463"/>
        <v>0</v>
      </c>
      <c r="FB66" s="58">
        <f t="shared" si="464"/>
        <v>0</v>
      </c>
      <c r="FC66" s="54">
        <f t="shared" si="465"/>
        <v>0</v>
      </c>
      <c r="FD66" s="58">
        <f t="shared" si="466"/>
        <v>0</v>
      </c>
      <c r="FE66" s="56">
        <f t="shared" si="467"/>
        <v>0</v>
      </c>
      <c r="FF66" s="58">
        <f t="shared" si="468"/>
        <v>0</v>
      </c>
      <c r="FG66" s="59">
        <f t="shared" si="469"/>
        <v>0</v>
      </c>
      <c r="FH66" s="58">
        <f t="shared" si="470"/>
        <v>0</v>
      </c>
      <c r="FI66" s="56">
        <f t="shared" si="471"/>
        <v>0</v>
      </c>
      <c r="FJ66" s="58">
        <f t="shared" si="472"/>
        <v>0</v>
      </c>
      <c r="FK66" s="54">
        <f t="shared" si="473"/>
        <v>0</v>
      </c>
      <c r="FL66" s="58">
        <f t="shared" si="474"/>
        <v>0</v>
      </c>
      <c r="FM66" s="59">
        <f t="shared" si="475"/>
        <v>0</v>
      </c>
      <c r="FN66" s="58">
        <f t="shared" si="476"/>
        <v>0</v>
      </c>
      <c r="FO66" s="59">
        <f t="shared" si="477"/>
        <v>0</v>
      </c>
      <c r="FP66" s="58">
        <f t="shared" si="478"/>
        <v>0</v>
      </c>
      <c r="FQ66" s="59">
        <f t="shared" si="479"/>
        <v>0</v>
      </c>
      <c r="FR66" s="58">
        <f t="shared" si="480"/>
        <v>0</v>
      </c>
      <c r="FS66" s="54">
        <f t="shared" si="481"/>
        <v>0</v>
      </c>
      <c r="FT66" s="58">
        <f t="shared" si="482"/>
        <v>0</v>
      </c>
      <c r="FU66" s="59">
        <f t="shared" si="483"/>
        <v>0</v>
      </c>
      <c r="FV66" s="58">
        <f t="shared" si="484"/>
        <v>0</v>
      </c>
      <c r="FW66" s="59">
        <f t="shared" si="485"/>
        <v>0</v>
      </c>
      <c r="FX66" s="58">
        <f t="shared" si="486"/>
        <v>0</v>
      </c>
      <c r="FY66" s="59">
        <f t="shared" si="487"/>
        <v>0</v>
      </c>
      <c r="FZ66" s="58">
        <f t="shared" si="488"/>
        <v>0</v>
      </c>
      <c r="GA66" s="59">
        <f t="shared" si="489"/>
        <v>0</v>
      </c>
      <c r="GB66" s="58">
        <f t="shared" si="490"/>
        <v>0</v>
      </c>
      <c r="GC66" s="54">
        <f t="shared" si="491"/>
        <v>0</v>
      </c>
      <c r="GD66" s="58">
        <f t="shared" si="492"/>
        <v>0</v>
      </c>
      <c r="GE66" s="59">
        <f t="shared" si="493"/>
        <v>0</v>
      </c>
      <c r="GF66" s="58">
        <f t="shared" si="494"/>
        <v>0</v>
      </c>
      <c r="GG66" s="59">
        <f t="shared" si="495"/>
        <v>0</v>
      </c>
      <c r="GH66" s="58">
        <f t="shared" si="496"/>
        <v>0</v>
      </c>
      <c r="GI66" s="54">
        <f t="shared" si="497"/>
        <v>0</v>
      </c>
      <c r="GJ66" s="58">
        <f t="shared" si="498"/>
        <v>0</v>
      </c>
      <c r="GK66" s="54"/>
      <c r="GL66" s="54"/>
      <c r="GM66" s="54">
        <v>1</v>
      </c>
      <c r="GN66" s="54">
        <v>0.97</v>
      </c>
      <c r="GO66" s="54">
        <v>0.95</v>
      </c>
      <c r="GP66" s="54">
        <v>0.93</v>
      </c>
      <c r="GQ66" s="54">
        <f t="shared" si="501"/>
        <v>0.91</v>
      </c>
      <c r="GR66" s="54">
        <f t="shared" si="501"/>
        <v>0.89</v>
      </c>
      <c r="GS66" s="54">
        <f t="shared" si="501"/>
        <v>0.87</v>
      </c>
      <c r="GT66" s="54">
        <f t="shared" si="501"/>
        <v>0.85</v>
      </c>
      <c r="GU66" s="54">
        <f t="shared" si="501"/>
        <v>0.83</v>
      </c>
      <c r="GV66" s="54">
        <f t="shared" si="501"/>
        <v>0.80999999999999994</v>
      </c>
      <c r="GW66" s="54">
        <f t="shared" si="501"/>
        <v>0.78999999999999992</v>
      </c>
      <c r="GX66" s="54">
        <f t="shared" si="501"/>
        <v>0.76999999999999991</v>
      </c>
      <c r="GY66" s="54">
        <f t="shared" si="501"/>
        <v>0.74999999999999989</v>
      </c>
      <c r="GZ66" s="54">
        <f t="shared" si="501"/>
        <v>0.72999999999999987</v>
      </c>
      <c r="HA66" s="54">
        <f t="shared" si="501"/>
        <v>0.70999999999999985</v>
      </c>
      <c r="HB66" s="54">
        <f t="shared" si="501"/>
        <v>0.68999999999999984</v>
      </c>
      <c r="HC66" s="54">
        <f t="shared" si="501"/>
        <v>0.66999999999999982</v>
      </c>
      <c r="HD66" s="54">
        <f t="shared" si="501"/>
        <v>0.6499999999999998</v>
      </c>
      <c r="HE66" s="54">
        <f t="shared" si="501"/>
        <v>0.62999999999999978</v>
      </c>
      <c r="HF66" s="54">
        <f t="shared" si="501"/>
        <v>0.60999999999999976</v>
      </c>
      <c r="HG66" s="54">
        <f t="shared" si="501"/>
        <v>0.58999999999999975</v>
      </c>
      <c r="HH66" s="54">
        <f t="shared" si="501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2">
        <f t="shared" si="502"/>
        <v>0</v>
      </c>
      <c r="H67" s="54">
        <f t="shared" si="61"/>
        <v>0</v>
      </c>
      <c r="I67" s="54">
        <f t="shared" si="62"/>
        <v>0</v>
      </c>
      <c r="J67" s="58">
        <f t="shared" si="63"/>
        <v>0</v>
      </c>
      <c r="K67" s="54">
        <f t="shared" si="369"/>
        <v>0</v>
      </c>
      <c r="L67" s="58">
        <f t="shared" si="370"/>
        <v>0</v>
      </c>
      <c r="M67" s="54">
        <f t="shared" si="371"/>
        <v>0</v>
      </c>
      <c r="N67" s="58">
        <f t="shared" si="372"/>
        <v>0</v>
      </c>
      <c r="O67" s="54">
        <f t="shared" si="373"/>
        <v>0</v>
      </c>
      <c r="P67" s="58">
        <f t="shared" si="374"/>
        <v>0</v>
      </c>
      <c r="Q67" s="56">
        <f t="shared" si="375"/>
        <v>0</v>
      </c>
      <c r="R67" s="58">
        <f t="shared" si="376"/>
        <v>0</v>
      </c>
      <c r="S67" s="54">
        <f t="shared" si="377"/>
        <v>0</v>
      </c>
      <c r="T67" s="58">
        <f t="shared" si="378"/>
        <v>0</v>
      </c>
      <c r="U67" s="56">
        <f t="shared" si="379"/>
        <v>0</v>
      </c>
      <c r="V67" s="58">
        <f t="shared" si="380"/>
        <v>0</v>
      </c>
      <c r="W67" s="59">
        <f t="shared" si="381"/>
        <v>0</v>
      </c>
      <c r="X67" s="58">
        <f t="shared" si="382"/>
        <v>0</v>
      </c>
      <c r="Y67" s="56">
        <f t="shared" si="383"/>
        <v>0</v>
      </c>
      <c r="Z67" s="58">
        <f t="shared" si="384"/>
        <v>0</v>
      </c>
      <c r="AA67" s="54">
        <f t="shared" si="385"/>
        <v>0</v>
      </c>
      <c r="AB67" s="58">
        <f t="shared" si="386"/>
        <v>0</v>
      </c>
      <c r="AC67" s="59">
        <f t="shared" si="387"/>
        <v>0</v>
      </c>
      <c r="AD67" s="58">
        <f t="shared" si="388"/>
        <v>0</v>
      </c>
      <c r="AE67" s="59">
        <f t="shared" si="389"/>
        <v>0</v>
      </c>
      <c r="AF67" s="58">
        <f t="shared" si="390"/>
        <v>0</v>
      </c>
      <c r="AG67" s="59">
        <f t="shared" si="391"/>
        <v>0</v>
      </c>
      <c r="AH67" s="58">
        <f t="shared" si="392"/>
        <v>0</v>
      </c>
      <c r="AI67" s="54">
        <f t="shared" si="393"/>
        <v>0</v>
      </c>
      <c r="AJ67" s="58">
        <f t="shared" si="394"/>
        <v>0</v>
      </c>
      <c r="AK67" s="59">
        <f t="shared" si="395"/>
        <v>0</v>
      </c>
      <c r="AL67" s="58">
        <f t="shared" si="396"/>
        <v>0</v>
      </c>
      <c r="AM67" s="59">
        <f t="shared" si="397"/>
        <v>0</v>
      </c>
      <c r="AN67" s="58">
        <f t="shared" si="398"/>
        <v>0</v>
      </c>
      <c r="AO67" s="59">
        <f t="shared" si="399"/>
        <v>0</v>
      </c>
      <c r="AP67" s="58">
        <f t="shared" si="400"/>
        <v>0</v>
      </c>
      <c r="AQ67" s="59">
        <f t="shared" si="401"/>
        <v>0</v>
      </c>
      <c r="AR67" s="58">
        <f t="shared" si="402"/>
        <v>0</v>
      </c>
      <c r="AS67" s="54">
        <f t="shared" si="403"/>
        <v>0</v>
      </c>
      <c r="AT67" s="58">
        <f t="shared" si="404"/>
        <v>0</v>
      </c>
      <c r="AU67" s="59">
        <f t="shared" si="405"/>
        <v>0</v>
      </c>
      <c r="AV67" s="58">
        <f t="shared" si="406"/>
        <v>0</v>
      </c>
      <c r="AW67" s="59">
        <f t="shared" si="407"/>
        <v>0</v>
      </c>
      <c r="AX67" s="58">
        <f t="shared" si="408"/>
        <v>0</v>
      </c>
      <c r="AY67" s="54">
        <f t="shared" si="409"/>
        <v>0</v>
      </c>
      <c r="AZ67" s="58">
        <f t="shared" si="410"/>
        <v>0</v>
      </c>
      <c r="BC67" s="54">
        <v>1</v>
      </c>
      <c r="BD67" s="54">
        <v>0.97</v>
      </c>
      <c r="BE67" s="54">
        <v>0.95</v>
      </c>
      <c r="BF67" s="54">
        <v>0.93</v>
      </c>
      <c r="BG67" s="54">
        <f t="shared" si="411"/>
        <v>0.91</v>
      </c>
      <c r="BH67" s="54">
        <f t="shared" si="411"/>
        <v>0.89</v>
      </c>
      <c r="BI67" s="54">
        <f t="shared" si="411"/>
        <v>0.87</v>
      </c>
      <c r="BJ67" s="54">
        <f t="shared" si="411"/>
        <v>0.85</v>
      </c>
      <c r="BK67" s="54">
        <f t="shared" si="411"/>
        <v>0.83</v>
      </c>
      <c r="BL67" s="54">
        <f t="shared" si="411"/>
        <v>0.80999999999999994</v>
      </c>
      <c r="BM67" s="54">
        <f t="shared" si="411"/>
        <v>0.78999999999999992</v>
      </c>
      <c r="BN67" s="54">
        <f t="shared" si="411"/>
        <v>0.76999999999999991</v>
      </c>
      <c r="BO67" s="54">
        <f t="shared" si="411"/>
        <v>0.74999999999999989</v>
      </c>
      <c r="BP67" s="54">
        <f t="shared" si="411"/>
        <v>0.72999999999999987</v>
      </c>
      <c r="BQ67" s="54">
        <f t="shared" si="411"/>
        <v>0.70999999999999985</v>
      </c>
      <c r="BR67" s="54">
        <f t="shared" si="411"/>
        <v>0.68999999999999984</v>
      </c>
      <c r="BS67" s="54">
        <f t="shared" si="411"/>
        <v>0.66999999999999982</v>
      </c>
      <c r="BT67" s="54">
        <f t="shared" si="411"/>
        <v>0.6499999999999998</v>
      </c>
      <c r="BU67" s="54">
        <f t="shared" si="411"/>
        <v>0.62999999999999978</v>
      </c>
      <c r="BV67" s="54">
        <f t="shared" si="411"/>
        <v>0.60999999999999976</v>
      </c>
      <c r="BW67" s="54">
        <f t="shared" si="411"/>
        <v>0.58999999999999975</v>
      </c>
      <c r="BX67" s="54">
        <f t="shared" si="411"/>
        <v>0.56999999999999973</v>
      </c>
      <c r="BZ67" s="54">
        <f t="shared" si="88"/>
        <v>0</v>
      </c>
      <c r="CA67" s="54">
        <f t="shared" si="89"/>
        <v>0</v>
      </c>
      <c r="CB67" s="58">
        <f t="shared" si="412"/>
        <v>0</v>
      </c>
      <c r="CC67" s="54">
        <f t="shared" si="413"/>
        <v>0</v>
      </c>
      <c r="CD67" s="58">
        <f t="shared" si="414"/>
        <v>0</v>
      </c>
      <c r="CE67" s="54">
        <f t="shared" si="415"/>
        <v>0</v>
      </c>
      <c r="CF67" s="58">
        <f t="shared" si="416"/>
        <v>0</v>
      </c>
      <c r="CG67" s="54">
        <f t="shared" si="417"/>
        <v>0</v>
      </c>
      <c r="CH67" s="58">
        <f t="shared" si="418"/>
        <v>0</v>
      </c>
      <c r="CI67" s="56">
        <f t="shared" si="419"/>
        <v>0</v>
      </c>
      <c r="CJ67" s="58">
        <f t="shared" si="420"/>
        <v>0</v>
      </c>
      <c r="CK67" s="54">
        <f t="shared" si="421"/>
        <v>0</v>
      </c>
      <c r="CL67" s="58">
        <f t="shared" si="422"/>
        <v>0</v>
      </c>
      <c r="CM67" s="56">
        <f t="shared" si="423"/>
        <v>0</v>
      </c>
      <c r="CN67" s="58">
        <f t="shared" si="424"/>
        <v>0</v>
      </c>
      <c r="CO67" s="59">
        <f t="shared" si="425"/>
        <v>0</v>
      </c>
      <c r="CP67" s="58">
        <f t="shared" si="426"/>
        <v>0</v>
      </c>
      <c r="CQ67" s="56">
        <f t="shared" si="427"/>
        <v>0</v>
      </c>
      <c r="CR67" s="58">
        <f t="shared" si="428"/>
        <v>0</v>
      </c>
      <c r="CS67" s="54">
        <f t="shared" si="429"/>
        <v>0</v>
      </c>
      <c r="CT67" s="58">
        <f t="shared" si="430"/>
        <v>0</v>
      </c>
      <c r="CU67" s="59">
        <f t="shared" si="431"/>
        <v>0</v>
      </c>
      <c r="CV67" s="58">
        <f t="shared" si="432"/>
        <v>0</v>
      </c>
      <c r="CW67" s="59">
        <f t="shared" si="433"/>
        <v>0</v>
      </c>
      <c r="CX67" s="58">
        <f t="shared" si="434"/>
        <v>0</v>
      </c>
      <c r="CY67" s="59">
        <f t="shared" si="435"/>
        <v>0</v>
      </c>
      <c r="CZ67" s="58">
        <f t="shared" si="436"/>
        <v>0</v>
      </c>
      <c r="DA67" s="54">
        <f t="shared" si="437"/>
        <v>0</v>
      </c>
      <c r="DB67" s="58">
        <f t="shared" si="438"/>
        <v>0</v>
      </c>
      <c r="DC67" s="59">
        <f t="shared" si="439"/>
        <v>0</v>
      </c>
      <c r="DD67" s="58">
        <f t="shared" si="440"/>
        <v>0</v>
      </c>
      <c r="DE67" s="59">
        <f t="shared" si="441"/>
        <v>0</v>
      </c>
      <c r="DF67" s="58">
        <f t="shared" si="442"/>
        <v>0</v>
      </c>
      <c r="DG67" s="59">
        <f t="shared" si="443"/>
        <v>0</v>
      </c>
      <c r="DH67" s="58">
        <f t="shared" si="444"/>
        <v>0</v>
      </c>
      <c r="DI67" s="59">
        <f t="shared" si="445"/>
        <v>0</v>
      </c>
      <c r="DJ67" s="58">
        <f t="shared" si="446"/>
        <v>0</v>
      </c>
      <c r="DK67" s="54">
        <f t="shared" si="447"/>
        <v>0</v>
      </c>
      <c r="DL67" s="58">
        <f t="shared" si="448"/>
        <v>0</v>
      </c>
      <c r="DM67" s="59">
        <f t="shared" si="449"/>
        <v>0</v>
      </c>
      <c r="DN67" s="58">
        <f t="shared" si="450"/>
        <v>0</v>
      </c>
      <c r="DO67" s="59">
        <f t="shared" si="451"/>
        <v>0</v>
      </c>
      <c r="DP67" s="58">
        <f t="shared" si="452"/>
        <v>0</v>
      </c>
      <c r="DQ67" s="54">
        <f t="shared" si="453"/>
        <v>0</v>
      </c>
      <c r="DR67" s="58">
        <f t="shared" si="454"/>
        <v>0</v>
      </c>
      <c r="DU67" s="54">
        <v>1</v>
      </c>
      <c r="DV67" s="54">
        <v>0.97</v>
      </c>
      <c r="DW67" s="54">
        <v>0.95</v>
      </c>
      <c r="DX67" s="54">
        <v>0.93</v>
      </c>
      <c r="DY67" s="54">
        <f t="shared" si="500"/>
        <v>0.91</v>
      </c>
      <c r="DZ67" s="54">
        <f t="shared" si="500"/>
        <v>0.89</v>
      </c>
      <c r="EA67" s="54">
        <f t="shared" si="500"/>
        <v>0.87</v>
      </c>
      <c r="EB67" s="54">
        <f t="shared" si="500"/>
        <v>0.85</v>
      </c>
      <c r="EC67" s="54">
        <f t="shared" si="500"/>
        <v>0.83</v>
      </c>
      <c r="ED67" s="54">
        <f t="shared" si="500"/>
        <v>0.80999999999999994</v>
      </c>
      <c r="EE67" s="54">
        <f t="shared" si="500"/>
        <v>0.78999999999999992</v>
      </c>
      <c r="EF67" s="54">
        <f t="shared" si="500"/>
        <v>0.76999999999999991</v>
      </c>
      <c r="EG67" s="54">
        <f t="shared" si="500"/>
        <v>0.74999999999999989</v>
      </c>
      <c r="EH67" s="54">
        <f t="shared" si="500"/>
        <v>0.72999999999999987</v>
      </c>
      <c r="EI67" s="54">
        <f t="shared" si="500"/>
        <v>0.70999999999999985</v>
      </c>
      <c r="EJ67" s="54">
        <f t="shared" si="500"/>
        <v>0.68999999999999984</v>
      </c>
      <c r="EK67" s="54">
        <f t="shared" si="500"/>
        <v>0.66999999999999982</v>
      </c>
      <c r="EL67" s="54">
        <f t="shared" si="500"/>
        <v>0.6499999999999998</v>
      </c>
      <c r="EM67" s="54">
        <f t="shared" si="500"/>
        <v>0.62999999999999978</v>
      </c>
      <c r="EN67" s="54">
        <f t="shared" si="500"/>
        <v>0.60999999999999976</v>
      </c>
      <c r="EO67" s="54">
        <f t="shared" si="500"/>
        <v>0.58999999999999975</v>
      </c>
      <c r="EP67" s="54">
        <f t="shared" si="500"/>
        <v>0.56999999999999973</v>
      </c>
      <c r="ER67" s="54">
        <f t="shared" si="142"/>
        <v>0</v>
      </c>
      <c r="ES67" s="54">
        <f t="shared" si="116"/>
        <v>0</v>
      </c>
      <c r="ET67" s="58">
        <f t="shared" si="456"/>
        <v>0</v>
      </c>
      <c r="EU67" s="54">
        <f t="shared" si="457"/>
        <v>0</v>
      </c>
      <c r="EV67" s="58">
        <f t="shared" si="458"/>
        <v>0</v>
      </c>
      <c r="EW67" s="54">
        <f t="shared" si="459"/>
        <v>0</v>
      </c>
      <c r="EX67" s="58">
        <f t="shared" si="460"/>
        <v>0</v>
      </c>
      <c r="EY67" s="54">
        <f t="shared" si="461"/>
        <v>0</v>
      </c>
      <c r="EZ67" s="58">
        <f t="shared" si="462"/>
        <v>0</v>
      </c>
      <c r="FA67" s="56">
        <f t="shared" si="463"/>
        <v>0</v>
      </c>
      <c r="FB67" s="58">
        <f t="shared" si="464"/>
        <v>0</v>
      </c>
      <c r="FC67" s="54">
        <f t="shared" si="465"/>
        <v>0</v>
      </c>
      <c r="FD67" s="58">
        <f t="shared" si="466"/>
        <v>0</v>
      </c>
      <c r="FE67" s="56">
        <f t="shared" si="467"/>
        <v>0</v>
      </c>
      <c r="FF67" s="58">
        <f t="shared" si="468"/>
        <v>0</v>
      </c>
      <c r="FG67" s="59">
        <f t="shared" si="469"/>
        <v>0</v>
      </c>
      <c r="FH67" s="58">
        <f t="shared" si="470"/>
        <v>0</v>
      </c>
      <c r="FI67" s="56">
        <f t="shared" si="471"/>
        <v>0</v>
      </c>
      <c r="FJ67" s="58">
        <f t="shared" si="472"/>
        <v>0</v>
      </c>
      <c r="FK67" s="54">
        <f t="shared" si="473"/>
        <v>0</v>
      </c>
      <c r="FL67" s="58">
        <f t="shared" si="474"/>
        <v>0</v>
      </c>
      <c r="FM67" s="59">
        <f t="shared" si="475"/>
        <v>0</v>
      </c>
      <c r="FN67" s="58">
        <f t="shared" si="476"/>
        <v>0</v>
      </c>
      <c r="FO67" s="59">
        <f t="shared" si="477"/>
        <v>0</v>
      </c>
      <c r="FP67" s="58">
        <f t="shared" si="478"/>
        <v>0</v>
      </c>
      <c r="FQ67" s="59">
        <f t="shared" si="479"/>
        <v>0</v>
      </c>
      <c r="FR67" s="58">
        <f t="shared" si="480"/>
        <v>0</v>
      </c>
      <c r="FS67" s="54">
        <f t="shared" si="481"/>
        <v>0</v>
      </c>
      <c r="FT67" s="58">
        <f t="shared" si="482"/>
        <v>0</v>
      </c>
      <c r="FU67" s="59">
        <f t="shared" si="483"/>
        <v>0</v>
      </c>
      <c r="FV67" s="58">
        <f t="shared" si="484"/>
        <v>0</v>
      </c>
      <c r="FW67" s="59">
        <f t="shared" si="485"/>
        <v>0</v>
      </c>
      <c r="FX67" s="58">
        <f t="shared" si="486"/>
        <v>0</v>
      </c>
      <c r="FY67" s="59">
        <f t="shared" si="487"/>
        <v>0</v>
      </c>
      <c r="FZ67" s="58">
        <f t="shared" si="488"/>
        <v>0</v>
      </c>
      <c r="GA67" s="59">
        <f t="shared" si="489"/>
        <v>0</v>
      </c>
      <c r="GB67" s="58">
        <f t="shared" si="490"/>
        <v>0</v>
      </c>
      <c r="GC67" s="54">
        <f t="shared" si="491"/>
        <v>0</v>
      </c>
      <c r="GD67" s="58">
        <f t="shared" si="492"/>
        <v>0</v>
      </c>
      <c r="GE67" s="59">
        <f t="shared" si="493"/>
        <v>0</v>
      </c>
      <c r="GF67" s="58">
        <f t="shared" si="494"/>
        <v>0</v>
      </c>
      <c r="GG67" s="59">
        <f t="shared" si="495"/>
        <v>0</v>
      </c>
      <c r="GH67" s="58">
        <f t="shared" si="496"/>
        <v>0</v>
      </c>
      <c r="GI67" s="54">
        <f t="shared" si="497"/>
        <v>0</v>
      </c>
      <c r="GJ67" s="58">
        <f t="shared" si="498"/>
        <v>0</v>
      </c>
      <c r="GK67" s="54"/>
      <c r="GL67" s="54"/>
      <c r="GM67" s="54">
        <v>1</v>
      </c>
      <c r="GN67" s="54">
        <v>0.97</v>
      </c>
      <c r="GO67" s="54">
        <v>0.95</v>
      </c>
      <c r="GP67" s="54">
        <v>0.93</v>
      </c>
      <c r="GQ67" s="54">
        <f t="shared" si="501"/>
        <v>0.91</v>
      </c>
      <c r="GR67" s="54">
        <f t="shared" si="501"/>
        <v>0.89</v>
      </c>
      <c r="GS67" s="54">
        <f t="shared" si="501"/>
        <v>0.87</v>
      </c>
      <c r="GT67" s="54">
        <f t="shared" si="501"/>
        <v>0.85</v>
      </c>
      <c r="GU67" s="54">
        <f t="shared" si="501"/>
        <v>0.83</v>
      </c>
      <c r="GV67" s="54">
        <f t="shared" si="501"/>
        <v>0.80999999999999994</v>
      </c>
      <c r="GW67" s="54">
        <f t="shared" si="501"/>
        <v>0.78999999999999992</v>
      </c>
      <c r="GX67" s="54">
        <f t="shared" si="501"/>
        <v>0.76999999999999991</v>
      </c>
      <c r="GY67" s="54">
        <f t="shared" si="501"/>
        <v>0.74999999999999989</v>
      </c>
      <c r="GZ67" s="54">
        <f t="shared" si="501"/>
        <v>0.72999999999999987</v>
      </c>
      <c r="HA67" s="54">
        <f t="shared" si="501"/>
        <v>0.70999999999999985</v>
      </c>
      <c r="HB67" s="54">
        <f t="shared" si="501"/>
        <v>0.68999999999999984</v>
      </c>
      <c r="HC67" s="54">
        <f t="shared" si="501"/>
        <v>0.66999999999999982</v>
      </c>
      <c r="HD67" s="54">
        <f t="shared" si="501"/>
        <v>0.6499999999999998</v>
      </c>
      <c r="HE67" s="54">
        <f t="shared" si="501"/>
        <v>0.62999999999999978</v>
      </c>
      <c r="HF67" s="54">
        <f t="shared" si="501"/>
        <v>0.60999999999999976</v>
      </c>
      <c r="HG67" s="54">
        <f t="shared" si="501"/>
        <v>0.58999999999999975</v>
      </c>
      <c r="HH67" s="54">
        <f t="shared" si="501"/>
        <v>0.56999999999999973</v>
      </c>
    </row>
    <row r="68" spans="1:216" x14ac:dyDescent="0.3">
      <c r="A68" s="2">
        <v>6</v>
      </c>
      <c r="C68" s="38" t="s">
        <v>176</v>
      </c>
      <c r="D68" s="42">
        <v>1580</v>
      </c>
      <c r="E68" s="72">
        <f>TRUNC(+D68*3.3058,-1)</f>
        <v>5220</v>
      </c>
      <c r="H68" s="54">
        <f t="shared" si="61"/>
        <v>5742.0000000000009</v>
      </c>
      <c r="I68" s="54">
        <f t="shared" si="62"/>
        <v>5742.0000000000009</v>
      </c>
      <c r="J68" s="58">
        <f t="shared" si="63"/>
        <v>18981.903600000005</v>
      </c>
      <c r="K68" s="54">
        <f t="shared" si="369"/>
        <v>5569.7400000000007</v>
      </c>
      <c r="L68" s="58">
        <f t="shared" si="370"/>
        <v>18412.446492000003</v>
      </c>
      <c r="M68" s="54">
        <f t="shared" si="371"/>
        <v>5454.9000000000005</v>
      </c>
      <c r="N68" s="58">
        <f t="shared" si="372"/>
        <v>18032.808420000001</v>
      </c>
      <c r="O68" s="54">
        <f t="shared" si="373"/>
        <v>5340.0600000000013</v>
      </c>
      <c r="P68" s="58">
        <f t="shared" si="374"/>
        <v>17653.170348000003</v>
      </c>
      <c r="Q68" s="56">
        <f t="shared" si="375"/>
        <v>5225.2200000000012</v>
      </c>
      <c r="R68" s="58">
        <f t="shared" si="376"/>
        <v>17273.532276000005</v>
      </c>
      <c r="S68" s="54">
        <f t="shared" si="377"/>
        <v>5110.380000000001</v>
      </c>
      <c r="T68" s="58">
        <f t="shared" si="378"/>
        <v>16893.894204000004</v>
      </c>
      <c r="U68" s="56">
        <f t="shared" si="379"/>
        <v>4995.5400000000009</v>
      </c>
      <c r="V68" s="58">
        <f t="shared" si="380"/>
        <v>16514.256132000002</v>
      </c>
      <c r="W68" s="59">
        <f t="shared" si="381"/>
        <v>4880.7000000000007</v>
      </c>
      <c r="X68" s="58">
        <f t="shared" si="382"/>
        <v>16134.618060000003</v>
      </c>
      <c r="Y68" s="56">
        <f t="shared" si="383"/>
        <v>4765.8600000000006</v>
      </c>
      <c r="Z68" s="58">
        <f t="shared" si="384"/>
        <v>15754.979988000003</v>
      </c>
      <c r="AA68" s="54">
        <f t="shared" si="385"/>
        <v>4651.0200000000004</v>
      </c>
      <c r="AB68" s="58">
        <f t="shared" si="386"/>
        <v>15375.341916000001</v>
      </c>
      <c r="AC68" s="59">
        <f t="shared" si="387"/>
        <v>4536.18</v>
      </c>
      <c r="AD68" s="58">
        <f t="shared" si="388"/>
        <v>14995.703844000001</v>
      </c>
      <c r="AE68" s="59">
        <f t="shared" si="389"/>
        <v>4421.34</v>
      </c>
      <c r="AF68" s="58">
        <f t="shared" si="390"/>
        <v>14616.065772</v>
      </c>
      <c r="AG68" s="59">
        <f t="shared" si="391"/>
        <v>4306.5</v>
      </c>
      <c r="AH68" s="58">
        <f t="shared" si="392"/>
        <v>14236.4277</v>
      </c>
      <c r="AI68" s="54">
        <f t="shared" si="393"/>
        <v>4191.66</v>
      </c>
      <c r="AJ68" s="58">
        <f t="shared" si="394"/>
        <v>13856.789628</v>
      </c>
      <c r="AK68" s="59">
        <f t="shared" si="395"/>
        <v>4076.8199999999997</v>
      </c>
      <c r="AL68" s="58">
        <f t="shared" si="396"/>
        <v>13477.151555999999</v>
      </c>
      <c r="AM68" s="59">
        <f t="shared" si="397"/>
        <v>3961.9799999999996</v>
      </c>
      <c r="AN68" s="58">
        <f t="shared" si="398"/>
        <v>13097.513483999999</v>
      </c>
      <c r="AO68" s="59">
        <f t="shared" si="399"/>
        <v>3847.1399999999994</v>
      </c>
      <c r="AP68" s="58">
        <f t="shared" si="400"/>
        <v>12717.875411999998</v>
      </c>
      <c r="AQ68" s="59">
        <f t="shared" si="401"/>
        <v>3732.2999999999993</v>
      </c>
      <c r="AR68" s="58">
        <f t="shared" si="402"/>
        <v>12338.237339999998</v>
      </c>
      <c r="AS68" s="54">
        <f t="shared" si="403"/>
        <v>3617.4599999999991</v>
      </c>
      <c r="AT68" s="58">
        <f t="shared" si="404"/>
        <v>11958.599267999998</v>
      </c>
      <c r="AU68" s="59">
        <f t="shared" si="405"/>
        <v>3502.619999999999</v>
      </c>
      <c r="AV68" s="58">
        <f t="shared" si="406"/>
        <v>11578.961195999997</v>
      </c>
      <c r="AW68" s="59">
        <f t="shared" si="407"/>
        <v>3387.7799999999993</v>
      </c>
      <c r="AX68" s="58">
        <f t="shared" si="408"/>
        <v>11199.323123999999</v>
      </c>
      <c r="AY68" s="54">
        <f t="shared" si="409"/>
        <v>3272.9399999999991</v>
      </c>
      <c r="AZ68" s="58">
        <f t="shared" si="410"/>
        <v>10819.685051999997</v>
      </c>
      <c r="BC68" s="54">
        <v>1</v>
      </c>
      <c r="BD68" s="54">
        <v>0.97</v>
      </c>
      <c r="BE68" s="54">
        <v>0.95</v>
      </c>
      <c r="BF68" s="54">
        <v>0.93</v>
      </c>
      <c r="BG68" s="54">
        <f t="shared" si="411"/>
        <v>0.91</v>
      </c>
      <c r="BH68" s="54">
        <f t="shared" si="411"/>
        <v>0.89</v>
      </c>
      <c r="BI68" s="54">
        <f t="shared" si="411"/>
        <v>0.87</v>
      </c>
      <c r="BJ68" s="54">
        <f t="shared" si="411"/>
        <v>0.85</v>
      </c>
      <c r="BK68" s="54">
        <f t="shared" si="411"/>
        <v>0.83</v>
      </c>
      <c r="BL68" s="54">
        <f t="shared" si="411"/>
        <v>0.80999999999999994</v>
      </c>
      <c r="BM68" s="54">
        <f t="shared" si="411"/>
        <v>0.78999999999999992</v>
      </c>
      <c r="BN68" s="54">
        <f t="shared" si="411"/>
        <v>0.76999999999999991</v>
      </c>
      <c r="BO68" s="54">
        <f t="shared" si="411"/>
        <v>0.74999999999999989</v>
      </c>
      <c r="BP68" s="54">
        <f t="shared" si="411"/>
        <v>0.72999999999999987</v>
      </c>
      <c r="BQ68" s="54">
        <f t="shared" si="411"/>
        <v>0.70999999999999985</v>
      </c>
      <c r="BR68" s="54">
        <f t="shared" si="411"/>
        <v>0.68999999999999984</v>
      </c>
      <c r="BS68" s="54">
        <f t="shared" si="411"/>
        <v>0.66999999999999982</v>
      </c>
      <c r="BT68" s="54">
        <f t="shared" si="411"/>
        <v>0.6499999999999998</v>
      </c>
      <c r="BU68" s="54">
        <f t="shared" si="411"/>
        <v>0.62999999999999978</v>
      </c>
      <c r="BV68" s="54">
        <f t="shared" si="411"/>
        <v>0.60999999999999976</v>
      </c>
      <c r="BW68" s="54">
        <f t="shared" si="411"/>
        <v>0.58999999999999975</v>
      </c>
      <c r="BX68" s="54">
        <f t="shared" si="411"/>
        <v>0.56999999999999973</v>
      </c>
      <c r="BZ68" s="54">
        <f t="shared" si="88"/>
        <v>5225.2200000000012</v>
      </c>
      <c r="CA68" s="54">
        <f t="shared" si="89"/>
        <v>5225.2200000000012</v>
      </c>
      <c r="CB68" s="58">
        <f t="shared" si="412"/>
        <v>17273.532276000005</v>
      </c>
      <c r="CC68" s="54">
        <f t="shared" si="413"/>
        <v>5068.4634000000005</v>
      </c>
      <c r="CD68" s="58">
        <f t="shared" si="414"/>
        <v>16755.326307720003</v>
      </c>
      <c r="CE68" s="54">
        <f t="shared" si="415"/>
        <v>4963.9590000000007</v>
      </c>
      <c r="CF68" s="58">
        <f t="shared" si="416"/>
        <v>16409.855662200003</v>
      </c>
      <c r="CG68" s="54">
        <f t="shared" si="417"/>
        <v>4859.4546000000009</v>
      </c>
      <c r="CH68" s="58">
        <f t="shared" si="418"/>
        <v>16064.385016680004</v>
      </c>
      <c r="CI68" s="56">
        <f t="shared" si="419"/>
        <v>4754.9502000000011</v>
      </c>
      <c r="CJ68" s="58">
        <f t="shared" si="420"/>
        <v>15718.914371160005</v>
      </c>
      <c r="CK68" s="54">
        <f t="shared" si="421"/>
        <v>4650.4458000000013</v>
      </c>
      <c r="CL68" s="58">
        <f t="shared" si="422"/>
        <v>15373.443725640005</v>
      </c>
      <c r="CM68" s="56">
        <f t="shared" si="423"/>
        <v>4545.9414000000006</v>
      </c>
      <c r="CN68" s="58">
        <f t="shared" si="424"/>
        <v>15027.973080120002</v>
      </c>
      <c r="CO68" s="59">
        <f t="shared" si="425"/>
        <v>4441.4370000000008</v>
      </c>
      <c r="CP68" s="58">
        <f t="shared" si="426"/>
        <v>14682.502434600003</v>
      </c>
      <c r="CQ68" s="56">
        <f t="shared" si="427"/>
        <v>4336.932600000001</v>
      </c>
      <c r="CR68" s="58">
        <f t="shared" si="428"/>
        <v>14337.031789080003</v>
      </c>
      <c r="CS68" s="54">
        <f t="shared" si="429"/>
        <v>4232.4282000000003</v>
      </c>
      <c r="CT68" s="58">
        <f t="shared" si="430"/>
        <v>13991.561143560002</v>
      </c>
      <c r="CU68" s="59">
        <f t="shared" si="431"/>
        <v>4127.9238000000005</v>
      </c>
      <c r="CV68" s="58">
        <f t="shared" si="432"/>
        <v>13646.090498040003</v>
      </c>
      <c r="CW68" s="59">
        <f t="shared" si="433"/>
        <v>4023.4194000000002</v>
      </c>
      <c r="CX68" s="58">
        <f t="shared" si="434"/>
        <v>13300.619852520002</v>
      </c>
      <c r="CY68" s="59">
        <f t="shared" si="435"/>
        <v>3918.9150000000004</v>
      </c>
      <c r="CZ68" s="58">
        <f t="shared" si="436"/>
        <v>12955.149207000002</v>
      </c>
      <c r="DA68" s="54">
        <f t="shared" si="437"/>
        <v>3814.4106000000002</v>
      </c>
      <c r="DB68" s="58">
        <f t="shared" si="438"/>
        <v>12609.678561480001</v>
      </c>
      <c r="DC68" s="59">
        <f t="shared" si="439"/>
        <v>3709.9061999999999</v>
      </c>
      <c r="DD68" s="58">
        <f t="shared" si="440"/>
        <v>12264.20791596</v>
      </c>
      <c r="DE68" s="59">
        <f t="shared" si="441"/>
        <v>3605.4018000000001</v>
      </c>
      <c r="DF68" s="58">
        <f t="shared" si="442"/>
        <v>11918.73727044</v>
      </c>
      <c r="DG68" s="59">
        <f t="shared" si="443"/>
        <v>3500.8973999999998</v>
      </c>
      <c r="DH68" s="58">
        <f t="shared" si="444"/>
        <v>11573.266624919999</v>
      </c>
      <c r="DI68" s="59">
        <f t="shared" si="445"/>
        <v>3396.3929999999996</v>
      </c>
      <c r="DJ68" s="58">
        <f t="shared" si="446"/>
        <v>11227.795979399998</v>
      </c>
      <c r="DK68" s="54">
        <f t="shared" si="447"/>
        <v>3291.8885999999998</v>
      </c>
      <c r="DL68" s="58">
        <f t="shared" si="448"/>
        <v>10882.325333879999</v>
      </c>
      <c r="DM68" s="59">
        <f t="shared" si="449"/>
        <v>3187.3841999999995</v>
      </c>
      <c r="DN68" s="58">
        <f t="shared" si="450"/>
        <v>10536.854688359999</v>
      </c>
      <c r="DO68" s="59">
        <f t="shared" si="451"/>
        <v>3082.8797999999992</v>
      </c>
      <c r="DP68" s="58">
        <f t="shared" si="452"/>
        <v>10191.384042839998</v>
      </c>
      <c r="DQ68" s="54">
        <f t="shared" si="453"/>
        <v>2978.3753999999994</v>
      </c>
      <c r="DR68" s="58">
        <f t="shared" si="454"/>
        <v>9845.9133973199987</v>
      </c>
      <c r="DU68" s="54">
        <v>1</v>
      </c>
      <c r="DV68" s="54">
        <v>0.97</v>
      </c>
      <c r="DW68" s="54">
        <v>0.95</v>
      </c>
      <c r="DX68" s="54">
        <v>0.93</v>
      </c>
      <c r="DY68" s="54">
        <f t="shared" si="500"/>
        <v>0.91</v>
      </c>
      <c r="DZ68" s="54">
        <f t="shared" si="500"/>
        <v>0.89</v>
      </c>
      <c r="EA68" s="54">
        <f t="shared" si="500"/>
        <v>0.87</v>
      </c>
      <c r="EB68" s="54">
        <f t="shared" si="500"/>
        <v>0.85</v>
      </c>
      <c r="EC68" s="54">
        <f t="shared" si="500"/>
        <v>0.83</v>
      </c>
      <c r="ED68" s="54">
        <f t="shared" si="500"/>
        <v>0.80999999999999994</v>
      </c>
      <c r="EE68" s="54">
        <f t="shared" si="500"/>
        <v>0.78999999999999992</v>
      </c>
      <c r="EF68" s="54">
        <f t="shared" si="500"/>
        <v>0.76999999999999991</v>
      </c>
      <c r="EG68" s="54">
        <f t="shared" si="500"/>
        <v>0.74999999999999989</v>
      </c>
      <c r="EH68" s="54">
        <f t="shared" si="500"/>
        <v>0.72999999999999987</v>
      </c>
      <c r="EI68" s="54">
        <f t="shared" si="500"/>
        <v>0.70999999999999985</v>
      </c>
      <c r="EJ68" s="54">
        <f t="shared" si="500"/>
        <v>0.68999999999999984</v>
      </c>
      <c r="EK68" s="54">
        <f t="shared" si="500"/>
        <v>0.66999999999999982</v>
      </c>
      <c r="EL68" s="54">
        <f t="shared" si="500"/>
        <v>0.6499999999999998</v>
      </c>
      <c r="EM68" s="54">
        <f t="shared" si="500"/>
        <v>0.62999999999999978</v>
      </c>
      <c r="EN68" s="54">
        <f t="shared" si="500"/>
        <v>0.60999999999999976</v>
      </c>
      <c r="EO68" s="54">
        <f t="shared" si="500"/>
        <v>0.58999999999999975</v>
      </c>
      <c r="EP68" s="54">
        <f t="shared" si="500"/>
        <v>0.56999999999999973</v>
      </c>
      <c r="ER68" s="54">
        <f t="shared" si="142"/>
        <v>4754.9502000000011</v>
      </c>
      <c r="ES68" s="54">
        <f t="shared" si="116"/>
        <v>4754.9502000000011</v>
      </c>
      <c r="ET68" s="58">
        <f t="shared" si="456"/>
        <v>15718.914371160005</v>
      </c>
      <c r="EU68" s="54">
        <f t="shared" si="457"/>
        <v>4612.3016940000007</v>
      </c>
      <c r="EV68" s="58">
        <f t="shared" si="458"/>
        <v>15247.346940025203</v>
      </c>
      <c r="EW68" s="54">
        <f t="shared" si="459"/>
        <v>4517.202690000001</v>
      </c>
      <c r="EX68" s="58">
        <f t="shared" si="460"/>
        <v>14932.968652602003</v>
      </c>
      <c r="EY68" s="54">
        <f t="shared" si="461"/>
        <v>4422.1036860000013</v>
      </c>
      <c r="EZ68" s="58">
        <f t="shared" si="462"/>
        <v>14618.590365178805</v>
      </c>
      <c r="FA68" s="56">
        <f t="shared" si="463"/>
        <v>4327.0046820000016</v>
      </c>
      <c r="FB68" s="58">
        <f t="shared" si="464"/>
        <v>14304.212077755605</v>
      </c>
      <c r="FC68" s="54">
        <f t="shared" si="465"/>
        <v>4231.905678000001</v>
      </c>
      <c r="FD68" s="58">
        <f t="shared" si="466"/>
        <v>13989.833790332403</v>
      </c>
      <c r="FE68" s="56">
        <f t="shared" si="467"/>
        <v>4136.8066740000013</v>
      </c>
      <c r="FF68" s="58">
        <f t="shared" si="468"/>
        <v>13675.455502909204</v>
      </c>
      <c r="FG68" s="59">
        <f t="shared" si="469"/>
        <v>4041.7076700000007</v>
      </c>
      <c r="FH68" s="58">
        <f t="shared" si="470"/>
        <v>13361.077215486002</v>
      </c>
      <c r="FI68" s="56">
        <f t="shared" si="471"/>
        <v>3946.6086660000005</v>
      </c>
      <c r="FJ68" s="58">
        <f t="shared" si="472"/>
        <v>13046.698928062802</v>
      </c>
      <c r="FK68" s="54">
        <f t="shared" si="473"/>
        <v>3851.5096620000008</v>
      </c>
      <c r="FL68" s="58">
        <f t="shared" si="474"/>
        <v>12732.320640639604</v>
      </c>
      <c r="FM68" s="59">
        <f t="shared" si="475"/>
        <v>3756.4106580000007</v>
      </c>
      <c r="FN68" s="58">
        <f t="shared" si="476"/>
        <v>12417.942353216402</v>
      </c>
      <c r="FO68" s="59">
        <f t="shared" si="477"/>
        <v>3661.3116540000005</v>
      </c>
      <c r="FP68" s="58">
        <f t="shared" si="478"/>
        <v>12103.564065793202</v>
      </c>
      <c r="FQ68" s="59">
        <f t="shared" si="479"/>
        <v>3566.2126500000004</v>
      </c>
      <c r="FR68" s="58">
        <f t="shared" si="480"/>
        <v>11789.185778370002</v>
      </c>
      <c r="FS68" s="54">
        <f t="shared" si="481"/>
        <v>3471.1136460000002</v>
      </c>
      <c r="FT68" s="58">
        <f t="shared" si="482"/>
        <v>11474.807490946801</v>
      </c>
      <c r="FU68" s="59">
        <f t="shared" si="483"/>
        <v>3376.0146420000001</v>
      </c>
      <c r="FV68" s="58">
        <f t="shared" si="484"/>
        <v>11160.429203523601</v>
      </c>
      <c r="FW68" s="59">
        <f t="shared" si="485"/>
        <v>3280.9156379999999</v>
      </c>
      <c r="FX68" s="58">
        <f t="shared" si="486"/>
        <v>10846.050916100399</v>
      </c>
      <c r="FY68" s="59">
        <f t="shared" si="487"/>
        <v>3185.8166339999998</v>
      </c>
      <c r="FZ68" s="58">
        <f t="shared" si="488"/>
        <v>10531.672628677199</v>
      </c>
      <c r="GA68" s="59">
        <f t="shared" si="489"/>
        <v>3090.7176299999996</v>
      </c>
      <c r="GB68" s="58">
        <f t="shared" si="490"/>
        <v>10217.294341253999</v>
      </c>
      <c r="GC68" s="54">
        <f t="shared" si="491"/>
        <v>2995.6186259999995</v>
      </c>
      <c r="GD68" s="58">
        <f t="shared" si="492"/>
        <v>9902.9160538307988</v>
      </c>
      <c r="GE68" s="59">
        <f t="shared" si="493"/>
        <v>2900.5196219999993</v>
      </c>
      <c r="GF68" s="58">
        <f t="shared" si="494"/>
        <v>9588.5377664075986</v>
      </c>
      <c r="GG68" s="59">
        <f t="shared" si="495"/>
        <v>2805.4206179999996</v>
      </c>
      <c r="GH68" s="58">
        <f t="shared" si="496"/>
        <v>9274.1594789843984</v>
      </c>
      <c r="GI68" s="54">
        <f t="shared" si="497"/>
        <v>2710.3216139999995</v>
      </c>
      <c r="GJ68" s="58">
        <f t="shared" si="498"/>
        <v>8959.7811915611983</v>
      </c>
      <c r="GK68" s="54"/>
      <c r="GL68" s="54"/>
      <c r="GM68" s="54">
        <v>1</v>
      </c>
      <c r="GN68" s="54">
        <v>0.97</v>
      </c>
      <c r="GO68" s="54">
        <v>0.95</v>
      </c>
      <c r="GP68" s="54">
        <v>0.93</v>
      </c>
      <c r="GQ68" s="54">
        <f t="shared" si="501"/>
        <v>0.91</v>
      </c>
      <c r="GR68" s="54">
        <f t="shared" si="501"/>
        <v>0.89</v>
      </c>
      <c r="GS68" s="54">
        <f t="shared" si="501"/>
        <v>0.87</v>
      </c>
      <c r="GT68" s="54">
        <f t="shared" si="501"/>
        <v>0.85</v>
      </c>
      <c r="GU68" s="54">
        <f t="shared" si="501"/>
        <v>0.83</v>
      </c>
      <c r="GV68" s="54">
        <f t="shared" si="501"/>
        <v>0.80999999999999994</v>
      </c>
      <c r="GW68" s="54">
        <f t="shared" si="501"/>
        <v>0.78999999999999992</v>
      </c>
      <c r="GX68" s="54">
        <f t="shared" si="501"/>
        <v>0.76999999999999991</v>
      </c>
      <c r="GY68" s="54">
        <f t="shared" si="501"/>
        <v>0.74999999999999989</v>
      </c>
      <c r="GZ68" s="54">
        <f t="shared" si="501"/>
        <v>0.72999999999999987</v>
      </c>
      <c r="HA68" s="54">
        <f t="shared" si="501"/>
        <v>0.70999999999999985</v>
      </c>
      <c r="HB68" s="54">
        <f t="shared" si="501"/>
        <v>0.68999999999999984</v>
      </c>
      <c r="HC68" s="54">
        <f t="shared" si="501"/>
        <v>0.66999999999999982</v>
      </c>
      <c r="HD68" s="54">
        <f t="shared" si="501"/>
        <v>0.6499999999999998</v>
      </c>
      <c r="HE68" s="54">
        <f t="shared" si="501"/>
        <v>0.62999999999999978</v>
      </c>
      <c r="HF68" s="54">
        <f t="shared" si="501"/>
        <v>0.60999999999999976</v>
      </c>
      <c r="HG68" s="54">
        <f t="shared" si="501"/>
        <v>0.58999999999999975</v>
      </c>
      <c r="HH68" s="54">
        <f t="shared" si="501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2">
        <f>TRUNC(+D69*3.3058,-1)</f>
        <v>0</v>
      </c>
      <c r="H69" s="54">
        <f t="shared" si="61"/>
        <v>0</v>
      </c>
      <c r="I69" s="54">
        <f t="shared" si="62"/>
        <v>0</v>
      </c>
      <c r="J69" s="58">
        <f t="shared" si="63"/>
        <v>0</v>
      </c>
      <c r="K69" s="54">
        <f t="shared" si="369"/>
        <v>0</v>
      </c>
      <c r="L69" s="58">
        <f t="shared" si="370"/>
        <v>0</v>
      </c>
      <c r="M69" s="54">
        <f t="shared" si="371"/>
        <v>0</v>
      </c>
      <c r="N69" s="58">
        <f t="shared" si="372"/>
        <v>0</v>
      </c>
      <c r="O69" s="54">
        <f t="shared" si="373"/>
        <v>0</v>
      </c>
      <c r="P69" s="58">
        <f t="shared" si="374"/>
        <v>0</v>
      </c>
      <c r="Q69" s="56">
        <f t="shared" si="375"/>
        <v>0</v>
      </c>
      <c r="R69" s="58">
        <f t="shared" si="376"/>
        <v>0</v>
      </c>
      <c r="S69" s="54">
        <f t="shared" si="377"/>
        <v>0</v>
      </c>
      <c r="T69" s="58">
        <f t="shared" si="378"/>
        <v>0</v>
      </c>
      <c r="U69" s="56">
        <f t="shared" si="379"/>
        <v>0</v>
      </c>
      <c r="V69" s="58">
        <f t="shared" si="380"/>
        <v>0</v>
      </c>
      <c r="W69" s="59">
        <f t="shared" si="381"/>
        <v>0</v>
      </c>
      <c r="X69" s="58">
        <f t="shared" si="382"/>
        <v>0</v>
      </c>
      <c r="Y69" s="56">
        <f t="shared" si="383"/>
        <v>0</v>
      </c>
      <c r="Z69" s="58">
        <f t="shared" si="384"/>
        <v>0</v>
      </c>
      <c r="AA69" s="54">
        <f t="shared" si="385"/>
        <v>0</v>
      </c>
      <c r="AB69" s="58">
        <f t="shared" si="386"/>
        <v>0</v>
      </c>
      <c r="AC69" s="59">
        <f t="shared" si="387"/>
        <v>0</v>
      </c>
      <c r="AD69" s="58">
        <f t="shared" si="388"/>
        <v>0</v>
      </c>
      <c r="AE69" s="59">
        <f t="shared" si="389"/>
        <v>0</v>
      </c>
      <c r="AF69" s="58">
        <f t="shared" si="390"/>
        <v>0</v>
      </c>
      <c r="AG69" s="59">
        <f t="shared" si="391"/>
        <v>0</v>
      </c>
      <c r="AH69" s="58">
        <f t="shared" si="392"/>
        <v>0</v>
      </c>
      <c r="AI69" s="54">
        <f t="shared" si="393"/>
        <v>0</v>
      </c>
      <c r="AJ69" s="58">
        <f t="shared" si="394"/>
        <v>0</v>
      </c>
      <c r="AK69" s="59">
        <f t="shared" si="395"/>
        <v>0</v>
      </c>
      <c r="AL69" s="58">
        <f t="shared" si="396"/>
        <v>0</v>
      </c>
      <c r="AM69" s="59">
        <f t="shared" si="397"/>
        <v>0</v>
      </c>
      <c r="AN69" s="58">
        <f t="shared" si="398"/>
        <v>0</v>
      </c>
      <c r="AO69" s="59">
        <f t="shared" si="399"/>
        <v>0</v>
      </c>
      <c r="AP69" s="58">
        <f t="shared" si="400"/>
        <v>0</v>
      </c>
      <c r="AQ69" s="59">
        <f t="shared" si="401"/>
        <v>0</v>
      </c>
      <c r="AR69" s="58">
        <f t="shared" si="402"/>
        <v>0</v>
      </c>
      <c r="AS69" s="54">
        <f t="shared" si="403"/>
        <v>0</v>
      </c>
      <c r="AT69" s="58">
        <f t="shared" si="404"/>
        <v>0</v>
      </c>
      <c r="AU69" s="59">
        <f t="shared" si="405"/>
        <v>0</v>
      </c>
      <c r="AV69" s="58">
        <f t="shared" si="406"/>
        <v>0</v>
      </c>
      <c r="AW69" s="59">
        <f t="shared" si="407"/>
        <v>0</v>
      </c>
      <c r="AX69" s="58">
        <f t="shared" si="408"/>
        <v>0</v>
      </c>
      <c r="AY69" s="54">
        <f t="shared" si="409"/>
        <v>0</v>
      </c>
      <c r="AZ69" s="58">
        <f t="shared" si="410"/>
        <v>0</v>
      </c>
      <c r="BC69" s="54">
        <v>1</v>
      </c>
      <c r="BD69" s="54">
        <v>0.97</v>
      </c>
      <c r="BE69" s="54">
        <v>0.95</v>
      </c>
      <c r="BF69" s="54">
        <v>0.93</v>
      </c>
      <c r="BG69" s="54">
        <f t="shared" si="411"/>
        <v>0.91</v>
      </c>
      <c r="BH69" s="54">
        <f t="shared" si="411"/>
        <v>0.89</v>
      </c>
      <c r="BI69" s="54">
        <f t="shared" si="411"/>
        <v>0.87</v>
      </c>
      <c r="BJ69" s="54">
        <f t="shared" si="411"/>
        <v>0.85</v>
      </c>
      <c r="BK69" s="54">
        <f t="shared" si="411"/>
        <v>0.83</v>
      </c>
      <c r="BL69" s="54">
        <f t="shared" si="411"/>
        <v>0.80999999999999994</v>
      </c>
      <c r="BM69" s="54">
        <f t="shared" si="411"/>
        <v>0.78999999999999992</v>
      </c>
      <c r="BN69" s="54">
        <f t="shared" si="411"/>
        <v>0.76999999999999991</v>
      </c>
      <c r="BO69" s="54">
        <f t="shared" si="411"/>
        <v>0.74999999999999989</v>
      </c>
      <c r="BP69" s="54">
        <f t="shared" si="411"/>
        <v>0.72999999999999987</v>
      </c>
      <c r="BQ69" s="54">
        <f t="shared" si="411"/>
        <v>0.70999999999999985</v>
      </c>
      <c r="BR69" s="54">
        <f t="shared" si="411"/>
        <v>0.68999999999999984</v>
      </c>
      <c r="BS69" s="54">
        <f t="shared" si="411"/>
        <v>0.66999999999999982</v>
      </c>
      <c r="BT69" s="54">
        <f t="shared" si="411"/>
        <v>0.6499999999999998</v>
      </c>
      <c r="BU69" s="54">
        <f t="shared" si="411"/>
        <v>0.62999999999999978</v>
      </c>
      <c r="BV69" s="54">
        <f t="shared" si="411"/>
        <v>0.60999999999999976</v>
      </c>
      <c r="BW69" s="54">
        <f t="shared" si="411"/>
        <v>0.58999999999999975</v>
      </c>
      <c r="BX69" s="54">
        <f t="shared" si="411"/>
        <v>0.56999999999999973</v>
      </c>
      <c r="BZ69" s="54">
        <f t="shared" si="88"/>
        <v>0</v>
      </c>
      <c r="CA69" s="54">
        <f t="shared" si="89"/>
        <v>0</v>
      </c>
      <c r="CB69" s="58">
        <f t="shared" si="412"/>
        <v>0</v>
      </c>
      <c r="CC69" s="54">
        <f t="shared" si="413"/>
        <v>0</v>
      </c>
      <c r="CD69" s="58">
        <f t="shared" si="414"/>
        <v>0</v>
      </c>
      <c r="CE69" s="54">
        <f t="shared" si="415"/>
        <v>0</v>
      </c>
      <c r="CF69" s="58">
        <f t="shared" si="416"/>
        <v>0</v>
      </c>
      <c r="CG69" s="54">
        <f t="shared" si="417"/>
        <v>0</v>
      </c>
      <c r="CH69" s="58">
        <f t="shared" si="418"/>
        <v>0</v>
      </c>
      <c r="CI69" s="56">
        <f t="shared" si="419"/>
        <v>0</v>
      </c>
      <c r="CJ69" s="58">
        <f t="shared" si="420"/>
        <v>0</v>
      </c>
      <c r="CK69" s="54">
        <f t="shared" si="421"/>
        <v>0</v>
      </c>
      <c r="CL69" s="58">
        <f t="shared" si="422"/>
        <v>0</v>
      </c>
      <c r="CM69" s="56">
        <f t="shared" si="423"/>
        <v>0</v>
      </c>
      <c r="CN69" s="58">
        <f t="shared" si="424"/>
        <v>0</v>
      </c>
      <c r="CO69" s="59">
        <f t="shared" si="425"/>
        <v>0</v>
      </c>
      <c r="CP69" s="58">
        <f t="shared" si="426"/>
        <v>0</v>
      </c>
      <c r="CQ69" s="56">
        <f t="shared" si="427"/>
        <v>0</v>
      </c>
      <c r="CR69" s="58">
        <f t="shared" si="428"/>
        <v>0</v>
      </c>
      <c r="CS69" s="54">
        <f t="shared" si="429"/>
        <v>0</v>
      </c>
      <c r="CT69" s="58">
        <f t="shared" si="430"/>
        <v>0</v>
      </c>
      <c r="CU69" s="59">
        <f t="shared" si="431"/>
        <v>0</v>
      </c>
      <c r="CV69" s="58">
        <f t="shared" si="432"/>
        <v>0</v>
      </c>
      <c r="CW69" s="59">
        <f t="shared" si="433"/>
        <v>0</v>
      </c>
      <c r="CX69" s="58">
        <f t="shared" si="434"/>
        <v>0</v>
      </c>
      <c r="CY69" s="59">
        <f t="shared" si="435"/>
        <v>0</v>
      </c>
      <c r="CZ69" s="58">
        <f t="shared" si="436"/>
        <v>0</v>
      </c>
      <c r="DA69" s="54">
        <f t="shared" si="437"/>
        <v>0</v>
      </c>
      <c r="DB69" s="58">
        <f t="shared" si="438"/>
        <v>0</v>
      </c>
      <c r="DC69" s="59">
        <f t="shared" si="439"/>
        <v>0</v>
      </c>
      <c r="DD69" s="58">
        <f t="shared" si="440"/>
        <v>0</v>
      </c>
      <c r="DE69" s="59">
        <f t="shared" si="441"/>
        <v>0</v>
      </c>
      <c r="DF69" s="58">
        <f t="shared" si="442"/>
        <v>0</v>
      </c>
      <c r="DG69" s="59">
        <f t="shared" si="443"/>
        <v>0</v>
      </c>
      <c r="DH69" s="58">
        <f t="shared" si="444"/>
        <v>0</v>
      </c>
      <c r="DI69" s="59">
        <f t="shared" si="445"/>
        <v>0</v>
      </c>
      <c r="DJ69" s="58">
        <f t="shared" si="446"/>
        <v>0</v>
      </c>
      <c r="DK69" s="54">
        <f t="shared" si="447"/>
        <v>0</v>
      </c>
      <c r="DL69" s="58">
        <f t="shared" si="448"/>
        <v>0</v>
      </c>
      <c r="DM69" s="59">
        <f t="shared" si="449"/>
        <v>0</v>
      </c>
      <c r="DN69" s="58">
        <f t="shared" si="450"/>
        <v>0</v>
      </c>
      <c r="DO69" s="59">
        <f t="shared" si="451"/>
        <v>0</v>
      </c>
      <c r="DP69" s="58">
        <f t="shared" si="452"/>
        <v>0</v>
      </c>
      <c r="DQ69" s="54">
        <f t="shared" si="453"/>
        <v>0</v>
      </c>
      <c r="DR69" s="58">
        <f t="shared" si="454"/>
        <v>0</v>
      </c>
      <c r="DU69" s="54">
        <v>1</v>
      </c>
      <c r="DV69" s="54">
        <v>0.97</v>
      </c>
      <c r="DW69" s="54">
        <v>0.95</v>
      </c>
      <c r="DX69" s="54">
        <v>0.93</v>
      </c>
      <c r="DY69" s="54">
        <f t="shared" si="500"/>
        <v>0.91</v>
      </c>
      <c r="DZ69" s="54">
        <f t="shared" si="500"/>
        <v>0.89</v>
      </c>
      <c r="EA69" s="54">
        <f t="shared" si="500"/>
        <v>0.87</v>
      </c>
      <c r="EB69" s="54">
        <f t="shared" si="500"/>
        <v>0.85</v>
      </c>
      <c r="EC69" s="54">
        <f t="shared" si="500"/>
        <v>0.83</v>
      </c>
      <c r="ED69" s="54">
        <f t="shared" si="500"/>
        <v>0.80999999999999994</v>
      </c>
      <c r="EE69" s="54">
        <f t="shared" si="500"/>
        <v>0.78999999999999992</v>
      </c>
      <c r="EF69" s="54">
        <f t="shared" si="500"/>
        <v>0.76999999999999991</v>
      </c>
      <c r="EG69" s="54">
        <f t="shared" si="500"/>
        <v>0.74999999999999989</v>
      </c>
      <c r="EH69" s="54">
        <f t="shared" si="500"/>
        <v>0.72999999999999987</v>
      </c>
      <c r="EI69" s="54">
        <f t="shared" si="500"/>
        <v>0.70999999999999985</v>
      </c>
      <c r="EJ69" s="54">
        <f t="shared" si="500"/>
        <v>0.68999999999999984</v>
      </c>
      <c r="EK69" s="54">
        <f t="shared" si="500"/>
        <v>0.66999999999999982</v>
      </c>
      <c r="EL69" s="54">
        <f t="shared" si="500"/>
        <v>0.6499999999999998</v>
      </c>
      <c r="EM69" s="54">
        <f t="shared" si="500"/>
        <v>0.62999999999999978</v>
      </c>
      <c r="EN69" s="54">
        <f t="shared" si="500"/>
        <v>0.60999999999999976</v>
      </c>
      <c r="EO69" s="54">
        <f t="shared" si="500"/>
        <v>0.58999999999999975</v>
      </c>
      <c r="EP69" s="54">
        <f t="shared" si="500"/>
        <v>0.56999999999999973</v>
      </c>
      <c r="ER69" s="54">
        <f t="shared" si="142"/>
        <v>0</v>
      </c>
      <c r="ES69" s="54">
        <f t="shared" si="116"/>
        <v>0</v>
      </c>
      <c r="ET69" s="58">
        <f t="shared" si="456"/>
        <v>0</v>
      </c>
      <c r="EU69" s="54">
        <f t="shared" si="457"/>
        <v>0</v>
      </c>
      <c r="EV69" s="58">
        <f t="shared" si="458"/>
        <v>0</v>
      </c>
      <c r="EW69" s="54">
        <f t="shared" si="459"/>
        <v>0</v>
      </c>
      <c r="EX69" s="58">
        <f t="shared" si="460"/>
        <v>0</v>
      </c>
      <c r="EY69" s="54">
        <f t="shared" si="461"/>
        <v>0</v>
      </c>
      <c r="EZ69" s="58">
        <f t="shared" si="462"/>
        <v>0</v>
      </c>
      <c r="FA69" s="56">
        <f t="shared" si="463"/>
        <v>0</v>
      </c>
      <c r="FB69" s="58">
        <f t="shared" si="464"/>
        <v>0</v>
      </c>
      <c r="FC69" s="54">
        <f t="shared" si="465"/>
        <v>0</v>
      </c>
      <c r="FD69" s="58">
        <f t="shared" si="466"/>
        <v>0</v>
      </c>
      <c r="FE69" s="56">
        <f t="shared" si="467"/>
        <v>0</v>
      </c>
      <c r="FF69" s="58">
        <f t="shared" si="468"/>
        <v>0</v>
      </c>
      <c r="FG69" s="59">
        <f t="shared" si="469"/>
        <v>0</v>
      </c>
      <c r="FH69" s="58">
        <f t="shared" si="470"/>
        <v>0</v>
      </c>
      <c r="FI69" s="56">
        <f t="shared" si="471"/>
        <v>0</v>
      </c>
      <c r="FJ69" s="58">
        <f t="shared" si="472"/>
        <v>0</v>
      </c>
      <c r="FK69" s="54">
        <f t="shared" si="473"/>
        <v>0</v>
      </c>
      <c r="FL69" s="58">
        <f t="shared" si="474"/>
        <v>0</v>
      </c>
      <c r="FM69" s="59">
        <f t="shared" si="475"/>
        <v>0</v>
      </c>
      <c r="FN69" s="58">
        <f t="shared" si="476"/>
        <v>0</v>
      </c>
      <c r="FO69" s="59">
        <f t="shared" si="477"/>
        <v>0</v>
      </c>
      <c r="FP69" s="58">
        <f t="shared" si="478"/>
        <v>0</v>
      </c>
      <c r="FQ69" s="59">
        <f t="shared" si="479"/>
        <v>0</v>
      </c>
      <c r="FR69" s="58">
        <f t="shared" si="480"/>
        <v>0</v>
      </c>
      <c r="FS69" s="54">
        <f t="shared" si="481"/>
        <v>0</v>
      </c>
      <c r="FT69" s="58">
        <f t="shared" si="482"/>
        <v>0</v>
      </c>
      <c r="FU69" s="59">
        <f t="shared" si="483"/>
        <v>0</v>
      </c>
      <c r="FV69" s="58">
        <f t="shared" si="484"/>
        <v>0</v>
      </c>
      <c r="FW69" s="59">
        <f t="shared" si="485"/>
        <v>0</v>
      </c>
      <c r="FX69" s="58">
        <f t="shared" si="486"/>
        <v>0</v>
      </c>
      <c r="FY69" s="59">
        <f t="shared" si="487"/>
        <v>0</v>
      </c>
      <c r="FZ69" s="58">
        <f t="shared" si="488"/>
        <v>0</v>
      </c>
      <c r="GA69" s="59">
        <f t="shared" si="489"/>
        <v>0</v>
      </c>
      <c r="GB69" s="58">
        <f t="shared" si="490"/>
        <v>0</v>
      </c>
      <c r="GC69" s="54">
        <f t="shared" si="491"/>
        <v>0</v>
      </c>
      <c r="GD69" s="58">
        <f t="shared" si="492"/>
        <v>0</v>
      </c>
      <c r="GE69" s="59">
        <f t="shared" si="493"/>
        <v>0</v>
      </c>
      <c r="GF69" s="58">
        <f t="shared" si="494"/>
        <v>0</v>
      </c>
      <c r="GG69" s="59">
        <f t="shared" si="495"/>
        <v>0</v>
      </c>
      <c r="GH69" s="58">
        <f t="shared" si="496"/>
        <v>0</v>
      </c>
      <c r="GI69" s="54">
        <f t="shared" si="497"/>
        <v>0</v>
      </c>
      <c r="GJ69" s="58">
        <f t="shared" si="498"/>
        <v>0</v>
      </c>
      <c r="GK69" s="54"/>
      <c r="GL69" s="54"/>
      <c r="GM69" s="54">
        <v>1</v>
      </c>
      <c r="GN69" s="54">
        <v>0.97</v>
      </c>
      <c r="GO69" s="54">
        <v>0.95</v>
      </c>
      <c r="GP69" s="54">
        <v>0.93</v>
      </c>
      <c r="GQ69" s="54">
        <f t="shared" si="501"/>
        <v>0.91</v>
      </c>
      <c r="GR69" s="54">
        <f t="shared" si="501"/>
        <v>0.89</v>
      </c>
      <c r="GS69" s="54">
        <f t="shared" si="501"/>
        <v>0.87</v>
      </c>
      <c r="GT69" s="54">
        <f t="shared" si="501"/>
        <v>0.85</v>
      </c>
      <c r="GU69" s="54">
        <f t="shared" si="501"/>
        <v>0.83</v>
      </c>
      <c r="GV69" s="54">
        <f t="shared" si="501"/>
        <v>0.80999999999999994</v>
      </c>
      <c r="GW69" s="54">
        <f t="shared" si="501"/>
        <v>0.78999999999999992</v>
      </c>
      <c r="GX69" s="54">
        <f t="shared" si="501"/>
        <v>0.76999999999999991</v>
      </c>
      <c r="GY69" s="54">
        <f t="shared" si="501"/>
        <v>0.74999999999999989</v>
      </c>
      <c r="GZ69" s="54">
        <f t="shared" si="501"/>
        <v>0.72999999999999987</v>
      </c>
      <c r="HA69" s="54">
        <f t="shared" si="501"/>
        <v>0.70999999999999985</v>
      </c>
      <c r="HB69" s="54">
        <f t="shared" si="501"/>
        <v>0.68999999999999984</v>
      </c>
      <c r="HC69" s="54">
        <f t="shared" si="501"/>
        <v>0.66999999999999982</v>
      </c>
      <c r="HD69" s="54">
        <f t="shared" si="501"/>
        <v>0.6499999999999998</v>
      </c>
      <c r="HE69" s="54">
        <f t="shared" si="501"/>
        <v>0.62999999999999978</v>
      </c>
      <c r="HF69" s="54">
        <f t="shared" si="501"/>
        <v>0.60999999999999976</v>
      </c>
      <c r="HG69" s="54">
        <f t="shared" si="501"/>
        <v>0.58999999999999975</v>
      </c>
      <c r="HH69" s="54">
        <f t="shared" si="501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2">
        <f t="shared" ref="E70:E83" si="503">TRUNC(+D70*3.3058,-1)</f>
        <v>0</v>
      </c>
      <c r="H70" s="54">
        <f t="shared" si="61"/>
        <v>0</v>
      </c>
      <c r="I70" s="54">
        <f t="shared" si="62"/>
        <v>0</v>
      </c>
      <c r="J70" s="58">
        <f t="shared" si="63"/>
        <v>0</v>
      </c>
      <c r="K70" s="54">
        <f t="shared" si="369"/>
        <v>0</v>
      </c>
      <c r="L70" s="58">
        <f t="shared" si="370"/>
        <v>0</v>
      </c>
      <c r="M70" s="54">
        <f t="shared" si="371"/>
        <v>0</v>
      </c>
      <c r="N70" s="58">
        <f t="shared" si="372"/>
        <v>0</v>
      </c>
      <c r="O70" s="54">
        <f t="shared" si="373"/>
        <v>0</v>
      </c>
      <c r="P70" s="58">
        <f t="shared" si="374"/>
        <v>0</v>
      </c>
      <c r="Q70" s="56">
        <f t="shared" si="375"/>
        <v>0</v>
      </c>
      <c r="R70" s="58">
        <f t="shared" si="376"/>
        <v>0</v>
      </c>
      <c r="S70" s="54">
        <f t="shared" si="377"/>
        <v>0</v>
      </c>
      <c r="T70" s="58">
        <f t="shared" si="378"/>
        <v>0</v>
      </c>
      <c r="U70" s="56">
        <f t="shared" si="379"/>
        <v>0</v>
      </c>
      <c r="V70" s="58">
        <f t="shared" si="380"/>
        <v>0</v>
      </c>
      <c r="W70" s="59">
        <f t="shared" si="381"/>
        <v>0</v>
      </c>
      <c r="X70" s="58">
        <f t="shared" si="382"/>
        <v>0</v>
      </c>
      <c r="Y70" s="56">
        <f t="shared" si="383"/>
        <v>0</v>
      </c>
      <c r="Z70" s="58">
        <f t="shared" si="384"/>
        <v>0</v>
      </c>
      <c r="AA70" s="54">
        <f t="shared" si="385"/>
        <v>0</v>
      </c>
      <c r="AB70" s="58">
        <f t="shared" si="386"/>
        <v>0</v>
      </c>
      <c r="AC70" s="59">
        <f t="shared" si="387"/>
        <v>0</v>
      </c>
      <c r="AD70" s="58">
        <f t="shared" si="388"/>
        <v>0</v>
      </c>
      <c r="AE70" s="59">
        <f t="shared" si="389"/>
        <v>0</v>
      </c>
      <c r="AF70" s="58">
        <f t="shared" si="390"/>
        <v>0</v>
      </c>
      <c r="AG70" s="59">
        <f t="shared" si="391"/>
        <v>0</v>
      </c>
      <c r="AH70" s="58">
        <f t="shared" si="392"/>
        <v>0</v>
      </c>
      <c r="AI70" s="54">
        <f t="shared" si="393"/>
        <v>0</v>
      </c>
      <c r="AJ70" s="58">
        <f t="shared" si="394"/>
        <v>0</v>
      </c>
      <c r="AK70" s="59">
        <f t="shared" si="395"/>
        <v>0</v>
      </c>
      <c r="AL70" s="58">
        <f t="shared" si="396"/>
        <v>0</v>
      </c>
      <c r="AM70" s="59">
        <f t="shared" si="397"/>
        <v>0</v>
      </c>
      <c r="AN70" s="58">
        <f t="shared" si="398"/>
        <v>0</v>
      </c>
      <c r="AO70" s="59">
        <f t="shared" si="399"/>
        <v>0</v>
      </c>
      <c r="AP70" s="58">
        <f t="shared" si="400"/>
        <v>0</v>
      </c>
      <c r="AQ70" s="59">
        <f t="shared" si="401"/>
        <v>0</v>
      </c>
      <c r="AR70" s="58">
        <f t="shared" si="402"/>
        <v>0</v>
      </c>
      <c r="AS70" s="54">
        <f t="shared" si="403"/>
        <v>0</v>
      </c>
      <c r="AT70" s="58">
        <f t="shared" si="404"/>
        <v>0</v>
      </c>
      <c r="AU70" s="59">
        <f t="shared" si="405"/>
        <v>0</v>
      </c>
      <c r="AV70" s="58">
        <f t="shared" si="406"/>
        <v>0</v>
      </c>
      <c r="AW70" s="59">
        <f t="shared" si="407"/>
        <v>0</v>
      </c>
      <c r="AX70" s="58">
        <f t="shared" si="408"/>
        <v>0</v>
      </c>
      <c r="AY70" s="54">
        <f t="shared" si="409"/>
        <v>0</v>
      </c>
      <c r="AZ70" s="58">
        <f t="shared" si="410"/>
        <v>0</v>
      </c>
      <c r="BC70" s="54">
        <v>1</v>
      </c>
      <c r="BD70" s="54">
        <v>0.97</v>
      </c>
      <c r="BE70" s="54">
        <v>0.95</v>
      </c>
      <c r="BF70" s="54">
        <v>0.93</v>
      </c>
      <c r="BG70" s="54">
        <f t="shared" si="411"/>
        <v>0.91</v>
      </c>
      <c r="BH70" s="54">
        <f t="shared" si="411"/>
        <v>0.89</v>
      </c>
      <c r="BI70" s="54">
        <f t="shared" si="411"/>
        <v>0.87</v>
      </c>
      <c r="BJ70" s="54">
        <f t="shared" si="411"/>
        <v>0.85</v>
      </c>
      <c r="BK70" s="54">
        <f t="shared" si="411"/>
        <v>0.83</v>
      </c>
      <c r="BL70" s="54">
        <f t="shared" si="411"/>
        <v>0.80999999999999994</v>
      </c>
      <c r="BM70" s="54">
        <f t="shared" si="411"/>
        <v>0.78999999999999992</v>
      </c>
      <c r="BN70" s="54">
        <f t="shared" si="411"/>
        <v>0.76999999999999991</v>
      </c>
      <c r="BO70" s="54">
        <f t="shared" si="411"/>
        <v>0.74999999999999989</v>
      </c>
      <c r="BP70" s="54">
        <f t="shared" si="411"/>
        <v>0.72999999999999987</v>
      </c>
      <c r="BQ70" s="54">
        <f t="shared" si="411"/>
        <v>0.70999999999999985</v>
      </c>
      <c r="BR70" s="54">
        <f t="shared" si="411"/>
        <v>0.68999999999999984</v>
      </c>
      <c r="BS70" s="54">
        <f t="shared" si="411"/>
        <v>0.66999999999999982</v>
      </c>
      <c r="BT70" s="54">
        <f t="shared" si="411"/>
        <v>0.6499999999999998</v>
      </c>
      <c r="BU70" s="54">
        <f t="shared" si="411"/>
        <v>0.62999999999999978</v>
      </c>
      <c r="BV70" s="54">
        <f t="shared" si="411"/>
        <v>0.60999999999999976</v>
      </c>
      <c r="BW70" s="54">
        <f t="shared" si="411"/>
        <v>0.58999999999999975</v>
      </c>
      <c r="BX70" s="54">
        <f t="shared" si="411"/>
        <v>0.56999999999999973</v>
      </c>
      <c r="BZ70" s="54">
        <f t="shared" si="88"/>
        <v>0</v>
      </c>
      <c r="CA70" s="54">
        <f t="shared" si="89"/>
        <v>0</v>
      </c>
      <c r="CB70" s="58">
        <f t="shared" si="412"/>
        <v>0</v>
      </c>
      <c r="CC70" s="54">
        <f t="shared" si="413"/>
        <v>0</v>
      </c>
      <c r="CD70" s="58">
        <f t="shared" si="414"/>
        <v>0</v>
      </c>
      <c r="CE70" s="54">
        <f t="shared" si="415"/>
        <v>0</v>
      </c>
      <c r="CF70" s="58">
        <f t="shared" si="416"/>
        <v>0</v>
      </c>
      <c r="CG70" s="54">
        <f t="shared" si="417"/>
        <v>0</v>
      </c>
      <c r="CH70" s="58">
        <f t="shared" si="418"/>
        <v>0</v>
      </c>
      <c r="CI70" s="56">
        <f t="shared" si="419"/>
        <v>0</v>
      </c>
      <c r="CJ70" s="58">
        <f t="shared" si="420"/>
        <v>0</v>
      </c>
      <c r="CK70" s="54">
        <f t="shared" si="421"/>
        <v>0</v>
      </c>
      <c r="CL70" s="58">
        <f t="shared" si="422"/>
        <v>0</v>
      </c>
      <c r="CM70" s="56">
        <f t="shared" si="423"/>
        <v>0</v>
      </c>
      <c r="CN70" s="58">
        <f t="shared" si="424"/>
        <v>0</v>
      </c>
      <c r="CO70" s="59">
        <f t="shared" si="425"/>
        <v>0</v>
      </c>
      <c r="CP70" s="58">
        <f t="shared" si="426"/>
        <v>0</v>
      </c>
      <c r="CQ70" s="56">
        <f t="shared" si="427"/>
        <v>0</v>
      </c>
      <c r="CR70" s="58">
        <f t="shared" si="428"/>
        <v>0</v>
      </c>
      <c r="CS70" s="54">
        <f t="shared" si="429"/>
        <v>0</v>
      </c>
      <c r="CT70" s="58">
        <f t="shared" si="430"/>
        <v>0</v>
      </c>
      <c r="CU70" s="59">
        <f t="shared" si="431"/>
        <v>0</v>
      </c>
      <c r="CV70" s="58">
        <f t="shared" si="432"/>
        <v>0</v>
      </c>
      <c r="CW70" s="59">
        <f t="shared" si="433"/>
        <v>0</v>
      </c>
      <c r="CX70" s="58">
        <f t="shared" si="434"/>
        <v>0</v>
      </c>
      <c r="CY70" s="59">
        <f t="shared" si="435"/>
        <v>0</v>
      </c>
      <c r="CZ70" s="58">
        <f t="shared" si="436"/>
        <v>0</v>
      </c>
      <c r="DA70" s="54">
        <f t="shared" si="437"/>
        <v>0</v>
      </c>
      <c r="DB70" s="58">
        <f t="shared" si="438"/>
        <v>0</v>
      </c>
      <c r="DC70" s="59">
        <f t="shared" si="439"/>
        <v>0</v>
      </c>
      <c r="DD70" s="58">
        <f t="shared" si="440"/>
        <v>0</v>
      </c>
      <c r="DE70" s="59">
        <f t="shared" si="441"/>
        <v>0</v>
      </c>
      <c r="DF70" s="58">
        <f t="shared" si="442"/>
        <v>0</v>
      </c>
      <c r="DG70" s="59">
        <f t="shared" si="443"/>
        <v>0</v>
      </c>
      <c r="DH70" s="58">
        <f t="shared" si="444"/>
        <v>0</v>
      </c>
      <c r="DI70" s="59">
        <f t="shared" si="445"/>
        <v>0</v>
      </c>
      <c r="DJ70" s="58">
        <f t="shared" si="446"/>
        <v>0</v>
      </c>
      <c r="DK70" s="54">
        <f t="shared" si="447"/>
        <v>0</v>
      </c>
      <c r="DL70" s="58">
        <f t="shared" si="448"/>
        <v>0</v>
      </c>
      <c r="DM70" s="59">
        <f t="shared" si="449"/>
        <v>0</v>
      </c>
      <c r="DN70" s="58">
        <f t="shared" si="450"/>
        <v>0</v>
      </c>
      <c r="DO70" s="59">
        <f t="shared" si="451"/>
        <v>0</v>
      </c>
      <c r="DP70" s="58">
        <f t="shared" si="452"/>
        <v>0</v>
      </c>
      <c r="DQ70" s="54">
        <f t="shared" si="453"/>
        <v>0</v>
      </c>
      <c r="DR70" s="58">
        <f t="shared" si="454"/>
        <v>0</v>
      </c>
      <c r="DU70" s="54">
        <v>1</v>
      </c>
      <c r="DV70" s="54">
        <v>0.97</v>
      </c>
      <c r="DW70" s="54">
        <v>0.95</v>
      </c>
      <c r="DX70" s="54">
        <v>0.93</v>
      </c>
      <c r="DY70" s="54">
        <f t="shared" si="500"/>
        <v>0.91</v>
      </c>
      <c r="DZ70" s="54">
        <f t="shared" si="500"/>
        <v>0.89</v>
      </c>
      <c r="EA70" s="54">
        <f t="shared" si="500"/>
        <v>0.87</v>
      </c>
      <c r="EB70" s="54">
        <f t="shared" si="500"/>
        <v>0.85</v>
      </c>
      <c r="EC70" s="54">
        <f t="shared" si="500"/>
        <v>0.83</v>
      </c>
      <c r="ED70" s="54">
        <f t="shared" si="500"/>
        <v>0.80999999999999994</v>
      </c>
      <c r="EE70" s="54">
        <f t="shared" si="500"/>
        <v>0.78999999999999992</v>
      </c>
      <c r="EF70" s="54">
        <f t="shared" si="500"/>
        <v>0.76999999999999991</v>
      </c>
      <c r="EG70" s="54">
        <f t="shared" si="500"/>
        <v>0.74999999999999989</v>
      </c>
      <c r="EH70" s="54">
        <f t="shared" si="500"/>
        <v>0.72999999999999987</v>
      </c>
      <c r="EI70" s="54">
        <f t="shared" si="500"/>
        <v>0.70999999999999985</v>
      </c>
      <c r="EJ70" s="54">
        <f t="shared" si="500"/>
        <v>0.68999999999999984</v>
      </c>
      <c r="EK70" s="54">
        <f t="shared" si="500"/>
        <v>0.66999999999999982</v>
      </c>
      <c r="EL70" s="54">
        <f t="shared" si="500"/>
        <v>0.6499999999999998</v>
      </c>
      <c r="EM70" s="54">
        <f t="shared" si="500"/>
        <v>0.62999999999999978</v>
      </c>
      <c r="EN70" s="54">
        <f t="shared" si="500"/>
        <v>0.60999999999999976</v>
      </c>
      <c r="EO70" s="54">
        <f t="shared" si="500"/>
        <v>0.58999999999999975</v>
      </c>
      <c r="EP70" s="54">
        <f t="shared" si="500"/>
        <v>0.56999999999999973</v>
      </c>
      <c r="ER70" s="54">
        <f t="shared" si="142"/>
        <v>0</v>
      </c>
      <c r="ES70" s="54">
        <f t="shared" si="116"/>
        <v>0</v>
      </c>
      <c r="ET70" s="58">
        <f t="shared" si="456"/>
        <v>0</v>
      </c>
      <c r="EU70" s="54">
        <f t="shared" si="457"/>
        <v>0</v>
      </c>
      <c r="EV70" s="58">
        <f t="shared" si="458"/>
        <v>0</v>
      </c>
      <c r="EW70" s="54">
        <f t="shared" si="459"/>
        <v>0</v>
      </c>
      <c r="EX70" s="58">
        <f t="shared" si="460"/>
        <v>0</v>
      </c>
      <c r="EY70" s="54">
        <f t="shared" si="461"/>
        <v>0</v>
      </c>
      <c r="EZ70" s="58">
        <f t="shared" si="462"/>
        <v>0</v>
      </c>
      <c r="FA70" s="56">
        <f t="shared" si="463"/>
        <v>0</v>
      </c>
      <c r="FB70" s="58">
        <f t="shared" si="464"/>
        <v>0</v>
      </c>
      <c r="FC70" s="54">
        <f t="shared" si="465"/>
        <v>0</v>
      </c>
      <c r="FD70" s="58">
        <f t="shared" si="466"/>
        <v>0</v>
      </c>
      <c r="FE70" s="56">
        <f t="shared" si="467"/>
        <v>0</v>
      </c>
      <c r="FF70" s="58">
        <f t="shared" si="468"/>
        <v>0</v>
      </c>
      <c r="FG70" s="59">
        <f t="shared" si="469"/>
        <v>0</v>
      </c>
      <c r="FH70" s="58">
        <f t="shared" si="470"/>
        <v>0</v>
      </c>
      <c r="FI70" s="56">
        <f t="shared" si="471"/>
        <v>0</v>
      </c>
      <c r="FJ70" s="58">
        <f t="shared" si="472"/>
        <v>0</v>
      </c>
      <c r="FK70" s="54">
        <f t="shared" si="473"/>
        <v>0</v>
      </c>
      <c r="FL70" s="58">
        <f t="shared" si="474"/>
        <v>0</v>
      </c>
      <c r="FM70" s="59">
        <f t="shared" si="475"/>
        <v>0</v>
      </c>
      <c r="FN70" s="58">
        <f t="shared" si="476"/>
        <v>0</v>
      </c>
      <c r="FO70" s="59">
        <f t="shared" si="477"/>
        <v>0</v>
      </c>
      <c r="FP70" s="58">
        <f t="shared" si="478"/>
        <v>0</v>
      </c>
      <c r="FQ70" s="59">
        <f t="shared" si="479"/>
        <v>0</v>
      </c>
      <c r="FR70" s="58">
        <f t="shared" si="480"/>
        <v>0</v>
      </c>
      <c r="FS70" s="54">
        <f t="shared" si="481"/>
        <v>0</v>
      </c>
      <c r="FT70" s="58">
        <f t="shared" si="482"/>
        <v>0</v>
      </c>
      <c r="FU70" s="59">
        <f t="shared" si="483"/>
        <v>0</v>
      </c>
      <c r="FV70" s="58">
        <f t="shared" si="484"/>
        <v>0</v>
      </c>
      <c r="FW70" s="59">
        <f t="shared" si="485"/>
        <v>0</v>
      </c>
      <c r="FX70" s="58">
        <f t="shared" si="486"/>
        <v>0</v>
      </c>
      <c r="FY70" s="59">
        <f t="shared" si="487"/>
        <v>0</v>
      </c>
      <c r="FZ70" s="58">
        <f t="shared" si="488"/>
        <v>0</v>
      </c>
      <c r="GA70" s="59">
        <f t="shared" si="489"/>
        <v>0</v>
      </c>
      <c r="GB70" s="58">
        <f t="shared" si="490"/>
        <v>0</v>
      </c>
      <c r="GC70" s="54">
        <f t="shared" si="491"/>
        <v>0</v>
      </c>
      <c r="GD70" s="58">
        <f t="shared" si="492"/>
        <v>0</v>
      </c>
      <c r="GE70" s="59">
        <f t="shared" si="493"/>
        <v>0</v>
      </c>
      <c r="GF70" s="58">
        <f t="shared" si="494"/>
        <v>0</v>
      </c>
      <c r="GG70" s="59">
        <f t="shared" si="495"/>
        <v>0</v>
      </c>
      <c r="GH70" s="58">
        <f t="shared" si="496"/>
        <v>0</v>
      </c>
      <c r="GI70" s="54">
        <f t="shared" si="497"/>
        <v>0</v>
      </c>
      <c r="GJ70" s="58">
        <f t="shared" si="498"/>
        <v>0</v>
      </c>
      <c r="GK70" s="54"/>
      <c r="GL70" s="54"/>
      <c r="GM70" s="54">
        <v>1</v>
      </c>
      <c r="GN70" s="54">
        <v>0.97</v>
      </c>
      <c r="GO70" s="54">
        <v>0.95</v>
      </c>
      <c r="GP70" s="54">
        <v>0.93</v>
      </c>
      <c r="GQ70" s="54">
        <f t="shared" si="501"/>
        <v>0.91</v>
      </c>
      <c r="GR70" s="54">
        <f t="shared" si="501"/>
        <v>0.89</v>
      </c>
      <c r="GS70" s="54">
        <f t="shared" si="501"/>
        <v>0.87</v>
      </c>
      <c r="GT70" s="54">
        <f t="shared" si="501"/>
        <v>0.85</v>
      </c>
      <c r="GU70" s="54">
        <f t="shared" si="501"/>
        <v>0.83</v>
      </c>
      <c r="GV70" s="54">
        <f t="shared" si="501"/>
        <v>0.80999999999999994</v>
      </c>
      <c r="GW70" s="54">
        <f t="shared" si="501"/>
        <v>0.78999999999999992</v>
      </c>
      <c r="GX70" s="54">
        <f t="shared" si="501"/>
        <v>0.76999999999999991</v>
      </c>
      <c r="GY70" s="54">
        <f t="shared" si="501"/>
        <v>0.74999999999999989</v>
      </c>
      <c r="GZ70" s="54">
        <f t="shared" si="501"/>
        <v>0.72999999999999987</v>
      </c>
      <c r="HA70" s="54">
        <f t="shared" si="501"/>
        <v>0.70999999999999985</v>
      </c>
      <c r="HB70" s="54">
        <f t="shared" si="501"/>
        <v>0.68999999999999984</v>
      </c>
      <c r="HC70" s="54">
        <f t="shared" si="501"/>
        <v>0.66999999999999982</v>
      </c>
      <c r="HD70" s="54">
        <f t="shared" si="501"/>
        <v>0.6499999999999998</v>
      </c>
      <c r="HE70" s="54">
        <f t="shared" si="501"/>
        <v>0.62999999999999978</v>
      </c>
      <c r="HF70" s="54">
        <f t="shared" si="501"/>
        <v>0.60999999999999976</v>
      </c>
      <c r="HG70" s="54">
        <f t="shared" si="501"/>
        <v>0.58999999999999975</v>
      </c>
      <c r="HH70" s="54">
        <f t="shared" si="501"/>
        <v>0.56999999999999973</v>
      </c>
    </row>
    <row r="71" spans="1:216" x14ac:dyDescent="0.3">
      <c r="A71" s="2">
        <v>9</v>
      </c>
      <c r="C71" s="38" t="s">
        <v>153</v>
      </c>
      <c r="D71" s="42">
        <v>0</v>
      </c>
      <c r="E71" s="72">
        <f t="shared" si="503"/>
        <v>0</v>
      </c>
      <c r="H71" s="54">
        <f t="shared" si="61"/>
        <v>0</v>
      </c>
      <c r="I71" s="54">
        <f t="shared" si="62"/>
        <v>0</v>
      </c>
      <c r="J71" s="58">
        <f t="shared" si="63"/>
        <v>0</v>
      </c>
      <c r="K71" s="54">
        <f t="shared" si="369"/>
        <v>0</v>
      </c>
      <c r="L71" s="58">
        <f t="shared" si="370"/>
        <v>0</v>
      </c>
      <c r="M71" s="54">
        <f t="shared" si="371"/>
        <v>0</v>
      </c>
      <c r="N71" s="58">
        <f t="shared" si="372"/>
        <v>0</v>
      </c>
      <c r="O71" s="54">
        <f t="shared" si="373"/>
        <v>0</v>
      </c>
      <c r="P71" s="58">
        <f t="shared" si="374"/>
        <v>0</v>
      </c>
      <c r="Q71" s="56">
        <f t="shared" si="375"/>
        <v>0</v>
      </c>
      <c r="R71" s="58">
        <f t="shared" si="376"/>
        <v>0</v>
      </c>
      <c r="S71" s="54">
        <f t="shared" si="377"/>
        <v>0</v>
      </c>
      <c r="T71" s="58">
        <f t="shared" si="378"/>
        <v>0</v>
      </c>
      <c r="U71" s="56">
        <f t="shared" si="379"/>
        <v>0</v>
      </c>
      <c r="V71" s="58">
        <f t="shared" si="380"/>
        <v>0</v>
      </c>
      <c r="W71" s="59">
        <f t="shared" si="381"/>
        <v>0</v>
      </c>
      <c r="X71" s="58">
        <f t="shared" si="382"/>
        <v>0</v>
      </c>
      <c r="Y71" s="56">
        <f t="shared" si="383"/>
        <v>0</v>
      </c>
      <c r="Z71" s="58">
        <f t="shared" si="384"/>
        <v>0</v>
      </c>
      <c r="AA71" s="54">
        <f t="shared" si="385"/>
        <v>0</v>
      </c>
      <c r="AB71" s="58">
        <f t="shared" si="386"/>
        <v>0</v>
      </c>
      <c r="AC71" s="59">
        <f t="shared" si="387"/>
        <v>0</v>
      </c>
      <c r="AD71" s="58">
        <f t="shared" si="388"/>
        <v>0</v>
      </c>
      <c r="AE71" s="59">
        <f t="shared" si="389"/>
        <v>0</v>
      </c>
      <c r="AF71" s="58">
        <f t="shared" si="390"/>
        <v>0</v>
      </c>
      <c r="AG71" s="59">
        <f t="shared" si="391"/>
        <v>0</v>
      </c>
      <c r="AH71" s="58">
        <f t="shared" si="392"/>
        <v>0</v>
      </c>
      <c r="AI71" s="54">
        <f t="shared" si="393"/>
        <v>0</v>
      </c>
      <c r="AJ71" s="58">
        <f t="shared" si="394"/>
        <v>0</v>
      </c>
      <c r="AK71" s="59">
        <f t="shared" si="395"/>
        <v>0</v>
      </c>
      <c r="AL71" s="58">
        <f t="shared" si="396"/>
        <v>0</v>
      </c>
      <c r="AM71" s="59">
        <f t="shared" si="397"/>
        <v>0</v>
      </c>
      <c r="AN71" s="58">
        <f t="shared" si="398"/>
        <v>0</v>
      </c>
      <c r="AO71" s="59">
        <f t="shared" si="399"/>
        <v>0</v>
      </c>
      <c r="AP71" s="58">
        <f t="shared" si="400"/>
        <v>0</v>
      </c>
      <c r="AQ71" s="59">
        <f t="shared" si="401"/>
        <v>0</v>
      </c>
      <c r="AR71" s="58">
        <f t="shared" si="402"/>
        <v>0</v>
      </c>
      <c r="AS71" s="54">
        <f t="shared" si="403"/>
        <v>0</v>
      </c>
      <c r="AT71" s="58">
        <f t="shared" si="404"/>
        <v>0</v>
      </c>
      <c r="AU71" s="59">
        <f t="shared" si="405"/>
        <v>0</v>
      </c>
      <c r="AV71" s="58">
        <f t="shared" si="406"/>
        <v>0</v>
      </c>
      <c r="AW71" s="59">
        <f t="shared" si="407"/>
        <v>0</v>
      </c>
      <c r="AX71" s="58">
        <f t="shared" si="408"/>
        <v>0</v>
      </c>
      <c r="AY71" s="54">
        <f t="shared" si="409"/>
        <v>0</v>
      </c>
      <c r="AZ71" s="58">
        <f t="shared" si="410"/>
        <v>0</v>
      </c>
      <c r="BC71" s="54">
        <v>1</v>
      </c>
      <c r="BD71" s="54">
        <v>0.97</v>
      </c>
      <c r="BE71" s="54">
        <v>0.95</v>
      </c>
      <c r="BF71" s="54">
        <v>0.93</v>
      </c>
      <c r="BG71" s="54">
        <f t="shared" si="411"/>
        <v>0.91</v>
      </c>
      <c r="BH71" s="54">
        <f t="shared" si="411"/>
        <v>0.89</v>
      </c>
      <c r="BI71" s="54">
        <f t="shared" si="411"/>
        <v>0.87</v>
      </c>
      <c r="BJ71" s="54">
        <f t="shared" si="411"/>
        <v>0.85</v>
      </c>
      <c r="BK71" s="54">
        <f t="shared" si="411"/>
        <v>0.83</v>
      </c>
      <c r="BL71" s="54">
        <f t="shared" si="411"/>
        <v>0.80999999999999994</v>
      </c>
      <c r="BM71" s="54">
        <f t="shared" si="411"/>
        <v>0.78999999999999992</v>
      </c>
      <c r="BN71" s="54">
        <f t="shared" si="411"/>
        <v>0.76999999999999991</v>
      </c>
      <c r="BO71" s="54">
        <f t="shared" si="411"/>
        <v>0.74999999999999989</v>
      </c>
      <c r="BP71" s="54">
        <f t="shared" si="411"/>
        <v>0.72999999999999987</v>
      </c>
      <c r="BQ71" s="54">
        <f t="shared" si="411"/>
        <v>0.70999999999999985</v>
      </c>
      <c r="BR71" s="54">
        <f t="shared" si="411"/>
        <v>0.68999999999999984</v>
      </c>
      <c r="BS71" s="54">
        <f t="shared" si="411"/>
        <v>0.66999999999999982</v>
      </c>
      <c r="BT71" s="54">
        <f t="shared" si="411"/>
        <v>0.6499999999999998</v>
      </c>
      <c r="BU71" s="54">
        <f t="shared" si="411"/>
        <v>0.62999999999999978</v>
      </c>
      <c r="BV71" s="54">
        <f t="shared" si="411"/>
        <v>0.60999999999999976</v>
      </c>
      <c r="BW71" s="54">
        <f t="shared" si="411"/>
        <v>0.58999999999999975</v>
      </c>
      <c r="BX71" s="54">
        <f t="shared" si="411"/>
        <v>0.56999999999999973</v>
      </c>
      <c r="BZ71" s="54">
        <f t="shared" si="88"/>
        <v>0</v>
      </c>
      <c r="CA71" s="54">
        <f t="shared" si="89"/>
        <v>0</v>
      </c>
      <c r="CB71" s="58">
        <f t="shared" si="412"/>
        <v>0</v>
      </c>
      <c r="CC71" s="54">
        <f t="shared" si="413"/>
        <v>0</v>
      </c>
      <c r="CD71" s="58">
        <f t="shared" si="414"/>
        <v>0</v>
      </c>
      <c r="CE71" s="54">
        <f t="shared" si="415"/>
        <v>0</v>
      </c>
      <c r="CF71" s="58">
        <f t="shared" si="416"/>
        <v>0</v>
      </c>
      <c r="CG71" s="54">
        <f t="shared" si="417"/>
        <v>0</v>
      </c>
      <c r="CH71" s="58">
        <f t="shared" si="418"/>
        <v>0</v>
      </c>
      <c r="CI71" s="56">
        <f t="shared" si="419"/>
        <v>0</v>
      </c>
      <c r="CJ71" s="58">
        <f t="shared" si="420"/>
        <v>0</v>
      </c>
      <c r="CK71" s="54">
        <f t="shared" si="421"/>
        <v>0</v>
      </c>
      <c r="CL71" s="58">
        <f t="shared" si="422"/>
        <v>0</v>
      </c>
      <c r="CM71" s="56">
        <f t="shared" si="423"/>
        <v>0</v>
      </c>
      <c r="CN71" s="58">
        <f t="shared" si="424"/>
        <v>0</v>
      </c>
      <c r="CO71" s="59">
        <f t="shared" si="425"/>
        <v>0</v>
      </c>
      <c r="CP71" s="58">
        <f t="shared" si="426"/>
        <v>0</v>
      </c>
      <c r="CQ71" s="56">
        <f t="shared" si="427"/>
        <v>0</v>
      </c>
      <c r="CR71" s="58">
        <f t="shared" si="428"/>
        <v>0</v>
      </c>
      <c r="CS71" s="54">
        <f t="shared" si="429"/>
        <v>0</v>
      </c>
      <c r="CT71" s="58">
        <f t="shared" si="430"/>
        <v>0</v>
      </c>
      <c r="CU71" s="59">
        <f t="shared" si="431"/>
        <v>0</v>
      </c>
      <c r="CV71" s="58">
        <f t="shared" si="432"/>
        <v>0</v>
      </c>
      <c r="CW71" s="59">
        <f t="shared" si="433"/>
        <v>0</v>
      </c>
      <c r="CX71" s="58">
        <f t="shared" si="434"/>
        <v>0</v>
      </c>
      <c r="CY71" s="59">
        <f t="shared" si="435"/>
        <v>0</v>
      </c>
      <c r="CZ71" s="58">
        <f t="shared" si="436"/>
        <v>0</v>
      </c>
      <c r="DA71" s="54">
        <f t="shared" si="437"/>
        <v>0</v>
      </c>
      <c r="DB71" s="58">
        <f t="shared" si="438"/>
        <v>0</v>
      </c>
      <c r="DC71" s="59">
        <f t="shared" si="439"/>
        <v>0</v>
      </c>
      <c r="DD71" s="58">
        <f t="shared" si="440"/>
        <v>0</v>
      </c>
      <c r="DE71" s="59">
        <f t="shared" si="441"/>
        <v>0</v>
      </c>
      <c r="DF71" s="58">
        <f t="shared" si="442"/>
        <v>0</v>
      </c>
      <c r="DG71" s="59">
        <f t="shared" si="443"/>
        <v>0</v>
      </c>
      <c r="DH71" s="58">
        <f t="shared" si="444"/>
        <v>0</v>
      </c>
      <c r="DI71" s="59">
        <f t="shared" si="445"/>
        <v>0</v>
      </c>
      <c r="DJ71" s="58">
        <f t="shared" si="446"/>
        <v>0</v>
      </c>
      <c r="DK71" s="54">
        <f t="shared" si="447"/>
        <v>0</v>
      </c>
      <c r="DL71" s="58">
        <f t="shared" si="448"/>
        <v>0</v>
      </c>
      <c r="DM71" s="59">
        <f t="shared" si="449"/>
        <v>0</v>
      </c>
      <c r="DN71" s="58">
        <f t="shared" si="450"/>
        <v>0</v>
      </c>
      <c r="DO71" s="59">
        <f t="shared" si="451"/>
        <v>0</v>
      </c>
      <c r="DP71" s="58">
        <f t="shared" si="452"/>
        <v>0</v>
      </c>
      <c r="DQ71" s="54">
        <f t="shared" si="453"/>
        <v>0</v>
      </c>
      <c r="DR71" s="58">
        <f t="shared" si="454"/>
        <v>0</v>
      </c>
      <c r="DU71" s="54">
        <v>1</v>
      </c>
      <c r="DV71" s="54">
        <v>0.97</v>
      </c>
      <c r="DW71" s="54">
        <v>0.95</v>
      </c>
      <c r="DX71" s="54">
        <v>0.93</v>
      </c>
      <c r="DY71" s="54">
        <f t="shared" si="500"/>
        <v>0.91</v>
      </c>
      <c r="DZ71" s="54">
        <f t="shared" si="500"/>
        <v>0.89</v>
      </c>
      <c r="EA71" s="54">
        <f t="shared" si="500"/>
        <v>0.87</v>
      </c>
      <c r="EB71" s="54">
        <f t="shared" si="500"/>
        <v>0.85</v>
      </c>
      <c r="EC71" s="54">
        <f t="shared" si="500"/>
        <v>0.83</v>
      </c>
      <c r="ED71" s="54">
        <f t="shared" si="500"/>
        <v>0.80999999999999994</v>
      </c>
      <c r="EE71" s="54">
        <f t="shared" si="500"/>
        <v>0.78999999999999992</v>
      </c>
      <c r="EF71" s="54">
        <f t="shared" si="500"/>
        <v>0.76999999999999991</v>
      </c>
      <c r="EG71" s="54">
        <f t="shared" si="500"/>
        <v>0.74999999999999989</v>
      </c>
      <c r="EH71" s="54">
        <f t="shared" si="500"/>
        <v>0.72999999999999987</v>
      </c>
      <c r="EI71" s="54">
        <f t="shared" si="500"/>
        <v>0.70999999999999985</v>
      </c>
      <c r="EJ71" s="54">
        <f t="shared" si="500"/>
        <v>0.68999999999999984</v>
      </c>
      <c r="EK71" s="54">
        <f t="shared" si="500"/>
        <v>0.66999999999999982</v>
      </c>
      <c r="EL71" s="54">
        <f t="shared" si="500"/>
        <v>0.6499999999999998</v>
      </c>
      <c r="EM71" s="54">
        <f t="shared" si="500"/>
        <v>0.62999999999999978</v>
      </c>
      <c r="EN71" s="54">
        <f t="shared" si="500"/>
        <v>0.60999999999999976</v>
      </c>
      <c r="EO71" s="54">
        <f t="shared" si="500"/>
        <v>0.58999999999999975</v>
      </c>
      <c r="EP71" s="54">
        <f t="shared" si="500"/>
        <v>0.56999999999999973</v>
      </c>
      <c r="ER71" s="54">
        <f t="shared" si="142"/>
        <v>0</v>
      </c>
      <c r="ES71" s="54">
        <f t="shared" si="116"/>
        <v>0</v>
      </c>
      <c r="ET71" s="58">
        <f t="shared" si="456"/>
        <v>0</v>
      </c>
      <c r="EU71" s="54">
        <f t="shared" si="457"/>
        <v>0</v>
      </c>
      <c r="EV71" s="58">
        <f t="shared" si="458"/>
        <v>0</v>
      </c>
      <c r="EW71" s="54">
        <f t="shared" si="459"/>
        <v>0</v>
      </c>
      <c r="EX71" s="58">
        <f t="shared" si="460"/>
        <v>0</v>
      </c>
      <c r="EY71" s="54">
        <f t="shared" si="461"/>
        <v>0</v>
      </c>
      <c r="EZ71" s="58">
        <f t="shared" si="462"/>
        <v>0</v>
      </c>
      <c r="FA71" s="56">
        <f t="shared" si="463"/>
        <v>0</v>
      </c>
      <c r="FB71" s="58">
        <f t="shared" si="464"/>
        <v>0</v>
      </c>
      <c r="FC71" s="54">
        <f t="shared" si="465"/>
        <v>0</v>
      </c>
      <c r="FD71" s="58">
        <f t="shared" si="466"/>
        <v>0</v>
      </c>
      <c r="FE71" s="56">
        <f t="shared" si="467"/>
        <v>0</v>
      </c>
      <c r="FF71" s="58">
        <f t="shared" si="468"/>
        <v>0</v>
      </c>
      <c r="FG71" s="59">
        <f t="shared" si="469"/>
        <v>0</v>
      </c>
      <c r="FH71" s="58">
        <f t="shared" si="470"/>
        <v>0</v>
      </c>
      <c r="FI71" s="56">
        <f t="shared" si="471"/>
        <v>0</v>
      </c>
      <c r="FJ71" s="58">
        <f t="shared" si="472"/>
        <v>0</v>
      </c>
      <c r="FK71" s="54">
        <f t="shared" si="473"/>
        <v>0</v>
      </c>
      <c r="FL71" s="58">
        <f t="shared" si="474"/>
        <v>0</v>
      </c>
      <c r="FM71" s="59">
        <f t="shared" si="475"/>
        <v>0</v>
      </c>
      <c r="FN71" s="58">
        <f t="shared" si="476"/>
        <v>0</v>
      </c>
      <c r="FO71" s="59">
        <f t="shared" si="477"/>
        <v>0</v>
      </c>
      <c r="FP71" s="58">
        <f t="shared" si="478"/>
        <v>0</v>
      </c>
      <c r="FQ71" s="59">
        <f t="shared" si="479"/>
        <v>0</v>
      </c>
      <c r="FR71" s="58">
        <f t="shared" si="480"/>
        <v>0</v>
      </c>
      <c r="FS71" s="54">
        <f t="shared" si="481"/>
        <v>0</v>
      </c>
      <c r="FT71" s="58">
        <f t="shared" si="482"/>
        <v>0</v>
      </c>
      <c r="FU71" s="59">
        <f t="shared" si="483"/>
        <v>0</v>
      </c>
      <c r="FV71" s="58">
        <f t="shared" si="484"/>
        <v>0</v>
      </c>
      <c r="FW71" s="59">
        <f t="shared" si="485"/>
        <v>0</v>
      </c>
      <c r="FX71" s="58">
        <f t="shared" si="486"/>
        <v>0</v>
      </c>
      <c r="FY71" s="59">
        <f t="shared" si="487"/>
        <v>0</v>
      </c>
      <c r="FZ71" s="58">
        <f t="shared" si="488"/>
        <v>0</v>
      </c>
      <c r="GA71" s="59">
        <f t="shared" si="489"/>
        <v>0</v>
      </c>
      <c r="GB71" s="58">
        <f t="shared" si="490"/>
        <v>0</v>
      </c>
      <c r="GC71" s="54">
        <f t="shared" si="491"/>
        <v>0</v>
      </c>
      <c r="GD71" s="58">
        <f t="shared" si="492"/>
        <v>0</v>
      </c>
      <c r="GE71" s="59">
        <f t="shared" si="493"/>
        <v>0</v>
      </c>
      <c r="GF71" s="58">
        <f t="shared" si="494"/>
        <v>0</v>
      </c>
      <c r="GG71" s="59">
        <f t="shared" si="495"/>
        <v>0</v>
      </c>
      <c r="GH71" s="58">
        <f t="shared" si="496"/>
        <v>0</v>
      </c>
      <c r="GI71" s="54">
        <f t="shared" si="497"/>
        <v>0</v>
      </c>
      <c r="GJ71" s="58">
        <f t="shared" si="498"/>
        <v>0</v>
      </c>
      <c r="GK71" s="54"/>
      <c r="GL71" s="54"/>
      <c r="GM71" s="54">
        <v>1</v>
      </c>
      <c r="GN71" s="54">
        <v>0.97</v>
      </c>
      <c r="GO71" s="54">
        <v>0.95</v>
      </c>
      <c r="GP71" s="54">
        <v>0.93</v>
      </c>
      <c r="GQ71" s="54">
        <f t="shared" si="501"/>
        <v>0.91</v>
      </c>
      <c r="GR71" s="54">
        <f t="shared" si="501"/>
        <v>0.89</v>
      </c>
      <c r="GS71" s="54">
        <f t="shared" si="501"/>
        <v>0.87</v>
      </c>
      <c r="GT71" s="54">
        <f t="shared" si="501"/>
        <v>0.85</v>
      </c>
      <c r="GU71" s="54">
        <f t="shared" si="501"/>
        <v>0.83</v>
      </c>
      <c r="GV71" s="54">
        <f t="shared" si="501"/>
        <v>0.80999999999999994</v>
      </c>
      <c r="GW71" s="54">
        <f t="shared" si="501"/>
        <v>0.78999999999999992</v>
      </c>
      <c r="GX71" s="54">
        <f t="shared" si="501"/>
        <v>0.76999999999999991</v>
      </c>
      <c r="GY71" s="54">
        <f t="shared" si="501"/>
        <v>0.74999999999999989</v>
      </c>
      <c r="GZ71" s="54">
        <f t="shared" si="501"/>
        <v>0.72999999999999987</v>
      </c>
      <c r="HA71" s="54">
        <f t="shared" si="501"/>
        <v>0.70999999999999985</v>
      </c>
      <c r="HB71" s="54">
        <f t="shared" si="501"/>
        <v>0.68999999999999984</v>
      </c>
      <c r="HC71" s="54">
        <f t="shared" si="501"/>
        <v>0.66999999999999982</v>
      </c>
      <c r="HD71" s="54">
        <f t="shared" si="501"/>
        <v>0.6499999999999998</v>
      </c>
      <c r="HE71" s="54">
        <f t="shared" si="501"/>
        <v>0.62999999999999978</v>
      </c>
      <c r="HF71" s="54">
        <f t="shared" si="501"/>
        <v>0.60999999999999976</v>
      </c>
      <c r="HG71" s="54">
        <f t="shared" si="501"/>
        <v>0.58999999999999975</v>
      </c>
      <c r="HH71" s="54">
        <f t="shared" si="501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2">
        <f t="shared" si="503"/>
        <v>0</v>
      </c>
      <c r="H72" s="54">
        <f t="shared" si="61"/>
        <v>0</v>
      </c>
      <c r="I72" s="54">
        <f t="shared" si="62"/>
        <v>0</v>
      </c>
      <c r="J72" s="58">
        <f t="shared" si="63"/>
        <v>0</v>
      </c>
      <c r="K72" s="54">
        <f t="shared" si="369"/>
        <v>0</v>
      </c>
      <c r="L72" s="58">
        <f t="shared" si="370"/>
        <v>0</v>
      </c>
      <c r="M72" s="54">
        <f t="shared" si="371"/>
        <v>0</v>
      </c>
      <c r="N72" s="58">
        <f t="shared" si="372"/>
        <v>0</v>
      </c>
      <c r="O72" s="54">
        <f t="shared" si="373"/>
        <v>0</v>
      </c>
      <c r="P72" s="58">
        <f t="shared" si="374"/>
        <v>0</v>
      </c>
      <c r="Q72" s="56">
        <f t="shared" si="375"/>
        <v>0</v>
      </c>
      <c r="R72" s="58">
        <f t="shared" si="376"/>
        <v>0</v>
      </c>
      <c r="S72" s="54">
        <f t="shared" si="377"/>
        <v>0</v>
      </c>
      <c r="T72" s="58">
        <f t="shared" si="378"/>
        <v>0</v>
      </c>
      <c r="U72" s="56">
        <f t="shared" si="379"/>
        <v>0</v>
      </c>
      <c r="V72" s="58">
        <f t="shared" si="380"/>
        <v>0</v>
      </c>
      <c r="W72" s="59">
        <f t="shared" si="381"/>
        <v>0</v>
      </c>
      <c r="X72" s="58">
        <f t="shared" si="382"/>
        <v>0</v>
      </c>
      <c r="Y72" s="56">
        <f t="shared" si="383"/>
        <v>0</v>
      </c>
      <c r="Z72" s="58">
        <f t="shared" si="384"/>
        <v>0</v>
      </c>
      <c r="AA72" s="54">
        <f t="shared" si="385"/>
        <v>0</v>
      </c>
      <c r="AB72" s="58">
        <f t="shared" si="386"/>
        <v>0</v>
      </c>
      <c r="AC72" s="59">
        <f t="shared" si="387"/>
        <v>0</v>
      </c>
      <c r="AD72" s="58">
        <f t="shared" si="388"/>
        <v>0</v>
      </c>
      <c r="AE72" s="59">
        <f t="shared" si="389"/>
        <v>0</v>
      </c>
      <c r="AF72" s="58">
        <f t="shared" si="390"/>
        <v>0</v>
      </c>
      <c r="AG72" s="59">
        <f t="shared" si="391"/>
        <v>0</v>
      </c>
      <c r="AH72" s="58">
        <f t="shared" si="392"/>
        <v>0</v>
      </c>
      <c r="AI72" s="54">
        <f t="shared" si="393"/>
        <v>0</v>
      </c>
      <c r="AJ72" s="58">
        <f t="shared" si="394"/>
        <v>0</v>
      </c>
      <c r="AK72" s="59">
        <f t="shared" si="395"/>
        <v>0</v>
      </c>
      <c r="AL72" s="58">
        <f t="shared" si="396"/>
        <v>0</v>
      </c>
      <c r="AM72" s="59">
        <f t="shared" si="397"/>
        <v>0</v>
      </c>
      <c r="AN72" s="58">
        <f t="shared" si="398"/>
        <v>0</v>
      </c>
      <c r="AO72" s="59">
        <f t="shared" si="399"/>
        <v>0</v>
      </c>
      <c r="AP72" s="58">
        <f t="shared" si="400"/>
        <v>0</v>
      </c>
      <c r="AQ72" s="59">
        <f t="shared" si="401"/>
        <v>0</v>
      </c>
      <c r="AR72" s="58">
        <f t="shared" si="402"/>
        <v>0</v>
      </c>
      <c r="AS72" s="54">
        <f t="shared" si="403"/>
        <v>0</v>
      </c>
      <c r="AT72" s="58">
        <f t="shared" si="404"/>
        <v>0</v>
      </c>
      <c r="AU72" s="59">
        <f t="shared" si="405"/>
        <v>0</v>
      </c>
      <c r="AV72" s="58">
        <f t="shared" si="406"/>
        <v>0</v>
      </c>
      <c r="AW72" s="59">
        <f t="shared" si="407"/>
        <v>0</v>
      </c>
      <c r="AX72" s="58">
        <f t="shared" si="408"/>
        <v>0</v>
      </c>
      <c r="AY72" s="54">
        <f t="shared" si="409"/>
        <v>0</v>
      </c>
      <c r="AZ72" s="58">
        <f t="shared" si="410"/>
        <v>0</v>
      </c>
      <c r="BC72" s="54">
        <v>1</v>
      </c>
      <c r="BD72" s="54">
        <v>0.97</v>
      </c>
      <c r="BE72" s="54">
        <v>0.95</v>
      </c>
      <c r="BF72" s="54">
        <v>0.93</v>
      </c>
      <c r="BG72" s="54">
        <f t="shared" si="411"/>
        <v>0.91</v>
      </c>
      <c r="BH72" s="54">
        <f t="shared" si="411"/>
        <v>0.89</v>
      </c>
      <c r="BI72" s="54">
        <f t="shared" si="411"/>
        <v>0.87</v>
      </c>
      <c r="BJ72" s="54">
        <f t="shared" si="411"/>
        <v>0.85</v>
      </c>
      <c r="BK72" s="54">
        <f t="shared" si="411"/>
        <v>0.83</v>
      </c>
      <c r="BL72" s="54">
        <f t="shared" si="411"/>
        <v>0.80999999999999994</v>
      </c>
      <c r="BM72" s="54">
        <f t="shared" si="411"/>
        <v>0.78999999999999992</v>
      </c>
      <c r="BN72" s="54">
        <f t="shared" si="411"/>
        <v>0.76999999999999991</v>
      </c>
      <c r="BO72" s="54">
        <f t="shared" si="411"/>
        <v>0.74999999999999989</v>
      </c>
      <c r="BP72" s="54">
        <f t="shared" si="411"/>
        <v>0.72999999999999987</v>
      </c>
      <c r="BQ72" s="54">
        <f t="shared" si="411"/>
        <v>0.70999999999999985</v>
      </c>
      <c r="BR72" s="54">
        <f t="shared" si="411"/>
        <v>0.68999999999999984</v>
      </c>
      <c r="BS72" s="54">
        <f t="shared" si="411"/>
        <v>0.66999999999999982</v>
      </c>
      <c r="BT72" s="54">
        <f t="shared" si="411"/>
        <v>0.6499999999999998</v>
      </c>
      <c r="BU72" s="54">
        <f t="shared" si="411"/>
        <v>0.62999999999999978</v>
      </c>
      <c r="BV72" s="54">
        <f t="shared" si="411"/>
        <v>0.60999999999999976</v>
      </c>
      <c r="BW72" s="54">
        <f t="shared" si="411"/>
        <v>0.58999999999999975</v>
      </c>
      <c r="BX72" s="54">
        <f t="shared" si="411"/>
        <v>0.56999999999999973</v>
      </c>
      <c r="BZ72" s="54">
        <f t="shared" si="88"/>
        <v>0</v>
      </c>
      <c r="CA72" s="54">
        <f t="shared" si="89"/>
        <v>0</v>
      </c>
      <c r="CB72" s="58">
        <f t="shared" si="412"/>
        <v>0</v>
      </c>
      <c r="CC72" s="54">
        <f t="shared" si="413"/>
        <v>0</v>
      </c>
      <c r="CD72" s="58">
        <f t="shared" si="414"/>
        <v>0</v>
      </c>
      <c r="CE72" s="54">
        <f t="shared" si="415"/>
        <v>0</v>
      </c>
      <c r="CF72" s="58">
        <f t="shared" si="416"/>
        <v>0</v>
      </c>
      <c r="CG72" s="54">
        <f t="shared" si="417"/>
        <v>0</v>
      </c>
      <c r="CH72" s="58">
        <f t="shared" si="418"/>
        <v>0</v>
      </c>
      <c r="CI72" s="56">
        <f t="shared" si="419"/>
        <v>0</v>
      </c>
      <c r="CJ72" s="58">
        <f t="shared" si="420"/>
        <v>0</v>
      </c>
      <c r="CK72" s="54">
        <f t="shared" si="421"/>
        <v>0</v>
      </c>
      <c r="CL72" s="58">
        <f t="shared" si="422"/>
        <v>0</v>
      </c>
      <c r="CM72" s="56">
        <f t="shared" si="423"/>
        <v>0</v>
      </c>
      <c r="CN72" s="58">
        <f t="shared" si="424"/>
        <v>0</v>
      </c>
      <c r="CO72" s="59">
        <f t="shared" si="425"/>
        <v>0</v>
      </c>
      <c r="CP72" s="58">
        <f t="shared" si="426"/>
        <v>0</v>
      </c>
      <c r="CQ72" s="56">
        <f t="shared" si="427"/>
        <v>0</v>
      </c>
      <c r="CR72" s="58">
        <f t="shared" si="428"/>
        <v>0</v>
      </c>
      <c r="CS72" s="54">
        <f t="shared" si="429"/>
        <v>0</v>
      </c>
      <c r="CT72" s="58">
        <f t="shared" si="430"/>
        <v>0</v>
      </c>
      <c r="CU72" s="59">
        <f t="shared" si="431"/>
        <v>0</v>
      </c>
      <c r="CV72" s="58">
        <f t="shared" si="432"/>
        <v>0</v>
      </c>
      <c r="CW72" s="59">
        <f t="shared" si="433"/>
        <v>0</v>
      </c>
      <c r="CX72" s="58">
        <f t="shared" si="434"/>
        <v>0</v>
      </c>
      <c r="CY72" s="59">
        <f t="shared" si="435"/>
        <v>0</v>
      </c>
      <c r="CZ72" s="58">
        <f t="shared" si="436"/>
        <v>0</v>
      </c>
      <c r="DA72" s="54">
        <f t="shared" si="437"/>
        <v>0</v>
      </c>
      <c r="DB72" s="58">
        <f t="shared" si="438"/>
        <v>0</v>
      </c>
      <c r="DC72" s="59">
        <f t="shared" si="439"/>
        <v>0</v>
      </c>
      <c r="DD72" s="58">
        <f t="shared" si="440"/>
        <v>0</v>
      </c>
      <c r="DE72" s="59">
        <f t="shared" si="441"/>
        <v>0</v>
      </c>
      <c r="DF72" s="58">
        <f t="shared" si="442"/>
        <v>0</v>
      </c>
      <c r="DG72" s="59">
        <f t="shared" si="443"/>
        <v>0</v>
      </c>
      <c r="DH72" s="58">
        <f t="shared" si="444"/>
        <v>0</v>
      </c>
      <c r="DI72" s="59">
        <f t="shared" si="445"/>
        <v>0</v>
      </c>
      <c r="DJ72" s="58">
        <f t="shared" si="446"/>
        <v>0</v>
      </c>
      <c r="DK72" s="54">
        <f t="shared" si="447"/>
        <v>0</v>
      </c>
      <c r="DL72" s="58">
        <f t="shared" si="448"/>
        <v>0</v>
      </c>
      <c r="DM72" s="59">
        <f t="shared" si="449"/>
        <v>0</v>
      </c>
      <c r="DN72" s="58">
        <f t="shared" si="450"/>
        <v>0</v>
      </c>
      <c r="DO72" s="59">
        <f t="shared" si="451"/>
        <v>0</v>
      </c>
      <c r="DP72" s="58">
        <f t="shared" si="452"/>
        <v>0</v>
      </c>
      <c r="DQ72" s="54">
        <f t="shared" si="453"/>
        <v>0</v>
      </c>
      <c r="DR72" s="58">
        <f t="shared" si="454"/>
        <v>0</v>
      </c>
      <c r="DU72" s="54">
        <v>1</v>
      </c>
      <c r="DV72" s="54">
        <v>0.97</v>
      </c>
      <c r="DW72" s="54">
        <v>0.95</v>
      </c>
      <c r="DX72" s="54">
        <v>0.93</v>
      </c>
      <c r="DY72" s="54">
        <f t="shared" si="500"/>
        <v>0.91</v>
      </c>
      <c r="DZ72" s="54">
        <f t="shared" si="500"/>
        <v>0.89</v>
      </c>
      <c r="EA72" s="54">
        <f t="shared" si="500"/>
        <v>0.87</v>
      </c>
      <c r="EB72" s="54">
        <f t="shared" si="500"/>
        <v>0.85</v>
      </c>
      <c r="EC72" s="54">
        <f t="shared" si="500"/>
        <v>0.83</v>
      </c>
      <c r="ED72" s="54">
        <f t="shared" si="500"/>
        <v>0.80999999999999994</v>
      </c>
      <c r="EE72" s="54">
        <f t="shared" si="500"/>
        <v>0.78999999999999992</v>
      </c>
      <c r="EF72" s="54">
        <f t="shared" si="500"/>
        <v>0.76999999999999991</v>
      </c>
      <c r="EG72" s="54">
        <f t="shared" si="500"/>
        <v>0.74999999999999989</v>
      </c>
      <c r="EH72" s="54">
        <f t="shared" si="500"/>
        <v>0.72999999999999987</v>
      </c>
      <c r="EI72" s="54">
        <f t="shared" si="500"/>
        <v>0.70999999999999985</v>
      </c>
      <c r="EJ72" s="54">
        <f t="shared" si="500"/>
        <v>0.68999999999999984</v>
      </c>
      <c r="EK72" s="54">
        <f t="shared" si="500"/>
        <v>0.66999999999999982</v>
      </c>
      <c r="EL72" s="54">
        <f t="shared" si="500"/>
        <v>0.6499999999999998</v>
      </c>
      <c r="EM72" s="54">
        <f t="shared" si="500"/>
        <v>0.62999999999999978</v>
      </c>
      <c r="EN72" s="54">
        <f t="shared" si="500"/>
        <v>0.60999999999999976</v>
      </c>
      <c r="EO72" s="54">
        <f t="shared" si="500"/>
        <v>0.58999999999999975</v>
      </c>
      <c r="EP72" s="54">
        <f t="shared" si="500"/>
        <v>0.56999999999999973</v>
      </c>
      <c r="ER72" s="54">
        <f t="shared" si="142"/>
        <v>0</v>
      </c>
      <c r="ES72" s="54">
        <f t="shared" si="116"/>
        <v>0</v>
      </c>
      <c r="ET72" s="58">
        <f t="shared" si="456"/>
        <v>0</v>
      </c>
      <c r="EU72" s="54">
        <f t="shared" si="457"/>
        <v>0</v>
      </c>
      <c r="EV72" s="58">
        <f t="shared" si="458"/>
        <v>0</v>
      </c>
      <c r="EW72" s="54">
        <f t="shared" si="459"/>
        <v>0</v>
      </c>
      <c r="EX72" s="58">
        <f t="shared" si="460"/>
        <v>0</v>
      </c>
      <c r="EY72" s="54">
        <f t="shared" si="461"/>
        <v>0</v>
      </c>
      <c r="EZ72" s="58">
        <f t="shared" si="462"/>
        <v>0</v>
      </c>
      <c r="FA72" s="56">
        <f t="shared" si="463"/>
        <v>0</v>
      </c>
      <c r="FB72" s="58">
        <f t="shared" si="464"/>
        <v>0</v>
      </c>
      <c r="FC72" s="54">
        <f t="shared" si="465"/>
        <v>0</v>
      </c>
      <c r="FD72" s="58">
        <f t="shared" si="466"/>
        <v>0</v>
      </c>
      <c r="FE72" s="56">
        <f t="shared" si="467"/>
        <v>0</v>
      </c>
      <c r="FF72" s="58">
        <f t="shared" si="468"/>
        <v>0</v>
      </c>
      <c r="FG72" s="59">
        <f t="shared" si="469"/>
        <v>0</v>
      </c>
      <c r="FH72" s="58">
        <f t="shared" si="470"/>
        <v>0</v>
      </c>
      <c r="FI72" s="56">
        <f t="shared" si="471"/>
        <v>0</v>
      </c>
      <c r="FJ72" s="58">
        <f t="shared" si="472"/>
        <v>0</v>
      </c>
      <c r="FK72" s="54">
        <f t="shared" si="473"/>
        <v>0</v>
      </c>
      <c r="FL72" s="58">
        <f t="shared" si="474"/>
        <v>0</v>
      </c>
      <c r="FM72" s="59">
        <f t="shared" si="475"/>
        <v>0</v>
      </c>
      <c r="FN72" s="58">
        <f t="shared" si="476"/>
        <v>0</v>
      </c>
      <c r="FO72" s="59">
        <f t="shared" si="477"/>
        <v>0</v>
      </c>
      <c r="FP72" s="58">
        <f t="shared" si="478"/>
        <v>0</v>
      </c>
      <c r="FQ72" s="59">
        <f t="shared" si="479"/>
        <v>0</v>
      </c>
      <c r="FR72" s="58">
        <f t="shared" si="480"/>
        <v>0</v>
      </c>
      <c r="FS72" s="54">
        <f t="shared" si="481"/>
        <v>0</v>
      </c>
      <c r="FT72" s="58">
        <f t="shared" si="482"/>
        <v>0</v>
      </c>
      <c r="FU72" s="59">
        <f t="shared" si="483"/>
        <v>0</v>
      </c>
      <c r="FV72" s="58">
        <f t="shared" si="484"/>
        <v>0</v>
      </c>
      <c r="FW72" s="59">
        <f t="shared" si="485"/>
        <v>0</v>
      </c>
      <c r="FX72" s="58">
        <f t="shared" si="486"/>
        <v>0</v>
      </c>
      <c r="FY72" s="59">
        <f t="shared" si="487"/>
        <v>0</v>
      </c>
      <c r="FZ72" s="58">
        <f t="shared" si="488"/>
        <v>0</v>
      </c>
      <c r="GA72" s="59">
        <f t="shared" si="489"/>
        <v>0</v>
      </c>
      <c r="GB72" s="58">
        <f t="shared" si="490"/>
        <v>0</v>
      </c>
      <c r="GC72" s="54">
        <f t="shared" si="491"/>
        <v>0</v>
      </c>
      <c r="GD72" s="58">
        <f t="shared" si="492"/>
        <v>0</v>
      </c>
      <c r="GE72" s="59">
        <f t="shared" si="493"/>
        <v>0</v>
      </c>
      <c r="GF72" s="58">
        <f t="shared" si="494"/>
        <v>0</v>
      </c>
      <c r="GG72" s="59">
        <f t="shared" si="495"/>
        <v>0</v>
      </c>
      <c r="GH72" s="58">
        <f t="shared" si="496"/>
        <v>0</v>
      </c>
      <c r="GI72" s="54">
        <f t="shared" si="497"/>
        <v>0</v>
      </c>
      <c r="GJ72" s="58">
        <f t="shared" si="498"/>
        <v>0</v>
      </c>
      <c r="GK72" s="54"/>
      <c r="GL72" s="54"/>
      <c r="GM72" s="54">
        <v>1</v>
      </c>
      <c r="GN72" s="54">
        <v>0.97</v>
      </c>
      <c r="GO72" s="54">
        <v>0.95</v>
      </c>
      <c r="GP72" s="54">
        <v>0.93</v>
      </c>
      <c r="GQ72" s="54">
        <f t="shared" si="501"/>
        <v>0.91</v>
      </c>
      <c r="GR72" s="54">
        <f t="shared" si="501"/>
        <v>0.89</v>
      </c>
      <c r="GS72" s="54">
        <f t="shared" si="501"/>
        <v>0.87</v>
      </c>
      <c r="GT72" s="54">
        <f t="shared" si="501"/>
        <v>0.85</v>
      </c>
      <c r="GU72" s="54">
        <f t="shared" si="501"/>
        <v>0.83</v>
      </c>
      <c r="GV72" s="54">
        <f t="shared" si="501"/>
        <v>0.80999999999999994</v>
      </c>
      <c r="GW72" s="54">
        <f t="shared" si="501"/>
        <v>0.78999999999999992</v>
      </c>
      <c r="GX72" s="54">
        <f t="shared" si="501"/>
        <v>0.76999999999999991</v>
      </c>
      <c r="GY72" s="54">
        <f t="shared" si="501"/>
        <v>0.74999999999999989</v>
      </c>
      <c r="GZ72" s="54">
        <f t="shared" si="501"/>
        <v>0.72999999999999987</v>
      </c>
      <c r="HA72" s="54">
        <f t="shared" si="501"/>
        <v>0.70999999999999985</v>
      </c>
      <c r="HB72" s="54">
        <f t="shared" si="501"/>
        <v>0.68999999999999984</v>
      </c>
      <c r="HC72" s="54">
        <f t="shared" si="501"/>
        <v>0.66999999999999982</v>
      </c>
      <c r="HD72" s="54">
        <f t="shared" si="501"/>
        <v>0.6499999999999998</v>
      </c>
      <c r="HE72" s="54">
        <f t="shared" si="501"/>
        <v>0.62999999999999978</v>
      </c>
      <c r="HF72" s="54">
        <f t="shared" si="501"/>
        <v>0.60999999999999976</v>
      </c>
      <c r="HG72" s="54">
        <f t="shared" si="501"/>
        <v>0.58999999999999975</v>
      </c>
      <c r="HH72" s="54">
        <f t="shared" si="501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2">
        <f t="shared" si="503"/>
        <v>0</v>
      </c>
      <c r="H73" s="54">
        <f t="shared" si="61"/>
        <v>0</v>
      </c>
      <c r="I73" s="54">
        <f t="shared" si="62"/>
        <v>0</v>
      </c>
      <c r="J73" s="58">
        <f t="shared" si="63"/>
        <v>0</v>
      </c>
      <c r="K73" s="54">
        <f t="shared" si="369"/>
        <v>0</v>
      </c>
      <c r="L73" s="58">
        <f t="shared" si="370"/>
        <v>0</v>
      </c>
      <c r="M73" s="54">
        <f t="shared" si="371"/>
        <v>0</v>
      </c>
      <c r="N73" s="58">
        <f t="shared" si="372"/>
        <v>0</v>
      </c>
      <c r="O73" s="54">
        <f t="shared" si="373"/>
        <v>0</v>
      </c>
      <c r="P73" s="58">
        <f t="shared" si="374"/>
        <v>0</v>
      </c>
      <c r="Q73" s="56">
        <f t="shared" si="375"/>
        <v>0</v>
      </c>
      <c r="R73" s="58">
        <f t="shared" si="376"/>
        <v>0</v>
      </c>
      <c r="S73" s="54">
        <f t="shared" si="377"/>
        <v>0</v>
      </c>
      <c r="T73" s="58">
        <f t="shared" si="378"/>
        <v>0</v>
      </c>
      <c r="U73" s="56">
        <f t="shared" si="379"/>
        <v>0</v>
      </c>
      <c r="V73" s="58">
        <f t="shared" si="380"/>
        <v>0</v>
      </c>
      <c r="W73" s="59">
        <f t="shared" si="381"/>
        <v>0</v>
      </c>
      <c r="X73" s="58">
        <f t="shared" si="382"/>
        <v>0</v>
      </c>
      <c r="Y73" s="56">
        <f t="shared" si="383"/>
        <v>0</v>
      </c>
      <c r="Z73" s="58">
        <f t="shared" si="384"/>
        <v>0</v>
      </c>
      <c r="AA73" s="54">
        <f t="shared" si="385"/>
        <v>0</v>
      </c>
      <c r="AB73" s="58">
        <f t="shared" si="386"/>
        <v>0</v>
      </c>
      <c r="AC73" s="59">
        <f t="shared" si="387"/>
        <v>0</v>
      </c>
      <c r="AD73" s="58">
        <f t="shared" si="388"/>
        <v>0</v>
      </c>
      <c r="AE73" s="59">
        <f t="shared" si="389"/>
        <v>0</v>
      </c>
      <c r="AF73" s="58">
        <f t="shared" si="390"/>
        <v>0</v>
      </c>
      <c r="AG73" s="59">
        <f t="shared" si="391"/>
        <v>0</v>
      </c>
      <c r="AH73" s="58">
        <f t="shared" si="392"/>
        <v>0</v>
      </c>
      <c r="AI73" s="54">
        <f t="shared" si="393"/>
        <v>0</v>
      </c>
      <c r="AJ73" s="58">
        <f t="shared" si="394"/>
        <v>0</v>
      </c>
      <c r="AK73" s="59">
        <f t="shared" si="395"/>
        <v>0</v>
      </c>
      <c r="AL73" s="58">
        <f t="shared" si="396"/>
        <v>0</v>
      </c>
      <c r="AM73" s="59">
        <f t="shared" si="397"/>
        <v>0</v>
      </c>
      <c r="AN73" s="58">
        <f t="shared" si="398"/>
        <v>0</v>
      </c>
      <c r="AO73" s="59">
        <f t="shared" si="399"/>
        <v>0</v>
      </c>
      <c r="AP73" s="58">
        <f t="shared" si="400"/>
        <v>0</v>
      </c>
      <c r="AQ73" s="59">
        <f t="shared" si="401"/>
        <v>0</v>
      </c>
      <c r="AR73" s="58">
        <f t="shared" si="402"/>
        <v>0</v>
      </c>
      <c r="AS73" s="54">
        <f t="shared" si="403"/>
        <v>0</v>
      </c>
      <c r="AT73" s="58">
        <f t="shared" si="404"/>
        <v>0</v>
      </c>
      <c r="AU73" s="59">
        <f t="shared" si="405"/>
        <v>0</v>
      </c>
      <c r="AV73" s="58">
        <f t="shared" si="406"/>
        <v>0</v>
      </c>
      <c r="AW73" s="59">
        <f t="shared" si="407"/>
        <v>0</v>
      </c>
      <c r="AX73" s="58">
        <f t="shared" si="408"/>
        <v>0</v>
      </c>
      <c r="AY73" s="54">
        <f t="shared" si="409"/>
        <v>0</v>
      </c>
      <c r="AZ73" s="58">
        <f t="shared" si="410"/>
        <v>0</v>
      </c>
      <c r="BC73" s="54">
        <v>1</v>
      </c>
      <c r="BD73" s="54">
        <v>0.97</v>
      </c>
      <c r="BE73" s="54">
        <v>0.95</v>
      </c>
      <c r="BF73" s="54">
        <v>0.93</v>
      </c>
      <c r="BG73" s="54">
        <f t="shared" si="411"/>
        <v>0.91</v>
      </c>
      <c r="BH73" s="54">
        <f t="shared" si="411"/>
        <v>0.89</v>
      </c>
      <c r="BI73" s="54">
        <f t="shared" si="411"/>
        <v>0.87</v>
      </c>
      <c r="BJ73" s="54">
        <f t="shared" si="411"/>
        <v>0.85</v>
      </c>
      <c r="BK73" s="54">
        <f t="shared" si="411"/>
        <v>0.83</v>
      </c>
      <c r="BL73" s="54">
        <f t="shared" si="411"/>
        <v>0.80999999999999994</v>
      </c>
      <c r="BM73" s="54">
        <f t="shared" si="411"/>
        <v>0.78999999999999992</v>
      </c>
      <c r="BN73" s="54">
        <f t="shared" si="411"/>
        <v>0.76999999999999991</v>
      </c>
      <c r="BO73" s="54">
        <f t="shared" si="411"/>
        <v>0.74999999999999989</v>
      </c>
      <c r="BP73" s="54">
        <f t="shared" si="411"/>
        <v>0.72999999999999987</v>
      </c>
      <c r="BQ73" s="54">
        <f t="shared" si="411"/>
        <v>0.70999999999999985</v>
      </c>
      <c r="BR73" s="54">
        <f t="shared" si="411"/>
        <v>0.68999999999999984</v>
      </c>
      <c r="BS73" s="54">
        <f t="shared" si="411"/>
        <v>0.66999999999999982</v>
      </c>
      <c r="BT73" s="54">
        <f t="shared" si="411"/>
        <v>0.6499999999999998</v>
      </c>
      <c r="BU73" s="54">
        <f t="shared" si="411"/>
        <v>0.62999999999999978</v>
      </c>
      <c r="BV73" s="54">
        <f t="shared" si="411"/>
        <v>0.60999999999999976</v>
      </c>
      <c r="BW73" s="54">
        <f t="shared" si="411"/>
        <v>0.58999999999999975</v>
      </c>
      <c r="BX73" s="54">
        <f t="shared" si="411"/>
        <v>0.56999999999999973</v>
      </c>
      <c r="BZ73" s="54">
        <f t="shared" si="88"/>
        <v>0</v>
      </c>
      <c r="CA73" s="54">
        <f t="shared" si="89"/>
        <v>0</v>
      </c>
      <c r="CB73" s="58">
        <f t="shared" si="412"/>
        <v>0</v>
      </c>
      <c r="CC73" s="54">
        <f t="shared" si="413"/>
        <v>0</v>
      </c>
      <c r="CD73" s="58">
        <f t="shared" si="414"/>
        <v>0</v>
      </c>
      <c r="CE73" s="54">
        <f t="shared" si="415"/>
        <v>0</v>
      </c>
      <c r="CF73" s="58">
        <f t="shared" si="416"/>
        <v>0</v>
      </c>
      <c r="CG73" s="54">
        <f t="shared" si="417"/>
        <v>0</v>
      </c>
      <c r="CH73" s="58">
        <f t="shared" si="418"/>
        <v>0</v>
      </c>
      <c r="CI73" s="56">
        <f t="shared" si="419"/>
        <v>0</v>
      </c>
      <c r="CJ73" s="58">
        <f t="shared" si="420"/>
        <v>0</v>
      </c>
      <c r="CK73" s="54">
        <f t="shared" si="421"/>
        <v>0</v>
      </c>
      <c r="CL73" s="58">
        <f t="shared" si="422"/>
        <v>0</v>
      </c>
      <c r="CM73" s="56">
        <f t="shared" si="423"/>
        <v>0</v>
      </c>
      <c r="CN73" s="58">
        <f t="shared" si="424"/>
        <v>0</v>
      </c>
      <c r="CO73" s="59">
        <f t="shared" si="425"/>
        <v>0</v>
      </c>
      <c r="CP73" s="58">
        <f t="shared" si="426"/>
        <v>0</v>
      </c>
      <c r="CQ73" s="56">
        <f t="shared" si="427"/>
        <v>0</v>
      </c>
      <c r="CR73" s="58">
        <f t="shared" si="428"/>
        <v>0</v>
      </c>
      <c r="CS73" s="54">
        <f t="shared" si="429"/>
        <v>0</v>
      </c>
      <c r="CT73" s="58">
        <f t="shared" si="430"/>
        <v>0</v>
      </c>
      <c r="CU73" s="59">
        <f t="shared" si="431"/>
        <v>0</v>
      </c>
      <c r="CV73" s="58">
        <f t="shared" si="432"/>
        <v>0</v>
      </c>
      <c r="CW73" s="59">
        <f t="shared" si="433"/>
        <v>0</v>
      </c>
      <c r="CX73" s="58">
        <f t="shared" si="434"/>
        <v>0</v>
      </c>
      <c r="CY73" s="59">
        <f t="shared" si="435"/>
        <v>0</v>
      </c>
      <c r="CZ73" s="58">
        <f t="shared" si="436"/>
        <v>0</v>
      </c>
      <c r="DA73" s="54">
        <f t="shared" si="437"/>
        <v>0</v>
      </c>
      <c r="DB73" s="58">
        <f t="shared" si="438"/>
        <v>0</v>
      </c>
      <c r="DC73" s="59">
        <f t="shared" si="439"/>
        <v>0</v>
      </c>
      <c r="DD73" s="58">
        <f t="shared" si="440"/>
        <v>0</v>
      </c>
      <c r="DE73" s="59">
        <f t="shared" si="441"/>
        <v>0</v>
      </c>
      <c r="DF73" s="58">
        <f t="shared" si="442"/>
        <v>0</v>
      </c>
      <c r="DG73" s="59">
        <f t="shared" si="443"/>
        <v>0</v>
      </c>
      <c r="DH73" s="58">
        <f t="shared" si="444"/>
        <v>0</v>
      </c>
      <c r="DI73" s="59">
        <f t="shared" si="445"/>
        <v>0</v>
      </c>
      <c r="DJ73" s="58">
        <f t="shared" si="446"/>
        <v>0</v>
      </c>
      <c r="DK73" s="54">
        <f t="shared" si="447"/>
        <v>0</v>
      </c>
      <c r="DL73" s="58">
        <f t="shared" si="448"/>
        <v>0</v>
      </c>
      <c r="DM73" s="59">
        <f t="shared" si="449"/>
        <v>0</v>
      </c>
      <c r="DN73" s="58">
        <f t="shared" si="450"/>
        <v>0</v>
      </c>
      <c r="DO73" s="59">
        <f t="shared" si="451"/>
        <v>0</v>
      </c>
      <c r="DP73" s="58">
        <f t="shared" si="452"/>
        <v>0</v>
      </c>
      <c r="DQ73" s="54">
        <f t="shared" si="453"/>
        <v>0</v>
      </c>
      <c r="DR73" s="58">
        <f t="shared" si="454"/>
        <v>0</v>
      </c>
      <c r="DU73" s="54">
        <v>1</v>
      </c>
      <c r="DV73" s="54">
        <v>0.97</v>
      </c>
      <c r="DW73" s="54">
        <v>0.95</v>
      </c>
      <c r="DX73" s="54">
        <v>0.93</v>
      </c>
      <c r="DY73" s="54">
        <f t="shared" si="500"/>
        <v>0.91</v>
      </c>
      <c r="DZ73" s="54">
        <f t="shared" si="500"/>
        <v>0.89</v>
      </c>
      <c r="EA73" s="54">
        <f t="shared" si="500"/>
        <v>0.87</v>
      </c>
      <c r="EB73" s="54">
        <f t="shared" si="500"/>
        <v>0.85</v>
      </c>
      <c r="EC73" s="54">
        <f t="shared" si="500"/>
        <v>0.83</v>
      </c>
      <c r="ED73" s="54">
        <f t="shared" si="500"/>
        <v>0.80999999999999994</v>
      </c>
      <c r="EE73" s="54">
        <f t="shared" si="500"/>
        <v>0.78999999999999992</v>
      </c>
      <c r="EF73" s="54">
        <f t="shared" si="500"/>
        <v>0.76999999999999991</v>
      </c>
      <c r="EG73" s="54">
        <f t="shared" si="500"/>
        <v>0.74999999999999989</v>
      </c>
      <c r="EH73" s="54">
        <f t="shared" si="500"/>
        <v>0.72999999999999987</v>
      </c>
      <c r="EI73" s="54">
        <f t="shared" si="500"/>
        <v>0.70999999999999985</v>
      </c>
      <c r="EJ73" s="54">
        <f t="shared" si="500"/>
        <v>0.68999999999999984</v>
      </c>
      <c r="EK73" s="54">
        <f t="shared" si="500"/>
        <v>0.66999999999999982</v>
      </c>
      <c r="EL73" s="54">
        <f t="shared" si="500"/>
        <v>0.6499999999999998</v>
      </c>
      <c r="EM73" s="54">
        <f t="shared" si="500"/>
        <v>0.62999999999999978</v>
      </c>
      <c r="EN73" s="54">
        <f t="shared" si="500"/>
        <v>0.60999999999999976</v>
      </c>
      <c r="EO73" s="54">
        <f t="shared" si="500"/>
        <v>0.58999999999999975</v>
      </c>
      <c r="EP73" s="54">
        <f t="shared" si="500"/>
        <v>0.56999999999999973</v>
      </c>
      <c r="ER73" s="54">
        <f t="shared" si="142"/>
        <v>0</v>
      </c>
      <c r="ES73" s="54">
        <f t="shared" si="116"/>
        <v>0</v>
      </c>
      <c r="ET73" s="58">
        <f t="shared" si="456"/>
        <v>0</v>
      </c>
      <c r="EU73" s="54">
        <f t="shared" si="457"/>
        <v>0</v>
      </c>
      <c r="EV73" s="58">
        <f t="shared" si="458"/>
        <v>0</v>
      </c>
      <c r="EW73" s="54">
        <f t="shared" si="459"/>
        <v>0</v>
      </c>
      <c r="EX73" s="58">
        <f t="shared" si="460"/>
        <v>0</v>
      </c>
      <c r="EY73" s="54">
        <f t="shared" si="461"/>
        <v>0</v>
      </c>
      <c r="EZ73" s="58">
        <f t="shared" si="462"/>
        <v>0</v>
      </c>
      <c r="FA73" s="56">
        <f t="shared" si="463"/>
        <v>0</v>
      </c>
      <c r="FB73" s="58">
        <f t="shared" si="464"/>
        <v>0</v>
      </c>
      <c r="FC73" s="54">
        <f t="shared" si="465"/>
        <v>0</v>
      </c>
      <c r="FD73" s="58">
        <f t="shared" si="466"/>
        <v>0</v>
      </c>
      <c r="FE73" s="56">
        <f t="shared" si="467"/>
        <v>0</v>
      </c>
      <c r="FF73" s="58">
        <f t="shared" si="468"/>
        <v>0</v>
      </c>
      <c r="FG73" s="59">
        <f t="shared" si="469"/>
        <v>0</v>
      </c>
      <c r="FH73" s="58">
        <f t="shared" si="470"/>
        <v>0</v>
      </c>
      <c r="FI73" s="56">
        <f t="shared" si="471"/>
        <v>0</v>
      </c>
      <c r="FJ73" s="58">
        <f t="shared" si="472"/>
        <v>0</v>
      </c>
      <c r="FK73" s="54">
        <f t="shared" si="473"/>
        <v>0</v>
      </c>
      <c r="FL73" s="58">
        <f t="shared" si="474"/>
        <v>0</v>
      </c>
      <c r="FM73" s="59">
        <f t="shared" si="475"/>
        <v>0</v>
      </c>
      <c r="FN73" s="58">
        <f t="shared" si="476"/>
        <v>0</v>
      </c>
      <c r="FO73" s="59">
        <f t="shared" si="477"/>
        <v>0</v>
      </c>
      <c r="FP73" s="58">
        <f t="shared" si="478"/>
        <v>0</v>
      </c>
      <c r="FQ73" s="59">
        <f t="shared" si="479"/>
        <v>0</v>
      </c>
      <c r="FR73" s="58">
        <f t="shared" si="480"/>
        <v>0</v>
      </c>
      <c r="FS73" s="54">
        <f t="shared" si="481"/>
        <v>0</v>
      </c>
      <c r="FT73" s="58">
        <f t="shared" si="482"/>
        <v>0</v>
      </c>
      <c r="FU73" s="59">
        <f t="shared" si="483"/>
        <v>0</v>
      </c>
      <c r="FV73" s="58">
        <f t="shared" si="484"/>
        <v>0</v>
      </c>
      <c r="FW73" s="59">
        <f t="shared" si="485"/>
        <v>0</v>
      </c>
      <c r="FX73" s="58">
        <f t="shared" si="486"/>
        <v>0</v>
      </c>
      <c r="FY73" s="59">
        <f t="shared" si="487"/>
        <v>0</v>
      </c>
      <c r="FZ73" s="58">
        <f t="shared" si="488"/>
        <v>0</v>
      </c>
      <c r="GA73" s="59">
        <f t="shared" si="489"/>
        <v>0</v>
      </c>
      <c r="GB73" s="58">
        <f t="shared" si="490"/>
        <v>0</v>
      </c>
      <c r="GC73" s="54">
        <f t="shared" si="491"/>
        <v>0</v>
      </c>
      <c r="GD73" s="58">
        <f t="shared" si="492"/>
        <v>0</v>
      </c>
      <c r="GE73" s="59">
        <f t="shared" si="493"/>
        <v>0</v>
      </c>
      <c r="GF73" s="58">
        <f t="shared" si="494"/>
        <v>0</v>
      </c>
      <c r="GG73" s="59">
        <f t="shared" si="495"/>
        <v>0</v>
      </c>
      <c r="GH73" s="58">
        <f t="shared" si="496"/>
        <v>0</v>
      </c>
      <c r="GI73" s="54">
        <f t="shared" si="497"/>
        <v>0</v>
      </c>
      <c r="GJ73" s="58">
        <f t="shared" si="498"/>
        <v>0</v>
      </c>
      <c r="GK73" s="54"/>
      <c r="GL73" s="54"/>
      <c r="GM73" s="54">
        <v>1</v>
      </c>
      <c r="GN73" s="54">
        <v>0.97</v>
      </c>
      <c r="GO73" s="54">
        <v>0.95</v>
      </c>
      <c r="GP73" s="54">
        <v>0.93</v>
      </c>
      <c r="GQ73" s="54">
        <f t="shared" si="501"/>
        <v>0.91</v>
      </c>
      <c r="GR73" s="54">
        <f t="shared" si="501"/>
        <v>0.89</v>
      </c>
      <c r="GS73" s="54">
        <f t="shared" si="501"/>
        <v>0.87</v>
      </c>
      <c r="GT73" s="54">
        <f t="shared" si="501"/>
        <v>0.85</v>
      </c>
      <c r="GU73" s="54">
        <f t="shared" si="501"/>
        <v>0.83</v>
      </c>
      <c r="GV73" s="54">
        <f t="shared" si="501"/>
        <v>0.80999999999999994</v>
      </c>
      <c r="GW73" s="54">
        <f t="shared" si="501"/>
        <v>0.78999999999999992</v>
      </c>
      <c r="GX73" s="54">
        <f t="shared" si="501"/>
        <v>0.76999999999999991</v>
      </c>
      <c r="GY73" s="54">
        <f t="shared" si="501"/>
        <v>0.74999999999999989</v>
      </c>
      <c r="GZ73" s="54">
        <f t="shared" si="501"/>
        <v>0.72999999999999987</v>
      </c>
      <c r="HA73" s="54">
        <f t="shared" si="501"/>
        <v>0.70999999999999985</v>
      </c>
      <c r="HB73" s="54">
        <f t="shared" si="501"/>
        <v>0.68999999999999984</v>
      </c>
      <c r="HC73" s="54">
        <f t="shared" si="501"/>
        <v>0.66999999999999982</v>
      </c>
      <c r="HD73" s="54">
        <f t="shared" si="501"/>
        <v>0.6499999999999998</v>
      </c>
      <c r="HE73" s="54">
        <f t="shared" si="501"/>
        <v>0.62999999999999978</v>
      </c>
      <c r="HF73" s="54">
        <f t="shared" si="501"/>
        <v>0.60999999999999976</v>
      </c>
      <c r="HG73" s="54">
        <f t="shared" si="501"/>
        <v>0.58999999999999975</v>
      </c>
      <c r="HH73" s="54">
        <f t="shared" si="501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2">
        <f t="shared" si="503"/>
        <v>0</v>
      </c>
      <c r="H74" s="54">
        <f t="shared" si="61"/>
        <v>0</v>
      </c>
      <c r="I74" s="54">
        <f t="shared" si="62"/>
        <v>0</v>
      </c>
      <c r="J74" s="58">
        <f t="shared" si="63"/>
        <v>0</v>
      </c>
      <c r="K74" s="54">
        <f t="shared" si="369"/>
        <v>0</v>
      </c>
      <c r="L74" s="58">
        <f t="shared" si="370"/>
        <v>0</v>
      </c>
      <c r="M74" s="54">
        <f t="shared" si="371"/>
        <v>0</v>
      </c>
      <c r="N74" s="58">
        <f t="shared" si="372"/>
        <v>0</v>
      </c>
      <c r="O74" s="54">
        <f t="shared" si="373"/>
        <v>0</v>
      </c>
      <c r="P74" s="58">
        <f t="shared" si="374"/>
        <v>0</v>
      </c>
      <c r="Q74" s="56">
        <f t="shared" si="375"/>
        <v>0</v>
      </c>
      <c r="R74" s="58">
        <f t="shared" si="376"/>
        <v>0</v>
      </c>
      <c r="S74" s="54">
        <f t="shared" si="377"/>
        <v>0</v>
      </c>
      <c r="T74" s="58">
        <f t="shared" si="378"/>
        <v>0</v>
      </c>
      <c r="U74" s="56">
        <f t="shared" si="379"/>
        <v>0</v>
      </c>
      <c r="V74" s="58">
        <f t="shared" si="380"/>
        <v>0</v>
      </c>
      <c r="W74" s="59">
        <f t="shared" si="381"/>
        <v>0</v>
      </c>
      <c r="X74" s="58">
        <f t="shared" si="382"/>
        <v>0</v>
      </c>
      <c r="Y74" s="56">
        <f t="shared" si="383"/>
        <v>0</v>
      </c>
      <c r="Z74" s="58">
        <f t="shared" si="384"/>
        <v>0</v>
      </c>
      <c r="AA74" s="54">
        <f t="shared" si="385"/>
        <v>0</v>
      </c>
      <c r="AB74" s="58">
        <f t="shared" si="386"/>
        <v>0</v>
      </c>
      <c r="AC74" s="59">
        <f t="shared" si="387"/>
        <v>0</v>
      </c>
      <c r="AD74" s="58">
        <f t="shared" si="388"/>
        <v>0</v>
      </c>
      <c r="AE74" s="59">
        <f t="shared" si="389"/>
        <v>0</v>
      </c>
      <c r="AF74" s="58">
        <f t="shared" si="390"/>
        <v>0</v>
      </c>
      <c r="AG74" s="59">
        <f t="shared" si="391"/>
        <v>0</v>
      </c>
      <c r="AH74" s="58">
        <f t="shared" si="392"/>
        <v>0</v>
      </c>
      <c r="AI74" s="54">
        <f t="shared" si="393"/>
        <v>0</v>
      </c>
      <c r="AJ74" s="58">
        <f t="shared" si="394"/>
        <v>0</v>
      </c>
      <c r="AK74" s="59">
        <f t="shared" si="395"/>
        <v>0</v>
      </c>
      <c r="AL74" s="58">
        <f t="shared" si="396"/>
        <v>0</v>
      </c>
      <c r="AM74" s="59">
        <f t="shared" si="397"/>
        <v>0</v>
      </c>
      <c r="AN74" s="58">
        <f t="shared" si="398"/>
        <v>0</v>
      </c>
      <c r="AO74" s="59">
        <f t="shared" si="399"/>
        <v>0</v>
      </c>
      <c r="AP74" s="58">
        <f t="shared" si="400"/>
        <v>0</v>
      </c>
      <c r="AQ74" s="59">
        <f t="shared" si="401"/>
        <v>0</v>
      </c>
      <c r="AR74" s="58">
        <f t="shared" si="402"/>
        <v>0</v>
      </c>
      <c r="AS74" s="54">
        <f t="shared" si="403"/>
        <v>0</v>
      </c>
      <c r="AT74" s="58">
        <f t="shared" si="404"/>
        <v>0</v>
      </c>
      <c r="AU74" s="59">
        <f t="shared" si="405"/>
        <v>0</v>
      </c>
      <c r="AV74" s="58">
        <f t="shared" si="406"/>
        <v>0</v>
      </c>
      <c r="AW74" s="59">
        <f t="shared" si="407"/>
        <v>0</v>
      </c>
      <c r="AX74" s="58">
        <f t="shared" si="408"/>
        <v>0</v>
      </c>
      <c r="AY74" s="54">
        <f t="shared" si="409"/>
        <v>0</v>
      </c>
      <c r="AZ74" s="58">
        <f t="shared" si="410"/>
        <v>0</v>
      </c>
      <c r="BC74" s="54">
        <v>1</v>
      </c>
      <c r="BD74" s="54">
        <v>0.97</v>
      </c>
      <c r="BE74" s="54">
        <v>0.95</v>
      </c>
      <c r="BF74" s="54">
        <v>0.93</v>
      </c>
      <c r="BG74" s="54">
        <f t="shared" si="411"/>
        <v>0.91</v>
      </c>
      <c r="BH74" s="54">
        <f t="shared" si="411"/>
        <v>0.89</v>
      </c>
      <c r="BI74" s="54">
        <f t="shared" si="411"/>
        <v>0.87</v>
      </c>
      <c r="BJ74" s="54">
        <f t="shared" si="411"/>
        <v>0.85</v>
      </c>
      <c r="BK74" s="54">
        <f t="shared" si="411"/>
        <v>0.83</v>
      </c>
      <c r="BL74" s="54">
        <f t="shared" si="411"/>
        <v>0.80999999999999994</v>
      </c>
      <c r="BM74" s="54">
        <f t="shared" si="411"/>
        <v>0.78999999999999992</v>
      </c>
      <c r="BN74" s="54">
        <f t="shared" si="411"/>
        <v>0.76999999999999991</v>
      </c>
      <c r="BO74" s="54">
        <f t="shared" si="411"/>
        <v>0.74999999999999989</v>
      </c>
      <c r="BP74" s="54">
        <f t="shared" si="411"/>
        <v>0.72999999999999987</v>
      </c>
      <c r="BQ74" s="54">
        <f t="shared" si="411"/>
        <v>0.70999999999999985</v>
      </c>
      <c r="BR74" s="54">
        <f t="shared" si="411"/>
        <v>0.68999999999999984</v>
      </c>
      <c r="BS74" s="54">
        <f t="shared" si="411"/>
        <v>0.66999999999999982</v>
      </c>
      <c r="BT74" s="54">
        <f t="shared" si="411"/>
        <v>0.6499999999999998</v>
      </c>
      <c r="BU74" s="54">
        <f t="shared" si="411"/>
        <v>0.62999999999999978</v>
      </c>
      <c r="BV74" s="54">
        <f t="shared" si="411"/>
        <v>0.60999999999999976</v>
      </c>
      <c r="BW74" s="54">
        <f t="shared" si="411"/>
        <v>0.58999999999999975</v>
      </c>
      <c r="BX74" s="54">
        <f t="shared" si="411"/>
        <v>0.56999999999999973</v>
      </c>
      <c r="BZ74" s="54">
        <f t="shared" si="88"/>
        <v>0</v>
      </c>
      <c r="CA74" s="54">
        <f t="shared" si="89"/>
        <v>0</v>
      </c>
      <c r="CB74" s="58">
        <f t="shared" si="412"/>
        <v>0</v>
      </c>
      <c r="CC74" s="54">
        <f t="shared" si="413"/>
        <v>0</v>
      </c>
      <c r="CD74" s="58">
        <f t="shared" si="414"/>
        <v>0</v>
      </c>
      <c r="CE74" s="54">
        <f t="shared" si="415"/>
        <v>0</v>
      </c>
      <c r="CF74" s="58">
        <f t="shared" si="416"/>
        <v>0</v>
      </c>
      <c r="CG74" s="54">
        <f t="shared" si="417"/>
        <v>0</v>
      </c>
      <c r="CH74" s="58">
        <f t="shared" si="418"/>
        <v>0</v>
      </c>
      <c r="CI74" s="56">
        <f t="shared" si="419"/>
        <v>0</v>
      </c>
      <c r="CJ74" s="58">
        <f t="shared" si="420"/>
        <v>0</v>
      </c>
      <c r="CK74" s="54">
        <f t="shared" si="421"/>
        <v>0</v>
      </c>
      <c r="CL74" s="58">
        <f t="shared" si="422"/>
        <v>0</v>
      </c>
      <c r="CM74" s="56">
        <f t="shared" si="423"/>
        <v>0</v>
      </c>
      <c r="CN74" s="58">
        <f t="shared" si="424"/>
        <v>0</v>
      </c>
      <c r="CO74" s="59">
        <f t="shared" si="425"/>
        <v>0</v>
      </c>
      <c r="CP74" s="58">
        <f t="shared" si="426"/>
        <v>0</v>
      </c>
      <c r="CQ74" s="56">
        <f t="shared" si="427"/>
        <v>0</v>
      </c>
      <c r="CR74" s="58">
        <f t="shared" si="428"/>
        <v>0</v>
      </c>
      <c r="CS74" s="54">
        <f t="shared" si="429"/>
        <v>0</v>
      </c>
      <c r="CT74" s="58">
        <f t="shared" si="430"/>
        <v>0</v>
      </c>
      <c r="CU74" s="59">
        <f t="shared" si="431"/>
        <v>0</v>
      </c>
      <c r="CV74" s="58">
        <f t="shared" si="432"/>
        <v>0</v>
      </c>
      <c r="CW74" s="59">
        <f t="shared" si="433"/>
        <v>0</v>
      </c>
      <c r="CX74" s="58">
        <f t="shared" si="434"/>
        <v>0</v>
      </c>
      <c r="CY74" s="59">
        <f t="shared" si="435"/>
        <v>0</v>
      </c>
      <c r="CZ74" s="58">
        <f t="shared" si="436"/>
        <v>0</v>
      </c>
      <c r="DA74" s="54">
        <f t="shared" si="437"/>
        <v>0</v>
      </c>
      <c r="DB74" s="58">
        <f t="shared" si="438"/>
        <v>0</v>
      </c>
      <c r="DC74" s="59">
        <f t="shared" si="439"/>
        <v>0</v>
      </c>
      <c r="DD74" s="58">
        <f t="shared" si="440"/>
        <v>0</v>
      </c>
      <c r="DE74" s="59">
        <f t="shared" si="441"/>
        <v>0</v>
      </c>
      <c r="DF74" s="58">
        <f t="shared" si="442"/>
        <v>0</v>
      </c>
      <c r="DG74" s="59">
        <f t="shared" si="443"/>
        <v>0</v>
      </c>
      <c r="DH74" s="58">
        <f t="shared" si="444"/>
        <v>0</v>
      </c>
      <c r="DI74" s="59">
        <f t="shared" si="445"/>
        <v>0</v>
      </c>
      <c r="DJ74" s="58">
        <f t="shared" si="446"/>
        <v>0</v>
      </c>
      <c r="DK74" s="54">
        <f t="shared" si="447"/>
        <v>0</v>
      </c>
      <c r="DL74" s="58">
        <f t="shared" si="448"/>
        <v>0</v>
      </c>
      <c r="DM74" s="59">
        <f t="shared" si="449"/>
        <v>0</v>
      </c>
      <c r="DN74" s="58">
        <f t="shared" si="450"/>
        <v>0</v>
      </c>
      <c r="DO74" s="59">
        <f t="shared" si="451"/>
        <v>0</v>
      </c>
      <c r="DP74" s="58">
        <f t="shared" si="452"/>
        <v>0</v>
      </c>
      <c r="DQ74" s="54">
        <f t="shared" si="453"/>
        <v>0</v>
      </c>
      <c r="DR74" s="58">
        <f t="shared" si="454"/>
        <v>0</v>
      </c>
      <c r="DU74" s="54">
        <v>1</v>
      </c>
      <c r="DV74" s="54">
        <v>0.97</v>
      </c>
      <c r="DW74" s="54">
        <v>0.95</v>
      </c>
      <c r="DX74" s="54">
        <v>0.93</v>
      </c>
      <c r="DY74" s="54">
        <f t="shared" si="500"/>
        <v>0.91</v>
      </c>
      <c r="DZ74" s="54">
        <f t="shared" si="500"/>
        <v>0.89</v>
      </c>
      <c r="EA74" s="54">
        <f t="shared" si="500"/>
        <v>0.87</v>
      </c>
      <c r="EB74" s="54">
        <f t="shared" si="500"/>
        <v>0.85</v>
      </c>
      <c r="EC74" s="54">
        <f t="shared" si="500"/>
        <v>0.83</v>
      </c>
      <c r="ED74" s="54">
        <f t="shared" si="500"/>
        <v>0.80999999999999994</v>
      </c>
      <c r="EE74" s="54">
        <f t="shared" si="500"/>
        <v>0.78999999999999992</v>
      </c>
      <c r="EF74" s="54">
        <f t="shared" si="500"/>
        <v>0.76999999999999991</v>
      </c>
      <c r="EG74" s="54">
        <f t="shared" si="500"/>
        <v>0.74999999999999989</v>
      </c>
      <c r="EH74" s="54">
        <f t="shared" si="500"/>
        <v>0.72999999999999987</v>
      </c>
      <c r="EI74" s="54">
        <f t="shared" si="500"/>
        <v>0.70999999999999985</v>
      </c>
      <c r="EJ74" s="54">
        <f t="shared" si="500"/>
        <v>0.68999999999999984</v>
      </c>
      <c r="EK74" s="54">
        <f t="shared" si="500"/>
        <v>0.66999999999999982</v>
      </c>
      <c r="EL74" s="54">
        <f t="shared" si="500"/>
        <v>0.6499999999999998</v>
      </c>
      <c r="EM74" s="54">
        <f t="shared" si="500"/>
        <v>0.62999999999999978</v>
      </c>
      <c r="EN74" s="54">
        <f t="shared" si="500"/>
        <v>0.60999999999999976</v>
      </c>
      <c r="EO74" s="54">
        <f t="shared" si="500"/>
        <v>0.58999999999999975</v>
      </c>
      <c r="EP74" s="54">
        <f t="shared" si="500"/>
        <v>0.56999999999999973</v>
      </c>
      <c r="ER74" s="54">
        <f t="shared" si="142"/>
        <v>0</v>
      </c>
      <c r="ES74" s="54">
        <f t="shared" si="116"/>
        <v>0</v>
      </c>
      <c r="ET74" s="58">
        <f t="shared" si="456"/>
        <v>0</v>
      </c>
      <c r="EU74" s="54">
        <f t="shared" si="457"/>
        <v>0</v>
      </c>
      <c r="EV74" s="58">
        <f t="shared" si="458"/>
        <v>0</v>
      </c>
      <c r="EW74" s="54">
        <f t="shared" si="459"/>
        <v>0</v>
      </c>
      <c r="EX74" s="58">
        <f t="shared" si="460"/>
        <v>0</v>
      </c>
      <c r="EY74" s="54">
        <f t="shared" si="461"/>
        <v>0</v>
      </c>
      <c r="EZ74" s="58">
        <f t="shared" si="462"/>
        <v>0</v>
      </c>
      <c r="FA74" s="56">
        <f t="shared" si="463"/>
        <v>0</v>
      </c>
      <c r="FB74" s="58">
        <f t="shared" si="464"/>
        <v>0</v>
      </c>
      <c r="FC74" s="54">
        <f t="shared" si="465"/>
        <v>0</v>
      </c>
      <c r="FD74" s="58">
        <f t="shared" si="466"/>
        <v>0</v>
      </c>
      <c r="FE74" s="56">
        <f t="shared" si="467"/>
        <v>0</v>
      </c>
      <c r="FF74" s="58">
        <f t="shared" si="468"/>
        <v>0</v>
      </c>
      <c r="FG74" s="59">
        <f t="shared" si="469"/>
        <v>0</v>
      </c>
      <c r="FH74" s="58">
        <f t="shared" si="470"/>
        <v>0</v>
      </c>
      <c r="FI74" s="56">
        <f t="shared" si="471"/>
        <v>0</v>
      </c>
      <c r="FJ74" s="58">
        <f t="shared" si="472"/>
        <v>0</v>
      </c>
      <c r="FK74" s="54">
        <f t="shared" si="473"/>
        <v>0</v>
      </c>
      <c r="FL74" s="58">
        <f t="shared" si="474"/>
        <v>0</v>
      </c>
      <c r="FM74" s="59">
        <f t="shared" si="475"/>
        <v>0</v>
      </c>
      <c r="FN74" s="58">
        <f t="shared" si="476"/>
        <v>0</v>
      </c>
      <c r="FO74" s="59">
        <f t="shared" si="477"/>
        <v>0</v>
      </c>
      <c r="FP74" s="58">
        <f t="shared" si="478"/>
        <v>0</v>
      </c>
      <c r="FQ74" s="59">
        <f t="shared" si="479"/>
        <v>0</v>
      </c>
      <c r="FR74" s="58">
        <f t="shared" si="480"/>
        <v>0</v>
      </c>
      <c r="FS74" s="54">
        <f t="shared" si="481"/>
        <v>0</v>
      </c>
      <c r="FT74" s="58">
        <f t="shared" si="482"/>
        <v>0</v>
      </c>
      <c r="FU74" s="59">
        <f t="shared" si="483"/>
        <v>0</v>
      </c>
      <c r="FV74" s="58">
        <f t="shared" si="484"/>
        <v>0</v>
      </c>
      <c r="FW74" s="59">
        <f t="shared" si="485"/>
        <v>0</v>
      </c>
      <c r="FX74" s="58">
        <f t="shared" si="486"/>
        <v>0</v>
      </c>
      <c r="FY74" s="59">
        <f t="shared" si="487"/>
        <v>0</v>
      </c>
      <c r="FZ74" s="58">
        <f t="shared" si="488"/>
        <v>0</v>
      </c>
      <c r="GA74" s="59">
        <f t="shared" si="489"/>
        <v>0</v>
      </c>
      <c r="GB74" s="58">
        <f t="shared" si="490"/>
        <v>0</v>
      </c>
      <c r="GC74" s="54">
        <f t="shared" si="491"/>
        <v>0</v>
      </c>
      <c r="GD74" s="58">
        <f t="shared" si="492"/>
        <v>0</v>
      </c>
      <c r="GE74" s="59">
        <f t="shared" si="493"/>
        <v>0</v>
      </c>
      <c r="GF74" s="58">
        <f t="shared" si="494"/>
        <v>0</v>
      </c>
      <c r="GG74" s="59">
        <f t="shared" si="495"/>
        <v>0</v>
      </c>
      <c r="GH74" s="58">
        <f t="shared" si="496"/>
        <v>0</v>
      </c>
      <c r="GI74" s="54">
        <f t="shared" si="497"/>
        <v>0</v>
      </c>
      <c r="GJ74" s="58">
        <f t="shared" si="498"/>
        <v>0</v>
      </c>
      <c r="GK74" s="54"/>
      <c r="GL74" s="54"/>
      <c r="GM74" s="54">
        <v>1</v>
      </c>
      <c r="GN74" s="54">
        <v>0.97</v>
      </c>
      <c r="GO74" s="54">
        <v>0.95</v>
      </c>
      <c r="GP74" s="54">
        <v>0.93</v>
      </c>
      <c r="GQ74" s="54">
        <f t="shared" si="501"/>
        <v>0.91</v>
      </c>
      <c r="GR74" s="54">
        <f t="shared" si="501"/>
        <v>0.89</v>
      </c>
      <c r="GS74" s="54">
        <f t="shared" si="501"/>
        <v>0.87</v>
      </c>
      <c r="GT74" s="54">
        <f t="shared" si="501"/>
        <v>0.85</v>
      </c>
      <c r="GU74" s="54">
        <f t="shared" si="501"/>
        <v>0.83</v>
      </c>
      <c r="GV74" s="54">
        <f t="shared" si="501"/>
        <v>0.80999999999999994</v>
      </c>
      <c r="GW74" s="54">
        <f t="shared" si="501"/>
        <v>0.78999999999999992</v>
      </c>
      <c r="GX74" s="54">
        <f t="shared" si="501"/>
        <v>0.76999999999999991</v>
      </c>
      <c r="GY74" s="54">
        <f t="shared" si="501"/>
        <v>0.74999999999999989</v>
      </c>
      <c r="GZ74" s="54">
        <f t="shared" si="501"/>
        <v>0.72999999999999987</v>
      </c>
      <c r="HA74" s="54">
        <f t="shared" si="501"/>
        <v>0.70999999999999985</v>
      </c>
      <c r="HB74" s="54">
        <f t="shared" si="501"/>
        <v>0.68999999999999984</v>
      </c>
      <c r="HC74" s="54">
        <f t="shared" si="501"/>
        <v>0.66999999999999982</v>
      </c>
      <c r="HD74" s="54">
        <f t="shared" si="501"/>
        <v>0.6499999999999998</v>
      </c>
      <c r="HE74" s="54">
        <f t="shared" si="501"/>
        <v>0.62999999999999978</v>
      </c>
      <c r="HF74" s="54">
        <f t="shared" si="501"/>
        <v>0.60999999999999976</v>
      </c>
      <c r="HG74" s="54">
        <f t="shared" si="501"/>
        <v>0.58999999999999975</v>
      </c>
      <c r="HH74" s="54">
        <f t="shared" si="501"/>
        <v>0.56999999999999973</v>
      </c>
    </row>
    <row r="75" spans="1:216" x14ac:dyDescent="0.3">
      <c r="A75" s="2">
        <v>13</v>
      </c>
      <c r="C75" s="38" t="s">
        <v>122</v>
      </c>
      <c r="D75" s="42">
        <v>6940</v>
      </c>
      <c r="E75" s="72">
        <f t="shared" si="503"/>
        <v>22940</v>
      </c>
      <c r="H75" s="54">
        <f t="shared" si="61"/>
        <v>25234.000000000004</v>
      </c>
      <c r="I75" s="54">
        <f t="shared" si="62"/>
        <v>25234.000000000004</v>
      </c>
      <c r="J75" s="58">
        <f t="shared" si="63"/>
        <v>83418.55720000001</v>
      </c>
      <c r="K75" s="54">
        <f t="shared" si="369"/>
        <v>24476.980000000003</v>
      </c>
      <c r="L75" s="58">
        <f t="shared" si="370"/>
        <v>80916.000484000018</v>
      </c>
      <c r="M75" s="54">
        <f t="shared" si="371"/>
        <v>23972.300000000003</v>
      </c>
      <c r="N75" s="58">
        <f t="shared" si="372"/>
        <v>79247.629340000014</v>
      </c>
      <c r="O75" s="54">
        <f t="shared" si="373"/>
        <v>23467.620000000006</v>
      </c>
      <c r="P75" s="58">
        <f t="shared" si="374"/>
        <v>77579.258196000024</v>
      </c>
      <c r="Q75" s="56">
        <f t="shared" si="375"/>
        <v>22962.940000000002</v>
      </c>
      <c r="R75" s="58">
        <f t="shared" si="376"/>
        <v>75910.887052000005</v>
      </c>
      <c r="S75" s="54">
        <f t="shared" si="377"/>
        <v>22458.260000000002</v>
      </c>
      <c r="T75" s="58">
        <f t="shared" si="378"/>
        <v>74242.515908000001</v>
      </c>
      <c r="U75" s="56">
        <f t="shared" si="379"/>
        <v>21953.58</v>
      </c>
      <c r="V75" s="58">
        <f t="shared" si="380"/>
        <v>72574.144764000011</v>
      </c>
      <c r="W75" s="59">
        <f t="shared" si="381"/>
        <v>21448.9</v>
      </c>
      <c r="X75" s="58">
        <f t="shared" si="382"/>
        <v>70905.773620000007</v>
      </c>
      <c r="Y75" s="56">
        <f t="shared" si="383"/>
        <v>20944.22</v>
      </c>
      <c r="Z75" s="58">
        <f t="shared" si="384"/>
        <v>69237.402476000003</v>
      </c>
      <c r="AA75" s="54">
        <f t="shared" si="385"/>
        <v>20439.54</v>
      </c>
      <c r="AB75" s="58">
        <f t="shared" si="386"/>
        <v>67569.031331999999</v>
      </c>
      <c r="AC75" s="59">
        <f t="shared" si="387"/>
        <v>19934.86</v>
      </c>
      <c r="AD75" s="58">
        <f t="shared" si="388"/>
        <v>65900.660188000009</v>
      </c>
      <c r="AE75" s="59">
        <f t="shared" si="389"/>
        <v>19430.18</v>
      </c>
      <c r="AF75" s="58">
        <f t="shared" si="390"/>
        <v>64232.289044000005</v>
      </c>
      <c r="AG75" s="59">
        <f t="shared" si="391"/>
        <v>18925.5</v>
      </c>
      <c r="AH75" s="58">
        <f t="shared" si="392"/>
        <v>62563.9179</v>
      </c>
      <c r="AI75" s="54">
        <f t="shared" si="393"/>
        <v>18420.82</v>
      </c>
      <c r="AJ75" s="58">
        <f t="shared" si="394"/>
        <v>60895.546756000003</v>
      </c>
      <c r="AK75" s="59">
        <f t="shared" si="395"/>
        <v>17916.14</v>
      </c>
      <c r="AL75" s="58">
        <f t="shared" si="396"/>
        <v>59227.175611999999</v>
      </c>
      <c r="AM75" s="59">
        <f t="shared" si="397"/>
        <v>17411.46</v>
      </c>
      <c r="AN75" s="58">
        <f t="shared" si="398"/>
        <v>57558.804467999995</v>
      </c>
      <c r="AO75" s="59">
        <f t="shared" si="399"/>
        <v>16906.78</v>
      </c>
      <c r="AP75" s="58">
        <f t="shared" si="400"/>
        <v>55890.433323999998</v>
      </c>
      <c r="AQ75" s="59">
        <f t="shared" si="401"/>
        <v>16402.099999999999</v>
      </c>
      <c r="AR75" s="58">
        <f t="shared" si="402"/>
        <v>54222.062179999994</v>
      </c>
      <c r="AS75" s="54">
        <f t="shared" si="403"/>
        <v>15897.419999999996</v>
      </c>
      <c r="AT75" s="58">
        <f t="shared" si="404"/>
        <v>52553.691035999989</v>
      </c>
      <c r="AU75" s="59">
        <f t="shared" si="405"/>
        <v>15392.739999999996</v>
      </c>
      <c r="AV75" s="58">
        <f t="shared" si="406"/>
        <v>50885.319891999985</v>
      </c>
      <c r="AW75" s="59">
        <f t="shared" si="407"/>
        <v>14888.059999999996</v>
      </c>
      <c r="AX75" s="58">
        <f t="shared" si="408"/>
        <v>49216.948747999988</v>
      </c>
      <c r="AY75" s="54">
        <f t="shared" si="409"/>
        <v>14383.379999999996</v>
      </c>
      <c r="AZ75" s="58">
        <f t="shared" si="410"/>
        <v>47548.577603999984</v>
      </c>
      <c r="BC75" s="54">
        <v>1</v>
      </c>
      <c r="BD75" s="54">
        <v>0.97</v>
      </c>
      <c r="BE75" s="54">
        <v>0.95</v>
      </c>
      <c r="BF75" s="54">
        <v>0.93</v>
      </c>
      <c r="BG75" s="54">
        <f t="shared" si="411"/>
        <v>0.91</v>
      </c>
      <c r="BH75" s="54">
        <f t="shared" si="411"/>
        <v>0.89</v>
      </c>
      <c r="BI75" s="54">
        <f t="shared" si="411"/>
        <v>0.87</v>
      </c>
      <c r="BJ75" s="54">
        <f t="shared" si="411"/>
        <v>0.85</v>
      </c>
      <c r="BK75" s="54">
        <f t="shared" si="411"/>
        <v>0.83</v>
      </c>
      <c r="BL75" s="54">
        <f t="shared" si="411"/>
        <v>0.80999999999999994</v>
      </c>
      <c r="BM75" s="54">
        <f t="shared" si="411"/>
        <v>0.78999999999999992</v>
      </c>
      <c r="BN75" s="54">
        <f t="shared" si="411"/>
        <v>0.76999999999999991</v>
      </c>
      <c r="BO75" s="54">
        <f t="shared" si="411"/>
        <v>0.74999999999999989</v>
      </c>
      <c r="BP75" s="54">
        <f t="shared" si="411"/>
        <v>0.72999999999999987</v>
      </c>
      <c r="BQ75" s="54">
        <f t="shared" si="411"/>
        <v>0.70999999999999985</v>
      </c>
      <c r="BR75" s="54">
        <f t="shared" si="411"/>
        <v>0.68999999999999984</v>
      </c>
      <c r="BS75" s="54">
        <f t="shared" si="411"/>
        <v>0.66999999999999982</v>
      </c>
      <c r="BT75" s="54">
        <f t="shared" si="411"/>
        <v>0.6499999999999998</v>
      </c>
      <c r="BU75" s="54">
        <f t="shared" si="411"/>
        <v>0.62999999999999978</v>
      </c>
      <c r="BV75" s="54">
        <f t="shared" si="411"/>
        <v>0.60999999999999976</v>
      </c>
      <c r="BW75" s="54">
        <f t="shared" si="411"/>
        <v>0.58999999999999975</v>
      </c>
      <c r="BX75" s="54">
        <f t="shared" si="411"/>
        <v>0.56999999999999973</v>
      </c>
      <c r="BZ75" s="54">
        <f t="shared" si="88"/>
        <v>22962.940000000002</v>
      </c>
      <c r="CA75" s="54">
        <f t="shared" si="89"/>
        <v>22962.940000000002</v>
      </c>
      <c r="CB75" s="58">
        <f t="shared" si="412"/>
        <v>75910.887052000005</v>
      </c>
      <c r="CC75" s="54">
        <f t="shared" si="413"/>
        <v>22274.051800000001</v>
      </c>
      <c r="CD75" s="58">
        <f t="shared" si="414"/>
        <v>73633.560440440007</v>
      </c>
      <c r="CE75" s="54">
        <f t="shared" si="415"/>
        <v>21814.793000000001</v>
      </c>
      <c r="CF75" s="58">
        <f t="shared" si="416"/>
        <v>72115.342699400004</v>
      </c>
      <c r="CG75" s="54">
        <f t="shared" si="417"/>
        <v>21355.534200000002</v>
      </c>
      <c r="CH75" s="58">
        <f t="shared" si="418"/>
        <v>70597.124958360015</v>
      </c>
      <c r="CI75" s="56">
        <f t="shared" si="419"/>
        <v>20896.275400000002</v>
      </c>
      <c r="CJ75" s="58">
        <f t="shared" si="420"/>
        <v>69078.907217320011</v>
      </c>
      <c r="CK75" s="54">
        <f t="shared" si="421"/>
        <v>20437.016600000003</v>
      </c>
      <c r="CL75" s="58">
        <f t="shared" si="422"/>
        <v>67560.689476280008</v>
      </c>
      <c r="CM75" s="56">
        <f t="shared" si="423"/>
        <v>19977.757800000003</v>
      </c>
      <c r="CN75" s="58">
        <f t="shared" si="424"/>
        <v>66042.471735240018</v>
      </c>
      <c r="CO75" s="59">
        <f t="shared" si="425"/>
        <v>19518.499</v>
      </c>
      <c r="CP75" s="58">
        <f t="shared" si="426"/>
        <v>64524.2539942</v>
      </c>
      <c r="CQ75" s="56">
        <f t="shared" si="427"/>
        <v>19059.2402</v>
      </c>
      <c r="CR75" s="58">
        <f t="shared" si="428"/>
        <v>63006.036253160004</v>
      </c>
      <c r="CS75" s="54">
        <f t="shared" si="429"/>
        <v>18599.981400000001</v>
      </c>
      <c r="CT75" s="58">
        <f t="shared" si="430"/>
        <v>61487.81851212</v>
      </c>
      <c r="CU75" s="59">
        <f t="shared" si="431"/>
        <v>18140.722600000001</v>
      </c>
      <c r="CV75" s="58">
        <f t="shared" si="432"/>
        <v>59969.600771080004</v>
      </c>
      <c r="CW75" s="59">
        <f t="shared" si="433"/>
        <v>17681.463800000001</v>
      </c>
      <c r="CX75" s="58">
        <f t="shared" si="434"/>
        <v>58451.383030040008</v>
      </c>
      <c r="CY75" s="59">
        <f t="shared" si="435"/>
        <v>17222.204999999998</v>
      </c>
      <c r="CZ75" s="58">
        <f t="shared" si="436"/>
        <v>56933.165288999997</v>
      </c>
      <c r="DA75" s="54">
        <f t="shared" si="437"/>
        <v>16762.946199999998</v>
      </c>
      <c r="DB75" s="58">
        <f t="shared" si="438"/>
        <v>55414.947547959993</v>
      </c>
      <c r="DC75" s="59">
        <f t="shared" si="439"/>
        <v>16303.687399999999</v>
      </c>
      <c r="DD75" s="58">
        <f t="shared" si="440"/>
        <v>53896.729806919997</v>
      </c>
      <c r="DE75" s="59">
        <f t="shared" si="441"/>
        <v>15844.428599999997</v>
      </c>
      <c r="DF75" s="58">
        <f t="shared" si="442"/>
        <v>52378.512065879993</v>
      </c>
      <c r="DG75" s="59">
        <f t="shared" si="443"/>
        <v>15385.169799999998</v>
      </c>
      <c r="DH75" s="58">
        <f t="shared" si="444"/>
        <v>50860.294324839997</v>
      </c>
      <c r="DI75" s="59">
        <f t="shared" si="445"/>
        <v>14925.910999999996</v>
      </c>
      <c r="DJ75" s="58">
        <f t="shared" si="446"/>
        <v>49342.076583799986</v>
      </c>
      <c r="DK75" s="54">
        <f t="shared" si="447"/>
        <v>14466.652199999997</v>
      </c>
      <c r="DL75" s="58">
        <f t="shared" si="448"/>
        <v>47823.85884275999</v>
      </c>
      <c r="DM75" s="59">
        <f t="shared" si="449"/>
        <v>14007.393399999995</v>
      </c>
      <c r="DN75" s="58">
        <f t="shared" si="450"/>
        <v>46305.641101719986</v>
      </c>
      <c r="DO75" s="59">
        <f t="shared" si="451"/>
        <v>13548.134599999996</v>
      </c>
      <c r="DP75" s="58">
        <f t="shared" si="452"/>
        <v>44787.42336067999</v>
      </c>
      <c r="DQ75" s="54">
        <f t="shared" si="453"/>
        <v>13088.875799999994</v>
      </c>
      <c r="DR75" s="58">
        <f t="shared" si="454"/>
        <v>43269.205619639979</v>
      </c>
      <c r="DU75" s="54">
        <v>1</v>
      </c>
      <c r="DV75" s="54">
        <v>0.97</v>
      </c>
      <c r="DW75" s="54">
        <v>0.95</v>
      </c>
      <c r="DX75" s="54">
        <v>0.93</v>
      </c>
      <c r="DY75" s="54">
        <f t="shared" si="500"/>
        <v>0.91</v>
      </c>
      <c r="DZ75" s="54">
        <f t="shared" si="500"/>
        <v>0.89</v>
      </c>
      <c r="EA75" s="54">
        <f t="shared" si="500"/>
        <v>0.87</v>
      </c>
      <c r="EB75" s="54">
        <f t="shared" si="500"/>
        <v>0.85</v>
      </c>
      <c r="EC75" s="54">
        <f t="shared" si="500"/>
        <v>0.83</v>
      </c>
      <c r="ED75" s="54">
        <f t="shared" si="500"/>
        <v>0.80999999999999994</v>
      </c>
      <c r="EE75" s="54">
        <f t="shared" si="500"/>
        <v>0.78999999999999992</v>
      </c>
      <c r="EF75" s="54">
        <f t="shared" si="500"/>
        <v>0.76999999999999991</v>
      </c>
      <c r="EG75" s="54">
        <f t="shared" si="500"/>
        <v>0.74999999999999989</v>
      </c>
      <c r="EH75" s="54">
        <f t="shared" si="500"/>
        <v>0.72999999999999987</v>
      </c>
      <c r="EI75" s="54">
        <f t="shared" si="500"/>
        <v>0.70999999999999985</v>
      </c>
      <c r="EJ75" s="54">
        <f t="shared" si="500"/>
        <v>0.68999999999999984</v>
      </c>
      <c r="EK75" s="54">
        <f t="shared" si="500"/>
        <v>0.66999999999999982</v>
      </c>
      <c r="EL75" s="54">
        <f t="shared" si="500"/>
        <v>0.6499999999999998</v>
      </c>
      <c r="EM75" s="54">
        <f t="shared" si="500"/>
        <v>0.62999999999999978</v>
      </c>
      <c r="EN75" s="54">
        <f t="shared" si="500"/>
        <v>0.60999999999999976</v>
      </c>
      <c r="EO75" s="54">
        <f t="shared" si="500"/>
        <v>0.58999999999999975</v>
      </c>
      <c r="EP75" s="54">
        <f t="shared" si="500"/>
        <v>0.56999999999999973</v>
      </c>
      <c r="ER75" s="54">
        <f t="shared" si="142"/>
        <v>20896.275400000002</v>
      </c>
      <c r="ES75" s="54">
        <f t="shared" si="116"/>
        <v>20896.275400000002</v>
      </c>
      <c r="ET75" s="58">
        <f t="shared" si="456"/>
        <v>69078.907217320011</v>
      </c>
      <c r="EU75" s="54">
        <f t="shared" si="457"/>
        <v>20269.387138000002</v>
      </c>
      <c r="EV75" s="58">
        <f t="shared" si="458"/>
        <v>67006.540000800407</v>
      </c>
      <c r="EW75" s="54">
        <f t="shared" si="459"/>
        <v>19851.461630000002</v>
      </c>
      <c r="EX75" s="58">
        <f t="shared" si="460"/>
        <v>65624.961856454</v>
      </c>
      <c r="EY75" s="54">
        <f t="shared" si="461"/>
        <v>19433.536122000001</v>
      </c>
      <c r="EZ75" s="58">
        <f t="shared" si="462"/>
        <v>64243.383712107607</v>
      </c>
      <c r="FA75" s="56">
        <f t="shared" si="463"/>
        <v>19015.610614000001</v>
      </c>
      <c r="FB75" s="58">
        <f t="shared" si="464"/>
        <v>62861.805567761206</v>
      </c>
      <c r="FC75" s="54">
        <f t="shared" si="465"/>
        <v>18597.685106000001</v>
      </c>
      <c r="FD75" s="58">
        <f t="shared" si="466"/>
        <v>61480.227423414806</v>
      </c>
      <c r="FE75" s="56">
        <f t="shared" si="467"/>
        <v>18179.759598000001</v>
      </c>
      <c r="FF75" s="58">
        <f t="shared" si="468"/>
        <v>60098.649279068406</v>
      </c>
      <c r="FG75" s="59">
        <f t="shared" si="469"/>
        <v>17761.83409</v>
      </c>
      <c r="FH75" s="58">
        <f t="shared" si="470"/>
        <v>58717.071134722006</v>
      </c>
      <c r="FI75" s="56">
        <f t="shared" si="471"/>
        <v>17343.908582</v>
      </c>
      <c r="FJ75" s="58">
        <f t="shared" si="472"/>
        <v>57335.492990375598</v>
      </c>
      <c r="FK75" s="54">
        <f t="shared" si="473"/>
        <v>16925.983074</v>
      </c>
      <c r="FL75" s="58">
        <f t="shared" si="474"/>
        <v>55953.914846029198</v>
      </c>
      <c r="FM75" s="59">
        <f t="shared" si="475"/>
        <v>16508.057565999999</v>
      </c>
      <c r="FN75" s="58">
        <f t="shared" si="476"/>
        <v>54572.336701682798</v>
      </c>
      <c r="FO75" s="59">
        <f t="shared" si="477"/>
        <v>16090.132057999999</v>
      </c>
      <c r="FP75" s="58">
        <f t="shared" si="478"/>
        <v>53190.758557336398</v>
      </c>
      <c r="FQ75" s="59">
        <f t="shared" si="479"/>
        <v>15672.206549999999</v>
      </c>
      <c r="FR75" s="58">
        <f t="shared" si="480"/>
        <v>51809.180412989997</v>
      </c>
      <c r="FS75" s="54">
        <f t="shared" si="481"/>
        <v>15254.281041999999</v>
      </c>
      <c r="FT75" s="58">
        <f t="shared" si="482"/>
        <v>50427.602268643597</v>
      </c>
      <c r="FU75" s="59">
        <f t="shared" si="483"/>
        <v>14836.355533999998</v>
      </c>
      <c r="FV75" s="58">
        <f t="shared" si="484"/>
        <v>49046.024124297197</v>
      </c>
      <c r="FW75" s="59">
        <f t="shared" si="485"/>
        <v>14418.430025999998</v>
      </c>
      <c r="FX75" s="58">
        <f t="shared" si="486"/>
        <v>47664.445979950797</v>
      </c>
      <c r="FY75" s="59">
        <f t="shared" si="487"/>
        <v>14000.504517999998</v>
      </c>
      <c r="FZ75" s="58">
        <f t="shared" si="488"/>
        <v>46282.867835604397</v>
      </c>
      <c r="GA75" s="59">
        <f t="shared" si="489"/>
        <v>13582.579009999998</v>
      </c>
      <c r="GB75" s="58">
        <f t="shared" si="490"/>
        <v>44901.289691257996</v>
      </c>
      <c r="GC75" s="54">
        <f t="shared" si="491"/>
        <v>13164.653501999997</v>
      </c>
      <c r="GD75" s="58">
        <f t="shared" si="492"/>
        <v>43519.711546911589</v>
      </c>
      <c r="GE75" s="59">
        <f t="shared" si="493"/>
        <v>12746.727993999997</v>
      </c>
      <c r="GF75" s="58">
        <f t="shared" si="494"/>
        <v>42138.133402565189</v>
      </c>
      <c r="GG75" s="59">
        <f t="shared" si="495"/>
        <v>12328.802485999997</v>
      </c>
      <c r="GH75" s="58">
        <f t="shared" si="496"/>
        <v>40756.555258218788</v>
      </c>
      <c r="GI75" s="54">
        <f t="shared" si="497"/>
        <v>11910.876977999995</v>
      </c>
      <c r="GJ75" s="58">
        <f t="shared" si="498"/>
        <v>39374.977113872381</v>
      </c>
      <c r="GK75" s="54"/>
      <c r="GL75" s="54"/>
      <c r="GM75" s="54">
        <v>1</v>
      </c>
      <c r="GN75" s="54">
        <v>0.97</v>
      </c>
      <c r="GO75" s="54">
        <v>0.95</v>
      </c>
      <c r="GP75" s="54">
        <v>0.93</v>
      </c>
      <c r="GQ75" s="54">
        <f t="shared" si="501"/>
        <v>0.91</v>
      </c>
      <c r="GR75" s="54">
        <f t="shared" si="501"/>
        <v>0.89</v>
      </c>
      <c r="GS75" s="54">
        <f t="shared" si="501"/>
        <v>0.87</v>
      </c>
      <c r="GT75" s="54">
        <f t="shared" si="501"/>
        <v>0.85</v>
      </c>
      <c r="GU75" s="54">
        <f t="shared" si="501"/>
        <v>0.83</v>
      </c>
      <c r="GV75" s="54">
        <f t="shared" si="501"/>
        <v>0.80999999999999994</v>
      </c>
      <c r="GW75" s="54">
        <f t="shared" si="501"/>
        <v>0.78999999999999992</v>
      </c>
      <c r="GX75" s="54">
        <f t="shared" si="501"/>
        <v>0.76999999999999991</v>
      </c>
      <c r="GY75" s="54">
        <f t="shared" si="501"/>
        <v>0.74999999999999989</v>
      </c>
      <c r="GZ75" s="54">
        <f t="shared" si="501"/>
        <v>0.72999999999999987</v>
      </c>
      <c r="HA75" s="54">
        <f t="shared" si="501"/>
        <v>0.70999999999999985</v>
      </c>
      <c r="HB75" s="54">
        <f t="shared" si="501"/>
        <v>0.68999999999999984</v>
      </c>
      <c r="HC75" s="54">
        <f t="shared" si="501"/>
        <v>0.66999999999999982</v>
      </c>
      <c r="HD75" s="54">
        <f t="shared" si="501"/>
        <v>0.6499999999999998</v>
      </c>
      <c r="HE75" s="54">
        <f t="shared" si="501"/>
        <v>0.62999999999999978</v>
      </c>
      <c r="HF75" s="54">
        <f t="shared" si="501"/>
        <v>0.60999999999999976</v>
      </c>
      <c r="HG75" s="54">
        <f t="shared" si="501"/>
        <v>0.58999999999999975</v>
      </c>
      <c r="HH75" s="54">
        <f t="shared" si="501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2">
        <f t="shared" si="503"/>
        <v>0</v>
      </c>
      <c r="H76" s="54">
        <f t="shared" si="61"/>
        <v>0</v>
      </c>
      <c r="I76" s="54">
        <f t="shared" si="62"/>
        <v>0</v>
      </c>
      <c r="J76" s="58">
        <f t="shared" si="63"/>
        <v>0</v>
      </c>
      <c r="K76" s="54">
        <f t="shared" si="369"/>
        <v>0</v>
      </c>
      <c r="L76" s="58">
        <f t="shared" si="370"/>
        <v>0</v>
      </c>
      <c r="M76" s="54">
        <f t="shared" si="371"/>
        <v>0</v>
      </c>
      <c r="N76" s="58">
        <f t="shared" si="372"/>
        <v>0</v>
      </c>
      <c r="O76" s="54">
        <f t="shared" si="373"/>
        <v>0</v>
      </c>
      <c r="P76" s="58">
        <f t="shared" si="374"/>
        <v>0</v>
      </c>
      <c r="Q76" s="56">
        <f t="shared" si="375"/>
        <v>0</v>
      </c>
      <c r="R76" s="58">
        <f t="shared" si="376"/>
        <v>0</v>
      </c>
      <c r="S76" s="54">
        <f t="shared" si="377"/>
        <v>0</v>
      </c>
      <c r="T76" s="58">
        <f t="shared" si="378"/>
        <v>0</v>
      </c>
      <c r="U76" s="56">
        <f t="shared" si="379"/>
        <v>0</v>
      </c>
      <c r="V76" s="58">
        <f t="shared" si="380"/>
        <v>0</v>
      </c>
      <c r="W76" s="59">
        <f t="shared" si="381"/>
        <v>0</v>
      </c>
      <c r="X76" s="58">
        <f t="shared" si="382"/>
        <v>0</v>
      </c>
      <c r="Y76" s="56">
        <f t="shared" si="383"/>
        <v>0</v>
      </c>
      <c r="Z76" s="58">
        <f t="shared" si="384"/>
        <v>0</v>
      </c>
      <c r="AA76" s="54">
        <f t="shared" si="385"/>
        <v>0</v>
      </c>
      <c r="AB76" s="58">
        <f t="shared" si="386"/>
        <v>0</v>
      </c>
      <c r="AC76" s="59">
        <f t="shared" si="387"/>
        <v>0</v>
      </c>
      <c r="AD76" s="58">
        <f t="shared" si="388"/>
        <v>0</v>
      </c>
      <c r="AE76" s="59">
        <f t="shared" si="389"/>
        <v>0</v>
      </c>
      <c r="AF76" s="58">
        <f t="shared" si="390"/>
        <v>0</v>
      </c>
      <c r="AG76" s="59">
        <f t="shared" si="391"/>
        <v>0</v>
      </c>
      <c r="AH76" s="58">
        <f t="shared" si="392"/>
        <v>0</v>
      </c>
      <c r="AI76" s="54">
        <f t="shared" si="393"/>
        <v>0</v>
      </c>
      <c r="AJ76" s="58">
        <f t="shared" si="394"/>
        <v>0</v>
      </c>
      <c r="AK76" s="59">
        <f t="shared" si="395"/>
        <v>0</v>
      </c>
      <c r="AL76" s="58">
        <f t="shared" si="396"/>
        <v>0</v>
      </c>
      <c r="AM76" s="59">
        <f t="shared" si="397"/>
        <v>0</v>
      </c>
      <c r="AN76" s="58">
        <f t="shared" si="398"/>
        <v>0</v>
      </c>
      <c r="AO76" s="59">
        <f t="shared" si="399"/>
        <v>0</v>
      </c>
      <c r="AP76" s="58">
        <f t="shared" si="400"/>
        <v>0</v>
      </c>
      <c r="AQ76" s="59">
        <f t="shared" si="401"/>
        <v>0</v>
      </c>
      <c r="AR76" s="58">
        <f t="shared" si="402"/>
        <v>0</v>
      </c>
      <c r="AS76" s="54">
        <f t="shared" si="403"/>
        <v>0</v>
      </c>
      <c r="AT76" s="58">
        <f t="shared" si="404"/>
        <v>0</v>
      </c>
      <c r="AU76" s="59">
        <f t="shared" si="405"/>
        <v>0</v>
      </c>
      <c r="AV76" s="58">
        <f t="shared" si="406"/>
        <v>0</v>
      </c>
      <c r="AW76" s="59">
        <f t="shared" si="407"/>
        <v>0</v>
      </c>
      <c r="AX76" s="58">
        <f t="shared" si="408"/>
        <v>0</v>
      </c>
      <c r="AY76" s="54">
        <f t="shared" si="409"/>
        <v>0</v>
      </c>
      <c r="AZ76" s="58">
        <f t="shared" si="410"/>
        <v>0</v>
      </c>
      <c r="BC76" s="54">
        <v>1</v>
      </c>
      <c r="BD76" s="54">
        <v>0.97</v>
      </c>
      <c r="BE76" s="54">
        <v>0.95</v>
      </c>
      <c r="BF76" s="54">
        <v>0.93</v>
      </c>
      <c r="BG76" s="54">
        <f t="shared" si="411"/>
        <v>0.91</v>
      </c>
      <c r="BH76" s="54">
        <f t="shared" si="411"/>
        <v>0.89</v>
      </c>
      <c r="BI76" s="54">
        <f t="shared" si="411"/>
        <v>0.87</v>
      </c>
      <c r="BJ76" s="54">
        <f t="shared" si="411"/>
        <v>0.85</v>
      </c>
      <c r="BK76" s="54">
        <f t="shared" si="411"/>
        <v>0.83</v>
      </c>
      <c r="BL76" s="54">
        <f t="shared" si="411"/>
        <v>0.80999999999999994</v>
      </c>
      <c r="BM76" s="54">
        <f t="shared" si="411"/>
        <v>0.78999999999999992</v>
      </c>
      <c r="BN76" s="54">
        <f t="shared" si="411"/>
        <v>0.76999999999999991</v>
      </c>
      <c r="BO76" s="54">
        <f t="shared" si="411"/>
        <v>0.74999999999999989</v>
      </c>
      <c r="BP76" s="54">
        <f t="shared" si="411"/>
        <v>0.72999999999999987</v>
      </c>
      <c r="BQ76" s="54">
        <f t="shared" si="411"/>
        <v>0.70999999999999985</v>
      </c>
      <c r="BR76" s="54">
        <f t="shared" si="411"/>
        <v>0.68999999999999984</v>
      </c>
      <c r="BS76" s="54">
        <f t="shared" si="411"/>
        <v>0.66999999999999982</v>
      </c>
      <c r="BT76" s="54">
        <f t="shared" si="411"/>
        <v>0.6499999999999998</v>
      </c>
      <c r="BU76" s="54">
        <f t="shared" si="411"/>
        <v>0.62999999999999978</v>
      </c>
      <c r="BV76" s="54">
        <f t="shared" si="411"/>
        <v>0.60999999999999976</v>
      </c>
      <c r="BW76" s="54">
        <f t="shared" si="411"/>
        <v>0.58999999999999975</v>
      </c>
      <c r="BX76" s="54">
        <f t="shared" si="411"/>
        <v>0.56999999999999973</v>
      </c>
      <c r="BZ76" s="54">
        <f t="shared" si="88"/>
        <v>0</v>
      </c>
      <c r="CA76" s="54">
        <f t="shared" si="89"/>
        <v>0</v>
      </c>
      <c r="CB76" s="58">
        <f t="shared" si="412"/>
        <v>0</v>
      </c>
      <c r="CC76" s="54">
        <f t="shared" si="413"/>
        <v>0</v>
      </c>
      <c r="CD76" s="58">
        <f t="shared" si="414"/>
        <v>0</v>
      </c>
      <c r="CE76" s="54">
        <f t="shared" si="415"/>
        <v>0</v>
      </c>
      <c r="CF76" s="58">
        <f t="shared" si="416"/>
        <v>0</v>
      </c>
      <c r="CG76" s="54">
        <f t="shared" si="417"/>
        <v>0</v>
      </c>
      <c r="CH76" s="58">
        <f t="shared" si="418"/>
        <v>0</v>
      </c>
      <c r="CI76" s="56">
        <f t="shared" si="419"/>
        <v>0</v>
      </c>
      <c r="CJ76" s="58">
        <f t="shared" si="420"/>
        <v>0</v>
      </c>
      <c r="CK76" s="54">
        <f t="shared" si="421"/>
        <v>0</v>
      </c>
      <c r="CL76" s="58">
        <f t="shared" si="422"/>
        <v>0</v>
      </c>
      <c r="CM76" s="56">
        <f t="shared" si="423"/>
        <v>0</v>
      </c>
      <c r="CN76" s="58">
        <f t="shared" si="424"/>
        <v>0</v>
      </c>
      <c r="CO76" s="59">
        <f t="shared" si="425"/>
        <v>0</v>
      </c>
      <c r="CP76" s="58">
        <f t="shared" si="426"/>
        <v>0</v>
      </c>
      <c r="CQ76" s="56">
        <f t="shared" si="427"/>
        <v>0</v>
      </c>
      <c r="CR76" s="58">
        <f t="shared" si="428"/>
        <v>0</v>
      </c>
      <c r="CS76" s="54">
        <f t="shared" si="429"/>
        <v>0</v>
      </c>
      <c r="CT76" s="58">
        <f t="shared" si="430"/>
        <v>0</v>
      </c>
      <c r="CU76" s="59">
        <f t="shared" si="431"/>
        <v>0</v>
      </c>
      <c r="CV76" s="58">
        <f t="shared" si="432"/>
        <v>0</v>
      </c>
      <c r="CW76" s="59">
        <f t="shared" si="433"/>
        <v>0</v>
      </c>
      <c r="CX76" s="58">
        <f t="shared" si="434"/>
        <v>0</v>
      </c>
      <c r="CY76" s="59">
        <f t="shared" si="435"/>
        <v>0</v>
      </c>
      <c r="CZ76" s="58">
        <f t="shared" si="436"/>
        <v>0</v>
      </c>
      <c r="DA76" s="54">
        <f t="shared" si="437"/>
        <v>0</v>
      </c>
      <c r="DB76" s="58">
        <f t="shared" si="438"/>
        <v>0</v>
      </c>
      <c r="DC76" s="59">
        <f t="shared" si="439"/>
        <v>0</v>
      </c>
      <c r="DD76" s="58">
        <f t="shared" si="440"/>
        <v>0</v>
      </c>
      <c r="DE76" s="59">
        <f t="shared" si="441"/>
        <v>0</v>
      </c>
      <c r="DF76" s="58">
        <f t="shared" si="442"/>
        <v>0</v>
      </c>
      <c r="DG76" s="59">
        <f t="shared" si="443"/>
        <v>0</v>
      </c>
      <c r="DH76" s="58">
        <f t="shared" si="444"/>
        <v>0</v>
      </c>
      <c r="DI76" s="59">
        <f t="shared" si="445"/>
        <v>0</v>
      </c>
      <c r="DJ76" s="58">
        <f t="shared" si="446"/>
        <v>0</v>
      </c>
      <c r="DK76" s="54">
        <f t="shared" si="447"/>
        <v>0</v>
      </c>
      <c r="DL76" s="58">
        <f t="shared" si="448"/>
        <v>0</v>
      </c>
      <c r="DM76" s="59">
        <f t="shared" si="449"/>
        <v>0</v>
      </c>
      <c r="DN76" s="58">
        <f t="shared" si="450"/>
        <v>0</v>
      </c>
      <c r="DO76" s="59">
        <f t="shared" si="451"/>
        <v>0</v>
      </c>
      <c r="DP76" s="58">
        <f t="shared" si="452"/>
        <v>0</v>
      </c>
      <c r="DQ76" s="54">
        <f t="shared" si="453"/>
        <v>0</v>
      </c>
      <c r="DR76" s="58">
        <f t="shared" si="454"/>
        <v>0</v>
      </c>
      <c r="DU76" s="54">
        <v>1</v>
      </c>
      <c r="DV76" s="54">
        <v>0.97</v>
      </c>
      <c r="DW76" s="54">
        <v>0.95</v>
      </c>
      <c r="DX76" s="54">
        <v>0.93</v>
      </c>
      <c r="DY76" s="54">
        <f t="shared" si="500"/>
        <v>0.91</v>
      </c>
      <c r="DZ76" s="54">
        <f t="shared" si="500"/>
        <v>0.89</v>
      </c>
      <c r="EA76" s="54">
        <f t="shared" si="500"/>
        <v>0.87</v>
      </c>
      <c r="EB76" s="54">
        <f t="shared" si="500"/>
        <v>0.85</v>
      </c>
      <c r="EC76" s="54">
        <f t="shared" si="500"/>
        <v>0.83</v>
      </c>
      <c r="ED76" s="54">
        <f t="shared" si="500"/>
        <v>0.80999999999999994</v>
      </c>
      <c r="EE76" s="54">
        <f t="shared" si="500"/>
        <v>0.78999999999999992</v>
      </c>
      <c r="EF76" s="54">
        <f t="shared" si="500"/>
        <v>0.76999999999999991</v>
      </c>
      <c r="EG76" s="54">
        <f t="shared" si="500"/>
        <v>0.74999999999999989</v>
      </c>
      <c r="EH76" s="54">
        <f t="shared" si="500"/>
        <v>0.72999999999999987</v>
      </c>
      <c r="EI76" s="54">
        <f t="shared" si="500"/>
        <v>0.70999999999999985</v>
      </c>
      <c r="EJ76" s="54">
        <f t="shared" si="500"/>
        <v>0.68999999999999984</v>
      </c>
      <c r="EK76" s="54">
        <f t="shared" si="500"/>
        <v>0.66999999999999982</v>
      </c>
      <c r="EL76" s="54">
        <f t="shared" si="500"/>
        <v>0.6499999999999998</v>
      </c>
      <c r="EM76" s="54">
        <f t="shared" si="500"/>
        <v>0.62999999999999978</v>
      </c>
      <c r="EN76" s="54">
        <f t="shared" si="500"/>
        <v>0.60999999999999976</v>
      </c>
      <c r="EO76" s="54">
        <f t="shared" si="500"/>
        <v>0.58999999999999975</v>
      </c>
      <c r="EP76" s="54">
        <f t="shared" si="500"/>
        <v>0.56999999999999973</v>
      </c>
      <c r="ER76" s="54">
        <f t="shared" si="142"/>
        <v>0</v>
      </c>
      <c r="ES76" s="54">
        <f t="shared" si="116"/>
        <v>0</v>
      </c>
      <c r="ET76" s="58">
        <f t="shared" si="456"/>
        <v>0</v>
      </c>
      <c r="EU76" s="54">
        <f t="shared" si="457"/>
        <v>0</v>
      </c>
      <c r="EV76" s="58">
        <f t="shared" si="458"/>
        <v>0</v>
      </c>
      <c r="EW76" s="54">
        <f t="shared" si="459"/>
        <v>0</v>
      </c>
      <c r="EX76" s="58">
        <f t="shared" si="460"/>
        <v>0</v>
      </c>
      <c r="EY76" s="54">
        <f t="shared" si="461"/>
        <v>0</v>
      </c>
      <c r="EZ76" s="58">
        <f t="shared" si="462"/>
        <v>0</v>
      </c>
      <c r="FA76" s="56">
        <f t="shared" si="463"/>
        <v>0</v>
      </c>
      <c r="FB76" s="58">
        <f t="shared" si="464"/>
        <v>0</v>
      </c>
      <c r="FC76" s="54">
        <f t="shared" si="465"/>
        <v>0</v>
      </c>
      <c r="FD76" s="58">
        <f t="shared" si="466"/>
        <v>0</v>
      </c>
      <c r="FE76" s="56">
        <f t="shared" si="467"/>
        <v>0</v>
      </c>
      <c r="FF76" s="58">
        <f t="shared" si="468"/>
        <v>0</v>
      </c>
      <c r="FG76" s="59">
        <f t="shared" si="469"/>
        <v>0</v>
      </c>
      <c r="FH76" s="58">
        <f t="shared" si="470"/>
        <v>0</v>
      </c>
      <c r="FI76" s="56">
        <f t="shared" si="471"/>
        <v>0</v>
      </c>
      <c r="FJ76" s="58">
        <f t="shared" si="472"/>
        <v>0</v>
      </c>
      <c r="FK76" s="54">
        <f t="shared" si="473"/>
        <v>0</v>
      </c>
      <c r="FL76" s="58">
        <f t="shared" si="474"/>
        <v>0</v>
      </c>
      <c r="FM76" s="59">
        <f t="shared" si="475"/>
        <v>0</v>
      </c>
      <c r="FN76" s="58">
        <f t="shared" si="476"/>
        <v>0</v>
      </c>
      <c r="FO76" s="59">
        <f t="shared" si="477"/>
        <v>0</v>
      </c>
      <c r="FP76" s="58">
        <f t="shared" si="478"/>
        <v>0</v>
      </c>
      <c r="FQ76" s="59">
        <f t="shared" si="479"/>
        <v>0</v>
      </c>
      <c r="FR76" s="58">
        <f t="shared" si="480"/>
        <v>0</v>
      </c>
      <c r="FS76" s="54">
        <f t="shared" si="481"/>
        <v>0</v>
      </c>
      <c r="FT76" s="58">
        <f t="shared" si="482"/>
        <v>0</v>
      </c>
      <c r="FU76" s="59">
        <f t="shared" si="483"/>
        <v>0</v>
      </c>
      <c r="FV76" s="58">
        <f t="shared" si="484"/>
        <v>0</v>
      </c>
      <c r="FW76" s="59">
        <f t="shared" si="485"/>
        <v>0</v>
      </c>
      <c r="FX76" s="58">
        <f t="shared" si="486"/>
        <v>0</v>
      </c>
      <c r="FY76" s="59">
        <f t="shared" si="487"/>
        <v>0</v>
      </c>
      <c r="FZ76" s="58">
        <f t="shared" si="488"/>
        <v>0</v>
      </c>
      <c r="GA76" s="59">
        <f t="shared" si="489"/>
        <v>0</v>
      </c>
      <c r="GB76" s="58">
        <f t="shared" si="490"/>
        <v>0</v>
      </c>
      <c r="GC76" s="54">
        <f t="shared" si="491"/>
        <v>0</v>
      </c>
      <c r="GD76" s="58">
        <f t="shared" si="492"/>
        <v>0</v>
      </c>
      <c r="GE76" s="59">
        <f t="shared" si="493"/>
        <v>0</v>
      </c>
      <c r="GF76" s="58">
        <f t="shared" si="494"/>
        <v>0</v>
      </c>
      <c r="GG76" s="59">
        <f t="shared" si="495"/>
        <v>0</v>
      </c>
      <c r="GH76" s="58">
        <f t="shared" si="496"/>
        <v>0</v>
      </c>
      <c r="GI76" s="54">
        <f t="shared" si="497"/>
        <v>0</v>
      </c>
      <c r="GJ76" s="58">
        <f t="shared" si="498"/>
        <v>0</v>
      </c>
      <c r="GK76" s="54"/>
      <c r="GL76" s="54"/>
      <c r="GM76" s="54">
        <v>1</v>
      </c>
      <c r="GN76" s="54">
        <v>0.97</v>
      </c>
      <c r="GO76" s="54">
        <v>0.95</v>
      </c>
      <c r="GP76" s="54">
        <v>0.93</v>
      </c>
      <c r="GQ76" s="54">
        <f t="shared" si="501"/>
        <v>0.91</v>
      </c>
      <c r="GR76" s="54">
        <f t="shared" si="501"/>
        <v>0.89</v>
      </c>
      <c r="GS76" s="54">
        <f t="shared" si="501"/>
        <v>0.87</v>
      </c>
      <c r="GT76" s="54">
        <f t="shared" si="501"/>
        <v>0.85</v>
      </c>
      <c r="GU76" s="54">
        <f t="shared" si="501"/>
        <v>0.83</v>
      </c>
      <c r="GV76" s="54">
        <f t="shared" si="501"/>
        <v>0.80999999999999994</v>
      </c>
      <c r="GW76" s="54">
        <f t="shared" si="501"/>
        <v>0.78999999999999992</v>
      </c>
      <c r="GX76" s="54">
        <f t="shared" si="501"/>
        <v>0.76999999999999991</v>
      </c>
      <c r="GY76" s="54">
        <f t="shared" si="501"/>
        <v>0.74999999999999989</v>
      </c>
      <c r="GZ76" s="54">
        <f t="shared" si="501"/>
        <v>0.72999999999999987</v>
      </c>
      <c r="HA76" s="54">
        <f t="shared" si="501"/>
        <v>0.70999999999999985</v>
      </c>
      <c r="HB76" s="54">
        <f t="shared" si="501"/>
        <v>0.68999999999999984</v>
      </c>
      <c r="HC76" s="54">
        <f t="shared" si="501"/>
        <v>0.66999999999999982</v>
      </c>
      <c r="HD76" s="54">
        <f t="shared" si="501"/>
        <v>0.6499999999999998</v>
      </c>
      <c r="HE76" s="54">
        <f t="shared" si="501"/>
        <v>0.62999999999999978</v>
      </c>
      <c r="HF76" s="54">
        <f t="shared" si="501"/>
        <v>0.60999999999999976</v>
      </c>
      <c r="HG76" s="54">
        <f t="shared" si="501"/>
        <v>0.58999999999999975</v>
      </c>
      <c r="HH76" s="54">
        <f t="shared" si="501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2">
        <f t="shared" si="503"/>
        <v>0</v>
      </c>
      <c r="H77" s="54">
        <f t="shared" si="61"/>
        <v>0</v>
      </c>
      <c r="I77" s="54">
        <f t="shared" si="62"/>
        <v>0</v>
      </c>
      <c r="J77" s="58">
        <f t="shared" si="63"/>
        <v>0</v>
      </c>
      <c r="K77" s="54">
        <f t="shared" si="369"/>
        <v>0</v>
      </c>
      <c r="L77" s="58">
        <f t="shared" si="370"/>
        <v>0</v>
      </c>
      <c r="M77" s="54">
        <f t="shared" si="371"/>
        <v>0</v>
      </c>
      <c r="N77" s="58">
        <f t="shared" si="372"/>
        <v>0</v>
      </c>
      <c r="O77" s="54">
        <f t="shared" si="373"/>
        <v>0</v>
      </c>
      <c r="P77" s="58">
        <f t="shared" si="374"/>
        <v>0</v>
      </c>
      <c r="Q77" s="56">
        <f t="shared" si="375"/>
        <v>0</v>
      </c>
      <c r="R77" s="58">
        <f t="shared" si="376"/>
        <v>0</v>
      </c>
      <c r="S77" s="54">
        <f t="shared" si="377"/>
        <v>0</v>
      </c>
      <c r="T77" s="58">
        <f t="shared" si="378"/>
        <v>0</v>
      </c>
      <c r="U77" s="56">
        <f t="shared" si="379"/>
        <v>0</v>
      </c>
      <c r="V77" s="58">
        <f t="shared" si="380"/>
        <v>0</v>
      </c>
      <c r="W77" s="59">
        <f t="shared" si="381"/>
        <v>0</v>
      </c>
      <c r="X77" s="58">
        <f t="shared" si="382"/>
        <v>0</v>
      </c>
      <c r="Y77" s="56">
        <f t="shared" si="383"/>
        <v>0</v>
      </c>
      <c r="Z77" s="58">
        <f t="shared" si="384"/>
        <v>0</v>
      </c>
      <c r="AA77" s="54">
        <f t="shared" si="385"/>
        <v>0</v>
      </c>
      <c r="AB77" s="58">
        <f t="shared" si="386"/>
        <v>0</v>
      </c>
      <c r="AC77" s="59">
        <f t="shared" si="387"/>
        <v>0</v>
      </c>
      <c r="AD77" s="58">
        <f t="shared" si="388"/>
        <v>0</v>
      </c>
      <c r="AE77" s="59">
        <f t="shared" si="389"/>
        <v>0</v>
      </c>
      <c r="AF77" s="58">
        <f t="shared" si="390"/>
        <v>0</v>
      </c>
      <c r="AG77" s="59">
        <f t="shared" si="391"/>
        <v>0</v>
      </c>
      <c r="AH77" s="58">
        <f t="shared" si="392"/>
        <v>0</v>
      </c>
      <c r="AI77" s="54">
        <f t="shared" si="393"/>
        <v>0</v>
      </c>
      <c r="AJ77" s="58">
        <f t="shared" si="394"/>
        <v>0</v>
      </c>
      <c r="AK77" s="59">
        <f t="shared" si="395"/>
        <v>0</v>
      </c>
      <c r="AL77" s="58">
        <f t="shared" si="396"/>
        <v>0</v>
      </c>
      <c r="AM77" s="59">
        <f t="shared" si="397"/>
        <v>0</v>
      </c>
      <c r="AN77" s="58">
        <f t="shared" si="398"/>
        <v>0</v>
      </c>
      <c r="AO77" s="59">
        <f t="shared" si="399"/>
        <v>0</v>
      </c>
      <c r="AP77" s="58">
        <f t="shared" si="400"/>
        <v>0</v>
      </c>
      <c r="AQ77" s="59">
        <f t="shared" si="401"/>
        <v>0</v>
      </c>
      <c r="AR77" s="58">
        <f t="shared" si="402"/>
        <v>0</v>
      </c>
      <c r="AS77" s="54">
        <f t="shared" si="403"/>
        <v>0</v>
      </c>
      <c r="AT77" s="58">
        <f t="shared" si="404"/>
        <v>0</v>
      </c>
      <c r="AU77" s="59">
        <f t="shared" si="405"/>
        <v>0</v>
      </c>
      <c r="AV77" s="58">
        <f t="shared" si="406"/>
        <v>0</v>
      </c>
      <c r="AW77" s="59">
        <f t="shared" si="407"/>
        <v>0</v>
      </c>
      <c r="AX77" s="58">
        <f t="shared" si="408"/>
        <v>0</v>
      </c>
      <c r="AY77" s="54">
        <f t="shared" si="409"/>
        <v>0</v>
      </c>
      <c r="AZ77" s="58">
        <f t="shared" si="410"/>
        <v>0</v>
      </c>
      <c r="BC77" s="54">
        <v>1</v>
      </c>
      <c r="BD77" s="54">
        <v>0.97</v>
      </c>
      <c r="BE77" s="54">
        <v>0.95</v>
      </c>
      <c r="BF77" s="54">
        <v>0.93</v>
      </c>
      <c r="BG77" s="54">
        <f t="shared" si="411"/>
        <v>0.91</v>
      </c>
      <c r="BH77" s="54">
        <f t="shared" si="411"/>
        <v>0.89</v>
      </c>
      <c r="BI77" s="54">
        <f t="shared" si="411"/>
        <v>0.87</v>
      </c>
      <c r="BJ77" s="54">
        <f t="shared" ref="BJ77:BX77" si="504">+BI77-0.02</f>
        <v>0.85</v>
      </c>
      <c r="BK77" s="54">
        <f t="shared" si="504"/>
        <v>0.83</v>
      </c>
      <c r="BL77" s="54">
        <f t="shared" si="504"/>
        <v>0.80999999999999994</v>
      </c>
      <c r="BM77" s="54">
        <f t="shared" si="504"/>
        <v>0.78999999999999992</v>
      </c>
      <c r="BN77" s="54">
        <f t="shared" si="504"/>
        <v>0.76999999999999991</v>
      </c>
      <c r="BO77" s="54">
        <f t="shared" si="504"/>
        <v>0.74999999999999989</v>
      </c>
      <c r="BP77" s="54">
        <f t="shared" si="504"/>
        <v>0.72999999999999987</v>
      </c>
      <c r="BQ77" s="54">
        <f t="shared" si="504"/>
        <v>0.70999999999999985</v>
      </c>
      <c r="BR77" s="54">
        <f t="shared" si="504"/>
        <v>0.68999999999999984</v>
      </c>
      <c r="BS77" s="54">
        <f t="shared" si="504"/>
        <v>0.66999999999999982</v>
      </c>
      <c r="BT77" s="54">
        <f t="shared" si="504"/>
        <v>0.6499999999999998</v>
      </c>
      <c r="BU77" s="54">
        <f t="shared" si="504"/>
        <v>0.62999999999999978</v>
      </c>
      <c r="BV77" s="54">
        <f t="shared" si="504"/>
        <v>0.60999999999999976</v>
      </c>
      <c r="BW77" s="54">
        <f t="shared" si="504"/>
        <v>0.58999999999999975</v>
      </c>
      <c r="BX77" s="54">
        <f t="shared" si="504"/>
        <v>0.56999999999999973</v>
      </c>
      <c r="BZ77" s="54">
        <f t="shared" si="88"/>
        <v>0</v>
      </c>
      <c r="CA77" s="54">
        <f t="shared" si="89"/>
        <v>0</v>
      </c>
      <c r="CB77" s="58">
        <f t="shared" si="412"/>
        <v>0</v>
      </c>
      <c r="CC77" s="54">
        <f t="shared" si="413"/>
        <v>0</v>
      </c>
      <c r="CD77" s="58">
        <f t="shared" si="414"/>
        <v>0</v>
      </c>
      <c r="CE77" s="54">
        <f t="shared" si="415"/>
        <v>0</v>
      </c>
      <c r="CF77" s="58">
        <f t="shared" si="416"/>
        <v>0</v>
      </c>
      <c r="CG77" s="54">
        <f t="shared" si="417"/>
        <v>0</v>
      </c>
      <c r="CH77" s="58">
        <f t="shared" si="418"/>
        <v>0</v>
      </c>
      <c r="CI77" s="56">
        <f t="shared" si="419"/>
        <v>0</v>
      </c>
      <c r="CJ77" s="58">
        <f t="shared" si="420"/>
        <v>0</v>
      </c>
      <c r="CK77" s="54">
        <f t="shared" si="421"/>
        <v>0</v>
      </c>
      <c r="CL77" s="58">
        <f t="shared" si="422"/>
        <v>0</v>
      </c>
      <c r="CM77" s="56">
        <f t="shared" si="423"/>
        <v>0</v>
      </c>
      <c r="CN77" s="58">
        <f t="shared" si="424"/>
        <v>0</v>
      </c>
      <c r="CO77" s="59">
        <f t="shared" si="425"/>
        <v>0</v>
      </c>
      <c r="CP77" s="58">
        <f t="shared" si="426"/>
        <v>0</v>
      </c>
      <c r="CQ77" s="56">
        <f t="shared" si="427"/>
        <v>0</v>
      </c>
      <c r="CR77" s="58">
        <f t="shared" si="428"/>
        <v>0</v>
      </c>
      <c r="CS77" s="54">
        <f t="shared" si="429"/>
        <v>0</v>
      </c>
      <c r="CT77" s="58">
        <f t="shared" si="430"/>
        <v>0</v>
      </c>
      <c r="CU77" s="59">
        <f t="shared" si="431"/>
        <v>0</v>
      </c>
      <c r="CV77" s="58">
        <f t="shared" si="432"/>
        <v>0</v>
      </c>
      <c r="CW77" s="59">
        <f t="shared" si="433"/>
        <v>0</v>
      </c>
      <c r="CX77" s="58">
        <f t="shared" si="434"/>
        <v>0</v>
      </c>
      <c r="CY77" s="59">
        <f t="shared" si="435"/>
        <v>0</v>
      </c>
      <c r="CZ77" s="58">
        <f t="shared" si="436"/>
        <v>0</v>
      </c>
      <c r="DA77" s="54">
        <f t="shared" si="437"/>
        <v>0</v>
      </c>
      <c r="DB77" s="58">
        <f t="shared" si="438"/>
        <v>0</v>
      </c>
      <c r="DC77" s="59">
        <f t="shared" si="439"/>
        <v>0</v>
      </c>
      <c r="DD77" s="58">
        <f t="shared" si="440"/>
        <v>0</v>
      </c>
      <c r="DE77" s="59">
        <f t="shared" si="441"/>
        <v>0</v>
      </c>
      <c r="DF77" s="58">
        <f t="shared" si="442"/>
        <v>0</v>
      </c>
      <c r="DG77" s="59">
        <f t="shared" si="443"/>
        <v>0</v>
      </c>
      <c r="DH77" s="58">
        <f t="shared" si="444"/>
        <v>0</v>
      </c>
      <c r="DI77" s="59">
        <f t="shared" si="445"/>
        <v>0</v>
      </c>
      <c r="DJ77" s="58">
        <f t="shared" si="446"/>
        <v>0</v>
      </c>
      <c r="DK77" s="54">
        <f t="shared" si="447"/>
        <v>0</v>
      </c>
      <c r="DL77" s="58">
        <f t="shared" si="448"/>
        <v>0</v>
      </c>
      <c r="DM77" s="59">
        <f t="shared" si="449"/>
        <v>0</v>
      </c>
      <c r="DN77" s="58">
        <f t="shared" si="450"/>
        <v>0</v>
      </c>
      <c r="DO77" s="59">
        <f t="shared" si="451"/>
        <v>0</v>
      </c>
      <c r="DP77" s="58">
        <f t="shared" si="452"/>
        <v>0</v>
      </c>
      <c r="DQ77" s="54">
        <f t="shared" si="453"/>
        <v>0</v>
      </c>
      <c r="DR77" s="58">
        <f t="shared" si="454"/>
        <v>0</v>
      </c>
      <c r="DU77" s="54">
        <v>1</v>
      </c>
      <c r="DV77" s="54">
        <v>0.97</v>
      </c>
      <c r="DW77" s="54">
        <v>0.95</v>
      </c>
      <c r="DX77" s="54">
        <v>0.93</v>
      </c>
      <c r="DY77" s="54">
        <f t="shared" si="500"/>
        <v>0.91</v>
      </c>
      <c r="DZ77" s="54">
        <f t="shared" si="500"/>
        <v>0.89</v>
      </c>
      <c r="EA77" s="54">
        <f t="shared" si="500"/>
        <v>0.87</v>
      </c>
      <c r="EB77" s="54">
        <f t="shared" si="500"/>
        <v>0.85</v>
      </c>
      <c r="EC77" s="54">
        <f t="shared" si="500"/>
        <v>0.83</v>
      </c>
      <c r="ED77" s="54">
        <f t="shared" si="500"/>
        <v>0.80999999999999994</v>
      </c>
      <c r="EE77" s="54">
        <f t="shared" si="500"/>
        <v>0.78999999999999992</v>
      </c>
      <c r="EF77" s="54">
        <f t="shared" si="500"/>
        <v>0.76999999999999991</v>
      </c>
      <c r="EG77" s="54">
        <f t="shared" si="500"/>
        <v>0.74999999999999989</v>
      </c>
      <c r="EH77" s="54">
        <f t="shared" si="500"/>
        <v>0.72999999999999987</v>
      </c>
      <c r="EI77" s="54">
        <f t="shared" si="500"/>
        <v>0.70999999999999985</v>
      </c>
      <c r="EJ77" s="54">
        <f t="shared" si="500"/>
        <v>0.68999999999999984</v>
      </c>
      <c r="EK77" s="54">
        <f t="shared" si="500"/>
        <v>0.66999999999999982</v>
      </c>
      <c r="EL77" s="54">
        <f t="shared" si="500"/>
        <v>0.6499999999999998</v>
      </c>
      <c r="EM77" s="54">
        <f t="shared" si="500"/>
        <v>0.62999999999999978</v>
      </c>
      <c r="EN77" s="54">
        <f t="shared" si="500"/>
        <v>0.60999999999999976</v>
      </c>
      <c r="EO77" s="54">
        <f t="shared" si="500"/>
        <v>0.58999999999999975</v>
      </c>
      <c r="EP77" s="54">
        <f t="shared" si="500"/>
        <v>0.56999999999999973</v>
      </c>
      <c r="ER77" s="54">
        <f t="shared" si="142"/>
        <v>0</v>
      </c>
      <c r="ES77" s="54">
        <f t="shared" si="116"/>
        <v>0</v>
      </c>
      <c r="ET77" s="58">
        <f t="shared" si="456"/>
        <v>0</v>
      </c>
      <c r="EU77" s="54">
        <f t="shared" si="457"/>
        <v>0</v>
      </c>
      <c r="EV77" s="58">
        <f t="shared" si="458"/>
        <v>0</v>
      </c>
      <c r="EW77" s="54">
        <f t="shared" si="459"/>
        <v>0</v>
      </c>
      <c r="EX77" s="58">
        <f t="shared" si="460"/>
        <v>0</v>
      </c>
      <c r="EY77" s="54">
        <f t="shared" si="461"/>
        <v>0</v>
      </c>
      <c r="EZ77" s="58">
        <f t="shared" si="462"/>
        <v>0</v>
      </c>
      <c r="FA77" s="56">
        <f t="shared" si="463"/>
        <v>0</v>
      </c>
      <c r="FB77" s="58">
        <f t="shared" si="464"/>
        <v>0</v>
      </c>
      <c r="FC77" s="54">
        <f t="shared" si="465"/>
        <v>0</v>
      </c>
      <c r="FD77" s="58">
        <f t="shared" si="466"/>
        <v>0</v>
      </c>
      <c r="FE77" s="56">
        <f t="shared" si="467"/>
        <v>0</v>
      </c>
      <c r="FF77" s="58">
        <f t="shared" si="468"/>
        <v>0</v>
      </c>
      <c r="FG77" s="59">
        <f t="shared" si="469"/>
        <v>0</v>
      </c>
      <c r="FH77" s="58">
        <f t="shared" si="470"/>
        <v>0</v>
      </c>
      <c r="FI77" s="56">
        <f t="shared" si="471"/>
        <v>0</v>
      </c>
      <c r="FJ77" s="58">
        <f t="shared" si="472"/>
        <v>0</v>
      </c>
      <c r="FK77" s="54">
        <f t="shared" si="473"/>
        <v>0</v>
      </c>
      <c r="FL77" s="58">
        <f t="shared" si="474"/>
        <v>0</v>
      </c>
      <c r="FM77" s="59">
        <f t="shared" si="475"/>
        <v>0</v>
      </c>
      <c r="FN77" s="58">
        <f t="shared" si="476"/>
        <v>0</v>
      </c>
      <c r="FO77" s="59">
        <f t="shared" si="477"/>
        <v>0</v>
      </c>
      <c r="FP77" s="58">
        <f t="shared" si="478"/>
        <v>0</v>
      </c>
      <c r="FQ77" s="59">
        <f t="shared" si="479"/>
        <v>0</v>
      </c>
      <c r="FR77" s="58">
        <f t="shared" si="480"/>
        <v>0</v>
      </c>
      <c r="FS77" s="54">
        <f t="shared" si="481"/>
        <v>0</v>
      </c>
      <c r="FT77" s="58">
        <f t="shared" si="482"/>
        <v>0</v>
      </c>
      <c r="FU77" s="59">
        <f t="shared" si="483"/>
        <v>0</v>
      </c>
      <c r="FV77" s="58">
        <f t="shared" si="484"/>
        <v>0</v>
      </c>
      <c r="FW77" s="59">
        <f t="shared" si="485"/>
        <v>0</v>
      </c>
      <c r="FX77" s="58">
        <f t="shared" si="486"/>
        <v>0</v>
      </c>
      <c r="FY77" s="59">
        <f t="shared" si="487"/>
        <v>0</v>
      </c>
      <c r="FZ77" s="58">
        <f t="shared" si="488"/>
        <v>0</v>
      </c>
      <c r="GA77" s="59">
        <f t="shared" si="489"/>
        <v>0</v>
      </c>
      <c r="GB77" s="58">
        <f t="shared" si="490"/>
        <v>0</v>
      </c>
      <c r="GC77" s="54">
        <f t="shared" si="491"/>
        <v>0</v>
      </c>
      <c r="GD77" s="58">
        <f t="shared" si="492"/>
        <v>0</v>
      </c>
      <c r="GE77" s="59">
        <f t="shared" si="493"/>
        <v>0</v>
      </c>
      <c r="GF77" s="58">
        <f t="shared" si="494"/>
        <v>0</v>
      </c>
      <c r="GG77" s="59">
        <f t="shared" si="495"/>
        <v>0</v>
      </c>
      <c r="GH77" s="58">
        <f t="shared" si="496"/>
        <v>0</v>
      </c>
      <c r="GI77" s="54">
        <f t="shared" si="497"/>
        <v>0</v>
      </c>
      <c r="GJ77" s="58">
        <f t="shared" si="498"/>
        <v>0</v>
      </c>
      <c r="GK77" s="54"/>
      <c r="GL77" s="54"/>
      <c r="GM77" s="54">
        <v>1</v>
      </c>
      <c r="GN77" s="54">
        <v>0.97</v>
      </c>
      <c r="GO77" s="54">
        <v>0.95</v>
      </c>
      <c r="GP77" s="54">
        <v>0.93</v>
      </c>
      <c r="GQ77" s="54">
        <f t="shared" si="501"/>
        <v>0.91</v>
      </c>
      <c r="GR77" s="54">
        <f t="shared" si="501"/>
        <v>0.89</v>
      </c>
      <c r="GS77" s="54">
        <f t="shared" si="501"/>
        <v>0.87</v>
      </c>
      <c r="GT77" s="54">
        <f t="shared" si="501"/>
        <v>0.85</v>
      </c>
      <c r="GU77" s="54">
        <f t="shared" si="501"/>
        <v>0.83</v>
      </c>
      <c r="GV77" s="54">
        <f t="shared" si="501"/>
        <v>0.80999999999999994</v>
      </c>
      <c r="GW77" s="54">
        <f t="shared" si="501"/>
        <v>0.78999999999999992</v>
      </c>
      <c r="GX77" s="54">
        <f t="shared" si="501"/>
        <v>0.76999999999999991</v>
      </c>
      <c r="GY77" s="54">
        <f t="shared" si="501"/>
        <v>0.74999999999999989</v>
      </c>
      <c r="GZ77" s="54">
        <f t="shared" si="501"/>
        <v>0.72999999999999987</v>
      </c>
      <c r="HA77" s="54">
        <f t="shared" si="501"/>
        <v>0.70999999999999985</v>
      </c>
      <c r="HB77" s="54">
        <f t="shared" si="501"/>
        <v>0.68999999999999984</v>
      </c>
      <c r="HC77" s="54">
        <f t="shared" si="501"/>
        <v>0.66999999999999982</v>
      </c>
      <c r="HD77" s="54">
        <f t="shared" si="501"/>
        <v>0.6499999999999998</v>
      </c>
      <c r="HE77" s="54">
        <f t="shared" si="501"/>
        <v>0.62999999999999978</v>
      </c>
      <c r="HF77" s="54">
        <f t="shared" si="501"/>
        <v>0.60999999999999976</v>
      </c>
      <c r="HG77" s="54">
        <f t="shared" si="501"/>
        <v>0.58999999999999975</v>
      </c>
      <c r="HH77" s="54">
        <f t="shared" si="501"/>
        <v>0.56999999999999973</v>
      </c>
    </row>
    <row r="78" spans="1:216" x14ac:dyDescent="0.3">
      <c r="A78" s="2">
        <v>16</v>
      </c>
      <c r="C78" s="38" t="s">
        <v>123</v>
      </c>
      <c r="D78" s="42">
        <v>17060</v>
      </c>
      <c r="E78" s="72">
        <f>TRUNC(+D78*3.3058,-1)</f>
        <v>56390</v>
      </c>
      <c r="H78" s="54">
        <f t="shared" si="61"/>
        <v>62029.000000000007</v>
      </c>
      <c r="I78" s="54">
        <f t="shared" si="62"/>
        <v>62029.000000000007</v>
      </c>
      <c r="J78" s="58">
        <f t="shared" si="63"/>
        <v>205055.46820000003</v>
      </c>
      <c r="K78" s="54">
        <f t="shared" si="369"/>
        <v>60168.130000000005</v>
      </c>
      <c r="L78" s="58">
        <f t="shared" si="370"/>
        <v>198903.80415400001</v>
      </c>
      <c r="M78" s="54">
        <f t="shared" si="371"/>
        <v>58927.55</v>
      </c>
      <c r="N78" s="58">
        <f t="shared" si="372"/>
        <v>194802.69479000001</v>
      </c>
      <c r="O78" s="54">
        <f t="shared" si="373"/>
        <v>57686.970000000008</v>
      </c>
      <c r="P78" s="58">
        <f t="shared" si="374"/>
        <v>190701.58542600003</v>
      </c>
      <c r="Q78" s="56">
        <f t="shared" si="375"/>
        <v>56446.390000000007</v>
      </c>
      <c r="R78" s="58">
        <f t="shared" si="376"/>
        <v>186600.47606200003</v>
      </c>
      <c r="S78" s="54">
        <f t="shared" si="377"/>
        <v>55205.810000000005</v>
      </c>
      <c r="T78" s="58">
        <f t="shared" si="378"/>
        <v>182499.36669800003</v>
      </c>
      <c r="U78" s="56">
        <f t="shared" si="379"/>
        <v>53965.23</v>
      </c>
      <c r="V78" s="58">
        <f t="shared" si="380"/>
        <v>178398.25733400002</v>
      </c>
      <c r="W78" s="59">
        <f t="shared" si="381"/>
        <v>52724.65</v>
      </c>
      <c r="X78" s="58">
        <f t="shared" si="382"/>
        <v>174297.14797000002</v>
      </c>
      <c r="Y78" s="56">
        <f t="shared" si="383"/>
        <v>51484.070000000007</v>
      </c>
      <c r="Z78" s="58">
        <f t="shared" si="384"/>
        <v>170196.03860600002</v>
      </c>
      <c r="AA78" s="54">
        <f t="shared" si="385"/>
        <v>50243.490000000005</v>
      </c>
      <c r="AB78" s="58">
        <f t="shared" si="386"/>
        <v>166094.92924200001</v>
      </c>
      <c r="AC78" s="59">
        <f t="shared" si="387"/>
        <v>49002.91</v>
      </c>
      <c r="AD78" s="58">
        <f t="shared" si="388"/>
        <v>161993.81987800001</v>
      </c>
      <c r="AE78" s="59">
        <f t="shared" si="389"/>
        <v>47762.33</v>
      </c>
      <c r="AF78" s="58">
        <f t="shared" si="390"/>
        <v>157892.71051400001</v>
      </c>
      <c r="AG78" s="59">
        <f t="shared" si="391"/>
        <v>46521.75</v>
      </c>
      <c r="AH78" s="58">
        <f t="shared" si="392"/>
        <v>153791.60115</v>
      </c>
      <c r="AI78" s="54">
        <f t="shared" si="393"/>
        <v>45281.17</v>
      </c>
      <c r="AJ78" s="58">
        <f t="shared" si="394"/>
        <v>149690.491786</v>
      </c>
      <c r="AK78" s="59">
        <f t="shared" si="395"/>
        <v>44040.59</v>
      </c>
      <c r="AL78" s="58">
        <f t="shared" si="396"/>
        <v>145589.382422</v>
      </c>
      <c r="AM78" s="59">
        <f t="shared" si="397"/>
        <v>42800.009999999995</v>
      </c>
      <c r="AN78" s="58">
        <f t="shared" si="398"/>
        <v>141488.27305799999</v>
      </c>
      <c r="AO78" s="59">
        <f t="shared" si="399"/>
        <v>41559.429999999993</v>
      </c>
      <c r="AP78" s="58">
        <f t="shared" si="400"/>
        <v>137387.16369399999</v>
      </c>
      <c r="AQ78" s="59">
        <f t="shared" si="401"/>
        <v>40318.849999999991</v>
      </c>
      <c r="AR78" s="58">
        <f t="shared" si="402"/>
        <v>133286.05432999998</v>
      </c>
      <c r="AS78" s="54">
        <f t="shared" si="403"/>
        <v>39078.26999999999</v>
      </c>
      <c r="AT78" s="58">
        <f t="shared" si="404"/>
        <v>129184.94496599997</v>
      </c>
      <c r="AU78" s="59">
        <f t="shared" si="405"/>
        <v>37837.689999999988</v>
      </c>
      <c r="AV78" s="58">
        <f t="shared" si="406"/>
        <v>125083.83560199996</v>
      </c>
      <c r="AW78" s="59">
        <f t="shared" si="407"/>
        <v>36597.109999999986</v>
      </c>
      <c r="AX78" s="58">
        <f t="shared" si="408"/>
        <v>120982.72623799996</v>
      </c>
      <c r="AY78" s="54">
        <f t="shared" si="409"/>
        <v>35356.529999999984</v>
      </c>
      <c r="AZ78" s="58">
        <f t="shared" si="410"/>
        <v>116881.61687399996</v>
      </c>
      <c r="BC78" s="54">
        <v>1</v>
      </c>
      <c r="BD78" s="54">
        <v>0.97</v>
      </c>
      <c r="BE78" s="54">
        <v>0.95</v>
      </c>
      <c r="BF78" s="54">
        <v>0.93</v>
      </c>
      <c r="BG78" s="54">
        <f t="shared" ref="BG78:BX89" si="505">+BF78-0.02</f>
        <v>0.91</v>
      </c>
      <c r="BH78" s="54">
        <f t="shared" si="505"/>
        <v>0.89</v>
      </c>
      <c r="BI78" s="54">
        <f t="shared" si="505"/>
        <v>0.87</v>
      </c>
      <c r="BJ78" s="54">
        <f t="shared" si="505"/>
        <v>0.85</v>
      </c>
      <c r="BK78" s="54">
        <f t="shared" si="505"/>
        <v>0.83</v>
      </c>
      <c r="BL78" s="54">
        <f t="shared" si="505"/>
        <v>0.80999999999999994</v>
      </c>
      <c r="BM78" s="54">
        <f t="shared" si="505"/>
        <v>0.78999999999999992</v>
      </c>
      <c r="BN78" s="54">
        <f t="shared" si="505"/>
        <v>0.76999999999999991</v>
      </c>
      <c r="BO78" s="54">
        <f t="shared" si="505"/>
        <v>0.74999999999999989</v>
      </c>
      <c r="BP78" s="54">
        <f t="shared" si="505"/>
        <v>0.72999999999999987</v>
      </c>
      <c r="BQ78" s="54">
        <f t="shared" si="505"/>
        <v>0.70999999999999985</v>
      </c>
      <c r="BR78" s="54">
        <f t="shared" si="505"/>
        <v>0.68999999999999984</v>
      </c>
      <c r="BS78" s="54">
        <f t="shared" si="505"/>
        <v>0.66999999999999982</v>
      </c>
      <c r="BT78" s="54">
        <f t="shared" si="505"/>
        <v>0.6499999999999998</v>
      </c>
      <c r="BU78" s="54">
        <f t="shared" si="505"/>
        <v>0.62999999999999978</v>
      </c>
      <c r="BV78" s="54">
        <f t="shared" si="505"/>
        <v>0.60999999999999976</v>
      </c>
      <c r="BW78" s="54">
        <f t="shared" si="505"/>
        <v>0.58999999999999975</v>
      </c>
      <c r="BX78" s="54">
        <f t="shared" si="505"/>
        <v>0.56999999999999973</v>
      </c>
      <c r="BZ78" s="54">
        <f t="shared" si="88"/>
        <v>56446.390000000007</v>
      </c>
      <c r="CA78" s="54">
        <f t="shared" si="89"/>
        <v>56446.390000000007</v>
      </c>
      <c r="CB78" s="58">
        <f t="shared" si="412"/>
        <v>186600.47606200003</v>
      </c>
      <c r="CC78" s="54">
        <f t="shared" si="413"/>
        <v>54752.998300000007</v>
      </c>
      <c r="CD78" s="58">
        <f t="shared" si="414"/>
        <v>181002.46178014003</v>
      </c>
      <c r="CE78" s="54">
        <f t="shared" si="415"/>
        <v>53624.070500000002</v>
      </c>
      <c r="CF78" s="58">
        <f t="shared" si="416"/>
        <v>177270.45225890001</v>
      </c>
      <c r="CG78" s="54">
        <f t="shared" si="417"/>
        <v>52495.142700000011</v>
      </c>
      <c r="CH78" s="58">
        <f t="shared" si="418"/>
        <v>173538.44273766005</v>
      </c>
      <c r="CI78" s="56">
        <f t="shared" si="419"/>
        <v>51366.214900000006</v>
      </c>
      <c r="CJ78" s="58">
        <f t="shared" si="420"/>
        <v>169806.43321642003</v>
      </c>
      <c r="CK78" s="54">
        <f t="shared" si="421"/>
        <v>50237.287100000009</v>
      </c>
      <c r="CL78" s="58">
        <f t="shared" si="422"/>
        <v>166074.42369518004</v>
      </c>
      <c r="CM78" s="56">
        <f t="shared" si="423"/>
        <v>49108.359300000004</v>
      </c>
      <c r="CN78" s="58">
        <f t="shared" si="424"/>
        <v>162342.41417394002</v>
      </c>
      <c r="CO78" s="59">
        <f t="shared" si="425"/>
        <v>47979.431500000006</v>
      </c>
      <c r="CP78" s="58">
        <f t="shared" si="426"/>
        <v>158610.40465270003</v>
      </c>
      <c r="CQ78" s="56">
        <f t="shared" si="427"/>
        <v>46850.503700000001</v>
      </c>
      <c r="CR78" s="58">
        <f t="shared" si="428"/>
        <v>154878.39513146001</v>
      </c>
      <c r="CS78" s="54">
        <f t="shared" si="429"/>
        <v>45721.575900000003</v>
      </c>
      <c r="CT78" s="58">
        <f t="shared" si="430"/>
        <v>151146.38561022002</v>
      </c>
      <c r="CU78" s="59">
        <f t="shared" si="431"/>
        <v>44592.648099999999</v>
      </c>
      <c r="CV78" s="58">
        <f t="shared" si="432"/>
        <v>147414.37608898</v>
      </c>
      <c r="CW78" s="59">
        <f t="shared" si="433"/>
        <v>43463.720300000001</v>
      </c>
      <c r="CX78" s="58">
        <f t="shared" si="434"/>
        <v>143682.36656774001</v>
      </c>
      <c r="CY78" s="59">
        <f t="shared" si="435"/>
        <v>42334.792499999996</v>
      </c>
      <c r="CZ78" s="58">
        <f t="shared" si="436"/>
        <v>139950.35704649999</v>
      </c>
      <c r="DA78" s="54">
        <f t="shared" si="437"/>
        <v>41205.864699999998</v>
      </c>
      <c r="DB78" s="58">
        <f t="shared" si="438"/>
        <v>136218.34752526</v>
      </c>
      <c r="DC78" s="59">
        <f t="shared" si="439"/>
        <v>40076.936899999993</v>
      </c>
      <c r="DD78" s="58">
        <f t="shared" si="440"/>
        <v>132486.33800401998</v>
      </c>
      <c r="DE78" s="59">
        <f t="shared" si="441"/>
        <v>38948.009099999996</v>
      </c>
      <c r="DF78" s="58">
        <f t="shared" si="442"/>
        <v>128754.32848277999</v>
      </c>
      <c r="DG78" s="59">
        <f t="shared" si="443"/>
        <v>37819.081299999991</v>
      </c>
      <c r="DH78" s="58">
        <f t="shared" si="444"/>
        <v>125022.31896153998</v>
      </c>
      <c r="DI78" s="59">
        <f t="shared" si="445"/>
        <v>36690.153499999993</v>
      </c>
      <c r="DJ78" s="58">
        <f t="shared" si="446"/>
        <v>121290.30944029998</v>
      </c>
      <c r="DK78" s="54">
        <f t="shared" si="447"/>
        <v>35561.225699999995</v>
      </c>
      <c r="DL78" s="58">
        <f t="shared" si="448"/>
        <v>117558.29991905998</v>
      </c>
      <c r="DM78" s="59">
        <f t="shared" si="449"/>
        <v>34432.29789999999</v>
      </c>
      <c r="DN78" s="58">
        <f t="shared" si="450"/>
        <v>113826.29039781998</v>
      </c>
      <c r="DO78" s="59">
        <f t="shared" si="451"/>
        <v>33303.370099999993</v>
      </c>
      <c r="DP78" s="58">
        <f t="shared" si="452"/>
        <v>110094.28087657999</v>
      </c>
      <c r="DQ78" s="54">
        <f t="shared" si="453"/>
        <v>32174.442299999988</v>
      </c>
      <c r="DR78" s="58">
        <f t="shared" si="454"/>
        <v>106362.27135533997</v>
      </c>
      <c r="DU78" s="54">
        <v>1</v>
      </c>
      <c r="DV78" s="54">
        <v>0.97</v>
      </c>
      <c r="DW78" s="54">
        <v>0.95</v>
      </c>
      <c r="DX78" s="54">
        <v>0.93</v>
      </c>
      <c r="DY78" s="54">
        <f t="shared" si="500"/>
        <v>0.91</v>
      </c>
      <c r="DZ78" s="54">
        <f t="shared" si="500"/>
        <v>0.89</v>
      </c>
      <c r="EA78" s="54">
        <f t="shared" si="500"/>
        <v>0.87</v>
      </c>
      <c r="EB78" s="54">
        <f t="shared" ref="EB78:EP78" si="506">+EA78-0.02</f>
        <v>0.85</v>
      </c>
      <c r="EC78" s="54">
        <f t="shared" si="506"/>
        <v>0.83</v>
      </c>
      <c r="ED78" s="54">
        <f t="shared" si="506"/>
        <v>0.80999999999999994</v>
      </c>
      <c r="EE78" s="54">
        <f t="shared" si="506"/>
        <v>0.78999999999999992</v>
      </c>
      <c r="EF78" s="54">
        <f t="shared" si="506"/>
        <v>0.76999999999999991</v>
      </c>
      <c r="EG78" s="54">
        <f t="shared" si="506"/>
        <v>0.74999999999999989</v>
      </c>
      <c r="EH78" s="54">
        <f t="shared" si="506"/>
        <v>0.72999999999999987</v>
      </c>
      <c r="EI78" s="54">
        <f t="shared" si="506"/>
        <v>0.70999999999999985</v>
      </c>
      <c r="EJ78" s="54">
        <f t="shared" si="506"/>
        <v>0.68999999999999984</v>
      </c>
      <c r="EK78" s="54">
        <f t="shared" si="506"/>
        <v>0.66999999999999982</v>
      </c>
      <c r="EL78" s="54">
        <f t="shared" si="506"/>
        <v>0.6499999999999998</v>
      </c>
      <c r="EM78" s="54">
        <f t="shared" si="506"/>
        <v>0.62999999999999978</v>
      </c>
      <c r="EN78" s="54">
        <f t="shared" si="506"/>
        <v>0.60999999999999976</v>
      </c>
      <c r="EO78" s="54">
        <f t="shared" si="506"/>
        <v>0.58999999999999975</v>
      </c>
      <c r="EP78" s="54">
        <f t="shared" si="506"/>
        <v>0.56999999999999973</v>
      </c>
      <c r="ER78" s="54">
        <f t="shared" si="142"/>
        <v>51366.214900000006</v>
      </c>
      <c r="ES78" s="54">
        <f t="shared" si="116"/>
        <v>51366.214900000006</v>
      </c>
      <c r="ET78" s="58">
        <f t="shared" si="456"/>
        <v>169806.43321642003</v>
      </c>
      <c r="EU78" s="54">
        <f t="shared" si="457"/>
        <v>49825.228453000003</v>
      </c>
      <c r="EV78" s="58">
        <f t="shared" si="458"/>
        <v>164712.24021992742</v>
      </c>
      <c r="EW78" s="54">
        <f t="shared" si="459"/>
        <v>48797.904155000004</v>
      </c>
      <c r="EX78" s="58">
        <f t="shared" si="460"/>
        <v>161316.11155559903</v>
      </c>
      <c r="EY78" s="54">
        <f t="shared" si="461"/>
        <v>47770.579857000012</v>
      </c>
      <c r="EZ78" s="58">
        <f t="shared" si="462"/>
        <v>157919.98289127063</v>
      </c>
      <c r="FA78" s="56">
        <f t="shared" si="463"/>
        <v>46743.255559000005</v>
      </c>
      <c r="FB78" s="58">
        <f t="shared" si="464"/>
        <v>154523.85422694223</v>
      </c>
      <c r="FC78" s="54">
        <f t="shared" si="465"/>
        <v>45715.931261000005</v>
      </c>
      <c r="FD78" s="58">
        <f t="shared" si="466"/>
        <v>151127.72556261381</v>
      </c>
      <c r="FE78" s="56">
        <f t="shared" si="467"/>
        <v>44688.606963000006</v>
      </c>
      <c r="FF78" s="58">
        <f t="shared" si="468"/>
        <v>147731.59689828541</v>
      </c>
      <c r="FG78" s="59">
        <f t="shared" si="469"/>
        <v>43661.282665000006</v>
      </c>
      <c r="FH78" s="58">
        <f t="shared" si="470"/>
        <v>144335.46823395701</v>
      </c>
      <c r="FI78" s="56">
        <f t="shared" si="471"/>
        <v>42633.958367000007</v>
      </c>
      <c r="FJ78" s="58">
        <f t="shared" si="472"/>
        <v>140939.33956962862</v>
      </c>
      <c r="FK78" s="54">
        <f t="shared" si="473"/>
        <v>41606.634069</v>
      </c>
      <c r="FL78" s="58">
        <f t="shared" si="474"/>
        <v>137543.21090530019</v>
      </c>
      <c r="FM78" s="59">
        <f t="shared" si="475"/>
        <v>40579.309771</v>
      </c>
      <c r="FN78" s="58">
        <f t="shared" si="476"/>
        <v>134147.08224097179</v>
      </c>
      <c r="FO78" s="59">
        <f t="shared" si="477"/>
        <v>39551.985473000001</v>
      </c>
      <c r="FP78" s="58">
        <f t="shared" si="478"/>
        <v>130750.9535766434</v>
      </c>
      <c r="FQ78" s="59">
        <f t="shared" si="479"/>
        <v>38524.661175000001</v>
      </c>
      <c r="FR78" s="58">
        <f t="shared" si="480"/>
        <v>127354.824912315</v>
      </c>
      <c r="FS78" s="54">
        <f t="shared" si="481"/>
        <v>37497.336877000002</v>
      </c>
      <c r="FT78" s="58">
        <f t="shared" si="482"/>
        <v>123958.69624798661</v>
      </c>
      <c r="FU78" s="59">
        <f t="shared" si="483"/>
        <v>36470.012578999995</v>
      </c>
      <c r="FV78" s="58">
        <f t="shared" si="484"/>
        <v>120562.56758365818</v>
      </c>
      <c r="FW78" s="59">
        <f t="shared" si="485"/>
        <v>35442.688280999995</v>
      </c>
      <c r="FX78" s="58">
        <f t="shared" si="486"/>
        <v>117166.43891932978</v>
      </c>
      <c r="FY78" s="59">
        <f t="shared" si="487"/>
        <v>34415.363982999996</v>
      </c>
      <c r="FZ78" s="58">
        <f t="shared" si="488"/>
        <v>113770.31025500139</v>
      </c>
      <c r="GA78" s="59">
        <f t="shared" si="489"/>
        <v>33388.039684999996</v>
      </c>
      <c r="GB78" s="58">
        <f t="shared" si="490"/>
        <v>110374.18159067299</v>
      </c>
      <c r="GC78" s="54">
        <f t="shared" si="491"/>
        <v>32360.715386999993</v>
      </c>
      <c r="GD78" s="58">
        <f t="shared" si="492"/>
        <v>106978.05292634458</v>
      </c>
      <c r="GE78" s="59">
        <f t="shared" si="493"/>
        <v>31333.391088999993</v>
      </c>
      <c r="GF78" s="58">
        <f t="shared" si="494"/>
        <v>103581.92426201618</v>
      </c>
      <c r="GG78" s="59">
        <f t="shared" si="495"/>
        <v>30306.06679099999</v>
      </c>
      <c r="GH78" s="58">
        <f t="shared" si="496"/>
        <v>100185.79559768777</v>
      </c>
      <c r="GI78" s="54">
        <f t="shared" si="497"/>
        <v>29278.742492999991</v>
      </c>
      <c r="GJ78" s="58">
        <f t="shared" si="498"/>
        <v>96789.666933359375</v>
      </c>
      <c r="GK78" s="54"/>
      <c r="GL78" s="54"/>
      <c r="GM78" s="54">
        <v>1</v>
      </c>
      <c r="GN78" s="54">
        <v>0.97</v>
      </c>
      <c r="GO78" s="54">
        <v>0.95</v>
      </c>
      <c r="GP78" s="54">
        <v>0.93</v>
      </c>
      <c r="GQ78" s="54">
        <f t="shared" si="501"/>
        <v>0.91</v>
      </c>
      <c r="GR78" s="54">
        <f t="shared" si="501"/>
        <v>0.89</v>
      </c>
      <c r="GS78" s="54">
        <f t="shared" si="501"/>
        <v>0.87</v>
      </c>
      <c r="GT78" s="54">
        <f t="shared" ref="GT78:HH78" si="507">+GS78-0.02</f>
        <v>0.85</v>
      </c>
      <c r="GU78" s="54">
        <f t="shared" si="507"/>
        <v>0.83</v>
      </c>
      <c r="GV78" s="54">
        <f t="shared" si="507"/>
        <v>0.80999999999999994</v>
      </c>
      <c r="GW78" s="54">
        <f t="shared" si="507"/>
        <v>0.78999999999999992</v>
      </c>
      <c r="GX78" s="54">
        <f t="shared" si="507"/>
        <v>0.76999999999999991</v>
      </c>
      <c r="GY78" s="54">
        <f t="shared" si="507"/>
        <v>0.74999999999999989</v>
      </c>
      <c r="GZ78" s="54">
        <f t="shared" si="507"/>
        <v>0.72999999999999987</v>
      </c>
      <c r="HA78" s="54">
        <f t="shared" si="507"/>
        <v>0.70999999999999985</v>
      </c>
      <c r="HB78" s="54">
        <f t="shared" si="507"/>
        <v>0.68999999999999984</v>
      </c>
      <c r="HC78" s="54">
        <f t="shared" si="507"/>
        <v>0.66999999999999982</v>
      </c>
      <c r="HD78" s="54">
        <f t="shared" si="507"/>
        <v>0.6499999999999998</v>
      </c>
      <c r="HE78" s="54">
        <f t="shared" si="507"/>
        <v>0.62999999999999978</v>
      </c>
      <c r="HF78" s="54">
        <f t="shared" si="507"/>
        <v>0.60999999999999976</v>
      </c>
      <c r="HG78" s="54">
        <f t="shared" si="507"/>
        <v>0.58999999999999975</v>
      </c>
      <c r="HH78" s="54">
        <f t="shared" si="507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2">
        <f t="shared" si="503"/>
        <v>0</v>
      </c>
      <c r="H79" s="54">
        <f t="shared" si="61"/>
        <v>0</v>
      </c>
      <c r="I79" s="54">
        <f t="shared" si="62"/>
        <v>0</v>
      </c>
      <c r="J79" s="58">
        <f t="shared" si="63"/>
        <v>0</v>
      </c>
      <c r="K79" s="54">
        <f t="shared" si="369"/>
        <v>0</v>
      </c>
      <c r="L79" s="58">
        <f t="shared" si="370"/>
        <v>0</v>
      </c>
      <c r="M79" s="54">
        <f t="shared" si="371"/>
        <v>0</v>
      </c>
      <c r="N79" s="58">
        <f t="shared" si="372"/>
        <v>0</v>
      </c>
      <c r="O79" s="54">
        <f t="shared" si="373"/>
        <v>0</v>
      </c>
      <c r="P79" s="58">
        <f t="shared" si="374"/>
        <v>0</v>
      </c>
      <c r="Q79" s="56">
        <f t="shared" si="375"/>
        <v>0</v>
      </c>
      <c r="R79" s="58">
        <f t="shared" si="376"/>
        <v>0</v>
      </c>
      <c r="S79" s="54">
        <f t="shared" si="377"/>
        <v>0</v>
      </c>
      <c r="T79" s="58">
        <f t="shared" si="378"/>
        <v>0</v>
      </c>
      <c r="U79" s="56">
        <f t="shared" si="379"/>
        <v>0</v>
      </c>
      <c r="V79" s="58">
        <f t="shared" si="380"/>
        <v>0</v>
      </c>
      <c r="W79" s="59">
        <f t="shared" si="381"/>
        <v>0</v>
      </c>
      <c r="X79" s="58">
        <f t="shared" si="382"/>
        <v>0</v>
      </c>
      <c r="Y79" s="56">
        <f t="shared" si="383"/>
        <v>0</v>
      </c>
      <c r="Z79" s="58">
        <f t="shared" si="384"/>
        <v>0</v>
      </c>
      <c r="AA79" s="54">
        <f t="shared" si="385"/>
        <v>0</v>
      </c>
      <c r="AB79" s="58">
        <f t="shared" si="386"/>
        <v>0</v>
      </c>
      <c r="AC79" s="59">
        <f t="shared" si="387"/>
        <v>0</v>
      </c>
      <c r="AD79" s="58">
        <f t="shared" si="388"/>
        <v>0</v>
      </c>
      <c r="AE79" s="59">
        <f t="shared" si="389"/>
        <v>0</v>
      </c>
      <c r="AF79" s="58">
        <f t="shared" si="390"/>
        <v>0</v>
      </c>
      <c r="AG79" s="59">
        <f t="shared" si="391"/>
        <v>0</v>
      </c>
      <c r="AH79" s="58">
        <f t="shared" si="392"/>
        <v>0</v>
      </c>
      <c r="AI79" s="54">
        <f t="shared" si="393"/>
        <v>0</v>
      </c>
      <c r="AJ79" s="58">
        <f t="shared" si="394"/>
        <v>0</v>
      </c>
      <c r="AK79" s="59">
        <f t="shared" si="395"/>
        <v>0</v>
      </c>
      <c r="AL79" s="58">
        <f t="shared" si="396"/>
        <v>0</v>
      </c>
      <c r="AM79" s="59">
        <f t="shared" si="397"/>
        <v>0</v>
      </c>
      <c r="AN79" s="58">
        <f t="shared" si="398"/>
        <v>0</v>
      </c>
      <c r="AO79" s="59">
        <f t="shared" si="399"/>
        <v>0</v>
      </c>
      <c r="AP79" s="58">
        <f t="shared" si="400"/>
        <v>0</v>
      </c>
      <c r="AQ79" s="59">
        <f t="shared" si="401"/>
        <v>0</v>
      </c>
      <c r="AR79" s="58">
        <f t="shared" si="402"/>
        <v>0</v>
      </c>
      <c r="AS79" s="54">
        <f t="shared" si="403"/>
        <v>0</v>
      </c>
      <c r="AT79" s="58">
        <f t="shared" si="404"/>
        <v>0</v>
      </c>
      <c r="AU79" s="59">
        <f t="shared" si="405"/>
        <v>0</v>
      </c>
      <c r="AV79" s="58">
        <f t="shared" si="406"/>
        <v>0</v>
      </c>
      <c r="AW79" s="59">
        <f t="shared" si="407"/>
        <v>0</v>
      </c>
      <c r="AX79" s="58">
        <f t="shared" si="408"/>
        <v>0</v>
      </c>
      <c r="AY79" s="54">
        <f t="shared" si="409"/>
        <v>0</v>
      </c>
      <c r="AZ79" s="58">
        <f t="shared" si="410"/>
        <v>0</v>
      </c>
      <c r="BC79" s="54">
        <v>1</v>
      </c>
      <c r="BD79" s="54">
        <v>0.97</v>
      </c>
      <c r="BE79" s="54">
        <v>0.95</v>
      </c>
      <c r="BF79" s="54">
        <v>0.93</v>
      </c>
      <c r="BG79" s="54">
        <f t="shared" si="505"/>
        <v>0.91</v>
      </c>
      <c r="BH79" s="54">
        <f t="shared" si="505"/>
        <v>0.89</v>
      </c>
      <c r="BI79" s="54">
        <f t="shared" si="505"/>
        <v>0.87</v>
      </c>
      <c r="BJ79" s="54">
        <f t="shared" si="505"/>
        <v>0.85</v>
      </c>
      <c r="BK79" s="54">
        <f t="shared" si="505"/>
        <v>0.83</v>
      </c>
      <c r="BL79" s="54">
        <f t="shared" si="505"/>
        <v>0.80999999999999994</v>
      </c>
      <c r="BM79" s="54">
        <f t="shared" si="505"/>
        <v>0.78999999999999992</v>
      </c>
      <c r="BN79" s="54">
        <f t="shared" si="505"/>
        <v>0.76999999999999991</v>
      </c>
      <c r="BO79" s="54">
        <f t="shared" si="505"/>
        <v>0.74999999999999989</v>
      </c>
      <c r="BP79" s="54">
        <f t="shared" si="505"/>
        <v>0.72999999999999987</v>
      </c>
      <c r="BQ79" s="54">
        <f t="shared" si="505"/>
        <v>0.70999999999999985</v>
      </c>
      <c r="BR79" s="54">
        <f t="shared" si="505"/>
        <v>0.68999999999999984</v>
      </c>
      <c r="BS79" s="54">
        <f t="shared" si="505"/>
        <v>0.66999999999999982</v>
      </c>
      <c r="BT79" s="54">
        <f t="shared" si="505"/>
        <v>0.6499999999999998</v>
      </c>
      <c r="BU79" s="54">
        <f t="shared" si="505"/>
        <v>0.62999999999999978</v>
      </c>
      <c r="BV79" s="54">
        <f t="shared" si="505"/>
        <v>0.60999999999999976</v>
      </c>
      <c r="BW79" s="54">
        <f t="shared" si="505"/>
        <v>0.58999999999999975</v>
      </c>
      <c r="BX79" s="54">
        <f t="shared" si="505"/>
        <v>0.56999999999999973</v>
      </c>
      <c r="BZ79" s="54">
        <f t="shared" si="88"/>
        <v>0</v>
      </c>
      <c r="CA79" s="54">
        <f t="shared" si="89"/>
        <v>0</v>
      </c>
      <c r="CB79" s="58">
        <f t="shared" si="412"/>
        <v>0</v>
      </c>
      <c r="CC79" s="54">
        <f t="shared" si="413"/>
        <v>0</v>
      </c>
      <c r="CD79" s="58">
        <f t="shared" si="414"/>
        <v>0</v>
      </c>
      <c r="CE79" s="54">
        <f t="shared" si="415"/>
        <v>0</v>
      </c>
      <c r="CF79" s="58">
        <f t="shared" si="416"/>
        <v>0</v>
      </c>
      <c r="CG79" s="54">
        <f t="shared" si="417"/>
        <v>0</v>
      </c>
      <c r="CH79" s="58">
        <f t="shared" si="418"/>
        <v>0</v>
      </c>
      <c r="CI79" s="56">
        <f t="shared" si="419"/>
        <v>0</v>
      </c>
      <c r="CJ79" s="58">
        <f t="shared" si="420"/>
        <v>0</v>
      </c>
      <c r="CK79" s="54">
        <f t="shared" si="421"/>
        <v>0</v>
      </c>
      <c r="CL79" s="58">
        <f t="shared" si="422"/>
        <v>0</v>
      </c>
      <c r="CM79" s="56">
        <f t="shared" si="423"/>
        <v>0</v>
      </c>
      <c r="CN79" s="58">
        <f t="shared" si="424"/>
        <v>0</v>
      </c>
      <c r="CO79" s="59">
        <f t="shared" si="425"/>
        <v>0</v>
      </c>
      <c r="CP79" s="58">
        <f t="shared" si="426"/>
        <v>0</v>
      </c>
      <c r="CQ79" s="56">
        <f t="shared" si="427"/>
        <v>0</v>
      </c>
      <c r="CR79" s="58">
        <f t="shared" si="428"/>
        <v>0</v>
      </c>
      <c r="CS79" s="54">
        <f t="shared" si="429"/>
        <v>0</v>
      </c>
      <c r="CT79" s="58">
        <f t="shared" si="430"/>
        <v>0</v>
      </c>
      <c r="CU79" s="59">
        <f t="shared" si="431"/>
        <v>0</v>
      </c>
      <c r="CV79" s="58">
        <f t="shared" si="432"/>
        <v>0</v>
      </c>
      <c r="CW79" s="59">
        <f t="shared" si="433"/>
        <v>0</v>
      </c>
      <c r="CX79" s="58">
        <f t="shared" si="434"/>
        <v>0</v>
      </c>
      <c r="CY79" s="59">
        <f t="shared" si="435"/>
        <v>0</v>
      </c>
      <c r="CZ79" s="58">
        <f t="shared" si="436"/>
        <v>0</v>
      </c>
      <c r="DA79" s="54">
        <f t="shared" si="437"/>
        <v>0</v>
      </c>
      <c r="DB79" s="58">
        <f t="shared" si="438"/>
        <v>0</v>
      </c>
      <c r="DC79" s="59">
        <f t="shared" si="439"/>
        <v>0</v>
      </c>
      <c r="DD79" s="58">
        <f t="shared" si="440"/>
        <v>0</v>
      </c>
      <c r="DE79" s="59">
        <f t="shared" si="441"/>
        <v>0</v>
      </c>
      <c r="DF79" s="58">
        <f t="shared" si="442"/>
        <v>0</v>
      </c>
      <c r="DG79" s="59">
        <f t="shared" si="443"/>
        <v>0</v>
      </c>
      <c r="DH79" s="58">
        <f t="shared" si="444"/>
        <v>0</v>
      </c>
      <c r="DI79" s="59">
        <f t="shared" si="445"/>
        <v>0</v>
      </c>
      <c r="DJ79" s="58">
        <f t="shared" si="446"/>
        <v>0</v>
      </c>
      <c r="DK79" s="54">
        <f t="shared" si="447"/>
        <v>0</v>
      </c>
      <c r="DL79" s="58">
        <f t="shared" si="448"/>
        <v>0</v>
      </c>
      <c r="DM79" s="59">
        <f t="shared" si="449"/>
        <v>0</v>
      </c>
      <c r="DN79" s="58">
        <f t="shared" si="450"/>
        <v>0</v>
      </c>
      <c r="DO79" s="59">
        <f t="shared" si="451"/>
        <v>0</v>
      </c>
      <c r="DP79" s="58">
        <f t="shared" si="452"/>
        <v>0</v>
      </c>
      <c r="DQ79" s="54">
        <f t="shared" si="453"/>
        <v>0</v>
      </c>
      <c r="DR79" s="58">
        <f t="shared" si="454"/>
        <v>0</v>
      </c>
      <c r="DU79" s="54">
        <v>1</v>
      </c>
      <c r="DV79" s="54">
        <v>0.97</v>
      </c>
      <c r="DW79" s="54">
        <v>0.95</v>
      </c>
      <c r="DX79" s="54">
        <v>0.93</v>
      </c>
      <c r="DY79" s="54">
        <f t="shared" ref="DY79:EP93" si="508">+DX79-0.02</f>
        <v>0.91</v>
      </c>
      <c r="DZ79" s="54">
        <f t="shared" si="508"/>
        <v>0.89</v>
      </c>
      <c r="EA79" s="54">
        <f t="shared" si="508"/>
        <v>0.87</v>
      </c>
      <c r="EB79" s="54">
        <f t="shared" si="508"/>
        <v>0.85</v>
      </c>
      <c r="EC79" s="54">
        <f t="shared" si="508"/>
        <v>0.83</v>
      </c>
      <c r="ED79" s="54">
        <f t="shared" si="508"/>
        <v>0.80999999999999994</v>
      </c>
      <c r="EE79" s="54">
        <f t="shared" si="508"/>
        <v>0.78999999999999992</v>
      </c>
      <c r="EF79" s="54">
        <f t="shared" si="508"/>
        <v>0.76999999999999991</v>
      </c>
      <c r="EG79" s="54">
        <f t="shared" si="508"/>
        <v>0.74999999999999989</v>
      </c>
      <c r="EH79" s="54">
        <f t="shared" si="508"/>
        <v>0.72999999999999987</v>
      </c>
      <c r="EI79" s="54">
        <f t="shared" si="508"/>
        <v>0.70999999999999985</v>
      </c>
      <c r="EJ79" s="54">
        <f t="shared" si="508"/>
        <v>0.68999999999999984</v>
      </c>
      <c r="EK79" s="54">
        <f t="shared" si="508"/>
        <v>0.66999999999999982</v>
      </c>
      <c r="EL79" s="54">
        <f t="shared" si="508"/>
        <v>0.6499999999999998</v>
      </c>
      <c r="EM79" s="54">
        <f t="shared" si="508"/>
        <v>0.62999999999999978</v>
      </c>
      <c r="EN79" s="54">
        <f t="shared" si="508"/>
        <v>0.60999999999999976</v>
      </c>
      <c r="EO79" s="54">
        <f t="shared" si="508"/>
        <v>0.58999999999999975</v>
      </c>
      <c r="EP79" s="54">
        <f t="shared" si="508"/>
        <v>0.56999999999999973</v>
      </c>
      <c r="ER79" s="54">
        <f t="shared" si="142"/>
        <v>0</v>
      </c>
      <c r="ES79" s="54">
        <f t="shared" si="116"/>
        <v>0</v>
      </c>
      <c r="ET79" s="58">
        <f t="shared" si="456"/>
        <v>0</v>
      </c>
      <c r="EU79" s="54">
        <f t="shared" si="457"/>
        <v>0</v>
      </c>
      <c r="EV79" s="58">
        <f t="shared" si="458"/>
        <v>0</v>
      </c>
      <c r="EW79" s="54">
        <f t="shared" si="459"/>
        <v>0</v>
      </c>
      <c r="EX79" s="58">
        <f t="shared" si="460"/>
        <v>0</v>
      </c>
      <c r="EY79" s="54">
        <f t="shared" si="461"/>
        <v>0</v>
      </c>
      <c r="EZ79" s="58">
        <f t="shared" si="462"/>
        <v>0</v>
      </c>
      <c r="FA79" s="56">
        <f t="shared" si="463"/>
        <v>0</v>
      </c>
      <c r="FB79" s="58">
        <f t="shared" si="464"/>
        <v>0</v>
      </c>
      <c r="FC79" s="54">
        <f t="shared" si="465"/>
        <v>0</v>
      </c>
      <c r="FD79" s="58">
        <f t="shared" si="466"/>
        <v>0</v>
      </c>
      <c r="FE79" s="56">
        <f t="shared" si="467"/>
        <v>0</v>
      </c>
      <c r="FF79" s="58">
        <f t="shared" si="468"/>
        <v>0</v>
      </c>
      <c r="FG79" s="59">
        <f t="shared" si="469"/>
        <v>0</v>
      </c>
      <c r="FH79" s="58">
        <f t="shared" si="470"/>
        <v>0</v>
      </c>
      <c r="FI79" s="56">
        <f t="shared" si="471"/>
        <v>0</v>
      </c>
      <c r="FJ79" s="58">
        <f t="shared" si="472"/>
        <v>0</v>
      </c>
      <c r="FK79" s="54">
        <f t="shared" si="473"/>
        <v>0</v>
      </c>
      <c r="FL79" s="58">
        <f t="shared" si="474"/>
        <v>0</v>
      </c>
      <c r="FM79" s="59">
        <f t="shared" si="475"/>
        <v>0</v>
      </c>
      <c r="FN79" s="58">
        <f t="shared" si="476"/>
        <v>0</v>
      </c>
      <c r="FO79" s="59">
        <f t="shared" si="477"/>
        <v>0</v>
      </c>
      <c r="FP79" s="58">
        <f t="shared" si="478"/>
        <v>0</v>
      </c>
      <c r="FQ79" s="59">
        <f t="shared" si="479"/>
        <v>0</v>
      </c>
      <c r="FR79" s="58">
        <f t="shared" si="480"/>
        <v>0</v>
      </c>
      <c r="FS79" s="54">
        <f t="shared" si="481"/>
        <v>0</v>
      </c>
      <c r="FT79" s="58">
        <f t="shared" si="482"/>
        <v>0</v>
      </c>
      <c r="FU79" s="59">
        <f t="shared" si="483"/>
        <v>0</v>
      </c>
      <c r="FV79" s="58">
        <f t="shared" si="484"/>
        <v>0</v>
      </c>
      <c r="FW79" s="59">
        <f t="shared" si="485"/>
        <v>0</v>
      </c>
      <c r="FX79" s="58">
        <f t="shared" si="486"/>
        <v>0</v>
      </c>
      <c r="FY79" s="59">
        <f t="shared" si="487"/>
        <v>0</v>
      </c>
      <c r="FZ79" s="58">
        <f t="shared" si="488"/>
        <v>0</v>
      </c>
      <c r="GA79" s="59">
        <f t="shared" si="489"/>
        <v>0</v>
      </c>
      <c r="GB79" s="58">
        <f t="shared" si="490"/>
        <v>0</v>
      </c>
      <c r="GC79" s="54">
        <f t="shared" si="491"/>
        <v>0</v>
      </c>
      <c r="GD79" s="58">
        <f t="shared" si="492"/>
        <v>0</v>
      </c>
      <c r="GE79" s="59">
        <f t="shared" si="493"/>
        <v>0</v>
      </c>
      <c r="GF79" s="58">
        <f t="shared" si="494"/>
        <v>0</v>
      </c>
      <c r="GG79" s="59">
        <f t="shared" si="495"/>
        <v>0</v>
      </c>
      <c r="GH79" s="58">
        <f t="shared" si="496"/>
        <v>0</v>
      </c>
      <c r="GI79" s="54">
        <f t="shared" si="497"/>
        <v>0</v>
      </c>
      <c r="GJ79" s="58">
        <f t="shared" si="498"/>
        <v>0</v>
      </c>
      <c r="GK79" s="54"/>
      <c r="GL79" s="54"/>
      <c r="GM79" s="54">
        <v>1</v>
      </c>
      <c r="GN79" s="54">
        <v>0.97</v>
      </c>
      <c r="GO79" s="54">
        <v>0.95</v>
      </c>
      <c r="GP79" s="54">
        <v>0.93</v>
      </c>
      <c r="GQ79" s="54">
        <f t="shared" ref="GQ79:HH93" si="509">+GP79-0.02</f>
        <v>0.91</v>
      </c>
      <c r="GR79" s="54">
        <f t="shared" si="509"/>
        <v>0.89</v>
      </c>
      <c r="GS79" s="54">
        <f t="shared" si="509"/>
        <v>0.87</v>
      </c>
      <c r="GT79" s="54">
        <f t="shared" si="509"/>
        <v>0.85</v>
      </c>
      <c r="GU79" s="54">
        <f t="shared" si="509"/>
        <v>0.83</v>
      </c>
      <c r="GV79" s="54">
        <f t="shared" si="509"/>
        <v>0.80999999999999994</v>
      </c>
      <c r="GW79" s="54">
        <f t="shared" si="509"/>
        <v>0.78999999999999992</v>
      </c>
      <c r="GX79" s="54">
        <f t="shared" si="509"/>
        <v>0.76999999999999991</v>
      </c>
      <c r="GY79" s="54">
        <f t="shared" si="509"/>
        <v>0.74999999999999989</v>
      </c>
      <c r="GZ79" s="54">
        <f t="shared" si="509"/>
        <v>0.72999999999999987</v>
      </c>
      <c r="HA79" s="54">
        <f t="shared" si="509"/>
        <v>0.70999999999999985</v>
      </c>
      <c r="HB79" s="54">
        <f t="shared" si="509"/>
        <v>0.68999999999999984</v>
      </c>
      <c r="HC79" s="54">
        <f t="shared" si="509"/>
        <v>0.66999999999999982</v>
      </c>
      <c r="HD79" s="54">
        <f t="shared" si="509"/>
        <v>0.6499999999999998</v>
      </c>
      <c r="HE79" s="54">
        <f t="shared" si="509"/>
        <v>0.62999999999999978</v>
      </c>
      <c r="HF79" s="54">
        <f t="shared" si="509"/>
        <v>0.60999999999999976</v>
      </c>
      <c r="HG79" s="54">
        <f t="shared" si="509"/>
        <v>0.58999999999999975</v>
      </c>
      <c r="HH79" s="54">
        <f t="shared" si="509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2">
        <f t="shared" si="503"/>
        <v>0</v>
      </c>
      <c r="H80" s="54">
        <f t="shared" si="61"/>
        <v>0</v>
      </c>
      <c r="I80" s="54">
        <f t="shared" si="62"/>
        <v>0</v>
      </c>
      <c r="J80" s="58">
        <f t="shared" si="63"/>
        <v>0</v>
      </c>
      <c r="K80" s="54">
        <f t="shared" si="369"/>
        <v>0</v>
      </c>
      <c r="L80" s="58">
        <f t="shared" si="370"/>
        <v>0</v>
      </c>
      <c r="M80" s="54">
        <f t="shared" si="371"/>
        <v>0</v>
      </c>
      <c r="N80" s="58">
        <f t="shared" si="372"/>
        <v>0</v>
      </c>
      <c r="O80" s="54">
        <f t="shared" si="373"/>
        <v>0</v>
      </c>
      <c r="P80" s="58">
        <f t="shared" si="374"/>
        <v>0</v>
      </c>
      <c r="Q80" s="56">
        <f t="shared" si="375"/>
        <v>0</v>
      </c>
      <c r="R80" s="58">
        <f t="shared" si="376"/>
        <v>0</v>
      </c>
      <c r="S80" s="54">
        <f t="shared" si="377"/>
        <v>0</v>
      </c>
      <c r="T80" s="58">
        <f t="shared" si="378"/>
        <v>0</v>
      </c>
      <c r="U80" s="56">
        <f t="shared" si="379"/>
        <v>0</v>
      </c>
      <c r="V80" s="58">
        <f t="shared" si="380"/>
        <v>0</v>
      </c>
      <c r="W80" s="59">
        <f t="shared" si="381"/>
        <v>0</v>
      </c>
      <c r="X80" s="58">
        <f t="shared" si="382"/>
        <v>0</v>
      </c>
      <c r="Y80" s="56">
        <f t="shared" si="383"/>
        <v>0</v>
      </c>
      <c r="Z80" s="58">
        <f t="shared" si="384"/>
        <v>0</v>
      </c>
      <c r="AA80" s="54">
        <f t="shared" si="385"/>
        <v>0</v>
      </c>
      <c r="AB80" s="58">
        <f t="shared" si="386"/>
        <v>0</v>
      </c>
      <c r="AC80" s="59">
        <f t="shared" si="387"/>
        <v>0</v>
      </c>
      <c r="AD80" s="58">
        <f t="shared" si="388"/>
        <v>0</v>
      </c>
      <c r="AE80" s="59">
        <f t="shared" si="389"/>
        <v>0</v>
      </c>
      <c r="AF80" s="58">
        <f t="shared" si="390"/>
        <v>0</v>
      </c>
      <c r="AG80" s="59">
        <f t="shared" si="391"/>
        <v>0</v>
      </c>
      <c r="AH80" s="58">
        <f t="shared" si="392"/>
        <v>0</v>
      </c>
      <c r="AI80" s="54">
        <f t="shared" si="393"/>
        <v>0</v>
      </c>
      <c r="AJ80" s="58">
        <f t="shared" si="394"/>
        <v>0</v>
      </c>
      <c r="AK80" s="59">
        <f t="shared" si="395"/>
        <v>0</v>
      </c>
      <c r="AL80" s="58">
        <f t="shared" si="396"/>
        <v>0</v>
      </c>
      <c r="AM80" s="59">
        <f t="shared" si="397"/>
        <v>0</v>
      </c>
      <c r="AN80" s="58">
        <f t="shared" si="398"/>
        <v>0</v>
      </c>
      <c r="AO80" s="59">
        <f t="shared" si="399"/>
        <v>0</v>
      </c>
      <c r="AP80" s="58">
        <f t="shared" si="400"/>
        <v>0</v>
      </c>
      <c r="AQ80" s="59">
        <f t="shared" si="401"/>
        <v>0</v>
      </c>
      <c r="AR80" s="58">
        <f t="shared" si="402"/>
        <v>0</v>
      </c>
      <c r="AS80" s="54">
        <f t="shared" si="403"/>
        <v>0</v>
      </c>
      <c r="AT80" s="58">
        <f t="shared" si="404"/>
        <v>0</v>
      </c>
      <c r="AU80" s="59">
        <f t="shared" si="405"/>
        <v>0</v>
      </c>
      <c r="AV80" s="58">
        <f t="shared" si="406"/>
        <v>0</v>
      </c>
      <c r="AW80" s="59">
        <f t="shared" si="407"/>
        <v>0</v>
      </c>
      <c r="AX80" s="58">
        <f t="shared" si="408"/>
        <v>0</v>
      </c>
      <c r="AY80" s="54">
        <f t="shared" si="409"/>
        <v>0</v>
      </c>
      <c r="AZ80" s="58">
        <f t="shared" si="410"/>
        <v>0</v>
      </c>
      <c r="BC80" s="54">
        <v>1</v>
      </c>
      <c r="BD80" s="54">
        <v>0.97</v>
      </c>
      <c r="BE80" s="54">
        <v>0.95</v>
      </c>
      <c r="BF80" s="54">
        <v>0.93</v>
      </c>
      <c r="BG80" s="54">
        <f t="shared" si="505"/>
        <v>0.91</v>
      </c>
      <c r="BH80" s="54">
        <f t="shared" si="505"/>
        <v>0.89</v>
      </c>
      <c r="BI80" s="54">
        <f t="shared" si="505"/>
        <v>0.87</v>
      </c>
      <c r="BJ80" s="54">
        <f t="shared" si="505"/>
        <v>0.85</v>
      </c>
      <c r="BK80" s="54">
        <f t="shared" si="505"/>
        <v>0.83</v>
      </c>
      <c r="BL80" s="54">
        <f t="shared" si="505"/>
        <v>0.80999999999999994</v>
      </c>
      <c r="BM80" s="54">
        <f t="shared" si="505"/>
        <v>0.78999999999999992</v>
      </c>
      <c r="BN80" s="54">
        <f t="shared" si="505"/>
        <v>0.76999999999999991</v>
      </c>
      <c r="BO80" s="54">
        <f t="shared" si="505"/>
        <v>0.74999999999999989</v>
      </c>
      <c r="BP80" s="54">
        <f t="shared" si="505"/>
        <v>0.72999999999999987</v>
      </c>
      <c r="BQ80" s="54">
        <f t="shared" si="505"/>
        <v>0.70999999999999985</v>
      </c>
      <c r="BR80" s="54">
        <f t="shared" si="505"/>
        <v>0.68999999999999984</v>
      </c>
      <c r="BS80" s="54">
        <f t="shared" si="505"/>
        <v>0.66999999999999982</v>
      </c>
      <c r="BT80" s="54">
        <f t="shared" si="505"/>
        <v>0.6499999999999998</v>
      </c>
      <c r="BU80" s="54">
        <f t="shared" si="505"/>
        <v>0.62999999999999978</v>
      </c>
      <c r="BV80" s="54">
        <f t="shared" si="505"/>
        <v>0.60999999999999976</v>
      </c>
      <c r="BW80" s="54">
        <f t="shared" si="505"/>
        <v>0.58999999999999975</v>
      </c>
      <c r="BX80" s="54">
        <f t="shared" si="505"/>
        <v>0.56999999999999973</v>
      </c>
      <c r="BZ80" s="54">
        <f t="shared" si="88"/>
        <v>0</v>
      </c>
      <c r="CA80" s="54">
        <f t="shared" si="89"/>
        <v>0</v>
      </c>
      <c r="CB80" s="58">
        <f t="shared" si="412"/>
        <v>0</v>
      </c>
      <c r="CC80" s="54">
        <f t="shared" si="413"/>
        <v>0</v>
      </c>
      <c r="CD80" s="58">
        <f t="shared" si="414"/>
        <v>0</v>
      </c>
      <c r="CE80" s="54">
        <f t="shared" si="415"/>
        <v>0</v>
      </c>
      <c r="CF80" s="58">
        <f t="shared" si="416"/>
        <v>0</v>
      </c>
      <c r="CG80" s="54">
        <f t="shared" si="417"/>
        <v>0</v>
      </c>
      <c r="CH80" s="58">
        <f t="shared" si="418"/>
        <v>0</v>
      </c>
      <c r="CI80" s="56">
        <f t="shared" si="419"/>
        <v>0</v>
      </c>
      <c r="CJ80" s="58">
        <f t="shared" si="420"/>
        <v>0</v>
      </c>
      <c r="CK80" s="54">
        <f t="shared" si="421"/>
        <v>0</v>
      </c>
      <c r="CL80" s="58">
        <f t="shared" si="422"/>
        <v>0</v>
      </c>
      <c r="CM80" s="56">
        <f t="shared" si="423"/>
        <v>0</v>
      </c>
      <c r="CN80" s="58">
        <f t="shared" si="424"/>
        <v>0</v>
      </c>
      <c r="CO80" s="59">
        <f t="shared" si="425"/>
        <v>0</v>
      </c>
      <c r="CP80" s="58">
        <f t="shared" si="426"/>
        <v>0</v>
      </c>
      <c r="CQ80" s="56">
        <f t="shared" si="427"/>
        <v>0</v>
      </c>
      <c r="CR80" s="58">
        <f t="shared" si="428"/>
        <v>0</v>
      </c>
      <c r="CS80" s="54">
        <f t="shared" si="429"/>
        <v>0</v>
      </c>
      <c r="CT80" s="58">
        <f t="shared" si="430"/>
        <v>0</v>
      </c>
      <c r="CU80" s="59">
        <f t="shared" si="431"/>
        <v>0</v>
      </c>
      <c r="CV80" s="58">
        <f t="shared" si="432"/>
        <v>0</v>
      </c>
      <c r="CW80" s="59">
        <f t="shared" si="433"/>
        <v>0</v>
      </c>
      <c r="CX80" s="58">
        <f t="shared" si="434"/>
        <v>0</v>
      </c>
      <c r="CY80" s="59">
        <f t="shared" si="435"/>
        <v>0</v>
      </c>
      <c r="CZ80" s="58">
        <f t="shared" si="436"/>
        <v>0</v>
      </c>
      <c r="DA80" s="54">
        <f t="shared" si="437"/>
        <v>0</v>
      </c>
      <c r="DB80" s="58">
        <f t="shared" si="438"/>
        <v>0</v>
      </c>
      <c r="DC80" s="59">
        <f t="shared" si="439"/>
        <v>0</v>
      </c>
      <c r="DD80" s="58">
        <f t="shared" si="440"/>
        <v>0</v>
      </c>
      <c r="DE80" s="59">
        <f t="shared" si="441"/>
        <v>0</v>
      </c>
      <c r="DF80" s="58">
        <f t="shared" si="442"/>
        <v>0</v>
      </c>
      <c r="DG80" s="59">
        <f t="shared" si="443"/>
        <v>0</v>
      </c>
      <c r="DH80" s="58">
        <f t="shared" si="444"/>
        <v>0</v>
      </c>
      <c r="DI80" s="59">
        <f t="shared" si="445"/>
        <v>0</v>
      </c>
      <c r="DJ80" s="58">
        <f t="shared" si="446"/>
        <v>0</v>
      </c>
      <c r="DK80" s="54">
        <f t="shared" si="447"/>
        <v>0</v>
      </c>
      <c r="DL80" s="58">
        <f t="shared" si="448"/>
        <v>0</v>
      </c>
      <c r="DM80" s="59">
        <f t="shared" si="449"/>
        <v>0</v>
      </c>
      <c r="DN80" s="58">
        <f t="shared" si="450"/>
        <v>0</v>
      </c>
      <c r="DO80" s="59">
        <f t="shared" si="451"/>
        <v>0</v>
      </c>
      <c r="DP80" s="58">
        <f t="shared" si="452"/>
        <v>0</v>
      </c>
      <c r="DQ80" s="54">
        <f t="shared" si="453"/>
        <v>0</v>
      </c>
      <c r="DR80" s="58">
        <f t="shared" si="454"/>
        <v>0</v>
      </c>
      <c r="DU80" s="54">
        <v>1</v>
      </c>
      <c r="DV80" s="54">
        <v>0.97</v>
      </c>
      <c r="DW80" s="54">
        <v>0.95</v>
      </c>
      <c r="DX80" s="54">
        <v>0.93</v>
      </c>
      <c r="DY80" s="54">
        <f t="shared" si="508"/>
        <v>0.91</v>
      </c>
      <c r="DZ80" s="54">
        <f t="shared" si="508"/>
        <v>0.89</v>
      </c>
      <c r="EA80" s="54">
        <f t="shared" si="508"/>
        <v>0.87</v>
      </c>
      <c r="EB80" s="54">
        <f t="shared" si="508"/>
        <v>0.85</v>
      </c>
      <c r="EC80" s="54">
        <f t="shared" si="508"/>
        <v>0.83</v>
      </c>
      <c r="ED80" s="54">
        <f t="shared" si="508"/>
        <v>0.80999999999999994</v>
      </c>
      <c r="EE80" s="54">
        <f t="shared" si="508"/>
        <v>0.78999999999999992</v>
      </c>
      <c r="EF80" s="54">
        <f t="shared" si="508"/>
        <v>0.76999999999999991</v>
      </c>
      <c r="EG80" s="54">
        <f t="shared" si="508"/>
        <v>0.74999999999999989</v>
      </c>
      <c r="EH80" s="54">
        <f t="shared" si="508"/>
        <v>0.72999999999999987</v>
      </c>
      <c r="EI80" s="54">
        <f t="shared" si="508"/>
        <v>0.70999999999999985</v>
      </c>
      <c r="EJ80" s="54">
        <f t="shared" si="508"/>
        <v>0.68999999999999984</v>
      </c>
      <c r="EK80" s="54">
        <f t="shared" si="508"/>
        <v>0.66999999999999982</v>
      </c>
      <c r="EL80" s="54">
        <f t="shared" si="508"/>
        <v>0.6499999999999998</v>
      </c>
      <c r="EM80" s="54">
        <f t="shared" si="508"/>
        <v>0.62999999999999978</v>
      </c>
      <c r="EN80" s="54">
        <f t="shared" si="508"/>
        <v>0.60999999999999976</v>
      </c>
      <c r="EO80" s="54">
        <f t="shared" si="508"/>
        <v>0.58999999999999975</v>
      </c>
      <c r="EP80" s="54">
        <f t="shared" si="508"/>
        <v>0.56999999999999973</v>
      </c>
      <c r="ER80" s="54">
        <f t="shared" si="142"/>
        <v>0</v>
      </c>
      <c r="ES80" s="54">
        <f t="shared" si="116"/>
        <v>0</v>
      </c>
      <c r="ET80" s="58">
        <f t="shared" si="456"/>
        <v>0</v>
      </c>
      <c r="EU80" s="54">
        <f t="shared" si="457"/>
        <v>0</v>
      </c>
      <c r="EV80" s="58">
        <f t="shared" si="458"/>
        <v>0</v>
      </c>
      <c r="EW80" s="54">
        <f t="shared" si="459"/>
        <v>0</v>
      </c>
      <c r="EX80" s="58">
        <f t="shared" si="460"/>
        <v>0</v>
      </c>
      <c r="EY80" s="54">
        <f t="shared" si="461"/>
        <v>0</v>
      </c>
      <c r="EZ80" s="58">
        <f t="shared" si="462"/>
        <v>0</v>
      </c>
      <c r="FA80" s="56">
        <f t="shared" si="463"/>
        <v>0</v>
      </c>
      <c r="FB80" s="58">
        <f t="shared" si="464"/>
        <v>0</v>
      </c>
      <c r="FC80" s="54">
        <f t="shared" si="465"/>
        <v>0</v>
      </c>
      <c r="FD80" s="58">
        <f t="shared" si="466"/>
        <v>0</v>
      </c>
      <c r="FE80" s="56">
        <f t="shared" si="467"/>
        <v>0</v>
      </c>
      <c r="FF80" s="58">
        <f t="shared" si="468"/>
        <v>0</v>
      </c>
      <c r="FG80" s="59">
        <f t="shared" si="469"/>
        <v>0</v>
      </c>
      <c r="FH80" s="58">
        <f t="shared" si="470"/>
        <v>0</v>
      </c>
      <c r="FI80" s="56">
        <f t="shared" si="471"/>
        <v>0</v>
      </c>
      <c r="FJ80" s="58">
        <f t="shared" si="472"/>
        <v>0</v>
      </c>
      <c r="FK80" s="54">
        <f t="shared" si="473"/>
        <v>0</v>
      </c>
      <c r="FL80" s="58">
        <f t="shared" si="474"/>
        <v>0</v>
      </c>
      <c r="FM80" s="59">
        <f t="shared" si="475"/>
        <v>0</v>
      </c>
      <c r="FN80" s="58">
        <f t="shared" si="476"/>
        <v>0</v>
      </c>
      <c r="FO80" s="59">
        <f t="shared" si="477"/>
        <v>0</v>
      </c>
      <c r="FP80" s="58">
        <f t="shared" si="478"/>
        <v>0</v>
      </c>
      <c r="FQ80" s="59">
        <f t="shared" si="479"/>
        <v>0</v>
      </c>
      <c r="FR80" s="58">
        <f t="shared" si="480"/>
        <v>0</v>
      </c>
      <c r="FS80" s="54">
        <f t="shared" si="481"/>
        <v>0</v>
      </c>
      <c r="FT80" s="58">
        <f t="shared" si="482"/>
        <v>0</v>
      </c>
      <c r="FU80" s="59">
        <f t="shared" si="483"/>
        <v>0</v>
      </c>
      <c r="FV80" s="58">
        <f t="shared" si="484"/>
        <v>0</v>
      </c>
      <c r="FW80" s="59">
        <f t="shared" si="485"/>
        <v>0</v>
      </c>
      <c r="FX80" s="58">
        <f t="shared" si="486"/>
        <v>0</v>
      </c>
      <c r="FY80" s="59">
        <f t="shared" si="487"/>
        <v>0</v>
      </c>
      <c r="FZ80" s="58">
        <f t="shared" si="488"/>
        <v>0</v>
      </c>
      <c r="GA80" s="59">
        <f t="shared" si="489"/>
        <v>0</v>
      </c>
      <c r="GB80" s="58">
        <f t="shared" si="490"/>
        <v>0</v>
      </c>
      <c r="GC80" s="54">
        <f t="shared" si="491"/>
        <v>0</v>
      </c>
      <c r="GD80" s="58">
        <f t="shared" si="492"/>
        <v>0</v>
      </c>
      <c r="GE80" s="59">
        <f t="shared" si="493"/>
        <v>0</v>
      </c>
      <c r="GF80" s="58">
        <f t="shared" si="494"/>
        <v>0</v>
      </c>
      <c r="GG80" s="59">
        <f t="shared" si="495"/>
        <v>0</v>
      </c>
      <c r="GH80" s="58">
        <f t="shared" si="496"/>
        <v>0</v>
      </c>
      <c r="GI80" s="54">
        <f t="shared" si="497"/>
        <v>0</v>
      </c>
      <c r="GJ80" s="58">
        <f t="shared" si="498"/>
        <v>0</v>
      </c>
      <c r="GK80" s="54"/>
      <c r="GL80" s="54"/>
      <c r="GM80" s="54">
        <v>1</v>
      </c>
      <c r="GN80" s="54">
        <v>0.97</v>
      </c>
      <c r="GO80" s="54">
        <v>0.95</v>
      </c>
      <c r="GP80" s="54">
        <v>0.93</v>
      </c>
      <c r="GQ80" s="54">
        <f t="shared" si="509"/>
        <v>0.91</v>
      </c>
      <c r="GR80" s="54">
        <f t="shared" si="509"/>
        <v>0.89</v>
      </c>
      <c r="GS80" s="54">
        <f t="shared" si="509"/>
        <v>0.87</v>
      </c>
      <c r="GT80" s="54">
        <f t="shared" si="509"/>
        <v>0.85</v>
      </c>
      <c r="GU80" s="54">
        <f t="shared" si="509"/>
        <v>0.83</v>
      </c>
      <c r="GV80" s="54">
        <f t="shared" si="509"/>
        <v>0.80999999999999994</v>
      </c>
      <c r="GW80" s="54">
        <f t="shared" si="509"/>
        <v>0.78999999999999992</v>
      </c>
      <c r="GX80" s="54">
        <f t="shared" si="509"/>
        <v>0.76999999999999991</v>
      </c>
      <c r="GY80" s="54">
        <f t="shared" si="509"/>
        <v>0.74999999999999989</v>
      </c>
      <c r="GZ80" s="54">
        <f t="shared" si="509"/>
        <v>0.72999999999999987</v>
      </c>
      <c r="HA80" s="54">
        <f t="shared" si="509"/>
        <v>0.70999999999999985</v>
      </c>
      <c r="HB80" s="54">
        <f t="shared" si="509"/>
        <v>0.68999999999999984</v>
      </c>
      <c r="HC80" s="54">
        <f t="shared" si="509"/>
        <v>0.66999999999999982</v>
      </c>
      <c r="HD80" s="54">
        <f t="shared" si="509"/>
        <v>0.6499999999999998</v>
      </c>
      <c r="HE80" s="54">
        <f t="shared" si="509"/>
        <v>0.62999999999999978</v>
      </c>
      <c r="HF80" s="54">
        <f t="shared" si="509"/>
        <v>0.60999999999999976</v>
      </c>
      <c r="HG80" s="54">
        <f t="shared" si="509"/>
        <v>0.58999999999999975</v>
      </c>
      <c r="HH80" s="54">
        <f t="shared" si="509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2">
        <f t="shared" si="503"/>
        <v>0</v>
      </c>
      <c r="H81" s="54">
        <f t="shared" si="61"/>
        <v>0</v>
      </c>
      <c r="I81" s="54">
        <f t="shared" si="62"/>
        <v>0</v>
      </c>
      <c r="J81" s="58">
        <f t="shared" si="63"/>
        <v>0</v>
      </c>
      <c r="K81" s="54">
        <f t="shared" si="369"/>
        <v>0</v>
      </c>
      <c r="L81" s="58">
        <f t="shared" si="370"/>
        <v>0</v>
      </c>
      <c r="M81" s="54">
        <f t="shared" si="371"/>
        <v>0</v>
      </c>
      <c r="N81" s="58">
        <f t="shared" si="372"/>
        <v>0</v>
      </c>
      <c r="O81" s="54">
        <f t="shared" si="373"/>
        <v>0</v>
      </c>
      <c r="P81" s="58">
        <f t="shared" si="374"/>
        <v>0</v>
      </c>
      <c r="Q81" s="56">
        <f t="shared" si="375"/>
        <v>0</v>
      </c>
      <c r="R81" s="58">
        <f t="shared" si="376"/>
        <v>0</v>
      </c>
      <c r="S81" s="54">
        <f t="shared" si="377"/>
        <v>0</v>
      </c>
      <c r="T81" s="58">
        <f t="shared" si="378"/>
        <v>0</v>
      </c>
      <c r="U81" s="56">
        <f t="shared" si="379"/>
        <v>0</v>
      </c>
      <c r="V81" s="58">
        <f t="shared" si="380"/>
        <v>0</v>
      </c>
      <c r="W81" s="59">
        <f t="shared" si="381"/>
        <v>0</v>
      </c>
      <c r="X81" s="58">
        <f t="shared" si="382"/>
        <v>0</v>
      </c>
      <c r="Y81" s="56">
        <f t="shared" si="383"/>
        <v>0</v>
      </c>
      <c r="Z81" s="58">
        <f t="shared" si="384"/>
        <v>0</v>
      </c>
      <c r="AA81" s="54">
        <f t="shared" si="385"/>
        <v>0</v>
      </c>
      <c r="AB81" s="58">
        <f t="shared" si="386"/>
        <v>0</v>
      </c>
      <c r="AC81" s="59">
        <f t="shared" si="387"/>
        <v>0</v>
      </c>
      <c r="AD81" s="58">
        <f t="shared" si="388"/>
        <v>0</v>
      </c>
      <c r="AE81" s="59">
        <f t="shared" si="389"/>
        <v>0</v>
      </c>
      <c r="AF81" s="58">
        <f t="shared" si="390"/>
        <v>0</v>
      </c>
      <c r="AG81" s="59">
        <f t="shared" si="391"/>
        <v>0</v>
      </c>
      <c r="AH81" s="58">
        <f t="shared" si="392"/>
        <v>0</v>
      </c>
      <c r="AI81" s="54">
        <f t="shared" si="393"/>
        <v>0</v>
      </c>
      <c r="AJ81" s="58">
        <f t="shared" si="394"/>
        <v>0</v>
      </c>
      <c r="AK81" s="59">
        <f t="shared" si="395"/>
        <v>0</v>
      </c>
      <c r="AL81" s="58">
        <f t="shared" si="396"/>
        <v>0</v>
      </c>
      <c r="AM81" s="59">
        <f t="shared" si="397"/>
        <v>0</v>
      </c>
      <c r="AN81" s="58">
        <f t="shared" si="398"/>
        <v>0</v>
      </c>
      <c r="AO81" s="59">
        <f t="shared" si="399"/>
        <v>0</v>
      </c>
      <c r="AP81" s="58">
        <f t="shared" si="400"/>
        <v>0</v>
      </c>
      <c r="AQ81" s="59">
        <f t="shared" si="401"/>
        <v>0</v>
      </c>
      <c r="AR81" s="58">
        <f t="shared" si="402"/>
        <v>0</v>
      </c>
      <c r="AS81" s="54">
        <f t="shared" si="403"/>
        <v>0</v>
      </c>
      <c r="AT81" s="58">
        <f t="shared" si="404"/>
        <v>0</v>
      </c>
      <c r="AU81" s="59">
        <f t="shared" si="405"/>
        <v>0</v>
      </c>
      <c r="AV81" s="58">
        <f t="shared" si="406"/>
        <v>0</v>
      </c>
      <c r="AW81" s="59">
        <f t="shared" si="407"/>
        <v>0</v>
      </c>
      <c r="AX81" s="58">
        <f t="shared" si="408"/>
        <v>0</v>
      </c>
      <c r="AY81" s="54">
        <f t="shared" si="409"/>
        <v>0</v>
      </c>
      <c r="AZ81" s="58">
        <f t="shared" si="410"/>
        <v>0</v>
      </c>
      <c r="BC81" s="54">
        <v>1</v>
      </c>
      <c r="BD81" s="54">
        <v>0.97</v>
      </c>
      <c r="BE81" s="54">
        <v>0.95</v>
      </c>
      <c r="BF81" s="54">
        <v>0.93</v>
      </c>
      <c r="BG81" s="54">
        <f t="shared" si="505"/>
        <v>0.91</v>
      </c>
      <c r="BH81" s="54">
        <f t="shared" si="505"/>
        <v>0.89</v>
      </c>
      <c r="BI81" s="54">
        <f t="shared" si="505"/>
        <v>0.87</v>
      </c>
      <c r="BJ81" s="54">
        <f t="shared" si="505"/>
        <v>0.85</v>
      </c>
      <c r="BK81" s="54">
        <f t="shared" si="505"/>
        <v>0.83</v>
      </c>
      <c r="BL81" s="54">
        <f t="shared" si="505"/>
        <v>0.80999999999999994</v>
      </c>
      <c r="BM81" s="54">
        <f t="shared" si="505"/>
        <v>0.78999999999999992</v>
      </c>
      <c r="BN81" s="54">
        <f t="shared" si="505"/>
        <v>0.76999999999999991</v>
      </c>
      <c r="BO81" s="54">
        <f t="shared" si="505"/>
        <v>0.74999999999999989</v>
      </c>
      <c r="BP81" s="54">
        <f t="shared" si="505"/>
        <v>0.72999999999999987</v>
      </c>
      <c r="BQ81" s="54">
        <f t="shared" si="505"/>
        <v>0.70999999999999985</v>
      </c>
      <c r="BR81" s="54">
        <f t="shared" si="505"/>
        <v>0.68999999999999984</v>
      </c>
      <c r="BS81" s="54">
        <f t="shared" si="505"/>
        <v>0.66999999999999982</v>
      </c>
      <c r="BT81" s="54">
        <f t="shared" si="505"/>
        <v>0.6499999999999998</v>
      </c>
      <c r="BU81" s="54">
        <f t="shared" si="505"/>
        <v>0.62999999999999978</v>
      </c>
      <c r="BV81" s="54">
        <f t="shared" si="505"/>
        <v>0.60999999999999976</v>
      </c>
      <c r="BW81" s="54">
        <f t="shared" si="505"/>
        <v>0.58999999999999975</v>
      </c>
      <c r="BX81" s="54">
        <f t="shared" si="505"/>
        <v>0.56999999999999973</v>
      </c>
      <c r="BZ81" s="54">
        <f t="shared" si="88"/>
        <v>0</v>
      </c>
      <c r="CA81" s="54">
        <f t="shared" si="89"/>
        <v>0</v>
      </c>
      <c r="CB81" s="58">
        <f t="shared" si="412"/>
        <v>0</v>
      </c>
      <c r="CC81" s="54">
        <f t="shared" si="413"/>
        <v>0</v>
      </c>
      <c r="CD81" s="58">
        <f t="shared" si="414"/>
        <v>0</v>
      </c>
      <c r="CE81" s="54">
        <f t="shared" si="415"/>
        <v>0</v>
      </c>
      <c r="CF81" s="58">
        <f t="shared" si="416"/>
        <v>0</v>
      </c>
      <c r="CG81" s="54">
        <f t="shared" si="417"/>
        <v>0</v>
      </c>
      <c r="CH81" s="58">
        <f t="shared" si="418"/>
        <v>0</v>
      </c>
      <c r="CI81" s="56">
        <f t="shared" si="419"/>
        <v>0</v>
      </c>
      <c r="CJ81" s="58">
        <f t="shared" si="420"/>
        <v>0</v>
      </c>
      <c r="CK81" s="54">
        <f t="shared" si="421"/>
        <v>0</v>
      </c>
      <c r="CL81" s="58">
        <f t="shared" si="422"/>
        <v>0</v>
      </c>
      <c r="CM81" s="56">
        <f t="shared" si="423"/>
        <v>0</v>
      </c>
      <c r="CN81" s="58">
        <f t="shared" si="424"/>
        <v>0</v>
      </c>
      <c r="CO81" s="59">
        <f t="shared" si="425"/>
        <v>0</v>
      </c>
      <c r="CP81" s="58">
        <f t="shared" si="426"/>
        <v>0</v>
      </c>
      <c r="CQ81" s="56">
        <f t="shared" si="427"/>
        <v>0</v>
      </c>
      <c r="CR81" s="58">
        <f t="shared" si="428"/>
        <v>0</v>
      </c>
      <c r="CS81" s="54">
        <f t="shared" si="429"/>
        <v>0</v>
      </c>
      <c r="CT81" s="58">
        <f t="shared" si="430"/>
        <v>0</v>
      </c>
      <c r="CU81" s="59">
        <f t="shared" si="431"/>
        <v>0</v>
      </c>
      <c r="CV81" s="58">
        <f t="shared" si="432"/>
        <v>0</v>
      </c>
      <c r="CW81" s="59">
        <f t="shared" si="433"/>
        <v>0</v>
      </c>
      <c r="CX81" s="58">
        <f t="shared" si="434"/>
        <v>0</v>
      </c>
      <c r="CY81" s="59">
        <f t="shared" si="435"/>
        <v>0</v>
      </c>
      <c r="CZ81" s="58">
        <f t="shared" si="436"/>
        <v>0</v>
      </c>
      <c r="DA81" s="54">
        <f t="shared" si="437"/>
        <v>0</v>
      </c>
      <c r="DB81" s="58">
        <f t="shared" si="438"/>
        <v>0</v>
      </c>
      <c r="DC81" s="59">
        <f t="shared" si="439"/>
        <v>0</v>
      </c>
      <c r="DD81" s="58">
        <f t="shared" si="440"/>
        <v>0</v>
      </c>
      <c r="DE81" s="59">
        <f t="shared" si="441"/>
        <v>0</v>
      </c>
      <c r="DF81" s="58">
        <f t="shared" si="442"/>
        <v>0</v>
      </c>
      <c r="DG81" s="59">
        <f t="shared" si="443"/>
        <v>0</v>
      </c>
      <c r="DH81" s="58">
        <f t="shared" si="444"/>
        <v>0</v>
      </c>
      <c r="DI81" s="59">
        <f t="shared" si="445"/>
        <v>0</v>
      </c>
      <c r="DJ81" s="58">
        <f t="shared" si="446"/>
        <v>0</v>
      </c>
      <c r="DK81" s="54">
        <f t="shared" si="447"/>
        <v>0</v>
      </c>
      <c r="DL81" s="58">
        <f t="shared" si="448"/>
        <v>0</v>
      </c>
      <c r="DM81" s="59">
        <f t="shared" si="449"/>
        <v>0</v>
      </c>
      <c r="DN81" s="58">
        <f t="shared" si="450"/>
        <v>0</v>
      </c>
      <c r="DO81" s="59">
        <f t="shared" si="451"/>
        <v>0</v>
      </c>
      <c r="DP81" s="58">
        <f t="shared" si="452"/>
        <v>0</v>
      </c>
      <c r="DQ81" s="54">
        <f t="shared" si="453"/>
        <v>0</v>
      </c>
      <c r="DR81" s="58">
        <f t="shared" si="454"/>
        <v>0</v>
      </c>
      <c r="DU81" s="54">
        <v>1</v>
      </c>
      <c r="DV81" s="54">
        <v>0.97</v>
      </c>
      <c r="DW81" s="54">
        <v>0.95</v>
      </c>
      <c r="DX81" s="54">
        <v>0.93</v>
      </c>
      <c r="DY81" s="54">
        <f t="shared" si="508"/>
        <v>0.91</v>
      </c>
      <c r="DZ81" s="54">
        <f t="shared" si="508"/>
        <v>0.89</v>
      </c>
      <c r="EA81" s="54">
        <f t="shared" si="508"/>
        <v>0.87</v>
      </c>
      <c r="EB81" s="54">
        <f t="shared" si="508"/>
        <v>0.85</v>
      </c>
      <c r="EC81" s="54">
        <f t="shared" si="508"/>
        <v>0.83</v>
      </c>
      <c r="ED81" s="54">
        <f t="shared" si="508"/>
        <v>0.80999999999999994</v>
      </c>
      <c r="EE81" s="54">
        <f t="shared" si="508"/>
        <v>0.78999999999999992</v>
      </c>
      <c r="EF81" s="54">
        <f t="shared" si="508"/>
        <v>0.76999999999999991</v>
      </c>
      <c r="EG81" s="54">
        <f t="shared" si="508"/>
        <v>0.74999999999999989</v>
      </c>
      <c r="EH81" s="54">
        <f t="shared" si="508"/>
        <v>0.72999999999999987</v>
      </c>
      <c r="EI81" s="54">
        <f t="shared" si="508"/>
        <v>0.70999999999999985</v>
      </c>
      <c r="EJ81" s="54">
        <f t="shared" si="508"/>
        <v>0.68999999999999984</v>
      </c>
      <c r="EK81" s="54">
        <f t="shared" si="508"/>
        <v>0.66999999999999982</v>
      </c>
      <c r="EL81" s="54">
        <f t="shared" si="508"/>
        <v>0.6499999999999998</v>
      </c>
      <c r="EM81" s="54">
        <f t="shared" si="508"/>
        <v>0.62999999999999978</v>
      </c>
      <c r="EN81" s="54">
        <f t="shared" si="508"/>
        <v>0.60999999999999976</v>
      </c>
      <c r="EO81" s="54">
        <f t="shared" si="508"/>
        <v>0.58999999999999975</v>
      </c>
      <c r="EP81" s="54">
        <f t="shared" si="508"/>
        <v>0.56999999999999973</v>
      </c>
      <c r="ER81" s="54">
        <f t="shared" si="142"/>
        <v>0</v>
      </c>
      <c r="ES81" s="54">
        <f t="shared" si="116"/>
        <v>0</v>
      </c>
      <c r="ET81" s="58">
        <f t="shared" si="456"/>
        <v>0</v>
      </c>
      <c r="EU81" s="54">
        <f t="shared" si="457"/>
        <v>0</v>
      </c>
      <c r="EV81" s="58">
        <f t="shared" si="458"/>
        <v>0</v>
      </c>
      <c r="EW81" s="54">
        <f t="shared" si="459"/>
        <v>0</v>
      </c>
      <c r="EX81" s="58">
        <f t="shared" si="460"/>
        <v>0</v>
      </c>
      <c r="EY81" s="54">
        <f t="shared" si="461"/>
        <v>0</v>
      </c>
      <c r="EZ81" s="58">
        <f t="shared" si="462"/>
        <v>0</v>
      </c>
      <c r="FA81" s="56">
        <f t="shared" si="463"/>
        <v>0</v>
      </c>
      <c r="FB81" s="58">
        <f t="shared" si="464"/>
        <v>0</v>
      </c>
      <c r="FC81" s="54">
        <f t="shared" si="465"/>
        <v>0</v>
      </c>
      <c r="FD81" s="58">
        <f t="shared" si="466"/>
        <v>0</v>
      </c>
      <c r="FE81" s="56">
        <f t="shared" si="467"/>
        <v>0</v>
      </c>
      <c r="FF81" s="58">
        <f t="shared" si="468"/>
        <v>0</v>
      </c>
      <c r="FG81" s="59">
        <f t="shared" si="469"/>
        <v>0</v>
      </c>
      <c r="FH81" s="58">
        <f t="shared" si="470"/>
        <v>0</v>
      </c>
      <c r="FI81" s="56">
        <f t="shared" si="471"/>
        <v>0</v>
      </c>
      <c r="FJ81" s="58">
        <f t="shared" si="472"/>
        <v>0</v>
      </c>
      <c r="FK81" s="54">
        <f t="shared" si="473"/>
        <v>0</v>
      </c>
      <c r="FL81" s="58">
        <f t="shared" si="474"/>
        <v>0</v>
      </c>
      <c r="FM81" s="59">
        <f t="shared" si="475"/>
        <v>0</v>
      </c>
      <c r="FN81" s="58">
        <f t="shared" si="476"/>
        <v>0</v>
      </c>
      <c r="FO81" s="59">
        <f t="shared" si="477"/>
        <v>0</v>
      </c>
      <c r="FP81" s="58">
        <f t="shared" si="478"/>
        <v>0</v>
      </c>
      <c r="FQ81" s="59">
        <f t="shared" si="479"/>
        <v>0</v>
      </c>
      <c r="FR81" s="58">
        <f t="shared" si="480"/>
        <v>0</v>
      </c>
      <c r="FS81" s="54">
        <f t="shared" si="481"/>
        <v>0</v>
      </c>
      <c r="FT81" s="58">
        <f t="shared" si="482"/>
        <v>0</v>
      </c>
      <c r="FU81" s="59">
        <f t="shared" si="483"/>
        <v>0</v>
      </c>
      <c r="FV81" s="58">
        <f t="shared" si="484"/>
        <v>0</v>
      </c>
      <c r="FW81" s="59">
        <f t="shared" si="485"/>
        <v>0</v>
      </c>
      <c r="FX81" s="58">
        <f t="shared" si="486"/>
        <v>0</v>
      </c>
      <c r="FY81" s="59">
        <f t="shared" si="487"/>
        <v>0</v>
      </c>
      <c r="FZ81" s="58">
        <f t="shared" si="488"/>
        <v>0</v>
      </c>
      <c r="GA81" s="59">
        <f t="shared" si="489"/>
        <v>0</v>
      </c>
      <c r="GB81" s="58">
        <f t="shared" si="490"/>
        <v>0</v>
      </c>
      <c r="GC81" s="54">
        <f t="shared" si="491"/>
        <v>0</v>
      </c>
      <c r="GD81" s="58">
        <f t="shared" si="492"/>
        <v>0</v>
      </c>
      <c r="GE81" s="59">
        <f t="shared" si="493"/>
        <v>0</v>
      </c>
      <c r="GF81" s="58">
        <f t="shared" si="494"/>
        <v>0</v>
      </c>
      <c r="GG81" s="59">
        <f t="shared" si="495"/>
        <v>0</v>
      </c>
      <c r="GH81" s="58">
        <f t="shared" si="496"/>
        <v>0</v>
      </c>
      <c r="GI81" s="54">
        <f t="shared" si="497"/>
        <v>0</v>
      </c>
      <c r="GJ81" s="58">
        <f t="shared" si="498"/>
        <v>0</v>
      </c>
      <c r="GK81" s="54"/>
      <c r="GL81" s="54"/>
      <c r="GM81" s="54">
        <v>1</v>
      </c>
      <c r="GN81" s="54">
        <v>0.97</v>
      </c>
      <c r="GO81" s="54">
        <v>0.95</v>
      </c>
      <c r="GP81" s="54">
        <v>0.93</v>
      </c>
      <c r="GQ81" s="54">
        <f t="shared" si="509"/>
        <v>0.91</v>
      </c>
      <c r="GR81" s="54">
        <f t="shared" si="509"/>
        <v>0.89</v>
      </c>
      <c r="GS81" s="54">
        <f t="shared" si="509"/>
        <v>0.87</v>
      </c>
      <c r="GT81" s="54">
        <f t="shared" si="509"/>
        <v>0.85</v>
      </c>
      <c r="GU81" s="54">
        <f t="shared" si="509"/>
        <v>0.83</v>
      </c>
      <c r="GV81" s="54">
        <f t="shared" si="509"/>
        <v>0.80999999999999994</v>
      </c>
      <c r="GW81" s="54">
        <f t="shared" si="509"/>
        <v>0.78999999999999992</v>
      </c>
      <c r="GX81" s="54">
        <f t="shared" si="509"/>
        <v>0.76999999999999991</v>
      </c>
      <c r="GY81" s="54">
        <f t="shared" si="509"/>
        <v>0.74999999999999989</v>
      </c>
      <c r="GZ81" s="54">
        <f t="shared" si="509"/>
        <v>0.72999999999999987</v>
      </c>
      <c r="HA81" s="54">
        <f t="shared" si="509"/>
        <v>0.70999999999999985</v>
      </c>
      <c r="HB81" s="54">
        <f t="shared" si="509"/>
        <v>0.68999999999999984</v>
      </c>
      <c r="HC81" s="54">
        <f t="shared" si="509"/>
        <v>0.66999999999999982</v>
      </c>
      <c r="HD81" s="54">
        <f t="shared" si="509"/>
        <v>0.6499999999999998</v>
      </c>
      <c r="HE81" s="54">
        <f t="shared" si="509"/>
        <v>0.62999999999999978</v>
      </c>
      <c r="HF81" s="54">
        <f t="shared" si="509"/>
        <v>0.60999999999999976</v>
      </c>
      <c r="HG81" s="54">
        <f t="shared" si="509"/>
        <v>0.58999999999999975</v>
      </c>
      <c r="HH81" s="54">
        <f t="shared" si="509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2">
        <f t="shared" si="503"/>
        <v>0</v>
      </c>
      <c r="H82" s="54">
        <f t="shared" si="61"/>
        <v>0</v>
      </c>
      <c r="I82" s="54">
        <f t="shared" si="62"/>
        <v>0</v>
      </c>
      <c r="J82" s="58">
        <f t="shared" si="63"/>
        <v>0</v>
      </c>
      <c r="K82" s="54">
        <f t="shared" si="369"/>
        <v>0</v>
      </c>
      <c r="L82" s="58">
        <f t="shared" si="370"/>
        <v>0</v>
      </c>
      <c r="M82" s="54">
        <f t="shared" si="371"/>
        <v>0</v>
      </c>
      <c r="N82" s="58">
        <f t="shared" si="372"/>
        <v>0</v>
      </c>
      <c r="O82" s="54">
        <f t="shared" si="373"/>
        <v>0</v>
      </c>
      <c r="P82" s="58">
        <f t="shared" si="374"/>
        <v>0</v>
      </c>
      <c r="Q82" s="56">
        <f t="shared" si="375"/>
        <v>0</v>
      </c>
      <c r="R82" s="58">
        <f t="shared" si="376"/>
        <v>0</v>
      </c>
      <c r="S82" s="54">
        <f t="shared" si="377"/>
        <v>0</v>
      </c>
      <c r="T82" s="58">
        <f t="shared" si="378"/>
        <v>0</v>
      </c>
      <c r="U82" s="56">
        <f t="shared" si="379"/>
        <v>0</v>
      </c>
      <c r="V82" s="58">
        <f t="shared" si="380"/>
        <v>0</v>
      </c>
      <c r="W82" s="59">
        <f t="shared" si="381"/>
        <v>0</v>
      </c>
      <c r="X82" s="58">
        <f t="shared" si="382"/>
        <v>0</v>
      </c>
      <c r="Y82" s="56">
        <f t="shared" si="383"/>
        <v>0</v>
      </c>
      <c r="Z82" s="58">
        <f t="shared" si="384"/>
        <v>0</v>
      </c>
      <c r="AA82" s="54">
        <f t="shared" si="385"/>
        <v>0</v>
      </c>
      <c r="AB82" s="58">
        <f t="shared" si="386"/>
        <v>0</v>
      </c>
      <c r="AC82" s="59">
        <f t="shared" si="387"/>
        <v>0</v>
      </c>
      <c r="AD82" s="58">
        <f t="shared" si="388"/>
        <v>0</v>
      </c>
      <c r="AE82" s="59">
        <f t="shared" si="389"/>
        <v>0</v>
      </c>
      <c r="AF82" s="58">
        <f t="shared" si="390"/>
        <v>0</v>
      </c>
      <c r="AG82" s="59">
        <f t="shared" si="391"/>
        <v>0</v>
      </c>
      <c r="AH82" s="58">
        <f t="shared" si="392"/>
        <v>0</v>
      </c>
      <c r="AI82" s="54">
        <f t="shared" si="393"/>
        <v>0</v>
      </c>
      <c r="AJ82" s="58">
        <f t="shared" si="394"/>
        <v>0</v>
      </c>
      <c r="AK82" s="59">
        <f t="shared" si="395"/>
        <v>0</v>
      </c>
      <c r="AL82" s="58">
        <f t="shared" si="396"/>
        <v>0</v>
      </c>
      <c r="AM82" s="59">
        <f t="shared" si="397"/>
        <v>0</v>
      </c>
      <c r="AN82" s="58">
        <f t="shared" si="398"/>
        <v>0</v>
      </c>
      <c r="AO82" s="59">
        <f t="shared" si="399"/>
        <v>0</v>
      </c>
      <c r="AP82" s="58">
        <f t="shared" si="400"/>
        <v>0</v>
      </c>
      <c r="AQ82" s="59">
        <f t="shared" si="401"/>
        <v>0</v>
      </c>
      <c r="AR82" s="58">
        <f t="shared" si="402"/>
        <v>0</v>
      </c>
      <c r="AS82" s="54">
        <f t="shared" si="403"/>
        <v>0</v>
      </c>
      <c r="AT82" s="58">
        <f t="shared" si="404"/>
        <v>0</v>
      </c>
      <c r="AU82" s="59">
        <f t="shared" si="405"/>
        <v>0</v>
      </c>
      <c r="AV82" s="58">
        <f t="shared" si="406"/>
        <v>0</v>
      </c>
      <c r="AW82" s="59">
        <f t="shared" si="407"/>
        <v>0</v>
      </c>
      <c r="AX82" s="58">
        <f t="shared" si="408"/>
        <v>0</v>
      </c>
      <c r="AY82" s="54">
        <f t="shared" si="409"/>
        <v>0</v>
      </c>
      <c r="AZ82" s="58">
        <f t="shared" si="410"/>
        <v>0</v>
      </c>
      <c r="BC82" s="54">
        <v>1</v>
      </c>
      <c r="BD82" s="54">
        <v>0.97</v>
      </c>
      <c r="BE82" s="54">
        <v>0.95</v>
      </c>
      <c r="BF82" s="54">
        <v>0.93</v>
      </c>
      <c r="BG82" s="54">
        <f t="shared" si="505"/>
        <v>0.91</v>
      </c>
      <c r="BH82" s="54">
        <f t="shared" si="505"/>
        <v>0.89</v>
      </c>
      <c r="BI82" s="54">
        <f t="shared" si="505"/>
        <v>0.87</v>
      </c>
      <c r="BJ82" s="54">
        <f t="shared" si="505"/>
        <v>0.85</v>
      </c>
      <c r="BK82" s="54">
        <f t="shared" si="505"/>
        <v>0.83</v>
      </c>
      <c r="BL82" s="54">
        <f t="shared" si="505"/>
        <v>0.80999999999999994</v>
      </c>
      <c r="BM82" s="54">
        <f t="shared" si="505"/>
        <v>0.78999999999999992</v>
      </c>
      <c r="BN82" s="54">
        <f t="shared" si="505"/>
        <v>0.76999999999999991</v>
      </c>
      <c r="BO82" s="54">
        <f t="shared" si="505"/>
        <v>0.74999999999999989</v>
      </c>
      <c r="BP82" s="54">
        <f t="shared" si="505"/>
        <v>0.72999999999999987</v>
      </c>
      <c r="BQ82" s="54">
        <f t="shared" si="505"/>
        <v>0.70999999999999985</v>
      </c>
      <c r="BR82" s="54">
        <f t="shared" si="505"/>
        <v>0.68999999999999984</v>
      </c>
      <c r="BS82" s="54">
        <f t="shared" si="505"/>
        <v>0.66999999999999982</v>
      </c>
      <c r="BT82" s="54">
        <f t="shared" si="505"/>
        <v>0.6499999999999998</v>
      </c>
      <c r="BU82" s="54">
        <f t="shared" si="505"/>
        <v>0.62999999999999978</v>
      </c>
      <c r="BV82" s="54">
        <f t="shared" si="505"/>
        <v>0.60999999999999976</v>
      </c>
      <c r="BW82" s="54">
        <f t="shared" si="505"/>
        <v>0.58999999999999975</v>
      </c>
      <c r="BX82" s="54">
        <f t="shared" si="505"/>
        <v>0.56999999999999973</v>
      </c>
      <c r="BZ82" s="54">
        <f t="shared" si="88"/>
        <v>0</v>
      </c>
      <c r="CA82" s="54">
        <f t="shared" si="89"/>
        <v>0</v>
      </c>
      <c r="CB82" s="58">
        <f t="shared" si="412"/>
        <v>0</v>
      </c>
      <c r="CC82" s="54">
        <f t="shared" si="413"/>
        <v>0</v>
      </c>
      <c r="CD82" s="58">
        <f t="shared" si="414"/>
        <v>0</v>
      </c>
      <c r="CE82" s="54">
        <f t="shared" si="415"/>
        <v>0</v>
      </c>
      <c r="CF82" s="58">
        <f t="shared" si="416"/>
        <v>0</v>
      </c>
      <c r="CG82" s="54">
        <f t="shared" si="417"/>
        <v>0</v>
      </c>
      <c r="CH82" s="58">
        <f t="shared" si="418"/>
        <v>0</v>
      </c>
      <c r="CI82" s="56">
        <f t="shared" si="419"/>
        <v>0</v>
      </c>
      <c r="CJ82" s="58">
        <f t="shared" si="420"/>
        <v>0</v>
      </c>
      <c r="CK82" s="54">
        <f t="shared" si="421"/>
        <v>0</v>
      </c>
      <c r="CL82" s="58">
        <f t="shared" si="422"/>
        <v>0</v>
      </c>
      <c r="CM82" s="56">
        <f t="shared" si="423"/>
        <v>0</v>
      </c>
      <c r="CN82" s="58">
        <f t="shared" si="424"/>
        <v>0</v>
      </c>
      <c r="CO82" s="59">
        <f t="shared" si="425"/>
        <v>0</v>
      </c>
      <c r="CP82" s="58">
        <f t="shared" si="426"/>
        <v>0</v>
      </c>
      <c r="CQ82" s="56">
        <f t="shared" si="427"/>
        <v>0</v>
      </c>
      <c r="CR82" s="58">
        <f t="shared" si="428"/>
        <v>0</v>
      </c>
      <c r="CS82" s="54">
        <f t="shared" si="429"/>
        <v>0</v>
      </c>
      <c r="CT82" s="58">
        <f t="shared" si="430"/>
        <v>0</v>
      </c>
      <c r="CU82" s="59">
        <f t="shared" si="431"/>
        <v>0</v>
      </c>
      <c r="CV82" s="58">
        <f t="shared" si="432"/>
        <v>0</v>
      </c>
      <c r="CW82" s="59">
        <f t="shared" si="433"/>
        <v>0</v>
      </c>
      <c r="CX82" s="58">
        <f t="shared" si="434"/>
        <v>0</v>
      </c>
      <c r="CY82" s="59">
        <f t="shared" si="435"/>
        <v>0</v>
      </c>
      <c r="CZ82" s="58">
        <f t="shared" si="436"/>
        <v>0</v>
      </c>
      <c r="DA82" s="54">
        <f t="shared" si="437"/>
        <v>0</v>
      </c>
      <c r="DB82" s="58">
        <f t="shared" si="438"/>
        <v>0</v>
      </c>
      <c r="DC82" s="59">
        <f t="shared" si="439"/>
        <v>0</v>
      </c>
      <c r="DD82" s="58">
        <f t="shared" si="440"/>
        <v>0</v>
      </c>
      <c r="DE82" s="59">
        <f t="shared" si="441"/>
        <v>0</v>
      </c>
      <c r="DF82" s="58">
        <f t="shared" si="442"/>
        <v>0</v>
      </c>
      <c r="DG82" s="59">
        <f t="shared" si="443"/>
        <v>0</v>
      </c>
      <c r="DH82" s="58">
        <f t="shared" si="444"/>
        <v>0</v>
      </c>
      <c r="DI82" s="59">
        <f t="shared" si="445"/>
        <v>0</v>
      </c>
      <c r="DJ82" s="58">
        <f t="shared" si="446"/>
        <v>0</v>
      </c>
      <c r="DK82" s="54">
        <f t="shared" si="447"/>
        <v>0</v>
      </c>
      <c r="DL82" s="58">
        <f t="shared" si="448"/>
        <v>0</v>
      </c>
      <c r="DM82" s="59">
        <f t="shared" si="449"/>
        <v>0</v>
      </c>
      <c r="DN82" s="58">
        <f t="shared" si="450"/>
        <v>0</v>
      </c>
      <c r="DO82" s="59">
        <f t="shared" si="451"/>
        <v>0</v>
      </c>
      <c r="DP82" s="58">
        <f t="shared" si="452"/>
        <v>0</v>
      </c>
      <c r="DQ82" s="54">
        <f t="shared" si="453"/>
        <v>0</v>
      </c>
      <c r="DR82" s="58">
        <f t="shared" si="454"/>
        <v>0</v>
      </c>
      <c r="DU82" s="54">
        <v>1</v>
      </c>
      <c r="DV82" s="54">
        <v>0.97</v>
      </c>
      <c r="DW82" s="54">
        <v>0.95</v>
      </c>
      <c r="DX82" s="54">
        <v>0.93</v>
      </c>
      <c r="DY82" s="54">
        <f t="shared" si="508"/>
        <v>0.91</v>
      </c>
      <c r="DZ82" s="54">
        <f t="shared" si="508"/>
        <v>0.89</v>
      </c>
      <c r="EA82" s="54">
        <f t="shared" si="508"/>
        <v>0.87</v>
      </c>
      <c r="EB82" s="54">
        <f t="shared" si="508"/>
        <v>0.85</v>
      </c>
      <c r="EC82" s="54">
        <f t="shared" si="508"/>
        <v>0.83</v>
      </c>
      <c r="ED82" s="54">
        <f t="shared" si="508"/>
        <v>0.80999999999999994</v>
      </c>
      <c r="EE82" s="54">
        <f t="shared" si="508"/>
        <v>0.78999999999999992</v>
      </c>
      <c r="EF82" s="54">
        <f t="shared" si="508"/>
        <v>0.76999999999999991</v>
      </c>
      <c r="EG82" s="54">
        <f t="shared" si="508"/>
        <v>0.74999999999999989</v>
      </c>
      <c r="EH82" s="54">
        <f t="shared" si="508"/>
        <v>0.72999999999999987</v>
      </c>
      <c r="EI82" s="54">
        <f t="shared" si="508"/>
        <v>0.70999999999999985</v>
      </c>
      <c r="EJ82" s="54">
        <f t="shared" si="508"/>
        <v>0.68999999999999984</v>
      </c>
      <c r="EK82" s="54">
        <f t="shared" si="508"/>
        <v>0.66999999999999982</v>
      </c>
      <c r="EL82" s="54">
        <f t="shared" si="508"/>
        <v>0.6499999999999998</v>
      </c>
      <c r="EM82" s="54">
        <f t="shared" si="508"/>
        <v>0.62999999999999978</v>
      </c>
      <c r="EN82" s="54">
        <f t="shared" si="508"/>
        <v>0.60999999999999976</v>
      </c>
      <c r="EO82" s="54">
        <f t="shared" si="508"/>
        <v>0.58999999999999975</v>
      </c>
      <c r="EP82" s="54">
        <f t="shared" si="508"/>
        <v>0.56999999999999973</v>
      </c>
      <c r="ER82" s="54">
        <f t="shared" si="142"/>
        <v>0</v>
      </c>
      <c r="ES82" s="54">
        <f t="shared" si="116"/>
        <v>0</v>
      </c>
      <c r="ET82" s="58">
        <f t="shared" si="456"/>
        <v>0</v>
      </c>
      <c r="EU82" s="54">
        <f t="shared" si="457"/>
        <v>0</v>
      </c>
      <c r="EV82" s="58">
        <f t="shared" si="458"/>
        <v>0</v>
      </c>
      <c r="EW82" s="54">
        <f t="shared" si="459"/>
        <v>0</v>
      </c>
      <c r="EX82" s="58">
        <f t="shared" si="460"/>
        <v>0</v>
      </c>
      <c r="EY82" s="54">
        <f t="shared" si="461"/>
        <v>0</v>
      </c>
      <c r="EZ82" s="58">
        <f t="shared" si="462"/>
        <v>0</v>
      </c>
      <c r="FA82" s="56">
        <f t="shared" si="463"/>
        <v>0</v>
      </c>
      <c r="FB82" s="58">
        <f t="shared" si="464"/>
        <v>0</v>
      </c>
      <c r="FC82" s="54">
        <f t="shared" si="465"/>
        <v>0</v>
      </c>
      <c r="FD82" s="58">
        <f t="shared" si="466"/>
        <v>0</v>
      </c>
      <c r="FE82" s="56">
        <f t="shared" si="467"/>
        <v>0</v>
      </c>
      <c r="FF82" s="58">
        <f t="shared" si="468"/>
        <v>0</v>
      </c>
      <c r="FG82" s="59">
        <f t="shared" si="469"/>
        <v>0</v>
      </c>
      <c r="FH82" s="58">
        <f t="shared" si="470"/>
        <v>0</v>
      </c>
      <c r="FI82" s="56">
        <f t="shared" si="471"/>
        <v>0</v>
      </c>
      <c r="FJ82" s="58">
        <f t="shared" si="472"/>
        <v>0</v>
      </c>
      <c r="FK82" s="54">
        <f t="shared" si="473"/>
        <v>0</v>
      </c>
      <c r="FL82" s="58">
        <f t="shared" si="474"/>
        <v>0</v>
      </c>
      <c r="FM82" s="59">
        <f t="shared" si="475"/>
        <v>0</v>
      </c>
      <c r="FN82" s="58">
        <f t="shared" si="476"/>
        <v>0</v>
      </c>
      <c r="FO82" s="59">
        <f t="shared" si="477"/>
        <v>0</v>
      </c>
      <c r="FP82" s="58">
        <f t="shared" si="478"/>
        <v>0</v>
      </c>
      <c r="FQ82" s="59">
        <f t="shared" si="479"/>
        <v>0</v>
      </c>
      <c r="FR82" s="58">
        <f t="shared" si="480"/>
        <v>0</v>
      </c>
      <c r="FS82" s="54">
        <f t="shared" si="481"/>
        <v>0</v>
      </c>
      <c r="FT82" s="58">
        <f t="shared" si="482"/>
        <v>0</v>
      </c>
      <c r="FU82" s="59">
        <f t="shared" si="483"/>
        <v>0</v>
      </c>
      <c r="FV82" s="58">
        <f t="shared" si="484"/>
        <v>0</v>
      </c>
      <c r="FW82" s="59">
        <f t="shared" si="485"/>
        <v>0</v>
      </c>
      <c r="FX82" s="58">
        <f t="shared" si="486"/>
        <v>0</v>
      </c>
      <c r="FY82" s="59">
        <f t="shared" si="487"/>
        <v>0</v>
      </c>
      <c r="FZ82" s="58">
        <f t="shared" si="488"/>
        <v>0</v>
      </c>
      <c r="GA82" s="59">
        <f t="shared" si="489"/>
        <v>0</v>
      </c>
      <c r="GB82" s="58">
        <f t="shared" si="490"/>
        <v>0</v>
      </c>
      <c r="GC82" s="54">
        <f t="shared" si="491"/>
        <v>0</v>
      </c>
      <c r="GD82" s="58">
        <f t="shared" si="492"/>
        <v>0</v>
      </c>
      <c r="GE82" s="59">
        <f t="shared" si="493"/>
        <v>0</v>
      </c>
      <c r="GF82" s="58">
        <f t="shared" si="494"/>
        <v>0</v>
      </c>
      <c r="GG82" s="59">
        <f t="shared" si="495"/>
        <v>0</v>
      </c>
      <c r="GH82" s="58">
        <f t="shared" si="496"/>
        <v>0</v>
      </c>
      <c r="GI82" s="54">
        <f t="shared" si="497"/>
        <v>0</v>
      </c>
      <c r="GJ82" s="58">
        <f t="shared" si="498"/>
        <v>0</v>
      </c>
      <c r="GK82" s="54"/>
      <c r="GL82" s="54"/>
      <c r="GM82" s="54">
        <v>1</v>
      </c>
      <c r="GN82" s="54">
        <v>0.97</v>
      </c>
      <c r="GO82" s="54">
        <v>0.95</v>
      </c>
      <c r="GP82" s="54">
        <v>0.93</v>
      </c>
      <c r="GQ82" s="54">
        <f t="shared" si="509"/>
        <v>0.91</v>
      </c>
      <c r="GR82" s="54">
        <f t="shared" si="509"/>
        <v>0.89</v>
      </c>
      <c r="GS82" s="54">
        <f t="shared" si="509"/>
        <v>0.87</v>
      </c>
      <c r="GT82" s="54">
        <f t="shared" si="509"/>
        <v>0.85</v>
      </c>
      <c r="GU82" s="54">
        <f t="shared" si="509"/>
        <v>0.83</v>
      </c>
      <c r="GV82" s="54">
        <f t="shared" si="509"/>
        <v>0.80999999999999994</v>
      </c>
      <c r="GW82" s="54">
        <f t="shared" si="509"/>
        <v>0.78999999999999992</v>
      </c>
      <c r="GX82" s="54">
        <f t="shared" si="509"/>
        <v>0.76999999999999991</v>
      </c>
      <c r="GY82" s="54">
        <f t="shared" si="509"/>
        <v>0.74999999999999989</v>
      </c>
      <c r="GZ82" s="54">
        <f t="shared" si="509"/>
        <v>0.72999999999999987</v>
      </c>
      <c r="HA82" s="54">
        <f t="shared" si="509"/>
        <v>0.70999999999999985</v>
      </c>
      <c r="HB82" s="54">
        <f t="shared" si="509"/>
        <v>0.68999999999999984</v>
      </c>
      <c r="HC82" s="54">
        <f t="shared" si="509"/>
        <v>0.66999999999999982</v>
      </c>
      <c r="HD82" s="54">
        <f t="shared" si="509"/>
        <v>0.6499999999999998</v>
      </c>
      <c r="HE82" s="54">
        <f t="shared" si="509"/>
        <v>0.62999999999999978</v>
      </c>
      <c r="HF82" s="54">
        <f t="shared" si="509"/>
        <v>0.60999999999999976</v>
      </c>
      <c r="HG82" s="54">
        <f t="shared" si="509"/>
        <v>0.58999999999999975</v>
      </c>
      <c r="HH82" s="54">
        <f t="shared" si="509"/>
        <v>0.56999999999999973</v>
      </c>
    </row>
    <row r="83" spans="1:216" x14ac:dyDescent="0.3">
      <c r="A83" s="2">
        <v>21</v>
      </c>
      <c r="C83" s="38" t="s">
        <v>35</v>
      </c>
      <c r="D83" s="42">
        <v>18680</v>
      </c>
      <c r="E83" s="72">
        <f t="shared" si="503"/>
        <v>61750</v>
      </c>
      <c r="H83" s="54">
        <f t="shared" si="61"/>
        <v>67925</v>
      </c>
      <c r="I83" s="54">
        <f t="shared" si="62"/>
        <v>67925</v>
      </c>
      <c r="J83" s="58">
        <f t="shared" si="63"/>
        <v>224546.465</v>
      </c>
      <c r="K83" s="54">
        <f t="shared" si="369"/>
        <v>65887.25</v>
      </c>
      <c r="L83" s="58">
        <f t="shared" si="370"/>
        <v>217810.07105</v>
      </c>
      <c r="M83" s="54">
        <f t="shared" si="371"/>
        <v>64528.75</v>
      </c>
      <c r="N83" s="58">
        <f t="shared" si="372"/>
        <v>213319.14175000001</v>
      </c>
      <c r="O83" s="54">
        <f t="shared" si="373"/>
        <v>63170.25</v>
      </c>
      <c r="P83" s="58">
        <f t="shared" si="374"/>
        <v>208828.21244999999</v>
      </c>
      <c r="Q83" s="56">
        <f t="shared" si="375"/>
        <v>61811.75</v>
      </c>
      <c r="R83" s="58">
        <f t="shared" si="376"/>
        <v>204337.28315</v>
      </c>
      <c r="S83" s="54">
        <f t="shared" si="377"/>
        <v>60453.25</v>
      </c>
      <c r="T83" s="58">
        <f t="shared" si="378"/>
        <v>199846.35385000001</v>
      </c>
      <c r="U83" s="56">
        <f t="shared" si="379"/>
        <v>59094.75</v>
      </c>
      <c r="V83" s="58">
        <f t="shared" si="380"/>
        <v>195355.42455</v>
      </c>
      <c r="W83" s="59">
        <f t="shared" si="381"/>
        <v>57736.25</v>
      </c>
      <c r="X83" s="58">
        <f t="shared" si="382"/>
        <v>190864.49525000001</v>
      </c>
      <c r="Y83" s="56">
        <f t="shared" si="383"/>
        <v>56377.75</v>
      </c>
      <c r="Z83" s="58">
        <f t="shared" si="384"/>
        <v>186373.56595000002</v>
      </c>
      <c r="AA83" s="54">
        <f t="shared" si="385"/>
        <v>55019.249999999993</v>
      </c>
      <c r="AB83" s="58">
        <f t="shared" si="386"/>
        <v>181882.63664999997</v>
      </c>
      <c r="AC83" s="59">
        <f t="shared" si="387"/>
        <v>53660.749999999993</v>
      </c>
      <c r="AD83" s="58">
        <f t="shared" si="388"/>
        <v>177391.70734999998</v>
      </c>
      <c r="AE83" s="59">
        <f t="shared" si="389"/>
        <v>52302.249999999993</v>
      </c>
      <c r="AF83" s="58">
        <f t="shared" si="390"/>
        <v>172900.77804999999</v>
      </c>
      <c r="AG83" s="59">
        <f t="shared" si="391"/>
        <v>50943.749999999993</v>
      </c>
      <c r="AH83" s="58">
        <f t="shared" si="392"/>
        <v>168409.84874999998</v>
      </c>
      <c r="AI83" s="54">
        <f t="shared" si="393"/>
        <v>49585.249999999993</v>
      </c>
      <c r="AJ83" s="58">
        <f t="shared" si="394"/>
        <v>163918.91944999999</v>
      </c>
      <c r="AK83" s="59">
        <f t="shared" si="395"/>
        <v>48226.749999999993</v>
      </c>
      <c r="AL83" s="58">
        <f t="shared" si="396"/>
        <v>159427.99014999997</v>
      </c>
      <c r="AM83" s="59">
        <f t="shared" si="397"/>
        <v>46868.249999999985</v>
      </c>
      <c r="AN83" s="58">
        <f t="shared" si="398"/>
        <v>154937.06084999995</v>
      </c>
      <c r="AO83" s="59">
        <f t="shared" si="399"/>
        <v>45509.749999999985</v>
      </c>
      <c r="AP83" s="58">
        <f t="shared" si="400"/>
        <v>150446.13154999996</v>
      </c>
      <c r="AQ83" s="59">
        <f t="shared" si="401"/>
        <v>44151.249999999985</v>
      </c>
      <c r="AR83" s="58">
        <f t="shared" si="402"/>
        <v>145955.20224999994</v>
      </c>
      <c r="AS83" s="54">
        <f t="shared" si="403"/>
        <v>42792.749999999985</v>
      </c>
      <c r="AT83" s="58">
        <f t="shared" si="404"/>
        <v>141464.27294999996</v>
      </c>
      <c r="AU83" s="59">
        <f t="shared" si="405"/>
        <v>41434.249999999985</v>
      </c>
      <c r="AV83" s="58">
        <f t="shared" si="406"/>
        <v>136973.34364999997</v>
      </c>
      <c r="AW83" s="59">
        <f t="shared" si="407"/>
        <v>40075.749999999985</v>
      </c>
      <c r="AX83" s="58">
        <f t="shared" si="408"/>
        <v>132482.41434999995</v>
      </c>
      <c r="AY83" s="54">
        <f t="shared" si="409"/>
        <v>38717.249999999978</v>
      </c>
      <c r="AZ83" s="58">
        <f t="shared" si="410"/>
        <v>127991.48504999993</v>
      </c>
      <c r="BC83" s="54">
        <v>1</v>
      </c>
      <c r="BD83" s="54">
        <v>0.97</v>
      </c>
      <c r="BE83" s="54">
        <v>0.95</v>
      </c>
      <c r="BF83" s="54">
        <v>0.93</v>
      </c>
      <c r="BG83" s="54">
        <f t="shared" si="505"/>
        <v>0.91</v>
      </c>
      <c r="BH83" s="54">
        <f t="shared" si="505"/>
        <v>0.89</v>
      </c>
      <c r="BI83" s="54">
        <f t="shared" si="505"/>
        <v>0.87</v>
      </c>
      <c r="BJ83" s="54">
        <f t="shared" si="505"/>
        <v>0.85</v>
      </c>
      <c r="BK83" s="54">
        <f t="shared" si="505"/>
        <v>0.83</v>
      </c>
      <c r="BL83" s="54">
        <f t="shared" si="505"/>
        <v>0.80999999999999994</v>
      </c>
      <c r="BM83" s="54">
        <f t="shared" si="505"/>
        <v>0.78999999999999992</v>
      </c>
      <c r="BN83" s="54">
        <f t="shared" si="505"/>
        <v>0.76999999999999991</v>
      </c>
      <c r="BO83" s="54">
        <f t="shared" si="505"/>
        <v>0.74999999999999989</v>
      </c>
      <c r="BP83" s="54">
        <f t="shared" si="505"/>
        <v>0.72999999999999987</v>
      </c>
      <c r="BQ83" s="54">
        <f t="shared" si="505"/>
        <v>0.70999999999999985</v>
      </c>
      <c r="BR83" s="54">
        <f t="shared" si="505"/>
        <v>0.68999999999999984</v>
      </c>
      <c r="BS83" s="54">
        <f t="shared" si="505"/>
        <v>0.66999999999999982</v>
      </c>
      <c r="BT83" s="54">
        <f t="shared" si="505"/>
        <v>0.6499999999999998</v>
      </c>
      <c r="BU83" s="54">
        <f t="shared" si="505"/>
        <v>0.62999999999999978</v>
      </c>
      <c r="BV83" s="54">
        <f t="shared" si="505"/>
        <v>0.60999999999999976</v>
      </c>
      <c r="BW83" s="54">
        <f t="shared" si="505"/>
        <v>0.58999999999999975</v>
      </c>
      <c r="BX83" s="54">
        <f t="shared" si="505"/>
        <v>0.56999999999999973</v>
      </c>
      <c r="BZ83" s="54">
        <f t="shared" si="88"/>
        <v>61811.75</v>
      </c>
      <c r="CA83" s="54">
        <f t="shared" si="89"/>
        <v>61811.75</v>
      </c>
      <c r="CB83" s="58">
        <f t="shared" si="412"/>
        <v>204337.28315</v>
      </c>
      <c r="CC83" s="54">
        <f t="shared" si="413"/>
        <v>59957.397499999999</v>
      </c>
      <c r="CD83" s="58">
        <f t="shared" si="414"/>
        <v>198207.1646555</v>
      </c>
      <c r="CE83" s="54">
        <f t="shared" si="415"/>
        <v>58721.162499999999</v>
      </c>
      <c r="CF83" s="58">
        <f t="shared" si="416"/>
        <v>194120.4189925</v>
      </c>
      <c r="CG83" s="54">
        <f t="shared" si="417"/>
        <v>57484.927500000005</v>
      </c>
      <c r="CH83" s="58">
        <f t="shared" si="418"/>
        <v>190033.67332950002</v>
      </c>
      <c r="CI83" s="56">
        <f t="shared" si="419"/>
        <v>56248.692500000005</v>
      </c>
      <c r="CJ83" s="58">
        <f t="shared" si="420"/>
        <v>185946.92766650001</v>
      </c>
      <c r="CK83" s="54">
        <f t="shared" si="421"/>
        <v>55012.457500000004</v>
      </c>
      <c r="CL83" s="58">
        <f t="shared" si="422"/>
        <v>181860.18200350003</v>
      </c>
      <c r="CM83" s="56">
        <f t="shared" si="423"/>
        <v>53776.222499999996</v>
      </c>
      <c r="CN83" s="58">
        <f t="shared" si="424"/>
        <v>177773.43634049999</v>
      </c>
      <c r="CO83" s="59">
        <f t="shared" si="425"/>
        <v>52539.987499999996</v>
      </c>
      <c r="CP83" s="58">
        <f t="shared" si="426"/>
        <v>173686.69067749998</v>
      </c>
      <c r="CQ83" s="56">
        <f t="shared" si="427"/>
        <v>51303.752499999995</v>
      </c>
      <c r="CR83" s="58">
        <f t="shared" si="428"/>
        <v>169599.9450145</v>
      </c>
      <c r="CS83" s="54">
        <f t="shared" si="429"/>
        <v>50067.517499999994</v>
      </c>
      <c r="CT83" s="58">
        <f t="shared" si="430"/>
        <v>165513.19935149999</v>
      </c>
      <c r="CU83" s="59">
        <f t="shared" si="431"/>
        <v>48831.282499999994</v>
      </c>
      <c r="CV83" s="58">
        <f t="shared" si="432"/>
        <v>161426.45368849998</v>
      </c>
      <c r="CW83" s="59">
        <f t="shared" si="433"/>
        <v>47595.047499999993</v>
      </c>
      <c r="CX83" s="58">
        <f t="shared" si="434"/>
        <v>157339.70802549997</v>
      </c>
      <c r="CY83" s="59">
        <f t="shared" si="435"/>
        <v>46358.812499999993</v>
      </c>
      <c r="CZ83" s="58">
        <f t="shared" si="436"/>
        <v>153252.96236249997</v>
      </c>
      <c r="DA83" s="54">
        <f t="shared" si="437"/>
        <v>45122.577499999992</v>
      </c>
      <c r="DB83" s="58">
        <f t="shared" si="438"/>
        <v>149166.21669949999</v>
      </c>
      <c r="DC83" s="59">
        <f t="shared" si="439"/>
        <v>43886.342499999992</v>
      </c>
      <c r="DD83" s="58">
        <f t="shared" si="440"/>
        <v>145079.47103649998</v>
      </c>
      <c r="DE83" s="59">
        <f t="shared" si="441"/>
        <v>42650.107499999991</v>
      </c>
      <c r="DF83" s="58">
        <f t="shared" si="442"/>
        <v>140992.72537349997</v>
      </c>
      <c r="DG83" s="59">
        <f t="shared" si="443"/>
        <v>41413.87249999999</v>
      </c>
      <c r="DH83" s="58">
        <f t="shared" si="444"/>
        <v>136905.97971049996</v>
      </c>
      <c r="DI83" s="59">
        <f t="shared" si="445"/>
        <v>40177.63749999999</v>
      </c>
      <c r="DJ83" s="58">
        <f t="shared" si="446"/>
        <v>132819.23404749998</v>
      </c>
      <c r="DK83" s="54">
        <f t="shared" si="447"/>
        <v>38941.402499999989</v>
      </c>
      <c r="DL83" s="58">
        <f t="shared" si="448"/>
        <v>128732.48838449997</v>
      </c>
      <c r="DM83" s="59">
        <f t="shared" si="449"/>
        <v>37705.167499999989</v>
      </c>
      <c r="DN83" s="58">
        <f t="shared" si="450"/>
        <v>124645.74272149996</v>
      </c>
      <c r="DO83" s="59">
        <f t="shared" si="451"/>
        <v>36468.932499999981</v>
      </c>
      <c r="DP83" s="58">
        <f t="shared" si="452"/>
        <v>120558.99705849994</v>
      </c>
      <c r="DQ83" s="54">
        <f t="shared" si="453"/>
        <v>35232.69749999998</v>
      </c>
      <c r="DR83" s="58">
        <f t="shared" si="454"/>
        <v>116472.25139549993</v>
      </c>
      <c r="DU83" s="54">
        <v>1</v>
      </c>
      <c r="DV83" s="54">
        <v>0.97</v>
      </c>
      <c r="DW83" s="54">
        <v>0.95</v>
      </c>
      <c r="DX83" s="54">
        <v>0.93</v>
      </c>
      <c r="DY83" s="54">
        <f t="shared" si="508"/>
        <v>0.91</v>
      </c>
      <c r="DZ83" s="54">
        <f t="shared" si="508"/>
        <v>0.89</v>
      </c>
      <c r="EA83" s="54">
        <f t="shared" si="508"/>
        <v>0.87</v>
      </c>
      <c r="EB83" s="54">
        <f t="shared" si="508"/>
        <v>0.85</v>
      </c>
      <c r="EC83" s="54">
        <f t="shared" si="508"/>
        <v>0.83</v>
      </c>
      <c r="ED83" s="54">
        <f t="shared" si="508"/>
        <v>0.80999999999999994</v>
      </c>
      <c r="EE83" s="54">
        <f t="shared" si="508"/>
        <v>0.78999999999999992</v>
      </c>
      <c r="EF83" s="54">
        <f t="shared" si="508"/>
        <v>0.76999999999999991</v>
      </c>
      <c r="EG83" s="54">
        <f t="shared" si="508"/>
        <v>0.74999999999999989</v>
      </c>
      <c r="EH83" s="54">
        <f t="shared" si="508"/>
        <v>0.72999999999999987</v>
      </c>
      <c r="EI83" s="54">
        <f t="shared" si="508"/>
        <v>0.70999999999999985</v>
      </c>
      <c r="EJ83" s="54">
        <f t="shared" si="508"/>
        <v>0.68999999999999984</v>
      </c>
      <c r="EK83" s="54">
        <f t="shared" si="508"/>
        <v>0.66999999999999982</v>
      </c>
      <c r="EL83" s="54">
        <f t="shared" si="508"/>
        <v>0.6499999999999998</v>
      </c>
      <c r="EM83" s="54">
        <f t="shared" si="508"/>
        <v>0.62999999999999978</v>
      </c>
      <c r="EN83" s="54">
        <f t="shared" si="508"/>
        <v>0.60999999999999976</v>
      </c>
      <c r="EO83" s="54">
        <f t="shared" si="508"/>
        <v>0.58999999999999975</v>
      </c>
      <c r="EP83" s="54">
        <f t="shared" si="508"/>
        <v>0.56999999999999973</v>
      </c>
      <c r="ER83" s="54">
        <f t="shared" si="142"/>
        <v>56248.692500000005</v>
      </c>
      <c r="ES83" s="54">
        <f t="shared" si="116"/>
        <v>56248.692500000005</v>
      </c>
      <c r="ET83" s="58">
        <f t="shared" si="456"/>
        <v>185946.92766650001</v>
      </c>
      <c r="EU83" s="54">
        <f t="shared" si="457"/>
        <v>54561.231725000005</v>
      </c>
      <c r="EV83" s="58">
        <f t="shared" si="458"/>
        <v>180368.51983650503</v>
      </c>
      <c r="EW83" s="54">
        <f t="shared" si="459"/>
        <v>53436.257875000003</v>
      </c>
      <c r="EX83" s="58">
        <f t="shared" si="460"/>
        <v>176649.58128317501</v>
      </c>
      <c r="EY83" s="54">
        <f t="shared" si="461"/>
        <v>52311.284025000008</v>
      </c>
      <c r="EZ83" s="58">
        <f t="shared" si="462"/>
        <v>172930.64272984504</v>
      </c>
      <c r="FA83" s="56">
        <f t="shared" si="463"/>
        <v>51186.310175000006</v>
      </c>
      <c r="FB83" s="58">
        <f t="shared" si="464"/>
        <v>169211.70417651502</v>
      </c>
      <c r="FC83" s="54">
        <f t="shared" si="465"/>
        <v>50061.336325000004</v>
      </c>
      <c r="FD83" s="58">
        <f t="shared" si="466"/>
        <v>165492.76562318503</v>
      </c>
      <c r="FE83" s="56">
        <f t="shared" si="467"/>
        <v>48936.362475000002</v>
      </c>
      <c r="FF83" s="58">
        <f t="shared" si="468"/>
        <v>161773.827069855</v>
      </c>
      <c r="FG83" s="59">
        <f t="shared" si="469"/>
        <v>47811.388625</v>
      </c>
      <c r="FH83" s="58">
        <f t="shared" si="470"/>
        <v>158054.88851652501</v>
      </c>
      <c r="FI83" s="56">
        <f t="shared" si="471"/>
        <v>46686.414775000005</v>
      </c>
      <c r="FJ83" s="58">
        <f t="shared" si="472"/>
        <v>154335.94996319502</v>
      </c>
      <c r="FK83" s="54">
        <f t="shared" si="473"/>
        <v>45561.440925000003</v>
      </c>
      <c r="FL83" s="58">
        <f t="shared" si="474"/>
        <v>150617.01140986502</v>
      </c>
      <c r="FM83" s="59">
        <f t="shared" si="475"/>
        <v>44436.467075</v>
      </c>
      <c r="FN83" s="58">
        <f t="shared" si="476"/>
        <v>146898.072856535</v>
      </c>
      <c r="FO83" s="59">
        <f t="shared" si="477"/>
        <v>43311.493224999998</v>
      </c>
      <c r="FP83" s="58">
        <f t="shared" si="478"/>
        <v>143179.13430320501</v>
      </c>
      <c r="FQ83" s="59">
        <f t="shared" si="479"/>
        <v>42186.519374999996</v>
      </c>
      <c r="FR83" s="58">
        <f t="shared" si="480"/>
        <v>139460.19574987498</v>
      </c>
      <c r="FS83" s="54">
        <f t="shared" si="481"/>
        <v>41061.545524999994</v>
      </c>
      <c r="FT83" s="58">
        <f t="shared" si="482"/>
        <v>135741.25719654499</v>
      </c>
      <c r="FU83" s="59">
        <f t="shared" si="483"/>
        <v>39936.571674999992</v>
      </c>
      <c r="FV83" s="58">
        <f t="shared" si="484"/>
        <v>132022.31864321497</v>
      </c>
      <c r="FW83" s="59">
        <f t="shared" si="485"/>
        <v>38811.597824999997</v>
      </c>
      <c r="FX83" s="58">
        <f t="shared" si="486"/>
        <v>128303.38008988499</v>
      </c>
      <c r="FY83" s="59">
        <f t="shared" si="487"/>
        <v>37686.623974999995</v>
      </c>
      <c r="FZ83" s="58">
        <f t="shared" si="488"/>
        <v>124584.44153655498</v>
      </c>
      <c r="GA83" s="59">
        <f t="shared" si="489"/>
        <v>36561.650124999993</v>
      </c>
      <c r="GB83" s="58">
        <f t="shared" si="490"/>
        <v>120865.50298322499</v>
      </c>
      <c r="GC83" s="54">
        <f t="shared" si="491"/>
        <v>35436.676274999991</v>
      </c>
      <c r="GD83" s="58">
        <f t="shared" si="492"/>
        <v>117146.56442989498</v>
      </c>
      <c r="GE83" s="59">
        <f t="shared" si="493"/>
        <v>34311.702424999989</v>
      </c>
      <c r="GF83" s="58">
        <f t="shared" si="494"/>
        <v>113427.62587656497</v>
      </c>
      <c r="GG83" s="59">
        <f t="shared" si="495"/>
        <v>33186.728574999986</v>
      </c>
      <c r="GH83" s="58">
        <f t="shared" si="496"/>
        <v>109708.68732323496</v>
      </c>
      <c r="GI83" s="54">
        <f t="shared" si="497"/>
        <v>32061.754724999988</v>
      </c>
      <c r="GJ83" s="58">
        <f t="shared" si="498"/>
        <v>105989.74876990497</v>
      </c>
      <c r="GK83" s="54"/>
      <c r="GL83" s="54"/>
      <c r="GM83" s="54">
        <v>1</v>
      </c>
      <c r="GN83" s="54">
        <v>0.97</v>
      </c>
      <c r="GO83" s="54">
        <v>0.95</v>
      </c>
      <c r="GP83" s="54">
        <v>0.93</v>
      </c>
      <c r="GQ83" s="54">
        <f t="shared" si="509"/>
        <v>0.91</v>
      </c>
      <c r="GR83" s="54">
        <f t="shared" si="509"/>
        <v>0.89</v>
      </c>
      <c r="GS83" s="54">
        <f t="shared" si="509"/>
        <v>0.87</v>
      </c>
      <c r="GT83" s="54">
        <f t="shared" si="509"/>
        <v>0.85</v>
      </c>
      <c r="GU83" s="54">
        <f t="shared" si="509"/>
        <v>0.83</v>
      </c>
      <c r="GV83" s="54">
        <f t="shared" si="509"/>
        <v>0.80999999999999994</v>
      </c>
      <c r="GW83" s="54">
        <f t="shared" si="509"/>
        <v>0.78999999999999992</v>
      </c>
      <c r="GX83" s="54">
        <f t="shared" si="509"/>
        <v>0.76999999999999991</v>
      </c>
      <c r="GY83" s="54">
        <f t="shared" si="509"/>
        <v>0.74999999999999989</v>
      </c>
      <c r="GZ83" s="54">
        <f t="shared" si="509"/>
        <v>0.72999999999999987</v>
      </c>
      <c r="HA83" s="54">
        <f t="shared" si="509"/>
        <v>0.70999999999999985</v>
      </c>
      <c r="HB83" s="54">
        <f t="shared" si="509"/>
        <v>0.68999999999999984</v>
      </c>
      <c r="HC83" s="54">
        <f t="shared" si="509"/>
        <v>0.66999999999999982</v>
      </c>
      <c r="HD83" s="54">
        <f t="shared" si="509"/>
        <v>0.6499999999999998</v>
      </c>
      <c r="HE83" s="54">
        <f t="shared" si="509"/>
        <v>0.62999999999999978</v>
      </c>
      <c r="HF83" s="54">
        <f t="shared" si="509"/>
        <v>0.60999999999999976</v>
      </c>
      <c r="HG83" s="54">
        <f t="shared" si="509"/>
        <v>0.58999999999999975</v>
      </c>
      <c r="HH83" s="54">
        <f t="shared" si="509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2">
        <f>TRUNC(+D84*3.3058,-1)</f>
        <v>0</v>
      </c>
      <c r="H84" s="54">
        <f t="shared" ref="H84:H147" si="510">+E84*1.1</f>
        <v>0</v>
      </c>
      <c r="I84" s="54">
        <f t="shared" ref="I84:I147" si="511">+H84</f>
        <v>0</v>
      </c>
      <c r="J84" s="58">
        <f t="shared" ref="J84:J147" si="512">+I84*3.3058</f>
        <v>0</v>
      </c>
      <c r="K84" s="54">
        <f t="shared" si="369"/>
        <v>0</v>
      </c>
      <c r="L84" s="58">
        <f t="shared" si="370"/>
        <v>0</v>
      </c>
      <c r="M84" s="54">
        <f t="shared" si="371"/>
        <v>0</v>
      </c>
      <c r="N84" s="58">
        <f t="shared" si="372"/>
        <v>0</v>
      </c>
      <c r="O84" s="54">
        <f t="shared" si="373"/>
        <v>0</v>
      </c>
      <c r="P84" s="58">
        <f t="shared" si="374"/>
        <v>0</v>
      </c>
      <c r="Q84" s="56">
        <f t="shared" si="375"/>
        <v>0</v>
      </c>
      <c r="R84" s="58">
        <f t="shared" si="376"/>
        <v>0</v>
      </c>
      <c r="S84" s="54">
        <f t="shared" si="377"/>
        <v>0</v>
      </c>
      <c r="T84" s="58">
        <f t="shared" si="378"/>
        <v>0</v>
      </c>
      <c r="U84" s="56">
        <f t="shared" si="379"/>
        <v>0</v>
      </c>
      <c r="V84" s="58">
        <f t="shared" si="380"/>
        <v>0</v>
      </c>
      <c r="W84" s="59">
        <f t="shared" si="381"/>
        <v>0</v>
      </c>
      <c r="X84" s="58">
        <f t="shared" si="382"/>
        <v>0</v>
      </c>
      <c r="Y84" s="56">
        <f t="shared" si="383"/>
        <v>0</v>
      </c>
      <c r="Z84" s="58">
        <f t="shared" si="384"/>
        <v>0</v>
      </c>
      <c r="AA84" s="54">
        <f t="shared" si="385"/>
        <v>0</v>
      </c>
      <c r="AB84" s="58">
        <f t="shared" si="386"/>
        <v>0</v>
      </c>
      <c r="AC84" s="59">
        <f t="shared" si="387"/>
        <v>0</v>
      </c>
      <c r="AD84" s="58">
        <f t="shared" si="388"/>
        <v>0</v>
      </c>
      <c r="AE84" s="59">
        <f t="shared" si="389"/>
        <v>0</v>
      </c>
      <c r="AF84" s="58">
        <f t="shared" si="390"/>
        <v>0</v>
      </c>
      <c r="AG84" s="59">
        <f t="shared" si="391"/>
        <v>0</v>
      </c>
      <c r="AH84" s="58">
        <f t="shared" si="392"/>
        <v>0</v>
      </c>
      <c r="AI84" s="54">
        <f t="shared" si="393"/>
        <v>0</v>
      </c>
      <c r="AJ84" s="58">
        <f t="shared" si="394"/>
        <v>0</v>
      </c>
      <c r="AK84" s="59">
        <f t="shared" si="395"/>
        <v>0</v>
      </c>
      <c r="AL84" s="58">
        <f t="shared" si="396"/>
        <v>0</v>
      </c>
      <c r="AM84" s="59">
        <f t="shared" si="397"/>
        <v>0</v>
      </c>
      <c r="AN84" s="58">
        <f t="shared" si="398"/>
        <v>0</v>
      </c>
      <c r="AO84" s="59">
        <f t="shared" si="399"/>
        <v>0</v>
      </c>
      <c r="AP84" s="58">
        <f t="shared" si="400"/>
        <v>0</v>
      </c>
      <c r="AQ84" s="59">
        <f t="shared" si="401"/>
        <v>0</v>
      </c>
      <c r="AR84" s="58">
        <f t="shared" si="402"/>
        <v>0</v>
      </c>
      <c r="AS84" s="54">
        <f t="shared" si="403"/>
        <v>0</v>
      </c>
      <c r="AT84" s="58">
        <f t="shared" si="404"/>
        <v>0</v>
      </c>
      <c r="AU84" s="59">
        <f t="shared" si="405"/>
        <v>0</v>
      </c>
      <c r="AV84" s="58">
        <f t="shared" si="406"/>
        <v>0</v>
      </c>
      <c r="AW84" s="59">
        <f t="shared" si="407"/>
        <v>0</v>
      </c>
      <c r="AX84" s="58">
        <f t="shared" si="408"/>
        <v>0</v>
      </c>
      <c r="AY84" s="54">
        <f t="shared" si="409"/>
        <v>0</v>
      </c>
      <c r="AZ84" s="58">
        <f t="shared" si="410"/>
        <v>0</v>
      </c>
      <c r="BC84" s="54">
        <v>1</v>
      </c>
      <c r="BD84" s="54">
        <v>0.97</v>
      </c>
      <c r="BE84" s="54">
        <v>0.95</v>
      </c>
      <c r="BF84" s="54">
        <v>0.93</v>
      </c>
      <c r="BG84" s="54">
        <f t="shared" si="505"/>
        <v>0.91</v>
      </c>
      <c r="BH84" s="54">
        <f t="shared" si="505"/>
        <v>0.89</v>
      </c>
      <c r="BI84" s="54">
        <f t="shared" si="505"/>
        <v>0.87</v>
      </c>
      <c r="BJ84" s="54">
        <f t="shared" si="505"/>
        <v>0.85</v>
      </c>
      <c r="BK84" s="54">
        <f t="shared" si="505"/>
        <v>0.83</v>
      </c>
      <c r="BL84" s="54">
        <f t="shared" si="505"/>
        <v>0.80999999999999994</v>
      </c>
      <c r="BM84" s="54">
        <f t="shared" si="505"/>
        <v>0.78999999999999992</v>
      </c>
      <c r="BN84" s="54">
        <f t="shared" si="505"/>
        <v>0.76999999999999991</v>
      </c>
      <c r="BO84" s="54">
        <f t="shared" si="505"/>
        <v>0.74999999999999989</v>
      </c>
      <c r="BP84" s="54">
        <f t="shared" si="505"/>
        <v>0.72999999999999987</v>
      </c>
      <c r="BQ84" s="54">
        <f t="shared" si="505"/>
        <v>0.70999999999999985</v>
      </c>
      <c r="BR84" s="54">
        <f t="shared" si="505"/>
        <v>0.68999999999999984</v>
      </c>
      <c r="BS84" s="54">
        <f t="shared" si="505"/>
        <v>0.66999999999999982</v>
      </c>
      <c r="BT84" s="54">
        <f t="shared" si="505"/>
        <v>0.6499999999999998</v>
      </c>
      <c r="BU84" s="54">
        <f t="shared" si="505"/>
        <v>0.62999999999999978</v>
      </c>
      <c r="BV84" s="54">
        <f t="shared" si="505"/>
        <v>0.60999999999999976</v>
      </c>
      <c r="BW84" s="54">
        <f t="shared" si="505"/>
        <v>0.58999999999999975</v>
      </c>
      <c r="BX84" s="54">
        <f t="shared" si="505"/>
        <v>0.56999999999999973</v>
      </c>
      <c r="BZ84" s="54">
        <f t="shared" ref="BZ84:BZ147" si="513">+H84*0.91</f>
        <v>0</v>
      </c>
      <c r="CA84" s="54">
        <f t="shared" ref="CA84:CA147" si="514">+BZ84</f>
        <v>0</v>
      </c>
      <c r="CB84" s="58">
        <f t="shared" si="412"/>
        <v>0</v>
      </c>
      <c r="CC84" s="54">
        <f t="shared" si="413"/>
        <v>0</v>
      </c>
      <c r="CD84" s="58">
        <f t="shared" si="414"/>
        <v>0</v>
      </c>
      <c r="CE84" s="54">
        <f t="shared" si="415"/>
        <v>0</v>
      </c>
      <c r="CF84" s="58">
        <f t="shared" si="416"/>
        <v>0</v>
      </c>
      <c r="CG84" s="54">
        <f t="shared" si="417"/>
        <v>0</v>
      </c>
      <c r="CH84" s="58">
        <f t="shared" si="418"/>
        <v>0</v>
      </c>
      <c r="CI84" s="56">
        <f t="shared" si="419"/>
        <v>0</v>
      </c>
      <c r="CJ84" s="58">
        <f t="shared" si="420"/>
        <v>0</v>
      </c>
      <c r="CK84" s="54">
        <f t="shared" si="421"/>
        <v>0</v>
      </c>
      <c r="CL84" s="58">
        <f t="shared" si="422"/>
        <v>0</v>
      </c>
      <c r="CM84" s="56">
        <f t="shared" si="423"/>
        <v>0</v>
      </c>
      <c r="CN84" s="58">
        <f t="shared" si="424"/>
        <v>0</v>
      </c>
      <c r="CO84" s="59">
        <f t="shared" si="425"/>
        <v>0</v>
      </c>
      <c r="CP84" s="58">
        <f t="shared" si="426"/>
        <v>0</v>
      </c>
      <c r="CQ84" s="56">
        <f t="shared" si="427"/>
        <v>0</v>
      </c>
      <c r="CR84" s="58">
        <f t="shared" si="428"/>
        <v>0</v>
      </c>
      <c r="CS84" s="54">
        <f t="shared" si="429"/>
        <v>0</v>
      </c>
      <c r="CT84" s="58">
        <f t="shared" si="430"/>
        <v>0</v>
      </c>
      <c r="CU84" s="59">
        <f t="shared" si="431"/>
        <v>0</v>
      </c>
      <c r="CV84" s="58">
        <f t="shared" si="432"/>
        <v>0</v>
      </c>
      <c r="CW84" s="59">
        <f t="shared" si="433"/>
        <v>0</v>
      </c>
      <c r="CX84" s="58">
        <f t="shared" si="434"/>
        <v>0</v>
      </c>
      <c r="CY84" s="59">
        <f t="shared" si="435"/>
        <v>0</v>
      </c>
      <c r="CZ84" s="58">
        <f t="shared" si="436"/>
        <v>0</v>
      </c>
      <c r="DA84" s="54">
        <f t="shared" si="437"/>
        <v>0</v>
      </c>
      <c r="DB84" s="58">
        <f t="shared" si="438"/>
        <v>0</v>
      </c>
      <c r="DC84" s="59">
        <f t="shared" si="439"/>
        <v>0</v>
      </c>
      <c r="DD84" s="58">
        <f t="shared" si="440"/>
        <v>0</v>
      </c>
      <c r="DE84" s="59">
        <f t="shared" si="441"/>
        <v>0</v>
      </c>
      <c r="DF84" s="58">
        <f t="shared" si="442"/>
        <v>0</v>
      </c>
      <c r="DG84" s="59">
        <f t="shared" si="443"/>
        <v>0</v>
      </c>
      <c r="DH84" s="58">
        <f t="shared" si="444"/>
        <v>0</v>
      </c>
      <c r="DI84" s="59">
        <f t="shared" si="445"/>
        <v>0</v>
      </c>
      <c r="DJ84" s="58">
        <f t="shared" si="446"/>
        <v>0</v>
      </c>
      <c r="DK84" s="54">
        <f t="shared" si="447"/>
        <v>0</v>
      </c>
      <c r="DL84" s="58">
        <f t="shared" si="448"/>
        <v>0</v>
      </c>
      <c r="DM84" s="59">
        <f t="shared" si="449"/>
        <v>0</v>
      </c>
      <c r="DN84" s="58">
        <f t="shared" si="450"/>
        <v>0</v>
      </c>
      <c r="DO84" s="59">
        <f t="shared" si="451"/>
        <v>0</v>
      </c>
      <c r="DP84" s="58">
        <f t="shared" si="452"/>
        <v>0</v>
      </c>
      <c r="DQ84" s="54">
        <f t="shared" si="453"/>
        <v>0</v>
      </c>
      <c r="DR84" s="58">
        <f t="shared" si="454"/>
        <v>0</v>
      </c>
      <c r="DU84" s="54">
        <v>1</v>
      </c>
      <c r="DV84" s="54">
        <v>0.97</v>
      </c>
      <c r="DW84" s="54">
        <v>0.95</v>
      </c>
      <c r="DX84" s="54">
        <v>0.93</v>
      </c>
      <c r="DY84" s="54">
        <f t="shared" si="508"/>
        <v>0.91</v>
      </c>
      <c r="DZ84" s="54">
        <f t="shared" si="508"/>
        <v>0.89</v>
      </c>
      <c r="EA84" s="54">
        <f t="shared" si="508"/>
        <v>0.87</v>
      </c>
      <c r="EB84" s="54">
        <f t="shared" si="508"/>
        <v>0.85</v>
      </c>
      <c r="EC84" s="54">
        <f t="shared" si="508"/>
        <v>0.83</v>
      </c>
      <c r="ED84" s="54">
        <f t="shared" si="508"/>
        <v>0.80999999999999994</v>
      </c>
      <c r="EE84" s="54">
        <f t="shared" si="508"/>
        <v>0.78999999999999992</v>
      </c>
      <c r="EF84" s="54">
        <f t="shared" si="508"/>
        <v>0.76999999999999991</v>
      </c>
      <c r="EG84" s="54">
        <f t="shared" si="508"/>
        <v>0.74999999999999989</v>
      </c>
      <c r="EH84" s="54">
        <f t="shared" si="508"/>
        <v>0.72999999999999987</v>
      </c>
      <c r="EI84" s="54">
        <f t="shared" si="508"/>
        <v>0.70999999999999985</v>
      </c>
      <c r="EJ84" s="54">
        <f t="shared" si="508"/>
        <v>0.68999999999999984</v>
      </c>
      <c r="EK84" s="54">
        <f t="shared" si="508"/>
        <v>0.66999999999999982</v>
      </c>
      <c r="EL84" s="54">
        <f t="shared" si="508"/>
        <v>0.6499999999999998</v>
      </c>
      <c r="EM84" s="54">
        <f t="shared" si="508"/>
        <v>0.62999999999999978</v>
      </c>
      <c r="EN84" s="54">
        <f t="shared" si="508"/>
        <v>0.60999999999999976</v>
      </c>
      <c r="EO84" s="54">
        <f t="shared" si="508"/>
        <v>0.58999999999999975</v>
      </c>
      <c r="EP84" s="54">
        <f t="shared" si="508"/>
        <v>0.56999999999999973</v>
      </c>
      <c r="ER84" s="54">
        <f t="shared" si="142"/>
        <v>0</v>
      </c>
      <c r="ES84" s="54">
        <f t="shared" ref="ES84:ES147" si="515">+ER84</f>
        <v>0</v>
      </c>
      <c r="ET84" s="58">
        <f t="shared" si="456"/>
        <v>0</v>
      </c>
      <c r="EU84" s="54">
        <f t="shared" si="457"/>
        <v>0</v>
      </c>
      <c r="EV84" s="58">
        <f t="shared" si="458"/>
        <v>0</v>
      </c>
      <c r="EW84" s="54">
        <f t="shared" si="459"/>
        <v>0</v>
      </c>
      <c r="EX84" s="58">
        <f t="shared" si="460"/>
        <v>0</v>
      </c>
      <c r="EY84" s="54">
        <f t="shared" si="461"/>
        <v>0</v>
      </c>
      <c r="EZ84" s="58">
        <f t="shared" si="462"/>
        <v>0</v>
      </c>
      <c r="FA84" s="56">
        <f t="shared" si="463"/>
        <v>0</v>
      </c>
      <c r="FB84" s="58">
        <f t="shared" si="464"/>
        <v>0</v>
      </c>
      <c r="FC84" s="54">
        <f t="shared" si="465"/>
        <v>0</v>
      </c>
      <c r="FD84" s="58">
        <f t="shared" si="466"/>
        <v>0</v>
      </c>
      <c r="FE84" s="56">
        <f t="shared" si="467"/>
        <v>0</v>
      </c>
      <c r="FF84" s="58">
        <f t="shared" si="468"/>
        <v>0</v>
      </c>
      <c r="FG84" s="59">
        <f t="shared" si="469"/>
        <v>0</v>
      </c>
      <c r="FH84" s="58">
        <f t="shared" si="470"/>
        <v>0</v>
      </c>
      <c r="FI84" s="56">
        <f t="shared" si="471"/>
        <v>0</v>
      </c>
      <c r="FJ84" s="58">
        <f t="shared" si="472"/>
        <v>0</v>
      </c>
      <c r="FK84" s="54">
        <f t="shared" si="473"/>
        <v>0</v>
      </c>
      <c r="FL84" s="58">
        <f t="shared" si="474"/>
        <v>0</v>
      </c>
      <c r="FM84" s="59">
        <f t="shared" si="475"/>
        <v>0</v>
      </c>
      <c r="FN84" s="58">
        <f t="shared" si="476"/>
        <v>0</v>
      </c>
      <c r="FO84" s="59">
        <f t="shared" si="477"/>
        <v>0</v>
      </c>
      <c r="FP84" s="58">
        <f t="shared" si="478"/>
        <v>0</v>
      </c>
      <c r="FQ84" s="59">
        <f t="shared" si="479"/>
        <v>0</v>
      </c>
      <c r="FR84" s="58">
        <f t="shared" si="480"/>
        <v>0</v>
      </c>
      <c r="FS84" s="54">
        <f t="shared" si="481"/>
        <v>0</v>
      </c>
      <c r="FT84" s="58">
        <f t="shared" si="482"/>
        <v>0</v>
      </c>
      <c r="FU84" s="59">
        <f t="shared" si="483"/>
        <v>0</v>
      </c>
      <c r="FV84" s="58">
        <f t="shared" si="484"/>
        <v>0</v>
      </c>
      <c r="FW84" s="59">
        <f t="shared" si="485"/>
        <v>0</v>
      </c>
      <c r="FX84" s="58">
        <f t="shared" si="486"/>
        <v>0</v>
      </c>
      <c r="FY84" s="59">
        <f t="shared" si="487"/>
        <v>0</v>
      </c>
      <c r="FZ84" s="58">
        <f t="shared" si="488"/>
        <v>0</v>
      </c>
      <c r="GA84" s="59">
        <f t="shared" si="489"/>
        <v>0</v>
      </c>
      <c r="GB84" s="58">
        <f t="shared" si="490"/>
        <v>0</v>
      </c>
      <c r="GC84" s="54">
        <f t="shared" si="491"/>
        <v>0</v>
      </c>
      <c r="GD84" s="58">
        <f t="shared" si="492"/>
        <v>0</v>
      </c>
      <c r="GE84" s="59">
        <f t="shared" si="493"/>
        <v>0</v>
      </c>
      <c r="GF84" s="58">
        <f t="shared" si="494"/>
        <v>0</v>
      </c>
      <c r="GG84" s="59">
        <f t="shared" si="495"/>
        <v>0</v>
      </c>
      <c r="GH84" s="58">
        <f t="shared" si="496"/>
        <v>0</v>
      </c>
      <c r="GI84" s="54">
        <f t="shared" si="497"/>
        <v>0</v>
      </c>
      <c r="GJ84" s="58">
        <f t="shared" si="498"/>
        <v>0</v>
      </c>
      <c r="GK84" s="54"/>
      <c r="GL84" s="54"/>
      <c r="GM84" s="54">
        <v>1</v>
      </c>
      <c r="GN84" s="54">
        <v>0.97</v>
      </c>
      <c r="GO84" s="54">
        <v>0.95</v>
      </c>
      <c r="GP84" s="54">
        <v>0.93</v>
      </c>
      <c r="GQ84" s="54">
        <f t="shared" si="509"/>
        <v>0.91</v>
      </c>
      <c r="GR84" s="54">
        <f t="shared" si="509"/>
        <v>0.89</v>
      </c>
      <c r="GS84" s="54">
        <f t="shared" si="509"/>
        <v>0.87</v>
      </c>
      <c r="GT84" s="54">
        <f t="shared" si="509"/>
        <v>0.85</v>
      </c>
      <c r="GU84" s="54">
        <f t="shared" si="509"/>
        <v>0.83</v>
      </c>
      <c r="GV84" s="54">
        <f t="shared" si="509"/>
        <v>0.80999999999999994</v>
      </c>
      <c r="GW84" s="54">
        <f t="shared" si="509"/>
        <v>0.78999999999999992</v>
      </c>
      <c r="GX84" s="54">
        <f t="shared" si="509"/>
        <v>0.76999999999999991</v>
      </c>
      <c r="GY84" s="54">
        <f t="shared" si="509"/>
        <v>0.74999999999999989</v>
      </c>
      <c r="GZ84" s="54">
        <f t="shared" si="509"/>
        <v>0.72999999999999987</v>
      </c>
      <c r="HA84" s="54">
        <f t="shared" si="509"/>
        <v>0.70999999999999985</v>
      </c>
      <c r="HB84" s="54">
        <f t="shared" si="509"/>
        <v>0.68999999999999984</v>
      </c>
      <c r="HC84" s="54">
        <f t="shared" si="509"/>
        <v>0.66999999999999982</v>
      </c>
      <c r="HD84" s="54">
        <f t="shared" si="509"/>
        <v>0.6499999999999998</v>
      </c>
      <c r="HE84" s="54">
        <f t="shared" si="509"/>
        <v>0.62999999999999978</v>
      </c>
      <c r="HF84" s="54">
        <f t="shared" si="509"/>
        <v>0.60999999999999976</v>
      </c>
      <c r="HG84" s="54">
        <f t="shared" si="509"/>
        <v>0.58999999999999975</v>
      </c>
      <c r="HH84" s="54">
        <f t="shared" si="509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2">
        <f>TRUNC(+D85*3.3058,-1)</f>
        <v>0</v>
      </c>
      <c r="H85" s="54">
        <f t="shared" si="510"/>
        <v>0</v>
      </c>
      <c r="I85" s="54">
        <f t="shared" si="511"/>
        <v>0</v>
      </c>
      <c r="J85" s="58">
        <f t="shared" si="512"/>
        <v>0</v>
      </c>
      <c r="K85" s="54">
        <f t="shared" si="369"/>
        <v>0</v>
      </c>
      <c r="L85" s="58">
        <f t="shared" si="370"/>
        <v>0</v>
      </c>
      <c r="M85" s="54">
        <f t="shared" si="371"/>
        <v>0</v>
      </c>
      <c r="N85" s="58">
        <f t="shared" si="372"/>
        <v>0</v>
      </c>
      <c r="O85" s="54">
        <f t="shared" si="373"/>
        <v>0</v>
      </c>
      <c r="P85" s="58">
        <f t="shared" si="374"/>
        <v>0</v>
      </c>
      <c r="Q85" s="56">
        <f t="shared" si="375"/>
        <v>0</v>
      </c>
      <c r="R85" s="58">
        <f t="shared" si="376"/>
        <v>0</v>
      </c>
      <c r="S85" s="54">
        <f t="shared" si="377"/>
        <v>0</v>
      </c>
      <c r="T85" s="58">
        <f t="shared" si="378"/>
        <v>0</v>
      </c>
      <c r="U85" s="56">
        <f t="shared" si="379"/>
        <v>0</v>
      </c>
      <c r="V85" s="58">
        <f t="shared" si="380"/>
        <v>0</v>
      </c>
      <c r="W85" s="59">
        <f t="shared" si="381"/>
        <v>0</v>
      </c>
      <c r="X85" s="58">
        <f t="shared" si="382"/>
        <v>0</v>
      </c>
      <c r="Y85" s="56">
        <f t="shared" si="383"/>
        <v>0</v>
      </c>
      <c r="Z85" s="58">
        <f t="shared" si="384"/>
        <v>0</v>
      </c>
      <c r="AA85" s="54">
        <f t="shared" si="385"/>
        <v>0</v>
      </c>
      <c r="AB85" s="58">
        <f t="shared" si="386"/>
        <v>0</v>
      </c>
      <c r="AC85" s="59">
        <f t="shared" si="387"/>
        <v>0</v>
      </c>
      <c r="AD85" s="58">
        <f t="shared" si="388"/>
        <v>0</v>
      </c>
      <c r="AE85" s="59">
        <f t="shared" si="389"/>
        <v>0</v>
      </c>
      <c r="AF85" s="58">
        <f t="shared" si="390"/>
        <v>0</v>
      </c>
      <c r="AG85" s="59">
        <f t="shared" si="391"/>
        <v>0</v>
      </c>
      <c r="AH85" s="58">
        <f t="shared" si="392"/>
        <v>0</v>
      </c>
      <c r="AI85" s="54">
        <f t="shared" si="393"/>
        <v>0</v>
      </c>
      <c r="AJ85" s="58">
        <f t="shared" si="394"/>
        <v>0</v>
      </c>
      <c r="AK85" s="59">
        <f t="shared" si="395"/>
        <v>0</v>
      </c>
      <c r="AL85" s="58">
        <f t="shared" si="396"/>
        <v>0</v>
      </c>
      <c r="AM85" s="59">
        <f t="shared" si="397"/>
        <v>0</v>
      </c>
      <c r="AN85" s="58">
        <f t="shared" si="398"/>
        <v>0</v>
      </c>
      <c r="AO85" s="59">
        <f t="shared" si="399"/>
        <v>0</v>
      </c>
      <c r="AP85" s="58">
        <f t="shared" si="400"/>
        <v>0</v>
      </c>
      <c r="AQ85" s="59">
        <f t="shared" si="401"/>
        <v>0</v>
      </c>
      <c r="AR85" s="58">
        <f t="shared" si="402"/>
        <v>0</v>
      </c>
      <c r="AS85" s="54">
        <f t="shared" si="403"/>
        <v>0</v>
      </c>
      <c r="AT85" s="58">
        <f t="shared" si="404"/>
        <v>0</v>
      </c>
      <c r="AU85" s="59">
        <f t="shared" si="405"/>
        <v>0</v>
      </c>
      <c r="AV85" s="58">
        <f t="shared" si="406"/>
        <v>0</v>
      </c>
      <c r="AW85" s="59">
        <f t="shared" si="407"/>
        <v>0</v>
      </c>
      <c r="AX85" s="58">
        <f t="shared" si="408"/>
        <v>0</v>
      </c>
      <c r="AY85" s="54">
        <f t="shared" si="409"/>
        <v>0</v>
      </c>
      <c r="AZ85" s="58">
        <f t="shared" si="410"/>
        <v>0</v>
      </c>
      <c r="BC85" s="54">
        <v>1</v>
      </c>
      <c r="BD85" s="54">
        <v>0.97</v>
      </c>
      <c r="BE85" s="54">
        <v>0.95</v>
      </c>
      <c r="BF85" s="54">
        <v>0.93</v>
      </c>
      <c r="BG85" s="54">
        <f t="shared" si="505"/>
        <v>0.91</v>
      </c>
      <c r="BH85" s="54">
        <f t="shared" si="505"/>
        <v>0.89</v>
      </c>
      <c r="BI85" s="54">
        <f t="shared" si="505"/>
        <v>0.87</v>
      </c>
      <c r="BJ85" s="54">
        <f t="shared" si="505"/>
        <v>0.85</v>
      </c>
      <c r="BK85" s="54">
        <f t="shared" si="505"/>
        <v>0.83</v>
      </c>
      <c r="BL85" s="54">
        <f t="shared" si="505"/>
        <v>0.80999999999999994</v>
      </c>
      <c r="BM85" s="54">
        <f t="shared" si="505"/>
        <v>0.78999999999999992</v>
      </c>
      <c r="BN85" s="54">
        <f t="shared" si="505"/>
        <v>0.76999999999999991</v>
      </c>
      <c r="BO85" s="54">
        <f t="shared" si="505"/>
        <v>0.74999999999999989</v>
      </c>
      <c r="BP85" s="54">
        <f t="shared" si="505"/>
        <v>0.72999999999999987</v>
      </c>
      <c r="BQ85" s="54">
        <f t="shared" si="505"/>
        <v>0.70999999999999985</v>
      </c>
      <c r="BR85" s="54">
        <f t="shared" si="505"/>
        <v>0.68999999999999984</v>
      </c>
      <c r="BS85" s="54">
        <f t="shared" si="505"/>
        <v>0.66999999999999982</v>
      </c>
      <c r="BT85" s="54">
        <f t="shared" si="505"/>
        <v>0.6499999999999998</v>
      </c>
      <c r="BU85" s="54">
        <f t="shared" si="505"/>
        <v>0.62999999999999978</v>
      </c>
      <c r="BV85" s="54">
        <f t="shared" si="505"/>
        <v>0.60999999999999976</v>
      </c>
      <c r="BW85" s="54">
        <f t="shared" si="505"/>
        <v>0.58999999999999975</v>
      </c>
      <c r="BX85" s="54">
        <f t="shared" si="505"/>
        <v>0.56999999999999973</v>
      </c>
      <c r="BZ85" s="54">
        <f t="shared" si="513"/>
        <v>0</v>
      </c>
      <c r="CA85" s="54">
        <f t="shared" si="514"/>
        <v>0</v>
      </c>
      <c r="CB85" s="58">
        <f t="shared" si="412"/>
        <v>0</v>
      </c>
      <c r="CC85" s="54">
        <f t="shared" si="413"/>
        <v>0</v>
      </c>
      <c r="CD85" s="58">
        <f t="shared" si="414"/>
        <v>0</v>
      </c>
      <c r="CE85" s="54">
        <f t="shared" si="415"/>
        <v>0</v>
      </c>
      <c r="CF85" s="58">
        <f t="shared" si="416"/>
        <v>0</v>
      </c>
      <c r="CG85" s="54">
        <f t="shared" si="417"/>
        <v>0</v>
      </c>
      <c r="CH85" s="58">
        <f t="shared" si="418"/>
        <v>0</v>
      </c>
      <c r="CI85" s="56">
        <f t="shared" si="419"/>
        <v>0</v>
      </c>
      <c r="CJ85" s="58">
        <f t="shared" si="420"/>
        <v>0</v>
      </c>
      <c r="CK85" s="54">
        <f t="shared" si="421"/>
        <v>0</v>
      </c>
      <c r="CL85" s="58">
        <f t="shared" si="422"/>
        <v>0</v>
      </c>
      <c r="CM85" s="56">
        <f t="shared" si="423"/>
        <v>0</v>
      </c>
      <c r="CN85" s="58">
        <f t="shared" si="424"/>
        <v>0</v>
      </c>
      <c r="CO85" s="59">
        <f t="shared" si="425"/>
        <v>0</v>
      </c>
      <c r="CP85" s="58">
        <f t="shared" si="426"/>
        <v>0</v>
      </c>
      <c r="CQ85" s="56">
        <f t="shared" si="427"/>
        <v>0</v>
      </c>
      <c r="CR85" s="58">
        <f t="shared" si="428"/>
        <v>0</v>
      </c>
      <c r="CS85" s="54">
        <f t="shared" si="429"/>
        <v>0</v>
      </c>
      <c r="CT85" s="58">
        <f t="shared" si="430"/>
        <v>0</v>
      </c>
      <c r="CU85" s="59">
        <f t="shared" si="431"/>
        <v>0</v>
      </c>
      <c r="CV85" s="58">
        <f t="shared" si="432"/>
        <v>0</v>
      </c>
      <c r="CW85" s="59">
        <f t="shared" si="433"/>
        <v>0</v>
      </c>
      <c r="CX85" s="58">
        <f t="shared" si="434"/>
        <v>0</v>
      </c>
      <c r="CY85" s="59">
        <f t="shared" si="435"/>
        <v>0</v>
      </c>
      <c r="CZ85" s="58">
        <f t="shared" si="436"/>
        <v>0</v>
      </c>
      <c r="DA85" s="54">
        <f t="shared" si="437"/>
        <v>0</v>
      </c>
      <c r="DB85" s="58">
        <f t="shared" si="438"/>
        <v>0</v>
      </c>
      <c r="DC85" s="59">
        <f t="shared" si="439"/>
        <v>0</v>
      </c>
      <c r="DD85" s="58">
        <f t="shared" si="440"/>
        <v>0</v>
      </c>
      <c r="DE85" s="59">
        <f t="shared" si="441"/>
        <v>0</v>
      </c>
      <c r="DF85" s="58">
        <f t="shared" si="442"/>
        <v>0</v>
      </c>
      <c r="DG85" s="59">
        <f t="shared" si="443"/>
        <v>0</v>
      </c>
      <c r="DH85" s="58">
        <f t="shared" si="444"/>
        <v>0</v>
      </c>
      <c r="DI85" s="59">
        <f t="shared" si="445"/>
        <v>0</v>
      </c>
      <c r="DJ85" s="58">
        <f t="shared" si="446"/>
        <v>0</v>
      </c>
      <c r="DK85" s="54">
        <f t="shared" si="447"/>
        <v>0</v>
      </c>
      <c r="DL85" s="58">
        <f t="shared" si="448"/>
        <v>0</v>
      </c>
      <c r="DM85" s="59">
        <f t="shared" si="449"/>
        <v>0</v>
      </c>
      <c r="DN85" s="58">
        <f t="shared" si="450"/>
        <v>0</v>
      </c>
      <c r="DO85" s="59">
        <f t="shared" si="451"/>
        <v>0</v>
      </c>
      <c r="DP85" s="58">
        <f t="shared" si="452"/>
        <v>0</v>
      </c>
      <c r="DQ85" s="54">
        <f t="shared" si="453"/>
        <v>0</v>
      </c>
      <c r="DR85" s="58">
        <f t="shared" si="454"/>
        <v>0</v>
      </c>
      <c r="DU85" s="54">
        <v>1</v>
      </c>
      <c r="DV85" s="54">
        <v>0.97</v>
      </c>
      <c r="DW85" s="54">
        <v>0.95</v>
      </c>
      <c r="DX85" s="54">
        <v>0.93</v>
      </c>
      <c r="DY85" s="54">
        <f t="shared" si="508"/>
        <v>0.91</v>
      </c>
      <c r="DZ85" s="54">
        <f t="shared" si="508"/>
        <v>0.89</v>
      </c>
      <c r="EA85" s="54">
        <f t="shared" si="508"/>
        <v>0.87</v>
      </c>
      <c r="EB85" s="54">
        <f t="shared" si="508"/>
        <v>0.85</v>
      </c>
      <c r="EC85" s="54">
        <f t="shared" si="508"/>
        <v>0.83</v>
      </c>
      <c r="ED85" s="54">
        <f t="shared" si="508"/>
        <v>0.80999999999999994</v>
      </c>
      <c r="EE85" s="54">
        <f t="shared" si="508"/>
        <v>0.78999999999999992</v>
      </c>
      <c r="EF85" s="54">
        <f t="shared" si="508"/>
        <v>0.76999999999999991</v>
      </c>
      <c r="EG85" s="54">
        <f t="shared" si="508"/>
        <v>0.74999999999999989</v>
      </c>
      <c r="EH85" s="54">
        <f t="shared" si="508"/>
        <v>0.72999999999999987</v>
      </c>
      <c r="EI85" s="54">
        <f t="shared" si="508"/>
        <v>0.70999999999999985</v>
      </c>
      <c r="EJ85" s="54">
        <f t="shared" si="508"/>
        <v>0.68999999999999984</v>
      </c>
      <c r="EK85" s="54">
        <f t="shared" si="508"/>
        <v>0.66999999999999982</v>
      </c>
      <c r="EL85" s="54">
        <f t="shared" si="508"/>
        <v>0.6499999999999998</v>
      </c>
      <c r="EM85" s="54">
        <f t="shared" si="508"/>
        <v>0.62999999999999978</v>
      </c>
      <c r="EN85" s="54">
        <f t="shared" si="508"/>
        <v>0.60999999999999976</v>
      </c>
      <c r="EO85" s="54">
        <f t="shared" si="508"/>
        <v>0.58999999999999975</v>
      </c>
      <c r="EP85" s="54">
        <f t="shared" si="508"/>
        <v>0.56999999999999973</v>
      </c>
      <c r="ER85" s="54">
        <f t="shared" si="142"/>
        <v>0</v>
      </c>
      <c r="ES85" s="54">
        <f t="shared" si="515"/>
        <v>0</v>
      </c>
      <c r="ET85" s="58">
        <f t="shared" si="456"/>
        <v>0</v>
      </c>
      <c r="EU85" s="54">
        <f t="shared" si="457"/>
        <v>0</v>
      </c>
      <c r="EV85" s="58">
        <f t="shared" si="458"/>
        <v>0</v>
      </c>
      <c r="EW85" s="54">
        <f t="shared" si="459"/>
        <v>0</v>
      </c>
      <c r="EX85" s="58">
        <f t="shared" si="460"/>
        <v>0</v>
      </c>
      <c r="EY85" s="54">
        <f t="shared" si="461"/>
        <v>0</v>
      </c>
      <c r="EZ85" s="58">
        <f t="shared" si="462"/>
        <v>0</v>
      </c>
      <c r="FA85" s="56">
        <f t="shared" si="463"/>
        <v>0</v>
      </c>
      <c r="FB85" s="58">
        <f t="shared" si="464"/>
        <v>0</v>
      </c>
      <c r="FC85" s="54">
        <f t="shared" si="465"/>
        <v>0</v>
      </c>
      <c r="FD85" s="58">
        <f t="shared" si="466"/>
        <v>0</v>
      </c>
      <c r="FE85" s="56">
        <f t="shared" si="467"/>
        <v>0</v>
      </c>
      <c r="FF85" s="58">
        <f t="shared" si="468"/>
        <v>0</v>
      </c>
      <c r="FG85" s="59">
        <f t="shared" si="469"/>
        <v>0</v>
      </c>
      <c r="FH85" s="58">
        <f t="shared" si="470"/>
        <v>0</v>
      </c>
      <c r="FI85" s="56">
        <f t="shared" si="471"/>
        <v>0</v>
      </c>
      <c r="FJ85" s="58">
        <f t="shared" si="472"/>
        <v>0</v>
      </c>
      <c r="FK85" s="54">
        <f t="shared" si="473"/>
        <v>0</v>
      </c>
      <c r="FL85" s="58">
        <f t="shared" si="474"/>
        <v>0</v>
      </c>
      <c r="FM85" s="59">
        <f t="shared" si="475"/>
        <v>0</v>
      </c>
      <c r="FN85" s="58">
        <f t="shared" si="476"/>
        <v>0</v>
      </c>
      <c r="FO85" s="59">
        <f t="shared" si="477"/>
        <v>0</v>
      </c>
      <c r="FP85" s="58">
        <f t="shared" si="478"/>
        <v>0</v>
      </c>
      <c r="FQ85" s="59">
        <f t="shared" si="479"/>
        <v>0</v>
      </c>
      <c r="FR85" s="58">
        <f t="shared" si="480"/>
        <v>0</v>
      </c>
      <c r="FS85" s="54">
        <f t="shared" si="481"/>
        <v>0</v>
      </c>
      <c r="FT85" s="58">
        <f t="shared" si="482"/>
        <v>0</v>
      </c>
      <c r="FU85" s="59">
        <f t="shared" si="483"/>
        <v>0</v>
      </c>
      <c r="FV85" s="58">
        <f t="shared" si="484"/>
        <v>0</v>
      </c>
      <c r="FW85" s="59">
        <f t="shared" si="485"/>
        <v>0</v>
      </c>
      <c r="FX85" s="58">
        <f t="shared" si="486"/>
        <v>0</v>
      </c>
      <c r="FY85" s="59">
        <f t="shared" si="487"/>
        <v>0</v>
      </c>
      <c r="FZ85" s="58">
        <f t="shared" si="488"/>
        <v>0</v>
      </c>
      <c r="GA85" s="59">
        <f t="shared" si="489"/>
        <v>0</v>
      </c>
      <c r="GB85" s="58">
        <f t="shared" si="490"/>
        <v>0</v>
      </c>
      <c r="GC85" s="54">
        <f t="shared" si="491"/>
        <v>0</v>
      </c>
      <c r="GD85" s="58">
        <f t="shared" si="492"/>
        <v>0</v>
      </c>
      <c r="GE85" s="59">
        <f t="shared" si="493"/>
        <v>0</v>
      </c>
      <c r="GF85" s="58">
        <f t="shared" si="494"/>
        <v>0</v>
      </c>
      <c r="GG85" s="59">
        <f t="shared" si="495"/>
        <v>0</v>
      </c>
      <c r="GH85" s="58">
        <f t="shared" si="496"/>
        <v>0</v>
      </c>
      <c r="GI85" s="54">
        <f t="shared" si="497"/>
        <v>0</v>
      </c>
      <c r="GJ85" s="58">
        <f t="shared" si="498"/>
        <v>0</v>
      </c>
      <c r="GK85" s="54"/>
      <c r="GL85" s="54"/>
      <c r="GM85" s="54">
        <v>1</v>
      </c>
      <c r="GN85" s="54">
        <v>0.97</v>
      </c>
      <c r="GO85" s="54">
        <v>0.95</v>
      </c>
      <c r="GP85" s="54">
        <v>0.93</v>
      </c>
      <c r="GQ85" s="54">
        <f t="shared" si="509"/>
        <v>0.91</v>
      </c>
      <c r="GR85" s="54">
        <f t="shared" si="509"/>
        <v>0.89</v>
      </c>
      <c r="GS85" s="54">
        <f t="shared" si="509"/>
        <v>0.87</v>
      </c>
      <c r="GT85" s="54">
        <f t="shared" si="509"/>
        <v>0.85</v>
      </c>
      <c r="GU85" s="54">
        <f t="shared" si="509"/>
        <v>0.83</v>
      </c>
      <c r="GV85" s="54">
        <f t="shared" si="509"/>
        <v>0.80999999999999994</v>
      </c>
      <c r="GW85" s="54">
        <f t="shared" si="509"/>
        <v>0.78999999999999992</v>
      </c>
      <c r="GX85" s="54">
        <f t="shared" si="509"/>
        <v>0.76999999999999991</v>
      </c>
      <c r="GY85" s="54">
        <f t="shared" si="509"/>
        <v>0.74999999999999989</v>
      </c>
      <c r="GZ85" s="54">
        <f t="shared" si="509"/>
        <v>0.72999999999999987</v>
      </c>
      <c r="HA85" s="54">
        <f t="shared" si="509"/>
        <v>0.70999999999999985</v>
      </c>
      <c r="HB85" s="54">
        <f t="shared" si="509"/>
        <v>0.68999999999999984</v>
      </c>
      <c r="HC85" s="54">
        <f t="shared" si="509"/>
        <v>0.66999999999999982</v>
      </c>
      <c r="HD85" s="54">
        <f t="shared" si="509"/>
        <v>0.6499999999999998</v>
      </c>
      <c r="HE85" s="54">
        <f t="shared" si="509"/>
        <v>0.62999999999999978</v>
      </c>
      <c r="HF85" s="54">
        <f t="shared" si="509"/>
        <v>0.60999999999999976</v>
      </c>
      <c r="HG85" s="54">
        <f t="shared" si="509"/>
        <v>0.58999999999999975</v>
      </c>
      <c r="HH85" s="54">
        <f t="shared" si="509"/>
        <v>0.56999999999999973</v>
      </c>
    </row>
    <row r="86" spans="1:216" x14ac:dyDescent="0.3">
      <c r="A86" s="2">
        <v>24</v>
      </c>
      <c r="C86" s="38" t="s">
        <v>38</v>
      </c>
      <c r="D86" s="42">
        <v>0</v>
      </c>
      <c r="E86" s="72">
        <f>TRUNC(+D86*3.3058,-1)</f>
        <v>0</v>
      </c>
      <c r="H86" s="54">
        <f t="shared" si="510"/>
        <v>0</v>
      </c>
      <c r="I86" s="54">
        <f t="shared" si="511"/>
        <v>0</v>
      </c>
      <c r="J86" s="58">
        <f t="shared" si="512"/>
        <v>0</v>
      </c>
      <c r="K86" s="54">
        <f t="shared" si="369"/>
        <v>0</v>
      </c>
      <c r="L86" s="58">
        <f t="shared" si="370"/>
        <v>0</v>
      </c>
      <c r="M86" s="54">
        <f t="shared" si="371"/>
        <v>0</v>
      </c>
      <c r="N86" s="58">
        <f t="shared" si="372"/>
        <v>0</v>
      </c>
      <c r="O86" s="54">
        <f t="shared" si="373"/>
        <v>0</v>
      </c>
      <c r="P86" s="58">
        <f t="shared" si="374"/>
        <v>0</v>
      </c>
      <c r="Q86" s="56">
        <f t="shared" si="375"/>
        <v>0</v>
      </c>
      <c r="R86" s="58">
        <f t="shared" si="376"/>
        <v>0</v>
      </c>
      <c r="S86" s="54">
        <f t="shared" si="377"/>
        <v>0</v>
      </c>
      <c r="T86" s="58">
        <f t="shared" si="378"/>
        <v>0</v>
      </c>
      <c r="U86" s="56">
        <f t="shared" si="379"/>
        <v>0</v>
      </c>
      <c r="V86" s="58">
        <f t="shared" si="380"/>
        <v>0</v>
      </c>
      <c r="W86" s="59">
        <f t="shared" si="381"/>
        <v>0</v>
      </c>
      <c r="X86" s="58">
        <f t="shared" si="382"/>
        <v>0</v>
      </c>
      <c r="Y86" s="56">
        <f t="shared" si="383"/>
        <v>0</v>
      </c>
      <c r="Z86" s="58">
        <f t="shared" si="384"/>
        <v>0</v>
      </c>
      <c r="AA86" s="54">
        <f t="shared" si="385"/>
        <v>0</v>
      </c>
      <c r="AB86" s="58">
        <f t="shared" si="386"/>
        <v>0</v>
      </c>
      <c r="AC86" s="59">
        <f t="shared" si="387"/>
        <v>0</v>
      </c>
      <c r="AD86" s="58">
        <f t="shared" si="388"/>
        <v>0</v>
      </c>
      <c r="AE86" s="59">
        <f t="shared" si="389"/>
        <v>0</v>
      </c>
      <c r="AF86" s="58">
        <f t="shared" si="390"/>
        <v>0</v>
      </c>
      <c r="AG86" s="59">
        <f t="shared" si="391"/>
        <v>0</v>
      </c>
      <c r="AH86" s="58">
        <f t="shared" si="392"/>
        <v>0</v>
      </c>
      <c r="AI86" s="54">
        <f t="shared" si="393"/>
        <v>0</v>
      </c>
      <c r="AJ86" s="58">
        <f t="shared" si="394"/>
        <v>0</v>
      </c>
      <c r="AK86" s="59">
        <f t="shared" si="395"/>
        <v>0</v>
      </c>
      <c r="AL86" s="58">
        <f t="shared" si="396"/>
        <v>0</v>
      </c>
      <c r="AM86" s="59">
        <f t="shared" si="397"/>
        <v>0</v>
      </c>
      <c r="AN86" s="58">
        <f t="shared" si="398"/>
        <v>0</v>
      </c>
      <c r="AO86" s="59">
        <f t="shared" si="399"/>
        <v>0</v>
      </c>
      <c r="AP86" s="58">
        <f t="shared" si="400"/>
        <v>0</v>
      </c>
      <c r="AQ86" s="59">
        <f t="shared" si="401"/>
        <v>0</v>
      </c>
      <c r="AR86" s="58">
        <f t="shared" si="402"/>
        <v>0</v>
      </c>
      <c r="AS86" s="54">
        <f t="shared" si="403"/>
        <v>0</v>
      </c>
      <c r="AT86" s="58">
        <f t="shared" si="404"/>
        <v>0</v>
      </c>
      <c r="AU86" s="59">
        <f t="shared" si="405"/>
        <v>0</v>
      </c>
      <c r="AV86" s="58">
        <f t="shared" si="406"/>
        <v>0</v>
      </c>
      <c r="AW86" s="59">
        <f t="shared" si="407"/>
        <v>0</v>
      </c>
      <c r="AX86" s="58">
        <f t="shared" si="408"/>
        <v>0</v>
      </c>
      <c r="AY86" s="54">
        <f t="shared" si="409"/>
        <v>0</v>
      </c>
      <c r="AZ86" s="58">
        <f t="shared" si="410"/>
        <v>0</v>
      </c>
      <c r="BC86" s="54">
        <v>1</v>
      </c>
      <c r="BD86" s="54">
        <v>0.97</v>
      </c>
      <c r="BE86" s="54">
        <v>0.95</v>
      </c>
      <c r="BF86" s="54">
        <v>0.93</v>
      </c>
      <c r="BG86" s="54">
        <f t="shared" si="505"/>
        <v>0.91</v>
      </c>
      <c r="BH86" s="54">
        <f t="shared" si="505"/>
        <v>0.89</v>
      </c>
      <c r="BI86" s="54">
        <f t="shared" si="505"/>
        <v>0.87</v>
      </c>
      <c r="BJ86" s="54">
        <f t="shared" si="505"/>
        <v>0.85</v>
      </c>
      <c r="BK86" s="54">
        <f t="shared" si="505"/>
        <v>0.83</v>
      </c>
      <c r="BL86" s="54">
        <f t="shared" si="505"/>
        <v>0.80999999999999994</v>
      </c>
      <c r="BM86" s="54">
        <f t="shared" si="505"/>
        <v>0.78999999999999992</v>
      </c>
      <c r="BN86" s="54">
        <f t="shared" si="505"/>
        <v>0.76999999999999991</v>
      </c>
      <c r="BO86" s="54">
        <f t="shared" si="505"/>
        <v>0.74999999999999989</v>
      </c>
      <c r="BP86" s="54">
        <f t="shared" si="505"/>
        <v>0.72999999999999987</v>
      </c>
      <c r="BQ86" s="54">
        <f t="shared" si="505"/>
        <v>0.70999999999999985</v>
      </c>
      <c r="BR86" s="54">
        <f t="shared" si="505"/>
        <v>0.68999999999999984</v>
      </c>
      <c r="BS86" s="54">
        <f t="shared" si="505"/>
        <v>0.66999999999999982</v>
      </c>
      <c r="BT86" s="54">
        <f t="shared" si="505"/>
        <v>0.6499999999999998</v>
      </c>
      <c r="BU86" s="54">
        <f t="shared" si="505"/>
        <v>0.62999999999999978</v>
      </c>
      <c r="BV86" s="54">
        <f t="shared" si="505"/>
        <v>0.60999999999999976</v>
      </c>
      <c r="BW86" s="54">
        <f t="shared" si="505"/>
        <v>0.58999999999999975</v>
      </c>
      <c r="BX86" s="54">
        <f t="shared" si="505"/>
        <v>0.56999999999999973</v>
      </c>
      <c r="BZ86" s="54">
        <f t="shared" si="513"/>
        <v>0</v>
      </c>
      <c r="CA86" s="54">
        <f t="shared" si="514"/>
        <v>0</v>
      </c>
      <c r="CB86" s="58">
        <f t="shared" si="412"/>
        <v>0</v>
      </c>
      <c r="CC86" s="54">
        <f t="shared" si="413"/>
        <v>0</v>
      </c>
      <c r="CD86" s="58">
        <f t="shared" si="414"/>
        <v>0</v>
      </c>
      <c r="CE86" s="54">
        <f t="shared" si="415"/>
        <v>0</v>
      </c>
      <c r="CF86" s="58">
        <f t="shared" si="416"/>
        <v>0</v>
      </c>
      <c r="CG86" s="54">
        <f t="shared" si="417"/>
        <v>0</v>
      </c>
      <c r="CH86" s="58">
        <f t="shared" si="418"/>
        <v>0</v>
      </c>
      <c r="CI86" s="56">
        <f t="shared" si="419"/>
        <v>0</v>
      </c>
      <c r="CJ86" s="58">
        <f t="shared" si="420"/>
        <v>0</v>
      </c>
      <c r="CK86" s="54">
        <f t="shared" si="421"/>
        <v>0</v>
      </c>
      <c r="CL86" s="58">
        <f t="shared" si="422"/>
        <v>0</v>
      </c>
      <c r="CM86" s="56">
        <f t="shared" si="423"/>
        <v>0</v>
      </c>
      <c r="CN86" s="58">
        <f t="shared" si="424"/>
        <v>0</v>
      </c>
      <c r="CO86" s="59">
        <f t="shared" si="425"/>
        <v>0</v>
      </c>
      <c r="CP86" s="58">
        <f t="shared" si="426"/>
        <v>0</v>
      </c>
      <c r="CQ86" s="56">
        <f t="shared" si="427"/>
        <v>0</v>
      </c>
      <c r="CR86" s="58">
        <f t="shared" si="428"/>
        <v>0</v>
      </c>
      <c r="CS86" s="54">
        <f t="shared" si="429"/>
        <v>0</v>
      </c>
      <c r="CT86" s="58">
        <f t="shared" si="430"/>
        <v>0</v>
      </c>
      <c r="CU86" s="59">
        <f t="shared" si="431"/>
        <v>0</v>
      </c>
      <c r="CV86" s="58">
        <f t="shared" si="432"/>
        <v>0</v>
      </c>
      <c r="CW86" s="59">
        <f t="shared" si="433"/>
        <v>0</v>
      </c>
      <c r="CX86" s="58">
        <f t="shared" si="434"/>
        <v>0</v>
      </c>
      <c r="CY86" s="59">
        <f t="shared" si="435"/>
        <v>0</v>
      </c>
      <c r="CZ86" s="58">
        <f t="shared" si="436"/>
        <v>0</v>
      </c>
      <c r="DA86" s="54">
        <f t="shared" si="437"/>
        <v>0</v>
      </c>
      <c r="DB86" s="58">
        <f t="shared" si="438"/>
        <v>0</v>
      </c>
      <c r="DC86" s="59">
        <f t="shared" si="439"/>
        <v>0</v>
      </c>
      <c r="DD86" s="58">
        <f t="shared" si="440"/>
        <v>0</v>
      </c>
      <c r="DE86" s="59">
        <f t="shared" si="441"/>
        <v>0</v>
      </c>
      <c r="DF86" s="58">
        <f t="shared" si="442"/>
        <v>0</v>
      </c>
      <c r="DG86" s="59">
        <f t="shared" si="443"/>
        <v>0</v>
      </c>
      <c r="DH86" s="58">
        <f t="shared" si="444"/>
        <v>0</v>
      </c>
      <c r="DI86" s="59">
        <f t="shared" si="445"/>
        <v>0</v>
      </c>
      <c r="DJ86" s="58">
        <f t="shared" si="446"/>
        <v>0</v>
      </c>
      <c r="DK86" s="54">
        <f t="shared" si="447"/>
        <v>0</v>
      </c>
      <c r="DL86" s="58">
        <f t="shared" si="448"/>
        <v>0</v>
      </c>
      <c r="DM86" s="59">
        <f t="shared" si="449"/>
        <v>0</v>
      </c>
      <c r="DN86" s="58">
        <f t="shared" si="450"/>
        <v>0</v>
      </c>
      <c r="DO86" s="59">
        <f t="shared" si="451"/>
        <v>0</v>
      </c>
      <c r="DP86" s="58">
        <f t="shared" si="452"/>
        <v>0</v>
      </c>
      <c r="DQ86" s="54">
        <f t="shared" si="453"/>
        <v>0</v>
      </c>
      <c r="DR86" s="58">
        <f t="shared" si="454"/>
        <v>0</v>
      </c>
      <c r="DU86" s="54">
        <v>1</v>
      </c>
      <c r="DV86" s="54">
        <v>0.97</v>
      </c>
      <c r="DW86" s="54">
        <v>0.95</v>
      </c>
      <c r="DX86" s="54">
        <v>0.93</v>
      </c>
      <c r="DY86" s="54">
        <f t="shared" si="508"/>
        <v>0.91</v>
      </c>
      <c r="DZ86" s="54">
        <f t="shared" si="508"/>
        <v>0.89</v>
      </c>
      <c r="EA86" s="54">
        <f t="shared" si="508"/>
        <v>0.87</v>
      </c>
      <c r="EB86" s="54">
        <f t="shared" si="508"/>
        <v>0.85</v>
      </c>
      <c r="EC86" s="54">
        <f t="shared" si="508"/>
        <v>0.83</v>
      </c>
      <c r="ED86" s="54">
        <f t="shared" si="508"/>
        <v>0.80999999999999994</v>
      </c>
      <c r="EE86" s="54">
        <f t="shared" si="508"/>
        <v>0.78999999999999992</v>
      </c>
      <c r="EF86" s="54">
        <f t="shared" si="508"/>
        <v>0.76999999999999991</v>
      </c>
      <c r="EG86" s="54">
        <f t="shared" si="508"/>
        <v>0.74999999999999989</v>
      </c>
      <c r="EH86" s="54">
        <f t="shared" si="508"/>
        <v>0.72999999999999987</v>
      </c>
      <c r="EI86" s="54">
        <f t="shared" si="508"/>
        <v>0.70999999999999985</v>
      </c>
      <c r="EJ86" s="54">
        <f t="shared" si="508"/>
        <v>0.68999999999999984</v>
      </c>
      <c r="EK86" s="54">
        <f t="shared" si="508"/>
        <v>0.66999999999999982</v>
      </c>
      <c r="EL86" s="54">
        <f t="shared" si="508"/>
        <v>0.6499999999999998</v>
      </c>
      <c r="EM86" s="54">
        <f t="shared" si="508"/>
        <v>0.62999999999999978</v>
      </c>
      <c r="EN86" s="54">
        <f t="shared" si="508"/>
        <v>0.60999999999999976</v>
      </c>
      <c r="EO86" s="54">
        <f t="shared" si="508"/>
        <v>0.58999999999999975</v>
      </c>
      <c r="EP86" s="54">
        <f t="shared" si="508"/>
        <v>0.56999999999999973</v>
      </c>
      <c r="ER86" s="54">
        <f t="shared" si="142"/>
        <v>0</v>
      </c>
      <c r="ES86" s="54">
        <f t="shared" si="515"/>
        <v>0</v>
      </c>
      <c r="ET86" s="58">
        <f t="shared" si="456"/>
        <v>0</v>
      </c>
      <c r="EU86" s="54">
        <f t="shared" si="457"/>
        <v>0</v>
      </c>
      <c r="EV86" s="58">
        <f t="shared" si="458"/>
        <v>0</v>
      </c>
      <c r="EW86" s="54">
        <f t="shared" si="459"/>
        <v>0</v>
      </c>
      <c r="EX86" s="58">
        <f t="shared" si="460"/>
        <v>0</v>
      </c>
      <c r="EY86" s="54">
        <f t="shared" si="461"/>
        <v>0</v>
      </c>
      <c r="EZ86" s="58">
        <f t="shared" si="462"/>
        <v>0</v>
      </c>
      <c r="FA86" s="56">
        <f t="shared" si="463"/>
        <v>0</v>
      </c>
      <c r="FB86" s="58">
        <f t="shared" si="464"/>
        <v>0</v>
      </c>
      <c r="FC86" s="54">
        <f t="shared" si="465"/>
        <v>0</v>
      </c>
      <c r="FD86" s="58">
        <f t="shared" si="466"/>
        <v>0</v>
      </c>
      <c r="FE86" s="56">
        <f t="shared" si="467"/>
        <v>0</v>
      </c>
      <c r="FF86" s="58">
        <f t="shared" si="468"/>
        <v>0</v>
      </c>
      <c r="FG86" s="59">
        <f t="shared" si="469"/>
        <v>0</v>
      </c>
      <c r="FH86" s="58">
        <f t="shared" si="470"/>
        <v>0</v>
      </c>
      <c r="FI86" s="56">
        <f t="shared" si="471"/>
        <v>0</v>
      </c>
      <c r="FJ86" s="58">
        <f t="shared" si="472"/>
        <v>0</v>
      </c>
      <c r="FK86" s="54">
        <f t="shared" si="473"/>
        <v>0</v>
      </c>
      <c r="FL86" s="58">
        <f t="shared" si="474"/>
        <v>0</v>
      </c>
      <c r="FM86" s="59">
        <f t="shared" si="475"/>
        <v>0</v>
      </c>
      <c r="FN86" s="58">
        <f t="shared" si="476"/>
        <v>0</v>
      </c>
      <c r="FO86" s="59">
        <f t="shared" si="477"/>
        <v>0</v>
      </c>
      <c r="FP86" s="58">
        <f t="shared" si="478"/>
        <v>0</v>
      </c>
      <c r="FQ86" s="59">
        <f t="shared" si="479"/>
        <v>0</v>
      </c>
      <c r="FR86" s="58">
        <f t="shared" si="480"/>
        <v>0</v>
      </c>
      <c r="FS86" s="54">
        <f t="shared" si="481"/>
        <v>0</v>
      </c>
      <c r="FT86" s="58">
        <f t="shared" si="482"/>
        <v>0</v>
      </c>
      <c r="FU86" s="59">
        <f t="shared" si="483"/>
        <v>0</v>
      </c>
      <c r="FV86" s="58">
        <f t="shared" si="484"/>
        <v>0</v>
      </c>
      <c r="FW86" s="59">
        <f t="shared" si="485"/>
        <v>0</v>
      </c>
      <c r="FX86" s="58">
        <f t="shared" si="486"/>
        <v>0</v>
      </c>
      <c r="FY86" s="59">
        <f t="shared" si="487"/>
        <v>0</v>
      </c>
      <c r="FZ86" s="58">
        <f t="shared" si="488"/>
        <v>0</v>
      </c>
      <c r="GA86" s="59">
        <f t="shared" si="489"/>
        <v>0</v>
      </c>
      <c r="GB86" s="58">
        <f t="shared" si="490"/>
        <v>0</v>
      </c>
      <c r="GC86" s="54">
        <f t="shared" si="491"/>
        <v>0</v>
      </c>
      <c r="GD86" s="58">
        <f t="shared" si="492"/>
        <v>0</v>
      </c>
      <c r="GE86" s="59">
        <f t="shared" si="493"/>
        <v>0</v>
      </c>
      <c r="GF86" s="58">
        <f t="shared" si="494"/>
        <v>0</v>
      </c>
      <c r="GG86" s="59">
        <f t="shared" si="495"/>
        <v>0</v>
      </c>
      <c r="GH86" s="58">
        <f t="shared" si="496"/>
        <v>0</v>
      </c>
      <c r="GI86" s="54">
        <f t="shared" si="497"/>
        <v>0</v>
      </c>
      <c r="GJ86" s="58">
        <f t="shared" si="498"/>
        <v>0</v>
      </c>
      <c r="GK86" s="54"/>
      <c r="GL86" s="54"/>
      <c r="GM86" s="54">
        <v>1</v>
      </c>
      <c r="GN86" s="54">
        <v>0.97</v>
      </c>
      <c r="GO86" s="54">
        <v>0.95</v>
      </c>
      <c r="GP86" s="54">
        <v>0.93</v>
      </c>
      <c r="GQ86" s="54">
        <f t="shared" si="509"/>
        <v>0.91</v>
      </c>
      <c r="GR86" s="54">
        <f t="shared" si="509"/>
        <v>0.89</v>
      </c>
      <c r="GS86" s="54">
        <f t="shared" si="509"/>
        <v>0.87</v>
      </c>
      <c r="GT86" s="54">
        <f t="shared" si="509"/>
        <v>0.85</v>
      </c>
      <c r="GU86" s="54">
        <f t="shared" si="509"/>
        <v>0.83</v>
      </c>
      <c r="GV86" s="54">
        <f t="shared" si="509"/>
        <v>0.80999999999999994</v>
      </c>
      <c r="GW86" s="54">
        <f t="shared" si="509"/>
        <v>0.78999999999999992</v>
      </c>
      <c r="GX86" s="54">
        <f t="shared" si="509"/>
        <v>0.76999999999999991</v>
      </c>
      <c r="GY86" s="54">
        <f t="shared" si="509"/>
        <v>0.74999999999999989</v>
      </c>
      <c r="GZ86" s="54">
        <f t="shared" si="509"/>
        <v>0.72999999999999987</v>
      </c>
      <c r="HA86" s="54">
        <f t="shared" si="509"/>
        <v>0.70999999999999985</v>
      </c>
      <c r="HB86" s="54">
        <f t="shared" si="509"/>
        <v>0.68999999999999984</v>
      </c>
      <c r="HC86" s="54">
        <f t="shared" si="509"/>
        <v>0.66999999999999982</v>
      </c>
      <c r="HD86" s="54">
        <f t="shared" si="509"/>
        <v>0.6499999999999998</v>
      </c>
      <c r="HE86" s="54">
        <f t="shared" si="509"/>
        <v>0.62999999999999978</v>
      </c>
      <c r="HF86" s="54">
        <f t="shared" si="509"/>
        <v>0.60999999999999976</v>
      </c>
      <c r="HG86" s="54">
        <f t="shared" si="509"/>
        <v>0.58999999999999975</v>
      </c>
      <c r="HH86" s="54">
        <f t="shared" si="509"/>
        <v>0.56999999999999973</v>
      </c>
    </row>
    <row r="87" spans="1:216" x14ac:dyDescent="0.3">
      <c r="A87" s="2">
        <v>25</v>
      </c>
      <c r="C87" s="38" t="s">
        <v>149</v>
      </c>
      <c r="D87" s="42">
        <v>80290</v>
      </c>
      <c r="E87" s="72">
        <f>TRUNC(+D87*3.3058,-1)</f>
        <v>265420</v>
      </c>
      <c r="F87" s="2" t="s">
        <v>323</v>
      </c>
      <c r="H87" s="54">
        <f t="shared" si="510"/>
        <v>291962</v>
      </c>
      <c r="I87" s="54">
        <f t="shared" si="511"/>
        <v>291962</v>
      </c>
      <c r="J87" s="58">
        <f t="shared" si="512"/>
        <v>965167.97960000008</v>
      </c>
      <c r="K87" s="54">
        <f t="shared" si="369"/>
        <v>283203.14</v>
      </c>
      <c r="L87" s="58">
        <f t="shared" si="370"/>
        <v>936212.94021200004</v>
      </c>
      <c r="M87" s="54">
        <f t="shared" si="371"/>
        <v>277363.89999999997</v>
      </c>
      <c r="N87" s="58">
        <f t="shared" si="372"/>
        <v>916909.58061999991</v>
      </c>
      <c r="O87" s="54">
        <f t="shared" si="373"/>
        <v>271524.66000000003</v>
      </c>
      <c r="P87" s="58">
        <f t="shared" si="374"/>
        <v>897606.22102800012</v>
      </c>
      <c r="Q87" s="56">
        <f t="shared" si="375"/>
        <v>265685.42</v>
      </c>
      <c r="R87" s="58">
        <f t="shared" si="376"/>
        <v>878302.86143599998</v>
      </c>
      <c r="S87" s="54">
        <f t="shared" si="377"/>
        <v>259846.18</v>
      </c>
      <c r="T87" s="58">
        <f t="shared" si="378"/>
        <v>858999.50184399995</v>
      </c>
      <c r="U87" s="56">
        <f t="shared" si="379"/>
        <v>254006.94</v>
      </c>
      <c r="V87" s="58">
        <f t="shared" si="380"/>
        <v>839696.14225200005</v>
      </c>
      <c r="W87" s="59">
        <f t="shared" si="381"/>
        <v>248167.69999999998</v>
      </c>
      <c r="X87" s="58">
        <f t="shared" si="382"/>
        <v>820392.78265999991</v>
      </c>
      <c r="Y87" s="56">
        <f t="shared" si="383"/>
        <v>242328.46</v>
      </c>
      <c r="Z87" s="58">
        <f t="shared" si="384"/>
        <v>801089.423068</v>
      </c>
      <c r="AA87" s="54">
        <f t="shared" si="385"/>
        <v>236489.21999999997</v>
      </c>
      <c r="AB87" s="58">
        <f t="shared" si="386"/>
        <v>781786.06347599998</v>
      </c>
      <c r="AC87" s="59">
        <f t="shared" si="387"/>
        <v>230649.97999999998</v>
      </c>
      <c r="AD87" s="58">
        <f t="shared" si="388"/>
        <v>762482.70388399996</v>
      </c>
      <c r="AE87" s="59">
        <f t="shared" si="389"/>
        <v>224810.73999999996</v>
      </c>
      <c r="AF87" s="58">
        <f t="shared" si="390"/>
        <v>743179.34429199994</v>
      </c>
      <c r="AG87" s="59">
        <f t="shared" si="391"/>
        <v>218971.49999999997</v>
      </c>
      <c r="AH87" s="58">
        <f t="shared" si="392"/>
        <v>723875.98469999991</v>
      </c>
      <c r="AI87" s="54">
        <f t="shared" si="393"/>
        <v>213132.25999999995</v>
      </c>
      <c r="AJ87" s="58">
        <f t="shared" si="394"/>
        <v>704572.62510799989</v>
      </c>
      <c r="AK87" s="59">
        <f t="shared" si="395"/>
        <v>207293.01999999996</v>
      </c>
      <c r="AL87" s="58">
        <f t="shared" si="396"/>
        <v>685269.26551599987</v>
      </c>
      <c r="AM87" s="59">
        <f t="shared" si="397"/>
        <v>201453.77999999994</v>
      </c>
      <c r="AN87" s="58">
        <f t="shared" si="398"/>
        <v>665965.90592399985</v>
      </c>
      <c r="AO87" s="59">
        <f t="shared" si="399"/>
        <v>195614.53999999995</v>
      </c>
      <c r="AP87" s="58">
        <f t="shared" si="400"/>
        <v>646662.54633199982</v>
      </c>
      <c r="AQ87" s="59">
        <f t="shared" si="401"/>
        <v>189775.29999999993</v>
      </c>
      <c r="AR87" s="58">
        <f t="shared" si="402"/>
        <v>627359.1867399998</v>
      </c>
      <c r="AS87" s="54">
        <f t="shared" si="403"/>
        <v>183936.05999999994</v>
      </c>
      <c r="AT87" s="58">
        <f t="shared" si="404"/>
        <v>608055.82714799978</v>
      </c>
      <c r="AU87" s="59">
        <f t="shared" si="405"/>
        <v>178096.81999999992</v>
      </c>
      <c r="AV87" s="58">
        <f t="shared" si="406"/>
        <v>588752.46755599976</v>
      </c>
      <c r="AW87" s="59">
        <f t="shared" si="407"/>
        <v>172257.57999999993</v>
      </c>
      <c r="AX87" s="58">
        <f t="shared" si="408"/>
        <v>569449.10796399973</v>
      </c>
      <c r="AY87" s="54">
        <f t="shared" si="409"/>
        <v>166418.33999999991</v>
      </c>
      <c r="AZ87" s="58">
        <f t="shared" si="410"/>
        <v>550145.74837199971</v>
      </c>
      <c r="BC87" s="54">
        <v>1</v>
      </c>
      <c r="BD87" s="54">
        <v>0.97</v>
      </c>
      <c r="BE87" s="54">
        <v>0.95</v>
      </c>
      <c r="BF87" s="54">
        <v>0.93</v>
      </c>
      <c r="BG87" s="54">
        <f t="shared" si="505"/>
        <v>0.91</v>
      </c>
      <c r="BH87" s="54">
        <f t="shared" si="505"/>
        <v>0.89</v>
      </c>
      <c r="BI87" s="54">
        <f t="shared" si="505"/>
        <v>0.87</v>
      </c>
      <c r="BJ87" s="54">
        <f t="shared" si="505"/>
        <v>0.85</v>
      </c>
      <c r="BK87" s="54">
        <f t="shared" si="505"/>
        <v>0.83</v>
      </c>
      <c r="BL87" s="54">
        <f t="shared" si="505"/>
        <v>0.80999999999999994</v>
      </c>
      <c r="BM87" s="54">
        <f t="shared" si="505"/>
        <v>0.78999999999999992</v>
      </c>
      <c r="BN87" s="54">
        <f t="shared" si="505"/>
        <v>0.76999999999999991</v>
      </c>
      <c r="BO87" s="54">
        <f t="shared" si="505"/>
        <v>0.74999999999999989</v>
      </c>
      <c r="BP87" s="54">
        <f t="shared" si="505"/>
        <v>0.72999999999999987</v>
      </c>
      <c r="BQ87" s="54">
        <f t="shared" si="505"/>
        <v>0.70999999999999985</v>
      </c>
      <c r="BR87" s="54">
        <f t="shared" si="505"/>
        <v>0.68999999999999984</v>
      </c>
      <c r="BS87" s="54">
        <f t="shared" si="505"/>
        <v>0.66999999999999982</v>
      </c>
      <c r="BT87" s="54">
        <f t="shared" si="505"/>
        <v>0.6499999999999998</v>
      </c>
      <c r="BU87" s="54">
        <f t="shared" si="505"/>
        <v>0.62999999999999978</v>
      </c>
      <c r="BV87" s="54">
        <f t="shared" si="505"/>
        <v>0.60999999999999976</v>
      </c>
      <c r="BW87" s="54">
        <f t="shared" si="505"/>
        <v>0.58999999999999975</v>
      </c>
      <c r="BX87" s="54">
        <f t="shared" si="505"/>
        <v>0.56999999999999973</v>
      </c>
      <c r="BZ87" s="54">
        <f t="shared" si="513"/>
        <v>265685.42</v>
      </c>
      <c r="CA87" s="54">
        <f t="shared" si="514"/>
        <v>265685.42</v>
      </c>
      <c r="CB87" s="58">
        <f t="shared" si="412"/>
        <v>878302.86143599998</v>
      </c>
      <c r="CC87" s="54">
        <f t="shared" si="413"/>
        <v>257714.85739999998</v>
      </c>
      <c r="CD87" s="58">
        <f t="shared" si="414"/>
        <v>851953.7755929199</v>
      </c>
      <c r="CE87" s="54">
        <f t="shared" si="415"/>
        <v>252401.14899999998</v>
      </c>
      <c r="CF87" s="58">
        <f t="shared" si="416"/>
        <v>834387.71836419997</v>
      </c>
      <c r="CG87" s="54">
        <f t="shared" si="417"/>
        <v>247087.4406</v>
      </c>
      <c r="CH87" s="58">
        <f t="shared" si="418"/>
        <v>816821.66113548004</v>
      </c>
      <c r="CI87" s="56">
        <f t="shared" si="419"/>
        <v>241773.7322</v>
      </c>
      <c r="CJ87" s="58">
        <f t="shared" si="420"/>
        <v>799255.60390675999</v>
      </c>
      <c r="CK87" s="54">
        <f t="shared" si="421"/>
        <v>236460.0238</v>
      </c>
      <c r="CL87" s="58">
        <f t="shared" si="422"/>
        <v>781689.54667803994</v>
      </c>
      <c r="CM87" s="56">
        <f t="shared" si="423"/>
        <v>231146.31539999999</v>
      </c>
      <c r="CN87" s="58">
        <f t="shared" si="424"/>
        <v>764123.48944932001</v>
      </c>
      <c r="CO87" s="59">
        <f t="shared" si="425"/>
        <v>225832.60699999999</v>
      </c>
      <c r="CP87" s="58">
        <f t="shared" si="426"/>
        <v>746557.43222059996</v>
      </c>
      <c r="CQ87" s="56">
        <f t="shared" si="427"/>
        <v>220518.89859999999</v>
      </c>
      <c r="CR87" s="58">
        <f t="shared" si="428"/>
        <v>728991.37499187991</v>
      </c>
      <c r="CS87" s="54">
        <f t="shared" si="429"/>
        <v>215205.19019999998</v>
      </c>
      <c r="CT87" s="58">
        <f t="shared" si="430"/>
        <v>711425.31776315998</v>
      </c>
      <c r="CU87" s="59">
        <f t="shared" si="431"/>
        <v>209891.48179999998</v>
      </c>
      <c r="CV87" s="58">
        <f t="shared" si="432"/>
        <v>693859.26053443993</v>
      </c>
      <c r="CW87" s="59">
        <f t="shared" si="433"/>
        <v>204577.77339999998</v>
      </c>
      <c r="CX87" s="58">
        <f t="shared" si="434"/>
        <v>676293.20330571989</v>
      </c>
      <c r="CY87" s="59">
        <f t="shared" si="435"/>
        <v>199264.06499999994</v>
      </c>
      <c r="CZ87" s="58">
        <f t="shared" si="436"/>
        <v>658727.14607699984</v>
      </c>
      <c r="DA87" s="54">
        <f t="shared" si="437"/>
        <v>193950.35659999994</v>
      </c>
      <c r="DB87" s="58">
        <f t="shared" si="438"/>
        <v>641161.08884827979</v>
      </c>
      <c r="DC87" s="59">
        <f t="shared" si="439"/>
        <v>188636.64819999994</v>
      </c>
      <c r="DD87" s="58">
        <f t="shared" si="440"/>
        <v>623595.03161955986</v>
      </c>
      <c r="DE87" s="59">
        <f t="shared" si="441"/>
        <v>183322.93979999993</v>
      </c>
      <c r="DF87" s="58">
        <f t="shared" si="442"/>
        <v>606028.97439083981</v>
      </c>
      <c r="DG87" s="59">
        <f t="shared" si="443"/>
        <v>178009.23139999993</v>
      </c>
      <c r="DH87" s="58">
        <f t="shared" si="444"/>
        <v>588462.91716211976</v>
      </c>
      <c r="DI87" s="59">
        <f t="shared" si="445"/>
        <v>172695.52299999993</v>
      </c>
      <c r="DJ87" s="58">
        <f t="shared" si="446"/>
        <v>570896.85993339983</v>
      </c>
      <c r="DK87" s="54">
        <f t="shared" si="447"/>
        <v>167381.81459999993</v>
      </c>
      <c r="DL87" s="58">
        <f t="shared" si="448"/>
        <v>553330.80270467978</v>
      </c>
      <c r="DM87" s="59">
        <f t="shared" si="449"/>
        <v>162068.10619999992</v>
      </c>
      <c r="DN87" s="58">
        <f t="shared" si="450"/>
        <v>535764.74547595973</v>
      </c>
      <c r="DO87" s="59">
        <f t="shared" si="451"/>
        <v>156754.39779999992</v>
      </c>
      <c r="DP87" s="58">
        <f t="shared" si="452"/>
        <v>518198.68824723974</v>
      </c>
      <c r="DQ87" s="54">
        <f t="shared" si="453"/>
        <v>151440.68939999992</v>
      </c>
      <c r="DR87" s="58">
        <f t="shared" si="454"/>
        <v>500632.63101851975</v>
      </c>
      <c r="DU87" s="54">
        <v>1</v>
      </c>
      <c r="DV87" s="54">
        <v>0.97</v>
      </c>
      <c r="DW87" s="54">
        <v>0.95</v>
      </c>
      <c r="DX87" s="54">
        <v>0.93</v>
      </c>
      <c r="DY87" s="54">
        <f t="shared" si="508"/>
        <v>0.91</v>
      </c>
      <c r="DZ87" s="54">
        <f t="shared" si="508"/>
        <v>0.89</v>
      </c>
      <c r="EA87" s="54">
        <f t="shared" si="508"/>
        <v>0.87</v>
      </c>
      <c r="EB87" s="54">
        <f t="shared" si="508"/>
        <v>0.85</v>
      </c>
      <c r="EC87" s="54">
        <f t="shared" si="508"/>
        <v>0.83</v>
      </c>
      <c r="ED87" s="54">
        <f t="shared" si="508"/>
        <v>0.80999999999999994</v>
      </c>
      <c r="EE87" s="54">
        <f t="shared" si="508"/>
        <v>0.78999999999999992</v>
      </c>
      <c r="EF87" s="54">
        <f t="shared" si="508"/>
        <v>0.76999999999999991</v>
      </c>
      <c r="EG87" s="54">
        <f t="shared" si="508"/>
        <v>0.74999999999999989</v>
      </c>
      <c r="EH87" s="54">
        <f t="shared" si="508"/>
        <v>0.72999999999999987</v>
      </c>
      <c r="EI87" s="54">
        <f t="shared" si="508"/>
        <v>0.70999999999999985</v>
      </c>
      <c r="EJ87" s="54">
        <f t="shared" si="508"/>
        <v>0.68999999999999984</v>
      </c>
      <c r="EK87" s="54">
        <f t="shared" si="508"/>
        <v>0.66999999999999982</v>
      </c>
      <c r="EL87" s="54">
        <f t="shared" si="508"/>
        <v>0.6499999999999998</v>
      </c>
      <c r="EM87" s="54">
        <f t="shared" si="508"/>
        <v>0.62999999999999978</v>
      </c>
      <c r="EN87" s="54">
        <f t="shared" si="508"/>
        <v>0.60999999999999976</v>
      </c>
      <c r="EO87" s="54">
        <f t="shared" si="508"/>
        <v>0.58999999999999975</v>
      </c>
      <c r="EP87" s="54">
        <f t="shared" si="508"/>
        <v>0.56999999999999973</v>
      </c>
      <c r="ER87" s="54">
        <f t="shared" si="142"/>
        <v>241773.7322</v>
      </c>
      <c r="ES87" s="54">
        <f t="shared" si="515"/>
        <v>241773.7322</v>
      </c>
      <c r="ET87" s="58">
        <f t="shared" si="456"/>
        <v>799255.60390675999</v>
      </c>
      <c r="EU87" s="54">
        <f t="shared" si="457"/>
        <v>234520.520234</v>
      </c>
      <c r="EV87" s="58">
        <f t="shared" si="458"/>
        <v>775277.93578955717</v>
      </c>
      <c r="EW87" s="54">
        <f t="shared" si="459"/>
        <v>229685.04558999999</v>
      </c>
      <c r="EX87" s="58">
        <f t="shared" si="460"/>
        <v>759292.82371142204</v>
      </c>
      <c r="EY87" s="54">
        <f t="shared" si="461"/>
        <v>224849.57094600002</v>
      </c>
      <c r="EZ87" s="58">
        <f t="shared" si="462"/>
        <v>743307.7116332869</v>
      </c>
      <c r="FA87" s="56">
        <f t="shared" si="463"/>
        <v>220014.09630200002</v>
      </c>
      <c r="FB87" s="58">
        <f t="shared" si="464"/>
        <v>727322.59955515165</v>
      </c>
      <c r="FC87" s="54">
        <f t="shared" si="465"/>
        <v>215178.62165799999</v>
      </c>
      <c r="FD87" s="58">
        <f t="shared" si="466"/>
        <v>711337.4874770164</v>
      </c>
      <c r="FE87" s="56">
        <f t="shared" si="467"/>
        <v>210343.14701399999</v>
      </c>
      <c r="FF87" s="58">
        <f t="shared" si="468"/>
        <v>695352.37539888115</v>
      </c>
      <c r="FG87" s="59">
        <f t="shared" si="469"/>
        <v>205507.67236999999</v>
      </c>
      <c r="FH87" s="58">
        <f t="shared" si="470"/>
        <v>679367.26332074602</v>
      </c>
      <c r="FI87" s="56">
        <f t="shared" si="471"/>
        <v>200672.19772599998</v>
      </c>
      <c r="FJ87" s="58">
        <f t="shared" si="472"/>
        <v>663382.15124261077</v>
      </c>
      <c r="FK87" s="54">
        <f t="shared" si="473"/>
        <v>195836.72308199998</v>
      </c>
      <c r="FL87" s="58">
        <f t="shared" si="474"/>
        <v>647397.03916447551</v>
      </c>
      <c r="FM87" s="59">
        <f t="shared" si="475"/>
        <v>191001.24843799998</v>
      </c>
      <c r="FN87" s="58">
        <f t="shared" si="476"/>
        <v>631411.92708634038</v>
      </c>
      <c r="FO87" s="59">
        <f t="shared" si="477"/>
        <v>186165.77379399998</v>
      </c>
      <c r="FP87" s="58">
        <f t="shared" si="478"/>
        <v>615426.81500820513</v>
      </c>
      <c r="FQ87" s="59">
        <f t="shared" si="479"/>
        <v>181330.29914999998</v>
      </c>
      <c r="FR87" s="58">
        <f t="shared" si="480"/>
        <v>599441.70293006999</v>
      </c>
      <c r="FS87" s="54">
        <f t="shared" si="481"/>
        <v>176494.82450599998</v>
      </c>
      <c r="FT87" s="58">
        <f t="shared" si="482"/>
        <v>583456.59085193474</v>
      </c>
      <c r="FU87" s="59">
        <f t="shared" si="483"/>
        <v>171659.34986199997</v>
      </c>
      <c r="FV87" s="58">
        <f t="shared" si="484"/>
        <v>567471.47877379949</v>
      </c>
      <c r="FW87" s="59">
        <f t="shared" si="485"/>
        <v>166823.87521799997</v>
      </c>
      <c r="FX87" s="58">
        <f t="shared" si="486"/>
        <v>551486.36669566436</v>
      </c>
      <c r="FY87" s="59">
        <f t="shared" si="487"/>
        <v>161988.40057399994</v>
      </c>
      <c r="FZ87" s="58">
        <f t="shared" si="488"/>
        <v>535501.25461752899</v>
      </c>
      <c r="GA87" s="59">
        <f t="shared" si="489"/>
        <v>157152.92592999994</v>
      </c>
      <c r="GB87" s="58">
        <f t="shared" si="490"/>
        <v>519516.1425393938</v>
      </c>
      <c r="GC87" s="54">
        <f t="shared" si="491"/>
        <v>152317.45128599994</v>
      </c>
      <c r="GD87" s="58">
        <f t="shared" si="492"/>
        <v>503531.0304612586</v>
      </c>
      <c r="GE87" s="59">
        <f t="shared" si="493"/>
        <v>147481.97664199994</v>
      </c>
      <c r="GF87" s="58">
        <f t="shared" si="494"/>
        <v>487545.91838312341</v>
      </c>
      <c r="GG87" s="59">
        <f t="shared" si="495"/>
        <v>142646.50199799993</v>
      </c>
      <c r="GH87" s="58">
        <f t="shared" si="496"/>
        <v>471560.80630498822</v>
      </c>
      <c r="GI87" s="54">
        <f t="shared" si="497"/>
        <v>137811.02735399993</v>
      </c>
      <c r="GJ87" s="58">
        <f t="shared" si="498"/>
        <v>455575.69422685297</v>
      </c>
      <c r="GK87" s="54"/>
      <c r="GL87" s="54"/>
      <c r="GM87" s="54">
        <v>1</v>
      </c>
      <c r="GN87" s="54">
        <v>0.97</v>
      </c>
      <c r="GO87" s="54">
        <v>0.95</v>
      </c>
      <c r="GP87" s="54">
        <v>0.93</v>
      </c>
      <c r="GQ87" s="54">
        <f t="shared" si="509"/>
        <v>0.91</v>
      </c>
      <c r="GR87" s="54">
        <f t="shared" si="509"/>
        <v>0.89</v>
      </c>
      <c r="GS87" s="54">
        <f t="shared" si="509"/>
        <v>0.87</v>
      </c>
      <c r="GT87" s="54">
        <f t="shared" si="509"/>
        <v>0.85</v>
      </c>
      <c r="GU87" s="54">
        <f t="shared" si="509"/>
        <v>0.83</v>
      </c>
      <c r="GV87" s="54">
        <f t="shared" si="509"/>
        <v>0.80999999999999994</v>
      </c>
      <c r="GW87" s="54">
        <f t="shared" si="509"/>
        <v>0.78999999999999992</v>
      </c>
      <c r="GX87" s="54">
        <f t="shared" si="509"/>
        <v>0.76999999999999991</v>
      </c>
      <c r="GY87" s="54">
        <f t="shared" si="509"/>
        <v>0.74999999999999989</v>
      </c>
      <c r="GZ87" s="54">
        <f t="shared" si="509"/>
        <v>0.72999999999999987</v>
      </c>
      <c r="HA87" s="54">
        <f t="shared" si="509"/>
        <v>0.70999999999999985</v>
      </c>
      <c r="HB87" s="54">
        <f t="shared" si="509"/>
        <v>0.68999999999999984</v>
      </c>
      <c r="HC87" s="54">
        <f t="shared" si="509"/>
        <v>0.66999999999999982</v>
      </c>
      <c r="HD87" s="54">
        <f t="shared" si="509"/>
        <v>0.6499999999999998</v>
      </c>
      <c r="HE87" s="54">
        <f t="shared" si="509"/>
        <v>0.62999999999999978</v>
      </c>
      <c r="HF87" s="54">
        <f t="shared" si="509"/>
        <v>0.60999999999999976</v>
      </c>
      <c r="HG87" s="54">
        <f t="shared" si="509"/>
        <v>0.58999999999999975</v>
      </c>
      <c r="HH87" s="54">
        <f t="shared" si="509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23350+10110</f>
        <v>33460</v>
      </c>
      <c r="E88" s="73">
        <f>TRUNC(+D88*3.3058,-1)</f>
        <v>110610</v>
      </c>
      <c r="F88" s="2" t="s">
        <v>308</v>
      </c>
      <c r="H88" s="54">
        <f t="shared" si="510"/>
        <v>121671.00000000001</v>
      </c>
      <c r="I88" s="54">
        <f t="shared" si="511"/>
        <v>121671.00000000001</v>
      </c>
      <c r="J88" s="58">
        <f t="shared" si="512"/>
        <v>402219.99180000008</v>
      </c>
      <c r="K88" s="54">
        <f t="shared" si="369"/>
        <v>118020.87000000001</v>
      </c>
      <c r="L88" s="58">
        <f t="shared" si="370"/>
        <v>390153.39204600005</v>
      </c>
      <c r="M88" s="54">
        <f t="shared" si="371"/>
        <v>115587.45000000001</v>
      </c>
      <c r="N88" s="58">
        <f t="shared" si="372"/>
        <v>382108.99221000005</v>
      </c>
      <c r="O88" s="54">
        <f t="shared" si="373"/>
        <v>113154.03000000001</v>
      </c>
      <c r="P88" s="58">
        <f t="shared" si="374"/>
        <v>374064.59237400006</v>
      </c>
      <c r="Q88" s="56">
        <f t="shared" si="375"/>
        <v>110720.61000000002</v>
      </c>
      <c r="R88" s="58">
        <f t="shared" si="376"/>
        <v>366020.19253800006</v>
      </c>
      <c r="S88" s="54">
        <f t="shared" si="377"/>
        <v>108287.19000000002</v>
      </c>
      <c r="T88" s="58">
        <f t="shared" si="378"/>
        <v>357975.79270200006</v>
      </c>
      <c r="U88" s="56">
        <f t="shared" si="379"/>
        <v>105853.77000000002</v>
      </c>
      <c r="V88" s="58">
        <f t="shared" si="380"/>
        <v>349931.39286600007</v>
      </c>
      <c r="W88" s="59">
        <f t="shared" si="381"/>
        <v>103420.35</v>
      </c>
      <c r="X88" s="58">
        <f t="shared" si="382"/>
        <v>341886.99303000001</v>
      </c>
      <c r="Y88" s="56">
        <f t="shared" si="383"/>
        <v>100986.93000000001</v>
      </c>
      <c r="Z88" s="58">
        <f t="shared" si="384"/>
        <v>333842.59319400002</v>
      </c>
      <c r="AA88" s="54">
        <f t="shared" si="385"/>
        <v>98553.510000000009</v>
      </c>
      <c r="AB88" s="58">
        <f t="shared" si="386"/>
        <v>325798.19335800002</v>
      </c>
      <c r="AC88" s="59">
        <f t="shared" si="387"/>
        <v>96120.09</v>
      </c>
      <c r="AD88" s="58">
        <f t="shared" si="388"/>
        <v>317753.79352200002</v>
      </c>
      <c r="AE88" s="59">
        <f t="shared" si="389"/>
        <v>93686.67</v>
      </c>
      <c r="AF88" s="58">
        <f t="shared" si="390"/>
        <v>309709.39368600002</v>
      </c>
      <c r="AG88" s="59">
        <f t="shared" si="391"/>
        <v>91253.25</v>
      </c>
      <c r="AH88" s="58">
        <f t="shared" si="392"/>
        <v>301664.99385000003</v>
      </c>
      <c r="AI88" s="54">
        <f t="shared" si="393"/>
        <v>88819.83</v>
      </c>
      <c r="AJ88" s="58">
        <f t="shared" si="394"/>
        <v>293620.59401400003</v>
      </c>
      <c r="AK88" s="59">
        <f t="shared" si="395"/>
        <v>86386.409999999989</v>
      </c>
      <c r="AL88" s="58">
        <f t="shared" si="396"/>
        <v>285576.19417799998</v>
      </c>
      <c r="AM88" s="59">
        <f t="shared" si="397"/>
        <v>83952.989999999991</v>
      </c>
      <c r="AN88" s="58">
        <f t="shared" si="398"/>
        <v>277531.79434199998</v>
      </c>
      <c r="AO88" s="59">
        <f t="shared" si="399"/>
        <v>81519.569999999992</v>
      </c>
      <c r="AP88" s="58">
        <f t="shared" si="400"/>
        <v>269487.39450599998</v>
      </c>
      <c r="AQ88" s="59">
        <f t="shared" si="401"/>
        <v>79086.14999999998</v>
      </c>
      <c r="AR88" s="58">
        <f t="shared" si="402"/>
        <v>261442.99466999993</v>
      </c>
      <c r="AS88" s="54">
        <f t="shared" si="403"/>
        <v>76652.729999999981</v>
      </c>
      <c r="AT88" s="58">
        <f t="shared" si="404"/>
        <v>253398.59483399993</v>
      </c>
      <c r="AU88" s="59">
        <f t="shared" si="405"/>
        <v>74219.309999999983</v>
      </c>
      <c r="AV88" s="58">
        <f t="shared" si="406"/>
        <v>245354.19499799996</v>
      </c>
      <c r="AW88" s="59">
        <f t="shared" si="407"/>
        <v>71785.889999999985</v>
      </c>
      <c r="AX88" s="58">
        <f t="shared" si="408"/>
        <v>237309.79516199997</v>
      </c>
      <c r="AY88" s="54">
        <f t="shared" si="409"/>
        <v>69352.469999999972</v>
      </c>
      <c r="AZ88" s="58">
        <f t="shared" si="410"/>
        <v>229265.39532599991</v>
      </c>
      <c r="BC88" s="54">
        <v>1</v>
      </c>
      <c r="BD88" s="54">
        <v>0.97</v>
      </c>
      <c r="BE88" s="54">
        <v>0.95</v>
      </c>
      <c r="BF88" s="54">
        <v>0.93</v>
      </c>
      <c r="BG88" s="54">
        <f t="shared" si="505"/>
        <v>0.91</v>
      </c>
      <c r="BH88" s="54">
        <f t="shared" si="505"/>
        <v>0.89</v>
      </c>
      <c r="BI88" s="54">
        <f t="shared" si="505"/>
        <v>0.87</v>
      </c>
      <c r="BJ88" s="54">
        <f t="shared" si="505"/>
        <v>0.85</v>
      </c>
      <c r="BK88" s="54">
        <f t="shared" si="505"/>
        <v>0.83</v>
      </c>
      <c r="BL88" s="54">
        <f t="shared" si="505"/>
        <v>0.80999999999999994</v>
      </c>
      <c r="BM88" s="54">
        <f t="shared" si="505"/>
        <v>0.78999999999999992</v>
      </c>
      <c r="BN88" s="54">
        <f t="shared" si="505"/>
        <v>0.76999999999999991</v>
      </c>
      <c r="BO88" s="54">
        <f t="shared" si="505"/>
        <v>0.74999999999999989</v>
      </c>
      <c r="BP88" s="54">
        <f t="shared" si="505"/>
        <v>0.72999999999999987</v>
      </c>
      <c r="BQ88" s="54">
        <f t="shared" si="505"/>
        <v>0.70999999999999985</v>
      </c>
      <c r="BR88" s="54">
        <f t="shared" si="505"/>
        <v>0.68999999999999984</v>
      </c>
      <c r="BS88" s="54">
        <f t="shared" si="505"/>
        <v>0.66999999999999982</v>
      </c>
      <c r="BT88" s="54">
        <f t="shared" si="505"/>
        <v>0.6499999999999998</v>
      </c>
      <c r="BU88" s="54">
        <f t="shared" si="505"/>
        <v>0.62999999999999978</v>
      </c>
      <c r="BV88" s="54">
        <f t="shared" si="505"/>
        <v>0.60999999999999976</v>
      </c>
      <c r="BW88" s="54">
        <f t="shared" si="505"/>
        <v>0.58999999999999975</v>
      </c>
      <c r="BX88" s="54">
        <f t="shared" si="505"/>
        <v>0.56999999999999973</v>
      </c>
      <c r="BZ88" s="54">
        <f t="shared" si="513"/>
        <v>110720.61000000002</v>
      </c>
      <c r="CA88" s="54">
        <f t="shared" si="514"/>
        <v>110720.61000000002</v>
      </c>
      <c r="CB88" s="58">
        <f t="shared" si="412"/>
        <v>366020.19253800006</v>
      </c>
      <c r="CC88" s="54">
        <f t="shared" si="413"/>
        <v>107398.99170000001</v>
      </c>
      <c r="CD88" s="58">
        <f t="shared" si="414"/>
        <v>355039.58676186006</v>
      </c>
      <c r="CE88" s="54">
        <f t="shared" si="415"/>
        <v>105184.57950000001</v>
      </c>
      <c r="CF88" s="58">
        <f t="shared" si="416"/>
        <v>347719.18291110004</v>
      </c>
      <c r="CG88" s="54">
        <f t="shared" si="417"/>
        <v>102970.16730000002</v>
      </c>
      <c r="CH88" s="58">
        <f t="shared" si="418"/>
        <v>340398.77906034008</v>
      </c>
      <c r="CI88" s="56">
        <f t="shared" si="419"/>
        <v>100755.75510000002</v>
      </c>
      <c r="CJ88" s="58">
        <f t="shared" si="420"/>
        <v>333078.37520958006</v>
      </c>
      <c r="CK88" s="54">
        <f t="shared" si="421"/>
        <v>98541.342900000018</v>
      </c>
      <c r="CL88" s="58">
        <f t="shared" si="422"/>
        <v>325757.97135882004</v>
      </c>
      <c r="CM88" s="56">
        <f t="shared" si="423"/>
        <v>96326.930700000012</v>
      </c>
      <c r="CN88" s="58">
        <f t="shared" si="424"/>
        <v>318437.56750806002</v>
      </c>
      <c r="CO88" s="59">
        <f t="shared" si="425"/>
        <v>94112.518500000006</v>
      </c>
      <c r="CP88" s="58">
        <f t="shared" si="426"/>
        <v>311117.1636573</v>
      </c>
      <c r="CQ88" s="56">
        <f t="shared" si="427"/>
        <v>91898.106300000014</v>
      </c>
      <c r="CR88" s="58">
        <f t="shared" si="428"/>
        <v>303796.75980654004</v>
      </c>
      <c r="CS88" s="54">
        <f t="shared" si="429"/>
        <v>89683.694100000008</v>
      </c>
      <c r="CT88" s="58">
        <f t="shared" si="430"/>
        <v>296476.35595578002</v>
      </c>
      <c r="CU88" s="59">
        <f t="shared" si="431"/>
        <v>87469.281900000002</v>
      </c>
      <c r="CV88" s="58">
        <f t="shared" si="432"/>
        <v>289155.95210502</v>
      </c>
      <c r="CW88" s="59">
        <f t="shared" si="433"/>
        <v>85254.869699999996</v>
      </c>
      <c r="CX88" s="58">
        <f t="shared" si="434"/>
        <v>281835.54825425998</v>
      </c>
      <c r="CY88" s="59">
        <f t="shared" si="435"/>
        <v>83040.457500000004</v>
      </c>
      <c r="CZ88" s="58">
        <f t="shared" si="436"/>
        <v>274515.14440350002</v>
      </c>
      <c r="DA88" s="54">
        <f t="shared" si="437"/>
        <v>80826.045299999998</v>
      </c>
      <c r="DB88" s="58">
        <f t="shared" si="438"/>
        <v>267194.74055274</v>
      </c>
      <c r="DC88" s="59">
        <f t="shared" si="439"/>
        <v>78611.633099999992</v>
      </c>
      <c r="DD88" s="58">
        <f t="shared" si="440"/>
        <v>259874.33670197998</v>
      </c>
      <c r="DE88" s="59">
        <f t="shared" si="441"/>
        <v>76397.220899999986</v>
      </c>
      <c r="DF88" s="58">
        <f t="shared" si="442"/>
        <v>252553.93285121996</v>
      </c>
      <c r="DG88" s="59">
        <f t="shared" si="443"/>
        <v>74182.808699999994</v>
      </c>
      <c r="DH88" s="58">
        <f t="shared" si="444"/>
        <v>245233.52900046</v>
      </c>
      <c r="DI88" s="59">
        <f t="shared" si="445"/>
        <v>71968.396499999988</v>
      </c>
      <c r="DJ88" s="58">
        <f t="shared" si="446"/>
        <v>237913.12514969998</v>
      </c>
      <c r="DK88" s="54">
        <f t="shared" si="447"/>
        <v>69753.984299999982</v>
      </c>
      <c r="DL88" s="58">
        <f t="shared" si="448"/>
        <v>230592.72129893996</v>
      </c>
      <c r="DM88" s="59">
        <f t="shared" si="449"/>
        <v>67539.57209999999</v>
      </c>
      <c r="DN88" s="58">
        <f t="shared" si="450"/>
        <v>223272.31744817997</v>
      </c>
      <c r="DO88" s="59">
        <f t="shared" si="451"/>
        <v>65325.159899999984</v>
      </c>
      <c r="DP88" s="58">
        <f t="shared" si="452"/>
        <v>215951.91359741995</v>
      </c>
      <c r="DQ88" s="54">
        <f t="shared" si="453"/>
        <v>63110.747699999978</v>
      </c>
      <c r="DR88" s="58">
        <f t="shared" si="454"/>
        <v>208631.50974665993</v>
      </c>
      <c r="DU88" s="54">
        <v>1</v>
      </c>
      <c r="DV88" s="54">
        <v>0.97</v>
      </c>
      <c r="DW88" s="54">
        <v>0.95</v>
      </c>
      <c r="DX88" s="54">
        <v>0.93</v>
      </c>
      <c r="DY88" s="54">
        <f t="shared" si="508"/>
        <v>0.91</v>
      </c>
      <c r="DZ88" s="54">
        <f t="shared" si="508"/>
        <v>0.89</v>
      </c>
      <c r="EA88" s="54">
        <f t="shared" si="508"/>
        <v>0.87</v>
      </c>
      <c r="EB88" s="54">
        <f t="shared" si="508"/>
        <v>0.85</v>
      </c>
      <c r="EC88" s="54">
        <f t="shared" si="508"/>
        <v>0.83</v>
      </c>
      <c r="ED88" s="54">
        <f t="shared" si="508"/>
        <v>0.80999999999999994</v>
      </c>
      <c r="EE88" s="54">
        <f t="shared" si="508"/>
        <v>0.78999999999999992</v>
      </c>
      <c r="EF88" s="54">
        <f t="shared" si="508"/>
        <v>0.76999999999999991</v>
      </c>
      <c r="EG88" s="54">
        <f t="shared" si="508"/>
        <v>0.74999999999999989</v>
      </c>
      <c r="EH88" s="54">
        <f t="shared" si="508"/>
        <v>0.72999999999999987</v>
      </c>
      <c r="EI88" s="54">
        <f t="shared" si="508"/>
        <v>0.70999999999999985</v>
      </c>
      <c r="EJ88" s="54">
        <f t="shared" si="508"/>
        <v>0.68999999999999984</v>
      </c>
      <c r="EK88" s="54">
        <f t="shared" si="508"/>
        <v>0.66999999999999982</v>
      </c>
      <c r="EL88" s="54">
        <f t="shared" si="508"/>
        <v>0.6499999999999998</v>
      </c>
      <c r="EM88" s="54">
        <f t="shared" si="508"/>
        <v>0.62999999999999978</v>
      </c>
      <c r="EN88" s="54">
        <f t="shared" si="508"/>
        <v>0.60999999999999976</v>
      </c>
      <c r="EO88" s="54">
        <f t="shared" si="508"/>
        <v>0.58999999999999975</v>
      </c>
      <c r="EP88" s="54">
        <f t="shared" si="508"/>
        <v>0.56999999999999973</v>
      </c>
      <c r="ER88" s="54">
        <f t="shared" si="142"/>
        <v>100755.75510000002</v>
      </c>
      <c r="ES88" s="54">
        <f t="shared" si="515"/>
        <v>100755.75510000002</v>
      </c>
      <c r="ET88" s="58">
        <f t="shared" si="456"/>
        <v>333078.37520958006</v>
      </c>
      <c r="EU88" s="54">
        <f t="shared" si="457"/>
        <v>97733.082447000023</v>
      </c>
      <c r="EV88" s="58">
        <f t="shared" si="458"/>
        <v>323086.02395329269</v>
      </c>
      <c r="EW88" s="54">
        <f t="shared" si="459"/>
        <v>95717.967345000012</v>
      </c>
      <c r="EX88" s="58">
        <f t="shared" si="460"/>
        <v>316424.45644910104</v>
      </c>
      <c r="EY88" s="54">
        <f t="shared" si="461"/>
        <v>93702.85224300003</v>
      </c>
      <c r="EZ88" s="58">
        <f t="shared" si="462"/>
        <v>309762.8889449095</v>
      </c>
      <c r="FA88" s="56">
        <f t="shared" si="463"/>
        <v>91687.73714100002</v>
      </c>
      <c r="FB88" s="58">
        <f t="shared" si="464"/>
        <v>303101.32144071785</v>
      </c>
      <c r="FC88" s="54">
        <f t="shared" si="465"/>
        <v>89672.622039000024</v>
      </c>
      <c r="FD88" s="58">
        <f t="shared" si="466"/>
        <v>296439.75393652631</v>
      </c>
      <c r="FE88" s="56">
        <f t="shared" si="467"/>
        <v>87657.506937000027</v>
      </c>
      <c r="FF88" s="58">
        <f t="shared" si="468"/>
        <v>289778.18643233471</v>
      </c>
      <c r="FG88" s="59">
        <f t="shared" si="469"/>
        <v>85642.391835000017</v>
      </c>
      <c r="FH88" s="58">
        <f t="shared" si="470"/>
        <v>283116.61892814306</v>
      </c>
      <c r="FI88" s="56">
        <f t="shared" si="471"/>
        <v>83627.276733000021</v>
      </c>
      <c r="FJ88" s="58">
        <f t="shared" si="472"/>
        <v>276455.05142395146</v>
      </c>
      <c r="FK88" s="54">
        <f t="shared" si="473"/>
        <v>81612.16163100001</v>
      </c>
      <c r="FL88" s="58">
        <f t="shared" si="474"/>
        <v>269793.48391975986</v>
      </c>
      <c r="FM88" s="59">
        <f t="shared" si="475"/>
        <v>79597.046529000014</v>
      </c>
      <c r="FN88" s="58">
        <f t="shared" si="476"/>
        <v>263131.91641556827</v>
      </c>
      <c r="FO88" s="59">
        <f t="shared" si="477"/>
        <v>77581.931427000003</v>
      </c>
      <c r="FP88" s="58">
        <f t="shared" si="478"/>
        <v>256470.34891137661</v>
      </c>
      <c r="FQ88" s="59">
        <f t="shared" si="479"/>
        <v>75566.816325000007</v>
      </c>
      <c r="FR88" s="58">
        <f t="shared" si="480"/>
        <v>249808.78140718502</v>
      </c>
      <c r="FS88" s="54">
        <f t="shared" si="481"/>
        <v>73551.701223000011</v>
      </c>
      <c r="FT88" s="58">
        <f t="shared" si="482"/>
        <v>243147.21390299345</v>
      </c>
      <c r="FU88" s="59">
        <f t="shared" si="483"/>
        <v>71536.586121</v>
      </c>
      <c r="FV88" s="58">
        <f t="shared" si="484"/>
        <v>236485.64639880179</v>
      </c>
      <c r="FW88" s="59">
        <f t="shared" si="485"/>
        <v>69521.471019000004</v>
      </c>
      <c r="FX88" s="58">
        <f t="shared" si="486"/>
        <v>229824.07889461023</v>
      </c>
      <c r="FY88" s="59">
        <f t="shared" si="487"/>
        <v>67506.355916999993</v>
      </c>
      <c r="FZ88" s="58">
        <f t="shared" si="488"/>
        <v>223162.51139041857</v>
      </c>
      <c r="GA88" s="59">
        <f t="shared" si="489"/>
        <v>65491.240814999997</v>
      </c>
      <c r="GB88" s="58">
        <f t="shared" si="490"/>
        <v>216500.943886227</v>
      </c>
      <c r="GC88" s="54">
        <f t="shared" si="491"/>
        <v>63476.125712999994</v>
      </c>
      <c r="GD88" s="58">
        <f t="shared" si="492"/>
        <v>209839.37638203538</v>
      </c>
      <c r="GE88" s="59">
        <f t="shared" si="493"/>
        <v>61461.010610999991</v>
      </c>
      <c r="GF88" s="58">
        <f t="shared" si="494"/>
        <v>203177.80887784378</v>
      </c>
      <c r="GG88" s="59">
        <f t="shared" si="495"/>
        <v>59445.895508999987</v>
      </c>
      <c r="GH88" s="58">
        <f t="shared" si="496"/>
        <v>196516.24137365216</v>
      </c>
      <c r="GI88" s="54">
        <f t="shared" si="497"/>
        <v>57430.780406999984</v>
      </c>
      <c r="GJ88" s="58">
        <f t="shared" si="498"/>
        <v>189854.67386946056</v>
      </c>
      <c r="GK88" s="54"/>
      <c r="GL88" s="54"/>
      <c r="GM88" s="54">
        <v>1</v>
      </c>
      <c r="GN88" s="54">
        <v>0.97</v>
      </c>
      <c r="GO88" s="54">
        <v>0.95</v>
      </c>
      <c r="GP88" s="54">
        <v>0.93</v>
      </c>
      <c r="GQ88" s="54">
        <f t="shared" si="509"/>
        <v>0.91</v>
      </c>
      <c r="GR88" s="54">
        <f t="shared" si="509"/>
        <v>0.89</v>
      </c>
      <c r="GS88" s="54">
        <f t="shared" si="509"/>
        <v>0.87</v>
      </c>
      <c r="GT88" s="54">
        <f t="shared" si="509"/>
        <v>0.85</v>
      </c>
      <c r="GU88" s="54">
        <f t="shared" si="509"/>
        <v>0.83</v>
      </c>
      <c r="GV88" s="54">
        <f t="shared" si="509"/>
        <v>0.80999999999999994</v>
      </c>
      <c r="GW88" s="54">
        <f t="shared" si="509"/>
        <v>0.78999999999999992</v>
      </c>
      <c r="GX88" s="54">
        <f t="shared" si="509"/>
        <v>0.76999999999999991</v>
      </c>
      <c r="GY88" s="54">
        <f t="shared" si="509"/>
        <v>0.74999999999999989</v>
      </c>
      <c r="GZ88" s="54">
        <f t="shared" si="509"/>
        <v>0.72999999999999987</v>
      </c>
      <c r="HA88" s="54">
        <f t="shared" si="509"/>
        <v>0.70999999999999985</v>
      </c>
      <c r="HB88" s="54">
        <f t="shared" si="509"/>
        <v>0.68999999999999984</v>
      </c>
      <c r="HC88" s="54">
        <f t="shared" si="509"/>
        <v>0.66999999999999982</v>
      </c>
      <c r="HD88" s="54">
        <f t="shared" si="509"/>
        <v>0.6499999999999998</v>
      </c>
      <c r="HE88" s="54">
        <f t="shared" si="509"/>
        <v>0.62999999999999978</v>
      </c>
      <c r="HF88" s="54">
        <f t="shared" si="509"/>
        <v>0.60999999999999976</v>
      </c>
      <c r="HG88" s="54">
        <f t="shared" si="509"/>
        <v>0.58999999999999975</v>
      </c>
      <c r="HH88" s="54">
        <f t="shared" si="509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164070</v>
      </c>
      <c r="E89" s="39">
        <f>SUM(E63:E88)</f>
        <v>542360</v>
      </c>
      <c r="H89" s="54">
        <f t="shared" si="510"/>
        <v>596596</v>
      </c>
      <c r="I89" s="54">
        <f t="shared" si="511"/>
        <v>596596</v>
      </c>
      <c r="J89" s="58">
        <f t="shared" si="512"/>
        <v>1972227.0568000001</v>
      </c>
      <c r="K89" s="54">
        <f t="shared" si="369"/>
        <v>578698.12</v>
      </c>
      <c r="L89" s="58">
        <f t="shared" si="370"/>
        <v>1913060.2450959999</v>
      </c>
      <c r="M89" s="54">
        <f t="shared" si="371"/>
        <v>566766.19999999995</v>
      </c>
      <c r="N89" s="58">
        <f t="shared" si="372"/>
        <v>1873615.7039599998</v>
      </c>
      <c r="O89" s="54">
        <f t="shared" si="373"/>
        <v>554834.28</v>
      </c>
      <c r="P89" s="58">
        <f t="shared" si="374"/>
        <v>1834171.1628240002</v>
      </c>
      <c r="Q89" s="56">
        <f t="shared" si="375"/>
        <v>542902.36</v>
      </c>
      <c r="R89" s="58">
        <f t="shared" si="376"/>
        <v>1794726.6216879999</v>
      </c>
      <c r="S89" s="54">
        <f t="shared" si="377"/>
        <v>530970.44000000006</v>
      </c>
      <c r="T89" s="58">
        <f t="shared" si="378"/>
        <v>1755282.0805520003</v>
      </c>
      <c r="U89" s="56">
        <f t="shared" si="379"/>
        <v>519038.52</v>
      </c>
      <c r="V89" s="58">
        <f t="shared" si="380"/>
        <v>1715837.539416</v>
      </c>
      <c r="W89" s="59">
        <f t="shared" si="381"/>
        <v>507106.6</v>
      </c>
      <c r="X89" s="58">
        <f t="shared" si="382"/>
        <v>1676392.9982799999</v>
      </c>
      <c r="Y89" s="56">
        <f t="shared" si="383"/>
        <v>495174.68</v>
      </c>
      <c r="Z89" s="58">
        <f t="shared" si="384"/>
        <v>1636948.4571440001</v>
      </c>
      <c r="AA89" s="54">
        <f t="shared" si="385"/>
        <v>483242.75999999995</v>
      </c>
      <c r="AB89" s="58">
        <f t="shared" si="386"/>
        <v>1597503.9160079998</v>
      </c>
      <c r="AC89" s="59">
        <f t="shared" si="387"/>
        <v>471310.83999999997</v>
      </c>
      <c r="AD89" s="58">
        <f t="shared" si="388"/>
        <v>1558059.374872</v>
      </c>
      <c r="AE89" s="59">
        <f t="shared" si="389"/>
        <v>459378.91999999993</v>
      </c>
      <c r="AF89" s="58">
        <f t="shared" si="390"/>
        <v>1518614.8337359999</v>
      </c>
      <c r="AG89" s="59">
        <f t="shared" si="391"/>
        <v>447446.99999999994</v>
      </c>
      <c r="AH89" s="58">
        <f t="shared" si="392"/>
        <v>1479170.2925999998</v>
      </c>
      <c r="AI89" s="54">
        <f t="shared" si="393"/>
        <v>435515.0799999999</v>
      </c>
      <c r="AJ89" s="58">
        <f t="shared" si="394"/>
        <v>1439725.7514639997</v>
      </c>
      <c r="AK89" s="59">
        <f t="shared" si="395"/>
        <v>423583.15999999992</v>
      </c>
      <c r="AL89" s="58">
        <f t="shared" si="396"/>
        <v>1400281.2103279997</v>
      </c>
      <c r="AM89" s="59">
        <f t="shared" si="397"/>
        <v>411651.23999999987</v>
      </c>
      <c r="AN89" s="58">
        <f t="shared" si="398"/>
        <v>1360836.6691919996</v>
      </c>
      <c r="AO89" s="59">
        <f t="shared" si="399"/>
        <v>399719.31999999989</v>
      </c>
      <c r="AP89" s="58">
        <f t="shared" si="400"/>
        <v>1321392.1280559998</v>
      </c>
      <c r="AQ89" s="59">
        <f t="shared" si="401"/>
        <v>387787.39999999991</v>
      </c>
      <c r="AR89" s="58">
        <f t="shared" si="402"/>
        <v>1281947.5869199997</v>
      </c>
      <c r="AS89" s="54">
        <f t="shared" si="403"/>
        <v>375855.47999999986</v>
      </c>
      <c r="AT89" s="58">
        <f t="shared" si="404"/>
        <v>1242503.0457839996</v>
      </c>
      <c r="AU89" s="59">
        <f t="shared" si="405"/>
        <v>363923.55999999988</v>
      </c>
      <c r="AV89" s="58">
        <f t="shared" si="406"/>
        <v>1203058.5046479995</v>
      </c>
      <c r="AW89" s="59">
        <f t="shared" si="407"/>
        <v>351991.63999999984</v>
      </c>
      <c r="AX89" s="58">
        <f t="shared" si="408"/>
        <v>1163613.9635119995</v>
      </c>
      <c r="AY89" s="54">
        <f t="shared" si="409"/>
        <v>340059.71999999986</v>
      </c>
      <c r="AZ89" s="58">
        <f t="shared" si="410"/>
        <v>1124169.4223759996</v>
      </c>
      <c r="BC89" s="54">
        <v>1</v>
      </c>
      <c r="BD89" s="54">
        <v>0.97</v>
      </c>
      <c r="BE89" s="54">
        <v>0.95</v>
      </c>
      <c r="BF89" s="54">
        <v>0.93</v>
      </c>
      <c r="BG89" s="54">
        <f t="shared" si="505"/>
        <v>0.91</v>
      </c>
      <c r="BH89" s="54">
        <f t="shared" si="505"/>
        <v>0.89</v>
      </c>
      <c r="BI89" s="54">
        <f t="shared" si="505"/>
        <v>0.87</v>
      </c>
      <c r="BJ89" s="54">
        <f t="shared" si="505"/>
        <v>0.85</v>
      </c>
      <c r="BK89" s="54">
        <f t="shared" si="505"/>
        <v>0.83</v>
      </c>
      <c r="BL89" s="54">
        <f t="shared" si="505"/>
        <v>0.80999999999999994</v>
      </c>
      <c r="BM89" s="54">
        <f t="shared" si="505"/>
        <v>0.78999999999999992</v>
      </c>
      <c r="BN89" s="54">
        <f t="shared" si="505"/>
        <v>0.76999999999999991</v>
      </c>
      <c r="BO89" s="54">
        <f t="shared" si="505"/>
        <v>0.74999999999999989</v>
      </c>
      <c r="BP89" s="54">
        <f t="shared" si="505"/>
        <v>0.72999999999999987</v>
      </c>
      <c r="BQ89" s="54">
        <f t="shared" si="505"/>
        <v>0.70999999999999985</v>
      </c>
      <c r="BR89" s="54">
        <f t="shared" si="505"/>
        <v>0.68999999999999984</v>
      </c>
      <c r="BS89" s="54">
        <f t="shared" si="505"/>
        <v>0.66999999999999982</v>
      </c>
      <c r="BT89" s="54">
        <f t="shared" si="505"/>
        <v>0.6499999999999998</v>
      </c>
      <c r="BU89" s="54">
        <f t="shared" si="505"/>
        <v>0.62999999999999978</v>
      </c>
      <c r="BV89" s="54">
        <f t="shared" si="505"/>
        <v>0.60999999999999976</v>
      </c>
      <c r="BW89" s="54">
        <f t="shared" si="505"/>
        <v>0.58999999999999975</v>
      </c>
      <c r="BX89" s="54">
        <f t="shared" si="505"/>
        <v>0.56999999999999973</v>
      </c>
      <c r="BZ89" s="54">
        <f t="shared" si="513"/>
        <v>542902.36</v>
      </c>
      <c r="CA89" s="54">
        <f t="shared" si="514"/>
        <v>542902.36</v>
      </c>
      <c r="CB89" s="58">
        <f t="shared" si="412"/>
        <v>1794726.6216879999</v>
      </c>
      <c r="CC89" s="54">
        <f t="shared" si="413"/>
        <v>526615.2892</v>
      </c>
      <c r="CD89" s="58">
        <f t="shared" si="414"/>
        <v>1740884.8230373601</v>
      </c>
      <c r="CE89" s="54">
        <f t="shared" si="415"/>
        <v>515757.24199999997</v>
      </c>
      <c r="CF89" s="58">
        <f t="shared" si="416"/>
        <v>1704990.2906036</v>
      </c>
      <c r="CG89" s="54">
        <f t="shared" si="417"/>
        <v>504899.1948</v>
      </c>
      <c r="CH89" s="58">
        <f t="shared" si="418"/>
        <v>1669095.7581698401</v>
      </c>
      <c r="CI89" s="56">
        <f t="shared" si="419"/>
        <v>494041.14760000003</v>
      </c>
      <c r="CJ89" s="58">
        <f t="shared" si="420"/>
        <v>1633201.2257360802</v>
      </c>
      <c r="CK89" s="54">
        <f t="shared" si="421"/>
        <v>483183.1004</v>
      </c>
      <c r="CL89" s="58">
        <f t="shared" si="422"/>
        <v>1597306.6933023201</v>
      </c>
      <c r="CM89" s="56">
        <f t="shared" si="423"/>
        <v>472325.05319999997</v>
      </c>
      <c r="CN89" s="58">
        <f t="shared" si="424"/>
        <v>1561412.16086856</v>
      </c>
      <c r="CO89" s="59">
        <f t="shared" si="425"/>
        <v>461467.00599999999</v>
      </c>
      <c r="CP89" s="58">
        <f t="shared" si="426"/>
        <v>1525517.6284348001</v>
      </c>
      <c r="CQ89" s="56">
        <f t="shared" si="427"/>
        <v>450608.95879999996</v>
      </c>
      <c r="CR89" s="58">
        <f t="shared" si="428"/>
        <v>1489623.09600104</v>
      </c>
      <c r="CS89" s="54">
        <f t="shared" si="429"/>
        <v>439750.91159999993</v>
      </c>
      <c r="CT89" s="58">
        <f t="shared" si="430"/>
        <v>1453728.5635672798</v>
      </c>
      <c r="CU89" s="59">
        <f t="shared" si="431"/>
        <v>428892.86439999996</v>
      </c>
      <c r="CV89" s="58">
        <f t="shared" si="432"/>
        <v>1417834.03113352</v>
      </c>
      <c r="CW89" s="59">
        <f t="shared" si="433"/>
        <v>418034.81719999993</v>
      </c>
      <c r="CX89" s="58">
        <f t="shared" si="434"/>
        <v>1381939.4986997598</v>
      </c>
      <c r="CY89" s="59">
        <f t="shared" si="435"/>
        <v>407176.7699999999</v>
      </c>
      <c r="CZ89" s="58">
        <f t="shared" si="436"/>
        <v>1346044.9662659997</v>
      </c>
      <c r="DA89" s="54">
        <f t="shared" si="437"/>
        <v>396318.72279999993</v>
      </c>
      <c r="DB89" s="58">
        <f t="shared" si="438"/>
        <v>1310150.4338322398</v>
      </c>
      <c r="DC89" s="59">
        <f t="shared" si="439"/>
        <v>385460.6755999999</v>
      </c>
      <c r="DD89" s="58">
        <f t="shared" si="440"/>
        <v>1274255.9013984797</v>
      </c>
      <c r="DE89" s="59">
        <f t="shared" si="441"/>
        <v>374602.62839999993</v>
      </c>
      <c r="DF89" s="58">
        <f t="shared" si="442"/>
        <v>1238361.3689647198</v>
      </c>
      <c r="DG89" s="59">
        <f t="shared" si="443"/>
        <v>363744.5811999999</v>
      </c>
      <c r="DH89" s="58">
        <f t="shared" si="444"/>
        <v>1202466.8365309597</v>
      </c>
      <c r="DI89" s="59">
        <f t="shared" si="445"/>
        <v>352886.53399999987</v>
      </c>
      <c r="DJ89" s="58">
        <f t="shared" si="446"/>
        <v>1166572.3040971996</v>
      </c>
      <c r="DK89" s="54">
        <f t="shared" si="447"/>
        <v>342028.4867999999</v>
      </c>
      <c r="DL89" s="58">
        <f t="shared" si="448"/>
        <v>1130677.7716634397</v>
      </c>
      <c r="DM89" s="59">
        <f t="shared" si="449"/>
        <v>331170.43959999987</v>
      </c>
      <c r="DN89" s="58">
        <f t="shared" si="450"/>
        <v>1094783.2392296796</v>
      </c>
      <c r="DO89" s="59">
        <f t="shared" si="451"/>
        <v>320312.39239999984</v>
      </c>
      <c r="DP89" s="58">
        <f t="shared" si="452"/>
        <v>1058888.7067959195</v>
      </c>
      <c r="DQ89" s="54">
        <f t="shared" si="453"/>
        <v>309454.34519999987</v>
      </c>
      <c r="DR89" s="58">
        <f t="shared" si="454"/>
        <v>1022994.1743621596</v>
      </c>
      <c r="DU89" s="54">
        <v>1</v>
      </c>
      <c r="DV89" s="54">
        <v>0.97</v>
      </c>
      <c r="DW89" s="54">
        <v>0.95</v>
      </c>
      <c r="DX89" s="54">
        <v>0.93</v>
      </c>
      <c r="DY89" s="54">
        <f t="shared" si="508"/>
        <v>0.91</v>
      </c>
      <c r="DZ89" s="54">
        <f t="shared" si="508"/>
        <v>0.89</v>
      </c>
      <c r="EA89" s="54">
        <f t="shared" si="508"/>
        <v>0.87</v>
      </c>
      <c r="EB89" s="54">
        <f t="shared" si="508"/>
        <v>0.85</v>
      </c>
      <c r="EC89" s="54">
        <f t="shared" si="508"/>
        <v>0.83</v>
      </c>
      <c r="ED89" s="54">
        <f t="shared" si="508"/>
        <v>0.80999999999999994</v>
      </c>
      <c r="EE89" s="54">
        <f t="shared" si="508"/>
        <v>0.78999999999999992</v>
      </c>
      <c r="EF89" s="54">
        <f t="shared" si="508"/>
        <v>0.76999999999999991</v>
      </c>
      <c r="EG89" s="54">
        <f t="shared" si="508"/>
        <v>0.74999999999999989</v>
      </c>
      <c r="EH89" s="54">
        <f t="shared" si="508"/>
        <v>0.72999999999999987</v>
      </c>
      <c r="EI89" s="54">
        <f t="shared" si="508"/>
        <v>0.70999999999999985</v>
      </c>
      <c r="EJ89" s="54">
        <f t="shared" si="508"/>
        <v>0.68999999999999984</v>
      </c>
      <c r="EK89" s="54">
        <f t="shared" si="508"/>
        <v>0.66999999999999982</v>
      </c>
      <c r="EL89" s="54">
        <f t="shared" si="508"/>
        <v>0.6499999999999998</v>
      </c>
      <c r="EM89" s="54">
        <f t="shared" si="508"/>
        <v>0.62999999999999978</v>
      </c>
      <c r="EN89" s="54">
        <f t="shared" si="508"/>
        <v>0.60999999999999976</v>
      </c>
      <c r="EO89" s="54">
        <f t="shared" si="508"/>
        <v>0.58999999999999975</v>
      </c>
      <c r="EP89" s="54">
        <f t="shared" si="508"/>
        <v>0.56999999999999973</v>
      </c>
      <c r="ER89" s="54">
        <f t="shared" si="142"/>
        <v>494041.14760000003</v>
      </c>
      <c r="ES89" s="54">
        <f t="shared" si="515"/>
        <v>494041.14760000003</v>
      </c>
      <c r="ET89" s="58">
        <f t="shared" si="456"/>
        <v>1633201.2257360802</v>
      </c>
      <c r="EU89" s="54">
        <f t="shared" si="457"/>
        <v>479219.91317200003</v>
      </c>
      <c r="EV89" s="58">
        <f t="shared" si="458"/>
        <v>1584205.1889639976</v>
      </c>
      <c r="EW89" s="54">
        <f t="shared" si="459"/>
        <v>469339.09022000001</v>
      </c>
      <c r="EX89" s="58">
        <f t="shared" si="460"/>
        <v>1551541.1644492762</v>
      </c>
      <c r="EY89" s="54">
        <f t="shared" si="461"/>
        <v>459458.26726800005</v>
      </c>
      <c r="EZ89" s="58">
        <f t="shared" si="462"/>
        <v>1518877.1399345547</v>
      </c>
      <c r="FA89" s="56">
        <f t="shared" si="463"/>
        <v>449577.44431600004</v>
      </c>
      <c r="FB89" s="58">
        <f t="shared" si="464"/>
        <v>1486213.115419833</v>
      </c>
      <c r="FC89" s="54">
        <f t="shared" si="465"/>
        <v>439696.62136400002</v>
      </c>
      <c r="FD89" s="58">
        <f t="shared" si="466"/>
        <v>1453549.0909051113</v>
      </c>
      <c r="FE89" s="56">
        <f t="shared" si="467"/>
        <v>429815.798412</v>
      </c>
      <c r="FF89" s="58">
        <f t="shared" si="468"/>
        <v>1420885.0663903896</v>
      </c>
      <c r="FG89" s="59">
        <f t="shared" si="469"/>
        <v>419934.97545999999</v>
      </c>
      <c r="FH89" s="58">
        <f t="shared" si="470"/>
        <v>1388221.0418756681</v>
      </c>
      <c r="FI89" s="56">
        <f t="shared" si="471"/>
        <v>410054.15250800003</v>
      </c>
      <c r="FJ89" s="58">
        <f t="shared" si="472"/>
        <v>1355557.0173609466</v>
      </c>
      <c r="FK89" s="54">
        <f t="shared" si="473"/>
        <v>400173.32955600001</v>
      </c>
      <c r="FL89" s="58">
        <f t="shared" si="474"/>
        <v>1322892.9928462249</v>
      </c>
      <c r="FM89" s="59">
        <f t="shared" si="475"/>
        <v>390292.50660399999</v>
      </c>
      <c r="FN89" s="58">
        <f t="shared" si="476"/>
        <v>1290228.9683315032</v>
      </c>
      <c r="FO89" s="59">
        <f t="shared" si="477"/>
        <v>380411.68365199998</v>
      </c>
      <c r="FP89" s="58">
        <f t="shared" si="478"/>
        <v>1257564.9438167815</v>
      </c>
      <c r="FQ89" s="59">
        <f t="shared" si="479"/>
        <v>370530.86069999996</v>
      </c>
      <c r="FR89" s="58">
        <f t="shared" si="480"/>
        <v>1224900.9193020598</v>
      </c>
      <c r="FS89" s="54">
        <f t="shared" si="481"/>
        <v>360650.03774799994</v>
      </c>
      <c r="FT89" s="58">
        <f t="shared" si="482"/>
        <v>1192236.8947873383</v>
      </c>
      <c r="FU89" s="59">
        <f t="shared" si="483"/>
        <v>350769.21479599993</v>
      </c>
      <c r="FV89" s="58">
        <f t="shared" si="484"/>
        <v>1159572.8702726166</v>
      </c>
      <c r="FW89" s="59">
        <f t="shared" si="485"/>
        <v>340888.39184399991</v>
      </c>
      <c r="FX89" s="58">
        <f t="shared" si="486"/>
        <v>1126908.8457578949</v>
      </c>
      <c r="FY89" s="59">
        <f t="shared" si="487"/>
        <v>331007.56889199995</v>
      </c>
      <c r="FZ89" s="58">
        <f t="shared" si="488"/>
        <v>1094244.8212431734</v>
      </c>
      <c r="GA89" s="59">
        <f t="shared" si="489"/>
        <v>321126.74593999994</v>
      </c>
      <c r="GB89" s="58">
        <f t="shared" si="490"/>
        <v>1061580.7967284517</v>
      </c>
      <c r="GC89" s="54">
        <f t="shared" si="491"/>
        <v>311245.92298799992</v>
      </c>
      <c r="GD89" s="58">
        <f t="shared" si="492"/>
        <v>1028916.7722137301</v>
      </c>
      <c r="GE89" s="59">
        <f t="shared" si="493"/>
        <v>301365.1000359999</v>
      </c>
      <c r="GF89" s="58">
        <f t="shared" si="494"/>
        <v>996252.74769900844</v>
      </c>
      <c r="GG89" s="59">
        <f t="shared" si="495"/>
        <v>291484.27708399988</v>
      </c>
      <c r="GH89" s="58">
        <f t="shared" si="496"/>
        <v>963588.72318428685</v>
      </c>
      <c r="GI89" s="54">
        <f t="shared" si="497"/>
        <v>281603.45413199987</v>
      </c>
      <c r="GJ89" s="58">
        <f t="shared" si="498"/>
        <v>930924.69866956514</v>
      </c>
      <c r="GK89" s="54"/>
      <c r="GL89" s="54"/>
      <c r="GM89" s="54">
        <v>1</v>
      </c>
      <c r="GN89" s="54">
        <v>0.97</v>
      </c>
      <c r="GO89" s="54">
        <v>0.95</v>
      </c>
      <c r="GP89" s="54">
        <v>0.93</v>
      </c>
      <c r="GQ89" s="54">
        <f t="shared" si="509"/>
        <v>0.91</v>
      </c>
      <c r="GR89" s="54">
        <f t="shared" si="509"/>
        <v>0.89</v>
      </c>
      <c r="GS89" s="54">
        <f t="shared" si="509"/>
        <v>0.87</v>
      </c>
      <c r="GT89" s="54">
        <f t="shared" si="509"/>
        <v>0.85</v>
      </c>
      <c r="GU89" s="54">
        <f t="shared" si="509"/>
        <v>0.83</v>
      </c>
      <c r="GV89" s="54">
        <f t="shared" si="509"/>
        <v>0.80999999999999994</v>
      </c>
      <c r="GW89" s="54">
        <f t="shared" si="509"/>
        <v>0.78999999999999992</v>
      </c>
      <c r="GX89" s="54">
        <f t="shared" si="509"/>
        <v>0.76999999999999991</v>
      </c>
      <c r="GY89" s="54">
        <f t="shared" si="509"/>
        <v>0.74999999999999989</v>
      </c>
      <c r="GZ89" s="54">
        <f t="shared" si="509"/>
        <v>0.72999999999999987</v>
      </c>
      <c r="HA89" s="54">
        <f t="shared" si="509"/>
        <v>0.70999999999999985</v>
      </c>
      <c r="HB89" s="54">
        <f t="shared" si="509"/>
        <v>0.68999999999999984</v>
      </c>
      <c r="HC89" s="54">
        <f t="shared" si="509"/>
        <v>0.66999999999999982</v>
      </c>
      <c r="HD89" s="54">
        <f t="shared" si="509"/>
        <v>0.6499999999999998</v>
      </c>
      <c r="HE89" s="54">
        <f t="shared" si="509"/>
        <v>0.62999999999999978</v>
      </c>
      <c r="HF89" s="54">
        <f t="shared" si="509"/>
        <v>0.60999999999999976</v>
      </c>
      <c r="HG89" s="54">
        <f t="shared" si="509"/>
        <v>0.58999999999999975</v>
      </c>
      <c r="HH89" s="54">
        <f t="shared" si="509"/>
        <v>0.56999999999999973</v>
      </c>
    </row>
    <row r="90" spans="1:216" s="63" customFormat="1" x14ac:dyDescent="0.3">
      <c r="C90" s="64"/>
      <c r="D90" s="64"/>
      <c r="E90" s="64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1"/>
      <c r="Q90" s="60"/>
      <c r="R90" s="60"/>
      <c r="S90" s="60"/>
      <c r="T90" s="61"/>
      <c r="U90" s="60"/>
      <c r="V90" s="62"/>
      <c r="W90" s="60"/>
      <c r="X90" s="61"/>
      <c r="Y90" s="60"/>
      <c r="Z90" s="60"/>
      <c r="AA90" s="60"/>
      <c r="AB90" s="62"/>
      <c r="AC90" s="60"/>
      <c r="AD90" s="62"/>
      <c r="AE90" s="60"/>
      <c r="AF90" s="62"/>
      <c r="AG90" s="60"/>
      <c r="AH90" s="60"/>
      <c r="AI90" s="60"/>
      <c r="AJ90" s="62"/>
      <c r="AK90" s="60"/>
      <c r="AL90" s="62"/>
      <c r="AM90" s="60"/>
      <c r="AN90" s="62"/>
      <c r="AO90" s="60"/>
      <c r="AP90" s="62"/>
      <c r="AQ90" s="60"/>
      <c r="AR90" s="60"/>
      <c r="AS90" s="60"/>
      <c r="AT90" s="62"/>
      <c r="AU90" s="60"/>
      <c r="AV90" s="62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>
        <f t="shared" ref="BY90:BY91" si="516">+G90*0.91</f>
        <v>0</v>
      </c>
      <c r="BZ90" s="60"/>
      <c r="CA90" s="60"/>
      <c r="CB90" s="60"/>
      <c r="CC90" s="60"/>
      <c r="CD90" s="60"/>
      <c r="CE90" s="60"/>
      <c r="CF90" s="60"/>
      <c r="CG90" s="60"/>
      <c r="CH90" s="61"/>
      <c r="CI90" s="60"/>
      <c r="CJ90" s="60"/>
      <c r="CK90" s="60"/>
      <c r="CL90" s="61"/>
      <c r="CM90" s="60"/>
      <c r="CN90" s="62"/>
      <c r="CO90" s="60"/>
      <c r="CP90" s="61"/>
      <c r="CQ90" s="60"/>
      <c r="CR90" s="60"/>
      <c r="CS90" s="60"/>
      <c r="CT90" s="62"/>
      <c r="CU90" s="60"/>
      <c r="CV90" s="62"/>
      <c r="CW90" s="60"/>
      <c r="CX90" s="62"/>
      <c r="CY90" s="60"/>
      <c r="CZ90" s="60"/>
      <c r="DA90" s="60"/>
      <c r="DB90" s="62"/>
      <c r="DC90" s="60"/>
      <c r="DD90" s="62"/>
      <c r="DE90" s="60"/>
      <c r="DF90" s="62"/>
      <c r="DG90" s="60"/>
      <c r="DH90" s="62"/>
      <c r="DI90" s="60"/>
      <c r="DJ90" s="60"/>
      <c r="DK90" s="60"/>
      <c r="DL90" s="62"/>
      <c r="DM90" s="60"/>
      <c r="DN90" s="62"/>
      <c r="DO90" s="60"/>
      <c r="DP90" s="60"/>
      <c r="DQ90" s="60"/>
      <c r="DR90" s="60"/>
      <c r="DS90" s="60"/>
      <c r="DT90" s="60">
        <v>1</v>
      </c>
      <c r="DU90" s="60">
        <v>0.97</v>
      </c>
      <c r="DV90" s="60">
        <v>0.95</v>
      </c>
      <c r="DW90" s="60">
        <v>0.93</v>
      </c>
      <c r="DX90" s="60">
        <f t="shared" ref="DX90:EO91" si="517">+DW90-0.02</f>
        <v>0.91</v>
      </c>
      <c r="DY90" s="60">
        <f t="shared" si="517"/>
        <v>0.89</v>
      </c>
      <c r="DZ90" s="60">
        <f t="shared" si="517"/>
        <v>0.87</v>
      </c>
      <c r="EA90" s="60">
        <f t="shared" si="517"/>
        <v>0.85</v>
      </c>
      <c r="EB90" s="60">
        <f t="shared" si="517"/>
        <v>0.83</v>
      </c>
      <c r="EC90" s="60">
        <f t="shared" si="517"/>
        <v>0.80999999999999994</v>
      </c>
      <c r="ED90" s="60">
        <f t="shared" si="517"/>
        <v>0.78999999999999992</v>
      </c>
      <c r="EE90" s="60">
        <f t="shared" si="517"/>
        <v>0.76999999999999991</v>
      </c>
      <c r="EF90" s="60">
        <f t="shared" si="517"/>
        <v>0.74999999999999989</v>
      </c>
      <c r="EG90" s="60">
        <f t="shared" si="517"/>
        <v>0.72999999999999987</v>
      </c>
      <c r="EH90" s="60">
        <f t="shared" si="517"/>
        <v>0.70999999999999985</v>
      </c>
      <c r="EI90" s="60">
        <f t="shared" si="517"/>
        <v>0.68999999999999984</v>
      </c>
      <c r="EJ90" s="60">
        <f t="shared" si="517"/>
        <v>0.66999999999999982</v>
      </c>
      <c r="EK90" s="60">
        <f t="shared" si="517"/>
        <v>0.6499999999999998</v>
      </c>
      <c r="EL90" s="60">
        <f t="shared" si="517"/>
        <v>0.62999999999999978</v>
      </c>
      <c r="EM90" s="60">
        <f t="shared" si="517"/>
        <v>0.60999999999999976</v>
      </c>
      <c r="EN90" s="60">
        <f t="shared" si="517"/>
        <v>0.58999999999999975</v>
      </c>
      <c r="EO90" s="60">
        <f t="shared" si="517"/>
        <v>0.56999999999999973</v>
      </c>
      <c r="EQ90" s="60">
        <f t="shared" ref="EQ90:EQ91" si="518">+BY90*0.91</f>
        <v>0</v>
      </c>
      <c r="ER90" s="60"/>
      <c r="ES90" s="60"/>
      <c r="ET90" s="60"/>
      <c r="EU90" s="60"/>
      <c r="EV90" s="60"/>
      <c r="EW90" s="60"/>
      <c r="EX90" s="60"/>
      <c r="EY90" s="60"/>
      <c r="EZ90" s="61"/>
      <c r="FA90" s="60"/>
      <c r="FB90" s="60"/>
      <c r="FC90" s="60"/>
      <c r="FD90" s="61"/>
      <c r="FE90" s="60"/>
      <c r="FF90" s="62"/>
      <c r="FG90" s="60"/>
      <c r="FH90" s="61"/>
      <c r="FI90" s="60"/>
      <c r="FJ90" s="60"/>
      <c r="FK90" s="60"/>
      <c r="FL90" s="62"/>
      <c r="FM90" s="60"/>
      <c r="FN90" s="62"/>
      <c r="FO90" s="60"/>
      <c r="FP90" s="62"/>
      <c r="FQ90" s="60"/>
      <c r="FR90" s="60"/>
      <c r="FS90" s="60"/>
      <c r="FT90" s="62"/>
      <c r="FU90" s="60"/>
      <c r="FV90" s="62"/>
      <c r="FW90" s="60"/>
      <c r="FX90" s="62"/>
      <c r="FY90" s="60"/>
      <c r="FZ90" s="62"/>
      <c r="GA90" s="60"/>
      <c r="GB90" s="60"/>
      <c r="GC90" s="60"/>
      <c r="GD90" s="62"/>
      <c r="GE90" s="60"/>
      <c r="GF90" s="62"/>
      <c r="GG90" s="60"/>
      <c r="GH90" s="60"/>
      <c r="GI90" s="60"/>
      <c r="GJ90" s="60"/>
      <c r="GK90" s="60"/>
      <c r="GL90" s="60">
        <v>1</v>
      </c>
      <c r="GM90" s="60">
        <v>0.97</v>
      </c>
      <c r="GN90" s="60">
        <v>0.95</v>
      </c>
      <c r="GO90" s="60">
        <v>0.93</v>
      </c>
      <c r="GP90" s="60">
        <f t="shared" ref="GP90:HG91" si="519">+GO90-0.02</f>
        <v>0.91</v>
      </c>
      <c r="GQ90" s="60">
        <f t="shared" si="519"/>
        <v>0.89</v>
      </c>
      <c r="GR90" s="60">
        <f t="shared" si="519"/>
        <v>0.87</v>
      </c>
      <c r="GS90" s="60">
        <f t="shared" si="519"/>
        <v>0.85</v>
      </c>
      <c r="GT90" s="60">
        <f t="shared" si="519"/>
        <v>0.83</v>
      </c>
      <c r="GU90" s="60">
        <f t="shared" si="519"/>
        <v>0.80999999999999994</v>
      </c>
      <c r="GV90" s="60">
        <f t="shared" si="519"/>
        <v>0.78999999999999992</v>
      </c>
      <c r="GW90" s="60">
        <f t="shared" si="519"/>
        <v>0.76999999999999991</v>
      </c>
      <c r="GX90" s="60">
        <f t="shared" si="519"/>
        <v>0.74999999999999989</v>
      </c>
      <c r="GY90" s="60">
        <f t="shared" si="519"/>
        <v>0.72999999999999987</v>
      </c>
      <c r="GZ90" s="60">
        <f t="shared" si="519"/>
        <v>0.70999999999999985</v>
      </c>
      <c r="HA90" s="60">
        <f t="shared" si="519"/>
        <v>0.68999999999999984</v>
      </c>
      <c r="HB90" s="60">
        <f t="shared" si="519"/>
        <v>0.66999999999999982</v>
      </c>
      <c r="HC90" s="60">
        <f t="shared" si="519"/>
        <v>0.6499999999999998</v>
      </c>
      <c r="HD90" s="60">
        <f t="shared" si="519"/>
        <v>0.62999999999999978</v>
      </c>
      <c r="HE90" s="60">
        <f t="shared" si="519"/>
        <v>0.60999999999999976</v>
      </c>
      <c r="HF90" s="60">
        <f t="shared" si="519"/>
        <v>0.58999999999999975</v>
      </c>
      <c r="HG90" s="60">
        <f t="shared" si="519"/>
        <v>0.56999999999999973</v>
      </c>
    </row>
    <row r="91" spans="1:216" s="63" customFormat="1" ht="17.25" thickBot="1" x14ac:dyDescent="0.35">
      <c r="B91" s="63" t="s">
        <v>295</v>
      </c>
      <c r="C91" s="63" t="s">
        <v>294</v>
      </c>
      <c r="D91" s="64" t="s">
        <v>304</v>
      </c>
      <c r="E91" s="64" t="s">
        <v>324</v>
      </c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1"/>
      <c r="Q91" s="60"/>
      <c r="R91" s="60"/>
      <c r="S91" s="60"/>
      <c r="T91" s="61"/>
      <c r="U91" s="60"/>
      <c r="V91" s="62"/>
      <c r="W91" s="60"/>
      <c r="X91" s="61"/>
      <c r="Y91" s="60"/>
      <c r="Z91" s="60"/>
      <c r="AA91" s="60"/>
      <c r="AB91" s="62"/>
      <c r="AC91" s="60"/>
      <c r="AD91" s="62"/>
      <c r="AE91" s="60"/>
      <c r="AF91" s="62"/>
      <c r="AG91" s="60"/>
      <c r="AH91" s="60"/>
      <c r="AI91" s="60"/>
      <c r="AJ91" s="62"/>
      <c r="AK91" s="60"/>
      <c r="AL91" s="62"/>
      <c r="AM91" s="60"/>
      <c r="AN91" s="62"/>
      <c r="AO91" s="60"/>
      <c r="AP91" s="62"/>
      <c r="AQ91" s="60"/>
      <c r="AR91" s="60"/>
      <c r="AS91" s="60"/>
      <c r="AT91" s="62"/>
      <c r="AU91" s="60"/>
      <c r="AV91" s="62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>
        <f t="shared" si="516"/>
        <v>0</v>
      </c>
      <c r="BZ91" s="60"/>
      <c r="CA91" s="60"/>
      <c r="CB91" s="60"/>
      <c r="CC91" s="60"/>
      <c r="CD91" s="60"/>
      <c r="CE91" s="60"/>
      <c r="CF91" s="60"/>
      <c r="CG91" s="60"/>
      <c r="CH91" s="61"/>
      <c r="CI91" s="60"/>
      <c r="CJ91" s="60"/>
      <c r="CK91" s="60"/>
      <c r="CL91" s="61"/>
      <c r="CM91" s="60"/>
      <c r="CN91" s="62"/>
      <c r="CO91" s="60"/>
      <c r="CP91" s="61"/>
      <c r="CQ91" s="60"/>
      <c r="CR91" s="60"/>
      <c r="CS91" s="60"/>
      <c r="CT91" s="62"/>
      <c r="CU91" s="60"/>
      <c r="CV91" s="62"/>
      <c r="CW91" s="60"/>
      <c r="CX91" s="62"/>
      <c r="CY91" s="60"/>
      <c r="CZ91" s="60"/>
      <c r="DA91" s="60"/>
      <c r="DB91" s="62"/>
      <c r="DC91" s="60"/>
      <c r="DD91" s="62"/>
      <c r="DE91" s="60"/>
      <c r="DF91" s="62"/>
      <c r="DG91" s="60"/>
      <c r="DH91" s="62"/>
      <c r="DI91" s="60"/>
      <c r="DJ91" s="60"/>
      <c r="DK91" s="60"/>
      <c r="DL91" s="62"/>
      <c r="DM91" s="60"/>
      <c r="DN91" s="62"/>
      <c r="DO91" s="60"/>
      <c r="DP91" s="60"/>
      <c r="DQ91" s="60"/>
      <c r="DR91" s="60"/>
      <c r="DS91" s="60"/>
      <c r="DT91" s="60">
        <v>1</v>
      </c>
      <c r="DU91" s="60">
        <v>0.97</v>
      </c>
      <c r="DV91" s="60">
        <v>0.95</v>
      </c>
      <c r="DW91" s="60">
        <v>0.93</v>
      </c>
      <c r="DX91" s="60">
        <f t="shared" si="517"/>
        <v>0.91</v>
      </c>
      <c r="DY91" s="60">
        <f t="shared" si="517"/>
        <v>0.89</v>
      </c>
      <c r="DZ91" s="60">
        <f t="shared" si="517"/>
        <v>0.87</v>
      </c>
      <c r="EA91" s="60">
        <f t="shared" si="517"/>
        <v>0.85</v>
      </c>
      <c r="EB91" s="60">
        <f t="shared" si="517"/>
        <v>0.83</v>
      </c>
      <c r="EC91" s="60">
        <f t="shared" si="517"/>
        <v>0.80999999999999994</v>
      </c>
      <c r="ED91" s="60">
        <f t="shared" si="517"/>
        <v>0.78999999999999992</v>
      </c>
      <c r="EE91" s="60">
        <f t="shared" si="517"/>
        <v>0.76999999999999991</v>
      </c>
      <c r="EF91" s="60">
        <f t="shared" si="517"/>
        <v>0.74999999999999989</v>
      </c>
      <c r="EG91" s="60">
        <f t="shared" si="517"/>
        <v>0.72999999999999987</v>
      </c>
      <c r="EH91" s="60">
        <f t="shared" si="517"/>
        <v>0.70999999999999985</v>
      </c>
      <c r="EI91" s="60">
        <f t="shared" si="517"/>
        <v>0.68999999999999984</v>
      </c>
      <c r="EJ91" s="60">
        <f t="shared" si="517"/>
        <v>0.66999999999999982</v>
      </c>
      <c r="EK91" s="60">
        <f t="shared" si="517"/>
        <v>0.6499999999999998</v>
      </c>
      <c r="EL91" s="60">
        <f t="shared" si="517"/>
        <v>0.62999999999999978</v>
      </c>
      <c r="EM91" s="60">
        <f t="shared" si="517"/>
        <v>0.60999999999999976</v>
      </c>
      <c r="EN91" s="60">
        <f t="shared" si="517"/>
        <v>0.58999999999999975</v>
      </c>
      <c r="EO91" s="60">
        <f t="shared" si="517"/>
        <v>0.56999999999999973</v>
      </c>
      <c r="EQ91" s="60">
        <f t="shared" si="518"/>
        <v>0</v>
      </c>
      <c r="ER91" s="60"/>
      <c r="ES91" s="60"/>
      <c r="ET91" s="60"/>
      <c r="EU91" s="60"/>
      <c r="EV91" s="60"/>
      <c r="EW91" s="60"/>
      <c r="EX91" s="60"/>
      <c r="EY91" s="60"/>
      <c r="EZ91" s="61"/>
      <c r="FA91" s="60"/>
      <c r="FB91" s="60"/>
      <c r="FC91" s="60"/>
      <c r="FD91" s="61"/>
      <c r="FE91" s="60"/>
      <c r="FF91" s="62"/>
      <c r="FG91" s="60"/>
      <c r="FH91" s="61"/>
      <c r="FI91" s="60"/>
      <c r="FJ91" s="60"/>
      <c r="FK91" s="60"/>
      <c r="FL91" s="62"/>
      <c r="FM91" s="60"/>
      <c r="FN91" s="62"/>
      <c r="FO91" s="60"/>
      <c r="FP91" s="62"/>
      <c r="FQ91" s="60"/>
      <c r="FR91" s="60"/>
      <c r="FS91" s="60"/>
      <c r="FT91" s="62"/>
      <c r="FU91" s="60"/>
      <c r="FV91" s="62"/>
      <c r="FW91" s="60"/>
      <c r="FX91" s="62"/>
      <c r="FY91" s="60"/>
      <c r="FZ91" s="62"/>
      <c r="GA91" s="60"/>
      <c r="GB91" s="60"/>
      <c r="GC91" s="60"/>
      <c r="GD91" s="62"/>
      <c r="GE91" s="60"/>
      <c r="GF91" s="62"/>
      <c r="GG91" s="60"/>
      <c r="GH91" s="60"/>
      <c r="GI91" s="60"/>
      <c r="GJ91" s="60"/>
      <c r="GK91" s="60"/>
      <c r="GL91" s="60">
        <v>1</v>
      </c>
      <c r="GM91" s="60">
        <v>0.97</v>
      </c>
      <c r="GN91" s="60">
        <v>0.95</v>
      </c>
      <c r="GO91" s="60">
        <v>0.93</v>
      </c>
      <c r="GP91" s="60">
        <f t="shared" si="519"/>
        <v>0.91</v>
      </c>
      <c r="GQ91" s="60">
        <f t="shared" si="519"/>
        <v>0.89</v>
      </c>
      <c r="GR91" s="60">
        <f t="shared" si="519"/>
        <v>0.87</v>
      </c>
      <c r="GS91" s="60">
        <f t="shared" si="519"/>
        <v>0.85</v>
      </c>
      <c r="GT91" s="60">
        <f t="shared" si="519"/>
        <v>0.83</v>
      </c>
      <c r="GU91" s="60">
        <f t="shared" si="519"/>
        <v>0.80999999999999994</v>
      </c>
      <c r="GV91" s="60">
        <f t="shared" si="519"/>
        <v>0.78999999999999992</v>
      </c>
      <c r="GW91" s="60">
        <f t="shared" si="519"/>
        <v>0.76999999999999991</v>
      </c>
      <c r="GX91" s="60">
        <f t="shared" si="519"/>
        <v>0.74999999999999989</v>
      </c>
      <c r="GY91" s="60">
        <f t="shared" si="519"/>
        <v>0.72999999999999987</v>
      </c>
      <c r="GZ91" s="60">
        <f t="shared" si="519"/>
        <v>0.70999999999999985</v>
      </c>
      <c r="HA91" s="60">
        <f t="shared" si="519"/>
        <v>0.68999999999999984</v>
      </c>
      <c r="HB91" s="60">
        <f t="shared" si="519"/>
        <v>0.66999999999999982</v>
      </c>
      <c r="HC91" s="60">
        <f t="shared" si="519"/>
        <v>0.6499999999999998</v>
      </c>
      <c r="HD91" s="60">
        <f t="shared" si="519"/>
        <v>0.62999999999999978</v>
      </c>
      <c r="HE91" s="60">
        <f t="shared" si="519"/>
        <v>0.60999999999999976</v>
      </c>
      <c r="HF91" s="60">
        <f t="shared" si="519"/>
        <v>0.58999999999999975</v>
      </c>
      <c r="HG91" s="60">
        <f t="shared" si="519"/>
        <v>0.56999999999999973</v>
      </c>
    </row>
    <row r="92" spans="1:216" x14ac:dyDescent="0.3">
      <c r="A92" s="2">
        <v>1</v>
      </c>
      <c r="C92" s="38" t="s">
        <v>39</v>
      </c>
      <c r="D92" s="40">
        <v>7610</v>
      </c>
      <c r="E92" s="71">
        <f t="shared" ref="E92:E112" si="520">TRUNC(+D92*3.3058,-1)</f>
        <v>25150</v>
      </c>
      <c r="H92" s="54">
        <f t="shared" si="510"/>
        <v>27665.000000000004</v>
      </c>
      <c r="I92" s="54">
        <f t="shared" si="511"/>
        <v>27665.000000000004</v>
      </c>
      <c r="J92" s="58">
        <f t="shared" si="512"/>
        <v>91454.957000000009</v>
      </c>
      <c r="K92" s="54">
        <f t="shared" ref="K92:K113" si="521">+I92*BD92</f>
        <v>26835.050000000003</v>
      </c>
      <c r="L92" s="58">
        <f t="shared" ref="L92:L113" si="522">+K92*3.3058</f>
        <v>88711.308290000015</v>
      </c>
      <c r="M92" s="54">
        <f t="shared" ref="M92:M113" si="523">+I92*BE92</f>
        <v>26281.750000000004</v>
      </c>
      <c r="N92" s="58">
        <f t="shared" ref="N92:N113" si="524">+M92*3.3058</f>
        <v>86882.20915000001</v>
      </c>
      <c r="O92" s="54">
        <f t="shared" ref="O92:O113" si="525">+I92*BF92</f>
        <v>25728.450000000004</v>
      </c>
      <c r="P92" s="58">
        <f t="shared" ref="P92:P113" si="526">+O92*3.3058</f>
        <v>85053.110010000019</v>
      </c>
      <c r="Q92" s="56">
        <f t="shared" ref="Q92:Q113" si="527">+I92*BG92</f>
        <v>25175.150000000005</v>
      </c>
      <c r="R92" s="58">
        <f t="shared" ref="R92:R113" si="528">+Q92*3.3058</f>
        <v>83224.010870000013</v>
      </c>
      <c r="S92" s="54">
        <f t="shared" ref="S92:S113" si="529">+I92*BH92</f>
        <v>24621.850000000002</v>
      </c>
      <c r="T92" s="58">
        <f t="shared" ref="T92:T113" si="530">+S92*3.3058</f>
        <v>81394.911730000007</v>
      </c>
      <c r="U92" s="56">
        <f t="shared" ref="U92:U113" si="531">+I92*BI92</f>
        <v>24068.550000000003</v>
      </c>
      <c r="V92" s="58">
        <f t="shared" ref="V92:V113" si="532">+U92*3.3058</f>
        <v>79565.812590000016</v>
      </c>
      <c r="W92" s="59">
        <f t="shared" ref="W92:W113" si="533">+I92*BJ92</f>
        <v>23515.250000000004</v>
      </c>
      <c r="X92" s="58">
        <f t="shared" ref="X92:X113" si="534">+W92*3.3058</f>
        <v>77736.71345000001</v>
      </c>
      <c r="Y92" s="56">
        <f t="shared" ref="Y92:Y113" si="535">+I92*BK92</f>
        <v>22961.95</v>
      </c>
      <c r="Z92" s="58">
        <f t="shared" ref="Z92:Z113" si="536">+Y92*3.3058</f>
        <v>75907.614310000004</v>
      </c>
      <c r="AA92" s="54">
        <f t="shared" ref="AA92:AA113" si="537">+I92*BL92</f>
        <v>22408.65</v>
      </c>
      <c r="AB92" s="58">
        <f t="shared" ref="AB92:AB113" si="538">+AA92*3.3058</f>
        <v>74078.515170000013</v>
      </c>
      <c r="AC92" s="59">
        <f t="shared" ref="AC92:AC113" si="539">+I92*BM92</f>
        <v>21855.350000000002</v>
      </c>
      <c r="AD92" s="58">
        <f t="shared" ref="AD92:AD113" si="540">+AC92*3.3058</f>
        <v>72249.416030000008</v>
      </c>
      <c r="AE92" s="59">
        <f t="shared" ref="AE92:AE113" si="541">+I92*BN92</f>
        <v>21302.05</v>
      </c>
      <c r="AF92" s="58">
        <f t="shared" ref="AF92:AF113" si="542">+AE92*3.3058</f>
        <v>70420.316890000002</v>
      </c>
      <c r="AG92" s="59">
        <f t="shared" ref="AG92:AG113" si="543">+I92*BO92</f>
        <v>20748.75</v>
      </c>
      <c r="AH92" s="58">
        <f t="shared" ref="AH92:AH113" si="544">+AG92*3.3058</f>
        <v>68591.217749999996</v>
      </c>
      <c r="AI92" s="54">
        <f t="shared" ref="AI92:AI113" si="545">+I92*BP92</f>
        <v>20195.45</v>
      </c>
      <c r="AJ92" s="58">
        <f t="shared" ref="AJ92:AJ113" si="546">+AI92*3.3058</f>
        <v>66762.118610000005</v>
      </c>
      <c r="AK92" s="59">
        <f t="shared" ref="AK92:AK113" si="547">+I92*BQ92</f>
        <v>19642.149999999998</v>
      </c>
      <c r="AL92" s="58">
        <f t="shared" ref="AL92:AL113" si="548">+AK92*3.3058</f>
        <v>64933.019469999992</v>
      </c>
      <c r="AM92" s="59">
        <f t="shared" ref="AM92:AM113" si="549">+I92*BR92</f>
        <v>19088.849999999999</v>
      </c>
      <c r="AN92" s="58">
        <f t="shared" ref="AN92:AN113" si="550">+AM92*3.3058</f>
        <v>63103.920329999994</v>
      </c>
      <c r="AO92" s="59">
        <f t="shared" ref="AO92:AO113" si="551">+I92*BS92</f>
        <v>18535.549999999996</v>
      </c>
      <c r="AP92" s="58">
        <f t="shared" ref="AP92:AP113" si="552">+AO92*3.3058</f>
        <v>61274.821189999988</v>
      </c>
      <c r="AQ92" s="59">
        <f t="shared" ref="AQ92:AQ113" si="553">+I92*BT92</f>
        <v>17982.249999999996</v>
      </c>
      <c r="AR92" s="58">
        <f t="shared" ref="AR92:AR113" si="554">+AQ92*3.3058</f>
        <v>59445.722049999989</v>
      </c>
      <c r="AS92" s="54">
        <f t="shared" ref="AS92:AS113" si="555">+I92*BU92</f>
        <v>17428.949999999997</v>
      </c>
      <c r="AT92" s="58">
        <f t="shared" ref="AT92:AT113" si="556">+AS92*3.3058</f>
        <v>57616.622909999991</v>
      </c>
      <c r="AU92" s="59">
        <f t="shared" ref="AU92:AU113" si="557">+I92*BV92</f>
        <v>16875.649999999994</v>
      </c>
      <c r="AV92" s="58">
        <f t="shared" ref="AV92:AV113" si="558">+AU92*3.3058</f>
        <v>55787.523769999985</v>
      </c>
      <c r="AW92" s="59">
        <f t="shared" ref="AW92:AW113" si="559">+I92*BW92</f>
        <v>16322.349999999995</v>
      </c>
      <c r="AX92" s="58">
        <f t="shared" ref="AX92:AX113" si="560">+AW92*3.3058</f>
        <v>53958.424629999987</v>
      </c>
      <c r="AY92" s="54">
        <f t="shared" ref="AY92:AY113" si="561">+I92*BX92</f>
        <v>15769.049999999994</v>
      </c>
      <c r="AZ92" s="58">
        <f t="shared" ref="AZ92:AZ113" si="562">+AY92*3.3058</f>
        <v>52129.325489999981</v>
      </c>
      <c r="BC92" s="54">
        <v>1</v>
      </c>
      <c r="BD92" s="54">
        <v>0.97</v>
      </c>
      <c r="BE92" s="54">
        <v>0.95</v>
      </c>
      <c r="BF92" s="54">
        <v>0.93</v>
      </c>
      <c r="BG92" s="54">
        <f t="shared" ref="BG92:BX106" si="563">+BF92-0.02</f>
        <v>0.91</v>
      </c>
      <c r="BH92" s="54">
        <f t="shared" si="563"/>
        <v>0.89</v>
      </c>
      <c r="BI92" s="54">
        <f t="shared" si="563"/>
        <v>0.87</v>
      </c>
      <c r="BJ92" s="54">
        <f t="shared" si="563"/>
        <v>0.85</v>
      </c>
      <c r="BK92" s="54">
        <f t="shared" si="563"/>
        <v>0.83</v>
      </c>
      <c r="BL92" s="54">
        <f t="shared" si="563"/>
        <v>0.80999999999999994</v>
      </c>
      <c r="BM92" s="54">
        <f t="shared" si="563"/>
        <v>0.78999999999999992</v>
      </c>
      <c r="BN92" s="54">
        <f t="shared" si="563"/>
        <v>0.76999999999999991</v>
      </c>
      <c r="BO92" s="54">
        <f t="shared" si="563"/>
        <v>0.74999999999999989</v>
      </c>
      <c r="BP92" s="54">
        <f t="shared" si="563"/>
        <v>0.72999999999999987</v>
      </c>
      <c r="BQ92" s="54">
        <f t="shared" si="563"/>
        <v>0.70999999999999985</v>
      </c>
      <c r="BR92" s="54">
        <f t="shared" si="563"/>
        <v>0.68999999999999984</v>
      </c>
      <c r="BS92" s="54">
        <f t="shared" si="563"/>
        <v>0.66999999999999982</v>
      </c>
      <c r="BT92" s="54">
        <f t="shared" si="563"/>
        <v>0.6499999999999998</v>
      </c>
      <c r="BU92" s="54">
        <f t="shared" si="563"/>
        <v>0.62999999999999978</v>
      </c>
      <c r="BV92" s="54">
        <f t="shared" si="563"/>
        <v>0.60999999999999976</v>
      </c>
      <c r="BW92" s="54">
        <f t="shared" si="563"/>
        <v>0.58999999999999975</v>
      </c>
      <c r="BX92" s="54">
        <f t="shared" si="563"/>
        <v>0.56999999999999973</v>
      </c>
      <c r="BZ92" s="54">
        <f t="shared" si="513"/>
        <v>25175.150000000005</v>
      </c>
      <c r="CA92" s="54">
        <f t="shared" si="514"/>
        <v>25175.150000000005</v>
      </c>
      <c r="CB92" s="58">
        <f t="shared" ref="CB92:CB113" si="564">+CA92*3.3058</f>
        <v>83224.010870000013</v>
      </c>
      <c r="CC92" s="54">
        <f t="shared" ref="CC92:CC113" si="565">+CA92*DV92</f>
        <v>24419.895500000006</v>
      </c>
      <c r="CD92" s="58">
        <f t="shared" ref="CD92:CD113" si="566">+CC92*3.3058</f>
        <v>80727.290543900017</v>
      </c>
      <c r="CE92" s="54">
        <f t="shared" ref="CE92:CE113" si="567">+CA92*DW92</f>
        <v>23916.392500000005</v>
      </c>
      <c r="CF92" s="58">
        <f t="shared" ref="CF92:CF113" si="568">+CE92*3.3058</f>
        <v>79062.810326500025</v>
      </c>
      <c r="CG92" s="54">
        <f t="shared" ref="CG92:CG113" si="569">+CA92*DX92</f>
        <v>23412.889500000005</v>
      </c>
      <c r="CH92" s="58">
        <f t="shared" ref="CH92:CH113" si="570">+CG92*3.3058</f>
        <v>77398.330109100018</v>
      </c>
      <c r="CI92" s="56">
        <f t="shared" ref="CI92:CI113" si="571">+CA92*DY92</f>
        <v>22909.386500000004</v>
      </c>
      <c r="CJ92" s="58">
        <f t="shared" ref="CJ92:CJ113" si="572">+CI92*3.3058</f>
        <v>75733.849891700011</v>
      </c>
      <c r="CK92" s="54">
        <f t="shared" ref="CK92:CK113" si="573">+CA92*DZ92</f>
        <v>22405.883500000004</v>
      </c>
      <c r="CL92" s="58">
        <f t="shared" ref="CL92:CL113" si="574">+CK92*3.3058</f>
        <v>74069.369674300018</v>
      </c>
      <c r="CM92" s="56">
        <f t="shared" ref="CM92:CM113" si="575">+CA92*EA92</f>
        <v>21902.380500000003</v>
      </c>
      <c r="CN92" s="58">
        <f t="shared" ref="CN92:CN113" si="576">+CM92*3.3058</f>
        <v>72404.889456900011</v>
      </c>
      <c r="CO92" s="59">
        <f t="shared" ref="CO92:CO113" si="577">+CA92*EB92</f>
        <v>21398.877500000002</v>
      </c>
      <c r="CP92" s="58">
        <f t="shared" ref="CP92:CP113" si="578">+CO92*3.3058</f>
        <v>70740.409239500004</v>
      </c>
      <c r="CQ92" s="56">
        <f t="shared" ref="CQ92:CQ113" si="579">+CA92*EC92</f>
        <v>20895.374500000002</v>
      </c>
      <c r="CR92" s="58">
        <f t="shared" ref="CR92:CR113" si="580">+CQ92*3.3058</f>
        <v>69075.929022100012</v>
      </c>
      <c r="CS92" s="54">
        <f t="shared" ref="CS92:CS113" si="581">+CA92*ED92</f>
        <v>20391.871500000001</v>
      </c>
      <c r="CT92" s="58">
        <f t="shared" ref="CT92:CT113" si="582">+CS92*3.3058</f>
        <v>67411.448804700005</v>
      </c>
      <c r="CU92" s="59">
        <f t="shared" ref="CU92:CU113" si="583">+CA92*EE92</f>
        <v>19888.3685</v>
      </c>
      <c r="CV92" s="58">
        <f t="shared" ref="CV92:CV113" si="584">+CU92*3.3058</f>
        <v>65746.968587299998</v>
      </c>
      <c r="CW92" s="59">
        <f t="shared" ref="CW92:CW113" si="585">+CA92*EF92</f>
        <v>19384.8655</v>
      </c>
      <c r="CX92" s="58">
        <f t="shared" ref="CX92:CX113" si="586">+CW92*3.3058</f>
        <v>64082.488369899998</v>
      </c>
      <c r="CY92" s="59">
        <f t="shared" ref="CY92:CY113" si="587">+CA92*EG92</f>
        <v>18881.362499999999</v>
      </c>
      <c r="CZ92" s="58">
        <f t="shared" ref="CZ92:CZ113" si="588">+CY92*3.3058</f>
        <v>62418.008152499999</v>
      </c>
      <c r="DA92" s="54">
        <f t="shared" ref="DA92:DA113" si="589">+CA92*EH92</f>
        <v>18377.859499999999</v>
      </c>
      <c r="DB92" s="58">
        <f t="shared" ref="DB92:DB113" si="590">+DA92*3.3058</f>
        <v>60753.527935099999</v>
      </c>
      <c r="DC92" s="59">
        <f t="shared" ref="DC92:DC113" si="591">+CA92*EI92</f>
        <v>17874.356500000002</v>
      </c>
      <c r="DD92" s="58">
        <f t="shared" ref="DD92:DD113" si="592">+DC92*3.3058</f>
        <v>59089.047717700007</v>
      </c>
      <c r="DE92" s="59">
        <f t="shared" ref="DE92:DE113" si="593">+CA92*EJ92</f>
        <v>17370.853500000001</v>
      </c>
      <c r="DF92" s="58">
        <f t="shared" ref="DF92:DF113" si="594">+DE92*3.3058</f>
        <v>57424.567500300007</v>
      </c>
      <c r="DG92" s="59">
        <f t="shared" ref="DG92:DG113" si="595">+CA92*EK92</f>
        <v>16867.3505</v>
      </c>
      <c r="DH92" s="58">
        <f t="shared" ref="DH92:DH113" si="596">+DG92*3.3058</f>
        <v>55760.0872829</v>
      </c>
      <c r="DI92" s="59">
        <f t="shared" ref="DI92:DI113" si="597">+CA92*EL92</f>
        <v>16363.847499999998</v>
      </c>
      <c r="DJ92" s="58">
        <f t="shared" ref="DJ92:DJ113" si="598">+DI92*3.3058</f>
        <v>54095.607065499993</v>
      </c>
      <c r="DK92" s="54">
        <f t="shared" ref="DK92:DK113" si="599">+CA92*EM92</f>
        <v>15860.344499999997</v>
      </c>
      <c r="DL92" s="58">
        <f t="shared" ref="DL92:DL113" si="600">+DK92*3.3058</f>
        <v>52431.126848099993</v>
      </c>
      <c r="DM92" s="59">
        <f t="shared" ref="DM92:DM113" si="601">+CA92*EN92</f>
        <v>15356.841499999997</v>
      </c>
      <c r="DN92" s="58">
        <f t="shared" ref="DN92:DN113" si="602">+DM92*3.3058</f>
        <v>50766.646630699994</v>
      </c>
      <c r="DO92" s="59">
        <f t="shared" ref="DO92:DO113" si="603">+CA92*EO92</f>
        <v>14853.338499999996</v>
      </c>
      <c r="DP92" s="58">
        <f t="shared" ref="DP92:DP113" si="604">+DO92*3.3058</f>
        <v>49102.166413299987</v>
      </c>
      <c r="DQ92" s="54">
        <f t="shared" ref="DQ92:DQ113" si="605">+CA92*EP92</f>
        <v>14349.835499999996</v>
      </c>
      <c r="DR92" s="58">
        <f t="shared" ref="DR92:DR113" si="606">+DQ92*3.3058</f>
        <v>47437.686195899987</v>
      </c>
      <c r="DU92" s="54">
        <v>1</v>
      </c>
      <c r="DV92" s="54">
        <v>0.97</v>
      </c>
      <c r="DW92" s="54">
        <v>0.95</v>
      </c>
      <c r="DX92" s="54">
        <v>0.93</v>
      </c>
      <c r="DY92" s="54">
        <f t="shared" si="508"/>
        <v>0.91</v>
      </c>
      <c r="DZ92" s="54">
        <f t="shared" si="508"/>
        <v>0.89</v>
      </c>
      <c r="EA92" s="54">
        <f t="shared" si="508"/>
        <v>0.87</v>
      </c>
      <c r="EB92" s="54">
        <f t="shared" si="508"/>
        <v>0.85</v>
      </c>
      <c r="EC92" s="54">
        <f t="shared" si="508"/>
        <v>0.83</v>
      </c>
      <c r="ED92" s="54">
        <f t="shared" si="508"/>
        <v>0.80999999999999994</v>
      </c>
      <c r="EE92" s="54">
        <f t="shared" si="508"/>
        <v>0.78999999999999992</v>
      </c>
      <c r="EF92" s="54">
        <f t="shared" si="508"/>
        <v>0.76999999999999991</v>
      </c>
      <c r="EG92" s="54">
        <f t="shared" si="508"/>
        <v>0.74999999999999989</v>
      </c>
      <c r="EH92" s="54">
        <f t="shared" si="508"/>
        <v>0.72999999999999987</v>
      </c>
      <c r="EI92" s="54">
        <f t="shared" si="508"/>
        <v>0.70999999999999985</v>
      </c>
      <c r="EJ92" s="54">
        <f t="shared" si="508"/>
        <v>0.68999999999999984</v>
      </c>
      <c r="EK92" s="54">
        <f t="shared" si="508"/>
        <v>0.66999999999999982</v>
      </c>
      <c r="EL92" s="54">
        <f t="shared" si="508"/>
        <v>0.6499999999999998</v>
      </c>
      <c r="EM92" s="54">
        <f t="shared" si="508"/>
        <v>0.62999999999999978</v>
      </c>
      <c r="EN92" s="54">
        <f t="shared" si="508"/>
        <v>0.60999999999999976</v>
      </c>
      <c r="EO92" s="54">
        <f t="shared" si="508"/>
        <v>0.58999999999999975</v>
      </c>
      <c r="EP92" s="54">
        <f t="shared" si="508"/>
        <v>0.56999999999999973</v>
      </c>
      <c r="ER92" s="54">
        <f t="shared" si="142"/>
        <v>22909.386500000004</v>
      </c>
      <c r="ES92" s="54">
        <f t="shared" si="515"/>
        <v>22909.386500000004</v>
      </c>
      <c r="ET92" s="58">
        <f t="shared" ref="ET92:ET113" si="607">+ES92*3.3058</f>
        <v>75733.849891700011</v>
      </c>
      <c r="EU92" s="54">
        <f t="shared" ref="EU92:EU113" si="608">+ES92*GN92</f>
        <v>22222.104905000004</v>
      </c>
      <c r="EV92" s="58">
        <f t="shared" ref="EV92:EV113" si="609">+EU92*3.3058</f>
        <v>73461.834394949008</v>
      </c>
      <c r="EW92" s="54">
        <f t="shared" ref="EW92:EW113" si="610">+ES92*GO92</f>
        <v>21763.917175000002</v>
      </c>
      <c r="EX92" s="58">
        <f t="shared" ref="EX92:EX113" si="611">+EW92*3.3058</f>
        <v>71947.157397115006</v>
      </c>
      <c r="EY92" s="54">
        <f t="shared" ref="EY92:EY113" si="612">+ES92*GP92</f>
        <v>21305.729445000004</v>
      </c>
      <c r="EZ92" s="58">
        <f t="shared" ref="EZ92:EZ113" si="613">+EY92*3.3058</f>
        <v>70432.480399281019</v>
      </c>
      <c r="FA92" s="56">
        <f t="shared" ref="FA92:FA113" si="614">+ES92*GQ92</f>
        <v>20847.541715000003</v>
      </c>
      <c r="FB92" s="58">
        <f t="shared" ref="FB92:FB113" si="615">+FA92*3.3058</f>
        <v>68917.803401447018</v>
      </c>
      <c r="FC92" s="54">
        <f t="shared" ref="FC92:FC113" si="616">+ES92*GR92</f>
        <v>20389.353985000005</v>
      </c>
      <c r="FD92" s="58">
        <f t="shared" ref="FD92:FD113" si="617">+FC92*3.3058</f>
        <v>67403.126403613016</v>
      </c>
      <c r="FE92" s="56">
        <f t="shared" ref="FE92:FE113" si="618">+ES92*GS92</f>
        <v>19931.166255000004</v>
      </c>
      <c r="FF92" s="58">
        <f t="shared" ref="FF92:FF113" si="619">+FE92*3.3058</f>
        <v>65888.449405779014</v>
      </c>
      <c r="FG92" s="59">
        <f t="shared" ref="FG92:FG113" si="620">+ES92*GT92</f>
        <v>19472.978525000002</v>
      </c>
      <c r="FH92" s="58">
        <f t="shared" ref="FH92:FH113" si="621">+FG92*3.3058</f>
        <v>64373.772407945005</v>
      </c>
      <c r="FI92" s="56">
        <f t="shared" ref="FI92:FI113" si="622">+ES92*GU92</f>
        <v>19014.790795000001</v>
      </c>
      <c r="FJ92" s="58">
        <f t="shared" ref="FJ92:FJ113" si="623">+FI92*3.3058</f>
        <v>62859.095410111004</v>
      </c>
      <c r="FK92" s="54">
        <f t="shared" ref="FK92:FK113" si="624">+ES92*GV92</f>
        <v>18556.603065000003</v>
      </c>
      <c r="FL92" s="58">
        <f t="shared" ref="FL92:FL113" si="625">+FK92*3.3058</f>
        <v>61344.418412277009</v>
      </c>
      <c r="FM92" s="59">
        <f t="shared" ref="FM92:FM113" si="626">+ES92*GW92</f>
        <v>18098.415335000002</v>
      </c>
      <c r="FN92" s="58">
        <f t="shared" ref="FN92:FN113" si="627">+FM92*3.3058</f>
        <v>59829.741414443008</v>
      </c>
      <c r="FO92" s="59">
        <f t="shared" ref="FO92:FO113" si="628">+ES92*GX92</f>
        <v>17640.227605</v>
      </c>
      <c r="FP92" s="58">
        <f t="shared" ref="FP92:FP113" si="629">+FO92*3.3058</f>
        <v>58315.064416608999</v>
      </c>
      <c r="FQ92" s="59">
        <f t="shared" ref="FQ92:FQ113" si="630">+ES92*GY92</f>
        <v>17182.039875000002</v>
      </c>
      <c r="FR92" s="58">
        <f t="shared" ref="FR92:FR113" si="631">+FQ92*3.3058</f>
        <v>56800.387418775012</v>
      </c>
      <c r="FS92" s="54">
        <f t="shared" ref="FS92:FS113" si="632">+ES92*GZ92</f>
        <v>16723.852145000001</v>
      </c>
      <c r="FT92" s="58">
        <f t="shared" ref="FT92:FT113" si="633">+FS92*3.3058</f>
        <v>55285.710420941003</v>
      </c>
      <c r="FU92" s="59">
        <f t="shared" ref="FU92:FU113" si="634">+ES92*HA92</f>
        <v>16265.664414999999</v>
      </c>
      <c r="FV92" s="58">
        <f t="shared" ref="FV92:FV113" si="635">+FU92*3.3058</f>
        <v>53771.033423107001</v>
      </c>
      <c r="FW92" s="59">
        <f t="shared" ref="FW92:FW113" si="636">+ES92*HB92</f>
        <v>15807.476685</v>
      </c>
      <c r="FX92" s="58">
        <f t="shared" ref="FX92:FX113" si="637">+FW92*3.3058</f>
        <v>52256.356425272999</v>
      </c>
      <c r="FY92" s="59">
        <f t="shared" ref="FY92:FY113" si="638">+ES92*HC92</f>
        <v>15349.288954999998</v>
      </c>
      <c r="FZ92" s="58">
        <f t="shared" ref="FZ92:FZ113" si="639">+FY92*3.3058</f>
        <v>50741.679427438998</v>
      </c>
      <c r="GA92" s="59">
        <f t="shared" ref="GA92:GA113" si="640">+ES92*HD92</f>
        <v>14891.101224999999</v>
      </c>
      <c r="GB92" s="58">
        <f t="shared" ref="GB92:GB113" si="641">+GA92*3.3058</f>
        <v>49227.002429604996</v>
      </c>
      <c r="GC92" s="54">
        <f t="shared" ref="GC92:GC113" si="642">+ES92*HE92</f>
        <v>14432.913494999997</v>
      </c>
      <c r="GD92" s="58">
        <f t="shared" ref="GD92:GD113" si="643">+GC92*3.3058</f>
        <v>47712.325431770994</v>
      </c>
      <c r="GE92" s="59">
        <f t="shared" ref="GE92:GE113" si="644">+ES92*HF92</f>
        <v>13974.725764999997</v>
      </c>
      <c r="GF92" s="58">
        <f t="shared" ref="GF92:GF113" si="645">+GE92*3.3058</f>
        <v>46197.648433936993</v>
      </c>
      <c r="GG92" s="59">
        <f t="shared" ref="GG92:GG113" si="646">+ES92*HG92</f>
        <v>13516.538034999996</v>
      </c>
      <c r="GH92" s="58">
        <f t="shared" ref="GH92:GH113" si="647">+GG92*3.3058</f>
        <v>44682.971436102991</v>
      </c>
      <c r="GI92" s="54">
        <f t="shared" ref="GI92:GI113" si="648">+ES92*HH92</f>
        <v>13058.350304999996</v>
      </c>
      <c r="GJ92" s="58">
        <f t="shared" ref="GJ92:GJ113" si="649">+GI92*3.3058</f>
        <v>43168.294438268989</v>
      </c>
      <c r="GK92" s="54"/>
      <c r="GL92" s="54"/>
      <c r="GM92" s="54">
        <v>1</v>
      </c>
      <c r="GN92" s="54">
        <v>0.97</v>
      </c>
      <c r="GO92" s="54">
        <v>0.95</v>
      </c>
      <c r="GP92" s="54">
        <v>0.93</v>
      </c>
      <c r="GQ92" s="54">
        <f t="shared" si="509"/>
        <v>0.91</v>
      </c>
      <c r="GR92" s="54">
        <f t="shared" si="509"/>
        <v>0.89</v>
      </c>
      <c r="GS92" s="54">
        <f t="shared" si="509"/>
        <v>0.87</v>
      </c>
      <c r="GT92" s="54">
        <f t="shared" si="509"/>
        <v>0.85</v>
      </c>
      <c r="GU92" s="54">
        <f t="shared" si="509"/>
        <v>0.83</v>
      </c>
      <c r="GV92" s="54">
        <f t="shared" si="509"/>
        <v>0.80999999999999994</v>
      </c>
      <c r="GW92" s="54">
        <f t="shared" si="509"/>
        <v>0.78999999999999992</v>
      </c>
      <c r="GX92" s="54">
        <f t="shared" si="509"/>
        <v>0.76999999999999991</v>
      </c>
      <c r="GY92" s="54">
        <f t="shared" si="509"/>
        <v>0.74999999999999989</v>
      </c>
      <c r="GZ92" s="54">
        <f t="shared" si="509"/>
        <v>0.72999999999999987</v>
      </c>
      <c r="HA92" s="54">
        <f t="shared" si="509"/>
        <v>0.70999999999999985</v>
      </c>
      <c r="HB92" s="54">
        <f t="shared" si="509"/>
        <v>0.68999999999999984</v>
      </c>
      <c r="HC92" s="54">
        <f t="shared" si="509"/>
        <v>0.66999999999999982</v>
      </c>
      <c r="HD92" s="54">
        <f t="shared" si="509"/>
        <v>0.6499999999999998</v>
      </c>
      <c r="HE92" s="54">
        <f t="shared" si="509"/>
        <v>0.62999999999999978</v>
      </c>
      <c r="HF92" s="54">
        <f t="shared" si="509"/>
        <v>0.60999999999999976</v>
      </c>
      <c r="HG92" s="54">
        <f t="shared" si="509"/>
        <v>0.58999999999999975</v>
      </c>
      <c r="HH92" s="54">
        <f t="shared" si="509"/>
        <v>0.56999999999999973</v>
      </c>
    </row>
    <row r="93" spans="1:216" x14ac:dyDescent="0.3">
      <c r="A93" s="2">
        <v>2</v>
      </c>
      <c r="C93" s="38" t="s">
        <v>40</v>
      </c>
      <c r="D93" s="42">
        <f>3510+6470</f>
        <v>9980</v>
      </c>
      <c r="E93" s="72">
        <f t="shared" si="520"/>
        <v>32990</v>
      </c>
      <c r="F93" s="2" t="s">
        <v>309</v>
      </c>
      <c r="H93" s="54">
        <f t="shared" si="510"/>
        <v>36289</v>
      </c>
      <c r="I93" s="54">
        <f t="shared" si="511"/>
        <v>36289</v>
      </c>
      <c r="J93" s="58">
        <f t="shared" si="512"/>
        <v>119964.1762</v>
      </c>
      <c r="K93" s="54">
        <f t="shared" si="521"/>
        <v>35200.33</v>
      </c>
      <c r="L93" s="58">
        <f t="shared" si="522"/>
        <v>116365.250914</v>
      </c>
      <c r="M93" s="54">
        <f t="shared" si="523"/>
        <v>34474.549999999996</v>
      </c>
      <c r="N93" s="58">
        <f t="shared" si="524"/>
        <v>113965.96738999999</v>
      </c>
      <c r="O93" s="54">
        <f t="shared" si="525"/>
        <v>33748.770000000004</v>
      </c>
      <c r="P93" s="58">
        <f t="shared" si="526"/>
        <v>111566.68386600002</v>
      </c>
      <c r="Q93" s="56">
        <f t="shared" si="527"/>
        <v>33022.99</v>
      </c>
      <c r="R93" s="58">
        <f t="shared" si="528"/>
        <v>109167.40034199999</v>
      </c>
      <c r="S93" s="54">
        <f t="shared" si="529"/>
        <v>32297.21</v>
      </c>
      <c r="T93" s="58">
        <f t="shared" si="530"/>
        <v>106768.11681799999</v>
      </c>
      <c r="U93" s="56">
        <f t="shared" si="531"/>
        <v>31571.43</v>
      </c>
      <c r="V93" s="58">
        <f t="shared" si="532"/>
        <v>104368.833294</v>
      </c>
      <c r="W93" s="59">
        <f t="shared" si="533"/>
        <v>30845.649999999998</v>
      </c>
      <c r="X93" s="58">
        <f t="shared" si="534"/>
        <v>101969.54977</v>
      </c>
      <c r="Y93" s="56">
        <f t="shared" si="535"/>
        <v>30119.87</v>
      </c>
      <c r="Z93" s="58">
        <f t="shared" si="536"/>
        <v>99570.266245999999</v>
      </c>
      <c r="AA93" s="54">
        <f t="shared" si="537"/>
        <v>29394.089999999997</v>
      </c>
      <c r="AB93" s="58">
        <f t="shared" si="538"/>
        <v>97170.982721999986</v>
      </c>
      <c r="AC93" s="59">
        <f t="shared" si="539"/>
        <v>28668.309999999998</v>
      </c>
      <c r="AD93" s="58">
        <f t="shared" si="540"/>
        <v>94771.699197999988</v>
      </c>
      <c r="AE93" s="59">
        <f t="shared" si="541"/>
        <v>27942.529999999995</v>
      </c>
      <c r="AF93" s="58">
        <f t="shared" si="542"/>
        <v>92372.415673999989</v>
      </c>
      <c r="AG93" s="59">
        <f t="shared" si="543"/>
        <v>27216.749999999996</v>
      </c>
      <c r="AH93" s="58">
        <f t="shared" si="544"/>
        <v>89973.13214999999</v>
      </c>
      <c r="AI93" s="54">
        <f t="shared" si="545"/>
        <v>26490.969999999994</v>
      </c>
      <c r="AJ93" s="58">
        <f t="shared" si="546"/>
        <v>87573.848625999977</v>
      </c>
      <c r="AK93" s="59">
        <f t="shared" si="547"/>
        <v>25765.189999999995</v>
      </c>
      <c r="AL93" s="58">
        <f t="shared" si="548"/>
        <v>85174.565101999979</v>
      </c>
      <c r="AM93" s="59">
        <f t="shared" si="549"/>
        <v>25039.409999999993</v>
      </c>
      <c r="AN93" s="58">
        <f t="shared" si="550"/>
        <v>82775.28157799998</v>
      </c>
      <c r="AO93" s="59">
        <f t="shared" si="551"/>
        <v>24313.629999999994</v>
      </c>
      <c r="AP93" s="58">
        <f t="shared" si="552"/>
        <v>80375.998053999981</v>
      </c>
      <c r="AQ93" s="59">
        <f t="shared" si="553"/>
        <v>23587.849999999991</v>
      </c>
      <c r="AR93" s="58">
        <f t="shared" si="554"/>
        <v>77976.714529999968</v>
      </c>
      <c r="AS93" s="54">
        <f t="shared" si="555"/>
        <v>22862.069999999992</v>
      </c>
      <c r="AT93" s="58">
        <f t="shared" si="556"/>
        <v>75577.43100599997</v>
      </c>
      <c r="AU93" s="59">
        <f t="shared" si="557"/>
        <v>22136.28999999999</v>
      </c>
      <c r="AV93" s="58">
        <f t="shared" si="558"/>
        <v>73178.147481999971</v>
      </c>
      <c r="AW93" s="59">
        <f t="shared" si="559"/>
        <v>21410.509999999991</v>
      </c>
      <c r="AX93" s="58">
        <f t="shared" si="560"/>
        <v>70778.863957999973</v>
      </c>
      <c r="AY93" s="54">
        <f t="shared" si="561"/>
        <v>20684.729999999989</v>
      </c>
      <c r="AZ93" s="58">
        <f t="shared" si="562"/>
        <v>68379.580433999959</v>
      </c>
      <c r="BC93" s="54">
        <v>1</v>
      </c>
      <c r="BD93" s="54">
        <v>0.97</v>
      </c>
      <c r="BE93" s="54">
        <v>0.95</v>
      </c>
      <c r="BF93" s="54">
        <v>0.93</v>
      </c>
      <c r="BG93" s="54">
        <f t="shared" si="563"/>
        <v>0.91</v>
      </c>
      <c r="BH93" s="54">
        <f t="shared" si="563"/>
        <v>0.89</v>
      </c>
      <c r="BI93" s="54">
        <f t="shared" si="563"/>
        <v>0.87</v>
      </c>
      <c r="BJ93" s="54">
        <f t="shared" si="563"/>
        <v>0.85</v>
      </c>
      <c r="BK93" s="54">
        <f t="shared" si="563"/>
        <v>0.83</v>
      </c>
      <c r="BL93" s="54">
        <f t="shared" si="563"/>
        <v>0.80999999999999994</v>
      </c>
      <c r="BM93" s="54">
        <f t="shared" si="563"/>
        <v>0.78999999999999992</v>
      </c>
      <c r="BN93" s="54">
        <f t="shared" si="563"/>
        <v>0.76999999999999991</v>
      </c>
      <c r="BO93" s="54">
        <f t="shared" si="563"/>
        <v>0.74999999999999989</v>
      </c>
      <c r="BP93" s="54">
        <f t="shared" si="563"/>
        <v>0.72999999999999987</v>
      </c>
      <c r="BQ93" s="54">
        <f t="shared" si="563"/>
        <v>0.70999999999999985</v>
      </c>
      <c r="BR93" s="54">
        <f t="shared" si="563"/>
        <v>0.68999999999999984</v>
      </c>
      <c r="BS93" s="54">
        <f t="shared" si="563"/>
        <v>0.66999999999999982</v>
      </c>
      <c r="BT93" s="54">
        <f t="shared" si="563"/>
        <v>0.6499999999999998</v>
      </c>
      <c r="BU93" s="54">
        <f t="shared" si="563"/>
        <v>0.62999999999999978</v>
      </c>
      <c r="BV93" s="54">
        <f t="shared" si="563"/>
        <v>0.60999999999999976</v>
      </c>
      <c r="BW93" s="54">
        <f t="shared" si="563"/>
        <v>0.58999999999999975</v>
      </c>
      <c r="BX93" s="54">
        <f t="shared" si="563"/>
        <v>0.56999999999999973</v>
      </c>
      <c r="BZ93" s="54">
        <f t="shared" si="513"/>
        <v>33022.99</v>
      </c>
      <c r="CA93" s="54">
        <f t="shared" si="514"/>
        <v>33022.99</v>
      </c>
      <c r="CB93" s="58">
        <f t="shared" si="564"/>
        <v>109167.40034199999</v>
      </c>
      <c r="CC93" s="54">
        <f t="shared" si="565"/>
        <v>32032.300299999995</v>
      </c>
      <c r="CD93" s="58">
        <f t="shared" si="566"/>
        <v>105892.37833173999</v>
      </c>
      <c r="CE93" s="54">
        <f t="shared" si="567"/>
        <v>31371.840499999995</v>
      </c>
      <c r="CF93" s="58">
        <f t="shared" si="568"/>
        <v>103709.03032489998</v>
      </c>
      <c r="CG93" s="54">
        <f t="shared" si="569"/>
        <v>30711.380700000002</v>
      </c>
      <c r="CH93" s="58">
        <f t="shared" si="570"/>
        <v>101525.68231806</v>
      </c>
      <c r="CI93" s="56">
        <f t="shared" si="571"/>
        <v>30050.920900000001</v>
      </c>
      <c r="CJ93" s="58">
        <f t="shared" si="572"/>
        <v>99342.334311220009</v>
      </c>
      <c r="CK93" s="54">
        <f t="shared" si="573"/>
        <v>29390.4611</v>
      </c>
      <c r="CL93" s="58">
        <f t="shared" si="574"/>
        <v>97158.98630438</v>
      </c>
      <c r="CM93" s="56">
        <f t="shared" si="575"/>
        <v>28730.001299999996</v>
      </c>
      <c r="CN93" s="58">
        <f t="shared" si="576"/>
        <v>94975.63829753999</v>
      </c>
      <c r="CO93" s="59">
        <f t="shared" si="577"/>
        <v>28069.541499999996</v>
      </c>
      <c r="CP93" s="58">
        <f t="shared" si="578"/>
        <v>92792.290290699981</v>
      </c>
      <c r="CQ93" s="56">
        <f t="shared" si="579"/>
        <v>27409.081699999995</v>
      </c>
      <c r="CR93" s="58">
        <f t="shared" si="580"/>
        <v>90608.942283859986</v>
      </c>
      <c r="CS93" s="54">
        <f t="shared" si="581"/>
        <v>26748.621899999995</v>
      </c>
      <c r="CT93" s="58">
        <f t="shared" si="582"/>
        <v>88425.594277019991</v>
      </c>
      <c r="CU93" s="59">
        <f t="shared" si="583"/>
        <v>26088.162099999994</v>
      </c>
      <c r="CV93" s="58">
        <f t="shared" si="584"/>
        <v>86242.246270179981</v>
      </c>
      <c r="CW93" s="59">
        <f t="shared" si="585"/>
        <v>25427.702299999994</v>
      </c>
      <c r="CX93" s="58">
        <f t="shared" si="586"/>
        <v>84058.898263339986</v>
      </c>
      <c r="CY93" s="59">
        <f t="shared" si="587"/>
        <v>24767.242499999993</v>
      </c>
      <c r="CZ93" s="58">
        <f t="shared" si="588"/>
        <v>81875.550256499977</v>
      </c>
      <c r="DA93" s="54">
        <f t="shared" si="589"/>
        <v>24106.782699999992</v>
      </c>
      <c r="DB93" s="58">
        <f t="shared" si="590"/>
        <v>79692.202249659982</v>
      </c>
      <c r="DC93" s="59">
        <f t="shared" si="591"/>
        <v>23446.322899999992</v>
      </c>
      <c r="DD93" s="58">
        <f t="shared" si="592"/>
        <v>77508.854242819973</v>
      </c>
      <c r="DE93" s="59">
        <f t="shared" si="593"/>
        <v>22785.863099999991</v>
      </c>
      <c r="DF93" s="58">
        <f t="shared" si="594"/>
        <v>75325.506235979978</v>
      </c>
      <c r="DG93" s="59">
        <f t="shared" si="595"/>
        <v>22125.403299999991</v>
      </c>
      <c r="DH93" s="58">
        <f t="shared" si="596"/>
        <v>73142.158229139968</v>
      </c>
      <c r="DI93" s="59">
        <f t="shared" si="597"/>
        <v>21464.94349999999</v>
      </c>
      <c r="DJ93" s="58">
        <f t="shared" si="598"/>
        <v>70958.810222299973</v>
      </c>
      <c r="DK93" s="54">
        <f t="shared" si="599"/>
        <v>20804.48369999999</v>
      </c>
      <c r="DL93" s="58">
        <f t="shared" si="600"/>
        <v>68775.462215459964</v>
      </c>
      <c r="DM93" s="59">
        <f t="shared" si="601"/>
        <v>20144.023899999989</v>
      </c>
      <c r="DN93" s="58">
        <f t="shared" si="602"/>
        <v>66592.114208619969</v>
      </c>
      <c r="DO93" s="59">
        <f t="shared" si="603"/>
        <v>19483.564099999989</v>
      </c>
      <c r="DP93" s="58">
        <f t="shared" si="604"/>
        <v>64408.766201779967</v>
      </c>
      <c r="DQ93" s="54">
        <f t="shared" si="605"/>
        <v>18823.104299999988</v>
      </c>
      <c r="DR93" s="58">
        <f t="shared" si="606"/>
        <v>62225.418194939964</v>
      </c>
      <c r="DU93" s="54">
        <v>1</v>
      </c>
      <c r="DV93" s="54">
        <v>0.97</v>
      </c>
      <c r="DW93" s="54">
        <v>0.95</v>
      </c>
      <c r="DX93" s="54">
        <v>0.93</v>
      </c>
      <c r="DY93" s="54">
        <f t="shared" si="508"/>
        <v>0.91</v>
      </c>
      <c r="DZ93" s="54">
        <f t="shared" si="508"/>
        <v>0.89</v>
      </c>
      <c r="EA93" s="54">
        <f t="shared" si="508"/>
        <v>0.87</v>
      </c>
      <c r="EB93" s="54">
        <f t="shared" ref="EB93:EP93" si="650">+EA93-0.02</f>
        <v>0.85</v>
      </c>
      <c r="EC93" s="54">
        <f t="shared" si="650"/>
        <v>0.83</v>
      </c>
      <c r="ED93" s="54">
        <f t="shared" si="650"/>
        <v>0.80999999999999994</v>
      </c>
      <c r="EE93" s="54">
        <f t="shared" si="650"/>
        <v>0.78999999999999992</v>
      </c>
      <c r="EF93" s="54">
        <f t="shared" si="650"/>
        <v>0.76999999999999991</v>
      </c>
      <c r="EG93" s="54">
        <f t="shared" si="650"/>
        <v>0.74999999999999989</v>
      </c>
      <c r="EH93" s="54">
        <f t="shared" si="650"/>
        <v>0.72999999999999987</v>
      </c>
      <c r="EI93" s="54">
        <f t="shared" si="650"/>
        <v>0.70999999999999985</v>
      </c>
      <c r="EJ93" s="54">
        <f t="shared" si="650"/>
        <v>0.68999999999999984</v>
      </c>
      <c r="EK93" s="54">
        <f t="shared" si="650"/>
        <v>0.66999999999999982</v>
      </c>
      <c r="EL93" s="54">
        <f t="shared" si="650"/>
        <v>0.6499999999999998</v>
      </c>
      <c r="EM93" s="54">
        <f t="shared" si="650"/>
        <v>0.62999999999999978</v>
      </c>
      <c r="EN93" s="54">
        <f t="shared" si="650"/>
        <v>0.60999999999999976</v>
      </c>
      <c r="EO93" s="54">
        <f t="shared" si="650"/>
        <v>0.58999999999999975</v>
      </c>
      <c r="EP93" s="54">
        <f t="shared" si="650"/>
        <v>0.56999999999999973</v>
      </c>
      <c r="ER93" s="54">
        <f t="shared" si="142"/>
        <v>30050.920900000001</v>
      </c>
      <c r="ES93" s="54">
        <f t="shared" si="515"/>
        <v>30050.920900000001</v>
      </c>
      <c r="ET93" s="58">
        <f t="shared" si="607"/>
        <v>99342.334311220009</v>
      </c>
      <c r="EU93" s="54">
        <f t="shared" si="608"/>
        <v>29149.393273000001</v>
      </c>
      <c r="EV93" s="58">
        <f t="shared" si="609"/>
        <v>96362.064281883402</v>
      </c>
      <c r="EW93" s="54">
        <f t="shared" si="610"/>
        <v>28548.374854999998</v>
      </c>
      <c r="EX93" s="58">
        <f t="shared" si="611"/>
        <v>94375.217595658993</v>
      </c>
      <c r="EY93" s="54">
        <f t="shared" si="612"/>
        <v>27947.356437000002</v>
      </c>
      <c r="EZ93" s="58">
        <f t="shared" si="613"/>
        <v>92388.370909434612</v>
      </c>
      <c r="FA93" s="56">
        <f t="shared" si="614"/>
        <v>27346.338019000003</v>
      </c>
      <c r="FB93" s="58">
        <f t="shared" si="615"/>
        <v>90401.524223210217</v>
      </c>
      <c r="FC93" s="54">
        <f t="shared" si="616"/>
        <v>26745.319601000003</v>
      </c>
      <c r="FD93" s="58">
        <f t="shared" si="617"/>
        <v>88414.677536985808</v>
      </c>
      <c r="FE93" s="56">
        <f t="shared" si="618"/>
        <v>26144.301183</v>
      </c>
      <c r="FF93" s="58">
        <f t="shared" si="619"/>
        <v>86427.830850761398</v>
      </c>
      <c r="FG93" s="59">
        <f t="shared" si="620"/>
        <v>25543.282765</v>
      </c>
      <c r="FH93" s="58">
        <f t="shared" si="621"/>
        <v>84440.984164537003</v>
      </c>
      <c r="FI93" s="56">
        <f t="shared" si="622"/>
        <v>24942.264347</v>
      </c>
      <c r="FJ93" s="58">
        <f t="shared" si="623"/>
        <v>82454.137478312608</v>
      </c>
      <c r="FK93" s="54">
        <f t="shared" si="624"/>
        <v>24341.245929000001</v>
      </c>
      <c r="FL93" s="58">
        <f t="shared" si="625"/>
        <v>80467.290792088199</v>
      </c>
      <c r="FM93" s="59">
        <f t="shared" si="626"/>
        <v>23740.227510999997</v>
      </c>
      <c r="FN93" s="58">
        <f t="shared" si="627"/>
        <v>78480.444105863789</v>
      </c>
      <c r="FO93" s="59">
        <f t="shared" si="628"/>
        <v>23139.209092999998</v>
      </c>
      <c r="FP93" s="58">
        <f t="shared" si="629"/>
        <v>76493.597419639395</v>
      </c>
      <c r="FQ93" s="59">
        <f t="shared" si="630"/>
        <v>22538.190674999998</v>
      </c>
      <c r="FR93" s="58">
        <f t="shared" si="631"/>
        <v>74506.750733415</v>
      </c>
      <c r="FS93" s="54">
        <f t="shared" si="632"/>
        <v>21937.172256999998</v>
      </c>
      <c r="FT93" s="58">
        <f t="shared" si="633"/>
        <v>72519.90404719059</v>
      </c>
      <c r="FU93" s="59">
        <f t="shared" si="634"/>
        <v>21336.153838999995</v>
      </c>
      <c r="FV93" s="58">
        <f t="shared" si="635"/>
        <v>70533.057360966181</v>
      </c>
      <c r="FW93" s="59">
        <f t="shared" si="636"/>
        <v>20735.135420999995</v>
      </c>
      <c r="FX93" s="58">
        <f t="shared" si="637"/>
        <v>68546.210674741786</v>
      </c>
      <c r="FY93" s="59">
        <f t="shared" si="638"/>
        <v>20134.117002999996</v>
      </c>
      <c r="FZ93" s="58">
        <f t="shared" si="639"/>
        <v>66559.363988517391</v>
      </c>
      <c r="GA93" s="59">
        <f t="shared" si="640"/>
        <v>19533.098584999996</v>
      </c>
      <c r="GB93" s="58">
        <f t="shared" si="641"/>
        <v>64572.517302292988</v>
      </c>
      <c r="GC93" s="54">
        <f t="shared" si="642"/>
        <v>18932.080166999993</v>
      </c>
      <c r="GD93" s="58">
        <f t="shared" si="643"/>
        <v>62585.670616068579</v>
      </c>
      <c r="GE93" s="59">
        <f t="shared" si="644"/>
        <v>18331.061748999993</v>
      </c>
      <c r="GF93" s="58">
        <f t="shared" si="645"/>
        <v>60598.823929844177</v>
      </c>
      <c r="GG93" s="59">
        <f t="shared" si="646"/>
        <v>17730.043330999993</v>
      </c>
      <c r="GH93" s="58">
        <f t="shared" si="647"/>
        <v>58611.977243619782</v>
      </c>
      <c r="GI93" s="54">
        <f t="shared" si="648"/>
        <v>17129.024912999994</v>
      </c>
      <c r="GJ93" s="58">
        <f t="shared" si="649"/>
        <v>56625.13055739538</v>
      </c>
      <c r="GK93" s="54"/>
      <c r="GL93" s="54"/>
      <c r="GM93" s="54">
        <v>1</v>
      </c>
      <c r="GN93" s="54">
        <v>0.97</v>
      </c>
      <c r="GO93" s="54">
        <v>0.95</v>
      </c>
      <c r="GP93" s="54">
        <v>0.93</v>
      </c>
      <c r="GQ93" s="54">
        <f t="shared" si="509"/>
        <v>0.91</v>
      </c>
      <c r="GR93" s="54">
        <f t="shared" si="509"/>
        <v>0.89</v>
      </c>
      <c r="GS93" s="54">
        <f t="shared" si="509"/>
        <v>0.87</v>
      </c>
      <c r="GT93" s="54">
        <f t="shared" ref="GT93:HH93" si="651">+GS93-0.02</f>
        <v>0.85</v>
      </c>
      <c r="GU93" s="54">
        <f t="shared" si="651"/>
        <v>0.83</v>
      </c>
      <c r="GV93" s="54">
        <f t="shared" si="651"/>
        <v>0.80999999999999994</v>
      </c>
      <c r="GW93" s="54">
        <f t="shared" si="651"/>
        <v>0.78999999999999992</v>
      </c>
      <c r="GX93" s="54">
        <f t="shared" si="651"/>
        <v>0.76999999999999991</v>
      </c>
      <c r="GY93" s="54">
        <f t="shared" si="651"/>
        <v>0.74999999999999989</v>
      </c>
      <c r="GZ93" s="54">
        <f t="shared" si="651"/>
        <v>0.72999999999999987</v>
      </c>
      <c r="HA93" s="54">
        <f t="shared" si="651"/>
        <v>0.70999999999999985</v>
      </c>
      <c r="HB93" s="54">
        <f t="shared" si="651"/>
        <v>0.68999999999999984</v>
      </c>
      <c r="HC93" s="54">
        <f t="shared" si="651"/>
        <v>0.66999999999999982</v>
      </c>
      <c r="HD93" s="54">
        <f t="shared" si="651"/>
        <v>0.6499999999999998</v>
      </c>
      <c r="HE93" s="54">
        <f t="shared" si="651"/>
        <v>0.62999999999999978</v>
      </c>
      <c r="HF93" s="54">
        <f t="shared" si="651"/>
        <v>0.60999999999999976</v>
      </c>
      <c r="HG93" s="54">
        <f t="shared" si="651"/>
        <v>0.58999999999999975</v>
      </c>
      <c r="HH93" s="54">
        <f t="shared" si="651"/>
        <v>0.56999999999999973</v>
      </c>
    </row>
    <row r="94" spans="1:216" x14ac:dyDescent="0.3">
      <c r="A94" s="2">
        <v>3</v>
      </c>
      <c r="C94" s="38" t="s">
        <v>41</v>
      </c>
      <c r="D94" s="42">
        <v>0</v>
      </c>
      <c r="E94" s="72">
        <f t="shared" si="520"/>
        <v>0</v>
      </c>
      <c r="H94" s="54">
        <f t="shared" si="510"/>
        <v>0</v>
      </c>
      <c r="I94" s="54">
        <f t="shared" si="511"/>
        <v>0</v>
      </c>
      <c r="J94" s="58">
        <f t="shared" si="512"/>
        <v>0</v>
      </c>
      <c r="K94" s="54">
        <f t="shared" si="521"/>
        <v>0</v>
      </c>
      <c r="L94" s="58">
        <f t="shared" si="522"/>
        <v>0</v>
      </c>
      <c r="M94" s="54">
        <f t="shared" si="523"/>
        <v>0</v>
      </c>
      <c r="N94" s="58">
        <f t="shared" si="524"/>
        <v>0</v>
      </c>
      <c r="O94" s="54">
        <f t="shared" si="525"/>
        <v>0</v>
      </c>
      <c r="P94" s="58">
        <f t="shared" si="526"/>
        <v>0</v>
      </c>
      <c r="Q94" s="56">
        <f t="shared" si="527"/>
        <v>0</v>
      </c>
      <c r="R94" s="58">
        <f t="shared" si="528"/>
        <v>0</v>
      </c>
      <c r="S94" s="54">
        <f t="shared" si="529"/>
        <v>0</v>
      </c>
      <c r="T94" s="58">
        <f t="shared" si="530"/>
        <v>0</v>
      </c>
      <c r="U94" s="56">
        <f t="shared" si="531"/>
        <v>0</v>
      </c>
      <c r="V94" s="58">
        <f t="shared" si="532"/>
        <v>0</v>
      </c>
      <c r="W94" s="59">
        <f t="shared" si="533"/>
        <v>0</v>
      </c>
      <c r="X94" s="58">
        <f t="shared" si="534"/>
        <v>0</v>
      </c>
      <c r="Y94" s="56">
        <f t="shared" si="535"/>
        <v>0</v>
      </c>
      <c r="Z94" s="58">
        <f t="shared" si="536"/>
        <v>0</v>
      </c>
      <c r="AA94" s="54">
        <f t="shared" si="537"/>
        <v>0</v>
      </c>
      <c r="AB94" s="58">
        <f t="shared" si="538"/>
        <v>0</v>
      </c>
      <c r="AC94" s="59">
        <f t="shared" si="539"/>
        <v>0</v>
      </c>
      <c r="AD94" s="58">
        <f t="shared" si="540"/>
        <v>0</v>
      </c>
      <c r="AE94" s="59">
        <f t="shared" si="541"/>
        <v>0</v>
      </c>
      <c r="AF94" s="58">
        <f t="shared" si="542"/>
        <v>0</v>
      </c>
      <c r="AG94" s="59">
        <f t="shared" si="543"/>
        <v>0</v>
      </c>
      <c r="AH94" s="58">
        <f t="shared" si="544"/>
        <v>0</v>
      </c>
      <c r="AI94" s="54">
        <f t="shared" si="545"/>
        <v>0</v>
      </c>
      <c r="AJ94" s="58">
        <f t="shared" si="546"/>
        <v>0</v>
      </c>
      <c r="AK94" s="59">
        <f t="shared" si="547"/>
        <v>0</v>
      </c>
      <c r="AL94" s="58">
        <f t="shared" si="548"/>
        <v>0</v>
      </c>
      <c r="AM94" s="59">
        <f t="shared" si="549"/>
        <v>0</v>
      </c>
      <c r="AN94" s="58">
        <f t="shared" si="550"/>
        <v>0</v>
      </c>
      <c r="AO94" s="59">
        <f t="shared" si="551"/>
        <v>0</v>
      </c>
      <c r="AP94" s="58">
        <f t="shared" si="552"/>
        <v>0</v>
      </c>
      <c r="AQ94" s="59">
        <f t="shared" si="553"/>
        <v>0</v>
      </c>
      <c r="AR94" s="58">
        <f t="shared" si="554"/>
        <v>0</v>
      </c>
      <c r="AS94" s="54">
        <f t="shared" si="555"/>
        <v>0</v>
      </c>
      <c r="AT94" s="58">
        <f t="shared" si="556"/>
        <v>0</v>
      </c>
      <c r="AU94" s="59">
        <f t="shared" si="557"/>
        <v>0</v>
      </c>
      <c r="AV94" s="58">
        <f t="shared" si="558"/>
        <v>0</v>
      </c>
      <c r="AW94" s="59">
        <f t="shared" si="559"/>
        <v>0</v>
      </c>
      <c r="AX94" s="58">
        <f t="shared" si="560"/>
        <v>0</v>
      </c>
      <c r="AY94" s="54">
        <f t="shared" si="561"/>
        <v>0</v>
      </c>
      <c r="AZ94" s="58">
        <f t="shared" si="562"/>
        <v>0</v>
      </c>
      <c r="BC94" s="54">
        <v>1</v>
      </c>
      <c r="BD94" s="54">
        <v>0.97</v>
      </c>
      <c r="BE94" s="54">
        <v>0.95</v>
      </c>
      <c r="BF94" s="54">
        <v>0.93</v>
      </c>
      <c r="BG94" s="54">
        <f t="shared" si="563"/>
        <v>0.91</v>
      </c>
      <c r="BH94" s="54">
        <f t="shared" si="563"/>
        <v>0.89</v>
      </c>
      <c r="BI94" s="54">
        <f t="shared" si="563"/>
        <v>0.87</v>
      </c>
      <c r="BJ94" s="54">
        <f t="shared" si="563"/>
        <v>0.85</v>
      </c>
      <c r="BK94" s="54">
        <f t="shared" si="563"/>
        <v>0.83</v>
      </c>
      <c r="BL94" s="54">
        <f t="shared" si="563"/>
        <v>0.80999999999999994</v>
      </c>
      <c r="BM94" s="54">
        <f t="shared" si="563"/>
        <v>0.78999999999999992</v>
      </c>
      <c r="BN94" s="54">
        <f t="shared" si="563"/>
        <v>0.76999999999999991</v>
      </c>
      <c r="BO94" s="54">
        <f t="shared" si="563"/>
        <v>0.74999999999999989</v>
      </c>
      <c r="BP94" s="54">
        <f t="shared" si="563"/>
        <v>0.72999999999999987</v>
      </c>
      <c r="BQ94" s="54">
        <f t="shared" si="563"/>
        <v>0.70999999999999985</v>
      </c>
      <c r="BR94" s="54">
        <f t="shared" si="563"/>
        <v>0.68999999999999984</v>
      </c>
      <c r="BS94" s="54">
        <f t="shared" si="563"/>
        <v>0.66999999999999982</v>
      </c>
      <c r="BT94" s="54">
        <f t="shared" si="563"/>
        <v>0.6499999999999998</v>
      </c>
      <c r="BU94" s="54">
        <f t="shared" si="563"/>
        <v>0.62999999999999978</v>
      </c>
      <c r="BV94" s="54">
        <f t="shared" si="563"/>
        <v>0.60999999999999976</v>
      </c>
      <c r="BW94" s="54">
        <f t="shared" si="563"/>
        <v>0.58999999999999975</v>
      </c>
      <c r="BX94" s="54">
        <f t="shared" si="563"/>
        <v>0.56999999999999973</v>
      </c>
      <c r="BZ94" s="54">
        <f t="shared" si="513"/>
        <v>0</v>
      </c>
      <c r="CA94" s="54">
        <f t="shared" si="514"/>
        <v>0</v>
      </c>
      <c r="CB94" s="58">
        <f t="shared" si="564"/>
        <v>0</v>
      </c>
      <c r="CC94" s="54">
        <f t="shared" si="565"/>
        <v>0</v>
      </c>
      <c r="CD94" s="58">
        <f t="shared" si="566"/>
        <v>0</v>
      </c>
      <c r="CE94" s="54">
        <f t="shared" si="567"/>
        <v>0</v>
      </c>
      <c r="CF94" s="58">
        <f t="shared" si="568"/>
        <v>0</v>
      </c>
      <c r="CG94" s="54">
        <f t="shared" si="569"/>
        <v>0</v>
      </c>
      <c r="CH94" s="58">
        <f t="shared" si="570"/>
        <v>0</v>
      </c>
      <c r="CI94" s="56">
        <f t="shared" si="571"/>
        <v>0</v>
      </c>
      <c r="CJ94" s="58">
        <f t="shared" si="572"/>
        <v>0</v>
      </c>
      <c r="CK94" s="54">
        <f t="shared" si="573"/>
        <v>0</v>
      </c>
      <c r="CL94" s="58">
        <f t="shared" si="574"/>
        <v>0</v>
      </c>
      <c r="CM94" s="56">
        <f t="shared" si="575"/>
        <v>0</v>
      </c>
      <c r="CN94" s="58">
        <f t="shared" si="576"/>
        <v>0</v>
      </c>
      <c r="CO94" s="59">
        <f t="shared" si="577"/>
        <v>0</v>
      </c>
      <c r="CP94" s="58">
        <f t="shared" si="578"/>
        <v>0</v>
      </c>
      <c r="CQ94" s="56">
        <f t="shared" si="579"/>
        <v>0</v>
      </c>
      <c r="CR94" s="58">
        <f t="shared" si="580"/>
        <v>0</v>
      </c>
      <c r="CS94" s="54">
        <f t="shared" si="581"/>
        <v>0</v>
      </c>
      <c r="CT94" s="58">
        <f t="shared" si="582"/>
        <v>0</v>
      </c>
      <c r="CU94" s="59">
        <f t="shared" si="583"/>
        <v>0</v>
      </c>
      <c r="CV94" s="58">
        <f t="shared" si="584"/>
        <v>0</v>
      </c>
      <c r="CW94" s="59">
        <f t="shared" si="585"/>
        <v>0</v>
      </c>
      <c r="CX94" s="58">
        <f t="shared" si="586"/>
        <v>0</v>
      </c>
      <c r="CY94" s="59">
        <f t="shared" si="587"/>
        <v>0</v>
      </c>
      <c r="CZ94" s="58">
        <f t="shared" si="588"/>
        <v>0</v>
      </c>
      <c r="DA94" s="54">
        <f t="shared" si="589"/>
        <v>0</v>
      </c>
      <c r="DB94" s="58">
        <f t="shared" si="590"/>
        <v>0</v>
      </c>
      <c r="DC94" s="59">
        <f t="shared" si="591"/>
        <v>0</v>
      </c>
      <c r="DD94" s="58">
        <f t="shared" si="592"/>
        <v>0</v>
      </c>
      <c r="DE94" s="59">
        <f t="shared" si="593"/>
        <v>0</v>
      </c>
      <c r="DF94" s="58">
        <f t="shared" si="594"/>
        <v>0</v>
      </c>
      <c r="DG94" s="59">
        <f t="shared" si="595"/>
        <v>0</v>
      </c>
      <c r="DH94" s="58">
        <f t="shared" si="596"/>
        <v>0</v>
      </c>
      <c r="DI94" s="59">
        <f t="shared" si="597"/>
        <v>0</v>
      </c>
      <c r="DJ94" s="58">
        <f t="shared" si="598"/>
        <v>0</v>
      </c>
      <c r="DK94" s="54">
        <f t="shared" si="599"/>
        <v>0</v>
      </c>
      <c r="DL94" s="58">
        <f t="shared" si="600"/>
        <v>0</v>
      </c>
      <c r="DM94" s="59">
        <f t="shared" si="601"/>
        <v>0</v>
      </c>
      <c r="DN94" s="58">
        <f t="shared" si="602"/>
        <v>0</v>
      </c>
      <c r="DO94" s="59">
        <f t="shared" si="603"/>
        <v>0</v>
      </c>
      <c r="DP94" s="58">
        <f t="shared" si="604"/>
        <v>0</v>
      </c>
      <c r="DQ94" s="54">
        <f t="shared" si="605"/>
        <v>0</v>
      </c>
      <c r="DR94" s="58">
        <f t="shared" si="606"/>
        <v>0</v>
      </c>
      <c r="DU94" s="54">
        <v>1</v>
      </c>
      <c r="DV94" s="54">
        <v>0.97</v>
      </c>
      <c r="DW94" s="54">
        <v>0.95</v>
      </c>
      <c r="DX94" s="54">
        <v>0.93</v>
      </c>
      <c r="DY94" s="54">
        <f t="shared" ref="DY94:EP108" si="652">+DX94-0.02</f>
        <v>0.91</v>
      </c>
      <c r="DZ94" s="54">
        <f t="shared" si="652"/>
        <v>0.89</v>
      </c>
      <c r="EA94" s="54">
        <f t="shared" si="652"/>
        <v>0.87</v>
      </c>
      <c r="EB94" s="54">
        <f t="shared" si="652"/>
        <v>0.85</v>
      </c>
      <c r="EC94" s="54">
        <f t="shared" si="652"/>
        <v>0.83</v>
      </c>
      <c r="ED94" s="54">
        <f t="shared" si="652"/>
        <v>0.80999999999999994</v>
      </c>
      <c r="EE94" s="54">
        <f t="shared" si="652"/>
        <v>0.78999999999999992</v>
      </c>
      <c r="EF94" s="54">
        <f t="shared" si="652"/>
        <v>0.76999999999999991</v>
      </c>
      <c r="EG94" s="54">
        <f t="shared" si="652"/>
        <v>0.74999999999999989</v>
      </c>
      <c r="EH94" s="54">
        <f t="shared" si="652"/>
        <v>0.72999999999999987</v>
      </c>
      <c r="EI94" s="54">
        <f t="shared" si="652"/>
        <v>0.70999999999999985</v>
      </c>
      <c r="EJ94" s="54">
        <f t="shared" si="652"/>
        <v>0.68999999999999984</v>
      </c>
      <c r="EK94" s="54">
        <f t="shared" si="652"/>
        <v>0.66999999999999982</v>
      </c>
      <c r="EL94" s="54">
        <f t="shared" si="652"/>
        <v>0.6499999999999998</v>
      </c>
      <c r="EM94" s="54">
        <f t="shared" si="652"/>
        <v>0.62999999999999978</v>
      </c>
      <c r="EN94" s="54">
        <f t="shared" si="652"/>
        <v>0.60999999999999976</v>
      </c>
      <c r="EO94" s="54">
        <f t="shared" si="652"/>
        <v>0.58999999999999975</v>
      </c>
      <c r="EP94" s="54">
        <f t="shared" si="652"/>
        <v>0.56999999999999973</v>
      </c>
      <c r="ER94" s="54">
        <f t="shared" ref="ER94:ER155" si="653">+BZ94*0.91</f>
        <v>0</v>
      </c>
      <c r="ES94" s="54">
        <f t="shared" si="515"/>
        <v>0</v>
      </c>
      <c r="ET94" s="58">
        <f t="shared" si="607"/>
        <v>0</v>
      </c>
      <c r="EU94" s="54">
        <f t="shared" si="608"/>
        <v>0</v>
      </c>
      <c r="EV94" s="58">
        <f t="shared" si="609"/>
        <v>0</v>
      </c>
      <c r="EW94" s="54">
        <f t="shared" si="610"/>
        <v>0</v>
      </c>
      <c r="EX94" s="58">
        <f t="shared" si="611"/>
        <v>0</v>
      </c>
      <c r="EY94" s="54">
        <f t="shared" si="612"/>
        <v>0</v>
      </c>
      <c r="EZ94" s="58">
        <f t="shared" si="613"/>
        <v>0</v>
      </c>
      <c r="FA94" s="56">
        <f t="shared" si="614"/>
        <v>0</v>
      </c>
      <c r="FB94" s="58">
        <f t="shared" si="615"/>
        <v>0</v>
      </c>
      <c r="FC94" s="54">
        <f t="shared" si="616"/>
        <v>0</v>
      </c>
      <c r="FD94" s="58">
        <f t="shared" si="617"/>
        <v>0</v>
      </c>
      <c r="FE94" s="56">
        <f t="shared" si="618"/>
        <v>0</v>
      </c>
      <c r="FF94" s="58">
        <f t="shared" si="619"/>
        <v>0</v>
      </c>
      <c r="FG94" s="59">
        <f t="shared" si="620"/>
        <v>0</v>
      </c>
      <c r="FH94" s="58">
        <f t="shared" si="621"/>
        <v>0</v>
      </c>
      <c r="FI94" s="56">
        <f t="shared" si="622"/>
        <v>0</v>
      </c>
      <c r="FJ94" s="58">
        <f t="shared" si="623"/>
        <v>0</v>
      </c>
      <c r="FK94" s="54">
        <f t="shared" si="624"/>
        <v>0</v>
      </c>
      <c r="FL94" s="58">
        <f t="shared" si="625"/>
        <v>0</v>
      </c>
      <c r="FM94" s="59">
        <f t="shared" si="626"/>
        <v>0</v>
      </c>
      <c r="FN94" s="58">
        <f t="shared" si="627"/>
        <v>0</v>
      </c>
      <c r="FO94" s="59">
        <f t="shared" si="628"/>
        <v>0</v>
      </c>
      <c r="FP94" s="58">
        <f t="shared" si="629"/>
        <v>0</v>
      </c>
      <c r="FQ94" s="59">
        <f t="shared" si="630"/>
        <v>0</v>
      </c>
      <c r="FR94" s="58">
        <f t="shared" si="631"/>
        <v>0</v>
      </c>
      <c r="FS94" s="54">
        <f t="shared" si="632"/>
        <v>0</v>
      </c>
      <c r="FT94" s="58">
        <f t="shared" si="633"/>
        <v>0</v>
      </c>
      <c r="FU94" s="59">
        <f t="shared" si="634"/>
        <v>0</v>
      </c>
      <c r="FV94" s="58">
        <f t="shared" si="635"/>
        <v>0</v>
      </c>
      <c r="FW94" s="59">
        <f t="shared" si="636"/>
        <v>0</v>
      </c>
      <c r="FX94" s="58">
        <f t="shared" si="637"/>
        <v>0</v>
      </c>
      <c r="FY94" s="59">
        <f t="shared" si="638"/>
        <v>0</v>
      </c>
      <c r="FZ94" s="58">
        <f t="shared" si="639"/>
        <v>0</v>
      </c>
      <c r="GA94" s="59">
        <f t="shared" si="640"/>
        <v>0</v>
      </c>
      <c r="GB94" s="58">
        <f t="shared" si="641"/>
        <v>0</v>
      </c>
      <c r="GC94" s="54">
        <f t="shared" si="642"/>
        <v>0</v>
      </c>
      <c r="GD94" s="58">
        <f t="shared" si="643"/>
        <v>0</v>
      </c>
      <c r="GE94" s="59">
        <f t="shared" si="644"/>
        <v>0</v>
      </c>
      <c r="GF94" s="58">
        <f t="shared" si="645"/>
        <v>0</v>
      </c>
      <c r="GG94" s="59">
        <f t="shared" si="646"/>
        <v>0</v>
      </c>
      <c r="GH94" s="58">
        <f t="shared" si="647"/>
        <v>0</v>
      </c>
      <c r="GI94" s="54">
        <f t="shared" si="648"/>
        <v>0</v>
      </c>
      <c r="GJ94" s="58">
        <f t="shared" si="649"/>
        <v>0</v>
      </c>
      <c r="GK94" s="54"/>
      <c r="GL94" s="54"/>
      <c r="GM94" s="54">
        <v>1</v>
      </c>
      <c r="GN94" s="54">
        <v>0.97</v>
      </c>
      <c r="GO94" s="54">
        <v>0.95</v>
      </c>
      <c r="GP94" s="54">
        <v>0.93</v>
      </c>
      <c r="GQ94" s="54">
        <f t="shared" ref="GQ94:HH108" si="654">+GP94-0.02</f>
        <v>0.91</v>
      </c>
      <c r="GR94" s="54">
        <f t="shared" si="654"/>
        <v>0.89</v>
      </c>
      <c r="GS94" s="54">
        <f t="shared" si="654"/>
        <v>0.87</v>
      </c>
      <c r="GT94" s="54">
        <f t="shared" si="654"/>
        <v>0.85</v>
      </c>
      <c r="GU94" s="54">
        <f t="shared" si="654"/>
        <v>0.83</v>
      </c>
      <c r="GV94" s="54">
        <f t="shared" si="654"/>
        <v>0.80999999999999994</v>
      </c>
      <c r="GW94" s="54">
        <f t="shared" si="654"/>
        <v>0.78999999999999992</v>
      </c>
      <c r="GX94" s="54">
        <f t="shared" si="654"/>
        <v>0.76999999999999991</v>
      </c>
      <c r="GY94" s="54">
        <f t="shared" si="654"/>
        <v>0.74999999999999989</v>
      </c>
      <c r="GZ94" s="54">
        <f t="shared" si="654"/>
        <v>0.72999999999999987</v>
      </c>
      <c r="HA94" s="54">
        <f t="shared" si="654"/>
        <v>0.70999999999999985</v>
      </c>
      <c r="HB94" s="54">
        <f t="shared" si="654"/>
        <v>0.68999999999999984</v>
      </c>
      <c r="HC94" s="54">
        <f t="shared" si="654"/>
        <v>0.66999999999999982</v>
      </c>
      <c r="HD94" s="54">
        <f t="shared" si="654"/>
        <v>0.6499999999999998</v>
      </c>
      <c r="HE94" s="54">
        <f t="shared" si="654"/>
        <v>0.62999999999999978</v>
      </c>
      <c r="HF94" s="54">
        <f t="shared" si="654"/>
        <v>0.60999999999999976</v>
      </c>
      <c r="HG94" s="54">
        <f t="shared" si="654"/>
        <v>0.58999999999999975</v>
      </c>
      <c r="HH94" s="54">
        <f t="shared" si="654"/>
        <v>0.56999999999999973</v>
      </c>
    </row>
    <row r="95" spans="1:216" x14ac:dyDescent="0.3">
      <c r="A95" s="2">
        <v>4</v>
      </c>
      <c r="C95" s="38" t="s">
        <v>42</v>
      </c>
      <c r="D95" s="42">
        <v>15550</v>
      </c>
      <c r="E95" s="72">
        <f t="shared" si="520"/>
        <v>51400</v>
      </c>
      <c r="F95" s="2" t="s">
        <v>310</v>
      </c>
      <c r="H95" s="54">
        <f t="shared" si="510"/>
        <v>56540.000000000007</v>
      </c>
      <c r="I95" s="54">
        <f t="shared" si="511"/>
        <v>56540.000000000007</v>
      </c>
      <c r="J95" s="58">
        <f t="shared" si="512"/>
        <v>186909.93200000003</v>
      </c>
      <c r="K95" s="54">
        <f t="shared" si="521"/>
        <v>54843.8</v>
      </c>
      <c r="L95" s="58">
        <f t="shared" si="522"/>
        <v>181302.63404</v>
      </c>
      <c r="M95" s="54">
        <f t="shared" si="523"/>
        <v>53713.000000000007</v>
      </c>
      <c r="N95" s="58">
        <f t="shared" si="524"/>
        <v>177564.43540000002</v>
      </c>
      <c r="O95" s="54">
        <f t="shared" si="525"/>
        <v>52582.200000000012</v>
      </c>
      <c r="P95" s="58">
        <f t="shared" si="526"/>
        <v>173826.23676000003</v>
      </c>
      <c r="Q95" s="56">
        <f t="shared" si="527"/>
        <v>51451.400000000009</v>
      </c>
      <c r="R95" s="58">
        <f t="shared" si="528"/>
        <v>170088.03812000004</v>
      </c>
      <c r="S95" s="54">
        <f t="shared" si="529"/>
        <v>50320.600000000006</v>
      </c>
      <c r="T95" s="58">
        <f t="shared" si="530"/>
        <v>166349.83948000002</v>
      </c>
      <c r="U95" s="56">
        <f t="shared" si="531"/>
        <v>49189.8</v>
      </c>
      <c r="V95" s="58">
        <f t="shared" si="532"/>
        <v>162611.64084000001</v>
      </c>
      <c r="W95" s="59">
        <f t="shared" si="533"/>
        <v>48059.000000000007</v>
      </c>
      <c r="X95" s="58">
        <f t="shared" si="534"/>
        <v>158873.44220000002</v>
      </c>
      <c r="Y95" s="56">
        <f t="shared" si="535"/>
        <v>46928.200000000004</v>
      </c>
      <c r="Z95" s="58">
        <f t="shared" si="536"/>
        <v>155135.24356000003</v>
      </c>
      <c r="AA95" s="54">
        <f t="shared" si="537"/>
        <v>45797.4</v>
      </c>
      <c r="AB95" s="58">
        <f t="shared" si="538"/>
        <v>151397.04492000001</v>
      </c>
      <c r="AC95" s="59">
        <f t="shared" si="539"/>
        <v>44666.6</v>
      </c>
      <c r="AD95" s="58">
        <f t="shared" si="540"/>
        <v>147658.84628</v>
      </c>
      <c r="AE95" s="59">
        <f t="shared" si="541"/>
        <v>43535.8</v>
      </c>
      <c r="AF95" s="58">
        <f t="shared" si="542"/>
        <v>143920.64764000001</v>
      </c>
      <c r="AG95" s="59">
        <f t="shared" si="543"/>
        <v>42405</v>
      </c>
      <c r="AH95" s="58">
        <f t="shared" si="544"/>
        <v>140182.44899999999</v>
      </c>
      <c r="AI95" s="54">
        <f t="shared" si="545"/>
        <v>41274.199999999997</v>
      </c>
      <c r="AJ95" s="58">
        <f t="shared" si="546"/>
        <v>136444.25036000001</v>
      </c>
      <c r="AK95" s="59">
        <f t="shared" si="547"/>
        <v>40143.399999999994</v>
      </c>
      <c r="AL95" s="58">
        <f t="shared" si="548"/>
        <v>132706.05171999999</v>
      </c>
      <c r="AM95" s="59">
        <f t="shared" si="549"/>
        <v>39012.6</v>
      </c>
      <c r="AN95" s="58">
        <f t="shared" si="550"/>
        <v>128967.85308</v>
      </c>
      <c r="AO95" s="59">
        <f t="shared" si="551"/>
        <v>37881.799999999996</v>
      </c>
      <c r="AP95" s="58">
        <f t="shared" si="552"/>
        <v>125229.65443999998</v>
      </c>
      <c r="AQ95" s="59">
        <f t="shared" si="553"/>
        <v>36750.999999999993</v>
      </c>
      <c r="AR95" s="58">
        <f t="shared" si="554"/>
        <v>121491.45579999998</v>
      </c>
      <c r="AS95" s="54">
        <f t="shared" si="555"/>
        <v>35620.19999999999</v>
      </c>
      <c r="AT95" s="58">
        <f t="shared" si="556"/>
        <v>117753.25715999996</v>
      </c>
      <c r="AU95" s="59">
        <f t="shared" si="557"/>
        <v>34489.399999999994</v>
      </c>
      <c r="AV95" s="58">
        <f t="shared" si="558"/>
        <v>114015.05851999998</v>
      </c>
      <c r="AW95" s="59">
        <f t="shared" si="559"/>
        <v>33358.599999999991</v>
      </c>
      <c r="AX95" s="58">
        <f t="shared" si="560"/>
        <v>110276.85987999997</v>
      </c>
      <c r="AY95" s="54">
        <f t="shared" si="561"/>
        <v>32227.799999999988</v>
      </c>
      <c r="AZ95" s="58">
        <f t="shared" si="562"/>
        <v>106538.66123999996</v>
      </c>
      <c r="BC95" s="54">
        <v>1</v>
      </c>
      <c r="BD95" s="54">
        <v>0.97</v>
      </c>
      <c r="BE95" s="54">
        <v>0.95</v>
      </c>
      <c r="BF95" s="54">
        <v>0.93</v>
      </c>
      <c r="BG95" s="54">
        <f t="shared" si="563"/>
        <v>0.91</v>
      </c>
      <c r="BH95" s="54">
        <f t="shared" si="563"/>
        <v>0.89</v>
      </c>
      <c r="BI95" s="54">
        <f t="shared" si="563"/>
        <v>0.87</v>
      </c>
      <c r="BJ95" s="54">
        <f t="shared" si="563"/>
        <v>0.85</v>
      </c>
      <c r="BK95" s="54">
        <f t="shared" si="563"/>
        <v>0.83</v>
      </c>
      <c r="BL95" s="54">
        <f t="shared" si="563"/>
        <v>0.80999999999999994</v>
      </c>
      <c r="BM95" s="54">
        <f t="shared" si="563"/>
        <v>0.78999999999999992</v>
      </c>
      <c r="BN95" s="54">
        <f t="shared" si="563"/>
        <v>0.76999999999999991</v>
      </c>
      <c r="BO95" s="54">
        <f t="shared" si="563"/>
        <v>0.74999999999999989</v>
      </c>
      <c r="BP95" s="54">
        <f t="shared" si="563"/>
        <v>0.72999999999999987</v>
      </c>
      <c r="BQ95" s="54">
        <f t="shared" si="563"/>
        <v>0.70999999999999985</v>
      </c>
      <c r="BR95" s="54">
        <f t="shared" si="563"/>
        <v>0.68999999999999984</v>
      </c>
      <c r="BS95" s="54">
        <f t="shared" si="563"/>
        <v>0.66999999999999982</v>
      </c>
      <c r="BT95" s="54">
        <f t="shared" si="563"/>
        <v>0.6499999999999998</v>
      </c>
      <c r="BU95" s="54">
        <f t="shared" si="563"/>
        <v>0.62999999999999978</v>
      </c>
      <c r="BV95" s="54">
        <f t="shared" si="563"/>
        <v>0.60999999999999976</v>
      </c>
      <c r="BW95" s="54">
        <f t="shared" si="563"/>
        <v>0.58999999999999975</v>
      </c>
      <c r="BX95" s="54">
        <f t="shared" si="563"/>
        <v>0.56999999999999973</v>
      </c>
      <c r="BZ95" s="54">
        <f t="shared" si="513"/>
        <v>51451.400000000009</v>
      </c>
      <c r="CA95" s="54">
        <f t="shared" si="514"/>
        <v>51451.400000000009</v>
      </c>
      <c r="CB95" s="58">
        <f t="shared" si="564"/>
        <v>170088.03812000004</v>
      </c>
      <c r="CC95" s="54">
        <f t="shared" si="565"/>
        <v>49907.858000000007</v>
      </c>
      <c r="CD95" s="58">
        <f t="shared" si="566"/>
        <v>164985.39697640002</v>
      </c>
      <c r="CE95" s="54">
        <f t="shared" si="567"/>
        <v>48878.830000000009</v>
      </c>
      <c r="CF95" s="58">
        <f t="shared" si="568"/>
        <v>161583.63621400003</v>
      </c>
      <c r="CG95" s="54">
        <f t="shared" si="569"/>
        <v>47849.802000000011</v>
      </c>
      <c r="CH95" s="58">
        <f t="shared" si="570"/>
        <v>158181.87545160003</v>
      </c>
      <c r="CI95" s="56">
        <f t="shared" si="571"/>
        <v>46820.774000000012</v>
      </c>
      <c r="CJ95" s="58">
        <f t="shared" si="572"/>
        <v>154780.11468920004</v>
      </c>
      <c r="CK95" s="54">
        <f t="shared" si="573"/>
        <v>45791.746000000006</v>
      </c>
      <c r="CL95" s="58">
        <f t="shared" si="574"/>
        <v>151378.35392680002</v>
      </c>
      <c r="CM95" s="56">
        <f t="shared" si="575"/>
        <v>44762.718000000008</v>
      </c>
      <c r="CN95" s="58">
        <f t="shared" si="576"/>
        <v>147976.59316440002</v>
      </c>
      <c r="CO95" s="59">
        <f t="shared" si="577"/>
        <v>43733.69000000001</v>
      </c>
      <c r="CP95" s="58">
        <f t="shared" si="578"/>
        <v>144574.83240200003</v>
      </c>
      <c r="CQ95" s="56">
        <f t="shared" si="579"/>
        <v>42704.662000000004</v>
      </c>
      <c r="CR95" s="58">
        <f t="shared" si="580"/>
        <v>141173.07163960001</v>
      </c>
      <c r="CS95" s="54">
        <f t="shared" si="581"/>
        <v>41675.634000000005</v>
      </c>
      <c r="CT95" s="58">
        <f t="shared" si="582"/>
        <v>137771.31087720001</v>
      </c>
      <c r="CU95" s="59">
        <f t="shared" si="583"/>
        <v>40646.606</v>
      </c>
      <c r="CV95" s="58">
        <f t="shared" si="584"/>
        <v>134369.55011479999</v>
      </c>
      <c r="CW95" s="59">
        <f t="shared" si="585"/>
        <v>39617.578000000001</v>
      </c>
      <c r="CX95" s="58">
        <f t="shared" si="586"/>
        <v>130967.78935240001</v>
      </c>
      <c r="CY95" s="59">
        <f t="shared" si="587"/>
        <v>38588.550000000003</v>
      </c>
      <c r="CZ95" s="58">
        <f t="shared" si="588"/>
        <v>127566.02859000002</v>
      </c>
      <c r="DA95" s="54">
        <f t="shared" si="589"/>
        <v>37559.521999999997</v>
      </c>
      <c r="DB95" s="58">
        <f t="shared" si="590"/>
        <v>124164.26782759999</v>
      </c>
      <c r="DC95" s="59">
        <f t="shared" si="591"/>
        <v>36530.493999999999</v>
      </c>
      <c r="DD95" s="58">
        <f t="shared" si="592"/>
        <v>120762.5070652</v>
      </c>
      <c r="DE95" s="59">
        <f t="shared" si="593"/>
        <v>35501.466</v>
      </c>
      <c r="DF95" s="58">
        <f t="shared" si="594"/>
        <v>117360.74630280001</v>
      </c>
      <c r="DG95" s="59">
        <f t="shared" si="595"/>
        <v>34472.437999999995</v>
      </c>
      <c r="DH95" s="58">
        <f t="shared" si="596"/>
        <v>113958.98554039998</v>
      </c>
      <c r="DI95" s="59">
        <f t="shared" si="597"/>
        <v>33443.409999999996</v>
      </c>
      <c r="DJ95" s="58">
        <f t="shared" si="598"/>
        <v>110557.22477799999</v>
      </c>
      <c r="DK95" s="54">
        <f t="shared" si="599"/>
        <v>32414.381999999994</v>
      </c>
      <c r="DL95" s="58">
        <f t="shared" si="600"/>
        <v>107155.46401559998</v>
      </c>
      <c r="DM95" s="59">
        <f t="shared" si="601"/>
        <v>31385.353999999992</v>
      </c>
      <c r="DN95" s="58">
        <f t="shared" si="602"/>
        <v>103753.70325319997</v>
      </c>
      <c r="DO95" s="59">
        <f t="shared" si="603"/>
        <v>30356.325999999994</v>
      </c>
      <c r="DP95" s="58">
        <f t="shared" si="604"/>
        <v>100351.94249079998</v>
      </c>
      <c r="DQ95" s="54">
        <f t="shared" si="605"/>
        <v>29327.297999999992</v>
      </c>
      <c r="DR95" s="58">
        <f t="shared" si="606"/>
        <v>96950.18172839997</v>
      </c>
      <c r="DU95" s="54">
        <v>1</v>
      </c>
      <c r="DV95" s="54">
        <v>0.97</v>
      </c>
      <c r="DW95" s="54">
        <v>0.95</v>
      </c>
      <c r="DX95" s="54">
        <v>0.93</v>
      </c>
      <c r="DY95" s="54">
        <f t="shared" si="652"/>
        <v>0.91</v>
      </c>
      <c r="DZ95" s="54">
        <f t="shared" si="652"/>
        <v>0.89</v>
      </c>
      <c r="EA95" s="54">
        <f t="shared" si="652"/>
        <v>0.87</v>
      </c>
      <c r="EB95" s="54">
        <f t="shared" si="652"/>
        <v>0.85</v>
      </c>
      <c r="EC95" s="54">
        <f t="shared" si="652"/>
        <v>0.83</v>
      </c>
      <c r="ED95" s="54">
        <f t="shared" si="652"/>
        <v>0.80999999999999994</v>
      </c>
      <c r="EE95" s="54">
        <f t="shared" si="652"/>
        <v>0.78999999999999992</v>
      </c>
      <c r="EF95" s="54">
        <f t="shared" si="652"/>
        <v>0.76999999999999991</v>
      </c>
      <c r="EG95" s="54">
        <f t="shared" si="652"/>
        <v>0.74999999999999989</v>
      </c>
      <c r="EH95" s="54">
        <f t="shared" si="652"/>
        <v>0.72999999999999987</v>
      </c>
      <c r="EI95" s="54">
        <f t="shared" si="652"/>
        <v>0.70999999999999985</v>
      </c>
      <c r="EJ95" s="54">
        <f t="shared" si="652"/>
        <v>0.68999999999999984</v>
      </c>
      <c r="EK95" s="54">
        <f t="shared" si="652"/>
        <v>0.66999999999999982</v>
      </c>
      <c r="EL95" s="54">
        <f t="shared" si="652"/>
        <v>0.6499999999999998</v>
      </c>
      <c r="EM95" s="54">
        <f t="shared" si="652"/>
        <v>0.62999999999999978</v>
      </c>
      <c r="EN95" s="54">
        <f t="shared" si="652"/>
        <v>0.60999999999999976</v>
      </c>
      <c r="EO95" s="54">
        <f t="shared" si="652"/>
        <v>0.58999999999999975</v>
      </c>
      <c r="EP95" s="54">
        <f t="shared" si="652"/>
        <v>0.56999999999999973</v>
      </c>
      <c r="ER95" s="54">
        <f t="shared" si="653"/>
        <v>46820.774000000012</v>
      </c>
      <c r="ES95" s="54">
        <f t="shared" si="515"/>
        <v>46820.774000000012</v>
      </c>
      <c r="ET95" s="58">
        <f t="shared" si="607"/>
        <v>154780.11468920004</v>
      </c>
      <c r="EU95" s="54">
        <f t="shared" si="608"/>
        <v>45416.150780000011</v>
      </c>
      <c r="EV95" s="58">
        <f t="shared" si="609"/>
        <v>150136.71124852405</v>
      </c>
      <c r="EW95" s="54">
        <f t="shared" si="610"/>
        <v>44479.735300000008</v>
      </c>
      <c r="EX95" s="58">
        <f t="shared" si="611"/>
        <v>147041.10895474002</v>
      </c>
      <c r="EY95" s="54">
        <f t="shared" si="612"/>
        <v>43543.319820000012</v>
      </c>
      <c r="EZ95" s="58">
        <f t="shared" si="613"/>
        <v>143945.50666095605</v>
      </c>
      <c r="FA95" s="56">
        <f t="shared" si="614"/>
        <v>42606.904340000016</v>
      </c>
      <c r="FB95" s="58">
        <f t="shared" si="615"/>
        <v>140849.90436717204</v>
      </c>
      <c r="FC95" s="54">
        <f t="shared" si="616"/>
        <v>41670.488860000012</v>
      </c>
      <c r="FD95" s="58">
        <f t="shared" si="617"/>
        <v>137754.30207338804</v>
      </c>
      <c r="FE95" s="56">
        <f t="shared" si="618"/>
        <v>40734.073380000009</v>
      </c>
      <c r="FF95" s="58">
        <f t="shared" si="619"/>
        <v>134658.69977960404</v>
      </c>
      <c r="FG95" s="59">
        <f t="shared" si="620"/>
        <v>39797.657900000013</v>
      </c>
      <c r="FH95" s="58">
        <f t="shared" si="621"/>
        <v>131563.09748582004</v>
      </c>
      <c r="FI95" s="56">
        <f t="shared" si="622"/>
        <v>38861.24242000001</v>
      </c>
      <c r="FJ95" s="58">
        <f t="shared" si="623"/>
        <v>128467.49519203603</v>
      </c>
      <c r="FK95" s="54">
        <f t="shared" si="624"/>
        <v>37924.826940000006</v>
      </c>
      <c r="FL95" s="58">
        <f t="shared" si="625"/>
        <v>125371.89289825203</v>
      </c>
      <c r="FM95" s="59">
        <f t="shared" si="626"/>
        <v>36988.411460000003</v>
      </c>
      <c r="FN95" s="58">
        <f t="shared" si="627"/>
        <v>122276.29060446801</v>
      </c>
      <c r="FO95" s="59">
        <f t="shared" si="628"/>
        <v>36051.995980000007</v>
      </c>
      <c r="FP95" s="58">
        <f t="shared" si="629"/>
        <v>119180.68831068403</v>
      </c>
      <c r="FQ95" s="59">
        <f t="shared" si="630"/>
        <v>35115.580500000004</v>
      </c>
      <c r="FR95" s="58">
        <f t="shared" si="631"/>
        <v>116085.08601690001</v>
      </c>
      <c r="FS95" s="54">
        <f t="shared" si="632"/>
        <v>34179.16502</v>
      </c>
      <c r="FT95" s="58">
        <f t="shared" si="633"/>
        <v>112989.48372311601</v>
      </c>
      <c r="FU95" s="59">
        <f t="shared" si="634"/>
        <v>33242.749540000004</v>
      </c>
      <c r="FV95" s="58">
        <f t="shared" si="635"/>
        <v>109893.88142933202</v>
      </c>
      <c r="FW95" s="59">
        <f t="shared" si="636"/>
        <v>32306.334060000001</v>
      </c>
      <c r="FX95" s="58">
        <f t="shared" si="637"/>
        <v>106798.279135548</v>
      </c>
      <c r="FY95" s="59">
        <f t="shared" si="638"/>
        <v>31369.918580000001</v>
      </c>
      <c r="FZ95" s="58">
        <f t="shared" si="639"/>
        <v>103702.67684176401</v>
      </c>
      <c r="GA95" s="59">
        <f t="shared" si="640"/>
        <v>30433.503099999998</v>
      </c>
      <c r="GB95" s="58">
        <f t="shared" si="641"/>
        <v>100607.07454798</v>
      </c>
      <c r="GC95" s="54">
        <f t="shared" si="642"/>
        <v>29497.087619999998</v>
      </c>
      <c r="GD95" s="58">
        <f t="shared" si="643"/>
        <v>97511.472254195993</v>
      </c>
      <c r="GE95" s="59">
        <f t="shared" si="644"/>
        <v>28560.672139999995</v>
      </c>
      <c r="GF95" s="58">
        <f t="shared" si="645"/>
        <v>94415.86996041199</v>
      </c>
      <c r="GG95" s="59">
        <f t="shared" si="646"/>
        <v>27624.256659999995</v>
      </c>
      <c r="GH95" s="58">
        <f t="shared" si="647"/>
        <v>91320.267666627988</v>
      </c>
      <c r="GI95" s="54">
        <f t="shared" si="648"/>
        <v>26687.841179999996</v>
      </c>
      <c r="GJ95" s="58">
        <f t="shared" si="649"/>
        <v>88224.665372843985</v>
      </c>
      <c r="GK95" s="54"/>
      <c r="GL95" s="54"/>
      <c r="GM95" s="54">
        <v>1</v>
      </c>
      <c r="GN95" s="54">
        <v>0.97</v>
      </c>
      <c r="GO95" s="54">
        <v>0.95</v>
      </c>
      <c r="GP95" s="54">
        <v>0.93</v>
      </c>
      <c r="GQ95" s="54">
        <f t="shared" si="654"/>
        <v>0.91</v>
      </c>
      <c r="GR95" s="54">
        <f t="shared" si="654"/>
        <v>0.89</v>
      </c>
      <c r="GS95" s="54">
        <f t="shared" si="654"/>
        <v>0.87</v>
      </c>
      <c r="GT95" s="54">
        <f t="shared" si="654"/>
        <v>0.85</v>
      </c>
      <c r="GU95" s="54">
        <f t="shared" si="654"/>
        <v>0.83</v>
      </c>
      <c r="GV95" s="54">
        <f t="shared" si="654"/>
        <v>0.80999999999999994</v>
      </c>
      <c r="GW95" s="54">
        <f t="shared" si="654"/>
        <v>0.78999999999999992</v>
      </c>
      <c r="GX95" s="54">
        <f t="shared" si="654"/>
        <v>0.76999999999999991</v>
      </c>
      <c r="GY95" s="54">
        <f t="shared" si="654"/>
        <v>0.74999999999999989</v>
      </c>
      <c r="GZ95" s="54">
        <f t="shared" si="654"/>
        <v>0.72999999999999987</v>
      </c>
      <c r="HA95" s="54">
        <f t="shared" si="654"/>
        <v>0.70999999999999985</v>
      </c>
      <c r="HB95" s="54">
        <f t="shared" si="654"/>
        <v>0.68999999999999984</v>
      </c>
      <c r="HC95" s="54">
        <f t="shared" si="654"/>
        <v>0.66999999999999982</v>
      </c>
      <c r="HD95" s="54">
        <f t="shared" si="654"/>
        <v>0.6499999999999998</v>
      </c>
      <c r="HE95" s="54">
        <f t="shared" si="654"/>
        <v>0.62999999999999978</v>
      </c>
      <c r="HF95" s="54">
        <f t="shared" si="654"/>
        <v>0.60999999999999976</v>
      </c>
      <c r="HG95" s="54">
        <f t="shared" si="654"/>
        <v>0.58999999999999975</v>
      </c>
      <c r="HH95" s="54">
        <f t="shared" si="654"/>
        <v>0.56999999999999973</v>
      </c>
    </row>
    <row r="96" spans="1:216" x14ac:dyDescent="0.3">
      <c r="A96" s="2">
        <v>5</v>
      </c>
      <c r="C96" s="38" t="s">
        <v>43</v>
      </c>
      <c r="D96" s="42">
        <v>9410</v>
      </c>
      <c r="E96" s="72">
        <f t="shared" si="520"/>
        <v>31100</v>
      </c>
      <c r="H96" s="54">
        <f t="shared" si="510"/>
        <v>34210</v>
      </c>
      <c r="I96" s="54">
        <f t="shared" si="511"/>
        <v>34210</v>
      </c>
      <c r="J96" s="58">
        <f t="shared" si="512"/>
        <v>113091.41800000001</v>
      </c>
      <c r="K96" s="54">
        <f t="shared" si="521"/>
        <v>33183.699999999997</v>
      </c>
      <c r="L96" s="58">
        <f t="shared" si="522"/>
        <v>109698.67546</v>
      </c>
      <c r="M96" s="54">
        <f t="shared" si="523"/>
        <v>32499.5</v>
      </c>
      <c r="N96" s="58">
        <f t="shared" si="524"/>
        <v>107436.8471</v>
      </c>
      <c r="O96" s="54">
        <f t="shared" si="525"/>
        <v>31815.300000000003</v>
      </c>
      <c r="P96" s="58">
        <f t="shared" si="526"/>
        <v>105175.01874000001</v>
      </c>
      <c r="Q96" s="56">
        <f t="shared" si="527"/>
        <v>31131.100000000002</v>
      </c>
      <c r="R96" s="58">
        <f t="shared" si="528"/>
        <v>102913.19038000001</v>
      </c>
      <c r="S96" s="54">
        <f t="shared" si="529"/>
        <v>30446.9</v>
      </c>
      <c r="T96" s="58">
        <f t="shared" si="530"/>
        <v>100651.36202</v>
      </c>
      <c r="U96" s="56">
        <f t="shared" si="531"/>
        <v>29762.7</v>
      </c>
      <c r="V96" s="58">
        <f t="shared" si="532"/>
        <v>98389.533660000001</v>
      </c>
      <c r="W96" s="59">
        <f t="shared" si="533"/>
        <v>29078.5</v>
      </c>
      <c r="X96" s="58">
        <f t="shared" si="534"/>
        <v>96127.705300000001</v>
      </c>
      <c r="Y96" s="56">
        <f t="shared" si="535"/>
        <v>28394.3</v>
      </c>
      <c r="Z96" s="58">
        <f t="shared" si="536"/>
        <v>93865.876940000002</v>
      </c>
      <c r="AA96" s="54">
        <f t="shared" si="537"/>
        <v>27710.1</v>
      </c>
      <c r="AB96" s="58">
        <f t="shared" si="538"/>
        <v>91604.048580000002</v>
      </c>
      <c r="AC96" s="59">
        <f t="shared" si="539"/>
        <v>27025.899999999998</v>
      </c>
      <c r="AD96" s="58">
        <f t="shared" si="540"/>
        <v>89342.220219999988</v>
      </c>
      <c r="AE96" s="59">
        <f t="shared" si="541"/>
        <v>26341.699999999997</v>
      </c>
      <c r="AF96" s="58">
        <f t="shared" si="542"/>
        <v>87080.391859999989</v>
      </c>
      <c r="AG96" s="59">
        <f t="shared" si="543"/>
        <v>25657.499999999996</v>
      </c>
      <c r="AH96" s="58">
        <f t="shared" si="544"/>
        <v>84818.563499999989</v>
      </c>
      <c r="AI96" s="54">
        <f t="shared" si="545"/>
        <v>24973.299999999996</v>
      </c>
      <c r="AJ96" s="58">
        <f t="shared" si="546"/>
        <v>82556.73513999999</v>
      </c>
      <c r="AK96" s="59">
        <f t="shared" si="547"/>
        <v>24289.099999999995</v>
      </c>
      <c r="AL96" s="58">
        <f t="shared" si="548"/>
        <v>80294.90677999999</v>
      </c>
      <c r="AM96" s="59">
        <f t="shared" si="549"/>
        <v>23604.899999999994</v>
      </c>
      <c r="AN96" s="58">
        <f t="shared" si="550"/>
        <v>78033.078419999976</v>
      </c>
      <c r="AO96" s="59">
        <f t="shared" si="551"/>
        <v>22920.699999999993</v>
      </c>
      <c r="AP96" s="58">
        <f t="shared" si="552"/>
        <v>75771.250059999977</v>
      </c>
      <c r="AQ96" s="59">
        <f t="shared" si="553"/>
        <v>22236.499999999993</v>
      </c>
      <c r="AR96" s="58">
        <f t="shared" si="554"/>
        <v>73509.421699999977</v>
      </c>
      <c r="AS96" s="54">
        <f t="shared" si="555"/>
        <v>21552.299999999992</v>
      </c>
      <c r="AT96" s="58">
        <f t="shared" si="556"/>
        <v>71247.593339999978</v>
      </c>
      <c r="AU96" s="59">
        <f t="shared" si="557"/>
        <v>20868.099999999991</v>
      </c>
      <c r="AV96" s="58">
        <f t="shared" si="558"/>
        <v>68985.764979999978</v>
      </c>
      <c r="AW96" s="59">
        <f t="shared" si="559"/>
        <v>20183.899999999991</v>
      </c>
      <c r="AX96" s="58">
        <f t="shared" si="560"/>
        <v>66723.936619999964</v>
      </c>
      <c r="AY96" s="54">
        <f t="shared" si="561"/>
        <v>19499.69999999999</v>
      </c>
      <c r="AZ96" s="58">
        <f t="shared" si="562"/>
        <v>64462.108259999965</v>
      </c>
      <c r="BC96" s="54">
        <v>1</v>
      </c>
      <c r="BD96" s="54">
        <v>0.97</v>
      </c>
      <c r="BE96" s="54">
        <v>0.95</v>
      </c>
      <c r="BF96" s="54">
        <v>0.93</v>
      </c>
      <c r="BG96" s="54">
        <f t="shared" si="563"/>
        <v>0.91</v>
      </c>
      <c r="BH96" s="54">
        <f t="shared" si="563"/>
        <v>0.89</v>
      </c>
      <c r="BI96" s="54">
        <f t="shared" si="563"/>
        <v>0.87</v>
      </c>
      <c r="BJ96" s="54">
        <f t="shared" si="563"/>
        <v>0.85</v>
      </c>
      <c r="BK96" s="54">
        <f t="shared" si="563"/>
        <v>0.83</v>
      </c>
      <c r="BL96" s="54">
        <f t="shared" si="563"/>
        <v>0.80999999999999994</v>
      </c>
      <c r="BM96" s="54">
        <f t="shared" si="563"/>
        <v>0.78999999999999992</v>
      </c>
      <c r="BN96" s="54">
        <f t="shared" si="563"/>
        <v>0.76999999999999991</v>
      </c>
      <c r="BO96" s="54">
        <f t="shared" si="563"/>
        <v>0.74999999999999989</v>
      </c>
      <c r="BP96" s="54">
        <f t="shared" si="563"/>
        <v>0.72999999999999987</v>
      </c>
      <c r="BQ96" s="54">
        <f t="shared" si="563"/>
        <v>0.70999999999999985</v>
      </c>
      <c r="BR96" s="54">
        <f t="shared" si="563"/>
        <v>0.68999999999999984</v>
      </c>
      <c r="BS96" s="54">
        <f t="shared" si="563"/>
        <v>0.66999999999999982</v>
      </c>
      <c r="BT96" s="54">
        <f t="shared" si="563"/>
        <v>0.6499999999999998</v>
      </c>
      <c r="BU96" s="54">
        <f t="shared" si="563"/>
        <v>0.62999999999999978</v>
      </c>
      <c r="BV96" s="54">
        <f t="shared" si="563"/>
        <v>0.60999999999999976</v>
      </c>
      <c r="BW96" s="54">
        <f t="shared" si="563"/>
        <v>0.58999999999999975</v>
      </c>
      <c r="BX96" s="54">
        <f t="shared" si="563"/>
        <v>0.56999999999999973</v>
      </c>
      <c r="BZ96" s="54">
        <f t="shared" si="513"/>
        <v>31131.100000000002</v>
      </c>
      <c r="CA96" s="54">
        <f t="shared" si="514"/>
        <v>31131.100000000002</v>
      </c>
      <c r="CB96" s="58">
        <f t="shared" si="564"/>
        <v>102913.19038000001</v>
      </c>
      <c r="CC96" s="54">
        <f t="shared" si="565"/>
        <v>30197.167000000001</v>
      </c>
      <c r="CD96" s="58">
        <f t="shared" si="566"/>
        <v>99825.794668600007</v>
      </c>
      <c r="CE96" s="54">
        <f t="shared" si="567"/>
        <v>29574.545000000002</v>
      </c>
      <c r="CF96" s="58">
        <f t="shared" si="568"/>
        <v>97767.530861000007</v>
      </c>
      <c r="CG96" s="54">
        <f t="shared" si="569"/>
        <v>28951.923000000003</v>
      </c>
      <c r="CH96" s="58">
        <f t="shared" si="570"/>
        <v>95709.267053400006</v>
      </c>
      <c r="CI96" s="56">
        <f t="shared" si="571"/>
        <v>28329.301000000003</v>
      </c>
      <c r="CJ96" s="58">
        <f t="shared" si="572"/>
        <v>93651.003245800006</v>
      </c>
      <c r="CK96" s="54">
        <f t="shared" si="573"/>
        <v>27706.679000000004</v>
      </c>
      <c r="CL96" s="58">
        <f t="shared" si="574"/>
        <v>91592.73943820002</v>
      </c>
      <c r="CM96" s="56">
        <f t="shared" si="575"/>
        <v>27084.057000000001</v>
      </c>
      <c r="CN96" s="58">
        <f t="shared" si="576"/>
        <v>89534.475630600005</v>
      </c>
      <c r="CO96" s="59">
        <f t="shared" si="577"/>
        <v>26461.435000000001</v>
      </c>
      <c r="CP96" s="58">
        <f t="shared" si="578"/>
        <v>87476.211823000005</v>
      </c>
      <c r="CQ96" s="56">
        <f t="shared" si="579"/>
        <v>25838.813000000002</v>
      </c>
      <c r="CR96" s="58">
        <f t="shared" si="580"/>
        <v>85417.948015400005</v>
      </c>
      <c r="CS96" s="54">
        <f t="shared" si="581"/>
        <v>25216.190999999999</v>
      </c>
      <c r="CT96" s="58">
        <f t="shared" si="582"/>
        <v>83359.684207800005</v>
      </c>
      <c r="CU96" s="59">
        <f t="shared" si="583"/>
        <v>24593.569</v>
      </c>
      <c r="CV96" s="58">
        <f t="shared" si="584"/>
        <v>81301.420400200004</v>
      </c>
      <c r="CW96" s="59">
        <f t="shared" si="585"/>
        <v>23970.947</v>
      </c>
      <c r="CX96" s="58">
        <f t="shared" si="586"/>
        <v>79243.156592600004</v>
      </c>
      <c r="CY96" s="59">
        <f t="shared" si="587"/>
        <v>23348.324999999997</v>
      </c>
      <c r="CZ96" s="58">
        <f t="shared" si="588"/>
        <v>77184.892784999989</v>
      </c>
      <c r="DA96" s="54">
        <f t="shared" si="589"/>
        <v>22725.702999999998</v>
      </c>
      <c r="DB96" s="58">
        <f t="shared" si="590"/>
        <v>75126.628977399989</v>
      </c>
      <c r="DC96" s="59">
        <f t="shared" si="591"/>
        <v>22103.080999999998</v>
      </c>
      <c r="DD96" s="58">
        <f t="shared" si="592"/>
        <v>73068.365169800003</v>
      </c>
      <c r="DE96" s="59">
        <f t="shared" si="593"/>
        <v>21480.458999999995</v>
      </c>
      <c r="DF96" s="58">
        <f t="shared" si="594"/>
        <v>71010.101362199988</v>
      </c>
      <c r="DG96" s="59">
        <f t="shared" si="595"/>
        <v>20857.836999999996</v>
      </c>
      <c r="DH96" s="58">
        <f t="shared" si="596"/>
        <v>68951.837554599988</v>
      </c>
      <c r="DI96" s="59">
        <f t="shared" si="597"/>
        <v>20235.214999999997</v>
      </c>
      <c r="DJ96" s="58">
        <f t="shared" si="598"/>
        <v>66893.573746999988</v>
      </c>
      <c r="DK96" s="54">
        <f t="shared" si="599"/>
        <v>19612.592999999993</v>
      </c>
      <c r="DL96" s="58">
        <f t="shared" si="600"/>
        <v>64835.30993939998</v>
      </c>
      <c r="DM96" s="59">
        <f t="shared" si="601"/>
        <v>18989.970999999994</v>
      </c>
      <c r="DN96" s="58">
        <f t="shared" si="602"/>
        <v>62777.04613179998</v>
      </c>
      <c r="DO96" s="59">
        <f t="shared" si="603"/>
        <v>18367.348999999995</v>
      </c>
      <c r="DP96" s="58">
        <f t="shared" si="604"/>
        <v>60718.782324199987</v>
      </c>
      <c r="DQ96" s="54">
        <f t="shared" si="605"/>
        <v>17744.726999999992</v>
      </c>
      <c r="DR96" s="58">
        <f t="shared" si="606"/>
        <v>58660.518516599972</v>
      </c>
      <c r="DU96" s="54">
        <v>1</v>
      </c>
      <c r="DV96" s="54">
        <v>0.97</v>
      </c>
      <c r="DW96" s="54">
        <v>0.95</v>
      </c>
      <c r="DX96" s="54">
        <v>0.93</v>
      </c>
      <c r="DY96" s="54">
        <f t="shared" si="652"/>
        <v>0.91</v>
      </c>
      <c r="DZ96" s="54">
        <f t="shared" si="652"/>
        <v>0.89</v>
      </c>
      <c r="EA96" s="54">
        <f t="shared" si="652"/>
        <v>0.87</v>
      </c>
      <c r="EB96" s="54">
        <f t="shared" si="652"/>
        <v>0.85</v>
      </c>
      <c r="EC96" s="54">
        <f t="shared" si="652"/>
        <v>0.83</v>
      </c>
      <c r="ED96" s="54">
        <f t="shared" si="652"/>
        <v>0.80999999999999994</v>
      </c>
      <c r="EE96" s="54">
        <f t="shared" si="652"/>
        <v>0.78999999999999992</v>
      </c>
      <c r="EF96" s="54">
        <f t="shared" si="652"/>
        <v>0.76999999999999991</v>
      </c>
      <c r="EG96" s="54">
        <f t="shared" si="652"/>
        <v>0.74999999999999989</v>
      </c>
      <c r="EH96" s="54">
        <f t="shared" si="652"/>
        <v>0.72999999999999987</v>
      </c>
      <c r="EI96" s="54">
        <f t="shared" si="652"/>
        <v>0.70999999999999985</v>
      </c>
      <c r="EJ96" s="54">
        <f t="shared" si="652"/>
        <v>0.68999999999999984</v>
      </c>
      <c r="EK96" s="54">
        <f t="shared" si="652"/>
        <v>0.66999999999999982</v>
      </c>
      <c r="EL96" s="54">
        <f t="shared" si="652"/>
        <v>0.6499999999999998</v>
      </c>
      <c r="EM96" s="54">
        <f t="shared" si="652"/>
        <v>0.62999999999999978</v>
      </c>
      <c r="EN96" s="54">
        <f t="shared" si="652"/>
        <v>0.60999999999999976</v>
      </c>
      <c r="EO96" s="54">
        <f t="shared" si="652"/>
        <v>0.58999999999999975</v>
      </c>
      <c r="EP96" s="54">
        <f t="shared" si="652"/>
        <v>0.56999999999999973</v>
      </c>
      <c r="ER96" s="54">
        <f t="shared" si="653"/>
        <v>28329.301000000003</v>
      </c>
      <c r="ES96" s="54">
        <f t="shared" si="515"/>
        <v>28329.301000000003</v>
      </c>
      <c r="ET96" s="58">
        <f t="shared" si="607"/>
        <v>93651.003245800006</v>
      </c>
      <c r="EU96" s="54">
        <f t="shared" si="608"/>
        <v>27479.421970000003</v>
      </c>
      <c r="EV96" s="58">
        <f t="shared" si="609"/>
        <v>90841.473148426012</v>
      </c>
      <c r="EW96" s="54">
        <f t="shared" si="610"/>
        <v>26912.835950000001</v>
      </c>
      <c r="EX96" s="58">
        <f t="shared" si="611"/>
        <v>88968.453083510001</v>
      </c>
      <c r="EY96" s="54">
        <f t="shared" si="612"/>
        <v>26346.249930000005</v>
      </c>
      <c r="EZ96" s="58">
        <f t="shared" si="613"/>
        <v>87095.43301859402</v>
      </c>
      <c r="FA96" s="56">
        <f t="shared" si="614"/>
        <v>25779.663910000003</v>
      </c>
      <c r="FB96" s="58">
        <f t="shared" si="615"/>
        <v>85222.412953678009</v>
      </c>
      <c r="FC96" s="54">
        <f t="shared" si="616"/>
        <v>25213.077890000004</v>
      </c>
      <c r="FD96" s="58">
        <f t="shared" si="617"/>
        <v>83349.392888762013</v>
      </c>
      <c r="FE96" s="56">
        <f t="shared" si="618"/>
        <v>24646.491870000002</v>
      </c>
      <c r="FF96" s="58">
        <f t="shared" si="619"/>
        <v>81476.372823846003</v>
      </c>
      <c r="FG96" s="59">
        <f t="shared" si="620"/>
        <v>24079.905850000003</v>
      </c>
      <c r="FH96" s="58">
        <f t="shared" si="621"/>
        <v>79603.352758930007</v>
      </c>
      <c r="FI96" s="56">
        <f t="shared" si="622"/>
        <v>23513.31983</v>
      </c>
      <c r="FJ96" s="58">
        <f t="shared" si="623"/>
        <v>77730.332694013996</v>
      </c>
      <c r="FK96" s="54">
        <f t="shared" si="624"/>
        <v>22946.733810000002</v>
      </c>
      <c r="FL96" s="58">
        <f t="shared" si="625"/>
        <v>75857.312629098</v>
      </c>
      <c r="FM96" s="59">
        <f t="shared" si="626"/>
        <v>22380.147789999999</v>
      </c>
      <c r="FN96" s="58">
        <f t="shared" si="627"/>
        <v>73984.292564182004</v>
      </c>
      <c r="FO96" s="59">
        <f t="shared" si="628"/>
        <v>21813.56177</v>
      </c>
      <c r="FP96" s="58">
        <f t="shared" si="629"/>
        <v>72111.272499266008</v>
      </c>
      <c r="FQ96" s="59">
        <f t="shared" si="630"/>
        <v>21246.975749999998</v>
      </c>
      <c r="FR96" s="58">
        <f t="shared" si="631"/>
        <v>70238.252434349997</v>
      </c>
      <c r="FS96" s="54">
        <f t="shared" si="632"/>
        <v>20680.389729999999</v>
      </c>
      <c r="FT96" s="58">
        <f t="shared" si="633"/>
        <v>68365.232369434001</v>
      </c>
      <c r="FU96" s="59">
        <f t="shared" si="634"/>
        <v>20113.803709999996</v>
      </c>
      <c r="FV96" s="58">
        <f t="shared" si="635"/>
        <v>66492.212304517991</v>
      </c>
      <c r="FW96" s="59">
        <f t="shared" si="636"/>
        <v>19547.217689999998</v>
      </c>
      <c r="FX96" s="58">
        <f t="shared" si="637"/>
        <v>64619.192239601995</v>
      </c>
      <c r="FY96" s="59">
        <f t="shared" si="638"/>
        <v>18980.631669999995</v>
      </c>
      <c r="FZ96" s="58">
        <f t="shared" si="639"/>
        <v>62746.172174685984</v>
      </c>
      <c r="GA96" s="59">
        <f t="shared" si="640"/>
        <v>18414.045649999996</v>
      </c>
      <c r="GB96" s="58">
        <f t="shared" si="641"/>
        <v>60873.152109769988</v>
      </c>
      <c r="GC96" s="54">
        <f t="shared" si="642"/>
        <v>17847.459629999998</v>
      </c>
      <c r="GD96" s="58">
        <f t="shared" si="643"/>
        <v>59000.132044853992</v>
      </c>
      <c r="GE96" s="59">
        <f t="shared" si="644"/>
        <v>17280.873609999995</v>
      </c>
      <c r="GF96" s="58">
        <f t="shared" si="645"/>
        <v>57127.111979937989</v>
      </c>
      <c r="GG96" s="59">
        <f t="shared" si="646"/>
        <v>16714.287589999996</v>
      </c>
      <c r="GH96" s="58">
        <f t="shared" si="647"/>
        <v>55254.091915021992</v>
      </c>
      <c r="GI96" s="54">
        <f t="shared" si="648"/>
        <v>16147.701569999994</v>
      </c>
      <c r="GJ96" s="58">
        <f t="shared" si="649"/>
        <v>53381.071850105982</v>
      </c>
      <c r="GK96" s="54"/>
      <c r="GL96" s="54"/>
      <c r="GM96" s="54">
        <v>1</v>
      </c>
      <c r="GN96" s="54">
        <v>0.97</v>
      </c>
      <c r="GO96" s="54">
        <v>0.95</v>
      </c>
      <c r="GP96" s="54">
        <v>0.93</v>
      </c>
      <c r="GQ96" s="54">
        <f t="shared" si="654"/>
        <v>0.91</v>
      </c>
      <c r="GR96" s="54">
        <f t="shared" si="654"/>
        <v>0.89</v>
      </c>
      <c r="GS96" s="54">
        <f t="shared" si="654"/>
        <v>0.87</v>
      </c>
      <c r="GT96" s="54">
        <f t="shared" si="654"/>
        <v>0.85</v>
      </c>
      <c r="GU96" s="54">
        <f t="shared" si="654"/>
        <v>0.83</v>
      </c>
      <c r="GV96" s="54">
        <f t="shared" si="654"/>
        <v>0.80999999999999994</v>
      </c>
      <c r="GW96" s="54">
        <f t="shared" si="654"/>
        <v>0.78999999999999992</v>
      </c>
      <c r="GX96" s="54">
        <f t="shared" si="654"/>
        <v>0.76999999999999991</v>
      </c>
      <c r="GY96" s="54">
        <f t="shared" si="654"/>
        <v>0.74999999999999989</v>
      </c>
      <c r="GZ96" s="54">
        <f t="shared" si="654"/>
        <v>0.72999999999999987</v>
      </c>
      <c r="HA96" s="54">
        <f t="shared" si="654"/>
        <v>0.70999999999999985</v>
      </c>
      <c r="HB96" s="54">
        <f t="shared" si="654"/>
        <v>0.68999999999999984</v>
      </c>
      <c r="HC96" s="54">
        <f t="shared" si="654"/>
        <v>0.66999999999999982</v>
      </c>
      <c r="HD96" s="54">
        <f t="shared" si="654"/>
        <v>0.6499999999999998</v>
      </c>
      <c r="HE96" s="54">
        <f t="shared" si="654"/>
        <v>0.62999999999999978</v>
      </c>
      <c r="HF96" s="54">
        <f t="shared" si="654"/>
        <v>0.60999999999999976</v>
      </c>
      <c r="HG96" s="54">
        <f t="shared" si="654"/>
        <v>0.58999999999999975</v>
      </c>
      <c r="HH96" s="54">
        <f t="shared" si="654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2">
        <f t="shared" si="520"/>
        <v>0</v>
      </c>
      <c r="H97" s="54">
        <f t="shared" si="510"/>
        <v>0</v>
      </c>
      <c r="I97" s="54">
        <f t="shared" si="511"/>
        <v>0</v>
      </c>
      <c r="J97" s="58">
        <f t="shared" si="512"/>
        <v>0</v>
      </c>
      <c r="K97" s="54">
        <f t="shared" si="521"/>
        <v>0</v>
      </c>
      <c r="L97" s="58">
        <f t="shared" si="522"/>
        <v>0</v>
      </c>
      <c r="M97" s="54">
        <f t="shared" si="523"/>
        <v>0</v>
      </c>
      <c r="N97" s="58">
        <f t="shared" si="524"/>
        <v>0</v>
      </c>
      <c r="O97" s="54">
        <f t="shared" si="525"/>
        <v>0</v>
      </c>
      <c r="P97" s="58">
        <f t="shared" si="526"/>
        <v>0</v>
      </c>
      <c r="Q97" s="56">
        <f t="shared" si="527"/>
        <v>0</v>
      </c>
      <c r="R97" s="58">
        <f t="shared" si="528"/>
        <v>0</v>
      </c>
      <c r="S97" s="54">
        <f t="shared" si="529"/>
        <v>0</v>
      </c>
      <c r="T97" s="58">
        <f t="shared" si="530"/>
        <v>0</v>
      </c>
      <c r="U97" s="56">
        <f t="shared" si="531"/>
        <v>0</v>
      </c>
      <c r="V97" s="58">
        <f t="shared" si="532"/>
        <v>0</v>
      </c>
      <c r="W97" s="59">
        <f t="shared" si="533"/>
        <v>0</v>
      </c>
      <c r="X97" s="58">
        <f t="shared" si="534"/>
        <v>0</v>
      </c>
      <c r="Y97" s="56">
        <f t="shared" si="535"/>
        <v>0</v>
      </c>
      <c r="Z97" s="58">
        <f t="shared" si="536"/>
        <v>0</v>
      </c>
      <c r="AA97" s="54">
        <f t="shared" si="537"/>
        <v>0</v>
      </c>
      <c r="AB97" s="58">
        <f t="shared" si="538"/>
        <v>0</v>
      </c>
      <c r="AC97" s="59">
        <f t="shared" si="539"/>
        <v>0</v>
      </c>
      <c r="AD97" s="58">
        <f t="shared" si="540"/>
        <v>0</v>
      </c>
      <c r="AE97" s="59">
        <f t="shared" si="541"/>
        <v>0</v>
      </c>
      <c r="AF97" s="58">
        <f t="shared" si="542"/>
        <v>0</v>
      </c>
      <c r="AG97" s="59">
        <f t="shared" si="543"/>
        <v>0</v>
      </c>
      <c r="AH97" s="58">
        <f t="shared" si="544"/>
        <v>0</v>
      </c>
      <c r="AI97" s="54">
        <f t="shared" si="545"/>
        <v>0</v>
      </c>
      <c r="AJ97" s="58">
        <f t="shared" si="546"/>
        <v>0</v>
      </c>
      <c r="AK97" s="59">
        <f t="shared" si="547"/>
        <v>0</v>
      </c>
      <c r="AL97" s="58">
        <f t="shared" si="548"/>
        <v>0</v>
      </c>
      <c r="AM97" s="59">
        <f t="shared" si="549"/>
        <v>0</v>
      </c>
      <c r="AN97" s="58">
        <f t="shared" si="550"/>
        <v>0</v>
      </c>
      <c r="AO97" s="59">
        <f t="shared" si="551"/>
        <v>0</v>
      </c>
      <c r="AP97" s="58">
        <f t="shared" si="552"/>
        <v>0</v>
      </c>
      <c r="AQ97" s="59">
        <f t="shared" si="553"/>
        <v>0</v>
      </c>
      <c r="AR97" s="58">
        <f t="shared" si="554"/>
        <v>0</v>
      </c>
      <c r="AS97" s="54">
        <f t="shared" si="555"/>
        <v>0</v>
      </c>
      <c r="AT97" s="58">
        <f t="shared" si="556"/>
        <v>0</v>
      </c>
      <c r="AU97" s="59">
        <f t="shared" si="557"/>
        <v>0</v>
      </c>
      <c r="AV97" s="58">
        <f t="shared" si="558"/>
        <v>0</v>
      </c>
      <c r="AW97" s="59">
        <f t="shared" si="559"/>
        <v>0</v>
      </c>
      <c r="AX97" s="58">
        <f t="shared" si="560"/>
        <v>0</v>
      </c>
      <c r="AY97" s="54">
        <f t="shared" si="561"/>
        <v>0</v>
      </c>
      <c r="AZ97" s="58">
        <f t="shared" si="562"/>
        <v>0</v>
      </c>
      <c r="BC97" s="54">
        <v>1</v>
      </c>
      <c r="BD97" s="54">
        <v>0.97</v>
      </c>
      <c r="BE97" s="54">
        <v>0.95</v>
      </c>
      <c r="BF97" s="54">
        <v>0.93</v>
      </c>
      <c r="BG97" s="54">
        <f t="shared" si="563"/>
        <v>0.91</v>
      </c>
      <c r="BH97" s="54">
        <f t="shared" si="563"/>
        <v>0.89</v>
      </c>
      <c r="BI97" s="54">
        <f t="shared" si="563"/>
        <v>0.87</v>
      </c>
      <c r="BJ97" s="54">
        <f t="shared" si="563"/>
        <v>0.85</v>
      </c>
      <c r="BK97" s="54">
        <f t="shared" si="563"/>
        <v>0.83</v>
      </c>
      <c r="BL97" s="54">
        <f t="shared" si="563"/>
        <v>0.80999999999999994</v>
      </c>
      <c r="BM97" s="54">
        <f t="shared" si="563"/>
        <v>0.78999999999999992</v>
      </c>
      <c r="BN97" s="54">
        <f t="shared" si="563"/>
        <v>0.76999999999999991</v>
      </c>
      <c r="BO97" s="54">
        <f t="shared" si="563"/>
        <v>0.74999999999999989</v>
      </c>
      <c r="BP97" s="54">
        <f t="shared" si="563"/>
        <v>0.72999999999999987</v>
      </c>
      <c r="BQ97" s="54">
        <f t="shared" si="563"/>
        <v>0.70999999999999985</v>
      </c>
      <c r="BR97" s="54">
        <f t="shared" si="563"/>
        <v>0.68999999999999984</v>
      </c>
      <c r="BS97" s="54">
        <f t="shared" si="563"/>
        <v>0.66999999999999982</v>
      </c>
      <c r="BT97" s="54">
        <f t="shared" si="563"/>
        <v>0.6499999999999998</v>
      </c>
      <c r="BU97" s="54">
        <f t="shared" si="563"/>
        <v>0.62999999999999978</v>
      </c>
      <c r="BV97" s="54">
        <f t="shared" si="563"/>
        <v>0.60999999999999976</v>
      </c>
      <c r="BW97" s="54">
        <f t="shared" si="563"/>
        <v>0.58999999999999975</v>
      </c>
      <c r="BX97" s="54">
        <f t="shared" si="563"/>
        <v>0.56999999999999973</v>
      </c>
      <c r="BZ97" s="54">
        <f t="shared" si="513"/>
        <v>0</v>
      </c>
      <c r="CA97" s="54">
        <f t="shared" si="514"/>
        <v>0</v>
      </c>
      <c r="CB97" s="58">
        <f t="shared" si="564"/>
        <v>0</v>
      </c>
      <c r="CC97" s="54">
        <f t="shared" si="565"/>
        <v>0</v>
      </c>
      <c r="CD97" s="58">
        <f t="shared" si="566"/>
        <v>0</v>
      </c>
      <c r="CE97" s="54">
        <f t="shared" si="567"/>
        <v>0</v>
      </c>
      <c r="CF97" s="58">
        <f t="shared" si="568"/>
        <v>0</v>
      </c>
      <c r="CG97" s="54">
        <f t="shared" si="569"/>
        <v>0</v>
      </c>
      <c r="CH97" s="58">
        <f t="shared" si="570"/>
        <v>0</v>
      </c>
      <c r="CI97" s="56">
        <f t="shared" si="571"/>
        <v>0</v>
      </c>
      <c r="CJ97" s="58">
        <f t="shared" si="572"/>
        <v>0</v>
      </c>
      <c r="CK97" s="54">
        <f t="shared" si="573"/>
        <v>0</v>
      </c>
      <c r="CL97" s="58">
        <f t="shared" si="574"/>
        <v>0</v>
      </c>
      <c r="CM97" s="56">
        <f t="shared" si="575"/>
        <v>0</v>
      </c>
      <c r="CN97" s="58">
        <f t="shared" si="576"/>
        <v>0</v>
      </c>
      <c r="CO97" s="59">
        <f t="shared" si="577"/>
        <v>0</v>
      </c>
      <c r="CP97" s="58">
        <f t="shared" si="578"/>
        <v>0</v>
      </c>
      <c r="CQ97" s="56">
        <f t="shared" si="579"/>
        <v>0</v>
      </c>
      <c r="CR97" s="58">
        <f t="shared" si="580"/>
        <v>0</v>
      </c>
      <c r="CS97" s="54">
        <f t="shared" si="581"/>
        <v>0</v>
      </c>
      <c r="CT97" s="58">
        <f t="shared" si="582"/>
        <v>0</v>
      </c>
      <c r="CU97" s="59">
        <f t="shared" si="583"/>
        <v>0</v>
      </c>
      <c r="CV97" s="58">
        <f t="shared" si="584"/>
        <v>0</v>
      </c>
      <c r="CW97" s="59">
        <f t="shared" si="585"/>
        <v>0</v>
      </c>
      <c r="CX97" s="58">
        <f t="shared" si="586"/>
        <v>0</v>
      </c>
      <c r="CY97" s="59">
        <f t="shared" si="587"/>
        <v>0</v>
      </c>
      <c r="CZ97" s="58">
        <f t="shared" si="588"/>
        <v>0</v>
      </c>
      <c r="DA97" s="54">
        <f t="shared" si="589"/>
        <v>0</v>
      </c>
      <c r="DB97" s="58">
        <f t="shared" si="590"/>
        <v>0</v>
      </c>
      <c r="DC97" s="59">
        <f t="shared" si="591"/>
        <v>0</v>
      </c>
      <c r="DD97" s="58">
        <f t="shared" si="592"/>
        <v>0</v>
      </c>
      <c r="DE97" s="59">
        <f t="shared" si="593"/>
        <v>0</v>
      </c>
      <c r="DF97" s="58">
        <f t="shared" si="594"/>
        <v>0</v>
      </c>
      <c r="DG97" s="59">
        <f t="shared" si="595"/>
        <v>0</v>
      </c>
      <c r="DH97" s="58">
        <f t="shared" si="596"/>
        <v>0</v>
      </c>
      <c r="DI97" s="59">
        <f t="shared" si="597"/>
        <v>0</v>
      </c>
      <c r="DJ97" s="58">
        <f t="shared" si="598"/>
        <v>0</v>
      </c>
      <c r="DK97" s="54">
        <f t="shared" si="599"/>
        <v>0</v>
      </c>
      <c r="DL97" s="58">
        <f t="shared" si="600"/>
        <v>0</v>
      </c>
      <c r="DM97" s="59">
        <f t="shared" si="601"/>
        <v>0</v>
      </c>
      <c r="DN97" s="58">
        <f t="shared" si="602"/>
        <v>0</v>
      </c>
      <c r="DO97" s="59">
        <f t="shared" si="603"/>
        <v>0</v>
      </c>
      <c r="DP97" s="58">
        <f t="shared" si="604"/>
        <v>0</v>
      </c>
      <c r="DQ97" s="54">
        <f t="shared" si="605"/>
        <v>0</v>
      </c>
      <c r="DR97" s="58">
        <f t="shared" si="606"/>
        <v>0</v>
      </c>
      <c r="DU97" s="54">
        <v>1</v>
      </c>
      <c r="DV97" s="54">
        <v>0.97</v>
      </c>
      <c r="DW97" s="54">
        <v>0.95</v>
      </c>
      <c r="DX97" s="54">
        <v>0.93</v>
      </c>
      <c r="DY97" s="54">
        <f t="shared" si="652"/>
        <v>0.91</v>
      </c>
      <c r="DZ97" s="54">
        <f t="shared" si="652"/>
        <v>0.89</v>
      </c>
      <c r="EA97" s="54">
        <f t="shared" si="652"/>
        <v>0.87</v>
      </c>
      <c r="EB97" s="54">
        <f t="shared" si="652"/>
        <v>0.85</v>
      </c>
      <c r="EC97" s="54">
        <f t="shared" si="652"/>
        <v>0.83</v>
      </c>
      <c r="ED97" s="54">
        <f t="shared" si="652"/>
        <v>0.80999999999999994</v>
      </c>
      <c r="EE97" s="54">
        <f t="shared" si="652"/>
        <v>0.78999999999999992</v>
      </c>
      <c r="EF97" s="54">
        <f t="shared" si="652"/>
        <v>0.76999999999999991</v>
      </c>
      <c r="EG97" s="54">
        <f t="shared" si="652"/>
        <v>0.74999999999999989</v>
      </c>
      <c r="EH97" s="54">
        <f t="shared" si="652"/>
        <v>0.72999999999999987</v>
      </c>
      <c r="EI97" s="54">
        <f t="shared" si="652"/>
        <v>0.70999999999999985</v>
      </c>
      <c r="EJ97" s="54">
        <f t="shared" si="652"/>
        <v>0.68999999999999984</v>
      </c>
      <c r="EK97" s="54">
        <f t="shared" si="652"/>
        <v>0.66999999999999982</v>
      </c>
      <c r="EL97" s="54">
        <f t="shared" si="652"/>
        <v>0.6499999999999998</v>
      </c>
      <c r="EM97" s="54">
        <f t="shared" si="652"/>
        <v>0.62999999999999978</v>
      </c>
      <c r="EN97" s="54">
        <f t="shared" si="652"/>
        <v>0.60999999999999976</v>
      </c>
      <c r="EO97" s="54">
        <f t="shared" si="652"/>
        <v>0.58999999999999975</v>
      </c>
      <c r="EP97" s="54">
        <f t="shared" si="652"/>
        <v>0.56999999999999973</v>
      </c>
      <c r="ER97" s="54">
        <f t="shared" si="653"/>
        <v>0</v>
      </c>
      <c r="ES97" s="54">
        <f t="shared" si="515"/>
        <v>0</v>
      </c>
      <c r="ET97" s="58">
        <f t="shared" si="607"/>
        <v>0</v>
      </c>
      <c r="EU97" s="54">
        <f t="shared" si="608"/>
        <v>0</v>
      </c>
      <c r="EV97" s="58">
        <f t="shared" si="609"/>
        <v>0</v>
      </c>
      <c r="EW97" s="54">
        <f t="shared" si="610"/>
        <v>0</v>
      </c>
      <c r="EX97" s="58">
        <f t="shared" si="611"/>
        <v>0</v>
      </c>
      <c r="EY97" s="54">
        <f t="shared" si="612"/>
        <v>0</v>
      </c>
      <c r="EZ97" s="58">
        <f t="shared" si="613"/>
        <v>0</v>
      </c>
      <c r="FA97" s="56">
        <f t="shared" si="614"/>
        <v>0</v>
      </c>
      <c r="FB97" s="58">
        <f t="shared" si="615"/>
        <v>0</v>
      </c>
      <c r="FC97" s="54">
        <f t="shared" si="616"/>
        <v>0</v>
      </c>
      <c r="FD97" s="58">
        <f t="shared" si="617"/>
        <v>0</v>
      </c>
      <c r="FE97" s="56">
        <f t="shared" si="618"/>
        <v>0</v>
      </c>
      <c r="FF97" s="58">
        <f t="shared" si="619"/>
        <v>0</v>
      </c>
      <c r="FG97" s="59">
        <f t="shared" si="620"/>
        <v>0</v>
      </c>
      <c r="FH97" s="58">
        <f t="shared" si="621"/>
        <v>0</v>
      </c>
      <c r="FI97" s="56">
        <f t="shared" si="622"/>
        <v>0</v>
      </c>
      <c r="FJ97" s="58">
        <f t="shared" si="623"/>
        <v>0</v>
      </c>
      <c r="FK97" s="54">
        <f t="shared" si="624"/>
        <v>0</v>
      </c>
      <c r="FL97" s="58">
        <f t="shared" si="625"/>
        <v>0</v>
      </c>
      <c r="FM97" s="59">
        <f t="shared" si="626"/>
        <v>0</v>
      </c>
      <c r="FN97" s="58">
        <f t="shared" si="627"/>
        <v>0</v>
      </c>
      <c r="FO97" s="59">
        <f t="shared" si="628"/>
        <v>0</v>
      </c>
      <c r="FP97" s="58">
        <f t="shared" si="629"/>
        <v>0</v>
      </c>
      <c r="FQ97" s="59">
        <f t="shared" si="630"/>
        <v>0</v>
      </c>
      <c r="FR97" s="58">
        <f t="shared" si="631"/>
        <v>0</v>
      </c>
      <c r="FS97" s="54">
        <f t="shared" si="632"/>
        <v>0</v>
      </c>
      <c r="FT97" s="58">
        <f t="shared" si="633"/>
        <v>0</v>
      </c>
      <c r="FU97" s="59">
        <f t="shared" si="634"/>
        <v>0</v>
      </c>
      <c r="FV97" s="58">
        <f t="shared" si="635"/>
        <v>0</v>
      </c>
      <c r="FW97" s="59">
        <f t="shared" si="636"/>
        <v>0</v>
      </c>
      <c r="FX97" s="58">
        <f t="shared" si="637"/>
        <v>0</v>
      </c>
      <c r="FY97" s="59">
        <f t="shared" si="638"/>
        <v>0</v>
      </c>
      <c r="FZ97" s="58">
        <f t="shared" si="639"/>
        <v>0</v>
      </c>
      <c r="GA97" s="59">
        <f t="shared" si="640"/>
        <v>0</v>
      </c>
      <c r="GB97" s="58">
        <f t="shared" si="641"/>
        <v>0</v>
      </c>
      <c r="GC97" s="54">
        <f t="shared" si="642"/>
        <v>0</v>
      </c>
      <c r="GD97" s="58">
        <f t="shared" si="643"/>
        <v>0</v>
      </c>
      <c r="GE97" s="59">
        <f t="shared" si="644"/>
        <v>0</v>
      </c>
      <c r="GF97" s="58">
        <f t="shared" si="645"/>
        <v>0</v>
      </c>
      <c r="GG97" s="59">
        <f t="shared" si="646"/>
        <v>0</v>
      </c>
      <c r="GH97" s="58">
        <f t="shared" si="647"/>
        <v>0</v>
      </c>
      <c r="GI97" s="54">
        <f t="shared" si="648"/>
        <v>0</v>
      </c>
      <c r="GJ97" s="58">
        <f t="shared" si="649"/>
        <v>0</v>
      </c>
      <c r="GK97" s="54"/>
      <c r="GL97" s="54"/>
      <c r="GM97" s="54">
        <v>1</v>
      </c>
      <c r="GN97" s="54">
        <v>0.97</v>
      </c>
      <c r="GO97" s="54">
        <v>0.95</v>
      </c>
      <c r="GP97" s="54">
        <v>0.93</v>
      </c>
      <c r="GQ97" s="54">
        <f t="shared" si="654"/>
        <v>0.91</v>
      </c>
      <c r="GR97" s="54">
        <f t="shared" si="654"/>
        <v>0.89</v>
      </c>
      <c r="GS97" s="54">
        <f t="shared" si="654"/>
        <v>0.87</v>
      </c>
      <c r="GT97" s="54">
        <f t="shared" si="654"/>
        <v>0.85</v>
      </c>
      <c r="GU97" s="54">
        <f t="shared" si="654"/>
        <v>0.83</v>
      </c>
      <c r="GV97" s="54">
        <f t="shared" si="654"/>
        <v>0.80999999999999994</v>
      </c>
      <c r="GW97" s="54">
        <f t="shared" si="654"/>
        <v>0.78999999999999992</v>
      </c>
      <c r="GX97" s="54">
        <f t="shared" si="654"/>
        <v>0.76999999999999991</v>
      </c>
      <c r="GY97" s="54">
        <f t="shared" si="654"/>
        <v>0.74999999999999989</v>
      </c>
      <c r="GZ97" s="54">
        <f t="shared" si="654"/>
        <v>0.72999999999999987</v>
      </c>
      <c r="HA97" s="54">
        <f t="shared" si="654"/>
        <v>0.70999999999999985</v>
      </c>
      <c r="HB97" s="54">
        <f t="shared" si="654"/>
        <v>0.68999999999999984</v>
      </c>
      <c r="HC97" s="54">
        <f t="shared" si="654"/>
        <v>0.66999999999999982</v>
      </c>
      <c r="HD97" s="54">
        <f t="shared" si="654"/>
        <v>0.6499999999999998</v>
      </c>
      <c r="HE97" s="54">
        <f t="shared" si="654"/>
        <v>0.62999999999999978</v>
      </c>
      <c r="HF97" s="54">
        <f t="shared" si="654"/>
        <v>0.60999999999999976</v>
      </c>
      <c r="HG97" s="54">
        <f t="shared" si="654"/>
        <v>0.58999999999999975</v>
      </c>
      <c r="HH97" s="54">
        <f t="shared" si="654"/>
        <v>0.56999999999999973</v>
      </c>
    </row>
    <row r="98" spans="1:216" x14ac:dyDescent="0.3">
      <c r="A98" s="2">
        <v>7</v>
      </c>
      <c r="C98" s="38" t="s">
        <v>45</v>
      </c>
      <c r="D98" s="42">
        <v>1160</v>
      </c>
      <c r="E98" s="72">
        <f t="shared" si="520"/>
        <v>3830</v>
      </c>
      <c r="F98" s="2" t="s">
        <v>311</v>
      </c>
      <c r="H98" s="54">
        <f t="shared" si="510"/>
        <v>4213</v>
      </c>
      <c r="I98" s="54">
        <f t="shared" si="511"/>
        <v>4213</v>
      </c>
      <c r="J98" s="58">
        <f t="shared" si="512"/>
        <v>13927.3354</v>
      </c>
      <c r="K98" s="54">
        <f t="shared" si="521"/>
        <v>4086.6099999999997</v>
      </c>
      <c r="L98" s="58">
        <f t="shared" si="522"/>
        <v>13509.515337999999</v>
      </c>
      <c r="M98" s="54">
        <f t="shared" si="523"/>
        <v>4002.35</v>
      </c>
      <c r="N98" s="58">
        <f t="shared" si="524"/>
        <v>13230.968629999999</v>
      </c>
      <c r="O98" s="54">
        <f t="shared" si="525"/>
        <v>3918.09</v>
      </c>
      <c r="P98" s="58">
        <f t="shared" si="526"/>
        <v>12952.421922000001</v>
      </c>
      <c r="Q98" s="56">
        <f t="shared" si="527"/>
        <v>3833.83</v>
      </c>
      <c r="R98" s="58">
        <f t="shared" si="528"/>
        <v>12673.875214</v>
      </c>
      <c r="S98" s="54">
        <f t="shared" si="529"/>
        <v>3749.57</v>
      </c>
      <c r="T98" s="58">
        <f t="shared" si="530"/>
        <v>12395.328506000002</v>
      </c>
      <c r="U98" s="56">
        <f t="shared" si="531"/>
        <v>3665.31</v>
      </c>
      <c r="V98" s="58">
        <f t="shared" si="532"/>
        <v>12116.781798</v>
      </c>
      <c r="W98" s="59">
        <f t="shared" si="533"/>
        <v>3581.0499999999997</v>
      </c>
      <c r="X98" s="58">
        <f t="shared" si="534"/>
        <v>11838.23509</v>
      </c>
      <c r="Y98" s="56">
        <f t="shared" si="535"/>
        <v>3496.79</v>
      </c>
      <c r="Z98" s="58">
        <f t="shared" si="536"/>
        <v>11559.688382</v>
      </c>
      <c r="AA98" s="54">
        <f t="shared" si="537"/>
        <v>3412.5299999999997</v>
      </c>
      <c r="AB98" s="58">
        <f t="shared" si="538"/>
        <v>11281.141673999999</v>
      </c>
      <c r="AC98" s="59">
        <f t="shared" si="539"/>
        <v>3328.2699999999995</v>
      </c>
      <c r="AD98" s="58">
        <f t="shared" si="540"/>
        <v>11002.594965999999</v>
      </c>
      <c r="AE98" s="59">
        <f t="shared" si="541"/>
        <v>3244.0099999999998</v>
      </c>
      <c r="AF98" s="58">
        <f t="shared" si="542"/>
        <v>10724.048257999999</v>
      </c>
      <c r="AG98" s="59">
        <f t="shared" si="543"/>
        <v>3159.7499999999995</v>
      </c>
      <c r="AH98" s="58">
        <f t="shared" si="544"/>
        <v>10445.501549999999</v>
      </c>
      <c r="AI98" s="54">
        <f t="shared" si="545"/>
        <v>3075.4899999999993</v>
      </c>
      <c r="AJ98" s="58">
        <f t="shared" si="546"/>
        <v>10166.954841999997</v>
      </c>
      <c r="AK98" s="59">
        <f t="shared" si="547"/>
        <v>2991.2299999999996</v>
      </c>
      <c r="AL98" s="58">
        <f t="shared" si="548"/>
        <v>9888.4081339999993</v>
      </c>
      <c r="AM98" s="59">
        <f t="shared" si="549"/>
        <v>2906.9699999999993</v>
      </c>
      <c r="AN98" s="58">
        <f t="shared" si="550"/>
        <v>9609.8614259999977</v>
      </c>
      <c r="AO98" s="59">
        <f t="shared" si="551"/>
        <v>2822.7099999999991</v>
      </c>
      <c r="AP98" s="58">
        <f t="shared" si="552"/>
        <v>9331.3147179999978</v>
      </c>
      <c r="AQ98" s="59">
        <f t="shared" si="553"/>
        <v>2738.4499999999994</v>
      </c>
      <c r="AR98" s="58">
        <f t="shared" si="554"/>
        <v>9052.768009999998</v>
      </c>
      <c r="AS98" s="54">
        <f t="shared" si="555"/>
        <v>2654.1899999999991</v>
      </c>
      <c r="AT98" s="58">
        <f t="shared" si="556"/>
        <v>8774.2213019999981</v>
      </c>
      <c r="AU98" s="59">
        <f t="shared" si="557"/>
        <v>2569.9299999999989</v>
      </c>
      <c r="AV98" s="58">
        <f t="shared" si="558"/>
        <v>8495.6745939999964</v>
      </c>
      <c r="AW98" s="59">
        <f t="shared" si="559"/>
        <v>2485.6699999999987</v>
      </c>
      <c r="AX98" s="58">
        <f t="shared" si="560"/>
        <v>8217.1278859999966</v>
      </c>
      <c r="AY98" s="54">
        <f t="shared" si="561"/>
        <v>2401.4099999999989</v>
      </c>
      <c r="AZ98" s="58">
        <f t="shared" si="562"/>
        <v>7938.5811779999967</v>
      </c>
      <c r="BC98" s="54">
        <v>1</v>
      </c>
      <c r="BD98" s="54">
        <v>0.97</v>
      </c>
      <c r="BE98" s="54">
        <v>0.95</v>
      </c>
      <c r="BF98" s="54">
        <v>0.93</v>
      </c>
      <c r="BG98" s="54">
        <f t="shared" si="563"/>
        <v>0.91</v>
      </c>
      <c r="BH98" s="54">
        <f t="shared" si="563"/>
        <v>0.89</v>
      </c>
      <c r="BI98" s="54">
        <f t="shared" si="563"/>
        <v>0.87</v>
      </c>
      <c r="BJ98" s="54">
        <f t="shared" si="563"/>
        <v>0.85</v>
      </c>
      <c r="BK98" s="54">
        <f t="shared" si="563"/>
        <v>0.83</v>
      </c>
      <c r="BL98" s="54">
        <f t="shared" si="563"/>
        <v>0.80999999999999994</v>
      </c>
      <c r="BM98" s="54">
        <f t="shared" si="563"/>
        <v>0.78999999999999992</v>
      </c>
      <c r="BN98" s="54">
        <f t="shared" si="563"/>
        <v>0.76999999999999991</v>
      </c>
      <c r="BO98" s="54">
        <f t="shared" si="563"/>
        <v>0.74999999999999989</v>
      </c>
      <c r="BP98" s="54">
        <f t="shared" si="563"/>
        <v>0.72999999999999987</v>
      </c>
      <c r="BQ98" s="54">
        <f t="shared" si="563"/>
        <v>0.70999999999999985</v>
      </c>
      <c r="BR98" s="54">
        <f t="shared" si="563"/>
        <v>0.68999999999999984</v>
      </c>
      <c r="BS98" s="54">
        <f t="shared" si="563"/>
        <v>0.66999999999999982</v>
      </c>
      <c r="BT98" s="54">
        <f t="shared" si="563"/>
        <v>0.6499999999999998</v>
      </c>
      <c r="BU98" s="54">
        <f t="shared" si="563"/>
        <v>0.62999999999999978</v>
      </c>
      <c r="BV98" s="54">
        <f t="shared" si="563"/>
        <v>0.60999999999999976</v>
      </c>
      <c r="BW98" s="54">
        <f t="shared" si="563"/>
        <v>0.58999999999999975</v>
      </c>
      <c r="BX98" s="54">
        <f t="shared" si="563"/>
        <v>0.56999999999999973</v>
      </c>
      <c r="BZ98" s="54">
        <f t="shared" si="513"/>
        <v>3833.83</v>
      </c>
      <c r="CA98" s="54">
        <f t="shared" si="514"/>
        <v>3833.83</v>
      </c>
      <c r="CB98" s="58">
        <f t="shared" si="564"/>
        <v>12673.875214</v>
      </c>
      <c r="CC98" s="54">
        <f t="shared" si="565"/>
        <v>3718.8150999999998</v>
      </c>
      <c r="CD98" s="58">
        <f t="shared" si="566"/>
        <v>12293.658957579999</v>
      </c>
      <c r="CE98" s="54">
        <f t="shared" si="567"/>
        <v>3642.1384999999996</v>
      </c>
      <c r="CF98" s="58">
        <f t="shared" si="568"/>
        <v>12040.1814533</v>
      </c>
      <c r="CG98" s="54">
        <f t="shared" si="569"/>
        <v>3565.4619000000002</v>
      </c>
      <c r="CH98" s="58">
        <f t="shared" si="570"/>
        <v>11786.70394902</v>
      </c>
      <c r="CI98" s="56">
        <f t="shared" si="571"/>
        <v>3488.7853</v>
      </c>
      <c r="CJ98" s="58">
        <f t="shared" si="572"/>
        <v>11533.226444740001</v>
      </c>
      <c r="CK98" s="54">
        <f t="shared" si="573"/>
        <v>3412.1086999999998</v>
      </c>
      <c r="CL98" s="58">
        <f t="shared" si="574"/>
        <v>11279.74894046</v>
      </c>
      <c r="CM98" s="56">
        <f t="shared" si="575"/>
        <v>3335.4321</v>
      </c>
      <c r="CN98" s="58">
        <f t="shared" si="576"/>
        <v>11026.271436180001</v>
      </c>
      <c r="CO98" s="59">
        <f t="shared" si="577"/>
        <v>3258.7554999999998</v>
      </c>
      <c r="CP98" s="58">
        <f t="shared" si="578"/>
        <v>10772.7939319</v>
      </c>
      <c r="CQ98" s="56">
        <f t="shared" si="579"/>
        <v>3182.0789</v>
      </c>
      <c r="CR98" s="58">
        <f t="shared" si="580"/>
        <v>10519.31642762</v>
      </c>
      <c r="CS98" s="54">
        <f t="shared" si="581"/>
        <v>3105.4022999999997</v>
      </c>
      <c r="CT98" s="58">
        <f t="shared" si="582"/>
        <v>10265.838923339999</v>
      </c>
      <c r="CU98" s="59">
        <f t="shared" si="583"/>
        <v>3028.7256999999995</v>
      </c>
      <c r="CV98" s="58">
        <f t="shared" si="584"/>
        <v>10012.361419059998</v>
      </c>
      <c r="CW98" s="59">
        <f t="shared" si="585"/>
        <v>2952.0490999999997</v>
      </c>
      <c r="CX98" s="58">
        <f t="shared" si="586"/>
        <v>9758.883914779999</v>
      </c>
      <c r="CY98" s="59">
        <f t="shared" si="587"/>
        <v>2875.3724999999995</v>
      </c>
      <c r="CZ98" s="58">
        <f t="shared" si="588"/>
        <v>9505.4064104999979</v>
      </c>
      <c r="DA98" s="54">
        <f t="shared" si="589"/>
        <v>2798.6958999999993</v>
      </c>
      <c r="DB98" s="58">
        <f t="shared" si="590"/>
        <v>9251.9289062199969</v>
      </c>
      <c r="DC98" s="59">
        <f t="shared" si="591"/>
        <v>2722.0192999999995</v>
      </c>
      <c r="DD98" s="58">
        <f t="shared" si="592"/>
        <v>8998.4514019399976</v>
      </c>
      <c r="DE98" s="59">
        <f t="shared" si="593"/>
        <v>2645.3426999999992</v>
      </c>
      <c r="DF98" s="58">
        <f t="shared" si="594"/>
        <v>8744.9738976599983</v>
      </c>
      <c r="DG98" s="59">
        <f t="shared" si="595"/>
        <v>2568.6660999999995</v>
      </c>
      <c r="DH98" s="58">
        <f t="shared" si="596"/>
        <v>8491.4963933799991</v>
      </c>
      <c r="DI98" s="59">
        <f t="shared" si="597"/>
        <v>2491.9894999999992</v>
      </c>
      <c r="DJ98" s="58">
        <f t="shared" si="598"/>
        <v>8238.018889099998</v>
      </c>
      <c r="DK98" s="54">
        <f t="shared" si="599"/>
        <v>2415.312899999999</v>
      </c>
      <c r="DL98" s="58">
        <f t="shared" si="600"/>
        <v>7984.5413848199969</v>
      </c>
      <c r="DM98" s="59">
        <f t="shared" si="601"/>
        <v>2338.6362999999992</v>
      </c>
      <c r="DN98" s="58">
        <f t="shared" si="602"/>
        <v>7731.0638805399976</v>
      </c>
      <c r="DO98" s="59">
        <f t="shared" si="603"/>
        <v>2261.959699999999</v>
      </c>
      <c r="DP98" s="58">
        <f t="shared" si="604"/>
        <v>7477.5863762599965</v>
      </c>
      <c r="DQ98" s="54">
        <f t="shared" si="605"/>
        <v>2185.2830999999987</v>
      </c>
      <c r="DR98" s="58">
        <f t="shared" si="606"/>
        <v>7224.1088719799964</v>
      </c>
      <c r="DU98" s="54">
        <v>1</v>
      </c>
      <c r="DV98" s="54">
        <v>0.97</v>
      </c>
      <c r="DW98" s="54">
        <v>0.95</v>
      </c>
      <c r="DX98" s="54">
        <v>0.93</v>
      </c>
      <c r="DY98" s="54">
        <f t="shared" si="652"/>
        <v>0.91</v>
      </c>
      <c r="DZ98" s="54">
        <f t="shared" si="652"/>
        <v>0.89</v>
      </c>
      <c r="EA98" s="54">
        <f t="shared" si="652"/>
        <v>0.87</v>
      </c>
      <c r="EB98" s="54">
        <f t="shared" si="652"/>
        <v>0.85</v>
      </c>
      <c r="EC98" s="54">
        <f t="shared" si="652"/>
        <v>0.83</v>
      </c>
      <c r="ED98" s="54">
        <f t="shared" si="652"/>
        <v>0.80999999999999994</v>
      </c>
      <c r="EE98" s="54">
        <f t="shared" si="652"/>
        <v>0.78999999999999992</v>
      </c>
      <c r="EF98" s="54">
        <f t="shared" si="652"/>
        <v>0.76999999999999991</v>
      </c>
      <c r="EG98" s="54">
        <f t="shared" si="652"/>
        <v>0.74999999999999989</v>
      </c>
      <c r="EH98" s="54">
        <f t="shared" si="652"/>
        <v>0.72999999999999987</v>
      </c>
      <c r="EI98" s="54">
        <f t="shared" si="652"/>
        <v>0.70999999999999985</v>
      </c>
      <c r="EJ98" s="54">
        <f t="shared" si="652"/>
        <v>0.68999999999999984</v>
      </c>
      <c r="EK98" s="54">
        <f t="shared" si="652"/>
        <v>0.66999999999999982</v>
      </c>
      <c r="EL98" s="54">
        <f t="shared" si="652"/>
        <v>0.6499999999999998</v>
      </c>
      <c r="EM98" s="54">
        <f t="shared" si="652"/>
        <v>0.62999999999999978</v>
      </c>
      <c r="EN98" s="54">
        <f t="shared" si="652"/>
        <v>0.60999999999999976</v>
      </c>
      <c r="EO98" s="54">
        <f t="shared" si="652"/>
        <v>0.58999999999999975</v>
      </c>
      <c r="EP98" s="54">
        <f t="shared" si="652"/>
        <v>0.56999999999999973</v>
      </c>
      <c r="ER98" s="54">
        <f t="shared" si="653"/>
        <v>3488.7853</v>
      </c>
      <c r="ES98" s="54">
        <f t="shared" si="515"/>
        <v>3488.7853</v>
      </c>
      <c r="ET98" s="58">
        <f t="shared" si="607"/>
        <v>11533.226444740001</v>
      </c>
      <c r="EU98" s="54">
        <f t="shared" si="608"/>
        <v>3384.1217409999999</v>
      </c>
      <c r="EV98" s="58">
        <f t="shared" si="609"/>
        <v>11187.2296513978</v>
      </c>
      <c r="EW98" s="54">
        <f t="shared" si="610"/>
        <v>3314.346035</v>
      </c>
      <c r="EX98" s="58">
        <f t="shared" si="611"/>
        <v>10956.565122503</v>
      </c>
      <c r="EY98" s="54">
        <f t="shared" si="612"/>
        <v>3244.5703290000001</v>
      </c>
      <c r="EZ98" s="58">
        <f t="shared" si="613"/>
        <v>10725.900593608201</v>
      </c>
      <c r="FA98" s="56">
        <f t="shared" si="614"/>
        <v>3174.7946230000002</v>
      </c>
      <c r="FB98" s="58">
        <f t="shared" si="615"/>
        <v>10495.236064713401</v>
      </c>
      <c r="FC98" s="54">
        <f t="shared" si="616"/>
        <v>3105.0189169999999</v>
      </c>
      <c r="FD98" s="58">
        <f t="shared" si="617"/>
        <v>10264.571535818599</v>
      </c>
      <c r="FE98" s="56">
        <f t="shared" si="618"/>
        <v>3035.243211</v>
      </c>
      <c r="FF98" s="58">
        <f t="shared" si="619"/>
        <v>10033.907006923801</v>
      </c>
      <c r="FG98" s="59">
        <f t="shared" si="620"/>
        <v>2965.4675050000001</v>
      </c>
      <c r="FH98" s="58">
        <f t="shared" si="621"/>
        <v>9803.2424780290003</v>
      </c>
      <c r="FI98" s="56">
        <f t="shared" si="622"/>
        <v>2895.6917989999997</v>
      </c>
      <c r="FJ98" s="58">
        <f t="shared" si="623"/>
        <v>9572.5779491342</v>
      </c>
      <c r="FK98" s="54">
        <f t="shared" si="624"/>
        <v>2825.9160929999998</v>
      </c>
      <c r="FL98" s="58">
        <f t="shared" si="625"/>
        <v>9341.9134202393998</v>
      </c>
      <c r="FM98" s="59">
        <f t="shared" si="626"/>
        <v>2756.1403869999999</v>
      </c>
      <c r="FN98" s="58">
        <f t="shared" si="627"/>
        <v>9111.2488913445995</v>
      </c>
      <c r="FO98" s="59">
        <f t="shared" si="628"/>
        <v>2686.3646809999996</v>
      </c>
      <c r="FP98" s="58">
        <f t="shared" si="629"/>
        <v>8880.5843624497993</v>
      </c>
      <c r="FQ98" s="59">
        <f t="shared" si="630"/>
        <v>2616.5889749999997</v>
      </c>
      <c r="FR98" s="58">
        <f t="shared" si="631"/>
        <v>8649.9198335549991</v>
      </c>
      <c r="FS98" s="54">
        <f t="shared" si="632"/>
        <v>2546.8132689999998</v>
      </c>
      <c r="FT98" s="58">
        <f t="shared" si="633"/>
        <v>8419.2553046601988</v>
      </c>
      <c r="FU98" s="59">
        <f t="shared" si="634"/>
        <v>2477.0375629999994</v>
      </c>
      <c r="FV98" s="58">
        <f t="shared" si="635"/>
        <v>8188.5907757653986</v>
      </c>
      <c r="FW98" s="59">
        <f t="shared" si="636"/>
        <v>2407.2618569999995</v>
      </c>
      <c r="FX98" s="58">
        <f t="shared" si="637"/>
        <v>7957.9262468705983</v>
      </c>
      <c r="FY98" s="59">
        <f t="shared" si="638"/>
        <v>2337.4861509999992</v>
      </c>
      <c r="FZ98" s="58">
        <f t="shared" si="639"/>
        <v>7727.2617179757972</v>
      </c>
      <c r="GA98" s="59">
        <f t="shared" si="640"/>
        <v>2267.7104449999993</v>
      </c>
      <c r="GB98" s="58">
        <f t="shared" si="641"/>
        <v>7496.5971890809979</v>
      </c>
      <c r="GC98" s="54">
        <f t="shared" si="642"/>
        <v>2197.9347389999994</v>
      </c>
      <c r="GD98" s="58">
        <f t="shared" si="643"/>
        <v>7265.9326601861976</v>
      </c>
      <c r="GE98" s="59">
        <f t="shared" si="644"/>
        <v>2128.159032999999</v>
      </c>
      <c r="GF98" s="58">
        <f t="shared" si="645"/>
        <v>7035.2681312913965</v>
      </c>
      <c r="GG98" s="59">
        <f t="shared" si="646"/>
        <v>2058.3833269999991</v>
      </c>
      <c r="GH98" s="58">
        <f t="shared" si="647"/>
        <v>6804.6036023965971</v>
      </c>
      <c r="GI98" s="54">
        <f t="shared" si="648"/>
        <v>1988.607620999999</v>
      </c>
      <c r="GJ98" s="58">
        <f t="shared" si="649"/>
        <v>6573.9390735017969</v>
      </c>
      <c r="GK98" s="54"/>
      <c r="GL98" s="54"/>
      <c r="GM98" s="54">
        <v>1</v>
      </c>
      <c r="GN98" s="54">
        <v>0.97</v>
      </c>
      <c r="GO98" s="54">
        <v>0.95</v>
      </c>
      <c r="GP98" s="54">
        <v>0.93</v>
      </c>
      <c r="GQ98" s="54">
        <f t="shared" si="654"/>
        <v>0.91</v>
      </c>
      <c r="GR98" s="54">
        <f t="shared" si="654"/>
        <v>0.89</v>
      </c>
      <c r="GS98" s="54">
        <f t="shared" si="654"/>
        <v>0.87</v>
      </c>
      <c r="GT98" s="54">
        <f t="shared" si="654"/>
        <v>0.85</v>
      </c>
      <c r="GU98" s="54">
        <f t="shared" si="654"/>
        <v>0.83</v>
      </c>
      <c r="GV98" s="54">
        <f t="shared" si="654"/>
        <v>0.80999999999999994</v>
      </c>
      <c r="GW98" s="54">
        <f t="shared" si="654"/>
        <v>0.78999999999999992</v>
      </c>
      <c r="GX98" s="54">
        <f t="shared" si="654"/>
        <v>0.76999999999999991</v>
      </c>
      <c r="GY98" s="54">
        <f t="shared" si="654"/>
        <v>0.74999999999999989</v>
      </c>
      <c r="GZ98" s="54">
        <f t="shared" si="654"/>
        <v>0.72999999999999987</v>
      </c>
      <c r="HA98" s="54">
        <f t="shared" si="654"/>
        <v>0.70999999999999985</v>
      </c>
      <c r="HB98" s="54">
        <f t="shared" si="654"/>
        <v>0.68999999999999984</v>
      </c>
      <c r="HC98" s="54">
        <f t="shared" si="654"/>
        <v>0.66999999999999982</v>
      </c>
      <c r="HD98" s="54">
        <f t="shared" si="654"/>
        <v>0.6499999999999998</v>
      </c>
      <c r="HE98" s="54">
        <f t="shared" si="654"/>
        <v>0.62999999999999978</v>
      </c>
      <c r="HF98" s="54">
        <f t="shared" si="654"/>
        <v>0.60999999999999976</v>
      </c>
      <c r="HG98" s="54">
        <f t="shared" si="654"/>
        <v>0.58999999999999975</v>
      </c>
      <c r="HH98" s="54">
        <f t="shared" si="654"/>
        <v>0.56999999999999973</v>
      </c>
    </row>
    <row r="99" spans="1:216" x14ac:dyDescent="0.3">
      <c r="A99" s="2">
        <v>8</v>
      </c>
      <c r="C99" s="38" t="s">
        <v>46</v>
      </c>
      <c r="D99" s="42">
        <v>530</v>
      </c>
      <c r="E99" s="72">
        <f t="shared" si="520"/>
        <v>1750</v>
      </c>
      <c r="F99" s="2" t="s">
        <v>312</v>
      </c>
      <c r="H99" s="54">
        <f t="shared" si="510"/>
        <v>1925.0000000000002</v>
      </c>
      <c r="I99" s="54">
        <f t="shared" si="511"/>
        <v>1925.0000000000002</v>
      </c>
      <c r="J99" s="58">
        <f t="shared" si="512"/>
        <v>6363.6650000000009</v>
      </c>
      <c r="K99" s="54">
        <f t="shared" si="521"/>
        <v>1867.2500000000002</v>
      </c>
      <c r="L99" s="58">
        <f t="shared" si="522"/>
        <v>6172.7550500000007</v>
      </c>
      <c r="M99" s="54">
        <f t="shared" si="523"/>
        <v>1828.7500000000002</v>
      </c>
      <c r="N99" s="58">
        <f t="shared" si="524"/>
        <v>6045.4817500000008</v>
      </c>
      <c r="O99" s="54">
        <f t="shared" si="525"/>
        <v>1790.2500000000002</v>
      </c>
      <c r="P99" s="58">
        <f t="shared" si="526"/>
        <v>5918.208450000001</v>
      </c>
      <c r="Q99" s="56">
        <f t="shared" si="527"/>
        <v>1751.7500000000002</v>
      </c>
      <c r="R99" s="58">
        <f t="shared" si="528"/>
        <v>5790.9351500000012</v>
      </c>
      <c r="S99" s="54">
        <f t="shared" si="529"/>
        <v>1713.2500000000002</v>
      </c>
      <c r="T99" s="58">
        <f t="shared" si="530"/>
        <v>5663.6618500000013</v>
      </c>
      <c r="U99" s="56">
        <f t="shared" si="531"/>
        <v>1674.7500000000002</v>
      </c>
      <c r="V99" s="58">
        <f t="shared" si="532"/>
        <v>5536.3885500000006</v>
      </c>
      <c r="W99" s="59">
        <f t="shared" si="533"/>
        <v>1636.2500000000002</v>
      </c>
      <c r="X99" s="58">
        <f t="shared" si="534"/>
        <v>5409.1152500000007</v>
      </c>
      <c r="Y99" s="56">
        <f t="shared" si="535"/>
        <v>1597.75</v>
      </c>
      <c r="Z99" s="58">
        <f t="shared" si="536"/>
        <v>5281.84195</v>
      </c>
      <c r="AA99" s="54">
        <f t="shared" si="537"/>
        <v>1559.25</v>
      </c>
      <c r="AB99" s="58">
        <f t="shared" si="538"/>
        <v>5154.5686500000002</v>
      </c>
      <c r="AC99" s="59">
        <f t="shared" si="539"/>
        <v>1520.75</v>
      </c>
      <c r="AD99" s="58">
        <f t="shared" si="540"/>
        <v>5027.2953500000003</v>
      </c>
      <c r="AE99" s="59">
        <f t="shared" si="541"/>
        <v>1482.25</v>
      </c>
      <c r="AF99" s="58">
        <f t="shared" si="542"/>
        <v>4900.0220500000005</v>
      </c>
      <c r="AG99" s="59">
        <f t="shared" si="543"/>
        <v>1443.75</v>
      </c>
      <c r="AH99" s="58">
        <f t="shared" si="544"/>
        <v>4772.7487499999997</v>
      </c>
      <c r="AI99" s="54">
        <f t="shared" si="545"/>
        <v>1405.25</v>
      </c>
      <c r="AJ99" s="58">
        <f t="shared" si="546"/>
        <v>4645.4754499999999</v>
      </c>
      <c r="AK99" s="59">
        <f t="shared" si="547"/>
        <v>1366.7499999999998</v>
      </c>
      <c r="AL99" s="58">
        <f t="shared" si="548"/>
        <v>4518.2021499999992</v>
      </c>
      <c r="AM99" s="59">
        <f t="shared" si="549"/>
        <v>1328.2499999999998</v>
      </c>
      <c r="AN99" s="58">
        <f t="shared" si="550"/>
        <v>4390.9288499999993</v>
      </c>
      <c r="AO99" s="59">
        <f t="shared" si="551"/>
        <v>1289.7499999999998</v>
      </c>
      <c r="AP99" s="58">
        <f t="shared" si="552"/>
        <v>4263.6555499999995</v>
      </c>
      <c r="AQ99" s="59">
        <f t="shared" si="553"/>
        <v>1251.2499999999998</v>
      </c>
      <c r="AR99" s="58">
        <f t="shared" si="554"/>
        <v>4136.3822499999997</v>
      </c>
      <c r="AS99" s="54">
        <f t="shared" si="555"/>
        <v>1212.7499999999998</v>
      </c>
      <c r="AT99" s="58">
        <f t="shared" si="556"/>
        <v>4009.1089499999994</v>
      </c>
      <c r="AU99" s="59">
        <f t="shared" si="557"/>
        <v>1174.2499999999998</v>
      </c>
      <c r="AV99" s="58">
        <f t="shared" si="558"/>
        <v>3881.8356499999995</v>
      </c>
      <c r="AW99" s="59">
        <f t="shared" si="559"/>
        <v>1135.7499999999995</v>
      </c>
      <c r="AX99" s="58">
        <f t="shared" si="560"/>
        <v>3754.5623499999988</v>
      </c>
      <c r="AY99" s="54">
        <f t="shared" si="561"/>
        <v>1097.2499999999995</v>
      </c>
      <c r="AZ99" s="58">
        <f t="shared" si="562"/>
        <v>3627.2890499999985</v>
      </c>
      <c r="BC99" s="54">
        <v>1</v>
      </c>
      <c r="BD99" s="54">
        <v>0.97</v>
      </c>
      <c r="BE99" s="54">
        <v>0.95</v>
      </c>
      <c r="BF99" s="54">
        <v>0.93</v>
      </c>
      <c r="BG99" s="54">
        <f t="shared" si="563"/>
        <v>0.91</v>
      </c>
      <c r="BH99" s="54">
        <f t="shared" si="563"/>
        <v>0.89</v>
      </c>
      <c r="BI99" s="54">
        <f t="shared" si="563"/>
        <v>0.87</v>
      </c>
      <c r="BJ99" s="54">
        <f t="shared" si="563"/>
        <v>0.85</v>
      </c>
      <c r="BK99" s="54">
        <f t="shared" si="563"/>
        <v>0.83</v>
      </c>
      <c r="BL99" s="54">
        <f t="shared" si="563"/>
        <v>0.80999999999999994</v>
      </c>
      <c r="BM99" s="54">
        <f t="shared" si="563"/>
        <v>0.78999999999999992</v>
      </c>
      <c r="BN99" s="54">
        <f t="shared" si="563"/>
        <v>0.76999999999999991</v>
      </c>
      <c r="BO99" s="54">
        <f t="shared" si="563"/>
        <v>0.74999999999999989</v>
      </c>
      <c r="BP99" s="54">
        <f t="shared" si="563"/>
        <v>0.72999999999999987</v>
      </c>
      <c r="BQ99" s="54">
        <f t="shared" si="563"/>
        <v>0.70999999999999985</v>
      </c>
      <c r="BR99" s="54">
        <f t="shared" si="563"/>
        <v>0.68999999999999984</v>
      </c>
      <c r="BS99" s="54">
        <f t="shared" si="563"/>
        <v>0.66999999999999982</v>
      </c>
      <c r="BT99" s="54">
        <f t="shared" si="563"/>
        <v>0.6499999999999998</v>
      </c>
      <c r="BU99" s="54">
        <f t="shared" si="563"/>
        <v>0.62999999999999978</v>
      </c>
      <c r="BV99" s="54">
        <f t="shared" si="563"/>
        <v>0.60999999999999976</v>
      </c>
      <c r="BW99" s="54">
        <f t="shared" si="563"/>
        <v>0.58999999999999975</v>
      </c>
      <c r="BX99" s="54">
        <f t="shared" si="563"/>
        <v>0.56999999999999973</v>
      </c>
      <c r="BZ99" s="54">
        <f t="shared" si="513"/>
        <v>1751.7500000000002</v>
      </c>
      <c r="CA99" s="54">
        <f t="shared" si="514"/>
        <v>1751.7500000000002</v>
      </c>
      <c r="CB99" s="58">
        <f t="shared" si="564"/>
        <v>5790.9351500000012</v>
      </c>
      <c r="CC99" s="54">
        <f t="shared" si="565"/>
        <v>1699.1975000000002</v>
      </c>
      <c r="CD99" s="58">
        <f t="shared" si="566"/>
        <v>5617.2070955000008</v>
      </c>
      <c r="CE99" s="54">
        <f t="shared" si="567"/>
        <v>1664.1625000000001</v>
      </c>
      <c r="CF99" s="58">
        <f t="shared" si="568"/>
        <v>5501.3883925000009</v>
      </c>
      <c r="CG99" s="54">
        <f t="shared" si="569"/>
        <v>1629.1275000000003</v>
      </c>
      <c r="CH99" s="58">
        <f t="shared" si="570"/>
        <v>5385.569689500001</v>
      </c>
      <c r="CI99" s="56">
        <f t="shared" si="571"/>
        <v>1594.0925000000002</v>
      </c>
      <c r="CJ99" s="58">
        <f t="shared" si="572"/>
        <v>5269.7509865000011</v>
      </c>
      <c r="CK99" s="54">
        <f t="shared" si="573"/>
        <v>1559.0575000000001</v>
      </c>
      <c r="CL99" s="58">
        <f t="shared" si="574"/>
        <v>5153.9322835000003</v>
      </c>
      <c r="CM99" s="56">
        <f t="shared" si="575"/>
        <v>1524.0225000000003</v>
      </c>
      <c r="CN99" s="58">
        <f t="shared" si="576"/>
        <v>5038.1135805000013</v>
      </c>
      <c r="CO99" s="59">
        <f t="shared" si="577"/>
        <v>1488.9875000000002</v>
      </c>
      <c r="CP99" s="58">
        <f t="shared" si="578"/>
        <v>4922.2948775000004</v>
      </c>
      <c r="CQ99" s="56">
        <f t="shared" si="579"/>
        <v>1453.9525000000001</v>
      </c>
      <c r="CR99" s="58">
        <f t="shared" si="580"/>
        <v>4806.4761745000005</v>
      </c>
      <c r="CS99" s="54">
        <f t="shared" si="581"/>
        <v>1418.9175</v>
      </c>
      <c r="CT99" s="58">
        <f t="shared" si="582"/>
        <v>4690.6574715000006</v>
      </c>
      <c r="CU99" s="59">
        <f t="shared" si="583"/>
        <v>1383.8824999999999</v>
      </c>
      <c r="CV99" s="58">
        <f t="shared" si="584"/>
        <v>4574.8387684999998</v>
      </c>
      <c r="CW99" s="59">
        <f t="shared" si="585"/>
        <v>1348.8475000000001</v>
      </c>
      <c r="CX99" s="58">
        <f t="shared" si="586"/>
        <v>4459.0200655000008</v>
      </c>
      <c r="CY99" s="59">
        <f t="shared" si="587"/>
        <v>1313.8125</v>
      </c>
      <c r="CZ99" s="58">
        <f t="shared" si="588"/>
        <v>4343.2013625</v>
      </c>
      <c r="DA99" s="54">
        <f t="shared" si="589"/>
        <v>1278.7774999999999</v>
      </c>
      <c r="DB99" s="58">
        <f t="shared" si="590"/>
        <v>4227.3826595</v>
      </c>
      <c r="DC99" s="59">
        <f t="shared" si="591"/>
        <v>1243.7424999999998</v>
      </c>
      <c r="DD99" s="58">
        <f t="shared" si="592"/>
        <v>4111.5639564999992</v>
      </c>
      <c r="DE99" s="59">
        <f t="shared" si="593"/>
        <v>1208.7075</v>
      </c>
      <c r="DF99" s="58">
        <f t="shared" si="594"/>
        <v>3995.7452535000002</v>
      </c>
      <c r="DG99" s="59">
        <f t="shared" si="595"/>
        <v>1173.6724999999999</v>
      </c>
      <c r="DH99" s="58">
        <f t="shared" si="596"/>
        <v>3879.9265504999998</v>
      </c>
      <c r="DI99" s="59">
        <f t="shared" si="597"/>
        <v>1138.6374999999998</v>
      </c>
      <c r="DJ99" s="58">
        <f t="shared" si="598"/>
        <v>3764.1078474999995</v>
      </c>
      <c r="DK99" s="54">
        <f t="shared" si="599"/>
        <v>1103.6024999999997</v>
      </c>
      <c r="DL99" s="58">
        <f t="shared" si="600"/>
        <v>3648.2891444999991</v>
      </c>
      <c r="DM99" s="59">
        <f t="shared" si="601"/>
        <v>1068.5674999999997</v>
      </c>
      <c r="DN99" s="58">
        <f t="shared" si="602"/>
        <v>3532.4704414999987</v>
      </c>
      <c r="DO99" s="59">
        <f t="shared" si="603"/>
        <v>1033.5324999999998</v>
      </c>
      <c r="DP99" s="58">
        <f t="shared" si="604"/>
        <v>3416.6517384999993</v>
      </c>
      <c r="DQ99" s="54">
        <f t="shared" si="605"/>
        <v>998.4974999999996</v>
      </c>
      <c r="DR99" s="58">
        <f t="shared" si="606"/>
        <v>3300.8330354999989</v>
      </c>
      <c r="DU99" s="54">
        <v>1</v>
      </c>
      <c r="DV99" s="54">
        <v>0.97</v>
      </c>
      <c r="DW99" s="54">
        <v>0.95</v>
      </c>
      <c r="DX99" s="54">
        <v>0.93</v>
      </c>
      <c r="DY99" s="54">
        <f t="shared" si="652"/>
        <v>0.91</v>
      </c>
      <c r="DZ99" s="54">
        <f t="shared" si="652"/>
        <v>0.89</v>
      </c>
      <c r="EA99" s="54">
        <f t="shared" si="652"/>
        <v>0.87</v>
      </c>
      <c r="EB99" s="54">
        <f t="shared" si="652"/>
        <v>0.85</v>
      </c>
      <c r="EC99" s="54">
        <f t="shared" si="652"/>
        <v>0.83</v>
      </c>
      <c r="ED99" s="54">
        <f t="shared" si="652"/>
        <v>0.80999999999999994</v>
      </c>
      <c r="EE99" s="54">
        <f t="shared" si="652"/>
        <v>0.78999999999999992</v>
      </c>
      <c r="EF99" s="54">
        <f t="shared" si="652"/>
        <v>0.76999999999999991</v>
      </c>
      <c r="EG99" s="54">
        <f t="shared" si="652"/>
        <v>0.74999999999999989</v>
      </c>
      <c r="EH99" s="54">
        <f t="shared" si="652"/>
        <v>0.72999999999999987</v>
      </c>
      <c r="EI99" s="54">
        <f t="shared" si="652"/>
        <v>0.70999999999999985</v>
      </c>
      <c r="EJ99" s="54">
        <f t="shared" si="652"/>
        <v>0.68999999999999984</v>
      </c>
      <c r="EK99" s="54">
        <f t="shared" si="652"/>
        <v>0.66999999999999982</v>
      </c>
      <c r="EL99" s="54">
        <f t="shared" si="652"/>
        <v>0.6499999999999998</v>
      </c>
      <c r="EM99" s="54">
        <f t="shared" si="652"/>
        <v>0.62999999999999978</v>
      </c>
      <c r="EN99" s="54">
        <f t="shared" si="652"/>
        <v>0.60999999999999976</v>
      </c>
      <c r="EO99" s="54">
        <f t="shared" si="652"/>
        <v>0.58999999999999975</v>
      </c>
      <c r="EP99" s="54">
        <f t="shared" si="652"/>
        <v>0.56999999999999973</v>
      </c>
      <c r="ER99" s="54">
        <f t="shared" si="653"/>
        <v>1594.0925000000002</v>
      </c>
      <c r="ES99" s="54">
        <f t="shared" si="515"/>
        <v>1594.0925000000002</v>
      </c>
      <c r="ET99" s="58">
        <f t="shared" si="607"/>
        <v>5269.7509865000011</v>
      </c>
      <c r="EU99" s="54">
        <f t="shared" si="608"/>
        <v>1546.2697250000001</v>
      </c>
      <c r="EV99" s="58">
        <f t="shared" si="609"/>
        <v>5111.6584569050001</v>
      </c>
      <c r="EW99" s="54">
        <f t="shared" si="610"/>
        <v>1514.3878750000001</v>
      </c>
      <c r="EX99" s="58">
        <f t="shared" si="611"/>
        <v>5006.2634371750009</v>
      </c>
      <c r="EY99" s="54">
        <f t="shared" si="612"/>
        <v>1482.5060250000004</v>
      </c>
      <c r="EZ99" s="58">
        <f t="shared" si="613"/>
        <v>4900.8684174450009</v>
      </c>
      <c r="FA99" s="56">
        <f t="shared" si="614"/>
        <v>1450.6241750000002</v>
      </c>
      <c r="FB99" s="58">
        <f t="shared" si="615"/>
        <v>4795.4733977150008</v>
      </c>
      <c r="FC99" s="54">
        <f t="shared" si="616"/>
        <v>1418.7423250000002</v>
      </c>
      <c r="FD99" s="58">
        <f t="shared" si="617"/>
        <v>4690.0783779850008</v>
      </c>
      <c r="FE99" s="56">
        <f t="shared" si="618"/>
        <v>1386.8604750000002</v>
      </c>
      <c r="FF99" s="58">
        <f t="shared" si="619"/>
        <v>4584.6833582550007</v>
      </c>
      <c r="FG99" s="59">
        <f t="shared" si="620"/>
        <v>1354.9786250000002</v>
      </c>
      <c r="FH99" s="58">
        <f t="shared" si="621"/>
        <v>4479.2883385250007</v>
      </c>
      <c r="FI99" s="56">
        <f t="shared" si="622"/>
        <v>1323.0967750000002</v>
      </c>
      <c r="FJ99" s="58">
        <f t="shared" si="623"/>
        <v>4373.8933187950006</v>
      </c>
      <c r="FK99" s="54">
        <f t="shared" si="624"/>
        <v>1291.214925</v>
      </c>
      <c r="FL99" s="58">
        <f t="shared" si="625"/>
        <v>4268.4982990649996</v>
      </c>
      <c r="FM99" s="59">
        <f t="shared" si="626"/>
        <v>1259.333075</v>
      </c>
      <c r="FN99" s="58">
        <f t="shared" si="627"/>
        <v>4163.1032793350005</v>
      </c>
      <c r="FO99" s="59">
        <f t="shared" si="628"/>
        <v>1227.451225</v>
      </c>
      <c r="FP99" s="58">
        <f t="shared" si="629"/>
        <v>4057.708259605</v>
      </c>
      <c r="FQ99" s="59">
        <f t="shared" si="630"/>
        <v>1195.569375</v>
      </c>
      <c r="FR99" s="58">
        <f t="shared" si="631"/>
        <v>3952.3132398750004</v>
      </c>
      <c r="FS99" s="54">
        <f t="shared" si="632"/>
        <v>1163.6875250000001</v>
      </c>
      <c r="FT99" s="58">
        <f t="shared" si="633"/>
        <v>3846.9182201450003</v>
      </c>
      <c r="FU99" s="59">
        <f t="shared" si="634"/>
        <v>1131.8056749999998</v>
      </c>
      <c r="FV99" s="58">
        <f t="shared" si="635"/>
        <v>3741.5232004149993</v>
      </c>
      <c r="FW99" s="59">
        <f t="shared" si="636"/>
        <v>1099.9238249999999</v>
      </c>
      <c r="FX99" s="58">
        <f t="shared" si="637"/>
        <v>3636.1281806849997</v>
      </c>
      <c r="FY99" s="59">
        <f t="shared" si="638"/>
        <v>1068.0419749999999</v>
      </c>
      <c r="FZ99" s="58">
        <f t="shared" si="639"/>
        <v>3530.7331609549997</v>
      </c>
      <c r="GA99" s="59">
        <f t="shared" si="640"/>
        <v>1036.1601249999999</v>
      </c>
      <c r="GB99" s="58">
        <f t="shared" si="641"/>
        <v>3425.3381412249996</v>
      </c>
      <c r="GC99" s="54">
        <f t="shared" si="642"/>
        <v>1004.2782749999998</v>
      </c>
      <c r="GD99" s="58">
        <f t="shared" si="643"/>
        <v>3319.9431214949996</v>
      </c>
      <c r="GE99" s="59">
        <f t="shared" si="644"/>
        <v>972.39642499999979</v>
      </c>
      <c r="GF99" s="58">
        <f t="shared" si="645"/>
        <v>3214.5481017649995</v>
      </c>
      <c r="GG99" s="59">
        <f t="shared" si="646"/>
        <v>940.5145749999997</v>
      </c>
      <c r="GH99" s="58">
        <f t="shared" si="647"/>
        <v>3109.153082034999</v>
      </c>
      <c r="GI99" s="54">
        <f t="shared" si="648"/>
        <v>908.63272499999971</v>
      </c>
      <c r="GJ99" s="58">
        <f t="shared" si="649"/>
        <v>3003.7580623049989</v>
      </c>
      <c r="GK99" s="54"/>
      <c r="GL99" s="54"/>
      <c r="GM99" s="54">
        <v>1</v>
      </c>
      <c r="GN99" s="54">
        <v>0.97</v>
      </c>
      <c r="GO99" s="54">
        <v>0.95</v>
      </c>
      <c r="GP99" s="54">
        <v>0.93</v>
      </c>
      <c r="GQ99" s="54">
        <f t="shared" si="654"/>
        <v>0.91</v>
      </c>
      <c r="GR99" s="54">
        <f t="shared" si="654"/>
        <v>0.89</v>
      </c>
      <c r="GS99" s="54">
        <f t="shared" si="654"/>
        <v>0.87</v>
      </c>
      <c r="GT99" s="54">
        <f t="shared" si="654"/>
        <v>0.85</v>
      </c>
      <c r="GU99" s="54">
        <f t="shared" si="654"/>
        <v>0.83</v>
      </c>
      <c r="GV99" s="54">
        <f t="shared" si="654"/>
        <v>0.80999999999999994</v>
      </c>
      <c r="GW99" s="54">
        <f t="shared" si="654"/>
        <v>0.78999999999999992</v>
      </c>
      <c r="GX99" s="54">
        <f t="shared" si="654"/>
        <v>0.76999999999999991</v>
      </c>
      <c r="GY99" s="54">
        <f t="shared" si="654"/>
        <v>0.74999999999999989</v>
      </c>
      <c r="GZ99" s="54">
        <f t="shared" si="654"/>
        <v>0.72999999999999987</v>
      </c>
      <c r="HA99" s="54">
        <f t="shared" si="654"/>
        <v>0.70999999999999985</v>
      </c>
      <c r="HB99" s="54">
        <f t="shared" si="654"/>
        <v>0.68999999999999984</v>
      </c>
      <c r="HC99" s="54">
        <f t="shared" si="654"/>
        <v>0.66999999999999982</v>
      </c>
      <c r="HD99" s="54">
        <f t="shared" si="654"/>
        <v>0.6499999999999998</v>
      </c>
      <c r="HE99" s="54">
        <f t="shared" si="654"/>
        <v>0.62999999999999978</v>
      </c>
      <c r="HF99" s="54">
        <f t="shared" si="654"/>
        <v>0.60999999999999976</v>
      </c>
      <c r="HG99" s="54">
        <f t="shared" si="654"/>
        <v>0.58999999999999975</v>
      </c>
      <c r="HH99" s="54">
        <f t="shared" si="654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2">
        <f t="shared" si="520"/>
        <v>0</v>
      </c>
      <c r="H100" s="54">
        <f t="shared" si="510"/>
        <v>0</v>
      </c>
      <c r="I100" s="54">
        <f t="shared" si="511"/>
        <v>0</v>
      </c>
      <c r="J100" s="58">
        <f t="shared" si="512"/>
        <v>0</v>
      </c>
      <c r="K100" s="54">
        <f t="shared" si="521"/>
        <v>0</v>
      </c>
      <c r="L100" s="58">
        <f t="shared" si="522"/>
        <v>0</v>
      </c>
      <c r="M100" s="54">
        <f t="shared" si="523"/>
        <v>0</v>
      </c>
      <c r="N100" s="58">
        <f t="shared" si="524"/>
        <v>0</v>
      </c>
      <c r="O100" s="54">
        <f t="shared" si="525"/>
        <v>0</v>
      </c>
      <c r="P100" s="58">
        <f t="shared" si="526"/>
        <v>0</v>
      </c>
      <c r="Q100" s="56">
        <f t="shared" si="527"/>
        <v>0</v>
      </c>
      <c r="R100" s="58">
        <f t="shared" si="528"/>
        <v>0</v>
      </c>
      <c r="S100" s="54">
        <f t="shared" si="529"/>
        <v>0</v>
      </c>
      <c r="T100" s="58">
        <f t="shared" si="530"/>
        <v>0</v>
      </c>
      <c r="U100" s="56">
        <f t="shared" si="531"/>
        <v>0</v>
      </c>
      <c r="V100" s="58">
        <f t="shared" si="532"/>
        <v>0</v>
      </c>
      <c r="W100" s="59">
        <f t="shared" si="533"/>
        <v>0</v>
      </c>
      <c r="X100" s="58">
        <f t="shared" si="534"/>
        <v>0</v>
      </c>
      <c r="Y100" s="56">
        <f t="shared" si="535"/>
        <v>0</v>
      </c>
      <c r="Z100" s="58">
        <f t="shared" si="536"/>
        <v>0</v>
      </c>
      <c r="AA100" s="54">
        <f t="shared" si="537"/>
        <v>0</v>
      </c>
      <c r="AB100" s="58">
        <f t="shared" si="538"/>
        <v>0</v>
      </c>
      <c r="AC100" s="59">
        <f t="shared" si="539"/>
        <v>0</v>
      </c>
      <c r="AD100" s="58">
        <f t="shared" si="540"/>
        <v>0</v>
      </c>
      <c r="AE100" s="59">
        <f t="shared" si="541"/>
        <v>0</v>
      </c>
      <c r="AF100" s="58">
        <f t="shared" si="542"/>
        <v>0</v>
      </c>
      <c r="AG100" s="59">
        <f t="shared" si="543"/>
        <v>0</v>
      </c>
      <c r="AH100" s="58">
        <f t="shared" si="544"/>
        <v>0</v>
      </c>
      <c r="AI100" s="54">
        <f t="shared" si="545"/>
        <v>0</v>
      </c>
      <c r="AJ100" s="58">
        <f t="shared" si="546"/>
        <v>0</v>
      </c>
      <c r="AK100" s="59">
        <f t="shared" si="547"/>
        <v>0</v>
      </c>
      <c r="AL100" s="58">
        <f t="shared" si="548"/>
        <v>0</v>
      </c>
      <c r="AM100" s="59">
        <f t="shared" si="549"/>
        <v>0</v>
      </c>
      <c r="AN100" s="58">
        <f t="shared" si="550"/>
        <v>0</v>
      </c>
      <c r="AO100" s="59">
        <f t="shared" si="551"/>
        <v>0</v>
      </c>
      <c r="AP100" s="58">
        <f t="shared" si="552"/>
        <v>0</v>
      </c>
      <c r="AQ100" s="59">
        <f t="shared" si="553"/>
        <v>0</v>
      </c>
      <c r="AR100" s="58">
        <f t="shared" si="554"/>
        <v>0</v>
      </c>
      <c r="AS100" s="54">
        <f t="shared" si="555"/>
        <v>0</v>
      </c>
      <c r="AT100" s="58">
        <f t="shared" si="556"/>
        <v>0</v>
      </c>
      <c r="AU100" s="59">
        <f t="shared" si="557"/>
        <v>0</v>
      </c>
      <c r="AV100" s="58">
        <f t="shared" si="558"/>
        <v>0</v>
      </c>
      <c r="AW100" s="59">
        <f t="shared" si="559"/>
        <v>0</v>
      </c>
      <c r="AX100" s="58">
        <f t="shared" si="560"/>
        <v>0</v>
      </c>
      <c r="AY100" s="54">
        <f t="shared" si="561"/>
        <v>0</v>
      </c>
      <c r="AZ100" s="58">
        <f t="shared" si="562"/>
        <v>0</v>
      </c>
      <c r="BC100" s="54">
        <v>1</v>
      </c>
      <c r="BD100" s="54">
        <v>0.97</v>
      </c>
      <c r="BE100" s="54">
        <v>0.95</v>
      </c>
      <c r="BF100" s="54">
        <v>0.93</v>
      </c>
      <c r="BG100" s="54">
        <f t="shared" si="563"/>
        <v>0.91</v>
      </c>
      <c r="BH100" s="54">
        <f t="shared" si="563"/>
        <v>0.89</v>
      </c>
      <c r="BI100" s="54">
        <f t="shared" si="563"/>
        <v>0.87</v>
      </c>
      <c r="BJ100" s="54">
        <f t="shared" si="563"/>
        <v>0.85</v>
      </c>
      <c r="BK100" s="54">
        <f t="shared" si="563"/>
        <v>0.83</v>
      </c>
      <c r="BL100" s="54">
        <f t="shared" si="563"/>
        <v>0.80999999999999994</v>
      </c>
      <c r="BM100" s="54">
        <f t="shared" si="563"/>
        <v>0.78999999999999992</v>
      </c>
      <c r="BN100" s="54">
        <f t="shared" si="563"/>
        <v>0.76999999999999991</v>
      </c>
      <c r="BO100" s="54">
        <f t="shared" si="563"/>
        <v>0.74999999999999989</v>
      </c>
      <c r="BP100" s="54">
        <f t="shared" si="563"/>
        <v>0.72999999999999987</v>
      </c>
      <c r="BQ100" s="54">
        <f t="shared" si="563"/>
        <v>0.70999999999999985</v>
      </c>
      <c r="BR100" s="54">
        <f t="shared" si="563"/>
        <v>0.68999999999999984</v>
      </c>
      <c r="BS100" s="54">
        <f t="shared" si="563"/>
        <v>0.66999999999999982</v>
      </c>
      <c r="BT100" s="54">
        <f t="shared" si="563"/>
        <v>0.6499999999999998</v>
      </c>
      <c r="BU100" s="54">
        <f t="shared" si="563"/>
        <v>0.62999999999999978</v>
      </c>
      <c r="BV100" s="54">
        <f t="shared" si="563"/>
        <v>0.60999999999999976</v>
      </c>
      <c r="BW100" s="54">
        <f t="shared" si="563"/>
        <v>0.58999999999999975</v>
      </c>
      <c r="BX100" s="54">
        <f t="shared" si="563"/>
        <v>0.56999999999999973</v>
      </c>
      <c r="BZ100" s="54">
        <f t="shared" si="513"/>
        <v>0</v>
      </c>
      <c r="CA100" s="54">
        <f t="shared" si="514"/>
        <v>0</v>
      </c>
      <c r="CB100" s="58">
        <f t="shared" si="564"/>
        <v>0</v>
      </c>
      <c r="CC100" s="54">
        <f t="shared" si="565"/>
        <v>0</v>
      </c>
      <c r="CD100" s="58">
        <f t="shared" si="566"/>
        <v>0</v>
      </c>
      <c r="CE100" s="54">
        <f t="shared" si="567"/>
        <v>0</v>
      </c>
      <c r="CF100" s="58">
        <f t="shared" si="568"/>
        <v>0</v>
      </c>
      <c r="CG100" s="54">
        <f t="shared" si="569"/>
        <v>0</v>
      </c>
      <c r="CH100" s="58">
        <f t="shared" si="570"/>
        <v>0</v>
      </c>
      <c r="CI100" s="56">
        <f t="shared" si="571"/>
        <v>0</v>
      </c>
      <c r="CJ100" s="58">
        <f t="shared" si="572"/>
        <v>0</v>
      </c>
      <c r="CK100" s="54">
        <f t="shared" si="573"/>
        <v>0</v>
      </c>
      <c r="CL100" s="58">
        <f t="shared" si="574"/>
        <v>0</v>
      </c>
      <c r="CM100" s="56">
        <f t="shared" si="575"/>
        <v>0</v>
      </c>
      <c r="CN100" s="58">
        <f t="shared" si="576"/>
        <v>0</v>
      </c>
      <c r="CO100" s="59">
        <f t="shared" si="577"/>
        <v>0</v>
      </c>
      <c r="CP100" s="58">
        <f t="shared" si="578"/>
        <v>0</v>
      </c>
      <c r="CQ100" s="56">
        <f t="shared" si="579"/>
        <v>0</v>
      </c>
      <c r="CR100" s="58">
        <f t="shared" si="580"/>
        <v>0</v>
      </c>
      <c r="CS100" s="54">
        <f t="shared" si="581"/>
        <v>0</v>
      </c>
      <c r="CT100" s="58">
        <f t="shared" si="582"/>
        <v>0</v>
      </c>
      <c r="CU100" s="59">
        <f t="shared" si="583"/>
        <v>0</v>
      </c>
      <c r="CV100" s="58">
        <f t="shared" si="584"/>
        <v>0</v>
      </c>
      <c r="CW100" s="59">
        <f t="shared" si="585"/>
        <v>0</v>
      </c>
      <c r="CX100" s="58">
        <f t="shared" si="586"/>
        <v>0</v>
      </c>
      <c r="CY100" s="59">
        <f t="shared" si="587"/>
        <v>0</v>
      </c>
      <c r="CZ100" s="58">
        <f t="shared" si="588"/>
        <v>0</v>
      </c>
      <c r="DA100" s="54">
        <f t="shared" si="589"/>
        <v>0</v>
      </c>
      <c r="DB100" s="58">
        <f t="shared" si="590"/>
        <v>0</v>
      </c>
      <c r="DC100" s="59">
        <f t="shared" si="591"/>
        <v>0</v>
      </c>
      <c r="DD100" s="58">
        <f t="shared" si="592"/>
        <v>0</v>
      </c>
      <c r="DE100" s="59">
        <f t="shared" si="593"/>
        <v>0</v>
      </c>
      <c r="DF100" s="58">
        <f t="shared" si="594"/>
        <v>0</v>
      </c>
      <c r="DG100" s="59">
        <f t="shared" si="595"/>
        <v>0</v>
      </c>
      <c r="DH100" s="58">
        <f t="shared" si="596"/>
        <v>0</v>
      </c>
      <c r="DI100" s="59">
        <f t="shared" si="597"/>
        <v>0</v>
      </c>
      <c r="DJ100" s="58">
        <f t="shared" si="598"/>
        <v>0</v>
      </c>
      <c r="DK100" s="54">
        <f t="shared" si="599"/>
        <v>0</v>
      </c>
      <c r="DL100" s="58">
        <f t="shared" si="600"/>
        <v>0</v>
      </c>
      <c r="DM100" s="59">
        <f t="shared" si="601"/>
        <v>0</v>
      </c>
      <c r="DN100" s="58">
        <f t="shared" si="602"/>
        <v>0</v>
      </c>
      <c r="DO100" s="59">
        <f t="shared" si="603"/>
        <v>0</v>
      </c>
      <c r="DP100" s="58">
        <f t="shared" si="604"/>
        <v>0</v>
      </c>
      <c r="DQ100" s="54">
        <f t="shared" si="605"/>
        <v>0</v>
      </c>
      <c r="DR100" s="58">
        <f t="shared" si="606"/>
        <v>0</v>
      </c>
      <c r="DU100" s="54">
        <v>1</v>
      </c>
      <c r="DV100" s="54">
        <v>0.97</v>
      </c>
      <c r="DW100" s="54">
        <v>0.95</v>
      </c>
      <c r="DX100" s="54">
        <v>0.93</v>
      </c>
      <c r="DY100" s="54">
        <f t="shared" si="652"/>
        <v>0.91</v>
      </c>
      <c r="DZ100" s="54">
        <f t="shared" si="652"/>
        <v>0.89</v>
      </c>
      <c r="EA100" s="54">
        <f t="shared" si="652"/>
        <v>0.87</v>
      </c>
      <c r="EB100" s="54">
        <f t="shared" si="652"/>
        <v>0.85</v>
      </c>
      <c r="EC100" s="54">
        <f t="shared" si="652"/>
        <v>0.83</v>
      </c>
      <c r="ED100" s="54">
        <f t="shared" si="652"/>
        <v>0.80999999999999994</v>
      </c>
      <c r="EE100" s="54">
        <f t="shared" si="652"/>
        <v>0.78999999999999992</v>
      </c>
      <c r="EF100" s="54">
        <f t="shared" si="652"/>
        <v>0.76999999999999991</v>
      </c>
      <c r="EG100" s="54">
        <f t="shared" si="652"/>
        <v>0.74999999999999989</v>
      </c>
      <c r="EH100" s="54">
        <f t="shared" si="652"/>
        <v>0.72999999999999987</v>
      </c>
      <c r="EI100" s="54">
        <f t="shared" si="652"/>
        <v>0.70999999999999985</v>
      </c>
      <c r="EJ100" s="54">
        <f t="shared" si="652"/>
        <v>0.68999999999999984</v>
      </c>
      <c r="EK100" s="54">
        <f t="shared" si="652"/>
        <v>0.66999999999999982</v>
      </c>
      <c r="EL100" s="54">
        <f t="shared" si="652"/>
        <v>0.6499999999999998</v>
      </c>
      <c r="EM100" s="54">
        <f t="shared" si="652"/>
        <v>0.62999999999999978</v>
      </c>
      <c r="EN100" s="54">
        <f t="shared" si="652"/>
        <v>0.60999999999999976</v>
      </c>
      <c r="EO100" s="54">
        <f t="shared" si="652"/>
        <v>0.58999999999999975</v>
      </c>
      <c r="EP100" s="54">
        <f t="shared" si="652"/>
        <v>0.56999999999999973</v>
      </c>
      <c r="ER100" s="54">
        <f t="shared" si="653"/>
        <v>0</v>
      </c>
      <c r="ES100" s="54">
        <f t="shared" si="515"/>
        <v>0</v>
      </c>
      <c r="ET100" s="58">
        <f t="shared" si="607"/>
        <v>0</v>
      </c>
      <c r="EU100" s="54">
        <f t="shared" si="608"/>
        <v>0</v>
      </c>
      <c r="EV100" s="58">
        <f t="shared" si="609"/>
        <v>0</v>
      </c>
      <c r="EW100" s="54">
        <f t="shared" si="610"/>
        <v>0</v>
      </c>
      <c r="EX100" s="58">
        <f t="shared" si="611"/>
        <v>0</v>
      </c>
      <c r="EY100" s="54">
        <f t="shared" si="612"/>
        <v>0</v>
      </c>
      <c r="EZ100" s="58">
        <f t="shared" si="613"/>
        <v>0</v>
      </c>
      <c r="FA100" s="56">
        <f t="shared" si="614"/>
        <v>0</v>
      </c>
      <c r="FB100" s="58">
        <f t="shared" si="615"/>
        <v>0</v>
      </c>
      <c r="FC100" s="54">
        <f t="shared" si="616"/>
        <v>0</v>
      </c>
      <c r="FD100" s="58">
        <f t="shared" si="617"/>
        <v>0</v>
      </c>
      <c r="FE100" s="56">
        <f t="shared" si="618"/>
        <v>0</v>
      </c>
      <c r="FF100" s="58">
        <f t="shared" si="619"/>
        <v>0</v>
      </c>
      <c r="FG100" s="59">
        <f t="shared" si="620"/>
        <v>0</v>
      </c>
      <c r="FH100" s="58">
        <f t="shared" si="621"/>
        <v>0</v>
      </c>
      <c r="FI100" s="56">
        <f t="shared" si="622"/>
        <v>0</v>
      </c>
      <c r="FJ100" s="58">
        <f t="shared" si="623"/>
        <v>0</v>
      </c>
      <c r="FK100" s="54">
        <f t="shared" si="624"/>
        <v>0</v>
      </c>
      <c r="FL100" s="58">
        <f t="shared" si="625"/>
        <v>0</v>
      </c>
      <c r="FM100" s="59">
        <f t="shared" si="626"/>
        <v>0</v>
      </c>
      <c r="FN100" s="58">
        <f t="shared" si="627"/>
        <v>0</v>
      </c>
      <c r="FO100" s="59">
        <f t="shared" si="628"/>
        <v>0</v>
      </c>
      <c r="FP100" s="58">
        <f t="shared" si="629"/>
        <v>0</v>
      </c>
      <c r="FQ100" s="59">
        <f t="shared" si="630"/>
        <v>0</v>
      </c>
      <c r="FR100" s="58">
        <f t="shared" si="631"/>
        <v>0</v>
      </c>
      <c r="FS100" s="54">
        <f t="shared" si="632"/>
        <v>0</v>
      </c>
      <c r="FT100" s="58">
        <f t="shared" si="633"/>
        <v>0</v>
      </c>
      <c r="FU100" s="59">
        <f t="shared" si="634"/>
        <v>0</v>
      </c>
      <c r="FV100" s="58">
        <f t="shared" si="635"/>
        <v>0</v>
      </c>
      <c r="FW100" s="59">
        <f t="shared" si="636"/>
        <v>0</v>
      </c>
      <c r="FX100" s="58">
        <f t="shared" si="637"/>
        <v>0</v>
      </c>
      <c r="FY100" s="59">
        <f t="shared" si="638"/>
        <v>0</v>
      </c>
      <c r="FZ100" s="58">
        <f t="shared" si="639"/>
        <v>0</v>
      </c>
      <c r="GA100" s="59">
        <f t="shared" si="640"/>
        <v>0</v>
      </c>
      <c r="GB100" s="58">
        <f t="shared" si="641"/>
        <v>0</v>
      </c>
      <c r="GC100" s="54">
        <f t="shared" si="642"/>
        <v>0</v>
      </c>
      <c r="GD100" s="58">
        <f t="shared" si="643"/>
        <v>0</v>
      </c>
      <c r="GE100" s="59">
        <f t="shared" si="644"/>
        <v>0</v>
      </c>
      <c r="GF100" s="58">
        <f t="shared" si="645"/>
        <v>0</v>
      </c>
      <c r="GG100" s="59">
        <f t="shared" si="646"/>
        <v>0</v>
      </c>
      <c r="GH100" s="58">
        <f t="shared" si="647"/>
        <v>0</v>
      </c>
      <c r="GI100" s="54">
        <f t="shared" si="648"/>
        <v>0</v>
      </c>
      <c r="GJ100" s="58">
        <f t="shared" si="649"/>
        <v>0</v>
      </c>
      <c r="GK100" s="54"/>
      <c r="GL100" s="54"/>
      <c r="GM100" s="54">
        <v>1</v>
      </c>
      <c r="GN100" s="54">
        <v>0.97</v>
      </c>
      <c r="GO100" s="54">
        <v>0.95</v>
      </c>
      <c r="GP100" s="54">
        <v>0.93</v>
      </c>
      <c r="GQ100" s="54">
        <f t="shared" si="654"/>
        <v>0.91</v>
      </c>
      <c r="GR100" s="54">
        <f t="shared" si="654"/>
        <v>0.89</v>
      </c>
      <c r="GS100" s="54">
        <f t="shared" si="654"/>
        <v>0.87</v>
      </c>
      <c r="GT100" s="54">
        <f t="shared" si="654"/>
        <v>0.85</v>
      </c>
      <c r="GU100" s="54">
        <f t="shared" si="654"/>
        <v>0.83</v>
      </c>
      <c r="GV100" s="54">
        <f t="shared" si="654"/>
        <v>0.80999999999999994</v>
      </c>
      <c r="GW100" s="54">
        <f t="shared" si="654"/>
        <v>0.78999999999999992</v>
      </c>
      <c r="GX100" s="54">
        <f t="shared" si="654"/>
        <v>0.76999999999999991</v>
      </c>
      <c r="GY100" s="54">
        <f t="shared" si="654"/>
        <v>0.74999999999999989</v>
      </c>
      <c r="GZ100" s="54">
        <f t="shared" si="654"/>
        <v>0.72999999999999987</v>
      </c>
      <c r="HA100" s="54">
        <f t="shared" si="654"/>
        <v>0.70999999999999985</v>
      </c>
      <c r="HB100" s="54">
        <f t="shared" si="654"/>
        <v>0.68999999999999984</v>
      </c>
      <c r="HC100" s="54">
        <f t="shared" si="654"/>
        <v>0.66999999999999982</v>
      </c>
      <c r="HD100" s="54">
        <f t="shared" si="654"/>
        <v>0.6499999999999998</v>
      </c>
      <c r="HE100" s="54">
        <f t="shared" si="654"/>
        <v>0.62999999999999978</v>
      </c>
      <c r="HF100" s="54">
        <f t="shared" si="654"/>
        <v>0.60999999999999976</v>
      </c>
      <c r="HG100" s="54">
        <f t="shared" si="654"/>
        <v>0.58999999999999975</v>
      </c>
      <c r="HH100" s="54">
        <f t="shared" si="654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2">
        <f t="shared" si="520"/>
        <v>0</v>
      </c>
      <c r="H101" s="54">
        <f t="shared" si="510"/>
        <v>0</v>
      </c>
      <c r="I101" s="54">
        <f t="shared" si="511"/>
        <v>0</v>
      </c>
      <c r="J101" s="58">
        <f t="shared" si="512"/>
        <v>0</v>
      </c>
      <c r="K101" s="54">
        <f t="shared" si="521"/>
        <v>0</v>
      </c>
      <c r="L101" s="58">
        <f t="shared" si="522"/>
        <v>0</v>
      </c>
      <c r="M101" s="54">
        <f t="shared" si="523"/>
        <v>0</v>
      </c>
      <c r="N101" s="58">
        <f t="shared" si="524"/>
        <v>0</v>
      </c>
      <c r="O101" s="54">
        <f t="shared" si="525"/>
        <v>0</v>
      </c>
      <c r="P101" s="58">
        <f t="shared" si="526"/>
        <v>0</v>
      </c>
      <c r="Q101" s="56">
        <f t="shared" si="527"/>
        <v>0</v>
      </c>
      <c r="R101" s="58">
        <f t="shared" si="528"/>
        <v>0</v>
      </c>
      <c r="S101" s="54">
        <f t="shared" si="529"/>
        <v>0</v>
      </c>
      <c r="T101" s="58">
        <f t="shared" si="530"/>
        <v>0</v>
      </c>
      <c r="U101" s="56">
        <f t="shared" si="531"/>
        <v>0</v>
      </c>
      <c r="V101" s="58">
        <f t="shared" si="532"/>
        <v>0</v>
      </c>
      <c r="W101" s="59">
        <f t="shared" si="533"/>
        <v>0</v>
      </c>
      <c r="X101" s="58">
        <f t="shared" si="534"/>
        <v>0</v>
      </c>
      <c r="Y101" s="56">
        <f t="shared" si="535"/>
        <v>0</v>
      </c>
      <c r="Z101" s="58">
        <f t="shared" si="536"/>
        <v>0</v>
      </c>
      <c r="AA101" s="54">
        <f t="shared" si="537"/>
        <v>0</v>
      </c>
      <c r="AB101" s="58">
        <f t="shared" si="538"/>
        <v>0</v>
      </c>
      <c r="AC101" s="59">
        <f t="shared" si="539"/>
        <v>0</v>
      </c>
      <c r="AD101" s="58">
        <f t="shared" si="540"/>
        <v>0</v>
      </c>
      <c r="AE101" s="59">
        <f t="shared" si="541"/>
        <v>0</v>
      </c>
      <c r="AF101" s="58">
        <f t="shared" si="542"/>
        <v>0</v>
      </c>
      <c r="AG101" s="59">
        <f t="shared" si="543"/>
        <v>0</v>
      </c>
      <c r="AH101" s="58">
        <f t="shared" si="544"/>
        <v>0</v>
      </c>
      <c r="AI101" s="54">
        <f t="shared" si="545"/>
        <v>0</v>
      </c>
      <c r="AJ101" s="58">
        <f t="shared" si="546"/>
        <v>0</v>
      </c>
      <c r="AK101" s="59">
        <f t="shared" si="547"/>
        <v>0</v>
      </c>
      <c r="AL101" s="58">
        <f t="shared" si="548"/>
        <v>0</v>
      </c>
      <c r="AM101" s="59">
        <f t="shared" si="549"/>
        <v>0</v>
      </c>
      <c r="AN101" s="58">
        <f t="shared" si="550"/>
        <v>0</v>
      </c>
      <c r="AO101" s="59">
        <f t="shared" si="551"/>
        <v>0</v>
      </c>
      <c r="AP101" s="58">
        <f t="shared" si="552"/>
        <v>0</v>
      </c>
      <c r="AQ101" s="59">
        <f t="shared" si="553"/>
        <v>0</v>
      </c>
      <c r="AR101" s="58">
        <f t="shared" si="554"/>
        <v>0</v>
      </c>
      <c r="AS101" s="54">
        <f t="shared" si="555"/>
        <v>0</v>
      </c>
      <c r="AT101" s="58">
        <f t="shared" si="556"/>
        <v>0</v>
      </c>
      <c r="AU101" s="59">
        <f t="shared" si="557"/>
        <v>0</v>
      </c>
      <c r="AV101" s="58">
        <f t="shared" si="558"/>
        <v>0</v>
      </c>
      <c r="AW101" s="59">
        <f t="shared" si="559"/>
        <v>0</v>
      </c>
      <c r="AX101" s="58">
        <f t="shared" si="560"/>
        <v>0</v>
      </c>
      <c r="AY101" s="54">
        <f t="shared" si="561"/>
        <v>0</v>
      </c>
      <c r="AZ101" s="58">
        <f t="shared" si="562"/>
        <v>0</v>
      </c>
      <c r="BC101" s="54">
        <v>1</v>
      </c>
      <c r="BD101" s="54">
        <v>0.97</v>
      </c>
      <c r="BE101" s="54">
        <v>0.95</v>
      </c>
      <c r="BF101" s="54">
        <v>0.93</v>
      </c>
      <c r="BG101" s="54">
        <f t="shared" si="563"/>
        <v>0.91</v>
      </c>
      <c r="BH101" s="54">
        <f t="shared" si="563"/>
        <v>0.89</v>
      </c>
      <c r="BI101" s="54">
        <f t="shared" si="563"/>
        <v>0.87</v>
      </c>
      <c r="BJ101" s="54">
        <f t="shared" si="563"/>
        <v>0.85</v>
      </c>
      <c r="BK101" s="54">
        <f t="shared" si="563"/>
        <v>0.83</v>
      </c>
      <c r="BL101" s="54">
        <f t="shared" si="563"/>
        <v>0.80999999999999994</v>
      </c>
      <c r="BM101" s="54">
        <f t="shared" si="563"/>
        <v>0.78999999999999992</v>
      </c>
      <c r="BN101" s="54">
        <f t="shared" si="563"/>
        <v>0.76999999999999991</v>
      </c>
      <c r="BO101" s="54">
        <f t="shared" si="563"/>
        <v>0.74999999999999989</v>
      </c>
      <c r="BP101" s="54">
        <f t="shared" si="563"/>
        <v>0.72999999999999987</v>
      </c>
      <c r="BQ101" s="54">
        <f t="shared" si="563"/>
        <v>0.70999999999999985</v>
      </c>
      <c r="BR101" s="54">
        <f t="shared" si="563"/>
        <v>0.68999999999999984</v>
      </c>
      <c r="BS101" s="54">
        <f t="shared" si="563"/>
        <v>0.66999999999999982</v>
      </c>
      <c r="BT101" s="54">
        <f t="shared" si="563"/>
        <v>0.6499999999999998</v>
      </c>
      <c r="BU101" s="54">
        <f t="shared" si="563"/>
        <v>0.62999999999999978</v>
      </c>
      <c r="BV101" s="54">
        <f t="shared" si="563"/>
        <v>0.60999999999999976</v>
      </c>
      <c r="BW101" s="54">
        <f t="shared" si="563"/>
        <v>0.58999999999999975</v>
      </c>
      <c r="BX101" s="54">
        <f t="shared" si="563"/>
        <v>0.56999999999999973</v>
      </c>
      <c r="BZ101" s="54">
        <f t="shared" si="513"/>
        <v>0</v>
      </c>
      <c r="CA101" s="54">
        <f t="shared" si="514"/>
        <v>0</v>
      </c>
      <c r="CB101" s="58">
        <f t="shared" si="564"/>
        <v>0</v>
      </c>
      <c r="CC101" s="54">
        <f t="shared" si="565"/>
        <v>0</v>
      </c>
      <c r="CD101" s="58">
        <f t="shared" si="566"/>
        <v>0</v>
      </c>
      <c r="CE101" s="54">
        <f t="shared" si="567"/>
        <v>0</v>
      </c>
      <c r="CF101" s="58">
        <f t="shared" si="568"/>
        <v>0</v>
      </c>
      <c r="CG101" s="54">
        <f t="shared" si="569"/>
        <v>0</v>
      </c>
      <c r="CH101" s="58">
        <f t="shared" si="570"/>
        <v>0</v>
      </c>
      <c r="CI101" s="56">
        <f t="shared" si="571"/>
        <v>0</v>
      </c>
      <c r="CJ101" s="58">
        <f t="shared" si="572"/>
        <v>0</v>
      </c>
      <c r="CK101" s="54">
        <f t="shared" si="573"/>
        <v>0</v>
      </c>
      <c r="CL101" s="58">
        <f t="shared" si="574"/>
        <v>0</v>
      </c>
      <c r="CM101" s="56">
        <f t="shared" si="575"/>
        <v>0</v>
      </c>
      <c r="CN101" s="58">
        <f t="shared" si="576"/>
        <v>0</v>
      </c>
      <c r="CO101" s="59">
        <f t="shared" si="577"/>
        <v>0</v>
      </c>
      <c r="CP101" s="58">
        <f t="shared" si="578"/>
        <v>0</v>
      </c>
      <c r="CQ101" s="56">
        <f t="shared" si="579"/>
        <v>0</v>
      </c>
      <c r="CR101" s="58">
        <f t="shared" si="580"/>
        <v>0</v>
      </c>
      <c r="CS101" s="54">
        <f t="shared" si="581"/>
        <v>0</v>
      </c>
      <c r="CT101" s="58">
        <f t="shared" si="582"/>
        <v>0</v>
      </c>
      <c r="CU101" s="59">
        <f t="shared" si="583"/>
        <v>0</v>
      </c>
      <c r="CV101" s="58">
        <f t="shared" si="584"/>
        <v>0</v>
      </c>
      <c r="CW101" s="59">
        <f t="shared" si="585"/>
        <v>0</v>
      </c>
      <c r="CX101" s="58">
        <f t="shared" si="586"/>
        <v>0</v>
      </c>
      <c r="CY101" s="59">
        <f t="shared" si="587"/>
        <v>0</v>
      </c>
      <c r="CZ101" s="58">
        <f t="shared" si="588"/>
        <v>0</v>
      </c>
      <c r="DA101" s="54">
        <f t="shared" si="589"/>
        <v>0</v>
      </c>
      <c r="DB101" s="58">
        <f t="shared" si="590"/>
        <v>0</v>
      </c>
      <c r="DC101" s="59">
        <f t="shared" si="591"/>
        <v>0</v>
      </c>
      <c r="DD101" s="58">
        <f t="shared" si="592"/>
        <v>0</v>
      </c>
      <c r="DE101" s="59">
        <f t="shared" si="593"/>
        <v>0</v>
      </c>
      <c r="DF101" s="58">
        <f t="shared" si="594"/>
        <v>0</v>
      </c>
      <c r="DG101" s="59">
        <f t="shared" si="595"/>
        <v>0</v>
      </c>
      <c r="DH101" s="58">
        <f t="shared" si="596"/>
        <v>0</v>
      </c>
      <c r="DI101" s="59">
        <f t="shared" si="597"/>
        <v>0</v>
      </c>
      <c r="DJ101" s="58">
        <f t="shared" si="598"/>
        <v>0</v>
      </c>
      <c r="DK101" s="54">
        <f t="shared" si="599"/>
        <v>0</v>
      </c>
      <c r="DL101" s="58">
        <f t="shared" si="600"/>
        <v>0</v>
      </c>
      <c r="DM101" s="59">
        <f t="shared" si="601"/>
        <v>0</v>
      </c>
      <c r="DN101" s="58">
        <f t="shared" si="602"/>
        <v>0</v>
      </c>
      <c r="DO101" s="59">
        <f t="shared" si="603"/>
        <v>0</v>
      </c>
      <c r="DP101" s="58">
        <f t="shared" si="604"/>
        <v>0</v>
      </c>
      <c r="DQ101" s="54">
        <f t="shared" si="605"/>
        <v>0</v>
      </c>
      <c r="DR101" s="58">
        <f t="shared" si="606"/>
        <v>0</v>
      </c>
      <c r="DU101" s="54">
        <v>1</v>
      </c>
      <c r="DV101" s="54">
        <v>0.97</v>
      </c>
      <c r="DW101" s="54">
        <v>0.95</v>
      </c>
      <c r="DX101" s="54">
        <v>0.93</v>
      </c>
      <c r="DY101" s="54">
        <f t="shared" si="652"/>
        <v>0.91</v>
      </c>
      <c r="DZ101" s="54">
        <f t="shared" si="652"/>
        <v>0.89</v>
      </c>
      <c r="EA101" s="54">
        <f t="shared" si="652"/>
        <v>0.87</v>
      </c>
      <c r="EB101" s="54">
        <f t="shared" si="652"/>
        <v>0.85</v>
      </c>
      <c r="EC101" s="54">
        <f t="shared" si="652"/>
        <v>0.83</v>
      </c>
      <c r="ED101" s="54">
        <f t="shared" si="652"/>
        <v>0.80999999999999994</v>
      </c>
      <c r="EE101" s="54">
        <f t="shared" si="652"/>
        <v>0.78999999999999992</v>
      </c>
      <c r="EF101" s="54">
        <f t="shared" si="652"/>
        <v>0.76999999999999991</v>
      </c>
      <c r="EG101" s="54">
        <f t="shared" si="652"/>
        <v>0.74999999999999989</v>
      </c>
      <c r="EH101" s="54">
        <f t="shared" si="652"/>
        <v>0.72999999999999987</v>
      </c>
      <c r="EI101" s="54">
        <f t="shared" si="652"/>
        <v>0.70999999999999985</v>
      </c>
      <c r="EJ101" s="54">
        <f t="shared" si="652"/>
        <v>0.68999999999999984</v>
      </c>
      <c r="EK101" s="54">
        <f t="shared" si="652"/>
        <v>0.66999999999999982</v>
      </c>
      <c r="EL101" s="54">
        <f t="shared" si="652"/>
        <v>0.6499999999999998</v>
      </c>
      <c r="EM101" s="54">
        <f t="shared" si="652"/>
        <v>0.62999999999999978</v>
      </c>
      <c r="EN101" s="54">
        <f t="shared" si="652"/>
        <v>0.60999999999999976</v>
      </c>
      <c r="EO101" s="54">
        <f t="shared" si="652"/>
        <v>0.58999999999999975</v>
      </c>
      <c r="EP101" s="54">
        <f t="shared" si="652"/>
        <v>0.56999999999999973</v>
      </c>
      <c r="ER101" s="54">
        <f t="shared" si="653"/>
        <v>0</v>
      </c>
      <c r="ES101" s="54">
        <f t="shared" si="515"/>
        <v>0</v>
      </c>
      <c r="ET101" s="58">
        <f t="shared" si="607"/>
        <v>0</v>
      </c>
      <c r="EU101" s="54">
        <f t="shared" si="608"/>
        <v>0</v>
      </c>
      <c r="EV101" s="58">
        <f t="shared" si="609"/>
        <v>0</v>
      </c>
      <c r="EW101" s="54">
        <f t="shared" si="610"/>
        <v>0</v>
      </c>
      <c r="EX101" s="58">
        <f t="shared" si="611"/>
        <v>0</v>
      </c>
      <c r="EY101" s="54">
        <f t="shared" si="612"/>
        <v>0</v>
      </c>
      <c r="EZ101" s="58">
        <f t="shared" si="613"/>
        <v>0</v>
      </c>
      <c r="FA101" s="56">
        <f t="shared" si="614"/>
        <v>0</v>
      </c>
      <c r="FB101" s="58">
        <f t="shared" si="615"/>
        <v>0</v>
      </c>
      <c r="FC101" s="54">
        <f t="shared" si="616"/>
        <v>0</v>
      </c>
      <c r="FD101" s="58">
        <f t="shared" si="617"/>
        <v>0</v>
      </c>
      <c r="FE101" s="56">
        <f t="shared" si="618"/>
        <v>0</v>
      </c>
      <c r="FF101" s="58">
        <f t="shared" si="619"/>
        <v>0</v>
      </c>
      <c r="FG101" s="59">
        <f t="shared" si="620"/>
        <v>0</v>
      </c>
      <c r="FH101" s="58">
        <f t="shared" si="621"/>
        <v>0</v>
      </c>
      <c r="FI101" s="56">
        <f t="shared" si="622"/>
        <v>0</v>
      </c>
      <c r="FJ101" s="58">
        <f t="shared" si="623"/>
        <v>0</v>
      </c>
      <c r="FK101" s="54">
        <f t="shared" si="624"/>
        <v>0</v>
      </c>
      <c r="FL101" s="58">
        <f t="shared" si="625"/>
        <v>0</v>
      </c>
      <c r="FM101" s="59">
        <f t="shared" si="626"/>
        <v>0</v>
      </c>
      <c r="FN101" s="58">
        <f t="shared" si="627"/>
        <v>0</v>
      </c>
      <c r="FO101" s="59">
        <f t="shared" si="628"/>
        <v>0</v>
      </c>
      <c r="FP101" s="58">
        <f t="shared" si="629"/>
        <v>0</v>
      </c>
      <c r="FQ101" s="59">
        <f t="shared" si="630"/>
        <v>0</v>
      </c>
      <c r="FR101" s="58">
        <f t="shared" si="631"/>
        <v>0</v>
      </c>
      <c r="FS101" s="54">
        <f t="shared" si="632"/>
        <v>0</v>
      </c>
      <c r="FT101" s="58">
        <f t="shared" si="633"/>
        <v>0</v>
      </c>
      <c r="FU101" s="59">
        <f t="shared" si="634"/>
        <v>0</v>
      </c>
      <c r="FV101" s="58">
        <f t="shared" si="635"/>
        <v>0</v>
      </c>
      <c r="FW101" s="59">
        <f t="shared" si="636"/>
        <v>0</v>
      </c>
      <c r="FX101" s="58">
        <f t="shared" si="637"/>
        <v>0</v>
      </c>
      <c r="FY101" s="59">
        <f t="shared" si="638"/>
        <v>0</v>
      </c>
      <c r="FZ101" s="58">
        <f t="shared" si="639"/>
        <v>0</v>
      </c>
      <c r="GA101" s="59">
        <f t="shared" si="640"/>
        <v>0</v>
      </c>
      <c r="GB101" s="58">
        <f t="shared" si="641"/>
        <v>0</v>
      </c>
      <c r="GC101" s="54">
        <f t="shared" si="642"/>
        <v>0</v>
      </c>
      <c r="GD101" s="58">
        <f t="shared" si="643"/>
        <v>0</v>
      </c>
      <c r="GE101" s="59">
        <f t="shared" si="644"/>
        <v>0</v>
      </c>
      <c r="GF101" s="58">
        <f t="shared" si="645"/>
        <v>0</v>
      </c>
      <c r="GG101" s="59">
        <f t="shared" si="646"/>
        <v>0</v>
      </c>
      <c r="GH101" s="58">
        <f t="shared" si="647"/>
        <v>0</v>
      </c>
      <c r="GI101" s="54">
        <f t="shared" si="648"/>
        <v>0</v>
      </c>
      <c r="GJ101" s="58">
        <f t="shared" si="649"/>
        <v>0</v>
      </c>
      <c r="GK101" s="54"/>
      <c r="GL101" s="54"/>
      <c r="GM101" s="54">
        <v>1</v>
      </c>
      <c r="GN101" s="54">
        <v>0.97</v>
      </c>
      <c r="GO101" s="54">
        <v>0.95</v>
      </c>
      <c r="GP101" s="54">
        <v>0.93</v>
      </c>
      <c r="GQ101" s="54">
        <f t="shared" si="654"/>
        <v>0.91</v>
      </c>
      <c r="GR101" s="54">
        <f t="shared" si="654"/>
        <v>0.89</v>
      </c>
      <c r="GS101" s="54">
        <f t="shared" si="654"/>
        <v>0.87</v>
      </c>
      <c r="GT101" s="54">
        <f t="shared" si="654"/>
        <v>0.85</v>
      </c>
      <c r="GU101" s="54">
        <f t="shared" si="654"/>
        <v>0.83</v>
      </c>
      <c r="GV101" s="54">
        <f t="shared" si="654"/>
        <v>0.80999999999999994</v>
      </c>
      <c r="GW101" s="54">
        <f t="shared" si="654"/>
        <v>0.78999999999999992</v>
      </c>
      <c r="GX101" s="54">
        <f t="shared" si="654"/>
        <v>0.76999999999999991</v>
      </c>
      <c r="GY101" s="54">
        <f t="shared" si="654"/>
        <v>0.74999999999999989</v>
      </c>
      <c r="GZ101" s="54">
        <f t="shared" si="654"/>
        <v>0.72999999999999987</v>
      </c>
      <c r="HA101" s="54">
        <f t="shared" si="654"/>
        <v>0.70999999999999985</v>
      </c>
      <c r="HB101" s="54">
        <f t="shared" si="654"/>
        <v>0.68999999999999984</v>
      </c>
      <c r="HC101" s="54">
        <f t="shared" si="654"/>
        <v>0.66999999999999982</v>
      </c>
      <c r="HD101" s="54">
        <f t="shared" si="654"/>
        <v>0.6499999999999998</v>
      </c>
      <c r="HE101" s="54">
        <f t="shared" si="654"/>
        <v>0.62999999999999978</v>
      </c>
      <c r="HF101" s="54">
        <f t="shared" si="654"/>
        <v>0.60999999999999976</v>
      </c>
      <c r="HG101" s="54">
        <f t="shared" si="654"/>
        <v>0.58999999999999975</v>
      </c>
      <c r="HH101" s="54">
        <f t="shared" si="654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2">
        <f t="shared" si="520"/>
        <v>0</v>
      </c>
      <c r="H102" s="54">
        <f t="shared" si="510"/>
        <v>0</v>
      </c>
      <c r="I102" s="54">
        <f t="shared" si="511"/>
        <v>0</v>
      </c>
      <c r="J102" s="58">
        <f t="shared" si="512"/>
        <v>0</v>
      </c>
      <c r="K102" s="54">
        <f t="shared" si="521"/>
        <v>0</v>
      </c>
      <c r="L102" s="58">
        <f t="shared" si="522"/>
        <v>0</v>
      </c>
      <c r="M102" s="54">
        <f t="shared" si="523"/>
        <v>0</v>
      </c>
      <c r="N102" s="58">
        <f t="shared" si="524"/>
        <v>0</v>
      </c>
      <c r="O102" s="54">
        <f t="shared" si="525"/>
        <v>0</v>
      </c>
      <c r="P102" s="58">
        <f t="shared" si="526"/>
        <v>0</v>
      </c>
      <c r="Q102" s="56">
        <f t="shared" si="527"/>
        <v>0</v>
      </c>
      <c r="R102" s="58">
        <f t="shared" si="528"/>
        <v>0</v>
      </c>
      <c r="S102" s="54">
        <f t="shared" si="529"/>
        <v>0</v>
      </c>
      <c r="T102" s="58">
        <f t="shared" si="530"/>
        <v>0</v>
      </c>
      <c r="U102" s="56">
        <f t="shared" si="531"/>
        <v>0</v>
      </c>
      <c r="V102" s="58">
        <f t="shared" si="532"/>
        <v>0</v>
      </c>
      <c r="W102" s="59">
        <f t="shared" si="533"/>
        <v>0</v>
      </c>
      <c r="X102" s="58">
        <f t="shared" si="534"/>
        <v>0</v>
      </c>
      <c r="Y102" s="56">
        <f t="shared" si="535"/>
        <v>0</v>
      </c>
      <c r="Z102" s="58">
        <f t="shared" si="536"/>
        <v>0</v>
      </c>
      <c r="AA102" s="54">
        <f t="shared" si="537"/>
        <v>0</v>
      </c>
      <c r="AB102" s="58">
        <f t="shared" si="538"/>
        <v>0</v>
      </c>
      <c r="AC102" s="59">
        <f t="shared" si="539"/>
        <v>0</v>
      </c>
      <c r="AD102" s="58">
        <f t="shared" si="540"/>
        <v>0</v>
      </c>
      <c r="AE102" s="59">
        <f t="shared" si="541"/>
        <v>0</v>
      </c>
      <c r="AF102" s="58">
        <f t="shared" si="542"/>
        <v>0</v>
      </c>
      <c r="AG102" s="59">
        <f t="shared" si="543"/>
        <v>0</v>
      </c>
      <c r="AH102" s="58">
        <f t="shared" si="544"/>
        <v>0</v>
      </c>
      <c r="AI102" s="54">
        <f t="shared" si="545"/>
        <v>0</v>
      </c>
      <c r="AJ102" s="58">
        <f t="shared" si="546"/>
        <v>0</v>
      </c>
      <c r="AK102" s="59">
        <f t="shared" si="547"/>
        <v>0</v>
      </c>
      <c r="AL102" s="58">
        <f t="shared" si="548"/>
        <v>0</v>
      </c>
      <c r="AM102" s="59">
        <f t="shared" si="549"/>
        <v>0</v>
      </c>
      <c r="AN102" s="58">
        <f t="shared" si="550"/>
        <v>0</v>
      </c>
      <c r="AO102" s="59">
        <f t="shared" si="551"/>
        <v>0</v>
      </c>
      <c r="AP102" s="58">
        <f t="shared" si="552"/>
        <v>0</v>
      </c>
      <c r="AQ102" s="59">
        <f t="shared" si="553"/>
        <v>0</v>
      </c>
      <c r="AR102" s="58">
        <f t="shared" si="554"/>
        <v>0</v>
      </c>
      <c r="AS102" s="54">
        <f t="shared" si="555"/>
        <v>0</v>
      </c>
      <c r="AT102" s="58">
        <f t="shared" si="556"/>
        <v>0</v>
      </c>
      <c r="AU102" s="59">
        <f t="shared" si="557"/>
        <v>0</v>
      </c>
      <c r="AV102" s="58">
        <f t="shared" si="558"/>
        <v>0</v>
      </c>
      <c r="AW102" s="59">
        <f t="shared" si="559"/>
        <v>0</v>
      </c>
      <c r="AX102" s="58">
        <f t="shared" si="560"/>
        <v>0</v>
      </c>
      <c r="AY102" s="54">
        <f t="shared" si="561"/>
        <v>0</v>
      </c>
      <c r="AZ102" s="58">
        <f t="shared" si="562"/>
        <v>0</v>
      </c>
      <c r="BC102" s="54">
        <v>1</v>
      </c>
      <c r="BD102" s="54">
        <v>0.97</v>
      </c>
      <c r="BE102" s="54">
        <v>0.95</v>
      </c>
      <c r="BF102" s="54">
        <v>0.93</v>
      </c>
      <c r="BG102" s="54">
        <f t="shared" si="563"/>
        <v>0.91</v>
      </c>
      <c r="BH102" s="54">
        <f t="shared" si="563"/>
        <v>0.89</v>
      </c>
      <c r="BI102" s="54">
        <f t="shared" si="563"/>
        <v>0.87</v>
      </c>
      <c r="BJ102" s="54">
        <f t="shared" si="563"/>
        <v>0.85</v>
      </c>
      <c r="BK102" s="54">
        <f t="shared" si="563"/>
        <v>0.83</v>
      </c>
      <c r="BL102" s="54">
        <f t="shared" si="563"/>
        <v>0.80999999999999994</v>
      </c>
      <c r="BM102" s="54">
        <f t="shared" si="563"/>
        <v>0.78999999999999992</v>
      </c>
      <c r="BN102" s="54">
        <f t="shared" si="563"/>
        <v>0.76999999999999991</v>
      </c>
      <c r="BO102" s="54">
        <f t="shared" si="563"/>
        <v>0.74999999999999989</v>
      </c>
      <c r="BP102" s="54">
        <f t="shared" si="563"/>
        <v>0.72999999999999987</v>
      </c>
      <c r="BQ102" s="54">
        <f t="shared" si="563"/>
        <v>0.70999999999999985</v>
      </c>
      <c r="BR102" s="54">
        <f t="shared" si="563"/>
        <v>0.68999999999999984</v>
      </c>
      <c r="BS102" s="54">
        <f t="shared" si="563"/>
        <v>0.66999999999999982</v>
      </c>
      <c r="BT102" s="54">
        <f t="shared" si="563"/>
        <v>0.6499999999999998</v>
      </c>
      <c r="BU102" s="54">
        <f t="shared" si="563"/>
        <v>0.62999999999999978</v>
      </c>
      <c r="BV102" s="54">
        <f t="shared" si="563"/>
        <v>0.60999999999999976</v>
      </c>
      <c r="BW102" s="54">
        <f t="shared" si="563"/>
        <v>0.58999999999999975</v>
      </c>
      <c r="BX102" s="54">
        <f t="shared" si="563"/>
        <v>0.56999999999999973</v>
      </c>
      <c r="BZ102" s="54">
        <f t="shared" si="513"/>
        <v>0</v>
      </c>
      <c r="CA102" s="54">
        <f t="shared" si="514"/>
        <v>0</v>
      </c>
      <c r="CB102" s="58">
        <f t="shared" si="564"/>
        <v>0</v>
      </c>
      <c r="CC102" s="54">
        <f t="shared" si="565"/>
        <v>0</v>
      </c>
      <c r="CD102" s="58">
        <f t="shared" si="566"/>
        <v>0</v>
      </c>
      <c r="CE102" s="54">
        <f t="shared" si="567"/>
        <v>0</v>
      </c>
      <c r="CF102" s="58">
        <f t="shared" si="568"/>
        <v>0</v>
      </c>
      <c r="CG102" s="54">
        <f t="shared" si="569"/>
        <v>0</v>
      </c>
      <c r="CH102" s="58">
        <f t="shared" si="570"/>
        <v>0</v>
      </c>
      <c r="CI102" s="56">
        <f t="shared" si="571"/>
        <v>0</v>
      </c>
      <c r="CJ102" s="58">
        <f t="shared" si="572"/>
        <v>0</v>
      </c>
      <c r="CK102" s="54">
        <f t="shared" si="573"/>
        <v>0</v>
      </c>
      <c r="CL102" s="58">
        <f t="shared" si="574"/>
        <v>0</v>
      </c>
      <c r="CM102" s="56">
        <f t="shared" si="575"/>
        <v>0</v>
      </c>
      <c r="CN102" s="58">
        <f t="shared" si="576"/>
        <v>0</v>
      </c>
      <c r="CO102" s="59">
        <f t="shared" si="577"/>
        <v>0</v>
      </c>
      <c r="CP102" s="58">
        <f t="shared" si="578"/>
        <v>0</v>
      </c>
      <c r="CQ102" s="56">
        <f t="shared" si="579"/>
        <v>0</v>
      </c>
      <c r="CR102" s="58">
        <f t="shared" si="580"/>
        <v>0</v>
      </c>
      <c r="CS102" s="54">
        <f t="shared" si="581"/>
        <v>0</v>
      </c>
      <c r="CT102" s="58">
        <f t="shared" si="582"/>
        <v>0</v>
      </c>
      <c r="CU102" s="59">
        <f t="shared" si="583"/>
        <v>0</v>
      </c>
      <c r="CV102" s="58">
        <f t="shared" si="584"/>
        <v>0</v>
      </c>
      <c r="CW102" s="59">
        <f t="shared" si="585"/>
        <v>0</v>
      </c>
      <c r="CX102" s="58">
        <f t="shared" si="586"/>
        <v>0</v>
      </c>
      <c r="CY102" s="59">
        <f t="shared" si="587"/>
        <v>0</v>
      </c>
      <c r="CZ102" s="58">
        <f t="shared" si="588"/>
        <v>0</v>
      </c>
      <c r="DA102" s="54">
        <f t="shared" si="589"/>
        <v>0</v>
      </c>
      <c r="DB102" s="58">
        <f t="shared" si="590"/>
        <v>0</v>
      </c>
      <c r="DC102" s="59">
        <f t="shared" si="591"/>
        <v>0</v>
      </c>
      <c r="DD102" s="58">
        <f t="shared" si="592"/>
        <v>0</v>
      </c>
      <c r="DE102" s="59">
        <f t="shared" si="593"/>
        <v>0</v>
      </c>
      <c r="DF102" s="58">
        <f t="shared" si="594"/>
        <v>0</v>
      </c>
      <c r="DG102" s="59">
        <f t="shared" si="595"/>
        <v>0</v>
      </c>
      <c r="DH102" s="58">
        <f t="shared" si="596"/>
        <v>0</v>
      </c>
      <c r="DI102" s="59">
        <f t="shared" si="597"/>
        <v>0</v>
      </c>
      <c r="DJ102" s="58">
        <f t="shared" si="598"/>
        <v>0</v>
      </c>
      <c r="DK102" s="54">
        <f t="shared" si="599"/>
        <v>0</v>
      </c>
      <c r="DL102" s="58">
        <f t="shared" si="600"/>
        <v>0</v>
      </c>
      <c r="DM102" s="59">
        <f t="shared" si="601"/>
        <v>0</v>
      </c>
      <c r="DN102" s="58">
        <f t="shared" si="602"/>
        <v>0</v>
      </c>
      <c r="DO102" s="59">
        <f t="shared" si="603"/>
        <v>0</v>
      </c>
      <c r="DP102" s="58">
        <f t="shared" si="604"/>
        <v>0</v>
      </c>
      <c r="DQ102" s="54">
        <f t="shared" si="605"/>
        <v>0</v>
      </c>
      <c r="DR102" s="58">
        <f t="shared" si="606"/>
        <v>0</v>
      </c>
      <c r="DU102" s="54">
        <v>1</v>
      </c>
      <c r="DV102" s="54">
        <v>0.97</v>
      </c>
      <c r="DW102" s="54">
        <v>0.95</v>
      </c>
      <c r="DX102" s="54">
        <v>0.93</v>
      </c>
      <c r="DY102" s="54">
        <f t="shared" si="652"/>
        <v>0.91</v>
      </c>
      <c r="DZ102" s="54">
        <f t="shared" si="652"/>
        <v>0.89</v>
      </c>
      <c r="EA102" s="54">
        <f t="shared" si="652"/>
        <v>0.87</v>
      </c>
      <c r="EB102" s="54">
        <f t="shared" si="652"/>
        <v>0.85</v>
      </c>
      <c r="EC102" s="54">
        <f t="shared" si="652"/>
        <v>0.83</v>
      </c>
      <c r="ED102" s="54">
        <f t="shared" si="652"/>
        <v>0.80999999999999994</v>
      </c>
      <c r="EE102" s="54">
        <f t="shared" si="652"/>
        <v>0.78999999999999992</v>
      </c>
      <c r="EF102" s="54">
        <f t="shared" si="652"/>
        <v>0.76999999999999991</v>
      </c>
      <c r="EG102" s="54">
        <f t="shared" si="652"/>
        <v>0.74999999999999989</v>
      </c>
      <c r="EH102" s="54">
        <f t="shared" si="652"/>
        <v>0.72999999999999987</v>
      </c>
      <c r="EI102" s="54">
        <f t="shared" si="652"/>
        <v>0.70999999999999985</v>
      </c>
      <c r="EJ102" s="54">
        <f t="shared" si="652"/>
        <v>0.68999999999999984</v>
      </c>
      <c r="EK102" s="54">
        <f t="shared" si="652"/>
        <v>0.66999999999999982</v>
      </c>
      <c r="EL102" s="54">
        <f t="shared" si="652"/>
        <v>0.6499999999999998</v>
      </c>
      <c r="EM102" s="54">
        <f t="shared" si="652"/>
        <v>0.62999999999999978</v>
      </c>
      <c r="EN102" s="54">
        <f t="shared" si="652"/>
        <v>0.60999999999999976</v>
      </c>
      <c r="EO102" s="54">
        <f t="shared" si="652"/>
        <v>0.58999999999999975</v>
      </c>
      <c r="EP102" s="54">
        <f t="shared" si="652"/>
        <v>0.56999999999999973</v>
      </c>
      <c r="ER102" s="54">
        <f t="shared" si="653"/>
        <v>0</v>
      </c>
      <c r="ES102" s="54">
        <f t="shared" si="515"/>
        <v>0</v>
      </c>
      <c r="ET102" s="58">
        <f t="shared" si="607"/>
        <v>0</v>
      </c>
      <c r="EU102" s="54">
        <f t="shared" si="608"/>
        <v>0</v>
      </c>
      <c r="EV102" s="58">
        <f t="shared" si="609"/>
        <v>0</v>
      </c>
      <c r="EW102" s="54">
        <f t="shared" si="610"/>
        <v>0</v>
      </c>
      <c r="EX102" s="58">
        <f t="shared" si="611"/>
        <v>0</v>
      </c>
      <c r="EY102" s="54">
        <f t="shared" si="612"/>
        <v>0</v>
      </c>
      <c r="EZ102" s="58">
        <f t="shared" si="613"/>
        <v>0</v>
      </c>
      <c r="FA102" s="56">
        <f t="shared" si="614"/>
        <v>0</v>
      </c>
      <c r="FB102" s="58">
        <f t="shared" si="615"/>
        <v>0</v>
      </c>
      <c r="FC102" s="54">
        <f t="shared" si="616"/>
        <v>0</v>
      </c>
      <c r="FD102" s="58">
        <f t="shared" si="617"/>
        <v>0</v>
      </c>
      <c r="FE102" s="56">
        <f t="shared" si="618"/>
        <v>0</v>
      </c>
      <c r="FF102" s="58">
        <f t="shared" si="619"/>
        <v>0</v>
      </c>
      <c r="FG102" s="59">
        <f t="shared" si="620"/>
        <v>0</v>
      </c>
      <c r="FH102" s="58">
        <f t="shared" si="621"/>
        <v>0</v>
      </c>
      <c r="FI102" s="56">
        <f t="shared" si="622"/>
        <v>0</v>
      </c>
      <c r="FJ102" s="58">
        <f t="shared" si="623"/>
        <v>0</v>
      </c>
      <c r="FK102" s="54">
        <f t="shared" si="624"/>
        <v>0</v>
      </c>
      <c r="FL102" s="58">
        <f t="shared" si="625"/>
        <v>0</v>
      </c>
      <c r="FM102" s="59">
        <f t="shared" si="626"/>
        <v>0</v>
      </c>
      <c r="FN102" s="58">
        <f t="shared" si="627"/>
        <v>0</v>
      </c>
      <c r="FO102" s="59">
        <f t="shared" si="628"/>
        <v>0</v>
      </c>
      <c r="FP102" s="58">
        <f t="shared" si="629"/>
        <v>0</v>
      </c>
      <c r="FQ102" s="59">
        <f t="shared" si="630"/>
        <v>0</v>
      </c>
      <c r="FR102" s="58">
        <f t="shared" si="631"/>
        <v>0</v>
      </c>
      <c r="FS102" s="54">
        <f t="shared" si="632"/>
        <v>0</v>
      </c>
      <c r="FT102" s="58">
        <f t="shared" si="633"/>
        <v>0</v>
      </c>
      <c r="FU102" s="59">
        <f t="shared" si="634"/>
        <v>0</v>
      </c>
      <c r="FV102" s="58">
        <f t="shared" si="635"/>
        <v>0</v>
      </c>
      <c r="FW102" s="59">
        <f t="shared" si="636"/>
        <v>0</v>
      </c>
      <c r="FX102" s="58">
        <f t="shared" si="637"/>
        <v>0</v>
      </c>
      <c r="FY102" s="59">
        <f t="shared" si="638"/>
        <v>0</v>
      </c>
      <c r="FZ102" s="58">
        <f t="shared" si="639"/>
        <v>0</v>
      </c>
      <c r="GA102" s="59">
        <f t="shared" si="640"/>
        <v>0</v>
      </c>
      <c r="GB102" s="58">
        <f t="shared" si="641"/>
        <v>0</v>
      </c>
      <c r="GC102" s="54">
        <f t="shared" si="642"/>
        <v>0</v>
      </c>
      <c r="GD102" s="58">
        <f t="shared" si="643"/>
        <v>0</v>
      </c>
      <c r="GE102" s="59">
        <f t="shared" si="644"/>
        <v>0</v>
      </c>
      <c r="GF102" s="58">
        <f t="shared" si="645"/>
        <v>0</v>
      </c>
      <c r="GG102" s="59">
        <f t="shared" si="646"/>
        <v>0</v>
      </c>
      <c r="GH102" s="58">
        <f t="shared" si="647"/>
        <v>0</v>
      </c>
      <c r="GI102" s="54">
        <f t="shared" si="648"/>
        <v>0</v>
      </c>
      <c r="GJ102" s="58">
        <f t="shared" si="649"/>
        <v>0</v>
      </c>
      <c r="GK102" s="54"/>
      <c r="GL102" s="54"/>
      <c r="GM102" s="54">
        <v>1</v>
      </c>
      <c r="GN102" s="54">
        <v>0.97</v>
      </c>
      <c r="GO102" s="54">
        <v>0.95</v>
      </c>
      <c r="GP102" s="54">
        <v>0.93</v>
      </c>
      <c r="GQ102" s="54">
        <f t="shared" si="654"/>
        <v>0.91</v>
      </c>
      <c r="GR102" s="54">
        <f t="shared" si="654"/>
        <v>0.89</v>
      </c>
      <c r="GS102" s="54">
        <f t="shared" si="654"/>
        <v>0.87</v>
      </c>
      <c r="GT102" s="54">
        <f t="shared" si="654"/>
        <v>0.85</v>
      </c>
      <c r="GU102" s="54">
        <f t="shared" si="654"/>
        <v>0.83</v>
      </c>
      <c r="GV102" s="54">
        <f t="shared" si="654"/>
        <v>0.80999999999999994</v>
      </c>
      <c r="GW102" s="54">
        <f t="shared" si="654"/>
        <v>0.78999999999999992</v>
      </c>
      <c r="GX102" s="54">
        <f t="shared" si="654"/>
        <v>0.76999999999999991</v>
      </c>
      <c r="GY102" s="54">
        <f t="shared" si="654"/>
        <v>0.74999999999999989</v>
      </c>
      <c r="GZ102" s="54">
        <f t="shared" si="654"/>
        <v>0.72999999999999987</v>
      </c>
      <c r="HA102" s="54">
        <f t="shared" si="654"/>
        <v>0.70999999999999985</v>
      </c>
      <c r="HB102" s="54">
        <f t="shared" si="654"/>
        <v>0.68999999999999984</v>
      </c>
      <c r="HC102" s="54">
        <f t="shared" si="654"/>
        <v>0.66999999999999982</v>
      </c>
      <c r="HD102" s="54">
        <f t="shared" si="654"/>
        <v>0.6499999999999998</v>
      </c>
      <c r="HE102" s="54">
        <f t="shared" si="654"/>
        <v>0.62999999999999978</v>
      </c>
      <c r="HF102" s="54">
        <f t="shared" si="654"/>
        <v>0.60999999999999976</v>
      </c>
      <c r="HG102" s="54">
        <f t="shared" si="654"/>
        <v>0.58999999999999975</v>
      </c>
      <c r="HH102" s="54">
        <f t="shared" si="654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2">
        <f t="shared" si="520"/>
        <v>0</v>
      </c>
      <c r="H103" s="54">
        <f t="shared" si="510"/>
        <v>0</v>
      </c>
      <c r="I103" s="54">
        <f t="shared" si="511"/>
        <v>0</v>
      </c>
      <c r="J103" s="58">
        <f t="shared" si="512"/>
        <v>0</v>
      </c>
      <c r="K103" s="54">
        <f t="shared" si="521"/>
        <v>0</v>
      </c>
      <c r="L103" s="58">
        <f t="shared" si="522"/>
        <v>0</v>
      </c>
      <c r="M103" s="54">
        <f t="shared" si="523"/>
        <v>0</v>
      </c>
      <c r="N103" s="58">
        <f t="shared" si="524"/>
        <v>0</v>
      </c>
      <c r="O103" s="54">
        <f t="shared" si="525"/>
        <v>0</v>
      </c>
      <c r="P103" s="58">
        <f t="shared" si="526"/>
        <v>0</v>
      </c>
      <c r="Q103" s="56">
        <f t="shared" si="527"/>
        <v>0</v>
      </c>
      <c r="R103" s="58">
        <f t="shared" si="528"/>
        <v>0</v>
      </c>
      <c r="S103" s="54">
        <f t="shared" si="529"/>
        <v>0</v>
      </c>
      <c r="T103" s="58">
        <f t="shared" si="530"/>
        <v>0</v>
      </c>
      <c r="U103" s="56">
        <f t="shared" si="531"/>
        <v>0</v>
      </c>
      <c r="V103" s="58">
        <f t="shared" si="532"/>
        <v>0</v>
      </c>
      <c r="W103" s="59">
        <f t="shared" si="533"/>
        <v>0</v>
      </c>
      <c r="X103" s="58">
        <f t="shared" si="534"/>
        <v>0</v>
      </c>
      <c r="Y103" s="56">
        <f t="shared" si="535"/>
        <v>0</v>
      </c>
      <c r="Z103" s="58">
        <f t="shared" si="536"/>
        <v>0</v>
      </c>
      <c r="AA103" s="54">
        <f t="shared" si="537"/>
        <v>0</v>
      </c>
      <c r="AB103" s="58">
        <f t="shared" si="538"/>
        <v>0</v>
      </c>
      <c r="AC103" s="59">
        <f t="shared" si="539"/>
        <v>0</v>
      </c>
      <c r="AD103" s="58">
        <f t="shared" si="540"/>
        <v>0</v>
      </c>
      <c r="AE103" s="59">
        <f t="shared" si="541"/>
        <v>0</v>
      </c>
      <c r="AF103" s="58">
        <f t="shared" si="542"/>
        <v>0</v>
      </c>
      <c r="AG103" s="59">
        <f t="shared" si="543"/>
        <v>0</v>
      </c>
      <c r="AH103" s="58">
        <f t="shared" si="544"/>
        <v>0</v>
      </c>
      <c r="AI103" s="54">
        <f t="shared" si="545"/>
        <v>0</v>
      </c>
      <c r="AJ103" s="58">
        <f t="shared" si="546"/>
        <v>0</v>
      </c>
      <c r="AK103" s="59">
        <f t="shared" si="547"/>
        <v>0</v>
      </c>
      <c r="AL103" s="58">
        <f t="shared" si="548"/>
        <v>0</v>
      </c>
      <c r="AM103" s="59">
        <f t="shared" si="549"/>
        <v>0</v>
      </c>
      <c r="AN103" s="58">
        <f t="shared" si="550"/>
        <v>0</v>
      </c>
      <c r="AO103" s="59">
        <f t="shared" si="551"/>
        <v>0</v>
      </c>
      <c r="AP103" s="58">
        <f t="shared" si="552"/>
        <v>0</v>
      </c>
      <c r="AQ103" s="59">
        <f t="shared" si="553"/>
        <v>0</v>
      </c>
      <c r="AR103" s="58">
        <f t="shared" si="554"/>
        <v>0</v>
      </c>
      <c r="AS103" s="54">
        <f t="shared" si="555"/>
        <v>0</v>
      </c>
      <c r="AT103" s="58">
        <f t="shared" si="556"/>
        <v>0</v>
      </c>
      <c r="AU103" s="59">
        <f t="shared" si="557"/>
        <v>0</v>
      </c>
      <c r="AV103" s="58">
        <f t="shared" si="558"/>
        <v>0</v>
      </c>
      <c r="AW103" s="59">
        <f t="shared" si="559"/>
        <v>0</v>
      </c>
      <c r="AX103" s="58">
        <f t="shared" si="560"/>
        <v>0</v>
      </c>
      <c r="AY103" s="54">
        <f t="shared" si="561"/>
        <v>0</v>
      </c>
      <c r="AZ103" s="58">
        <f t="shared" si="562"/>
        <v>0</v>
      </c>
      <c r="BC103" s="54">
        <v>1</v>
      </c>
      <c r="BD103" s="54">
        <v>0.97</v>
      </c>
      <c r="BE103" s="54">
        <v>0.95</v>
      </c>
      <c r="BF103" s="54">
        <v>0.93</v>
      </c>
      <c r="BG103" s="54">
        <f t="shared" si="563"/>
        <v>0.91</v>
      </c>
      <c r="BH103" s="54">
        <f t="shared" si="563"/>
        <v>0.89</v>
      </c>
      <c r="BI103" s="54">
        <f t="shared" si="563"/>
        <v>0.87</v>
      </c>
      <c r="BJ103" s="54">
        <f t="shared" si="563"/>
        <v>0.85</v>
      </c>
      <c r="BK103" s="54">
        <f t="shared" si="563"/>
        <v>0.83</v>
      </c>
      <c r="BL103" s="54">
        <f t="shared" si="563"/>
        <v>0.80999999999999994</v>
      </c>
      <c r="BM103" s="54">
        <f t="shared" si="563"/>
        <v>0.78999999999999992</v>
      </c>
      <c r="BN103" s="54">
        <f t="shared" si="563"/>
        <v>0.76999999999999991</v>
      </c>
      <c r="BO103" s="54">
        <f t="shared" si="563"/>
        <v>0.74999999999999989</v>
      </c>
      <c r="BP103" s="54">
        <f t="shared" si="563"/>
        <v>0.72999999999999987</v>
      </c>
      <c r="BQ103" s="54">
        <f t="shared" si="563"/>
        <v>0.70999999999999985</v>
      </c>
      <c r="BR103" s="54">
        <f t="shared" si="563"/>
        <v>0.68999999999999984</v>
      </c>
      <c r="BS103" s="54">
        <f t="shared" si="563"/>
        <v>0.66999999999999982</v>
      </c>
      <c r="BT103" s="54">
        <f t="shared" si="563"/>
        <v>0.6499999999999998</v>
      </c>
      <c r="BU103" s="54">
        <f t="shared" si="563"/>
        <v>0.62999999999999978</v>
      </c>
      <c r="BV103" s="54">
        <f t="shared" si="563"/>
        <v>0.60999999999999976</v>
      </c>
      <c r="BW103" s="54">
        <f t="shared" si="563"/>
        <v>0.58999999999999975</v>
      </c>
      <c r="BX103" s="54">
        <f t="shared" si="563"/>
        <v>0.56999999999999973</v>
      </c>
      <c r="BZ103" s="54">
        <f t="shared" si="513"/>
        <v>0</v>
      </c>
      <c r="CA103" s="54">
        <f t="shared" si="514"/>
        <v>0</v>
      </c>
      <c r="CB103" s="58">
        <f t="shared" si="564"/>
        <v>0</v>
      </c>
      <c r="CC103" s="54">
        <f t="shared" si="565"/>
        <v>0</v>
      </c>
      <c r="CD103" s="58">
        <f t="shared" si="566"/>
        <v>0</v>
      </c>
      <c r="CE103" s="54">
        <f t="shared" si="567"/>
        <v>0</v>
      </c>
      <c r="CF103" s="58">
        <f t="shared" si="568"/>
        <v>0</v>
      </c>
      <c r="CG103" s="54">
        <f t="shared" si="569"/>
        <v>0</v>
      </c>
      <c r="CH103" s="58">
        <f t="shared" si="570"/>
        <v>0</v>
      </c>
      <c r="CI103" s="56">
        <f t="shared" si="571"/>
        <v>0</v>
      </c>
      <c r="CJ103" s="58">
        <f t="shared" si="572"/>
        <v>0</v>
      </c>
      <c r="CK103" s="54">
        <f t="shared" si="573"/>
        <v>0</v>
      </c>
      <c r="CL103" s="58">
        <f t="shared" si="574"/>
        <v>0</v>
      </c>
      <c r="CM103" s="56">
        <f t="shared" si="575"/>
        <v>0</v>
      </c>
      <c r="CN103" s="58">
        <f t="shared" si="576"/>
        <v>0</v>
      </c>
      <c r="CO103" s="59">
        <f t="shared" si="577"/>
        <v>0</v>
      </c>
      <c r="CP103" s="58">
        <f t="shared" si="578"/>
        <v>0</v>
      </c>
      <c r="CQ103" s="56">
        <f t="shared" si="579"/>
        <v>0</v>
      </c>
      <c r="CR103" s="58">
        <f t="shared" si="580"/>
        <v>0</v>
      </c>
      <c r="CS103" s="54">
        <f t="shared" si="581"/>
        <v>0</v>
      </c>
      <c r="CT103" s="58">
        <f t="shared" si="582"/>
        <v>0</v>
      </c>
      <c r="CU103" s="59">
        <f t="shared" si="583"/>
        <v>0</v>
      </c>
      <c r="CV103" s="58">
        <f t="shared" si="584"/>
        <v>0</v>
      </c>
      <c r="CW103" s="59">
        <f t="shared" si="585"/>
        <v>0</v>
      </c>
      <c r="CX103" s="58">
        <f t="shared" si="586"/>
        <v>0</v>
      </c>
      <c r="CY103" s="59">
        <f t="shared" si="587"/>
        <v>0</v>
      </c>
      <c r="CZ103" s="58">
        <f t="shared" si="588"/>
        <v>0</v>
      </c>
      <c r="DA103" s="54">
        <f t="shared" si="589"/>
        <v>0</v>
      </c>
      <c r="DB103" s="58">
        <f t="shared" si="590"/>
        <v>0</v>
      </c>
      <c r="DC103" s="59">
        <f t="shared" si="591"/>
        <v>0</v>
      </c>
      <c r="DD103" s="58">
        <f t="shared" si="592"/>
        <v>0</v>
      </c>
      <c r="DE103" s="59">
        <f t="shared" si="593"/>
        <v>0</v>
      </c>
      <c r="DF103" s="58">
        <f t="shared" si="594"/>
        <v>0</v>
      </c>
      <c r="DG103" s="59">
        <f t="shared" si="595"/>
        <v>0</v>
      </c>
      <c r="DH103" s="58">
        <f t="shared" si="596"/>
        <v>0</v>
      </c>
      <c r="DI103" s="59">
        <f t="shared" si="597"/>
        <v>0</v>
      </c>
      <c r="DJ103" s="58">
        <f t="shared" si="598"/>
        <v>0</v>
      </c>
      <c r="DK103" s="54">
        <f t="shared" si="599"/>
        <v>0</v>
      </c>
      <c r="DL103" s="58">
        <f t="shared" si="600"/>
        <v>0</v>
      </c>
      <c r="DM103" s="59">
        <f t="shared" si="601"/>
        <v>0</v>
      </c>
      <c r="DN103" s="58">
        <f t="shared" si="602"/>
        <v>0</v>
      </c>
      <c r="DO103" s="59">
        <f t="shared" si="603"/>
        <v>0</v>
      </c>
      <c r="DP103" s="58">
        <f t="shared" si="604"/>
        <v>0</v>
      </c>
      <c r="DQ103" s="54">
        <f t="shared" si="605"/>
        <v>0</v>
      </c>
      <c r="DR103" s="58">
        <f t="shared" si="606"/>
        <v>0</v>
      </c>
      <c r="DU103" s="54">
        <v>1</v>
      </c>
      <c r="DV103" s="54">
        <v>0.97</v>
      </c>
      <c r="DW103" s="54">
        <v>0.95</v>
      </c>
      <c r="DX103" s="54">
        <v>0.93</v>
      </c>
      <c r="DY103" s="54">
        <f t="shared" si="652"/>
        <v>0.91</v>
      </c>
      <c r="DZ103" s="54">
        <f t="shared" si="652"/>
        <v>0.89</v>
      </c>
      <c r="EA103" s="54">
        <f t="shared" si="652"/>
        <v>0.87</v>
      </c>
      <c r="EB103" s="54">
        <f t="shared" si="652"/>
        <v>0.85</v>
      </c>
      <c r="EC103" s="54">
        <f t="shared" si="652"/>
        <v>0.83</v>
      </c>
      <c r="ED103" s="54">
        <f t="shared" si="652"/>
        <v>0.80999999999999994</v>
      </c>
      <c r="EE103" s="54">
        <f t="shared" si="652"/>
        <v>0.78999999999999992</v>
      </c>
      <c r="EF103" s="54">
        <f t="shared" si="652"/>
        <v>0.76999999999999991</v>
      </c>
      <c r="EG103" s="54">
        <f t="shared" si="652"/>
        <v>0.74999999999999989</v>
      </c>
      <c r="EH103" s="54">
        <f t="shared" si="652"/>
        <v>0.72999999999999987</v>
      </c>
      <c r="EI103" s="54">
        <f t="shared" si="652"/>
        <v>0.70999999999999985</v>
      </c>
      <c r="EJ103" s="54">
        <f t="shared" si="652"/>
        <v>0.68999999999999984</v>
      </c>
      <c r="EK103" s="54">
        <f t="shared" si="652"/>
        <v>0.66999999999999982</v>
      </c>
      <c r="EL103" s="54">
        <f t="shared" si="652"/>
        <v>0.6499999999999998</v>
      </c>
      <c r="EM103" s="54">
        <f t="shared" si="652"/>
        <v>0.62999999999999978</v>
      </c>
      <c r="EN103" s="54">
        <f t="shared" si="652"/>
        <v>0.60999999999999976</v>
      </c>
      <c r="EO103" s="54">
        <f t="shared" si="652"/>
        <v>0.58999999999999975</v>
      </c>
      <c r="EP103" s="54">
        <f t="shared" si="652"/>
        <v>0.56999999999999973</v>
      </c>
      <c r="ER103" s="54">
        <f t="shared" si="653"/>
        <v>0</v>
      </c>
      <c r="ES103" s="54">
        <f t="shared" si="515"/>
        <v>0</v>
      </c>
      <c r="ET103" s="58">
        <f t="shared" si="607"/>
        <v>0</v>
      </c>
      <c r="EU103" s="54">
        <f t="shared" si="608"/>
        <v>0</v>
      </c>
      <c r="EV103" s="58">
        <f t="shared" si="609"/>
        <v>0</v>
      </c>
      <c r="EW103" s="54">
        <f t="shared" si="610"/>
        <v>0</v>
      </c>
      <c r="EX103" s="58">
        <f t="shared" si="611"/>
        <v>0</v>
      </c>
      <c r="EY103" s="54">
        <f t="shared" si="612"/>
        <v>0</v>
      </c>
      <c r="EZ103" s="58">
        <f t="shared" si="613"/>
        <v>0</v>
      </c>
      <c r="FA103" s="56">
        <f t="shared" si="614"/>
        <v>0</v>
      </c>
      <c r="FB103" s="58">
        <f t="shared" si="615"/>
        <v>0</v>
      </c>
      <c r="FC103" s="54">
        <f t="shared" si="616"/>
        <v>0</v>
      </c>
      <c r="FD103" s="58">
        <f t="shared" si="617"/>
        <v>0</v>
      </c>
      <c r="FE103" s="56">
        <f t="shared" si="618"/>
        <v>0</v>
      </c>
      <c r="FF103" s="58">
        <f t="shared" si="619"/>
        <v>0</v>
      </c>
      <c r="FG103" s="59">
        <f t="shared" si="620"/>
        <v>0</v>
      </c>
      <c r="FH103" s="58">
        <f t="shared" si="621"/>
        <v>0</v>
      </c>
      <c r="FI103" s="56">
        <f t="shared" si="622"/>
        <v>0</v>
      </c>
      <c r="FJ103" s="58">
        <f t="shared" si="623"/>
        <v>0</v>
      </c>
      <c r="FK103" s="54">
        <f t="shared" si="624"/>
        <v>0</v>
      </c>
      <c r="FL103" s="58">
        <f t="shared" si="625"/>
        <v>0</v>
      </c>
      <c r="FM103" s="59">
        <f t="shared" si="626"/>
        <v>0</v>
      </c>
      <c r="FN103" s="58">
        <f t="shared" si="627"/>
        <v>0</v>
      </c>
      <c r="FO103" s="59">
        <f t="shared" si="628"/>
        <v>0</v>
      </c>
      <c r="FP103" s="58">
        <f t="shared" si="629"/>
        <v>0</v>
      </c>
      <c r="FQ103" s="59">
        <f t="shared" si="630"/>
        <v>0</v>
      </c>
      <c r="FR103" s="58">
        <f t="shared" si="631"/>
        <v>0</v>
      </c>
      <c r="FS103" s="54">
        <f t="shared" si="632"/>
        <v>0</v>
      </c>
      <c r="FT103" s="58">
        <f t="shared" si="633"/>
        <v>0</v>
      </c>
      <c r="FU103" s="59">
        <f t="shared" si="634"/>
        <v>0</v>
      </c>
      <c r="FV103" s="58">
        <f t="shared" si="635"/>
        <v>0</v>
      </c>
      <c r="FW103" s="59">
        <f t="shared" si="636"/>
        <v>0</v>
      </c>
      <c r="FX103" s="58">
        <f t="shared" si="637"/>
        <v>0</v>
      </c>
      <c r="FY103" s="59">
        <f t="shared" si="638"/>
        <v>0</v>
      </c>
      <c r="FZ103" s="58">
        <f t="shared" si="639"/>
        <v>0</v>
      </c>
      <c r="GA103" s="59">
        <f t="shared" si="640"/>
        <v>0</v>
      </c>
      <c r="GB103" s="58">
        <f t="shared" si="641"/>
        <v>0</v>
      </c>
      <c r="GC103" s="54">
        <f t="shared" si="642"/>
        <v>0</v>
      </c>
      <c r="GD103" s="58">
        <f t="shared" si="643"/>
        <v>0</v>
      </c>
      <c r="GE103" s="59">
        <f t="shared" si="644"/>
        <v>0</v>
      </c>
      <c r="GF103" s="58">
        <f t="shared" si="645"/>
        <v>0</v>
      </c>
      <c r="GG103" s="59">
        <f t="shared" si="646"/>
        <v>0</v>
      </c>
      <c r="GH103" s="58">
        <f t="shared" si="647"/>
        <v>0</v>
      </c>
      <c r="GI103" s="54">
        <f t="shared" si="648"/>
        <v>0</v>
      </c>
      <c r="GJ103" s="58">
        <f t="shared" si="649"/>
        <v>0</v>
      </c>
      <c r="GK103" s="54"/>
      <c r="GL103" s="54"/>
      <c r="GM103" s="54">
        <v>1</v>
      </c>
      <c r="GN103" s="54">
        <v>0.97</v>
      </c>
      <c r="GO103" s="54">
        <v>0.95</v>
      </c>
      <c r="GP103" s="54">
        <v>0.93</v>
      </c>
      <c r="GQ103" s="54">
        <f t="shared" si="654"/>
        <v>0.91</v>
      </c>
      <c r="GR103" s="54">
        <f t="shared" si="654"/>
        <v>0.89</v>
      </c>
      <c r="GS103" s="54">
        <f t="shared" si="654"/>
        <v>0.87</v>
      </c>
      <c r="GT103" s="54">
        <f t="shared" si="654"/>
        <v>0.85</v>
      </c>
      <c r="GU103" s="54">
        <f t="shared" si="654"/>
        <v>0.83</v>
      </c>
      <c r="GV103" s="54">
        <f t="shared" si="654"/>
        <v>0.80999999999999994</v>
      </c>
      <c r="GW103" s="54">
        <f t="shared" si="654"/>
        <v>0.78999999999999992</v>
      </c>
      <c r="GX103" s="54">
        <f t="shared" si="654"/>
        <v>0.76999999999999991</v>
      </c>
      <c r="GY103" s="54">
        <f t="shared" si="654"/>
        <v>0.74999999999999989</v>
      </c>
      <c r="GZ103" s="54">
        <f t="shared" si="654"/>
        <v>0.72999999999999987</v>
      </c>
      <c r="HA103" s="54">
        <f t="shared" si="654"/>
        <v>0.70999999999999985</v>
      </c>
      <c r="HB103" s="54">
        <f t="shared" si="654"/>
        <v>0.68999999999999984</v>
      </c>
      <c r="HC103" s="54">
        <f t="shared" si="654"/>
        <v>0.66999999999999982</v>
      </c>
      <c r="HD103" s="54">
        <f t="shared" si="654"/>
        <v>0.6499999999999998</v>
      </c>
      <c r="HE103" s="54">
        <f t="shared" si="654"/>
        <v>0.62999999999999978</v>
      </c>
      <c r="HF103" s="54">
        <f t="shared" si="654"/>
        <v>0.60999999999999976</v>
      </c>
      <c r="HG103" s="54">
        <f t="shared" si="654"/>
        <v>0.58999999999999975</v>
      </c>
      <c r="HH103" s="54">
        <f t="shared" si="654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2">
        <f t="shared" si="520"/>
        <v>0</v>
      </c>
      <c r="H104" s="54">
        <f t="shared" si="510"/>
        <v>0</v>
      </c>
      <c r="I104" s="54">
        <f t="shared" si="511"/>
        <v>0</v>
      </c>
      <c r="J104" s="58">
        <f t="shared" si="512"/>
        <v>0</v>
      </c>
      <c r="K104" s="54">
        <f t="shared" si="521"/>
        <v>0</v>
      </c>
      <c r="L104" s="58">
        <f t="shared" si="522"/>
        <v>0</v>
      </c>
      <c r="M104" s="54">
        <f t="shared" si="523"/>
        <v>0</v>
      </c>
      <c r="N104" s="58">
        <f t="shared" si="524"/>
        <v>0</v>
      </c>
      <c r="O104" s="54">
        <f t="shared" si="525"/>
        <v>0</v>
      </c>
      <c r="P104" s="58">
        <f t="shared" si="526"/>
        <v>0</v>
      </c>
      <c r="Q104" s="56">
        <f t="shared" si="527"/>
        <v>0</v>
      </c>
      <c r="R104" s="58">
        <f t="shared" si="528"/>
        <v>0</v>
      </c>
      <c r="S104" s="54">
        <f t="shared" si="529"/>
        <v>0</v>
      </c>
      <c r="T104" s="58">
        <f t="shared" si="530"/>
        <v>0</v>
      </c>
      <c r="U104" s="56">
        <f t="shared" si="531"/>
        <v>0</v>
      </c>
      <c r="V104" s="58">
        <f t="shared" si="532"/>
        <v>0</v>
      </c>
      <c r="W104" s="59">
        <f t="shared" si="533"/>
        <v>0</v>
      </c>
      <c r="X104" s="58">
        <f t="shared" si="534"/>
        <v>0</v>
      </c>
      <c r="Y104" s="56">
        <f t="shared" si="535"/>
        <v>0</v>
      </c>
      <c r="Z104" s="58">
        <f t="shared" si="536"/>
        <v>0</v>
      </c>
      <c r="AA104" s="54">
        <f t="shared" si="537"/>
        <v>0</v>
      </c>
      <c r="AB104" s="58">
        <f t="shared" si="538"/>
        <v>0</v>
      </c>
      <c r="AC104" s="59">
        <f t="shared" si="539"/>
        <v>0</v>
      </c>
      <c r="AD104" s="58">
        <f t="shared" si="540"/>
        <v>0</v>
      </c>
      <c r="AE104" s="59">
        <f t="shared" si="541"/>
        <v>0</v>
      </c>
      <c r="AF104" s="58">
        <f t="shared" si="542"/>
        <v>0</v>
      </c>
      <c r="AG104" s="59">
        <f t="shared" si="543"/>
        <v>0</v>
      </c>
      <c r="AH104" s="58">
        <f t="shared" si="544"/>
        <v>0</v>
      </c>
      <c r="AI104" s="54">
        <f t="shared" si="545"/>
        <v>0</v>
      </c>
      <c r="AJ104" s="58">
        <f t="shared" si="546"/>
        <v>0</v>
      </c>
      <c r="AK104" s="59">
        <f t="shared" si="547"/>
        <v>0</v>
      </c>
      <c r="AL104" s="58">
        <f t="shared" si="548"/>
        <v>0</v>
      </c>
      <c r="AM104" s="59">
        <f t="shared" si="549"/>
        <v>0</v>
      </c>
      <c r="AN104" s="58">
        <f t="shared" si="550"/>
        <v>0</v>
      </c>
      <c r="AO104" s="59">
        <f t="shared" si="551"/>
        <v>0</v>
      </c>
      <c r="AP104" s="58">
        <f t="shared" si="552"/>
        <v>0</v>
      </c>
      <c r="AQ104" s="59">
        <f t="shared" si="553"/>
        <v>0</v>
      </c>
      <c r="AR104" s="58">
        <f t="shared" si="554"/>
        <v>0</v>
      </c>
      <c r="AS104" s="54">
        <f t="shared" si="555"/>
        <v>0</v>
      </c>
      <c r="AT104" s="58">
        <f t="shared" si="556"/>
        <v>0</v>
      </c>
      <c r="AU104" s="59">
        <f t="shared" si="557"/>
        <v>0</v>
      </c>
      <c r="AV104" s="58">
        <f t="shared" si="558"/>
        <v>0</v>
      </c>
      <c r="AW104" s="59">
        <f t="shared" si="559"/>
        <v>0</v>
      </c>
      <c r="AX104" s="58">
        <f t="shared" si="560"/>
        <v>0</v>
      </c>
      <c r="AY104" s="54">
        <f t="shared" si="561"/>
        <v>0</v>
      </c>
      <c r="AZ104" s="58">
        <f t="shared" si="562"/>
        <v>0</v>
      </c>
      <c r="BC104" s="54">
        <v>1</v>
      </c>
      <c r="BD104" s="54">
        <v>0.97</v>
      </c>
      <c r="BE104" s="54">
        <v>0.95</v>
      </c>
      <c r="BF104" s="54">
        <v>0.93</v>
      </c>
      <c r="BG104" s="54">
        <f t="shared" si="563"/>
        <v>0.91</v>
      </c>
      <c r="BH104" s="54">
        <f t="shared" si="563"/>
        <v>0.89</v>
      </c>
      <c r="BI104" s="54">
        <f t="shared" si="563"/>
        <v>0.87</v>
      </c>
      <c r="BJ104" s="54">
        <f t="shared" si="563"/>
        <v>0.85</v>
      </c>
      <c r="BK104" s="54">
        <f t="shared" si="563"/>
        <v>0.83</v>
      </c>
      <c r="BL104" s="54">
        <f t="shared" si="563"/>
        <v>0.80999999999999994</v>
      </c>
      <c r="BM104" s="54">
        <f t="shared" si="563"/>
        <v>0.78999999999999992</v>
      </c>
      <c r="BN104" s="54">
        <f t="shared" si="563"/>
        <v>0.76999999999999991</v>
      </c>
      <c r="BO104" s="54">
        <f t="shared" si="563"/>
        <v>0.74999999999999989</v>
      </c>
      <c r="BP104" s="54">
        <f t="shared" si="563"/>
        <v>0.72999999999999987</v>
      </c>
      <c r="BQ104" s="54">
        <f t="shared" si="563"/>
        <v>0.70999999999999985</v>
      </c>
      <c r="BR104" s="54">
        <f t="shared" si="563"/>
        <v>0.68999999999999984</v>
      </c>
      <c r="BS104" s="54">
        <f t="shared" si="563"/>
        <v>0.66999999999999982</v>
      </c>
      <c r="BT104" s="54">
        <f t="shared" si="563"/>
        <v>0.6499999999999998</v>
      </c>
      <c r="BU104" s="54">
        <f t="shared" si="563"/>
        <v>0.62999999999999978</v>
      </c>
      <c r="BV104" s="54">
        <f t="shared" si="563"/>
        <v>0.60999999999999976</v>
      </c>
      <c r="BW104" s="54">
        <f t="shared" si="563"/>
        <v>0.58999999999999975</v>
      </c>
      <c r="BX104" s="54">
        <f t="shared" si="563"/>
        <v>0.56999999999999973</v>
      </c>
      <c r="BZ104" s="54">
        <f t="shared" si="513"/>
        <v>0</v>
      </c>
      <c r="CA104" s="54">
        <f t="shared" si="514"/>
        <v>0</v>
      </c>
      <c r="CB104" s="58">
        <f t="shared" si="564"/>
        <v>0</v>
      </c>
      <c r="CC104" s="54">
        <f t="shared" si="565"/>
        <v>0</v>
      </c>
      <c r="CD104" s="58">
        <f t="shared" si="566"/>
        <v>0</v>
      </c>
      <c r="CE104" s="54">
        <f t="shared" si="567"/>
        <v>0</v>
      </c>
      <c r="CF104" s="58">
        <f t="shared" si="568"/>
        <v>0</v>
      </c>
      <c r="CG104" s="54">
        <f t="shared" si="569"/>
        <v>0</v>
      </c>
      <c r="CH104" s="58">
        <f t="shared" si="570"/>
        <v>0</v>
      </c>
      <c r="CI104" s="56">
        <f t="shared" si="571"/>
        <v>0</v>
      </c>
      <c r="CJ104" s="58">
        <f t="shared" si="572"/>
        <v>0</v>
      </c>
      <c r="CK104" s="54">
        <f t="shared" si="573"/>
        <v>0</v>
      </c>
      <c r="CL104" s="58">
        <f t="shared" si="574"/>
        <v>0</v>
      </c>
      <c r="CM104" s="56">
        <f t="shared" si="575"/>
        <v>0</v>
      </c>
      <c r="CN104" s="58">
        <f t="shared" si="576"/>
        <v>0</v>
      </c>
      <c r="CO104" s="59">
        <f t="shared" si="577"/>
        <v>0</v>
      </c>
      <c r="CP104" s="58">
        <f t="shared" si="578"/>
        <v>0</v>
      </c>
      <c r="CQ104" s="56">
        <f t="shared" si="579"/>
        <v>0</v>
      </c>
      <c r="CR104" s="58">
        <f t="shared" si="580"/>
        <v>0</v>
      </c>
      <c r="CS104" s="54">
        <f t="shared" si="581"/>
        <v>0</v>
      </c>
      <c r="CT104" s="58">
        <f t="shared" si="582"/>
        <v>0</v>
      </c>
      <c r="CU104" s="59">
        <f t="shared" si="583"/>
        <v>0</v>
      </c>
      <c r="CV104" s="58">
        <f t="shared" si="584"/>
        <v>0</v>
      </c>
      <c r="CW104" s="59">
        <f t="shared" si="585"/>
        <v>0</v>
      </c>
      <c r="CX104" s="58">
        <f t="shared" si="586"/>
        <v>0</v>
      </c>
      <c r="CY104" s="59">
        <f t="shared" si="587"/>
        <v>0</v>
      </c>
      <c r="CZ104" s="58">
        <f t="shared" si="588"/>
        <v>0</v>
      </c>
      <c r="DA104" s="54">
        <f t="shared" si="589"/>
        <v>0</v>
      </c>
      <c r="DB104" s="58">
        <f t="shared" si="590"/>
        <v>0</v>
      </c>
      <c r="DC104" s="59">
        <f t="shared" si="591"/>
        <v>0</v>
      </c>
      <c r="DD104" s="58">
        <f t="shared" si="592"/>
        <v>0</v>
      </c>
      <c r="DE104" s="59">
        <f t="shared" si="593"/>
        <v>0</v>
      </c>
      <c r="DF104" s="58">
        <f t="shared" si="594"/>
        <v>0</v>
      </c>
      <c r="DG104" s="59">
        <f t="shared" si="595"/>
        <v>0</v>
      </c>
      <c r="DH104" s="58">
        <f t="shared" si="596"/>
        <v>0</v>
      </c>
      <c r="DI104" s="59">
        <f t="shared" si="597"/>
        <v>0</v>
      </c>
      <c r="DJ104" s="58">
        <f t="shared" si="598"/>
        <v>0</v>
      </c>
      <c r="DK104" s="54">
        <f t="shared" si="599"/>
        <v>0</v>
      </c>
      <c r="DL104" s="58">
        <f t="shared" si="600"/>
        <v>0</v>
      </c>
      <c r="DM104" s="59">
        <f t="shared" si="601"/>
        <v>0</v>
      </c>
      <c r="DN104" s="58">
        <f t="shared" si="602"/>
        <v>0</v>
      </c>
      <c r="DO104" s="59">
        <f t="shared" si="603"/>
        <v>0</v>
      </c>
      <c r="DP104" s="58">
        <f t="shared" si="604"/>
        <v>0</v>
      </c>
      <c r="DQ104" s="54">
        <f t="shared" si="605"/>
        <v>0</v>
      </c>
      <c r="DR104" s="58">
        <f t="shared" si="606"/>
        <v>0</v>
      </c>
      <c r="DU104" s="54">
        <v>1</v>
      </c>
      <c r="DV104" s="54">
        <v>0.97</v>
      </c>
      <c r="DW104" s="54">
        <v>0.95</v>
      </c>
      <c r="DX104" s="54">
        <v>0.93</v>
      </c>
      <c r="DY104" s="54">
        <f t="shared" si="652"/>
        <v>0.91</v>
      </c>
      <c r="DZ104" s="54">
        <f t="shared" si="652"/>
        <v>0.89</v>
      </c>
      <c r="EA104" s="54">
        <f t="shared" si="652"/>
        <v>0.87</v>
      </c>
      <c r="EB104" s="54">
        <f t="shared" si="652"/>
        <v>0.85</v>
      </c>
      <c r="EC104" s="54">
        <f t="shared" si="652"/>
        <v>0.83</v>
      </c>
      <c r="ED104" s="54">
        <f t="shared" si="652"/>
        <v>0.80999999999999994</v>
      </c>
      <c r="EE104" s="54">
        <f t="shared" si="652"/>
        <v>0.78999999999999992</v>
      </c>
      <c r="EF104" s="54">
        <f t="shared" si="652"/>
        <v>0.76999999999999991</v>
      </c>
      <c r="EG104" s="54">
        <f t="shared" si="652"/>
        <v>0.74999999999999989</v>
      </c>
      <c r="EH104" s="54">
        <f t="shared" si="652"/>
        <v>0.72999999999999987</v>
      </c>
      <c r="EI104" s="54">
        <f t="shared" si="652"/>
        <v>0.70999999999999985</v>
      </c>
      <c r="EJ104" s="54">
        <f t="shared" si="652"/>
        <v>0.68999999999999984</v>
      </c>
      <c r="EK104" s="54">
        <f t="shared" si="652"/>
        <v>0.66999999999999982</v>
      </c>
      <c r="EL104" s="54">
        <f t="shared" si="652"/>
        <v>0.6499999999999998</v>
      </c>
      <c r="EM104" s="54">
        <f t="shared" si="652"/>
        <v>0.62999999999999978</v>
      </c>
      <c r="EN104" s="54">
        <f t="shared" si="652"/>
        <v>0.60999999999999976</v>
      </c>
      <c r="EO104" s="54">
        <f t="shared" si="652"/>
        <v>0.58999999999999975</v>
      </c>
      <c r="EP104" s="54">
        <f t="shared" si="652"/>
        <v>0.56999999999999973</v>
      </c>
      <c r="ER104" s="54">
        <f t="shared" si="653"/>
        <v>0</v>
      </c>
      <c r="ES104" s="54">
        <f t="shared" si="515"/>
        <v>0</v>
      </c>
      <c r="ET104" s="58">
        <f t="shared" si="607"/>
        <v>0</v>
      </c>
      <c r="EU104" s="54">
        <f t="shared" si="608"/>
        <v>0</v>
      </c>
      <c r="EV104" s="58">
        <f t="shared" si="609"/>
        <v>0</v>
      </c>
      <c r="EW104" s="54">
        <f t="shared" si="610"/>
        <v>0</v>
      </c>
      <c r="EX104" s="58">
        <f t="shared" si="611"/>
        <v>0</v>
      </c>
      <c r="EY104" s="54">
        <f t="shared" si="612"/>
        <v>0</v>
      </c>
      <c r="EZ104" s="58">
        <f t="shared" si="613"/>
        <v>0</v>
      </c>
      <c r="FA104" s="56">
        <f t="shared" si="614"/>
        <v>0</v>
      </c>
      <c r="FB104" s="58">
        <f t="shared" si="615"/>
        <v>0</v>
      </c>
      <c r="FC104" s="54">
        <f t="shared" si="616"/>
        <v>0</v>
      </c>
      <c r="FD104" s="58">
        <f t="shared" si="617"/>
        <v>0</v>
      </c>
      <c r="FE104" s="56">
        <f t="shared" si="618"/>
        <v>0</v>
      </c>
      <c r="FF104" s="58">
        <f t="shared" si="619"/>
        <v>0</v>
      </c>
      <c r="FG104" s="59">
        <f t="shared" si="620"/>
        <v>0</v>
      </c>
      <c r="FH104" s="58">
        <f t="shared" si="621"/>
        <v>0</v>
      </c>
      <c r="FI104" s="56">
        <f t="shared" si="622"/>
        <v>0</v>
      </c>
      <c r="FJ104" s="58">
        <f t="shared" si="623"/>
        <v>0</v>
      </c>
      <c r="FK104" s="54">
        <f t="shared" si="624"/>
        <v>0</v>
      </c>
      <c r="FL104" s="58">
        <f t="shared" si="625"/>
        <v>0</v>
      </c>
      <c r="FM104" s="59">
        <f t="shared" si="626"/>
        <v>0</v>
      </c>
      <c r="FN104" s="58">
        <f t="shared" si="627"/>
        <v>0</v>
      </c>
      <c r="FO104" s="59">
        <f t="shared" si="628"/>
        <v>0</v>
      </c>
      <c r="FP104" s="58">
        <f t="shared" si="629"/>
        <v>0</v>
      </c>
      <c r="FQ104" s="59">
        <f t="shared" si="630"/>
        <v>0</v>
      </c>
      <c r="FR104" s="58">
        <f t="shared" si="631"/>
        <v>0</v>
      </c>
      <c r="FS104" s="54">
        <f t="shared" si="632"/>
        <v>0</v>
      </c>
      <c r="FT104" s="58">
        <f t="shared" si="633"/>
        <v>0</v>
      </c>
      <c r="FU104" s="59">
        <f t="shared" si="634"/>
        <v>0</v>
      </c>
      <c r="FV104" s="58">
        <f t="shared" si="635"/>
        <v>0</v>
      </c>
      <c r="FW104" s="59">
        <f t="shared" si="636"/>
        <v>0</v>
      </c>
      <c r="FX104" s="58">
        <f t="shared" si="637"/>
        <v>0</v>
      </c>
      <c r="FY104" s="59">
        <f t="shared" si="638"/>
        <v>0</v>
      </c>
      <c r="FZ104" s="58">
        <f t="shared" si="639"/>
        <v>0</v>
      </c>
      <c r="GA104" s="59">
        <f t="shared" si="640"/>
        <v>0</v>
      </c>
      <c r="GB104" s="58">
        <f t="shared" si="641"/>
        <v>0</v>
      </c>
      <c r="GC104" s="54">
        <f t="shared" si="642"/>
        <v>0</v>
      </c>
      <c r="GD104" s="58">
        <f t="shared" si="643"/>
        <v>0</v>
      </c>
      <c r="GE104" s="59">
        <f t="shared" si="644"/>
        <v>0</v>
      </c>
      <c r="GF104" s="58">
        <f t="shared" si="645"/>
        <v>0</v>
      </c>
      <c r="GG104" s="59">
        <f t="shared" si="646"/>
        <v>0</v>
      </c>
      <c r="GH104" s="58">
        <f t="shared" si="647"/>
        <v>0</v>
      </c>
      <c r="GI104" s="54">
        <f t="shared" si="648"/>
        <v>0</v>
      </c>
      <c r="GJ104" s="58">
        <f t="shared" si="649"/>
        <v>0</v>
      </c>
      <c r="GK104" s="54"/>
      <c r="GL104" s="54"/>
      <c r="GM104" s="54">
        <v>1</v>
      </c>
      <c r="GN104" s="54">
        <v>0.97</v>
      </c>
      <c r="GO104" s="54">
        <v>0.95</v>
      </c>
      <c r="GP104" s="54">
        <v>0.93</v>
      </c>
      <c r="GQ104" s="54">
        <f t="shared" si="654"/>
        <v>0.91</v>
      </c>
      <c r="GR104" s="54">
        <f t="shared" si="654"/>
        <v>0.89</v>
      </c>
      <c r="GS104" s="54">
        <f t="shared" si="654"/>
        <v>0.87</v>
      </c>
      <c r="GT104" s="54">
        <f t="shared" si="654"/>
        <v>0.85</v>
      </c>
      <c r="GU104" s="54">
        <f t="shared" si="654"/>
        <v>0.83</v>
      </c>
      <c r="GV104" s="54">
        <f t="shared" si="654"/>
        <v>0.80999999999999994</v>
      </c>
      <c r="GW104" s="54">
        <f t="shared" si="654"/>
        <v>0.78999999999999992</v>
      </c>
      <c r="GX104" s="54">
        <f t="shared" si="654"/>
        <v>0.76999999999999991</v>
      </c>
      <c r="GY104" s="54">
        <f t="shared" si="654"/>
        <v>0.74999999999999989</v>
      </c>
      <c r="GZ104" s="54">
        <f t="shared" si="654"/>
        <v>0.72999999999999987</v>
      </c>
      <c r="HA104" s="54">
        <f t="shared" si="654"/>
        <v>0.70999999999999985</v>
      </c>
      <c r="HB104" s="54">
        <f t="shared" si="654"/>
        <v>0.68999999999999984</v>
      </c>
      <c r="HC104" s="54">
        <f t="shared" si="654"/>
        <v>0.66999999999999982</v>
      </c>
      <c r="HD104" s="54">
        <f t="shared" si="654"/>
        <v>0.6499999999999998</v>
      </c>
      <c r="HE104" s="54">
        <f t="shared" si="654"/>
        <v>0.62999999999999978</v>
      </c>
      <c r="HF104" s="54">
        <f t="shared" si="654"/>
        <v>0.60999999999999976</v>
      </c>
      <c r="HG104" s="54">
        <f t="shared" si="654"/>
        <v>0.58999999999999975</v>
      </c>
      <c r="HH104" s="54">
        <f t="shared" si="654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2">
        <f t="shared" si="520"/>
        <v>0</v>
      </c>
      <c r="H105" s="54">
        <f t="shared" si="510"/>
        <v>0</v>
      </c>
      <c r="I105" s="54">
        <f t="shared" si="511"/>
        <v>0</v>
      </c>
      <c r="J105" s="58">
        <f t="shared" si="512"/>
        <v>0</v>
      </c>
      <c r="K105" s="54">
        <f t="shared" si="521"/>
        <v>0</v>
      </c>
      <c r="L105" s="58">
        <f t="shared" si="522"/>
        <v>0</v>
      </c>
      <c r="M105" s="54">
        <f t="shared" si="523"/>
        <v>0</v>
      </c>
      <c r="N105" s="58">
        <f t="shared" si="524"/>
        <v>0</v>
      </c>
      <c r="O105" s="54">
        <f t="shared" si="525"/>
        <v>0</v>
      </c>
      <c r="P105" s="58">
        <f t="shared" si="526"/>
        <v>0</v>
      </c>
      <c r="Q105" s="56">
        <f t="shared" si="527"/>
        <v>0</v>
      </c>
      <c r="R105" s="58">
        <f t="shared" si="528"/>
        <v>0</v>
      </c>
      <c r="S105" s="54">
        <f t="shared" si="529"/>
        <v>0</v>
      </c>
      <c r="T105" s="58">
        <f t="shared" si="530"/>
        <v>0</v>
      </c>
      <c r="U105" s="56">
        <f t="shared" si="531"/>
        <v>0</v>
      </c>
      <c r="V105" s="58">
        <f t="shared" si="532"/>
        <v>0</v>
      </c>
      <c r="W105" s="59">
        <f t="shared" si="533"/>
        <v>0</v>
      </c>
      <c r="X105" s="58">
        <f t="shared" si="534"/>
        <v>0</v>
      </c>
      <c r="Y105" s="56">
        <f t="shared" si="535"/>
        <v>0</v>
      </c>
      <c r="Z105" s="58">
        <f t="shared" si="536"/>
        <v>0</v>
      </c>
      <c r="AA105" s="54">
        <f t="shared" si="537"/>
        <v>0</v>
      </c>
      <c r="AB105" s="58">
        <f t="shared" si="538"/>
        <v>0</v>
      </c>
      <c r="AC105" s="59">
        <f t="shared" si="539"/>
        <v>0</v>
      </c>
      <c r="AD105" s="58">
        <f t="shared" si="540"/>
        <v>0</v>
      </c>
      <c r="AE105" s="59">
        <f t="shared" si="541"/>
        <v>0</v>
      </c>
      <c r="AF105" s="58">
        <f t="shared" si="542"/>
        <v>0</v>
      </c>
      <c r="AG105" s="59">
        <f t="shared" si="543"/>
        <v>0</v>
      </c>
      <c r="AH105" s="58">
        <f t="shared" si="544"/>
        <v>0</v>
      </c>
      <c r="AI105" s="54">
        <f t="shared" si="545"/>
        <v>0</v>
      </c>
      <c r="AJ105" s="58">
        <f t="shared" si="546"/>
        <v>0</v>
      </c>
      <c r="AK105" s="59">
        <f t="shared" si="547"/>
        <v>0</v>
      </c>
      <c r="AL105" s="58">
        <f t="shared" si="548"/>
        <v>0</v>
      </c>
      <c r="AM105" s="59">
        <f t="shared" si="549"/>
        <v>0</v>
      </c>
      <c r="AN105" s="58">
        <f t="shared" si="550"/>
        <v>0</v>
      </c>
      <c r="AO105" s="59">
        <f t="shared" si="551"/>
        <v>0</v>
      </c>
      <c r="AP105" s="58">
        <f t="shared" si="552"/>
        <v>0</v>
      </c>
      <c r="AQ105" s="59">
        <f t="shared" si="553"/>
        <v>0</v>
      </c>
      <c r="AR105" s="58">
        <f t="shared" si="554"/>
        <v>0</v>
      </c>
      <c r="AS105" s="54">
        <f t="shared" si="555"/>
        <v>0</v>
      </c>
      <c r="AT105" s="58">
        <f t="shared" si="556"/>
        <v>0</v>
      </c>
      <c r="AU105" s="59">
        <f t="shared" si="557"/>
        <v>0</v>
      </c>
      <c r="AV105" s="58">
        <f t="shared" si="558"/>
        <v>0</v>
      </c>
      <c r="AW105" s="59">
        <f t="shared" si="559"/>
        <v>0</v>
      </c>
      <c r="AX105" s="58">
        <f t="shared" si="560"/>
        <v>0</v>
      </c>
      <c r="AY105" s="54">
        <f t="shared" si="561"/>
        <v>0</v>
      </c>
      <c r="AZ105" s="58">
        <f t="shared" si="562"/>
        <v>0</v>
      </c>
      <c r="BC105" s="54">
        <v>1</v>
      </c>
      <c r="BD105" s="54">
        <v>0.97</v>
      </c>
      <c r="BE105" s="54">
        <v>0.95</v>
      </c>
      <c r="BF105" s="54">
        <v>0.93</v>
      </c>
      <c r="BG105" s="54">
        <f t="shared" si="563"/>
        <v>0.91</v>
      </c>
      <c r="BH105" s="54">
        <f t="shared" si="563"/>
        <v>0.89</v>
      </c>
      <c r="BI105" s="54">
        <f t="shared" si="563"/>
        <v>0.87</v>
      </c>
      <c r="BJ105" s="54">
        <f t="shared" si="563"/>
        <v>0.85</v>
      </c>
      <c r="BK105" s="54">
        <f t="shared" si="563"/>
        <v>0.83</v>
      </c>
      <c r="BL105" s="54">
        <f t="shared" si="563"/>
        <v>0.80999999999999994</v>
      </c>
      <c r="BM105" s="54">
        <f t="shared" si="563"/>
        <v>0.78999999999999992</v>
      </c>
      <c r="BN105" s="54">
        <f t="shared" si="563"/>
        <v>0.76999999999999991</v>
      </c>
      <c r="BO105" s="54">
        <f t="shared" si="563"/>
        <v>0.74999999999999989</v>
      </c>
      <c r="BP105" s="54">
        <f t="shared" si="563"/>
        <v>0.72999999999999987</v>
      </c>
      <c r="BQ105" s="54">
        <f t="shared" si="563"/>
        <v>0.70999999999999985</v>
      </c>
      <c r="BR105" s="54">
        <f t="shared" si="563"/>
        <v>0.68999999999999984</v>
      </c>
      <c r="BS105" s="54">
        <f t="shared" si="563"/>
        <v>0.66999999999999982</v>
      </c>
      <c r="BT105" s="54">
        <f t="shared" si="563"/>
        <v>0.6499999999999998</v>
      </c>
      <c r="BU105" s="54">
        <f t="shared" si="563"/>
        <v>0.62999999999999978</v>
      </c>
      <c r="BV105" s="54">
        <f t="shared" si="563"/>
        <v>0.60999999999999976</v>
      </c>
      <c r="BW105" s="54">
        <f t="shared" si="563"/>
        <v>0.58999999999999975</v>
      </c>
      <c r="BX105" s="54">
        <f t="shared" si="563"/>
        <v>0.56999999999999973</v>
      </c>
      <c r="BZ105" s="54">
        <f t="shared" si="513"/>
        <v>0</v>
      </c>
      <c r="CA105" s="54">
        <f t="shared" si="514"/>
        <v>0</v>
      </c>
      <c r="CB105" s="58">
        <f t="shared" si="564"/>
        <v>0</v>
      </c>
      <c r="CC105" s="54">
        <f t="shared" si="565"/>
        <v>0</v>
      </c>
      <c r="CD105" s="58">
        <f t="shared" si="566"/>
        <v>0</v>
      </c>
      <c r="CE105" s="54">
        <f t="shared" si="567"/>
        <v>0</v>
      </c>
      <c r="CF105" s="58">
        <f t="shared" si="568"/>
        <v>0</v>
      </c>
      <c r="CG105" s="54">
        <f t="shared" si="569"/>
        <v>0</v>
      </c>
      <c r="CH105" s="58">
        <f t="shared" si="570"/>
        <v>0</v>
      </c>
      <c r="CI105" s="56">
        <f t="shared" si="571"/>
        <v>0</v>
      </c>
      <c r="CJ105" s="58">
        <f t="shared" si="572"/>
        <v>0</v>
      </c>
      <c r="CK105" s="54">
        <f t="shared" si="573"/>
        <v>0</v>
      </c>
      <c r="CL105" s="58">
        <f t="shared" si="574"/>
        <v>0</v>
      </c>
      <c r="CM105" s="56">
        <f t="shared" si="575"/>
        <v>0</v>
      </c>
      <c r="CN105" s="58">
        <f t="shared" si="576"/>
        <v>0</v>
      </c>
      <c r="CO105" s="59">
        <f t="shared" si="577"/>
        <v>0</v>
      </c>
      <c r="CP105" s="58">
        <f t="shared" si="578"/>
        <v>0</v>
      </c>
      <c r="CQ105" s="56">
        <f t="shared" si="579"/>
        <v>0</v>
      </c>
      <c r="CR105" s="58">
        <f t="shared" si="580"/>
        <v>0</v>
      </c>
      <c r="CS105" s="54">
        <f t="shared" si="581"/>
        <v>0</v>
      </c>
      <c r="CT105" s="58">
        <f t="shared" si="582"/>
        <v>0</v>
      </c>
      <c r="CU105" s="59">
        <f t="shared" si="583"/>
        <v>0</v>
      </c>
      <c r="CV105" s="58">
        <f t="shared" si="584"/>
        <v>0</v>
      </c>
      <c r="CW105" s="59">
        <f t="shared" si="585"/>
        <v>0</v>
      </c>
      <c r="CX105" s="58">
        <f t="shared" si="586"/>
        <v>0</v>
      </c>
      <c r="CY105" s="59">
        <f t="shared" si="587"/>
        <v>0</v>
      </c>
      <c r="CZ105" s="58">
        <f t="shared" si="588"/>
        <v>0</v>
      </c>
      <c r="DA105" s="54">
        <f t="shared" si="589"/>
        <v>0</v>
      </c>
      <c r="DB105" s="58">
        <f t="shared" si="590"/>
        <v>0</v>
      </c>
      <c r="DC105" s="59">
        <f t="shared" si="591"/>
        <v>0</v>
      </c>
      <c r="DD105" s="58">
        <f t="shared" si="592"/>
        <v>0</v>
      </c>
      <c r="DE105" s="59">
        <f t="shared" si="593"/>
        <v>0</v>
      </c>
      <c r="DF105" s="58">
        <f t="shared" si="594"/>
        <v>0</v>
      </c>
      <c r="DG105" s="59">
        <f t="shared" si="595"/>
        <v>0</v>
      </c>
      <c r="DH105" s="58">
        <f t="shared" si="596"/>
        <v>0</v>
      </c>
      <c r="DI105" s="59">
        <f t="shared" si="597"/>
        <v>0</v>
      </c>
      <c r="DJ105" s="58">
        <f t="shared" si="598"/>
        <v>0</v>
      </c>
      <c r="DK105" s="54">
        <f t="shared" si="599"/>
        <v>0</v>
      </c>
      <c r="DL105" s="58">
        <f t="shared" si="600"/>
        <v>0</v>
      </c>
      <c r="DM105" s="59">
        <f t="shared" si="601"/>
        <v>0</v>
      </c>
      <c r="DN105" s="58">
        <f t="shared" si="602"/>
        <v>0</v>
      </c>
      <c r="DO105" s="59">
        <f t="shared" si="603"/>
        <v>0</v>
      </c>
      <c r="DP105" s="58">
        <f t="shared" si="604"/>
        <v>0</v>
      </c>
      <c r="DQ105" s="54">
        <f t="shared" si="605"/>
        <v>0</v>
      </c>
      <c r="DR105" s="58">
        <f t="shared" si="606"/>
        <v>0</v>
      </c>
      <c r="DU105" s="54">
        <v>1</v>
      </c>
      <c r="DV105" s="54">
        <v>0.97</v>
      </c>
      <c r="DW105" s="54">
        <v>0.95</v>
      </c>
      <c r="DX105" s="54">
        <v>0.93</v>
      </c>
      <c r="DY105" s="54">
        <f t="shared" si="652"/>
        <v>0.91</v>
      </c>
      <c r="DZ105" s="54">
        <f t="shared" si="652"/>
        <v>0.89</v>
      </c>
      <c r="EA105" s="54">
        <f t="shared" si="652"/>
        <v>0.87</v>
      </c>
      <c r="EB105" s="54">
        <f t="shared" si="652"/>
        <v>0.85</v>
      </c>
      <c r="EC105" s="54">
        <f t="shared" si="652"/>
        <v>0.83</v>
      </c>
      <c r="ED105" s="54">
        <f t="shared" si="652"/>
        <v>0.80999999999999994</v>
      </c>
      <c r="EE105" s="54">
        <f t="shared" si="652"/>
        <v>0.78999999999999992</v>
      </c>
      <c r="EF105" s="54">
        <f t="shared" si="652"/>
        <v>0.76999999999999991</v>
      </c>
      <c r="EG105" s="54">
        <f t="shared" si="652"/>
        <v>0.74999999999999989</v>
      </c>
      <c r="EH105" s="54">
        <f t="shared" si="652"/>
        <v>0.72999999999999987</v>
      </c>
      <c r="EI105" s="54">
        <f t="shared" si="652"/>
        <v>0.70999999999999985</v>
      </c>
      <c r="EJ105" s="54">
        <f t="shared" si="652"/>
        <v>0.68999999999999984</v>
      </c>
      <c r="EK105" s="54">
        <f t="shared" si="652"/>
        <v>0.66999999999999982</v>
      </c>
      <c r="EL105" s="54">
        <f t="shared" si="652"/>
        <v>0.6499999999999998</v>
      </c>
      <c r="EM105" s="54">
        <f t="shared" si="652"/>
        <v>0.62999999999999978</v>
      </c>
      <c r="EN105" s="54">
        <f t="shared" si="652"/>
        <v>0.60999999999999976</v>
      </c>
      <c r="EO105" s="54">
        <f t="shared" si="652"/>
        <v>0.58999999999999975</v>
      </c>
      <c r="EP105" s="54">
        <f t="shared" si="652"/>
        <v>0.56999999999999973</v>
      </c>
      <c r="ER105" s="54">
        <f t="shared" si="653"/>
        <v>0</v>
      </c>
      <c r="ES105" s="54">
        <f t="shared" si="515"/>
        <v>0</v>
      </c>
      <c r="ET105" s="58">
        <f t="shared" si="607"/>
        <v>0</v>
      </c>
      <c r="EU105" s="54">
        <f t="shared" si="608"/>
        <v>0</v>
      </c>
      <c r="EV105" s="58">
        <f t="shared" si="609"/>
        <v>0</v>
      </c>
      <c r="EW105" s="54">
        <f t="shared" si="610"/>
        <v>0</v>
      </c>
      <c r="EX105" s="58">
        <f t="shared" si="611"/>
        <v>0</v>
      </c>
      <c r="EY105" s="54">
        <f t="shared" si="612"/>
        <v>0</v>
      </c>
      <c r="EZ105" s="58">
        <f t="shared" si="613"/>
        <v>0</v>
      </c>
      <c r="FA105" s="56">
        <f t="shared" si="614"/>
        <v>0</v>
      </c>
      <c r="FB105" s="58">
        <f t="shared" si="615"/>
        <v>0</v>
      </c>
      <c r="FC105" s="54">
        <f t="shared" si="616"/>
        <v>0</v>
      </c>
      <c r="FD105" s="58">
        <f t="shared" si="617"/>
        <v>0</v>
      </c>
      <c r="FE105" s="56">
        <f t="shared" si="618"/>
        <v>0</v>
      </c>
      <c r="FF105" s="58">
        <f t="shared" si="619"/>
        <v>0</v>
      </c>
      <c r="FG105" s="59">
        <f t="shared" si="620"/>
        <v>0</v>
      </c>
      <c r="FH105" s="58">
        <f t="shared" si="621"/>
        <v>0</v>
      </c>
      <c r="FI105" s="56">
        <f t="shared" si="622"/>
        <v>0</v>
      </c>
      <c r="FJ105" s="58">
        <f t="shared" si="623"/>
        <v>0</v>
      </c>
      <c r="FK105" s="54">
        <f t="shared" si="624"/>
        <v>0</v>
      </c>
      <c r="FL105" s="58">
        <f t="shared" si="625"/>
        <v>0</v>
      </c>
      <c r="FM105" s="59">
        <f t="shared" si="626"/>
        <v>0</v>
      </c>
      <c r="FN105" s="58">
        <f t="shared" si="627"/>
        <v>0</v>
      </c>
      <c r="FO105" s="59">
        <f t="shared" si="628"/>
        <v>0</v>
      </c>
      <c r="FP105" s="58">
        <f t="shared" si="629"/>
        <v>0</v>
      </c>
      <c r="FQ105" s="59">
        <f t="shared" si="630"/>
        <v>0</v>
      </c>
      <c r="FR105" s="58">
        <f t="shared" si="631"/>
        <v>0</v>
      </c>
      <c r="FS105" s="54">
        <f t="shared" si="632"/>
        <v>0</v>
      </c>
      <c r="FT105" s="58">
        <f t="shared" si="633"/>
        <v>0</v>
      </c>
      <c r="FU105" s="59">
        <f t="shared" si="634"/>
        <v>0</v>
      </c>
      <c r="FV105" s="58">
        <f t="shared" si="635"/>
        <v>0</v>
      </c>
      <c r="FW105" s="59">
        <f t="shared" si="636"/>
        <v>0</v>
      </c>
      <c r="FX105" s="58">
        <f t="shared" si="637"/>
        <v>0</v>
      </c>
      <c r="FY105" s="59">
        <f t="shared" si="638"/>
        <v>0</v>
      </c>
      <c r="FZ105" s="58">
        <f t="shared" si="639"/>
        <v>0</v>
      </c>
      <c r="GA105" s="59">
        <f t="shared" si="640"/>
        <v>0</v>
      </c>
      <c r="GB105" s="58">
        <f t="shared" si="641"/>
        <v>0</v>
      </c>
      <c r="GC105" s="54">
        <f t="shared" si="642"/>
        <v>0</v>
      </c>
      <c r="GD105" s="58">
        <f t="shared" si="643"/>
        <v>0</v>
      </c>
      <c r="GE105" s="59">
        <f t="shared" si="644"/>
        <v>0</v>
      </c>
      <c r="GF105" s="58">
        <f t="shared" si="645"/>
        <v>0</v>
      </c>
      <c r="GG105" s="59">
        <f t="shared" si="646"/>
        <v>0</v>
      </c>
      <c r="GH105" s="58">
        <f t="shared" si="647"/>
        <v>0</v>
      </c>
      <c r="GI105" s="54">
        <f t="shared" si="648"/>
        <v>0</v>
      </c>
      <c r="GJ105" s="58">
        <f t="shared" si="649"/>
        <v>0</v>
      </c>
      <c r="GK105" s="54"/>
      <c r="GL105" s="54"/>
      <c r="GM105" s="54">
        <v>1</v>
      </c>
      <c r="GN105" s="54">
        <v>0.97</v>
      </c>
      <c r="GO105" s="54">
        <v>0.95</v>
      </c>
      <c r="GP105" s="54">
        <v>0.93</v>
      </c>
      <c r="GQ105" s="54">
        <f t="shared" si="654"/>
        <v>0.91</v>
      </c>
      <c r="GR105" s="54">
        <f t="shared" si="654"/>
        <v>0.89</v>
      </c>
      <c r="GS105" s="54">
        <f t="shared" si="654"/>
        <v>0.87</v>
      </c>
      <c r="GT105" s="54">
        <f t="shared" si="654"/>
        <v>0.85</v>
      </c>
      <c r="GU105" s="54">
        <f t="shared" si="654"/>
        <v>0.83</v>
      </c>
      <c r="GV105" s="54">
        <f t="shared" si="654"/>
        <v>0.80999999999999994</v>
      </c>
      <c r="GW105" s="54">
        <f t="shared" si="654"/>
        <v>0.78999999999999992</v>
      </c>
      <c r="GX105" s="54">
        <f t="shared" si="654"/>
        <v>0.76999999999999991</v>
      </c>
      <c r="GY105" s="54">
        <f t="shared" si="654"/>
        <v>0.74999999999999989</v>
      </c>
      <c r="GZ105" s="54">
        <f t="shared" si="654"/>
        <v>0.72999999999999987</v>
      </c>
      <c r="HA105" s="54">
        <f t="shared" si="654"/>
        <v>0.70999999999999985</v>
      </c>
      <c r="HB105" s="54">
        <f t="shared" si="654"/>
        <v>0.68999999999999984</v>
      </c>
      <c r="HC105" s="54">
        <f t="shared" si="654"/>
        <v>0.66999999999999982</v>
      </c>
      <c r="HD105" s="54">
        <f t="shared" si="654"/>
        <v>0.6499999999999998</v>
      </c>
      <c r="HE105" s="54">
        <f t="shared" si="654"/>
        <v>0.62999999999999978</v>
      </c>
      <c r="HF105" s="54">
        <f t="shared" si="654"/>
        <v>0.60999999999999976</v>
      </c>
      <c r="HG105" s="54">
        <f t="shared" si="654"/>
        <v>0.58999999999999975</v>
      </c>
      <c r="HH105" s="54">
        <f t="shared" si="654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2">
        <f t="shared" si="520"/>
        <v>0</v>
      </c>
      <c r="H106" s="54">
        <f t="shared" si="510"/>
        <v>0</v>
      </c>
      <c r="I106" s="54">
        <f t="shared" si="511"/>
        <v>0</v>
      </c>
      <c r="J106" s="58">
        <f t="shared" si="512"/>
        <v>0</v>
      </c>
      <c r="K106" s="54">
        <f t="shared" si="521"/>
        <v>0</v>
      </c>
      <c r="L106" s="58">
        <f t="shared" si="522"/>
        <v>0</v>
      </c>
      <c r="M106" s="54">
        <f t="shared" si="523"/>
        <v>0</v>
      </c>
      <c r="N106" s="58">
        <f t="shared" si="524"/>
        <v>0</v>
      </c>
      <c r="O106" s="54">
        <f t="shared" si="525"/>
        <v>0</v>
      </c>
      <c r="P106" s="58">
        <f t="shared" si="526"/>
        <v>0</v>
      </c>
      <c r="Q106" s="56">
        <f t="shared" si="527"/>
        <v>0</v>
      </c>
      <c r="R106" s="58">
        <f t="shared" si="528"/>
        <v>0</v>
      </c>
      <c r="S106" s="54">
        <f t="shared" si="529"/>
        <v>0</v>
      </c>
      <c r="T106" s="58">
        <f t="shared" si="530"/>
        <v>0</v>
      </c>
      <c r="U106" s="56">
        <f t="shared" si="531"/>
        <v>0</v>
      </c>
      <c r="V106" s="58">
        <f t="shared" si="532"/>
        <v>0</v>
      </c>
      <c r="W106" s="59">
        <f t="shared" si="533"/>
        <v>0</v>
      </c>
      <c r="X106" s="58">
        <f t="shared" si="534"/>
        <v>0</v>
      </c>
      <c r="Y106" s="56">
        <f t="shared" si="535"/>
        <v>0</v>
      </c>
      <c r="Z106" s="58">
        <f t="shared" si="536"/>
        <v>0</v>
      </c>
      <c r="AA106" s="54">
        <f t="shared" si="537"/>
        <v>0</v>
      </c>
      <c r="AB106" s="58">
        <f t="shared" si="538"/>
        <v>0</v>
      </c>
      <c r="AC106" s="59">
        <f t="shared" si="539"/>
        <v>0</v>
      </c>
      <c r="AD106" s="58">
        <f t="shared" si="540"/>
        <v>0</v>
      </c>
      <c r="AE106" s="59">
        <f t="shared" si="541"/>
        <v>0</v>
      </c>
      <c r="AF106" s="58">
        <f t="shared" si="542"/>
        <v>0</v>
      </c>
      <c r="AG106" s="59">
        <f t="shared" si="543"/>
        <v>0</v>
      </c>
      <c r="AH106" s="58">
        <f t="shared" si="544"/>
        <v>0</v>
      </c>
      <c r="AI106" s="54">
        <f t="shared" si="545"/>
        <v>0</v>
      </c>
      <c r="AJ106" s="58">
        <f t="shared" si="546"/>
        <v>0</v>
      </c>
      <c r="AK106" s="59">
        <f t="shared" si="547"/>
        <v>0</v>
      </c>
      <c r="AL106" s="58">
        <f t="shared" si="548"/>
        <v>0</v>
      </c>
      <c r="AM106" s="59">
        <f t="shared" si="549"/>
        <v>0</v>
      </c>
      <c r="AN106" s="58">
        <f t="shared" si="550"/>
        <v>0</v>
      </c>
      <c r="AO106" s="59">
        <f t="shared" si="551"/>
        <v>0</v>
      </c>
      <c r="AP106" s="58">
        <f t="shared" si="552"/>
        <v>0</v>
      </c>
      <c r="AQ106" s="59">
        <f t="shared" si="553"/>
        <v>0</v>
      </c>
      <c r="AR106" s="58">
        <f t="shared" si="554"/>
        <v>0</v>
      </c>
      <c r="AS106" s="54">
        <f t="shared" si="555"/>
        <v>0</v>
      </c>
      <c r="AT106" s="58">
        <f t="shared" si="556"/>
        <v>0</v>
      </c>
      <c r="AU106" s="59">
        <f t="shared" si="557"/>
        <v>0</v>
      </c>
      <c r="AV106" s="58">
        <f t="shared" si="558"/>
        <v>0</v>
      </c>
      <c r="AW106" s="59">
        <f t="shared" si="559"/>
        <v>0</v>
      </c>
      <c r="AX106" s="58">
        <f t="shared" si="560"/>
        <v>0</v>
      </c>
      <c r="AY106" s="54">
        <f t="shared" si="561"/>
        <v>0</v>
      </c>
      <c r="AZ106" s="58">
        <f t="shared" si="562"/>
        <v>0</v>
      </c>
      <c r="BC106" s="54">
        <v>1</v>
      </c>
      <c r="BD106" s="54">
        <v>0.97</v>
      </c>
      <c r="BE106" s="54">
        <v>0.95</v>
      </c>
      <c r="BF106" s="54">
        <v>0.93</v>
      </c>
      <c r="BG106" s="54">
        <f t="shared" si="563"/>
        <v>0.91</v>
      </c>
      <c r="BH106" s="54">
        <f t="shared" si="563"/>
        <v>0.89</v>
      </c>
      <c r="BI106" s="54">
        <f t="shared" si="563"/>
        <v>0.87</v>
      </c>
      <c r="BJ106" s="54">
        <f t="shared" ref="BJ106:BX106" si="655">+BI106-0.02</f>
        <v>0.85</v>
      </c>
      <c r="BK106" s="54">
        <f t="shared" si="655"/>
        <v>0.83</v>
      </c>
      <c r="BL106" s="54">
        <f t="shared" si="655"/>
        <v>0.80999999999999994</v>
      </c>
      <c r="BM106" s="54">
        <f t="shared" si="655"/>
        <v>0.78999999999999992</v>
      </c>
      <c r="BN106" s="54">
        <f t="shared" si="655"/>
        <v>0.76999999999999991</v>
      </c>
      <c r="BO106" s="54">
        <f t="shared" si="655"/>
        <v>0.74999999999999989</v>
      </c>
      <c r="BP106" s="54">
        <f t="shared" si="655"/>
        <v>0.72999999999999987</v>
      </c>
      <c r="BQ106" s="54">
        <f t="shared" si="655"/>
        <v>0.70999999999999985</v>
      </c>
      <c r="BR106" s="54">
        <f t="shared" si="655"/>
        <v>0.68999999999999984</v>
      </c>
      <c r="BS106" s="54">
        <f t="shared" si="655"/>
        <v>0.66999999999999982</v>
      </c>
      <c r="BT106" s="54">
        <f t="shared" si="655"/>
        <v>0.6499999999999998</v>
      </c>
      <c r="BU106" s="54">
        <f t="shared" si="655"/>
        <v>0.62999999999999978</v>
      </c>
      <c r="BV106" s="54">
        <f t="shared" si="655"/>
        <v>0.60999999999999976</v>
      </c>
      <c r="BW106" s="54">
        <f t="shared" si="655"/>
        <v>0.58999999999999975</v>
      </c>
      <c r="BX106" s="54">
        <f t="shared" si="655"/>
        <v>0.56999999999999973</v>
      </c>
      <c r="BZ106" s="54">
        <f t="shared" si="513"/>
        <v>0</v>
      </c>
      <c r="CA106" s="54">
        <f t="shared" si="514"/>
        <v>0</v>
      </c>
      <c r="CB106" s="58">
        <f t="shared" si="564"/>
        <v>0</v>
      </c>
      <c r="CC106" s="54">
        <f t="shared" si="565"/>
        <v>0</v>
      </c>
      <c r="CD106" s="58">
        <f t="shared" si="566"/>
        <v>0</v>
      </c>
      <c r="CE106" s="54">
        <f t="shared" si="567"/>
        <v>0</v>
      </c>
      <c r="CF106" s="58">
        <f t="shared" si="568"/>
        <v>0</v>
      </c>
      <c r="CG106" s="54">
        <f t="shared" si="569"/>
        <v>0</v>
      </c>
      <c r="CH106" s="58">
        <f t="shared" si="570"/>
        <v>0</v>
      </c>
      <c r="CI106" s="56">
        <f t="shared" si="571"/>
        <v>0</v>
      </c>
      <c r="CJ106" s="58">
        <f t="shared" si="572"/>
        <v>0</v>
      </c>
      <c r="CK106" s="54">
        <f t="shared" si="573"/>
        <v>0</v>
      </c>
      <c r="CL106" s="58">
        <f t="shared" si="574"/>
        <v>0</v>
      </c>
      <c r="CM106" s="56">
        <f t="shared" si="575"/>
        <v>0</v>
      </c>
      <c r="CN106" s="58">
        <f t="shared" si="576"/>
        <v>0</v>
      </c>
      <c r="CO106" s="59">
        <f t="shared" si="577"/>
        <v>0</v>
      </c>
      <c r="CP106" s="58">
        <f t="shared" si="578"/>
        <v>0</v>
      </c>
      <c r="CQ106" s="56">
        <f t="shared" si="579"/>
        <v>0</v>
      </c>
      <c r="CR106" s="58">
        <f t="shared" si="580"/>
        <v>0</v>
      </c>
      <c r="CS106" s="54">
        <f t="shared" si="581"/>
        <v>0</v>
      </c>
      <c r="CT106" s="58">
        <f t="shared" si="582"/>
        <v>0</v>
      </c>
      <c r="CU106" s="59">
        <f t="shared" si="583"/>
        <v>0</v>
      </c>
      <c r="CV106" s="58">
        <f t="shared" si="584"/>
        <v>0</v>
      </c>
      <c r="CW106" s="59">
        <f t="shared" si="585"/>
        <v>0</v>
      </c>
      <c r="CX106" s="58">
        <f t="shared" si="586"/>
        <v>0</v>
      </c>
      <c r="CY106" s="59">
        <f t="shared" si="587"/>
        <v>0</v>
      </c>
      <c r="CZ106" s="58">
        <f t="shared" si="588"/>
        <v>0</v>
      </c>
      <c r="DA106" s="54">
        <f t="shared" si="589"/>
        <v>0</v>
      </c>
      <c r="DB106" s="58">
        <f t="shared" si="590"/>
        <v>0</v>
      </c>
      <c r="DC106" s="59">
        <f t="shared" si="591"/>
        <v>0</v>
      </c>
      <c r="DD106" s="58">
        <f t="shared" si="592"/>
        <v>0</v>
      </c>
      <c r="DE106" s="59">
        <f t="shared" si="593"/>
        <v>0</v>
      </c>
      <c r="DF106" s="58">
        <f t="shared" si="594"/>
        <v>0</v>
      </c>
      <c r="DG106" s="59">
        <f t="shared" si="595"/>
        <v>0</v>
      </c>
      <c r="DH106" s="58">
        <f t="shared" si="596"/>
        <v>0</v>
      </c>
      <c r="DI106" s="59">
        <f t="shared" si="597"/>
        <v>0</v>
      </c>
      <c r="DJ106" s="58">
        <f t="shared" si="598"/>
        <v>0</v>
      </c>
      <c r="DK106" s="54">
        <f t="shared" si="599"/>
        <v>0</v>
      </c>
      <c r="DL106" s="58">
        <f t="shared" si="600"/>
        <v>0</v>
      </c>
      <c r="DM106" s="59">
        <f t="shared" si="601"/>
        <v>0</v>
      </c>
      <c r="DN106" s="58">
        <f t="shared" si="602"/>
        <v>0</v>
      </c>
      <c r="DO106" s="59">
        <f t="shared" si="603"/>
        <v>0</v>
      </c>
      <c r="DP106" s="58">
        <f t="shared" si="604"/>
        <v>0</v>
      </c>
      <c r="DQ106" s="54">
        <f t="shared" si="605"/>
        <v>0</v>
      </c>
      <c r="DR106" s="58">
        <f t="shared" si="606"/>
        <v>0</v>
      </c>
      <c r="DU106" s="54">
        <v>1</v>
      </c>
      <c r="DV106" s="54">
        <v>0.97</v>
      </c>
      <c r="DW106" s="54">
        <v>0.95</v>
      </c>
      <c r="DX106" s="54">
        <v>0.93</v>
      </c>
      <c r="DY106" s="54">
        <f t="shared" si="652"/>
        <v>0.91</v>
      </c>
      <c r="DZ106" s="54">
        <f t="shared" si="652"/>
        <v>0.89</v>
      </c>
      <c r="EA106" s="54">
        <f t="shared" si="652"/>
        <v>0.87</v>
      </c>
      <c r="EB106" s="54">
        <f t="shared" si="652"/>
        <v>0.85</v>
      </c>
      <c r="EC106" s="54">
        <f t="shared" si="652"/>
        <v>0.83</v>
      </c>
      <c r="ED106" s="54">
        <f t="shared" si="652"/>
        <v>0.80999999999999994</v>
      </c>
      <c r="EE106" s="54">
        <f t="shared" si="652"/>
        <v>0.78999999999999992</v>
      </c>
      <c r="EF106" s="54">
        <f t="shared" si="652"/>
        <v>0.76999999999999991</v>
      </c>
      <c r="EG106" s="54">
        <f t="shared" si="652"/>
        <v>0.74999999999999989</v>
      </c>
      <c r="EH106" s="54">
        <f t="shared" si="652"/>
        <v>0.72999999999999987</v>
      </c>
      <c r="EI106" s="54">
        <f t="shared" si="652"/>
        <v>0.70999999999999985</v>
      </c>
      <c r="EJ106" s="54">
        <f t="shared" si="652"/>
        <v>0.68999999999999984</v>
      </c>
      <c r="EK106" s="54">
        <f t="shared" si="652"/>
        <v>0.66999999999999982</v>
      </c>
      <c r="EL106" s="54">
        <f t="shared" si="652"/>
        <v>0.6499999999999998</v>
      </c>
      <c r="EM106" s="54">
        <f t="shared" si="652"/>
        <v>0.62999999999999978</v>
      </c>
      <c r="EN106" s="54">
        <f t="shared" si="652"/>
        <v>0.60999999999999976</v>
      </c>
      <c r="EO106" s="54">
        <f t="shared" si="652"/>
        <v>0.58999999999999975</v>
      </c>
      <c r="EP106" s="54">
        <f t="shared" si="652"/>
        <v>0.56999999999999973</v>
      </c>
      <c r="ER106" s="54">
        <f t="shared" si="653"/>
        <v>0</v>
      </c>
      <c r="ES106" s="54">
        <f t="shared" si="515"/>
        <v>0</v>
      </c>
      <c r="ET106" s="58">
        <f t="shared" si="607"/>
        <v>0</v>
      </c>
      <c r="EU106" s="54">
        <f t="shared" si="608"/>
        <v>0</v>
      </c>
      <c r="EV106" s="58">
        <f t="shared" si="609"/>
        <v>0</v>
      </c>
      <c r="EW106" s="54">
        <f t="shared" si="610"/>
        <v>0</v>
      </c>
      <c r="EX106" s="58">
        <f t="shared" si="611"/>
        <v>0</v>
      </c>
      <c r="EY106" s="54">
        <f t="shared" si="612"/>
        <v>0</v>
      </c>
      <c r="EZ106" s="58">
        <f t="shared" si="613"/>
        <v>0</v>
      </c>
      <c r="FA106" s="56">
        <f t="shared" si="614"/>
        <v>0</v>
      </c>
      <c r="FB106" s="58">
        <f t="shared" si="615"/>
        <v>0</v>
      </c>
      <c r="FC106" s="54">
        <f t="shared" si="616"/>
        <v>0</v>
      </c>
      <c r="FD106" s="58">
        <f t="shared" si="617"/>
        <v>0</v>
      </c>
      <c r="FE106" s="56">
        <f t="shared" si="618"/>
        <v>0</v>
      </c>
      <c r="FF106" s="58">
        <f t="shared" si="619"/>
        <v>0</v>
      </c>
      <c r="FG106" s="59">
        <f t="shared" si="620"/>
        <v>0</v>
      </c>
      <c r="FH106" s="58">
        <f t="shared" si="621"/>
        <v>0</v>
      </c>
      <c r="FI106" s="56">
        <f t="shared" si="622"/>
        <v>0</v>
      </c>
      <c r="FJ106" s="58">
        <f t="shared" si="623"/>
        <v>0</v>
      </c>
      <c r="FK106" s="54">
        <f t="shared" si="624"/>
        <v>0</v>
      </c>
      <c r="FL106" s="58">
        <f t="shared" si="625"/>
        <v>0</v>
      </c>
      <c r="FM106" s="59">
        <f t="shared" si="626"/>
        <v>0</v>
      </c>
      <c r="FN106" s="58">
        <f t="shared" si="627"/>
        <v>0</v>
      </c>
      <c r="FO106" s="59">
        <f t="shared" si="628"/>
        <v>0</v>
      </c>
      <c r="FP106" s="58">
        <f t="shared" si="629"/>
        <v>0</v>
      </c>
      <c r="FQ106" s="59">
        <f t="shared" si="630"/>
        <v>0</v>
      </c>
      <c r="FR106" s="58">
        <f t="shared" si="631"/>
        <v>0</v>
      </c>
      <c r="FS106" s="54">
        <f t="shared" si="632"/>
        <v>0</v>
      </c>
      <c r="FT106" s="58">
        <f t="shared" si="633"/>
        <v>0</v>
      </c>
      <c r="FU106" s="59">
        <f t="shared" si="634"/>
        <v>0</v>
      </c>
      <c r="FV106" s="58">
        <f t="shared" si="635"/>
        <v>0</v>
      </c>
      <c r="FW106" s="59">
        <f t="shared" si="636"/>
        <v>0</v>
      </c>
      <c r="FX106" s="58">
        <f t="shared" si="637"/>
        <v>0</v>
      </c>
      <c r="FY106" s="59">
        <f t="shared" si="638"/>
        <v>0</v>
      </c>
      <c r="FZ106" s="58">
        <f t="shared" si="639"/>
        <v>0</v>
      </c>
      <c r="GA106" s="59">
        <f t="shared" si="640"/>
        <v>0</v>
      </c>
      <c r="GB106" s="58">
        <f t="shared" si="641"/>
        <v>0</v>
      </c>
      <c r="GC106" s="54">
        <f t="shared" si="642"/>
        <v>0</v>
      </c>
      <c r="GD106" s="58">
        <f t="shared" si="643"/>
        <v>0</v>
      </c>
      <c r="GE106" s="59">
        <f t="shared" si="644"/>
        <v>0</v>
      </c>
      <c r="GF106" s="58">
        <f t="shared" si="645"/>
        <v>0</v>
      </c>
      <c r="GG106" s="59">
        <f t="shared" si="646"/>
        <v>0</v>
      </c>
      <c r="GH106" s="58">
        <f t="shared" si="647"/>
        <v>0</v>
      </c>
      <c r="GI106" s="54">
        <f t="shared" si="648"/>
        <v>0</v>
      </c>
      <c r="GJ106" s="58">
        <f t="shared" si="649"/>
        <v>0</v>
      </c>
      <c r="GK106" s="54"/>
      <c r="GL106" s="54"/>
      <c r="GM106" s="54">
        <v>1</v>
      </c>
      <c r="GN106" s="54">
        <v>0.97</v>
      </c>
      <c r="GO106" s="54">
        <v>0.95</v>
      </c>
      <c r="GP106" s="54">
        <v>0.93</v>
      </c>
      <c r="GQ106" s="54">
        <f t="shared" si="654"/>
        <v>0.91</v>
      </c>
      <c r="GR106" s="54">
        <f t="shared" si="654"/>
        <v>0.89</v>
      </c>
      <c r="GS106" s="54">
        <f t="shared" si="654"/>
        <v>0.87</v>
      </c>
      <c r="GT106" s="54">
        <f t="shared" si="654"/>
        <v>0.85</v>
      </c>
      <c r="GU106" s="54">
        <f t="shared" si="654"/>
        <v>0.83</v>
      </c>
      <c r="GV106" s="54">
        <f t="shared" si="654"/>
        <v>0.80999999999999994</v>
      </c>
      <c r="GW106" s="54">
        <f t="shared" si="654"/>
        <v>0.78999999999999992</v>
      </c>
      <c r="GX106" s="54">
        <f t="shared" si="654"/>
        <v>0.76999999999999991</v>
      </c>
      <c r="GY106" s="54">
        <f t="shared" si="654"/>
        <v>0.74999999999999989</v>
      </c>
      <c r="GZ106" s="54">
        <f t="shared" si="654"/>
        <v>0.72999999999999987</v>
      </c>
      <c r="HA106" s="54">
        <f t="shared" si="654"/>
        <v>0.70999999999999985</v>
      </c>
      <c r="HB106" s="54">
        <f t="shared" si="654"/>
        <v>0.68999999999999984</v>
      </c>
      <c r="HC106" s="54">
        <f t="shared" si="654"/>
        <v>0.66999999999999982</v>
      </c>
      <c r="HD106" s="54">
        <f t="shared" si="654"/>
        <v>0.6499999999999998</v>
      </c>
      <c r="HE106" s="54">
        <f t="shared" si="654"/>
        <v>0.62999999999999978</v>
      </c>
      <c r="HF106" s="54">
        <f t="shared" si="654"/>
        <v>0.60999999999999976</v>
      </c>
      <c r="HG106" s="54">
        <f t="shared" si="654"/>
        <v>0.58999999999999975</v>
      </c>
      <c r="HH106" s="54">
        <f t="shared" si="654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2">
        <f t="shared" si="520"/>
        <v>0</v>
      </c>
      <c r="H107" s="54">
        <f t="shared" si="510"/>
        <v>0</v>
      </c>
      <c r="I107" s="54">
        <f t="shared" si="511"/>
        <v>0</v>
      </c>
      <c r="J107" s="58">
        <f t="shared" si="512"/>
        <v>0</v>
      </c>
      <c r="K107" s="54">
        <f t="shared" si="521"/>
        <v>0</v>
      </c>
      <c r="L107" s="58">
        <f t="shared" si="522"/>
        <v>0</v>
      </c>
      <c r="M107" s="54">
        <f t="shared" si="523"/>
        <v>0</v>
      </c>
      <c r="N107" s="58">
        <f t="shared" si="524"/>
        <v>0</v>
      </c>
      <c r="O107" s="54">
        <f t="shared" si="525"/>
        <v>0</v>
      </c>
      <c r="P107" s="58">
        <f t="shared" si="526"/>
        <v>0</v>
      </c>
      <c r="Q107" s="56">
        <f t="shared" si="527"/>
        <v>0</v>
      </c>
      <c r="R107" s="58">
        <f t="shared" si="528"/>
        <v>0</v>
      </c>
      <c r="S107" s="54">
        <f t="shared" si="529"/>
        <v>0</v>
      </c>
      <c r="T107" s="58">
        <f t="shared" si="530"/>
        <v>0</v>
      </c>
      <c r="U107" s="56">
        <f t="shared" si="531"/>
        <v>0</v>
      </c>
      <c r="V107" s="58">
        <f t="shared" si="532"/>
        <v>0</v>
      </c>
      <c r="W107" s="59">
        <f t="shared" si="533"/>
        <v>0</v>
      </c>
      <c r="X107" s="58">
        <f t="shared" si="534"/>
        <v>0</v>
      </c>
      <c r="Y107" s="56">
        <f t="shared" si="535"/>
        <v>0</v>
      </c>
      <c r="Z107" s="58">
        <f t="shared" si="536"/>
        <v>0</v>
      </c>
      <c r="AA107" s="54">
        <f t="shared" si="537"/>
        <v>0</v>
      </c>
      <c r="AB107" s="58">
        <f t="shared" si="538"/>
        <v>0</v>
      </c>
      <c r="AC107" s="59">
        <f t="shared" si="539"/>
        <v>0</v>
      </c>
      <c r="AD107" s="58">
        <f t="shared" si="540"/>
        <v>0</v>
      </c>
      <c r="AE107" s="59">
        <f t="shared" si="541"/>
        <v>0</v>
      </c>
      <c r="AF107" s="58">
        <f t="shared" si="542"/>
        <v>0</v>
      </c>
      <c r="AG107" s="59">
        <f t="shared" si="543"/>
        <v>0</v>
      </c>
      <c r="AH107" s="58">
        <f t="shared" si="544"/>
        <v>0</v>
      </c>
      <c r="AI107" s="54">
        <f t="shared" si="545"/>
        <v>0</v>
      </c>
      <c r="AJ107" s="58">
        <f t="shared" si="546"/>
        <v>0</v>
      </c>
      <c r="AK107" s="59">
        <f t="shared" si="547"/>
        <v>0</v>
      </c>
      <c r="AL107" s="58">
        <f t="shared" si="548"/>
        <v>0</v>
      </c>
      <c r="AM107" s="59">
        <f t="shared" si="549"/>
        <v>0</v>
      </c>
      <c r="AN107" s="58">
        <f t="shared" si="550"/>
        <v>0</v>
      </c>
      <c r="AO107" s="59">
        <f t="shared" si="551"/>
        <v>0</v>
      </c>
      <c r="AP107" s="58">
        <f t="shared" si="552"/>
        <v>0</v>
      </c>
      <c r="AQ107" s="59">
        <f t="shared" si="553"/>
        <v>0</v>
      </c>
      <c r="AR107" s="58">
        <f t="shared" si="554"/>
        <v>0</v>
      </c>
      <c r="AS107" s="54">
        <f t="shared" si="555"/>
        <v>0</v>
      </c>
      <c r="AT107" s="58">
        <f t="shared" si="556"/>
        <v>0</v>
      </c>
      <c r="AU107" s="59">
        <f t="shared" si="557"/>
        <v>0</v>
      </c>
      <c r="AV107" s="58">
        <f t="shared" si="558"/>
        <v>0</v>
      </c>
      <c r="AW107" s="59">
        <f t="shared" si="559"/>
        <v>0</v>
      </c>
      <c r="AX107" s="58">
        <f t="shared" si="560"/>
        <v>0</v>
      </c>
      <c r="AY107" s="54">
        <f t="shared" si="561"/>
        <v>0</v>
      </c>
      <c r="AZ107" s="58">
        <f t="shared" si="562"/>
        <v>0</v>
      </c>
      <c r="BC107" s="54">
        <v>1</v>
      </c>
      <c r="BD107" s="54">
        <v>0.97</v>
      </c>
      <c r="BE107" s="54">
        <v>0.95</v>
      </c>
      <c r="BF107" s="54">
        <v>0.93</v>
      </c>
      <c r="BG107" s="54">
        <f t="shared" ref="BG107:BX113" si="656">+BF107-0.02</f>
        <v>0.91</v>
      </c>
      <c r="BH107" s="54">
        <f t="shared" si="656"/>
        <v>0.89</v>
      </c>
      <c r="BI107" s="54">
        <f t="shared" si="656"/>
        <v>0.87</v>
      </c>
      <c r="BJ107" s="54">
        <f t="shared" si="656"/>
        <v>0.85</v>
      </c>
      <c r="BK107" s="54">
        <f t="shared" si="656"/>
        <v>0.83</v>
      </c>
      <c r="BL107" s="54">
        <f t="shared" si="656"/>
        <v>0.80999999999999994</v>
      </c>
      <c r="BM107" s="54">
        <f t="shared" si="656"/>
        <v>0.78999999999999992</v>
      </c>
      <c r="BN107" s="54">
        <f t="shared" si="656"/>
        <v>0.76999999999999991</v>
      </c>
      <c r="BO107" s="54">
        <f t="shared" si="656"/>
        <v>0.74999999999999989</v>
      </c>
      <c r="BP107" s="54">
        <f t="shared" si="656"/>
        <v>0.72999999999999987</v>
      </c>
      <c r="BQ107" s="54">
        <f t="shared" si="656"/>
        <v>0.70999999999999985</v>
      </c>
      <c r="BR107" s="54">
        <f t="shared" si="656"/>
        <v>0.68999999999999984</v>
      </c>
      <c r="BS107" s="54">
        <f t="shared" si="656"/>
        <v>0.66999999999999982</v>
      </c>
      <c r="BT107" s="54">
        <f t="shared" si="656"/>
        <v>0.6499999999999998</v>
      </c>
      <c r="BU107" s="54">
        <f t="shared" si="656"/>
        <v>0.62999999999999978</v>
      </c>
      <c r="BV107" s="54">
        <f t="shared" si="656"/>
        <v>0.60999999999999976</v>
      </c>
      <c r="BW107" s="54">
        <f t="shared" si="656"/>
        <v>0.58999999999999975</v>
      </c>
      <c r="BX107" s="54">
        <f t="shared" si="656"/>
        <v>0.56999999999999973</v>
      </c>
      <c r="BZ107" s="54">
        <f t="shared" si="513"/>
        <v>0</v>
      </c>
      <c r="CA107" s="54">
        <f t="shared" si="514"/>
        <v>0</v>
      </c>
      <c r="CB107" s="58">
        <f t="shared" si="564"/>
        <v>0</v>
      </c>
      <c r="CC107" s="54">
        <f t="shared" si="565"/>
        <v>0</v>
      </c>
      <c r="CD107" s="58">
        <f t="shared" si="566"/>
        <v>0</v>
      </c>
      <c r="CE107" s="54">
        <f t="shared" si="567"/>
        <v>0</v>
      </c>
      <c r="CF107" s="58">
        <f t="shared" si="568"/>
        <v>0</v>
      </c>
      <c r="CG107" s="54">
        <f t="shared" si="569"/>
        <v>0</v>
      </c>
      <c r="CH107" s="58">
        <f t="shared" si="570"/>
        <v>0</v>
      </c>
      <c r="CI107" s="56">
        <f t="shared" si="571"/>
        <v>0</v>
      </c>
      <c r="CJ107" s="58">
        <f t="shared" si="572"/>
        <v>0</v>
      </c>
      <c r="CK107" s="54">
        <f t="shared" si="573"/>
        <v>0</v>
      </c>
      <c r="CL107" s="58">
        <f t="shared" si="574"/>
        <v>0</v>
      </c>
      <c r="CM107" s="56">
        <f t="shared" si="575"/>
        <v>0</v>
      </c>
      <c r="CN107" s="58">
        <f t="shared" si="576"/>
        <v>0</v>
      </c>
      <c r="CO107" s="59">
        <f t="shared" si="577"/>
        <v>0</v>
      </c>
      <c r="CP107" s="58">
        <f t="shared" si="578"/>
        <v>0</v>
      </c>
      <c r="CQ107" s="56">
        <f t="shared" si="579"/>
        <v>0</v>
      </c>
      <c r="CR107" s="58">
        <f t="shared" si="580"/>
        <v>0</v>
      </c>
      <c r="CS107" s="54">
        <f t="shared" si="581"/>
        <v>0</v>
      </c>
      <c r="CT107" s="58">
        <f t="shared" si="582"/>
        <v>0</v>
      </c>
      <c r="CU107" s="59">
        <f t="shared" si="583"/>
        <v>0</v>
      </c>
      <c r="CV107" s="58">
        <f t="shared" si="584"/>
        <v>0</v>
      </c>
      <c r="CW107" s="59">
        <f t="shared" si="585"/>
        <v>0</v>
      </c>
      <c r="CX107" s="58">
        <f t="shared" si="586"/>
        <v>0</v>
      </c>
      <c r="CY107" s="59">
        <f t="shared" si="587"/>
        <v>0</v>
      </c>
      <c r="CZ107" s="58">
        <f t="shared" si="588"/>
        <v>0</v>
      </c>
      <c r="DA107" s="54">
        <f t="shared" si="589"/>
        <v>0</v>
      </c>
      <c r="DB107" s="58">
        <f t="shared" si="590"/>
        <v>0</v>
      </c>
      <c r="DC107" s="59">
        <f t="shared" si="591"/>
        <v>0</v>
      </c>
      <c r="DD107" s="58">
        <f t="shared" si="592"/>
        <v>0</v>
      </c>
      <c r="DE107" s="59">
        <f t="shared" si="593"/>
        <v>0</v>
      </c>
      <c r="DF107" s="58">
        <f t="shared" si="594"/>
        <v>0</v>
      </c>
      <c r="DG107" s="59">
        <f t="shared" si="595"/>
        <v>0</v>
      </c>
      <c r="DH107" s="58">
        <f t="shared" si="596"/>
        <v>0</v>
      </c>
      <c r="DI107" s="59">
        <f t="shared" si="597"/>
        <v>0</v>
      </c>
      <c r="DJ107" s="58">
        <f t="shared" si="598"/>
        <v>0</v>
      </c>
      <c r="DK107" s="54">
        <f t="shared" si="599"/>
        <v>0</v>
      </c>
      <c r="DL107" s="58">
        <f t="shared" si="600"/>
        <v>0</v>
      </c>
      <c r="DM107" s="59">
        <f t="shared" si="601"/>
        <v>0</v>
      </c>
      <c r="DN107" s="58">
        <f t="shared" si="602"/>
        <v>0</v>
      </c>
      <c r="DO107" s="59">
        <f t="shared" si="603"/>
        <v>0</v>
      </c>
      <c r="DP107" s="58">
        <f t="shared" si="604"/>
        <v>0</v>
      </c>
      <c r="DQ107" s="54">
        <f t="shared" si="605"/>
        <v>0</v>
      </c>
      <c r="DR107" s="58">
        <f t="shared" si="606"/>
        <v>0</v>
      </c>
      <c r="DU107" s="54">
        <v>1</v>
      </c>
      <c r="DV107" s="54">
        <v>0.97</v>
      </c>
      <c r="DW107" s="54">
        <v>0.95</v>
      </c>
      <c r="DX107" s="54">
        <v>0.93</v>
      </c>
      <c r="DY107" s="54">
        <f t="shared" si="652"/>
        <v>0.91</v>
      </c>
      <c r="DZ107" s="54">
        <f t="shared" si="652"/>
        <v>0.89</v>
      </c>
      <c r="EA107" s="54">
        <f t="shared" si="652"/>
        <v>0.87</v>
      </c>
      <c r="EB107" s="54">
        <f t="shared" si="652"/>
        <v>0.85</v>
      </c>
      <c r="EC107" s="54">
        <f t="shared" si="652"/>
        <v>0.83</v>
      </c>
      <c r="ED107" s="54">
        <f t="shared" si="652"/>
        <v>0.80999999999999994</v>
      </c>
      <c r="EE107" s="54">
        <f t="shared" si="652"/>
        <v>0.78999999999999992</v>
      </c>
      <c r="EF107" s="54">
        <f t="shared" si="652"/>
        <v>0.76999999999999991</v>
      </c>
      <c r="EG107" s="54">
        <f t="shared" si="652"/>
        <v>0.74999999999999989</v>
      </c>
      <c r="EH107" s="54">
        <f t="shared" si="652"/>
        <v>0.72999999999999987</v>
      </c>
      <c r="EI107" s="54">
        <f t="shared" si="652"/>
        <v>0.70999999999999985</v>
      </c>
      <c r="EJ107" s="54">
        <f t="shared" si="652"/>
        <v>0.68999999999999984</v>
      </c>
      <c r="EK107" s="54">
        <f t="shared" si="652"/>
        <v>0.66999999999999982</v>
      </c>
      <c r="EL107" s="54">
        <f t="shared" si="652"/>
        <v>0.6499999999999998</v>
      </c>
      <c r="EM107" s="54">
        <f t="shared" si="652"/>
        <v>0.62999999999999978</v>
      </c>
      <c r="EN107" s="54">
        <f t="shared" si="652"/>
        <v>0.60999999999999976</v>
      </c>
      <c r="EO107" s="54">
        <f t="shared" si="652"/>
        <v>0.58999999999999975</v>
      </c>
      <c r="EP107" s="54">
        <f t="shared" si="652"/>
        <v>0.56999999999999973</v>
      </c>
      <c r="ER107" s="54">
        <f t="shared" si="653"/>
        <v>0</v>
      </c>
      <c r="ES107" s="54">
        <f t="shared" si="515"/>
        <v>0</v>
      </c>
      <c r="ET107" s="58">
        <f t="shared" si="607"/>
        <v>0</v>
      </c>
      <c r="EU107" s="54">
        <f t="shared" si="608"/>
        <v>0</v>
      </c>
      <c r="EV107" s="58">
        <f t="shared" si="609"/>
        <v>0</v>
      </c>
      <c r="EW107" s="54">
        <f t="shared" si="610"/>
        <v>0</v>
      </c>
      <c r="EX107" s="58">
        <f t="shared" si="611"/>
        <v>0</v>
      </c>
      <c r="EY107" s="54">
        <f t="shared" si="612"/>
        <v>0</v>
      </c>
      <c r="EZ107" s="58">
        <f t="shared" si="613"/>
        <v>0</v>
      </c>
      <c r="FA107" s="56">
        <f t="shared" si="614"/>
        <v>0</v>
      </c>
      <c r="FB107" s="58">
        <f t="shared" si="615"/>
        <v>0</v>
      </c>
      <c r="FC107" s="54">
        <f t="shared" si="616"/>
        <v>0</v>
      </c>
      <c r="FD107" s="58">
        <f t="shared" si="617"/>
        <v>0</v>
      </c>
      <c r="FE107" s="56">
        <f t="shared" si="618"/>
        <v>0</v>
      </c>
      <c r="FF107" s="58">
        <f t="shared" si="619"/>
        <v>0</v>
      </c>
      <c r="FG107" s="59">
        <f t="shared" si="620"/>
        <v>0</v>
      </c>
      <c r="FH107" s="58">
        <f t="shared" si="621"/>
        <v>0</v>
      </c>
      <c r="FI107" s="56">
        <f t="shared" si="622"/>
        <v>0</v>
      </c>
      <c r="FJ107" s="58">
        <f t="shared" si="623"/>
        <v>0</v>
      </c>
      <c r="FK107" s="54">
        <f t="shared" si="624"/>
        <v>0</v>
      </c>
      <c r="FL107" s="58">
        <f t="shared" si="625"/>
        <v>0</v>
      </c>
      <c r="FM107" s="59">
        <f t="shared" si="626"/>
        <v>0</v>
      </c>
      <c r="FN107" s="58">
        <f t="shared" si="627"/>
        <v>0</v>
      </c>
      <c r="FO107" s="59">
        <f t="shared" si="628"/>
        <v>0</v>
      </c>
      <c r="FP107" s="58">
        <f t="shared" si="629"/>
        <v>0</v>
      </c>
      <c r="FQ107" s="59">
        <f t="shared" si="630"/>
        <v>0</v>
      </c>
      <c r="FR107" s="58">
        <f t="shared" si="631"/>
        <v>0</v>
      </c>
      <c r="FS107" s="54">
        <f t="shared" si="632"/>
        <v>0</v>
      </c>
      <c r="FT107" s="58">
        <f t="shared" si="633"/>
        <v>0</v>
      </c>
      <c r="FU107" s="59">
        <f t="shared" si="634"/>
        <v>0</v>
      </c>
      <c r="FV107" s="58">
        <f t="shared" si="635"/>
        <v>0</v>
      </c>
      <c r="FW107" s="59">
        <f t="shared" si="636"/>
        <v>0</v>
      </c>
      <c r="FX107" s="58">
        <f t="shared" si="637"/>
        <v>0</v>
      </c>
      <c r="FY107" s="59">
        <f t="shared" si="638"/>
        <v>0</v>
      </c>
      <c r="FZ107" s="58">
        <f t="shared" si="639"/>
        <v>0</v>
      </c>
      <c r="GA107" s="59">
        <f t="shared" si="640"/>
        <v>0</v>
      </c>
      <c r="GB107" s="58">
        <f t="shared" si="641"/>
        <v>0</v>
      </c>
      <c r="GC107" s="54">
        <f t="shared" si="642"/>
        <v>0</v>
      </c>
      <c r="GD107" s="58">
        <f t="shared" si="643"/>
        <v>0</v>
      </c>
      <c r="GE107" s="59">
        <f t="shared" si="644"/>
        <v>0</v>
      </c>
      <c r="GF107" s="58">
        <f t="shared" si="645"/>
        <v>0</v>
      </c>
      <c r="GG107" s="59">
        <f t="shared" si="646"/>
        <v>0</v>
      </c>
      <c r="GH107" s="58">
        <f t="shared" si="647"/>
        <v>0</v>
      </c>
      <c r="GI107" s="54">
        <f t="shared" si="648"/>
        <v>0</v>
      </c>
      <c r="GJ107" s="58">
        <f t="shared" si="649"/>
        <v>0</v>
      </c>
      <c r="GK107" s="54"/>
      <c r="GL107" s="54"/>
      <c r="GM107" s="54">
        <v>1</v>
      </c>
      <c r="GN107" s="54">
        <v>0.97</v>
      </c>
      <c r="GO107" s="54">
        <v>0.95</v>
      </c>
      <c r="GP107" s="54">
        <v>0.93</v>
      </c>
      <c r="GQ107" s="54">
        <f t="shared" si="654"/>
        <v>0.91</v>
      </c>
      <c r="GR107" s="54">
        <f t="shared" si="654"/>
        <v>0.89</v>
      </c>
      <c r="GS107" s="54">
        <f t="shared" si="654"/>
        <v>0.87</v>
      </c>
      <c r="GT107" s="54">
        <f t="shared" si="654"/>
        <v>0.85</v>
      </c>
      <c r="GU107" s="54">
        <f t="shared" si="654"/>
        <v>0.83</v>
      </c>
      <c r="GV107" s="54">
        <f t="shared" si="654"/>
        <v>0.80999999999999994</v>
      </c>
      <c r="GW107" s="54">
        <f t="shared" si="654"/>
        <v>0.78999999999999992</v>
      </c>
      <c r="GX107" s="54">
        <f t="shared" si="654"/>
        <v>0.76999999999999991</v>
      </c>
      <c r="GY107" s="54">
        <f t="shared" si="654"/>
        <v>0.74999999999999989</v>
      </c>
      <c r="GZ107" s="54">
        <f t="shared" si="654"/>
        <v>0.72999999999999987</v>
      </c>
      <c r="HA107" s="54">
        <f t="shared" si="654"/>
        <v>0.70999999999999985</v>
      </c>
      <c r="HB107" s="54">
        <f t="shared" si="654"/>
        <v>0.68999999999999984</v>
      </c>
      <c r="HC107" s="54">
        <f t="shared" si="654"/>
        <v>0.66999999999999982</v>
      </c>
      <c r="HD107" s="54">
        <f t="shared" si="654"/>
        <v>0.6499999999999998</v>
      </c>
      <c r="HE107" s="54">
        <f t="shared" si="654"/>
        <v>0.62999999999999978</v>
      </c>
      <c r="HF107" s="54">
        <f t="shared" si="654"/>
        <v>0.60999999999999976</v>
      </c>
      <c r="HG107" s="54">
        <f t="shared" si="654"/>
        <v>0.58999999999999975</v>
      </c>
      <c r="HH107" s="54">
        <f t="shared" si="654"/>
        <v>0.56999999999999973</v>
      </c>
    </row>
    <row r="108" spans="1:216" x14ac:dyDescent="0.3">
      <c r="A108" s="2">
        <v>17</v>
      </c>
      <c r="C108" s="38" t="s">
        <v>131</v>
      </c>
      <c r="D108" s="42">
        <v>7430</v>
      </c>
      <c r="E108" s="72">
        <f t="shared" si="520"/>
        <v>24560</v>
      </c>
      <c r="H108" s="54">
        <f t="shared" si="510"/>
        <v>27016.000000000004</v>
      </c>
      <c r="I108" s="54">
        <f t="shared" si="511"/>
        <v>27016.000000000004</v>
      </c>
      <c r="J108" s="58">
        <f t="shared" si="512"/>
        <v>89309.492800000007</v>
      </c>
      <c r="K108" s="54">
        <f t="shared" si="521"/>
        <v>26205.520000000004</v>
      </c>
      <c r="L108" s="58">
        <f t="shared" si="522"/>
        <v>86630.208016000019</v>
      </c>
      <c r="M108" s="54">
        <f t="shared" si="523"/>
        <v>25665.200000000001</v>
      </c>
      <c r="N108" s="58">
        <f t="shared" si="524"/>
        <v>84844.018160000007</v>
      </c>
      <c r="O108" s="54">
        <f t="shared" si="525"/>
        <v>25124.880000000005</v>
      </c>
      <c r="P108" s="58">
        <f t="shared" si="526"/>
        <v>83057.828304000024</v>
      </c>
      <c r="Q108" s="56">
        <f t="shared" si="527"/>
        <v>24584.560000000005</v>
      </c>
      <c r="R108" s="58">
        <f t="shared" si="528"/>
        <v>81271.638448000012</v>
      </c>
      <c r="S108" s="54">
        <f t="shared" si="529"/>
        <v>24044.240000000005</v>
      </c>
      <c r="T108" s="58">
        <f t="shared" si="530"/>
        <v>79485.448592000015</v>
      </c>
      <c r="U108" s="56">
        <f t="shared" si="531"/>
        <v>23503.920000000002</v>
      </c>
      <c r="V108" s="58">
        <f t="shared" si="532"/>
        <v>77699.258736000003</v>
      </c>
      <c r="W108" s="59">
        <f t="shared" si="533"/>
        <v>22963.600000000002</v>
      </c>
      <c r="X108" s="58">
        <f t="shared" si="534"/>
        <v>75913.068880000006</v>
      </c>
      <c r="Y108" s="56">
        <f t="shared" si="535"/>
        <v>22423.280000000002</v>
      </c>
      <c r="Z108" s="58">
        <f t="shared" si="536"/>
        <v>74126.879024000009</v>
      </c>
      <c r="AA108" s="54">
        <f t="shared" si="537"/>
        <v>21882.960000000003</v>
      </c>
      <c r="AB108" s="58">
        <f t="shared" si="538"/>
        <v>72340.689168000012</v>
      </c>
      <c r="AC108" s="59">
        <f t="shared" si="539"/>
        <v>21342.639999999999</v>
      </c>
      <c r="AD108" s="58">
        <f t="shared" si="540"/>
        <v>70554.499312</v>
      </c>
      <c r="AE108" s="59">
        <f t="shared" si="541"/>
        <v>20802.32</v>
      </c>
      <c r="AF108" s="58">
        <f t="shared" si="542"/>
        <v>68768.309456000003</v>
      </c>
      <c r="AG108" s="59">
        <f t="shared" si="543"/>
        <v>20262</v>
      </c>
      <c r="AH108" s="58">
        <f t="shared" si="544"/>
        <v>66982.119600000005</v>
      </c>
      <c r="AI108" s="54">
        <f t="shared" si="545"/>
        <v>19721.68</v>
      </c>
      <c r="AJ108" s="58">
        <f t="shared" si="546"/>
        <v>65195.929744000001</v>
      </c>
      <c r="AK108" s="59">
        <f t="shared" si="547"/>
        <v>19181.359999999997</v>
      </c>
      <c r="AL108" s="58">
        <f t="shared" si="548"/>
        <v>63409.739887999989</v>
      </c>
      <c r="AM108" s="59">
        <f t="shared" si="549"/>
        <v>18641.039999999997</v>
      </c>
      <c r="AN108" s="58">
        <f t="shared" si="550"/>
        <v>61623.550031999992</v>
      </c>
      <c r="AO108" s="59">
        <f t="shared" si="551"/>
        <v>18100.719999999998</v>
      </c>
      <c r="AP108" s="58">
        <f t="shared" si="552"/>
        <v>59837.360175999995</v>
      </c>
      <c r="AQ108" s="59">
        <f t="shared" si="553"/>
        <v>17560.399999999998</v>
      </c>
      <c r="AR108" s="58">
        <f t="shared" si="554"/>
        <v>58051.170319999997</v>
      </c>
      <c r="AS108" s="54">
        <f t="shared" si="555"/>
        <v>17020.079999999998</v>
      </c>
      <c r="AT108" s="58">
        <f t="shared" si="556"/>
        <v>56264.980463999993</v>
      </c>
      <c r="AU108" s="59">
        <f t="shared" si="557"/>
        <v>16479.759999999995</v>
      </c>
      <c r="AV108" s="58">
        <f t="shared" si="558"/>
        <v>54478.790607999981</v>
      </c>
      <c r="AW108" s="59">
        <f t="shared" si="559"/>
        <v>15939.439999999995</v>
      </c>
      <c r="AX108" s="58">
        <f t="shared" si="560"/>
        <v>52692.600751999984</v>
      </c>
      <c r="AY108" s="54">
        <f t="shared" si="561"/>
        <v>15399.119999999995</v>
      </c>
      <c r="AZ108" s="58">
        <f t="shared" si="562"/>
        <v>50906.410895999987</v>
      </c>
      <c r="BC108" s="54">
        <v>1</v>
      </c>
      <c r="BD108" s="54">
        <v>0.97</v>
      </c>
      <c r="BE108" s="54">
        <v>0.95</v>
      </c>
      <c r="BF108" s="54">
        <v>0.93</v>
      </c>
      <c r="BG108" s="54">
        <f t="shared" si="656"/>
        <v>0.91</v>
      </c>
      <c r="BH108" s="54">
        <f t="shared" si="656"/>
        <v>0.89</v>
      </c>
      <c r="BI108" s="54">
        <f t="shared" si="656"/>
        <v>0.87</v>
      </c>
      <c r="BJ108" s="54">
        <f t="shared" si="656"/>
        <v>0.85</v>
      </c>
      <c r="BK108" s="54">
        <f t="shared" si="656"/>
        <v>0.83</v>
      </c>
      <c r="BL108" s="54">
        <f t="shared" si="656"/>
        <v>0.80999999999999994</v>
      </c>
      <c r="BM108" s="54">
        <f t="shared" si="656"/>
        <v>0.78999999999999992</v>
      </c>
      <c r="BN108" s="54">
        <f t="shared" si="656"/>
        <v>0.76999999999999991</v>
      </c>
      <c r="BO108" s="54">
        <f t="shared" si="656"/>
        <v>0.74999999999999989</v>
      </c>
      <c r="BP108" s="54">
        <f t="shared" si="656"/>
        <v>0.72999999999999987</v>
      </c>
      <c r="BQ108" s="54">
        <f t="shared" si="656"/>
        <v>0.70999999999999985</v>
      </c>
      <c r="BR108" s="54">
        <f t="shared" si="656"/>
        <v>0.68999999999999984</v>
      </c>
      <c r="BS108" s="54">
        <f t="shared" si="656"/>
        <v>0.66999999999999982</v>
      </c>
      <c r="BT108" s="54">
        <f t="shared" si="656"/>
        <v>0.6499999999999998</v>
      </c>
      <c r="BU108" s="54">
        <f t="shared" si="656"/>
        <v>0.62999999999999978</v>
      </c>
      <c r="BV108" s="54">
        <f t="shared" si="656"/>
        <v>0.60999999999999976</v>
      </c>
      <c r="BW108" s="54">
        <f t="shared" si="656"/>
        <v>0.58999999999999975</v>
      </c>
      <c r="BX108" s="54">
        <f t="shared" si="656"/>
        <v>0.56999999999999973</v>
      </c>
      <c r="BZ108" s="54">
        <f t="shared" si="513"/>
        <v>24584.560000000005</v>
      </c>
      <c r="CA108" s="54">
        <f t="shared" si="514"/>
        <v>24584.560000000005</v>
      </c>
      <c r="CB108" s="58">
        <f t="shared" si="564"/>
        <v>81271.638448000012</v>
      </c>
      <c r="CC108" s="54">
        <f t="shared" si="565"/>
        <v>23847.023200000003</v>
      </c>
      <c r="CD108" s="58">
        <f t="shared" si="566"/>
        <v>78833.489294560015</v>
      </c>
      <c r="CE108" s="54">
        <f t="shared" si="567"/>
        <v>23355.332000000002</v>
      </c>
      <c r="CF108" s="58">
        <f t="shared" si="568"/>
        <v>77208.056525600012</v>
      </c>
      <c r="CG108" s="54">
        <f t="shared" si="569"/>
        <v>22863.640800000005</v>
      </c>
      <c r="CH108" s="58">
        <f t="shared" si="570"/>
        <v>75582.623756640023</v>
      </c>
      <c r="CI108" s="56">
        <f t="shared" si="571"/>
        <v>22371.949600000004</v>
      </c>
      <c r="CJ108" s="58">
        <f t="shared" si="572"/>
        <v>73957.19098768002</v>
      </c>
      <c r="CK108" s="54">
        <f t="shared" si="573"/>
        <v>21880.258400000006</v>
      </c>
      <c r="CL108" s="58">
        <f t="shared" si="574"/>
        <v>72331.758218720017</v>
      </c>
      <c r="CM108" s="56">
        <f t="shared" si="575"/>
        <v>21388.567200000005</v>
      </c>
      <c r="CN108" s="58">
        <f t="shared" si="576"/>
        <v>70706.325449760014</v>
      </c>
      <c r="CO108" s="59">
        <f t="shared" si="577"/>
        <v>20896.876000000004</v>
      </c>
      <c r="CP108" s="58">
        <f t="shared" si="578"/>
        <v>69080.892680800011</v>
      </c>
      <c r="CQ108" s="56">
        <f t="shared" si="579"/>
        <v>20405.184800000003</v>
      </c>
      <c r="CR108" s="58">
        <f t="shared" si="580"/>
        <v>67455.459911840007</v>
      </c>
      <c r="CS108" s="54">
        <f t="shared" si="581"/>
        <v>19913.493600000002</v>
      </c>
      <c r="CT108" s="58">
        <f t="shared" si="582"/>
        <v>65830.027142880004</v>
      </c>
      <c r="CU108" s="59">
        <f t="shared" si="583"/>
        <v>19421.8024</v>
      </c>
      <c r="CV108" s="58">
        <f t="shared" si="584"/>
        <v>64204.594373920001</v>
      </c>
      <c r="CW108" s="59">
        <f t="shared" si="585"/>
        <v>18930.111200000003</v>
      </c>
      <c r="CX108" s="58">
        <f t="shared" si="586"/>
        <v>62579.161604960012</v>
      </c>
      <c r="CY108" s="59">
        <f t="shared" si="587"/>
        <v>18438.420000000002</v>
      </c>
      <c r="CZ108" s="58">
        <f t="shared" si="588"/>
        <v>60953.728836000009</v>
      </c>
      <c r="DA108" s="54">
        <f t="shared" si="589"/>
        <v>17946.728800000001</v>
      </c>
      <c r="DB108" s="58">
        <f t="shared" si="590"/>
        <v>59328.296067040006</v>
      </c>
      <c r="DC108" s="59">
        <f t="shared" si="591"/>
        <v>17455.0376</v>
      </c>
      <c r="DD108" s="58">
        <f t="shared" si="592"/>
        <v>57702.863298080003</v>
      </c>
      <c r="DE108" s="59">
        <f t="shared" si="593"/>
        <v>16963.346399999999</v>
      </c>
      <c r="DF108" s="58">
        <f t="shared" si="594"/>
        <v>56077.43052912</v>
      </c>
      <c r="DG108" s="59">
        <f t="shared" si="595"/>
        <v>16471.655199999997</v>
      </c>
      <c r="DH108" s="58">
        <f t="shared" si="596"/>
        <v>54451.997760159989</v>
      </c>
      <c r="DI108" s="59">
        <f t="shared" si="597"/>
        <v>15979.963999999998</v>
      </c>
      <c r="DJ108" s="58">
        <f t="shared" si="598"/>
        <v>52826.564991199994</v>
      </c>
      <c r="DK108" s="54">
        <f t="shared" si="599"/>
        <v>15488.272799999997</v>
      </c>
      <c r="DL108" s="58">
        <f t="shared" si="600"/>
        <v>51201.13222223999</v>
      </c>
      <c r="DM108" s="59">
        <f t="shared" si="601"/>
        <v>14996.581599999998</v>
      </c>
      <c r="DN108" s="58">
        <f t="shared" si="602"/>
        <v>49575.699453279994</v>
      </c>
      <c r="DO108" s="59">
        <f t="shared" si="603"/>
        <v>14504.890399999997</v>
      </c>
      <c r="DP108" s="58">
        <f t="shared" si="604"/>
        <v>47950.266684319991</v>
      </c>
      <c r="DQ108" s="54">
        <f t="shared" si="605"/>
        <v>14013.199199999995</v>
      </c>
      <c r="DR108" s="58">
        <f t="shared" si="606"/>
        <v>46324.833915359988</v>
      </c>
      <c r="DU108" s="54">
        <v>1</v>
      </c>
      <c r="DV108" s="54">
        <v>0.97</v>
      </c>
      <c r="DW108" s="54">
        <v>0.95</v>
      </c>
      <c r="DX108" s="54">
        <v>0.93</v>
      </c>
      <c r="DY108" s="54">
        <f t="shared" si="652"/>
        <v>0.91</v>
      </c>
      <c r="DZ108" s="54">
        <f t="shared" si="652"/>
        <v>0.89</v>
      </c>
      <c r="EA108" s="54">
        <f t="shared" si="652"/>
        <v>0.87</v>
      </c>
      <c r="EB108" s="54">
        <f t="shared" ref="EB108:EP108" si="657">+EA108-0.02</f>
        <v>0.85</v>
      </c>
      <c r="EC108" s="54">
        <f t="shared" si="657"/>
        <v>0.83</v>
      </c>
      <c r="ED108" s="54">
        <f t="shared" si="657"/>
        <v>0.80999999999999994</v>
      </c>
      <c r="EE108" s="54">
        <f t="shared" si="657"/>
        <v>0.78999999999999992</v>
      </c>
      <c r="EF108" s="54">
        <f t="shared" si="657"/>
        <v>0.76999999999999991</v>
      </c>
      <c r="EG108" s="54">
        <f t="shared" si="657"/>
        <v>0.74999999999999989</v>
      </c>
      <c r="EH108" s="54">
        <f t="shared" si="657"/>
        <v>0.72999999999999987</v>
      </c>
      <c r="EI108" s="54">
        <f t="shared" si="657"/>
        <v>0.70999999999999985</v>
      </c>
      <c r="EJ108" s="54">
        <f t="shared" si="657"/>
        <v>0.68999999999999984</v>
      </c>
      <c r="EK108" s="54">
        <f t="shared" si="657"/>
        <v>0.66999999999999982</v>
      </c>
      <c r="EL108" s="54">
        <f t="shared" si="657"/>
        <v>0.6499999999999998</v>
      </c>
      <c r="EM108" s="54">
        <f t="shared" si="657"/>
        <v>0.62999999999999978</v>
      </c>
      <c r="EN108" s="54">
        <f t="shared" si="657"/>
        <v>0.60999999999999976</v>
      </c>
      <c r="EO108" s="54">
        <f t="shared" si="657"/>
        <v>0.58999999999999975</v>
      </c>
      <c r="EP108" s="54">
        <f t="shared" si="657"/>
        <v>0.56999999999999973</v>
      </c>
      <c r="ER108" s="54">
        <f t="shared" si="653"/>
        <v>22371.949600000004</v>
      </c>
      <c r="ES108" s="54">
        <f t="shared" si="515"/>
        <v>22371.949600000004</v>
      </c>
      <c r="ET108" s="58">
        <f t="shared" si="607"/>
        <v>73957.19098768002</v>
      </c>
      <c r="EU108" s="54">
        <f t="shared" si="608"/>
        <v>21700.791112000003</v>
      </c>
      <c r="EV108" s="58">
        <f t="shared" si="609"/>
        <v>71738.475258049613</v>
      </c>
      <c r="EW108" s="54">
        <f t="shared" si="610"/>
        <v>21253.352120000003</v>
      </c>
      <c r="EX108" s="58">
        <f t="shared" si="611"/>
        <v>70259.331438296009</v>
      </c>
      <c r="EY108" s="54">
        <f t="shared" si="612"/>
        <v>20805.913128000004</v>
      </c>
      <c r="EZ108" s="58">
        <f t="shared" si="613"/>
        <v>68780.187618542419</v>
      </c>
      <c r="FA108" s="56">
        <f t="shared" si="614"/>
        <v>20358.474136000004</v>
      </c>
      <c r="FB108" s="58">
        <f t="shared" si="615"/>
        <v>67301.043798788814</v>
      </c>
      <c r="FC108" s="54">
        <f t="shared" si="616"/>
        <v>19911.035144000005</v>
      </c>
      <c r="FD108" s="58">
        <f t="shared" si="617"/>
        <v>65821.899979035225</v>
      </c>
      <c r="FE108" s="56">
        <f t="shared" si="618"/>
        <v>19463.596152000002</v>
      </c>
      <c r="FF108" s="58">
        <f t="shared" si="619"/>
        <v>64342.756159281606</v>
      </c>
      <c r="FG108" s="59">
        <f t="shared" si="620"/>
        <v>19016.157160000002</v>
      </c>
      <c r="FH108" s="58">
        <f t="shared" si="621"/>
        <v>62863.612339528008</v>
      </c>
      <c r="FI108" s="56">
        <f t="shared" si="622"/>
        <v>18568.718168000003</v>
      </c>
      <c r="FJ108" s="58">
        <f t="shared" si="623"/>
        <v>61384.468519774411</v>
      </c>
      <c r="FK108" s="54">
        <f t="shared" si="624"/>
        <v>18121.279176</v>
      </c>
      <c r="FL108" s="58">
        <f t="shared" si="625"/>
        <v>59905.324700020799</v>
      </c>
      <c r="FM108" s="59">
        <f t="shared" si="626"/>
        <v>17673.840184000001</v>
      </c>
      <c r="FN108" s="58">
        <f t="shared" si="627"/>
        <v>58426.180880267202</v>
      </c>
      <c r="FO108" s="59">
        <f t="shared" si="628"/>
        <v>17226.401192000001</v>
      </c>
      <c r="FP108" s="58">
        <f t="shared" si="629"/>
        <v>56947.037060513605</v>
      </c>
      <c r="FQ108" s="59">
        <f t="shared" si="630"/>
        <v>16778.962200000002</v>
      </c>
      <c r="FR108" s="58">
        <f t="shared" si="631"/>
        <v>55467.893240760008</v>
      </c>
      <c r="FS108" s="54">
        <f t="shared" si="632"/>
        <v>16331.523208000001</v>
      </c>
      <c r="FT108" s="58">
        <f t="shared" si="633"/>
        <v>53988.749421006403</v>
      </c>
      <c r="FU108" s="59">
        <f t="shared" si="634"/>
        <v>15884.084215999999</v>
      </c>
      <c r="FV108" s="58">
        <f t="shared" si="635"/>
        <v>52509.605601252799</v>
      </c>
      <c r="FW108" s="59">
        <f t="shared" si="636"/>
        <v>15436.645223999998</v>
      </c>
      <c r="FX108" s="58">
        <f t="shared" si="637"/>
        <v>51030.461781499194</v>
      </c>
      <c r="FY108" s="59">
        <f t="shared" si="638"/>
        <v>14989.206231999999</v>
      </c>
      <c r="FZ108" s="58">
        <f t="shared" si="639"/>
        <v>49551.317961745597</v>
      </c>
      <c r="GA108" s="59">
        <f t="shared" si="640"/>
        <v>14541.767239999997</v>
      </c>
      <c r="GB108" s="58">
        <f t="shared" si="641"/>
        <v>48072.174141991993</v>
      </c>
      <c r="GC108" s="54">
        <f t="shared" si="642"/>
        <v>14094.328247999998</v>
      </c>
      <c r="GD108" s="58">
        <f t="shared" si="643"/>
        <v>46593.030322238395</v>
      </c>
      <c r="GE108" s="59">
        <f t="shared" si="644"/>
        <v>13646.889255999997</v>
      </c>
      <c r="GF108" s="58">
        <f t="shared" si="645"/>
        <v>45113.886502484791</v>
      </c>
      <c r="GG108" s="59">
        <f t="shared" si="646"/>
        <v>13199.450263999997</v>
      </c>
      <c r="GH108" s="58">
        <f t="shared" si="647"/>
        <v>43634.742682731194</v>
      </c>
      <c r="GI108" s="54">
        <f t="shared" si="648"/>
        <v>12752.011271999996</v>
      </c>
      <c r="GJ108" s="58">
        <f t="shared" si="649"/>
        <v>42155.598862977589</v>
      </c>
      <c r="GK108" s="54"/>
      <c r="GL108" s="54"/>
      <c r="GM108" s="54">
        <v>1</v>
      </c>
      <c r="GN108" s="54">
        <v>0.97</v>
      </c>
      <c r="GO108" s="54">
        <v>0.95</v>
      </c>
      <c r="GP108" s="54">
        <v>0.93</v>
      </c>
      <c r="GQ108" s="54">
        <f t="shared" si="654"/>
        <v>0.91</v>
      </c>
      <c r="GR108" s="54">
        <f t="shared" si="654"/>
        <v>0.89</v>
      </c>
      <c r="GS108" s="54">
        <f t="shared" si="654"/>
        <v>0.87</v>
      </c>
      <c r="GT108" s="54">
        <f t="shared" ref="GT108:HH108" si="658">+GS108-0.02</f>
        <v>0.85</v>
      </c>
      <c r="GU108" s="54">
        <f t="shared" si="658"/>
        <v>0.83</v>
      </c>
      <c r="GV108" s="54">
        <f t="shared" si="658"/>
        <v>0.80999999999999994</v>
      </c>
      <c r="GW108" s="54">
        <f t="shared" si="658"/>
        <v>0.78999999999999992</v>
      </c>
      <c r="GX108" s="54">
        <f t="shared" si="658"/>
        <v>0.76999999999999991</v>
      </c>
      <c r="GY108" s="54">
        <f t="shared" si="658"/>
        <v>0.74999999999999989</v>
      </c>
      <c r="GZ108" s="54">
        <f t="shared" si="658"/>
        <v>0.72999999999999987</v>
      </c>
      <c r="HA108" s="54">
        <f t="shared" si="658"/>
        <v>0.70999999999999985</v>
      </c>
      <c r="HB108" s="54">
        <f t="shared" si="658"/>
        <v>0.68999999999999984</v>
      </c>
      <c r="HC108" s="54">
        <f t="shared" si="658"/>
        <v>0.66999999999999982</v>
      </c>
      <c r="HD108" s="54">
        <f t="shared" si="658"/>
        <v>0.6499999999999998</v>
      </c>
      <c r="HE108" s="54">
        <f t="shared" si="658"/>
        <v>0.62999999999999978</v>
      </c>
      <c r="HF108" s="54">
        <f t="shared" si="658"/>
        <v>0.60999999999999976</v>
      </c>
      <c r="HG108" s="54">
        <f t="shared" si="658"/>
        <v>0.58999999999999975</v>
      </c>
      <c r="HH108" s="54">
        <f t="shared" si="658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2">
        <f t="shared" si="520"/>
        <v>0</v>
      </c>
      <c r="H109" s="54">
        <f t="shared" si="510"/>
        <v>0</v>
      </c>
      <c r="I109" s="54">
        <f t="shared" si="511"/>
        <v>0</v>
      </c>
      <c r="J109" s="58">
        <f t="shared" si="512"/>
        <v>0</v>
      </c>
      <c r="K109" s="54">
        <f t="shared" si="521"/>
        <v>0</v>
      </c>
      <c r="L109" s="58">
        <f t="shared" si="522"/>
        <v>0</v>
      </c>
      <c r="M109" s="54">
        <f t="shared" si="523"/>
        <v>0</v>
      </c>
      <c r="N109" s="58">
        <f t="shared" si="524"/>
        <v>0</v>
      </c>
      <c r="O109" s="54">
        <f t="shared" si="525"/>
        <v>0</v>
      </c>
      <c r="P109" s="58">
        <f t="shared" si="526"/>
        <v>0</v>
      </c>
      <c r="Q109" s="56">
        <f t="shared" si="527"/>
        <v>0</v>
      </c>
      <c r="R109" s="58">
        <f t="shared" si="528"/>
        <v>0</v>
      </c>
      <c r="S109" s="54">
        <f t="shared" si="529"/>
        <v>0</v>
      </c>
      <c r="T109" s="58">
        <f t="shared" si="530"/>
        <v>0</v>
      </c>
      <c r="U109" s="56">
        <f t="shared" si="531"/>
        <v>0</v>
      </c>
      <c r="V109" s="58">
        <f t="shared" si="532"/>
        <v>0</v>
      </c>
      <c r="W109" s="59">
        <f t="shared" si="533"/>
        <v>0</v>
      </c>
      <c r="X109" s="58">
        <f t="shared" si="534"/>
        <v>0</v>
      </c>
      <c r="Y109" s="56">
        <f t="shared" si="535"/>
        <v>0</v>
      </c>
      <c r="Z109" s="58">
        <f t="shared" si="536"/>
        <v>0</v>
      </c>
      <c r="AA109" s="54">
        <f t="shared" si="537"/>
        <v>0</v>
      </c>
      <c r="AB109" s="58">
        <f t="shared" si="538"/>
        <v>0</v>
      </c>
      <c r="AC109" s="59">
        <f t="shared" si="539"/>
        <v>0</v>
      </c>
      <c r="AD109" s="58">
        <f t="shared" si="540"/>
        <v>0</v>
      </c>
      <c r="AE109" s="59">
        <f t="shared" si="541"/>
        <v>0</v>
      </c>
      <c r="AF109" s="58">
        <f t="shared" si="542"/>
        <v>0</v>
      </c>
      <c r="AG109" s="59">
        <f t="shared" si="543"/>
        <v>0</v>
      </c>
      <c r="AH109" s="58">
        <f t="shared" si="544"/>
        <v>0</v>
      </c>
      <c r="AI109" s="54">
        <f t="shared" si="545"/>
        <v>0</v>
      </c>
      <c r="AJ109" s="58">
        <f t="shared" si="546"/>
        <v>0</v>
      </c>
      <c r="AK109" s="59">
        <f t="shared" si="547"/>
        <v>0</v>
      </c>
      <c r="AL109" s="58">
        <f t="shared" si="548"/>
        <v>0</v>
      </c>
      <c r="AM109" s="59">
        <f t="shared" si="549"/>
        <v>0</v>
      </c>
      <c r="AN109" s="58">
        <f t="shared" si="550"/>
        <v>0</v>
      </c>
      <c r="AO109" s="59">
        <f t="shared" si="551"/>
        <v>0</v>
      </c>
      <c r="AP109" s="58">
        <f t="shared" si="552"/>
        <v>0</v>
      </c>
      <c r="AQ109" s="59">
        <f t="shared" si="553"/>
        <v>0</v>
      </c>
      <c r="AR109" s="58">
        <f t="shared" si="554"/>
        <v>0</v>
      </c>
      <c r="AS109" s="54">
        <f t="shared" si="555"/>
        <v>0</v>
      </c>
      <c r="AT109" s="58">
        <f t="shared" si="556"/>
        <v>0</v>
      </c>
      <c r="AU109" s="59">
        <f t="shared" si="557"/>
        <v>0</v>
      </c>
      <c r="AV109" s="58">
        <f t="shared" si="558"/>
        <v>0</v>
      </c>
      <c r="AW109" s="59">
        <f t="shared" si="559"/>
        <v>0</v>
      </c>
      <c r="AX109" s="58">
        <f t="shared" si="560"/>
        <v>0</v>
      </c>
      <c r="AY109" s="54">
        <f t="shared" si="561"/>
        <v>0</v>
      </c>
      <c r="AZ109" s="58">
        <f t="shared" si="562"/>
        <v>0</v>
      </c>
      <c r="BC109" s="54">
        <v>1</v>
      </c>
      <c r="BD109" s="54">
        <v>0.97</v>
      </c>
      <c r="BE109" s="54">
        <v>0.95</v>
      </c>
      <c r="BF109" s="54">
        <v>0.93</v>
      </c>
      <c r="BG109" s="54">
        <f t="shared" si="656"/>
        <v>0.91</v>
      </c>
      <c r="BH109" s="54">
        <f t="shared" si="656"/>
        <v>0.89</v>
      </c>
      <c r="BI109" s="54">
        <f t="shared" si="656"/>
        <v>0.87</v>
      </c>
      <c r="BJ109" s="54">
        <f t="shared" si="656"/>
        <v>0.85</v>
      </c>
      <c r="BK109" s="54">
        <f t="shared" si="656"/>
        <v>0.83</v>
      </c>
      <c r="BL109" s="54">
        <f t="shared" si="656"/>
        <v>0.80999999999999994</v>
      </c>
      <c r="BM109" s="54">
        <f t="shared" si="656"/>
        <v>0.78999999999999992</v>
      </c>
      <c r="BN109" s="54">
        <f t="shared" si="656"/>
        <v>0.76999999999999991</v>
      </c>
      <c r="BO109" s="54">
        <f t="shared" si="656"/>
        <v>0.74999999999999989</v>
      </c>
      <c r="BP109" s="54">
        <f t="shared" si="656"/>
        <v>0.72999999999999987</v>
      </c>
      <c r="BQ109" s="54">
        <f t="shared" si="656"/>
        <v>0.70999999999999985</v>
      </c>
      <c r="BR109" s="54">
        <f t="shared" si="656"/>
        <v>0.68999999999999984</v>
      </c>
      <c r="BS109" s="54">
        <f t="shared" si="656"/>
        <v>0.66999999999999982</v>
      </c>
      <c r="BT109" s="54">
        <f t="shared" si="656"/>
        <v>0.6499999999999998</v>
      </c>
      <c r="BU109" s="54">
        <f t="shared" si="656"/>
        <v>0.62999999999999978</v>
      </c>
      <c r="BV109" s="54">
        <f t="shared" si="656"/>
        <v>0.60999999999999976</v>
      </c>
      <c r="BW109" s="54">
        <f t="shared" si="656"/>
        <v>0.58999999999999975</v>
      </c>
      <c r="BX109" s="54">
        <f t="shared" si="656"/>
        <v>0.56999999999999973</v>
      </c>
      <c r="BZ109" s="54">
        <f t="shared" si="513"/>
        <v>0</v>
      </c>
      <c r="CA109" s="54">
        <f t="shared" si="514"/>
        <v>0</v>
      </c>
      <c r="CB109" s="58">
        <f t="shared" si="564"/>
        <v>0</v>
      </c>
      <c r="CC109" s="54">
        <f t="shared" si="565"/>
        <v>0</v>
      </c>
      <c r="CD109" s="58">
        <f t="shared" si="566"/>
        <v>0</v>
      </c>
      <c r="CE109" s="54">
        <f t="shared" si="567"/>
        <v>0</v>
      </c>
      <c r="CF109" s="58">
        <f t="shared" si="568"/>
        <v>0</v>
      </c>
      <c r="CG109" s="54">
        <f t="shared" si="569"/>
        <v>0</v>
      </c>
      <c r="CH109" s="58">
        <f t="shared" si="570"/>
        <v>0</v>
      </c>
      <c r="CI109" s="56">
        <f t="shared" si="571"/>
        <v>0</v>
      </c>
      <c r="CJ109" s="58">
        <f t="shared" si="572"/>
        <v>0</v>
      </c>
      <c r="CK109" s="54">
        <f t="shared" si="573"/>
        <v>0</v>
      </c>
      <c r="CL109" s="58">
        <f t="shared" si="574"/>
        <v>0</v>
      </c>
      <c r="CM109" s="56">
        <f t="shared" si="575"/>
        <v>0</v>
      </c>
      <c r="CN109" s="58">
        <f t="shared" si="576"/>
        <v>0</v>
      </c>
      <c r="CO109" s="59">
        <f t="shared" si="577"/>
        <v>0</v>
      </c>
      <c r="CP109" s="58">
        <f t="shared" si="578"/>
        <v>0</v>
      </c>
      <c r="CQ109" s="56">
        <f t="shared" si="579"/>
        <v>0</v>
      </c>
      <c r="CR109" s="58">
        <f t="shared" si="580"/>
        <v>0</v>
      </c>
      <c r="CS109" s="54">
        <f t="shared" si="581"/>
        <v>0</v>
      </c>
      <c r="CT109" s="58">
        <f t="shared" si="582"/>
        <v>0</v>
      </c>
      <c r="CU109" s="59">
        <f t="shared" si="583"/>
        <v>0</v>
      </c>
      <c r="CV109" s="58">
        <f t="shared" si="584"/>
        <v>0</v>
      </c>
      <c r="CW109" s="59">
        <f t="shared" si="585"/>
        <v>0</v>
      </c>
      <c r="CX109" s="58">
        <f t="shared" si="586"/>
        <v>0</v>
      </c>
      <c r="CY109" s="59">
        <f t="shared" si="587"/>
        <v>0</v>
      </c>
      <c r="CZ109" s="58">
        <f t="shared" si="588"/>
        <v>0</v>
      </c>
      <c r="DA109" s="54">
        <f t="shared" si="589"/>
        <v>0</v>
      </c>
      <c r="DB109" s="58">
        <f t="shared" si="590"/>
        <v>0</v>
      </c>
      <c r="DC109" s="59">
        <f t="shared" si="591"/>
        <v>0</v>
      </c>
      <c r="DD109" s="58">
        <f t="shared" si="592"/>
        <v>0</v>
      </c>
      <c r="DE109" s="59">
        <f t="shared" si="593"/>
        <v>0</v>
      </c>
      <c r="DF109" s="58">
        <f t="shared" si="594"/>
        <v>0</v>
      </c>
      <c r="DG109" s="59">
        <f t="shared" si="595"/>
        <v>0</v>
      </c>
      <c r="DH109" s="58">
        <f t="shared" si="596"/>
        <v>0</v>
      </c>
      <c r="DI109" s="59">
        <f t="shared" si="597"/>
        <v>0</v>
      </c>
      <c r="DJ109" s="58">
        <f t="shared" si="598"/>
        <v>0</v>
      </c>
      <c r="DK109" s="54">
        <f t="shared" si="599"/>
        <v>0</v>
      </c>
      <c r="DL109" s="58">
        <f t="shared" si="600"/>
        <v>0</v>
      </c>
      <c r="DM109" s="59">
        <f t="shared" si="601"/>
        <v>0</v>
      </c>
      <c r="DN109" s="58">
        <f t="shared" si="602"/>
        <v>0</v>
      </c>
      <c r="DO109" s="59">
        <f t="shared" si="603"/>
        <v>0</v>
      </c>
      <c r="DP109" s="58">
        <f t="shared" si="604"/>
        <v>0</v>
      </c>
      <c r="DQ109" s="54">
        <f t="shared" si="605"/>
        <v>0</v>
      </c>
      <c r="DR109" s="58">
        <f t="shared" si="606"/>
        <v>0</v>
      </c>
      <c r="DU109" s="54">
        <v>1</v>
      </c>
      <c r="DV109" s="54">
        <v>0.97</v>
      </c>
      <c r="DW109" s="54">
        <v>0.95</v>
      </c>
      <c r="DX109" s="54">
        <v>0.93</v>
      </c>
      <c r="DY109" s="54">
        <f t="shared" ref="DY109:EP123" si="659">+DX109-0.02</f>
        <v>0.91</v>
      </c>
      <c r="DZ109" s="54">
        <f t="shared" si="659"/>
        <v>0.89</v>
      </c>
      <c r="EA109" s="54">
        <f t="shared" si="659"/>
        <v>0.87</v>
      </c>
      <c r="EB109" s="54">
        <f t="shared" si="659"/>
        <v>0.85</v>
      </c>
      <c r="EC109" s="54">
        <f t="shared" si="659"/>
        <v>0.83</v>
      </c>
      <c r="ED109" s="54">
        <f t="shared" si="659"/>
        <v>0.80999999999999994</v>
      </c>
      <c r="EE109" s="54">
        <f t="shared" si="659"/>
        <v>0.78999999999999992</v>
      </c>
      <c r="EF109" s="54">
        <f t="shared" si="659"/>
        <v>0.76999999999999991</v>
      </c>
      <c r="EG109" s="54">
        <f t="shared" si="659"/>
        <v>0.74999999999999989</v>
      </c>
      <c r="EH109" s="54">
        <f t="shared" si="659"/>
        <v>0.72999999999999987</v>
      </c>
      <c r="EI109" s="54">
        <f t="shared" si="659"/>
        <v>0.70999999999999985</v>
      </c>
      <c r="EJ109" s="54">
        <f t="shared" si="659"/>
        <v>0.68999999999999984</v>
      </c>
      <c r="EK109" s="54">
        <f t="shared" si="659"/>
        <v>0.66999999999999982</v>
      </c>
      <c r="EL109" s="54">
        <f t="shared" si="659"/>
        <v>0.6499999999999998</v>
      </c>
      <c r="EM109" s="54">
        <f t="shared" si="659"/>
        <v>0.62999999999999978</v>
      </c>
      <c r="EN109" s="54">
        <f t="shared" si="659"/>
        <v>0.60999999999999976</v>
      </c>
      <c r="EO109" s="54">
        <f t="shared" si="659"/>
        <v>0.58999999999999975</v>
      </c>
      <c r="EP109" s="54">
        <f t="shared" si="659"/>
        <v>0.56999999999999973</v>
      </c>
      <c r="ER109" s="54">
        <f t="shared" si="653"/>
        <v>0</v>
      </c>
      <c r="ES109" s="54">
        <f t="shared" si="515"/>
        <v>0</v>
      </c>
      <c r="ET109" s="58">
        <f t="shared" si="607"/>
        <v>0</v>
      </c>
      <c r="EU109" s="54">
        <f t="shared" si="608"/>
        <v>0</v>
      </c>
      <c r="EV109" s="58">
        <f t="shared" si="609"/>
        <v>0</v>
      </c>
      <c r="EW109" s="54">
        <f t="shared" si="610"/>
        <v>0</v>
      </c>
      <c r="EX109" s="58">
        <f t="shared" si="611"/>
        <v>0</v>
      </c>
      <c r="EY109" s="54">
        <f t="shared" si="612"/>
        <v>0</v>
      </c>
      <c r="EZ109" s="58">
        <f t="shared" si="613"/>
        <v>0</v>
      </c>
      <c r="FA109" s="56">
        <f t="shared" si="614"/>
        <v>0</v>
      </c>
      <c r="FB109" s="58">
        <f t="shared" si="615"/>
        <v>0</v>
      </c>
      <c r="FC109" s="54">
        <f t="shared" si="616"/>
        <v>0</v>
      </c>
      <c r="FD109" s="58">
        <f t="shared" si="617"/>
        <v>0</v>
      </c>
      <c r="FE109" s="56">
        <f t="shared" si="618"/>
        <v>0</v>
      </c>
      <c r="FF109" s="58">
        <f t="shared" si="619"/>
        <v>0</v>
      </c>
      <c r="FG109" s="59">
        <f t="shared" si="620"/>
        <v>0</v>
      </c>
      <c r="FH109" s="58">
        <f t="shared" si="621"/>
        <v>0</v>
      </c>
      <c r="FI109" s="56">
        <f t="shared" si="622"/>
        <v>0</v>
      </c>
      <c r="FJ109" s="58">
        <f t="shared" si="623"/>
        <v>0</v>
      </c>
      <c r="FK109" s="54">
        <f t="shared" si="624"/>
        <v>0</v>
      </c>
      <c r="FL109" s="58">
        <f t="shared" si="625"/>
        <v>0</v>
      </c>
      <c r="FM109" s="59">
        <f t="shared" si="626"/>
        <v>0</v>
      </c>
      <c r="FN109" s="58">
        <f t="shared" si="627"/>
        <v>0</v>
      </c>
      <c r="FO109" s="59">
        <f t="shared" si="628"/>
        <v>0</v>
      </c>
      <c r="FP109" s="58">
        <f t="shared" si="629"/>
        <v>0</v>
      </c>
      <c r="FQ109" s="59">
        <f t="shared" si="630"/>
        <v>0</v>
      </c>
      <c r="FR109" s="58">
        <f t="shared" si="631"/>
        <v>0</v>
      </c>
      <c r="FS109" s="54">
        <f t="shared" si="632"/>
        <v>0</v>
      </c>
      <c r="FT109" s="58">
        <f t="shared" si="633"/>
        <v>0</v>
      </c>
      <c r="FU109" s="59">
        <f t="shared" si="634"/>
        <v>0</v>
      </c>
      <c r="FV109" s="58">
        <f t="shared" si="635"/>
        <v>0</v>
      </c>
      <c r="FW109" s="59">
        <f t="shared" si="636"/>
        <v>0</v>
      </c>
      <c r="FX109" s="58">
        <f t="shared" si="637"/>
        <v>0</v>
      </c>
      <c r="FY109" s="59">
        <f t="shared" si="638"/>
        <v>0</v>
      </c>
      <c r="FZ109" s="58">
        <f t="shared" si="639"/>
        <v>0</v>
      </c>
      <c r="GA109" s="59">
        <f t="shared" si="640"/>
        <v>0</v>
      </c>
      <c r="GB109" s="58">
        <f t="shared" si="641"/>
        <v>0</v>
      </c>
      <c r="GC109" s="54">
        <f t="shared" si="642"/>
        <v>0</v>
      </c>
      <c r="GD109" s="58">
        <f t="shared" si="643"/>
        <v>0</v>
      </c>
      <c r="GE109" s="59">
        <f t="shared" si="644"/>
        <v>0</v>
      </c>
      <c r="GF109" s="58">
        <f t="shared" si="645"/>
        <v>0</v>
      </c>
      <c r="GG109" s="59">
        <f t="shared" si="646"/>
        <v>0</v>
      </c>
      <c r="GH109" s="58">
        <f t="shared" si="647"/>
        <v>0</v>
      </c>
      <c r="GI109" s="54">
        <f t="shared" si="648"/>
        <v>0</v>
      </c>
      <c r="GJ109" s="58">
        <f t="shared" si="649"/>
        <v>0</v>
      </c>
      <c r="GK109" s="54"/>
      <c r="GL109" s="54"/>
      <c r="GM109" s="54">
        <v>1</v>
      </c>
      <c r="GN109" s="54">
        <v>0.97</v>
      </c>
      <c r="GO109" s="54">
        <v>0.95</v>
      </c>
      <c r="GP109" s="54">
        <v>0.93</v>
      </c>
      <c r="GQ109" s="54">
        <f t="shared" ref="GQ109:HH123" si="660">+GP109-0.02</f>
        <v>0.91</v>
      </c>
      <c r="GR109" s="54">
        <f t="shared" si="660"/>
        <v>0.89</v>
      </c>
      <c r="GS109" s="54">
        <f t="shared" si="660"/>
        <v>0.87</v>
      </c>
      <c r="GT109" s="54">
        <f t="shared" si="660"/>
        <v>0.85</v>
      </c>
      <c r="GU109" s="54">
        <f t="shared" si="660"/>
        <v>0.83</v>
      </c>
      <c r="GV109" s="54">
        <f t="shared" si="660"/>
        <v>0.80999999999999994</v>
      </c>
      <c r="GW109" s="54">
        <f t="shared" si="660"/>
        <v>0.78999999999999992</v>
      </c>
      <c r="GX109" s="54">
        <f t="shared" si="660"/>
        <v>0.76999999999999991</v>
      </c>
      <c r="GY109" s="54">
        <f t="shared" si="660"/>
        <v>0.74999999999999989</v>
      </c>
      <c r="GZ109" s="54">
        <f t="shared" si="660"/>
        <v>0.72999999999999987</v>
      </c>
      <c r="HA109" s="54">
        <f t="shared" si="660"/>
        <v>0.70999999999999985</v>
      </c>
      <c r="HB109" s="54">
        <f t="shared" si="660"/>
        <v>0.68999999999999984</v>
      </c>
      <c r="HC109" s="54">
        <f t="shared" si="660"/>
        <v>0.66999999999999982</v>
      </c>
      <c r="HD109" s="54">
        <f t="shared" si="660"/>
        <v>0.6499999999999998</v>
      </c>
      <c r="HE109" s="54">
        <f t="shared" si="660"/>
        <v>0.62999999999999978</v>
      </c>
      <c r="HF109" s="54">
        <f t="shared" si="660"/>
        <v>0.60999999999999976</v>
      </c>
      <c r="HG109" s="54">
        <f t="shared" si="660"/>
        <v>0.58999999999999975</v>
      </c>
      <c r="HH109" s="54">
        <f t="shared" si="660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2">
        <f t="shared" si="520"/>
        <v>0</v>
      </c>
      <c r="H110" s="54">
        <f t="shared" si="510"/>
        <v>0</v>
      </c>
      <c r="I110" s="54">
        <f t="shared" si="511"/>
        <v>0</v>
      </c>
      <c r="J110" s="58">
        <f t="shared" si="512"/>
        <v>0</v>
      </c>
      <c r="K110" s="54">
        <f t="shared" si="521"/>
        <v>0</v>
      </c>
      <c r="L110" s="58">
        <f t="shared" si="522"/>
        <v>0</v>
      </c>
      <c r="M110" s="54">
        <f t="shared" si="523"/>
        <v>0</v>
      </c>
      <c r="N110" s="58">
        <f t="shared" si="524"/>
        <v>0</v>
      </c>
      <c r="O110" s="54">
        <f t="shared" si="525"/>
        <v>0</v>
      </c>
      <c r="P110" s="58">
        <f t="shared" si="526"/>
        <v>0</v>
      </c>
      <c r="Q110" s="56">
        <f t="shared" si="527"/>
        <v>0</v>
      </c>
      <c r="R110" s="58">
        <f t="shared" si="528"/>
        <v>0</v>
      </c>
      <c r="S110" s="54">
        <f t="shared" si="529"/>
        <v>0</v>
      </c>
      <c r="T110" s="58">
        <f t="shared" si="530"/>
        <v>0</v>
      </c>
      <c r="U110" s="56">
        <f t="shared" si="531"/>
        <v>0</v>
      </c>
      <c r="V110" s="58">
        <f t="shared" si="532"/>
        <v>0</v>
      </c>
      <c r="W110" s="59">
        <f t="shared" si="533"/>
        <v>0</v>
      </c>
      <c r="X110" s="58">
        <f t="shared" si="534"/>
        <v>0</v>
      </c>
      <c r="Y110" s="56">
        <f t="shared" si="535"/>
        <v>0</v>
      </c>
      <c r="Z110" s="58">
        <f t="shared" si="536"/>
        <v>0</v>
      </c>
      <c r="AA110" s="54">
        <f t="shared" si="537"/>
        <v>0</v>
      </c>
      <c r="AB110" s="58">
        <f t="shared" si="538"/>
        <v>0</v>
      </c>
      <c r="AC110" s="59">
        <f t="shared" si="539"/>
        <v>0</v>
      </c>
      <c r="AD110" s="58">
        <f t="shared" si="540"/>
        <v>0</v>
      </c>
      <c r="AE110" s="59">
        <f t="shared" si="541"/>
        <v>0</v>
      </c>
      <c r="AF110" s="58">
        <f t="shared" si="542"/>
        <v>0</v>
      </c>
      <c r="AG110" s="59">
        <f t="shared" si="543"/>
        <v>0</v>
      </c>
      <c r="AH110" s="58">
        <f t="shared" si="544"/>
        <v>0</v>
      </c>
      <c r="AI110" s="54">
        <f t="shared" si="545"/>
        <v>0</v>
      </c>
      <c r="AJ110" s="58">
        <f t="shared" si="546"/>
        <v>0</v>
      </c>
      <c r="AK110" s="59">
        <f t="shared" si="547"/>
        <v>0</v>
      </c>
      <c r="AL110" s="58">
        <f t="shared" si="548"/>
        <v>0</v>
      </c>
      <c r="AM110" s="59">
        <f t="shared" si="549"/>
        <v>0</v>
      </c>
      <c r="AN110" s="58">
        <f t="shared" si="550"/>
        <v>0</v>
      </c>
      <c r="AO110" s="59">
        <f t="shared" si="551"/>
        <v>0</v>
      </c>
      <c r="AP110" s="58">
        <f t="shared" si="552"/>
        <v>0</v>
      </c>
      <c r="AQ110" s="59">
        <f t="shared" si="553"/>
        <v>0</v>
      </c>
      <c r="AR110" s="58">
        <f t="shared" si="554"/>
        <v>0</v>
      </c>
      <c r="AS110" s="54">
        <f t="shared" si="555"/>
        <v>0</v>
      </c>
      <c r="AT110" s="58">
        <f t="shared" si="556"/>
        <v>0</v>
      </c>
      <c r="AU110" s="59">
        <f t="shared" si="557"/>
        <v>0</v>
      </c>
      <c r="AV110" s="58">
        <f t="shared" si="558"/>
        <v>0</v>
      </c>
      <c r="AW110" s="59">
        <f t="shared" si="559"/>
        <v>0</v>
      </c>
      <c r="AX110" s="58">
        <f t="shared" si="560"/>
        <v>0</v>
      </c>
      <c r="AY110" s="54">
        <f t="shared" si="561"/>
        <v>0</v>
      </c>
      <c r="AZ110" s="58">
        <f t="shared" si="562"/>
        <v>0</v>
      </c>
      <c r="BC110" s="54">
        <v>1</v>
      </c>
      <c r="BD110" s="54">
        <v>0.97</v>
      </c>
      <c r="BE110" s="54">
        <v>0.95</v>
      </c>
      <c r="BF110" s="54">
        <v>0.93</v>
      </c>
      <c r="BG110" s="54">
        <f t="shared" si="656"/>
        <v>0.91</v>
      </c>
      <c r="BH110" s="54">
        <f t="shared" si="656"/>
        <v>0.89</v>
      </c>
      <c r="BI110" s="54">
        <f t="shared" si="656"/>
        <v>0.87</v>
      </c>
      <c r="BJ110" s="54">
        <f t="shared" si="656"/>
        <v>0.85</v>
      </c>
      <c r="BK110" s="54">
        <f t="shared" si="656"/>
        <v>0.83</v>
      </c>
      <c r="BL110" s="54">
        <f t="shared" si="656"/>
        <v>0.80999999999999994</v>
      </c>
      <c r="BM110" s="54">
        <f t="shared" si="656"/>
        <v>0.78999999999999992</v>
      </c>
      <c r="BN110" s="54">
        <f t="shared" si="656"/>
        <v>0.76999999999999991</v>
      </c>
      <c r="BO110" s="54">
        <f t="shared" si="656"/>
        <v>0.74999999999999989</v>
      </c>
      <c r="BP110" s="54">
        <f t="shared" si="656"/>
        <v>0.72999999999999987</v>
      </c>
      <c r="BQ110" s="54">
        <f t="shared" si="656"/>
        <v>0.70999999999999985</v>
      </c>
      <c r="BR110" s="54">
        <f t="shared" si="656"/>
        <v>0.68999999999999984</v>
      </c>
      <c r="BS110" s="54">
        <f t="shared" si="656"/>
        <v>0.66999999999999982</v>
      </c>
      <c r="BT110" s="54">
        <f t="shared" si="656"/>
        <v>0.6499999999999998</v>
      </c>
      <c r="BU110" s="54">
        <f t="shared" si="656"/>
        <v>0.62999999999999978</v>
      </c>
      <c r="BV110" s="54">
        <f t="shared" si="656"/>
        <v>0.60999999999999976</v>
      </c>
      <c r="BW110" s="54">
        <f t="shared" si="656"/>
        <v>0.58999999999999975</v>
      </c>
      <c r="BX110" s="54">
        <f t="shared" si="656"/>
        <v>0.56999999999999973</v>
      </c>
      <c r="BZ110" s="54">
        <f t="shared" si="513"/>
        <v>0</v>
      </c>
      <c r="CA110" s="54">
        <f t="shared" si="514"/>
        <v>0</v>
      </c>
      <c r="CB110" s="58">
        <f t="shared" si="564"/>
        <v>0</v>
      </c>
      <c r="CC110" s="54">
        <f t="shared" si="565"/>
        <v>0</v>
      </c>
      <c r="CD110" s="58">
        <f t="shared" si="566"/>
        <v>0</v>
      </c>
      <c r="CE110" s="54">
        <f t="shared" si="567"/>
        <v>0</v>
      </c>
      <c r="CF110" s="58">
        <f t="shared" si="568"/>
        <v>0</v>
      </c>
      <c r="CG110" s="54">
        <f t="shared" si="569"/>
        <v>0</v>
      </c>
      <c r="CH110" s="58">
        <f t="shared" si="570"/>
        <v>0</v>
      </c>
      <c r="CI110" s="56">
        <f t="shared" si="571"/>
        <v>0</v>
      </c>
      <c r="CJ110" s="58">
        <f t="shared" si="572"/>
        <v>0</v>
      </c>
      <c r="CK110" s="54">
        <f t="shared" si="573"/>
        <v>0</v>
      </c>
      <c r="CL110" s="58">
        <f t="shared" si="574"/>
        <v>0</v>
      </c>
      <c r="CM110" s="56">
        <f t="shared" si="575"/>
        <v>0</v>
      </c>
      <c r="CN110" s="58">
        <f t="shared" si="576"/>
        <v>0</v>
      </c>
      <c r="CO110" s="59">
        <f t="shared" si="577"/>
        <v>0</v>
      </c>
      <c r="CP110" s="58">
        <f t="shared" si="578"/>
        <v>0</v>
      </c>
      <c r="CQ110" s="56">
        <f t="shared" si="579"/>
        <v>0</v>
      </c>
      <c r="CR110" s="58">
        <f t="shared" si="580"/>
        <v>0</v>
      </c>
      <c r="CS110" s="54">
        <f t="shared" si="581"/>
        <v>0</v>
      </c>
      <c r="CT110" s="58">
        <f t="shared" si="582"/>
        <v>0</v>
      </c>
      <c r="CU110" s="59">
        <f t="shared" si="583"/>
        <v>0</v>
      </c>
      <c r="CV110" s="58">
        <f t="shared" si="584"/>
        <v>0</v>
      </c>
      <c r="CW110" s="59">
        <f t="shared" si="585"/>
        <v>0</v>
      </c>
      <c r="CX110" s="58">
        <f t="shared" si="586"/>
        <v>0</v>
      </c>
      <c r="CY110" s="59">
        <f t="shared" si="587"/>
        <v>0</v>
      </c>
      <c r="CZ110" s="58">
        <f t="shared" si="588"/>
        <v>0</v>
      </c>
      <c r="DA110" s="54">
        <f t="shared" si="589"/>
        <v>0</v>
      </c>
      <c r="DB110" s="58">
        <f t="shared" si="590"/>
        <v>0</v>
      </c>
      <c r="DC110" s="59">
        <f t="shared" si="591"/>
        <v>0</v>
      </c>
      <c r="DD110" s="58">
        <f t="shared" si="592"/>
        <v>0</v>
      </c>
      <c r="DE110" s="59">
        <f t="shared" si="593"/>
        <v>0</v>
      </c>
      <c r="DF110" s="58">
        <f t="shared" si="594"/>
        <v>0</v>
      </c>
      <c r="DG110" s="59">
        <f t="shared" si="595"/>
        <v>0</v>
      </c>
      <c r="DH110" s="58">
        <f t="shared" si="596"/>
        <v>0</v>
      </c>
      <c r="DI110" s="59">
        <f t="shared" si="597"/>
        <v>0</v>
      </c>
      <c r="DJ110" s="58">
        <f t="shared" si="598"/>
        <v>0</v>
      </c>
      <c r="DK110" s="54">
        <f t="shared" si="599"/>
        <v>0</v>
      </c>
      <c r="DL110" s="58">
        <f t="shared" si="600"/>
        <v>0</v>
      </c>
      <c r="DM110" s="59">
        <f t="shared" si="601"/>
        <v>0</v>
      </c>
      <c r="DN110" s="58">
        <f t="shared" si="602"/>
        <v>0</v>
      </c>
      <c r="DO110" s="59">
        <f t="shared" si="603"/>
        <v>0</v>
      </c>
      <c r="DP110" s="58">
        <f t="shared" si="604"/>
        <v>0</v>
      </c>
      <c r="DQ110" s="54">
        <f t="shared" si="605"/>
        <v>0</v>
      </c>
      <c r="DR110" s="58">
        <f t="shared" si="606"/>
        <v>0</v>
      </c>
      <c r="DU110" s="54">
        <v>1</v>
      </c>
      <c r="DV110" s="54">
        <v>0.97</v>
      </c>
      <c r="DW110" s="54">
        <v>0.95</v>
      </c>
      <c r="DX110" s="54">
        <v>0.93</v>
      </c>
      <c r="DY110" s="54">
        <f t="shared" si="659"/>
        <v>0.91</v>
      </c>
      <c r="DZ110" s="54">
        <f t="shared" si="659"/>
        <v>0.89</v>
      </c>
      <c r="EA110" s="54">
        <f t="shared" si="659"/>
        <v>0.87</v>
      </c>
      <c r="EB110" s="54">
        <f t="shared" si="659"/>
        <v>0.85</v>
      </c>
      <c r="EC110" s="54">
        <f t="shared" si="659"/>
        <v>0.83</v>
      </c>
      <c r="ED110" s="54">
        <f t="shared" si="659"/>
        <v>0.80999999999999994</v>
      </c>
      <c r="EE110" s="54">
        <f t="shared" si="659"/>
        <v>0.78999999999999992</v>
      </c>
      <c r="EF110" s="54">
        <f t="shared" si="659"/>
        <v>0.76999999999999991</v>
      </c>
      <c r="EG110" s="54">
        <f t="shared" si="659"/>
        <v>0.74999999999999989</v>
      </c>
      <c r="EH110" s="54">
        <f t="shared" si="659"/>
        <v>0.72999999999999987</v>
      </c>
      <c r="EI110" s="54">
        <f t="shared" si="659"/>
        <v>0.70999999999999985</v>
      </c>
      <c r="EJ110" s="54">
        <f t="shared" si="659"/>
        <v>0.68999999999999984</v>
      </c>
      <c r="EK110" s="54">
        <f t="shared" si="659"/>
        <v>0.66999999999999982</v>
      </c>
      <c r="EL110" s="54">
        <f t="shared" si="659"/>
        <v>0.6499999999999998</v>
      </c>
      <c r="EM110" s="54">
        <f t="shared" si="659"/>
        <v>0.62999999999999978</v>
      </c>
      <c r="EN110" s="54">
        <f t="shared" si="659"/>
        <v>0.60999999999999976</v>
      </c>
      <c r="EO110" s="54">
        <f t="shared" si="659"/>
        <v>0.58999999999999975</v>
      </c>
      <c r="EP110" s="54">
        <f t="shared" si="659"/>
        <v>0.56999999999999973</v>
      </c>
      <c r="ER110" s="54">
        <f t="shared" si="653"/>
        <v>0</v>
      </c>
      <c r="ES110" s="54">
        <f t="shared" si="515"/>
        <v>0</v>
      </c>
      <c r="ET110" s="58">
        <f t="shared" si="607"/>
        <v>0</v>
      </c>
      <c r="EU110" s="54">
        <f t="shared" si="608"/>
        <v>0</v>
      </c>
      <c r="EV110" s="58">
        <f t="shared" si="609"/>
        <v>0</v>
      </c>
      <c r="EW110" s="54">
        <f t="shared" si="610"/>
        <v>0</v>
      </c>
      <c r="EX110" s="58">
        <f t="shared" si="611"/>
        <v>0</v>
      </c>
      <c r="EY110" s="54">
        <f t="shared" si="612"/>
        <v>0</v>
      </c>
      <c r="EZ110" s="58">
        <f t="shared" si="613"/>
        <v>0</v>
      </c>
      <c r="FA110" s="56">
        <f t="shared" si="614"/>
        <v>0</v>
      </c>
      <c r="FB110" s="58">
        <f t="shared" si="615"/>
        <v>0</v>
      </c>
      <c r="FC110" s="54">
        <f t="shared" si="616"/>
        <v>0</v>
      </c>
      <c r="FD110" s="58">
        <f t="shared" si="617"/>
        <v>0</v>
      </c>
      <c r="FE110" s="56">
        <f t="shared" si="618"/>
        <v>0</v>
      </c>
      <c r="FF110" s="58">
        <f t="shared" si="619"/>
        <v>0</v>
      </c>
      <c r="FG110" s="59">
        <f t="shared" si="620"/>
        <v>0</v>
      </c>
      <c r="FH110" s="58">
        <f t="shared" si="621"/>
        <v>0</v>
      </c>
      <c r="FI110" s="56">
        <f t="shared" si="622"/>
        <v>0</v>
      </c>
      <c r="FJ110" s="58">
        <f t="shared" si="623"/>
        <v>0</v>
      </c>
      <c r="FK110" s="54">
        <f t="shared" si="624"/>
        <v>0</v>
      </c>
      <c r="FL110" s="58">
        <f t="shared" si="625"/>
        <v>0</v>
      </c>
      <c r="FM110" s="59">
        <f t="shared" si="626"/>
        <v>0</v>
      </c>
      <c r="FN110" s="58">
        <f t="shared" si="627"/>
        <v>0</v>
      </c>
      <c r="FO110" s="59">
        <f t="shared" si="628"/>
        <v>0</v>
      </c>
      <c r="FP110" s="58">
        <f t="shared" si="629"/>
        <v>0</v>
      </c>
      <c r="FQ110" s="59">
        <f t="shared" si="630"/>
        <v>0</v>
      </c>
      <c r="FR110" s="58">
        <f t="shared" si="631"/>
        <v>0</v>
      </c>
      <c r="FS110" s="54">
        <f t="shared" si="632"/>
        <v>0</v>
      </c>
      <c r="FT110" s="58">
        <f t="shared" si="633"/>
        <v>0</v>
      </c>
      <c r="FU110" s="59">
        <f t="shared" si="634"/>
        <v>0</v>
      </c>
      <c r="FV110" s="58">
        <f t="shared" si="635"/>
        <v>0</v>
      </c>
      <c r="FW110" s="59">
        <f t="shared" si="636"/>
        <v>0</v>
      </c>
      <c r="FX110" s="58">
        <f t="shared" si="637"/>
        <v>0</v>
      </c>
      <c r="FY110" s="59">
        <f t="shared" si="638"/>
        <v>0</v>
      </c>
      <c r="FZ110" s="58">
        <f t="shared" si="639"/>
        <v>0</v>
      </c>
      <c r="GA110" s="59">
        <f t="shared" si="640"/>
        <v>0</v>
      </c>
      <c r="GB110" s="58">
        <f t="shared" si="641"/>
        <v>0</v>
      </c>
      <c r="GC110" s="54">
        <f t="shared" si="642"/>
        <v>0</v>
      </c>
      <c r="GD110" s="58">
        <f t="shared" si="643"/>
        <v>0</v>
      </c>
      <c r="GE110" s="59">
        <f t="shared" si="644"/>
        <v>0</v>
      </c>
      <c r="GF110" s="58">
        <f t="shared" si="645"/>
        <v>0</v>
      </c>
      <c r="GG110" s="59">
        <f t="shared" si="646"/>
        <v>0</v>
      </c>
      <c r="GH110" s="58">
        <f t="shared" si="647"/>
        <v>0</v>
      </c>
      <c r="GI110" s="54">
        <f t="shared" si="648"/>
        <v>0</v>
      </c>
      <c r="GJ110" s="58">
        <f t="shared" si="649"/>
        <v>0</v>
      </c>
      <c r="GK110" s="54"/>
      <c r="GL110" s="54"/>
      <c r="GM110" s="54">
        <v>1</v>
      </c>
      <c r="GN110" s="54">
        <v>0.97</v>
      </c>
      <c r="GO110" s="54">
        <v>0.95</v>
      </c>
      <c r="GP110" s="54">
        <v>0.93</v>
      </c>
      <c r="GQ110" s="54">
        <f t="shared" si="660"/>
        <v>0.91</v>
      </c>
      <c r="GR110" s="54">
        <f t="shared" si="660"/>
        <v>0.89</v>
      </c>
      <c r="GS110" s="54">
        <f t="shared" si="660"/>
        <v>0.87</v>
      </c>
      <c r="GT110" s="54">
        <f t="shared" si="660"/>
        <v>0.85</v>
      </c>
      <c r="GU110" s="54">
        <f t="shared" si="660"/>
        <v>0.83</v>
      </c>
      <c r="GV110" s="54">
        <f t="shared" si="660"/>
        <v>0.80999999999999994</v>
      </c>
      <c r="GW110" s="54">
        <f t="shared" si="660"/>
        <v>0.78999999999999992</v>
      </c>
      <c r="GX110" s="54">
        <f t="shared" si="660"/>
        <v>0.76999999999999991</v>
      </c>
      <c r="GY110" s="54">
        <f t="shared" si="660"/>
        <v>0.74999999999999989</v>
      </c>
      <c r="GZ110" s="54">
        <f t="shared" si="660"/>
        <v>0.72999999999999987</v>
      </c>
      <c r="HA110" s="54">
        <f t="shared" si="660"/>
        <v>0.70999999999999985</v>
      </c>
      <c r="HB110" s="54">
        <f t="shared" si="660"/>
        <v>0.68999999999999984</v>
      </c>
      <c r="HC110" s="54">
        <f t="shared" si="660"/>
        <v>0.66999999999999982</v>
      </c>
      <c r="HD110" s="54">
        <f t="shared" si="660"/>
        <v>0.6499999999999998</v>
      </c>
      <c r="HE110" s="54">
        <f t="shared" si="660"/>
        <v>0.62999999999999978</v>
      </c>
      <c r="HF110" s="54">
        <f t="shared" si="660"/>
        <v>0.60999999999999976</v>
      </c>
      <c r="HG110" s="54">
        <f t="shared" si="660"/>
        <v>0.58999999999999975</v>
      </c>
      <c r="HH110" s="54">
        <f t="shared" si="660"/>
        <v>0.56999999999999973</v>
      </c>
    </row>
    <row r="111" spans="1:216" x14ac:dyDescent="0.3">
      <c r="A111" s="2">
        <v>20</v>
      </c>
      <c r="C111" s="38" t="s">
        <v>149</v>
      </c>
      <c r="D111" s="42">
        <f>TRUNC(18248.2791360076+22107.0496083551,-1)</f>
        <v>40350</v>
      </c>
      <c r="E111" s="72">
        <f t="shared" si="520"/>
        <v>133380</v>
      </c>
      <c r="F111" s="2" t="s">
        <v>313</v>
      </c>
      <c r="H111" s="54">
        <f t="shared" si="510"/>
        <v>146718</v>
      </c>
      <c r="I111" s="54">
        <f t="shared" si="511"/>
        <v>146718</v>
      </c>
      <c r="J111" s="58">
        <f t="shared" si="512"/>
        <v>485020.36440000002</v>
      </c>
      <c r="K111" s="54">
        <f t="shared" si="521"/>
        <v>142316.46</v>
      </c>
      <c r="L111" s="58">
        <f t="shared" si="522"/>
        <v>470469.75346799998</v>
      </c>
      <c r="M111" s="54">
        <f t="shared" si="523"/>
        <v>139382.1</v>
      </c>
      <c r="N111" s="58">
        <f t="shared" si="524"/>
        <v>460769.34618000005</v>
      </c>
      <c r="O111" s="54">
        <f t="shared" si="525"/>
        <v>136447.74000000002</v>
      </c>
      <c r="P111" s="58">
        <f t="shared" si="526"/>
        <v>451068.93889200006</v>
      </c>
      <c r="Q111" s="56">
        <f t="shared" si="527"/>
        <v>133513.38</v>
      </c>
      <c r="R111" s="58">
        <f t="shared" si="528"/>
        <v>441368.53160400002</v>
      </c>
      <c r="S111" s="54">
        <f t="shared" si="529"/>
        <v>130579.02</v>
      </c>
      <c r="T111" s="58">
        <f t="shared" si="530"/>
        <v>431668.12431600003</v>
      </c>
      <c r="U111" s="56">
        <f t="shared" si="531"/>
        <v>127644.66</v>
      </c>
      <c r="V111" s="58">
        <f t="shared" si="532"/>
        <v>421967.71702800004</v>
      </c>
      <c r="W111" s="59">
        <f t="shared" si="533"/>
        <v>124710.3</v>
      </c>
      <c r="X111" s="58">
        <f t="shared" si="534"/>
        <v>412267.30974</v>
      </c>
      <c r="Y111" s="56">
        <f t="shared" si="535"/>
        <v>121775.93999999999</v>
      </c>
      <c r="Z111" s="58">
        <f t="shared" si="536"/>
        <v>402566.90245199995</v>
      </c>
      <c r="AA111" s="54">
        <f t="shared" si="537"/>
        <v>118841.57999999999</v>
      </c>
      <c r="AB111" s="58">
        <f t="shared" si="538"/>
        <v>392866.49516399996</v>
      </c>
      <c r="AC111" s="59">
        <f t="shared" si="539"/>
        <v>115907.21999999999</v>
      </c>
      <c r="AD111" s="58">
        <f t="shared" si="540"/>
        <v>383166.08787599998</v>
      </c>
      <c r="AE111" s="59">
        <f t="shared" si="541"/>
        <v>112972.85999999999</v>
      </c>
      <c r="AF111" s="58">
        <f t="shared" si="542"/>
        <v>373465.68058799999</v>
      </c>
      <c r="AG111" s="59">
        <f t="shared" si="543"/>
        <v>110038.49999999999</v>
      </c>
      <c r="AH111" s="58">
        <f t="shared" si="544"/>
        <v>363765.27329999994</v>
      </c>
      <c r="AI111" s="54">
        <f t="shared" si="545"/>
        <v>107104.13999999998</v>
      </c>
      <c r="AJ111" s="58">
        <f t="shared" si="546"/>
        <v>354064.86601199995</v>
      </c>
      <c r="AK111" s="59">
        <f t="shared" si="547"/>
        <v>104169.77999999998</v>
      </c>
      <c r="AL111" s="58">
        <f t="shared" si="548"/>
        <v>344364.45872399997</v>
      </c>
      <c r="AM111" s="59">
        <f t="shared" si="549"/>
        <v>101235.41999999997</v>
      </c>
      <c r="AN111" s="58">
        <f t="shared" si="550"/>
        <v>334664.05143599992</v>
      </c>
      <c r="AO111" s="59">
        <f t="shared" si="551"/>
        <v>98301.059999999969</v>
      </c>
      <c r="AP111" s="58">
        <f t="shared" si="552"/>
        <v>324963.64414799988</v>
      </c>
      <c r="AQ111" s="59">
        <f t="shared" si="553"/>
        <v>95366.699999999968</v>
      </c>
      <c r="AR111" s="58">
        <f t="shared" si="554"/>
        <v>315263.23685999989</v>
      </c>
      <c r="AS111" s="54">
        <f t="shared" si="555"/>
        <v>92432.339999999967</v>
      </c>
      <c r="AT111" s="58">
        <f t="shared" si="556"/>
        <v>305562.8295719999</v>
      </c>
      <c r="AU111" s="59">
        <f t="shared" si="557"/>
        <v>89497.979999999967</v>
      </c>
      <c r="AV111" s="58">
        <f t="shared" si="558"/>
        <v>295862.42228399991</v>
      </c>
      <c r="AW111" s="59">
        <f t="shared" si="559"/>
        <v>86563.619999999966</v>
      </c>
      <c r="AX111" s="58">
        <f t="shared" si="560"/>
        <v>286162.01499599987</v>
      </c>
      <c r="AY111" s="54">
        <f t="shared" si="561"/>
        <v>83629.259999999966</v>
      </c>
      <c r="AZ111" s="58">
        <f t="shared" si="562"/>
        <v>276461.60770799988</v>
      </c>
      <c r="BC111" s="54">
        <v>1</v>
      </c>
      <c r="BD111" s="54">
        <v>0.97</v>
      </c>
      <c r="BE111" s="54">
        <v>0.95</v>
      </c>
      <c r="BF111" s="54">
        <v>0.93</v>
      </c>
      <c r="BG111" s="54">
        <f t="shared" si="656"/>
        <v>0.91</v>
      </c>
      <c r="BH111" s="54">
        <f t="shared" si="656"/>
        <v>0.89</v>
      </c>
      <c r="BI111" s="54">
        <f t="shared" si="656"/>
        <v>0.87</v>
      </c>
      <c r="BJ111" s="54">
        <f t="shared" si="656"/>
        <v>0.85</v>
      </c>
      <c r="BK111" s="54">
        <f t="shared" si="656"/>
        <v>0.83</v>
      </c>
      <c r="BL111" s="54">
        <f t="shared" si="656"/>
        <v>0.80999999999999994</v>
      </c>
      <c r="BM111" s="54">
        <f t="shared" si="656"/>
        <v>0.78999999999999992</v>
      </c>
      <c r="BN111" s="54">
        <f t="shared" si="656"/>
        <v>0.76999999999999991</v>
      </c>
      <c r="BO111" s="54">
        <f t="shared" si="656"/>
        <v>0.74999999999999989</v>
      </c>
      <c r="BP111" s="54">
        <f t="shared" si="656"/>
        <v>0.72999999999999987</v>
      </c>
      <c r="BQ111" s="54">
        <f t="shared" si="656"/>
        <v>0.70999999999999985</v>
      </c>
      <c r="BR111" s="54">
        <f t="shared" si="656"/>
        <v>0.68999999999999984</v>
      </c>
      <c r="BS111" s="54">
        <f t="shared" si="656"/>
        <v>0.66999999999999982</v>
      </c>
      <c r="BT111" s="54">
        <f t="shared" si="656"/>
        <v>0.6499999999999998</v>
      </c>
      <c r="BU111" s="54">
        <f t="shared" si="656"/>
        <v>0.62999999999999978</v>
      </c>
      <c r="BV111" s="54">
        <f t="shared" si="656"/>
        <v>0.60999999999999976</v>
      </c>
      <c r="BW111" s="54">
        <f t="shared" si="656"/>
        <v>0.58999999999999975</v>
      </c>
      <c r="BX111" s="54">
        <f t="shared" si="656"/>
        <v>0.56999999999999973</v>
      </c>
      <c r="BZ111" s="54">
        <f t="shared" si="513"/>
        <v>133513.38</v>
      </c>
      <c r="CA111" s="54">
        <f t="shared" si="514"/>
        <v>133513.38</v>
      </c>
      <c r="CB111" s="58">
        <f t="shared" si="564"/>
        <v>441368.53160400002</v>
      </c>
      <c r="CC111" s="54">
        <f t="shared" si="565"/>
        <v>129507.9786</v>
      </c>
      <c r="CD111" s="58">
        <f t="shared" si="566"/>
        <v>428127.47565588</v>
      </c>
      <c r="CE111" s="54">
        <f t="shared" si="567"/>
        <v>126837.711</v>
      </c>
      <c r="CF111" s="58">
        <f t="shared" si="568"/>
        <v>419300.10502379999</v>
      </c>
      <c r="CG111" s="54">
        <f t="shared" si="569"/>
        <v>124167.4434</v>
      </c>
      <c r="CH111" s="58">
        <f t="shared" si="570"/>
        <v>410472.73439172003</v>
      </c>
      <c r="CI111" s="56">
        <f t="shared" si="571"/>
        <v>121497.17580000001</v>
      </c>
      <c r="CJ111" s="58">
        <f t="shared" si="572"/>
        <v>401645.36375964002</v>
      </c>
      <c r="CK111" s="54">
        <f t="shared" si="573"/>
        <v>118826.90820000001</v>
      </c>
      <c r="CL111" s="58">
        <f t="shared" si="574"/>
        <v>392817.99312756001</v>
      </c>
      <c r="CM111" s="56">
        <f t="shared" si="575"/>
        <v>116156.6406</v>
      </c>
      <c r="CN111" s="58">
        <f t="shared" si="576"/>
        <v>383990.62249548</v>
      </c>
      <c r="CO111" s="59">
        <f t="shared" si="577"/>
        <v>113486.37300000001</v>
      </c>
      <c r="CP111" s="58">
        <f t="shared" si="578"/>
        <v>375163.25186340004</v>
      </c>
      <c r="CQ111" s="56">
        <f t="shared" si="579"/>
        <v>110816.1054</v>
      </c>
      <c r="CR111" s="58">
        <f t="shared" si="580"/>
        <v>366335.88123132003</v>
      </c>
      <c r="CS111" s="54">
        <f t="shared" si="581"/>
        <v>108145.83779999999</v>
      </c>
      <c r="CT111" s="58">
        <f t="shared" si="582"/>
        <v>357508.51059923996</v>
      </c>
      <c r="CU111" s="59">
        <f t="shared" si="583"/>
        <v>105475.57019999999</v>
      </c>
      <c r="CV111" s="58">
        <f t="shared" si="584"/>
        <v>348681.13996715995</v>
      </c>
      <c r="CW111" s="59">
        <f t="shared" si="585"/>
        <v>102805.3026</v>
      </c>
      <c r="CX111" s="58">
        <f t="shared" si="586"/>
        <v>339853.76933508</v>
      </c>
      <c r="CY111" s="59">
        <f t="shared" si="587"/>
        <v>100135.03499999999</v>
      </c>
      <c r="CZ111" s="58">
        <f t="shared" si="588"/>
        <v>331026.39870299998</v>
      </c>
      <c r="DA111" s="54">
        <f t="shared" si="589"/>
        <v>97464.767399999982</v>
      </c>
      <c r="DB111" s="58">
        <f t="shared" si="590"/>
        <v>322199.02807091997</v>
      </c>
      <c r="DC111" s="59">
        <f t="shared" si="591"/>
        <v>94794.499799999991</v>
      </c>
      <c r="DD111" s="58">
        <f t="shared" si="592"/>
        <v>313371.65743883996</v>
      </c>
      <c r="DE111" s="59">
        <f t="shared" si="593"/>
        <v>92124.232199999984</v>
      </c>
      <c r="DF111" s="58">
        <f t="shared" si="594"/>
        <v>304544.28680675995</v>
      </c>
      <c r="DG111" s="59">
        <f t="shared" si="595"/>
        <v>89453.964599999978</v>
      </c>
      <c r="DH111" s="58">
        <f t="shared" si="596"/>
        <v>295716.91617467994</v>
      </c>
      <c r="DI111" s="59">
        <f t="shared" si="597"/>
        <v>86783.696999999971</v>
      </c>
      <c r="DJ111" s="58">
        <f t="shared" si="598"/>
        <v>286889.54554259992</v>
      </c>
      <c r="DK111" s="54">
        <f t="shared" si="599"/>
        <v>84113.429399999979</v>
      </c>
      <c r="DL111" s="58">
        <f t="shared" si="600"/>
        <v>278062.17491051991</v>
      </c>
      <c r="DM111" s="59">
        <f t="shared" si="601"/>
        <v>81443.161799999973</v>
      </c>
      <c r="DN111" s="58">
        <f t="shared" si="602"/>
        <v>269234.8042784399</v>
      </c>
      <c r="DO111" s="59">
        <f t="shared" si="603"/>
        <v>78772.894199999966</v>
      </c>
      <c r="DP111" s="58">
        <f t="shared" si="604"/>
        <v>260407.43364635989</v>
      </c>
      <c r="DQ111" s="54">
        <f t="shared" si="605"/>
        <v>76102.62659999996</v>
      </c>
      <c r="DR111" s="58">
        <f t="shared" si="606"/>
        <v>251580.06301427988</v>
      </c>
      <c r="DU111" s="54">
        <v>1</v>
      </c>
      <c r="DV111" s="54">
        <v>0.97</v>
      </c>
      <c r="DW111" s="54">
        <v>0.95</v>
      </c>
      <c r="DX111" s="54">
        <v>0.93</v>
      </c>
      <c r="DY111" s="54">
        <f t="shared" si="659"/>
        <v>0.91</v>
      </c>
      <c r="DZ111" s="54">
        <f t="shared" si="659"/>
        <v>0.89</v>
      </c>
      <c r="EA111" s="54">
        <f t="shared" si="659"/>
        <v>0.87</v>
      </c>
      <c r="EB111" s="54">
        <f t="shared" si="659"/>
        <v>0.85</v>
      </c>
      <c r="EC111" s="54">
        <f t="shared" si="659"/>
        <v>0.83</v>
      </c>
      <c r="ED111" s="54">
        <f t="shared" si="659"/>
        <v>0.80999999999999994</v>
      </c>
      <c r="EE111" s="54">
        <f t="shared" si="659"/>
        <v>0.78999999999999992</v>
      </c>
      <c r="EF111" s="54">
        <f t="shared" si="659"/>
        <v>0.76999999999999991</v>
      </c>
      <c r="EG111" s="54">
        <f t="shared" si="659"/>
        <v>0.74999999999999989</v>
      </c>
      <c r="EH111" s="54">
        <f t="shared" si="659"/>
        <v>0.72999999999999987</v>
      </c>
      <c r="EI111" s="54">
        <f t="shared" si="659"/>
        <v>0.70999999999999985</v>
      </c>
      <c r="EJ111" s="54">
        <f t="shared" si="659"/>
        <v>0.68999999999999984</v>
      </c>
      <c r="EK111" s="54">
        <f t="shared" si="659"/>
        <v>0.66999999999999982</v>
      </c>
      <c r="EL111" s="54">
        <f t="shared" si="659"/>
        <v>0.6499999999999998</v>
      </c>
      <c r="EM111" s="54">
        <f t="shared" si="659"/>
        <v>0.62999999999999978</v>
      </c>
      <c r="EN111" s="54">
        <f t="shared" si="659"/>
        <v>0.60999999999999976</v>
      </c>
      <c r="EO111" s="54">
        <f t="shared" si="659"/>
        <v>0.58999999999999975</v>
      </c>
      <c r="EP111" s="54">
        <f t="shared" si="659"/>
        <v>0.56999999999999973</v>
      </c>
      <c r="ER111" s="54">
        <f t="shared" si="653"/>
        <v>121497.17580000001</v>
      </c>
      <c r="ES111" s="54">
        <f t="shared" si="515"/>
        <v>121497.17580000001</v>
      </c>
      <c r="ET111" s="58">
        <f t="shared" si="607"/>
        <v>401645.36375964002</v>
      </c>
      <c r="EU111" s="54">
        <f t="shared" si="608"/>
        <v>117852.26052600001</v>
      </c>
      <c r="EV111" s="58">
        <f t="shared" si="609"/>
        <v>389596.00284685084</v>
      </c>
      <c r="EW111" s="54">
        <f t="shared" si="610"/>
        <v>115422.31701</v>
      </c>
      <c r="EX111" s="58">
        <f t="shared" si="611"/>
        <v>381563.09557165799</v>
      </c>
      <c r="EY111" s="54">
        <f t="shared" si="612"/>
        <v>112992.37349400001</v>
      </c>
      <c r="EZ111" s="58">
        <f t="shared" si="613"/>
        <v>373530.18829646526</v>
      </c>
      <c r="FA111" s="56">
        <f t="shared" si="614"/>
        <v>110562.42997800001</v>
      </c>
      <c r="FB111" s="58">
        <f t="shared" si="615"/>
        <v>365497.28102127247</v>
      </c>
      <c r="FC111" s="54">
        <f t="shared" si="616"/>
        <v>108132.48646200002</v>
      </c>
      <c r="FD111" s="58">
        <f t="shared" si="617"/>
        <v>357464.37374607968</v>
      </c>
      <c r="FE111" s="56">
        <f t="shared" si="618"/>
        <v>105702.54294600002</v>
      </c>
      <c r="FF111" s="58">
        <f t="shared" si="619"/>
        <v>349431.46647088684</v>
      </c>
      <c r="FG111" s="59">
        <f t="shared" si="620"/>
        <v>103272.59943</v>
      </c>
      <c r="FH111" s="58">
        <f t="shared" si="621"/>
        <v>341398.55919569399</v>
      </c>
      <c r="FI111" s="56">
        <f t="shared" si="622"/>
        <v>100842.655914</v>
      </c>
      <c r="FJ111" s="58">
        <f t="shared" si="623"/>
        <v>333365.6519205012</v>
      </c>
      <c r="FK111" s="54">
        <f t="shared" si="624"/>
        <v>98412.712398000003</v>
      </c>
      <c r="FL111" s="58">
        <f t="shared" si="625"/>
        <v>325332.74464530841</v>
      </c>
      <c r="FM111" s="59">
        <f t="shared" si="626"/>
        <v>95982.768882000004</v>
      </c>
      <c r="FN111" s="58">
        <f t="shared" si="627"/>
        <v>317299.83737011562</v>
      </c>
      <c r="FO111" s="59">
        <f t="shared" si="628"/>
        <v>93552.825366000005</v>
      </c>
      <c r="FP111" s="58">
        <f t="shared" si="629"/>
        <v>309266.93009492283</v>
      </c>
      <c r="FQ111" s="59">
        <f t="shared" si="630"/>
        <v>91122.881849999991</v>
      </c>
      <c r="FR111" s="58">
        <f t="shared" si="631"/>
        <v>301234.02281972999</v>
      </c>
      <c r="FS111" s="54">
        <f t="shared" si="632"/>
        <v>88692.938333999991</v>
      </c>
      <c r="FT111" s="58">
        <f t="shared" si="633"/>
        <v>293201.1155445372</v>
      </c>
      <c r="FU111" s="59">
        <f t="shared" si="634"/>
        <v>86262.994817999992</v>
      </c>
      <c r="FV111" s="58">
        <f t="shared" si="635"/>
        <v>285168.20826934435</v>
      </c>
      <c r="FW111" s="59">
        <f t="shared" si="636"/>
        <v>83833.051301999993</v>
      </c>
      <c r="FX111" s="58">
        <f t="shared" si="637"/>
        <v>277135.30099415156</v>
      </c>
      <c r="FY111" s="59">
        <f t="shared" si="638"/>
        <v>81403.107785999979</v>
      </c>
      <c r="FZ111" s="58">
        <f t="shared" si="639"/>
        <v>269102.39371895872</v>
      </c>
      <c r="GA111" s="59">
        <f t="shared" si="640"/>
        <v>78973.164269999979</v>
      </c>
      <c r="GB111" s="58">
        <f t="shared" si="641"/>
        <v>261069.48644376593</v>
      </c>
      <c r="GC111" s="54">
        <f t="shared" si="642"/>
        <v>76543.22075399998</v>
      </c>
      <c r="GD111" s="58">
        <f t="shared" si="643"/>
        <v>253036.57916857314</v>
      </c>
      <c r="GE111" s="59">
        <f t="shared" si="644"/>
        <v>74113.277237999981</v>
      </c>
      <c r="GF111" s="58">
        <f t="shared" si="645"/>
        <v>245003.67189338035</v>
      </c>
      <c r="GG111" s="59">
        <f t="shared" si="646"/>
        <v>71683.333721999981</v>
      </c>
      <c r="GH111" s="58">
        <f t="shared" si="647"/>
        <v>236970.76461818753</v>
      </c>
      <c r="GI111" s="54">
        <f t="shared" si="648"/>
        <v>69253.390205999967</v>
      </c>
      <c r="GJ111" s="58">
        <f t="shared" si="649"/>
        <v>228937.85734299468</v>
      </c>
      <c r="GK111" s="54"/>
      <c r="GL111" s="54"/>
      <c r="GM111" s="54">
        <v>1</v>
      </c>
      <c r="GN111" s="54">
        <v>0.97</v>
      </c>
      <c r="GO111" s="54">
        <v>0.95</v>
      </c>
      <c r="GP111" s="54">
        <v>0.93</v>
      </c>
      <c r="GQ111" s="54">
        <f t="shared" si="660"/>
        <v>0.91</v>
      </c>
      <c r="GR111" s="54">
        <f t="shared" si="660"/>
        <v>0.89</v>
      </c>
      <c r="GS111" s="54">
        <f t="shared" si="660"/>
        <v>0.87</v>
      </c>
      <c r="GT111" s="54">
        <f t="shared" si="660"/>
        <v>0.85</v>
      </c>
      <c r="GU111" s="54">
        <f t="shared" si="660"/>
        <v>0.83</v>
      </c>
      <c r="GV111" s="54">
        <f t="shared" si="660"/>
        <v>0.80999999999999994</v>
      </c>
      <c r="GW111" s="54">
        <f t="shared" si="660"/>
        <v>0.78999999999999992</v>
      </c>
      <c r="GX111" s="54">
        <f t="shared" si="660"/>
        <v>0.76999999999999991</v>
      </c>
      <c r="GY111" s="54">
        <f t="shared" si="660"/>
        <v>0.74999999999999989</v>
      </c>
      <c r="GZ111" s="54">
        <f t="shared" si="660"/>
        <v>0.72999999999999987</v>
      </c>
      <c r="HA111" s="54">
        <f t="shared" si="660"/>
        <v>0.70999999999999985</v>
      </c>
      <c r="HB111" s="54">
        <f t="shared" si="660"/>
        <v>0.68999999999999984</v>
      </c>
      <c r="HC111" s="54">
        <f t="shared" si="660"/>
        <v>0.66999999999999982</v>
      </c>
      <c r="HD111" s="54">
        <f t="shared" si="660"/>
        <v>0.6499999999999998</v>
      </c>
      <c r="HE111" s="54">
        <f t="shared" si="660"/>
        <v>0.62999999999999978</v>
      </c>
      <c r="HF111" s="54">
        <f t="shared" si="660"/>
        <v>0.60999999999999976</v>
      </c>
      <c r="HG111" s="54">
        <f t="shared" si="660"/>
        <v>0.58999999999999975</v>
      </c>
      <c r="HH111" s="54">
        <f t="shared" si="660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7860</f>
        <v>7860</v>
      </c>
      <c r="E112" s="73">
        <f t="shared" si="520"/>
        <v>25980</v>
      </c>
      <c r="F112" s="2" t="s">
        <v>314</v>
      </c>
      <c r="H112" s="54">
        <f t="shared" si="510"/>
        <v>28578.000000000004</v>
      </c>
      <c r="I112" s="54">
        <f t="shared" si="511"/>
        <v>28578.000000000004</v>
      </c>
      <c r="J112" s="58">
        <f t="shared" si="512"/>
        <v>94473.152400000021</v>
      </c>
      <c r="K112" s="54">
        <f t="shared" si="521"/>
        <v>27720.660000000003</v>
      </c>
      <c r="L112" s="58">
        <f t="shared" si="522"/>
        <v>91638.957828000013</v>
      </c>
      <c r="M112" s="54">
        <f t="shared" si="523"/>
        <v>27149.100000000002</v>
      </c>
      <c r="N112" s="58">
        <f t="shared" si="524"/>
        <v>89749.494780000008</v>
      </c>
      <c r="O112" s="54">
        <f t="shared" si="525"/>
        <v>26577.540000000005</v>
      </c>
      <c r="P112" s="58">
        <f t="shared" si="526"/>
        <v>87860.031732000018</v>
      </c>
      <c r="Q112" s="56">
        <f t="shared" si="527"/>
        <v>26005.980000000003</v>
      </c>
      <c r="R112" s="58">
        <f t="shared" si="528"/>
        <v>85970.568684000013</v>
      </c>
      <c r="S112" s="54">
        <f t="shared" si="529"/>
        <v>25434.420000000002</v>
      </c>
      <c r="T112" s="58">
        <f t="shared" si="530"/>
        <v>84081.105636000008</v>
      </c>
      <c r="U112" s="56">
        <f t="shared" si="531"/>
        <v>24862.860000000004</v>
      </c>
      <c r="V112" s="58">
        <f t="shared" si="532"/>
        <v>82191.642588000017</v>
      </c>
      <c r="W112" s="59">
        <f t="shared" si="533"/>
        <v>24291.300000000003</v>
      </c>
      <c r="X112" s="58">
        <f t="shared" si="534"/>
        <v>80302.179540000012</v>
      </c>
      <c r="Y112" s="56">
        <f t="shared" si="535"/>
        <v>23719.74</v>
      </c>
      <c r="Z112" s="58">
        <f t="shared" si="536"/>
        <v>78412.716492000007</v>
      </c>
      <c r="AA112" s="54">
        <f t="shared" si="537"/>
        <v>23148.18</v>
      </c>
      <c r="AB112" s="58">
        <f t="shared" si="538"/>
        <v>76523.253444000002</v>
      </c>
      <c r="AC112" s="59">
        <f t="shared" si="539"/>
        <v>22576.62</v>
      </c>
      <c r="AD112" s="58">
        <f t="shared" si="540"/>
        <v>74633.790395999997</v>
      </c>
      <c r="AE112" s="59">
        <f t="shared" si="541"/>
        <v>22005.06</v>
      </c>
      <c r="AF112" s="58">
        <f t="shared" si="542"/>
        <v>72744.327348000006</v>
      </c>
      <c r="AG112" s="59">
        <f t="shared" si="543"/>
        <v>21433.5</v>
      </c>
      <c r="AH112" s="58">
        <f t="shared" si="544"/>
        <v>70854.864300000001</v>
      </c>
      <c r="AI112" s="54">
        <f t="shared" si="545"/>
        <v>20861.939999999999</v>
      </c>
      <c r="AJ112" s="58">
        <f t="shared" si="546"/>
        <v>68965.401251999996</v>
      </c>
      <c r="AK112" s="59">
        <f t="shared" si="547"/>
        <v>20290.379999999997</v>
      </c>
      <c r="AL112" s="58">
        <f t="shared" si="548"/>
        <v>67075.938203999991</v>
      </c>
      <c r="AM112" s="59">
        <f t="shared" si="549"/>
        <v>19718.819999999996</v>
      </c>
      <c r="AN112" s="58">
        <f t="shared" si="550"/>
        <v>65186.475155999986</v>
      </c>
      <c r="AO112" s="59">
        <f t="shared" si="551"/>
        <v>19147.259999999998</v>
      </c>
      <c r="AP112" s="58">
        <f t="shared" si="552"/>
        <v>63297.012107999995</v>
      </c>
      <c r="AQ112" s="59">
        <f t="shared" si="553"/>
        <v>18575.699999999997</v>
      </c>
      <c r="AR112" s="58">
        <f t="shared" si="554"/>
        <v>61407.54905999999</v>
      </c>
      <c r="AS112" s="54">
        <f t="shared" si="555"/>
        <v>18004.139999999996</v>
      </c>
      <c r="AT112" s="58">
        <f t="shared" si="556"/>
        <v>59518.086011999985</v>
      </c>
      <c r="AU112" s="59">
        <f t="shared" si="557"/>
        <v>17432.579999999994</v>
      </c>
      <c r="AV112" s="58">
        <f t="shared" si="558"/>
        <v>57628.62296399998</v>
      </c>
      <c r="AW112" s="59">
        <f t="shared" si="559"/>
        <v>16861.019999999993</v>
      </c>
      <c r="AX112" s="58">
        <f t="shared" si="560"/>
        <v>55739.159915999975</v>
      </c>
      <c r="AY112" s="54">
        <f t="shared" si="561"/>
        <v>16289.459999999994</v>
      </c>
      <c r="AZ112" s="58">
        <f t="shared" si="562"/>
        <v>53849.696867999977</v>
      </c>
      <c r="BC112" s="54">
        <v>1</v>
      </c>
      <c r="BD112" s="54">
        <v>0.97</v>
      </c>
      <c r="BE112" s="54">
        <v>0.95</v>
      </c>
      <c r="BF112" s="54">
        <v>0.93</v>
      </c>
      <c r="BG112" s="54">
        <f t="shared" si="656"/>
        <v>0.91</v>
      </c>
      <c r="BH112" s="54">
        <f t="shared" si="656"/>
        <v>0.89</v>
      </c>
      <c r="BI112" s="54">
        <f t="shared" si="656"/>
        <v>0.87</v>
      </c>
      <c r="BJ112" s="54">
        <f t="shared" si="656"/>
        <v>0.85</v>
      </c>
      <c r="BK112" s="54">
        <f t="shared" si="656"/>
        <v>0.83</v>
      </c>
      <c r="BL112" s="54">
        <f t="shared" si="656"/>
        <v>0.80999999999999994</v>
      </c>
      <c r="BM112" s="54">
        <f t="shared" si="656"/>
        <v>0.78999999999999992</v>
      </c>
      <c r="BN112" s="54">
        <f t="shared" si="656"/>
        <v>0.76999999999999991</v>
      </c>
      <c r="BO112" s="54">
        <f t="shared" si="656"/>
        <v>0.74999999999999989</v>
      </c>
      <c r="BP112" s="54">
        <f t="shared" si="656"/>
        <v>0.72999999999999987</v>
      </c>
      <c r="BQ112" s="54">
        <f t="shared" si="656"/>
        <v>0.70999999999999985</v>
      </c>
      <c r="BR112" s="54">
        <f t="shared" si="656"/>
        <v>0.68999999999999984</v>
      </c>
      <c r="BS112" s="54">
        <f t="shared" si="656"/>
        <v>0.66999999999999982</v>
      </c>
      <c r="BT112" s="54">
        <f t="shared" si="656"/>
        <v>0.6499999999999998</v>
      </c>
      <c r="BU112" s="54">
        <f t="shared" si="656"/>
        <v>0.62999999999999978</v>
      </c>
      <c r="BV112" s="54">
        <f t="shared" si="656"/>
        <v>0.60999999999999976</v>
      </c>
      <c r="BW112" s="54">
        <f t="shared" si="656"/>
        <v>0.58999999999999975</v>
      </c>
      <c r="BX112" s="54">
        <f t="shared" si="656"/>
        <v>0.56999999999999973</v>
      </c>
      <c r="BZ112" s="54">
        <f t="shared" si="513"/>
        <v>26005.980000000003</v>
      </c>
      <c r="CA112" s="54">
        <f t="shared" si="514"/>
        <v>26005.980000000003</v>
      </c>
      <c r="CB112" s="58">
        <f t="shared" si="564"/>
        <v>85970.568684000013</v>
      </c>
      <c r="CC112" s="54">
        <f t="shared" si="565"/>
        <v>25225.800600000002</v>
      </c>
      <c r="CD112" s="58">
        <f t="shared" si="566"/>
        <v>83391.45162348001</v>
      </c>
      <c r="CE112" s="54">
        <f t="shared" si="567"/>
        <v>24705.681</v>
      </c>
      <c r="CF112" s="58">
        <f t="shared" si="568"/>
        <v>81672.040249800004</v>
      </c>
      <c r="CG112" s="54">
        <f t="shared" si="569"/>
        <v>24185.561400000006</v>
      </c>
      <c r="CH112" s="58">
        <f t="shared" si="570"/>
        <v>79952.628876120027</v>
      </c>
      <c r="CI112" s="56">
        <f t="shared" si="571"/>
        <v>23665.441800000004</v>
      </c>
      <c r="CJ112" s="58">
        <f t="shared" si="572"/>
        <v>78233.21750244002</v>
      </c>
      <c r="CK112" s="54">
        <f t="shared" si="573"/>
        <v>23145.322200000002</v>
      </c>
      <c r="CL112" s="58">
        <f t="shared" si="574"/>
        <v>76513.806128760014</v>
      </c>
      <c r="CM112" s="56">
        <f t="shared" si="575"/>
        <v>22625.202600000004</v>
      </c>
      <c r="CN112" s="58">
        <f t="shared" si="576"/>
        <v>74794.394755080022</v>
      </c>
      <c r="CO112" s="59">
        <f t="shared" si="577"/>
        <v>22105.083000000002</v>
      </c>
      <c r="CP112" s="58">
        <f t="shared" si="578"/>
        <v>73074.983381400016</v>
      </c>
      <c r="CQ112" s="56">
        <f t="shared" si="579"/>
        <v>21584.963400000001</v>
      </c>
      <c r="CR112" s="58">
        <f t="shared" si="580"/>
        <v>71355.572007720009</v>
      </c>
      <c r="CS112" s="54">
        <f t="shared" si="581"/>
        <v>21064.843800000002</v>
      </c>
      <c r="CT112" s="58">
        <f t="shared" si="582"/>
        <v>69636.160634040003</v>
      </c>
      <c r="CU112" s="59">
        <f t="shared" si="583"/>
        <v>20544.724200000001</v>
      </c>
      <c r="CV112" s="58">
        <f t="shared" si="584"/>
        <v>67916.749260359997</v>
      </c>
      <c r="CW112" s="59">
        <f t="shared" si="585"/>
        <v>20024.604599999999</v>
      </c>
      <c r="CX112" s="58">
        <f t="shared" si="586"/>
        <v>66197.33788667999</v>
      </c>
      <c r="CY112" s="59">
        <f t="shared" si="587"/>
        <v>19504.485000000001</v>
      </c>
      <c r="CZ112" s="58">
        <f t="shared" si="588"/>
        <v>64477.926513000006</v>
      </c>
      <c r="DA112" s="54">
        <f t="shared" si="589"/>
        <v>18984.365399999999</v>
      </c>
      <c r="DB112" s="58">
        <f t="shared" si="590"/>
        <v>62758.515139319999</v>
      </c>
      <c r="DC112" s="59">
        <f t="shared" si="591"/>
        <v>18464.245799999997</v>
      </c>
      <c r="DD112" s="58">
        <f t="shared" si="592"/>
        <v>61039.103765639993</v>
      </c>
      <c r="DE112" s="59">
        <f t="shared" si="593"/>
        <v>17944.126199999999</v>
      </c>
      <c r="DF112" s="58">
        <f t="shared" si="594"/>
        <v>59319.692391959994</v>
      </c>
      <c r="DG112" s="59">
        <f t="shared" si="595"/>
        <v>17424.006599999997</v>
      </c>
      <c r="DH112" s="58">
        <f t="shared" si="596"/>
        <v>57600.281018279995</v>
      </c>
      <c r="DI112" s="59">
        <f t="shared" si="597"/>
        <v>16903.886999999995</v>
      </c>
      <c r="DJ112" s="58">
        <f t="shared" si="598"/>
        <v>55880.869644599989</v>
      </c>
      <c r="DK112" s="54">
        <f t="shared" si="599"/>
        <v>16383.767399999997</v>
      </c>
      <c r="DL112" s="58">
        <f t="shared" si="600"/>
        <v>54161.458270919989</v>
      </c>
      <c r="DM112" s="59">
        <f t="shared" si="601"/>
        <v>15863.647799999995</v>
      </c>
      <c r="DN112" s="58">
        <f t="shared" si="602"/>
        <v>52442.046897239983</v>
      </c>
      <c r="DO112" s="59">
        <f t="shared" si="603"/>
        <v>15343.528199999995</v>
      </c>
      <c r="DP112" s="58">
        <f t="shared" si="604"/>
        <v>50722.635523559984</v>
      </c>
      <c r="DQ112" s="54">
        <f t="shared" si="605"/>
        <v>14823.408599999995</v>
      </c>
      <c r="DR112" s="58">
        <f t="shared" si="606"/>
        <v>49003.224149879985</v>
      </c>
      <c r="DU112" s="54">
        <v>1</v>
      </c>
      <c r="DV112" s="54">
        <v>0.97</v>
      </c>
      <c r="DW112" s="54">
        <v>0.95</v>
      </c>
      <c r="DX112" s="54">
        <v>0.93</v>
      </c>
      <c r="DY112" s="54">
        <f t="shared" si="659"/>
        <v>0.91</v>
      </c>
      <c r="DZ112" s="54">
        <f t="shared" si="659"/>
        <v>0.89</v>
      </c>
      <c r="EA112" s="54">
        <f t="shared" si="659"/>
        <v>0.87</v>
      </c>
      <c r="EB112" s="54">
        <f t="shared" si="659"/>
        <v>0.85</v>
      </c>
      <c r="EC112" s="54">
        <f t="shared" si="659"/>
        <v>0.83</v>
      </c>
      <c r="ED112" s="54">
        <f t="shared" si="659"/>
        <v>0.80999999999999994</v>
      </c>
      <c r="EE112" s="54">
        <f t="shared" si="659"/>
        <v>0.78999999999999992</v>
      </c>
      <c r="EF112" s="54">
        <f t="shared" si="659"/>
        <v>0.76999999999999991</v>
      </c>
      <c r="EG112" s="54">
        <f t="shared" si="659"/>
        <v>0.74999999999999989</v>
      </c>
      <c r="EH112" s="54">
        <f t="shared" si="659"/>
        <v>0.72999999999999987</v>
      </c>
      <c r="EI112" s="54">
        <f t="shared" si="659"/>
        <v>0.70999999999999985</v>
      </c>
      <c r="EJ112" s="54">
        <f t="shared" si="659"/>
        <v>0.68999999999999984</v>
      </c>
      <c r="EK112" s="54">
        <f t="shared" si="659"/>
        <v>0.66999999999999982</v>
      </c>
      <c r="EL112" s="54">
        <f t="shared" si="659"/>
        <v>0.6499999999999998</v>
      </c>
      <c r="EM112" s="54">
        <f t="shared" si="659"/>
        <v>0.62999999999999978</v>
      </c>
      <c r="EN112" s="54">
        <f t="shared" si="659"/>
        <v>0.60999999999999976</v>
      </c>
      <c r="EO112" s="54">
        <f t="shared" si="659"/>
        <v>0.58999999999999975</v>
      </c>
      <c r="EP112" s="54">
        <f t="shared" si="659"/>
        <v>0.56999999999999973</v>
      </c>
      <c r="ER112" s="54">
        <f t="shared" si="653"/>
        <v>23665.441800000004</v>
      </c>
      <c r="ES112" s="54">
        <f t="shared" si="515"/>
        <v>23665.441800000004</v>
      </c>
      <c r="ET112" s="58">
        <f t="shared" si="607"/>
        <v>78233.21750244002</v>
      </c>
      <c r="EU112" s="54">
        <f t="shared" si="608"/>
        <v>22955.478546000002</v>
      </c>
      <c r="EV112" s="58">
        <f t="shared" si="609"/>
        <v>75886.220977366815</v>
      </c>
      <c r="EW112" s="54">
        <f t="shared" si="610"/>
        <v>22482.169710000002</v>
      </c>
      <c r="EX112" s="58">
        <f t="shared" si="611"/>
        <v>74321.556627318001</v>
      </c>
      <c r="EY112" s="54">
        <f t="shared" si="612"/>
        <v>22008.860874000005</v>
      </c>
      <c r="EZ112" s="58">
        <f t="shared" si="613"/>
        <v>72756.892277269217</v>
      </c>
      <c r="FA112" s="56">
        <f t="shared" si="614"/>
        <v>21535.552038000005</v>
      </c>
      <c r="FB112" s="58">
        <f t="shared" si="615"/>
        <v>71192.227927220418</v>
      </c>
      <c r="FC112" s="54">
        <f t="shared" si="616"/>
        <v>21062.243202000005</v>
      </c>
      <c r="FD112" s="58">
        <f t="shared" si="617"/>
        <v>69627.563577171619</v>
      </c>
      <c r="FE112" s="56">
        <f t="shared" si="618"/>
        <v>20588.934366000005</v>
      </c>
      <c r="FF112" s="58">
        <f t="shared" si="619"/>
        <v>68062.89922712282</v>
      </c>
      <c r="FG112" s="59">
        <f t="shared" si="620"/>
        <v>20115.625530000005</v>
      </c>
      <c r="FH112" s="58">
        <f t="shared" si="621"/>
        <v>66498.234877074021</v>
      </c>
      <c r="FI112" s="56">
        <f t="shared" si="622"/>
        <v>19642.316694000001</v>
      </c>
      <c r="FJ112" s="58">
        <f t="shared" si="623"/>
        <v>64933.570527025207</v>
      </c>
      <c r="FK112" s="54">
        <f t="shared" si="624"/>
        <v>19169.007858000001</v>
      </c>
      <c r="FL112" s="58">
        <f t="shared" si="625"/>
        <v>63368.906176976401</v>
      </c>
      <c r="FM112" s="59">
        <f t="shared" si="626"/>
        <v>18695.699022000001</v>
      </c>
      <c r="FN112" s="58">
        <f t="shared" si="627"/>
        <v>61804.241826927602</v>
      </c>
      <c r="FO112" s="59">
        <f t="shared" si="628"/>
        <v>18222.390186000001</v>
      </c>
      <c r="FP112" s="58">
        <f t="shared" si="629"/>
        <v>60239.577476878803</v>
      </c>
      <c r="FQ112" s="59">
        <f t="shared" si="630"/>
        <v>17749.08135</v>
      </c>
      <c r="FR112" s="58">
        <f t="shared" si="631"/>
        <v>58674.913126830004</v>
      </c>
      <c r="FS112" s="54">
        <f t="shared" si="632"/>
        <v>17275.772514</v>
      </c>
      <c r="FT112" s="58">
        <f t="shared" si="633"/>
        <v>57110.248776781205</v>
      </c>
      <c r="FU112" s="59">
        <f t="shared" si="634"/>
        <v>16802.463678</v>
      </c>
      <c r="FV112" s="58">
        <f t="shared" si="635"/>
        <v>55545.584426732399</v>
      </c>
      <c r="FW112" s="59">
        <f t="shared" si="636"/>
        <v>16329.154841999998</v>
      </c>
      <c r="FX112" s="58">
        <f t="shared" si="637"/>
        <v>53980.920076683593</v>
      </c>
      <c r="FY112" s="59">
        <f t="shared" si="638"/>
        <v>15855.846005999998</v>
      </c>
      <c r="FZ112" s="58">
        <f t="shared" si="639"/>
        <v>52416.255726634794</v>
      </c>
      <c r="GA112" s="59">
        <f t="shared" si="640"/>
        <v>15382.537169999998</v>
      </c>
      <c r="GB112" s="58">
        <f t="shared" si="641"/>
        <v>50851.591376585995</v>
      </c>
      <c r="GC112" s="54">
        <f t="shared" si="642"/>
        <v>14909.228333999998</v>
      </c>
      <c r="GD112" s="58">
        <f t="shared" si="643"/>
        <v>49286.927026537196</v>
      </c>
      <c r="GE112" s="59">
        <f t="shared" si="644"/>
        <v>14435.919497999997</v>
      </c>
      <c r="GF112" s="58">
        <f t="shared" si="645"/>
        <v>47722.26267648839</v>
      </c>
      <c r="GG112" s="59">
        <f t="shared" si="646"/>
        <v>13962.610661999997</v>
      </c>
      <c r="GH112" s="58">
        <f t="shared" si="647"/>
        <v>46157.598326439591</v>
      </c>
      <c r="GI112" s="54">
        <f t="shared" si="648"/>
        <v>13489.301825999995</v>
      </c>
      <c r="GJ112" s="58">
        <f t="shared" si="649"/>
        <v>44592.933976390785</v>
      </c>
      <c r="GK112" s="54"/>
      <c r="GL112" s="54"/>
      <c r="GM112" s="54">
        <v>1</v>
      </c>
      <c r="GN112" s="54">
        <v>0.97</v>
      </c>
      <c r="GO112" s="54">
        <v>0.95</v>
      </c>
      <c r="GP112" s="54">
        <v>0.93</v>
      </c>
      <c r="GQ112" s="54">
        <f t="shared" si="660"/>
        <v>0.91</v>
      </c>
      <c r="GR112" s="54">
        <f t="shared" si="660"/>
        <v>0.89</v>
      </c>
      <c r="GS112" s="54">
        <f t="shared" si="660"/>
        <v>0.87</v>
      </c>
      <c r="GT112" s="54">
        <f t="shared" si="660"/>
        <v>0.85</v>
      </c>
      <c r="GU112" s="54">
        <f t="shared" si="660"/>
        <v>0.83</v>
      </c>
      <c r="GV112" s="54">
        <f t="shared" si="660"/>
        <v>0.80999999999999994</v>
      </c>
      <c r="GW112" s="54">
        <f t="shared" si="660"/>
        <v>0.78999999999999992</v>
      </c>
      <c r="GX112" s="54">
        <f t="shared" si="660"/>
        <v>0.76999999999999991</v>
      </c>
      <c r="GY112" s="54">
        <f t="shared" si="660"/>
        <v>0.74999999999999989</v>
      </c>
      <c r="GZ112" s="54">
        <f t="shared" si="660"/>
        <v>0.72999999999999987</v>
      </c>
      <c r="HA112" s="54">
        <f t="shared" si="660"/>
        <v>0.70999999999999985</v>
      </c>
      <c r="HB112" s="54">
        <f t="shared" si="660"/>
        <v>0.68999999999999984</v>
      </c>
      <c r="HC112" s="54">
        <f t="shared" si="660"/>
        <v>0.66999999999999982</v>
      </c>
      <c r="HD112" s="54">
        <f t="shared" si="660"/>
        <v>0.6499999999999998</v>
      </c>
      <c r="HE112" s="54">
        <f t="shared" si="660"/>
        <v>0.62999999999999978</v>
      </c>
      <c r="HF112" s="54">
        <f t="shared" si="660"/>
        <v>0.60999999999999976</v>
      </c>
      <c r="HG112" s="54">
        <f t="shared" si="660"/>
        <v>0.58999999999999975</v>
      </c>
      <c r="HH112" s="54">
        <f t="shared" si="660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99880</v>
      </c>
      <c r="E113" s="39">
        <f>SUM(E92:E112)</f>
        <v>330140</v>
      </c>
      <c r="H113" s="54">
        <f t="shared" si="510"/>
        <v>363154.00000000006</v>
      </c>
      <c r="I113" s="54">
        <f t="shared" si="511"/>
        <v>363154.00000000006</v>
      </c>
      <c r="J113" s="58">
        <f t="shared" si="512"/>
        <v>1200514.4932000001</v>
      </c>
      <c r="K113" s="54">
        <f t="shared" si="521"/>
        <v>352259.38000000006</v>
      </c>
      <c r="L113" s="58">
        <f t="shared" si="522"/>
        <v>1164499.0584040002</v>
      </c>
      <c r="M113" s="54">
        <f t="shared" si="523"/>
        <v>344996.30000000005</v>
      </c>
      <c r="N113" s="58">
        <f t="shared" si="524"/>
        <v>1140488.7685400001</v>
      </c>
      <c r="O113" s="54">
        <f t="shared" si="525"/>
        <v>337733.22000000009</v>
      </c>
      <c r="P113" s="58">
        <f t="shared" si="526"/>
        <v>1116478.4786760004</v>
      </c>
      <c r="Q113" s="56">
        <f t="shared" si="527"/>
        <v>330470.14000000007</v>
      </c>
      <c r="R113" s="58">
        <f t="shared" si="528"/>
        <v>1092468.1888120002</v>
      </c>
      <c r="S113" s="54">
        <f t="shared" si="529"/>
        <v>323207.06000000006</v>
      </c>
      <c r="T113" s="58">
        <f t="shared" si="530"/>
        <v>1068457.8989480003</v>
      </c>
      <c r="U113" s="56">
        <f t="shared" si="531"/>
        <v>315943.98000000004</v>
      </c>
      <c r="V113" s="58">
        <f t="shared" si="532"/>
        <v>1044447.6090840001</v>
      </c>
      <c r="W113" s="59">
        <f t="shared" si="533"/>
        <v>308680.90000000002</v>
      </c>
      <c r="X113" s="58">
        <f t="shared" si="534"/>
        <v>1020437.3192200001</v>
      </c>
      <c r="Y113" s="56">
        <f t="shared" si="535"/>
        <v>301417.82</v>
      </c>
      <c r="Z113" s="58">
        <f t="shared" si="536"/>
        <v>996427.02935600001</v>
      </c>
      <c r="AA113" s="54">
        <f t="shared" si="537"/>
        <v>294154.74000000005</v>
      </c>
      <c r="AB113" s="58">
        <f t="shared" si="538"/>
        <v>972416.7394920002</v>
      </c>
      <c r="AC113" s="59">
        <f t="shared" si="539"/>
        <v>286891.66000000003</v>
      </c>
      <c r="AD113" s="58">
        <f t="shared" si="540"/>
        <v>948406.44962800015</v>
      </c>
      <c r="AE113" s="59">
        <f t="shared" si="541"/>
        <v>279628.58</v>
      </c>
      <c r="AF113" s="58">
        <f t="shared" si="542"/>
        <v>924396.1597640001</v>
      </c>
      <c r="AG113" s="59">
        <f t="shared" si="543"/>
        <v>272365.5</v>
      </c>
      <c r="AH113" s="58">
        <f t="shared" si="544"/>
        <v>900385.86990000005</v>
      </c>
      <c r="AI113" s="54">
        <f t="shared" si="545"/>
        <v>265102.42</v>
      </c>
      <c r="AJ113" s="58">
        <f t="shared" si="546"/>
        <v>876375.580036</v>
      </c>
      <c r="AK113" s="59">
        <f t="shared" si="547"/>
        <v>257839.34</v>
      </c>
      <c r="AL113" s="58">
        <f t="shared" si="548"/>
        <v>852365.29017199995</v>
      </c>
      <c r="AM113" s="59">
        <f t="shared" si="549"/>
        <v>250576.25999999998</v>
      </c>
      <c r="AN113" s="58">
        <f t="shared" si="550"/>
        <v>828355.0003079999</v>
      </c>
      <c r="AO113" s="59">
        <f t="shared" si="551"/>
        <v>243313.17999999996</v>
      </c>
      <c r="AP113" s="58">
        <f t="shared" si="552"/>
        <v>804344.71044399985</v>
      </c>
      <c r="AQ113" s="59">
        <f t="shared" si="553"/>
        <v>236050.09999999998</v>
      </c>
      <c r="AR113" s="58">
        <f t="shared" si="554"/>
        <v>780334.42057999992</v>
      </c>
      <c r="AS113" s="54">
        <f t="shared" si="555"/>
        <v>228787.01999999996</v>
      </c>
      <c r="AT113" s="58">
        <f t="shared" si="556"/>
        <v>756324.13071599987</v>
      </c>
      <c r="AU113" s="59">
        <f t="shared" si="557"/>
        <v>221523.93999999994</v>
      </c>
      <c r="AV113" s="58">
        <f t="shared" si="558"/>
        <v>732313.84085199982</v>
      </c>
      <c r="AW113" s="59">
        <f t="shared" si="559"/>
        <v>214260.85999999996</v>
      </c>
      <c r="AX113" s="58">
        <f t="shared" si="560"/>
        <v>708303.55098799989</v>
      </c>
      <c r="AY113" s="54">
        <f t="shared" si="561"/>
        <v>206997.77999999994</v>
      </c>
      <c r="AZ113" s="58">
        <f t="shared" si="562"/>
        <v>684293.26112399984</v>
      </c>
      <c r="BC113" s="54">
        <v>1</v>
      </c>
      <c r="BD113" s="54">
        <v>0.97</v>
      </c>
      <c r="BE113" s="54">
        <v>0.95</v>
      </c>
      <c r="BF113" s="54">
        <v>0.93</v>
      </c>
      <c r="BG113" s="54">
        <f t="shared" si="656"/>
        <v>0.91</v>
      </c>
      <c r="BH113" s="54">
        <f t="shared" si="656"/>
        <v>0.89</v>
      </c>
      <c r="BI113" s="54">
        <f t="shared" si="656"/>
        <v>0.87</v>
      </c>
      <c r="BJ113" s="54">
        <f t="shared" si="656"/>
        <v>0.85</v>
      </c>
      <c r="BK113" s="54">
        <f t="shared" si="656"/>
        <v>0.83</v>
      </c>
      <c r="BL113" s="54">
        <f t="shared" si="656"/>
        <v>0.80999999999999994</v>
      </c>
      <c r="BM113" s="54">
        <f t="shared" si="656"/>
        <v>0.78999999999999992</v>
      </c>
      <c r="BN113" s="54">
        <f t="shared" si="656"/>
        <v>0.76999999999999991</v>
      </c>
      <c r="BO113" s="54">
        <f t="shared" si="656"/>
        <v>0.74999999999999989</v>
      </c>
      <c r="BP113" s="54">
        <f t="shared" si="656"/>
        <v>0.72999999999999987</v>
      </c>
      <c r="BQ113" s="54">
        <f t="shared" si="656"/>
        <v>0.70999999999999985</v>
      </c>
      <c r="BR113" s="54">
        <f t="shared" si="656"/>
        <v>0.68999999999999984</v>
      </c>
      <c r="BS113" s="54">
        <f t="shared" si="656"/>
        <v>0.66999999999999982</v>
      </c>
      <c r="BT113" s="54">
        <f t="shared" si="656"/>
        <v>0.6499999999999998</v>
      </c>
      <c r="BU113" s="54">
        <f t="shared" si="656"/>
        <v>0.62999999999999978</v>
      </c>
      <c r="BV113" s="54">
        <f t="shared" si="656"/>
        <v>0.60999999999999976</v>
      </c>
      <c r="BW113" s="54">
        <f t="shared" si="656"/>
        <v>0.58999999999999975</v>
      </c>
      <c r="BX113" s="54">
        <f t="shared" si="656"/>
        <v>0.56999999999999973</v>
      </c>
      <c r="BZ113" s="54">
        <f t="shared" si="513"/>
        <v>330470.14000000007</v>
      </c>
      <c r="CA113" s="54">
        <f t="shared" si="514"/>
        <v>330470.14000000007</v>
      </c>
      <c r="CB113" s="58">
        <f t="shared" si="564"/>
        <v>1092468.1888120002</v>
      </c>
      <c r="CC113" s="54">
        <f t="shared" si="565"/>
        <v>320556.03580000007</v>
      </c>
      <c r="CD113" s="58">
        <f t="shared" si="566"/>
        <v>1059694.1431476402</v>
      </c>
      <c r="CE113" s="54">
        <f t="shared" si="567"/>
        <v>313946.63300000003</v>
      </c>
      <c r="CF113" s="58">
        <f t="shared" si="568"/>
        <v>1037844.7793714001</v>
      </c>
      <c r="CG113" s="54">
        <f t="shared" si="569"/>
        <v>307337.23020000011</v>
      </c>
      <c r="CH113" s="58">
        <f t="shared" si="570"/>
        <v>1015995.4155951603</v>
      </c>
      <c r="CI113" s="56">
        <f t="shared" si="571"/>
        <v>300727.82740000007</v>
      </c>
      <c r="CJ113" s="58">
        <f t="shared" si="572"/>
        <v>994146.0518189203</v>
      </c>
      <c r="CK113" s="54">
        <f t="shared" si="573"/>
        <v>294118.42460000009</v>
      </c>
      <c r="CL113" s="58">
        <f t="shared" si="574"/>
        <v>972296.68804268027</v>
      </c>
      <c r="CM113" s="56">
        <f t="shared" si="575"/>
        <v>287509.02180000005</v>
      </c>
      <c r="CN113" s="58">
        <f t="shared" si="576"/>
        <v>950447.32426644012</v>
      </c>
      <c r="CO113" s="59">
        <f t="shared" si="577"/>
        <v>280899.61900000006</v>
      </c>
      <c r="CP113" s="58">
        <f t="shared" si="578"/>
        <v>928597.9604902002</v>
      </c>
      <c r="CQ113" s="56">
        <f t="shared" si="579"/>
        <v>274290.21620000002</v>
      </c>
      <c r="CR113" s="58">
        <f t="shared" si="580"/>
        <v>906748.59671396005</v>
      </c>
      <c r="CS113" s="54">
        <f t="shared" si="581"/>
        <v>267680.81340000004</v>
      </c>
      <c r="CT113" s="58">
        <f t="shared" si="582"/>
        <v>884899.23293772014</v>
      </c>
      <c r="CU113" s="59">
        <f t="shared" si="583"/>
        <v>261071.41060000003</v>
      </c>
      <c r="CV113" s="58">
        <f t="shared" si="584"/>
        <v>863049.86916148011</v>
      </c>
      <c r="CW113" s="59">
        <f t="shared" si="585"/>
        <v>254462.00780000002</v>
      </c>
      <c r="CX113" s="58">
        <f t="shared" si="586"/>
        <v>841200.50538524007</v>
      </c>
      <c r="CY113" s="59">
        <f t="shared" si="587"/>
        <v>247852.60500000001</v>
      </c>
      <c r="CZ113" s="58">
        <f t="shared" si="588"/>
        <v>819351.14160900004</v>
      </c>
      <c r="DA113" s="54">
        <f t="shared" si="589"/>
        <v>241243.2022</v>
      </c>
      <c r="DB113" s="58">
        <f t="shared" si="590"/>
        <v>797501.77783276001</v>
      </c>
      <c r="DC113" s="59">
        <f t="shared" si="591"/>
        <v>234633.79939999999</v>
      </c>
      <c r="DD113" s="58">
        <f t="shared" si="592"/>
        <v>775652.41405651998</v>
      </c>
      <c r="DE113" s="59">
        <f t="shared" si="593"/>
        <v>228024.39660000001</v>
      </c>
      <c r="DF113" s="58">
        <f t="shared" si="594"/>
        <v>753803.05028028006</v>
      </c>
      <c r="DG113" s="59">
        <f t="shared" si="595"/>
        <v>221414.9938</v>
      </c>
      <c r="DH113" s="58">
        <f t="shared" si="596"/>
        <v>731953.68650404003</v>
      </c>
      <c r="DI113" s="59">
        <f t="shared" si="597"/>
        <v>214805.59099999999</v>
      </c>
      <c r="DJ113" s="58">
        <f t="shared" si="598"/>
        <v>710104.3227278</v>
      </c>
      <c r="DK113" s="54">
        <f t="shared" si="599"/>
        <v>208196.18819999998</v>
      </c>
      <c r="DL113" s="58">
        <f t="shared" si="600"/>
        <v>688254.95895155997</v>
      </c>
      <c r="DM113" s="59">
        <f t="shared" si="601"/>
        <v>201586.78539999996</v>
      </c>
      <c r="DN113" s="58">
        <f t="shared" si="602"/>
        <v>666405.59517531993</v>
      </c>
      <c r="DO113" s="59">
        <f t="shared" si="603"/>
        <v>194977.38259999995</v>
      </c>
      <c r="DP113" s="58">
        <f t="shared" si="604"/>
        <v>644556.2313990799</v>
      </c>
      <c r="DQ113" s="54">
        <f t="shared" si="605"/>
        <v>188367.97979999994</v>
      </c>
      <c r="DR113" s="58">
        <f t="shared" si="606"/>
        <v>622706.86762283987</v>
      </c>
      <c r="DU113" s="54">
        <v>1</v>
      </c>
      <c r="DV113" s="54">
        <v>0.97</v>
      </c>
      <c r="DW113" s="54">
        <v>0.95</v>
      </c>
      <c r="DX113" s="54">
        <v>0.93</v>
      </c>
      <c r="DY113" s="54">
        <f t="shared" si="659"/>
        <v>0.91</v>
      </c>
      <c r="DZ113" s="54">
        <f t="shared" si="659"/>
        <v>0.89</v>
      </c>
      <c r="EA113" s="54">
        <f t="shared" si="659"/>
        <v>0.87</v>
      </c>
      <c r="EB113" s="54">
        <f t="shared" si="659"/>
        <v>0.85</v>
      </c>
      <c r="EC113" s="54">
        <f t="shared" si="659"/>
        <v>0.83</v>
      </c>
      <c r="ED113" s="54">
        <f t="shared" si="659"/>
        <v>0.80999999999999994</v>
      </c>
      <c r="EE113" s="54">
        <f t="shared" si="659"/>
        <v>0.78999999999999992</v>
      </c>
      <c r="EF113" s="54">
        <f t="shared" si="659"/>
        <v>0.76999999999999991</v>
      </c>
      <c r="EG113" s="54">
        <f t="shared" si="659"/>
        <v>0.74999999999999989</v>
      </c>
      <c r="EH113" s="54">
        <f t="shared" si="659"/>
        <v>0.72999999999999987</v>
      </c>
      <c r="EI113" s="54">
        <f t="shared" si="659"/>
        <v>0.70999999999999985</v>
      </c>
      <c r="EJ113" s="54">
        <f t="shared" si="659"/>
        <v>0.68999999999999984</v>
      </c>
      <c r="EK113" s="54">
        <f t="shared" si="659"/>
        <v>0.66999999999999982</v>
      </c>
      <c r="EL113" s="54">
        <f t="shared" si="659"/>
        <v>0.6499999999999998</v>
      </c>
      <c r="EM113" s="54">
        <f t="shared" si="659"/>
        <v>0.62999999999999978</v>
      </c>
      <c r="EN113" s="54">
        <f t="shared" si="659"/>
        <v>0.60999999999999976</v>
      </c>
      <c r="EO113" s="54">
        <f t="shared" si="659"/>
        <v>0.58999999999999975</v>
      </c>
      <c r="EP113" s="54">
        <f t="shared" si="659"/>
        <v>0.56999999999999973</v>
      </c>
      <c r="ER113" s="54">
        <f t="shared" si="653"/>
        <v>300727.82740000007</v>
      </c>
      <c r="ES113" s="54">
        <f t="shared" si="515"/>
        <v>300727.82740000007</v>
      </c>
      <c r="ET113" s="58">
        <f t="shared" si="607"/>
        <v>994146.0518189203</v>
      </c>
      <c r="EU113" s="54">
        <f t="shared" si="608"/>
        <v>291705.99257800006</v>
      </c>
      <c r="EV113" s="58">
        <f t="shared" si="609"/>
        <v>964321.67026435258</v>
      </c>
      <c r="EW113" s="54">
        <f t="shared" si="610"/>
        <v>285691.43603000004</v>
      </c>
      <c r="EX113" s="58">
        <f t="shared" si="611"/>
        <v>944438.7492279741</v>
      </c>
      <c r="EY113" s="54">
        <f t="shared" si="612"/>
        <v>279676.87948200008</v>
      </c>
      <c r="EZ113" s="58">
        <f t="shared" si="613"/>
        <v>924555.82819159585</v>
      </c>
      <c r="FA113" s="56">
        <f t="shared" si="614"/>
        <v>273662.32293400005</v>
      </c>
      <c r="FB113" s="58">
        <f t="shared" si="615"/>
        <v>904672.90715521737</v>
      </c>
      <c r="FC113" s="54">
        <f t="shared" si="616"/>
        <v>267647.76638600009</v>
      </c>
      <c r="FD113" s="58">
        <f t="shared" si="617"/>
        <v>884789.98611883912</v>
      </c>
      <c r="FE113" s="56">
        <f t="shared" si="618"/>
        <v>261633.20983800007</v>
      </c>
      <c r="FF113" s="58">
        <f t="shared" si="619"/>
        <v>864907.06508246064</v>
      </c>
      <c r="FG113" s="59">
        <f t="shared" si="620"/>
        <v>255618.65329000005</v>
      </c>
      <c r="FH113" s="58">
        <f t="shared" si="621"/>
        <v>845024.14404608216</v>
      </c>
      <c r="FI113" s="56">
        <f t="shared" si="622"/>
        <v>249604.09674200005</v>
      </c>
      <c r="FJ113" s="58">
        <f t="shared" si="623"/>
        <v>825141.2230097038</v>
      </c>
      <c r="FK113" s="54">
        <f t="shared" si="624"/>
        <v>243589.54019400003</v>
      </c>
      <c r="FL113" s="58">
        <f t="shared" si="625"/>
        <v>805258.30197332532</v>
      </c>
      <c r="FM113" s="59">
        <f t="shared" si="626"/>
        <v>237574.98364600004</v>
      </c>
      <c r="FN113" s="58">
        <f t="shared" si="627"/>
        <v>785375.38093694695</v>
      </c>
      <c r="FO113" s="59">
        <f t="shared" si="628"/>
        <v>231560.42709800001</v>
      </c>
      <c r="FP113" s="58">
        <f t="shared" si="629"/>
        <v>765492.45990056847</v>
      </c>
      <c r="FQ113" s="59">
        <f t="shared" si="630"/>
        <v>225545.87055000002</v>
      </c>
      <c r="FR113" s="58">
        <f t="shared" si="631"/>
        <v>745609.53886419011</v>
      </c>
      <c r="FS113" s="54">
        <f t="shared" si="632"/>
        <v>219531.314002</v>
      </c>
      <c r="FT113" s="58">
        <f t="shared" si="633"/>
        <v>725726.61782781163</v>
      </c>
      <c r="FU113" s="59">
        <f t="shared" si="634"/>
        <v>213516.75745400001</v>
      </c>
      <c r="FV113" s="58">
        <f t="shared" si="635"/>
        <v>705843.69679143326</v>
      </c>
      <c r="FW113" s="59">
        <f t="shared" si="636"/>
        <v>207502.20090599998</v>
      </c>
      <c r="FX113" s="58">
        <f t="shared" si="637"/>
        <v>685960.77575505478</v>
      </c>
      <c r="FY113" s="59">
        <f t="shared" si="638"/>
        <v>201487.64435799999</v>
      </c>
      <c r="FZ113" s="58">
        <f t="shared" si="639"/>
        <v>666077.85471867642</v>
      </c>
      <c r="GA113" s="59">
        <f t="shared" si="640"/>
        <v>195473.08781</v>
      </c>
      <c r="GB113" s="58">
        <f t="shared" si="641"/>
        <v>646194.93368229805</v>
      </c>
      <c r="GC113" s="54">
        <f t="shared" si="642"/>
        <v>189458.53126199997</v>
      </c>
      <c r="GD113" s="58">
        <f t="shared" si="643"/>
        <v>626312.01264591957</v>
      </c>
      <c r="GE113" s="59">
        <f t="shared" si="644"/>
        <v>183443.97471399998</v>
      </c>
      <c r="GF113" s="58">
        <f t="shared" si="645"/>
        <v>606429.09160954121</v>
      </c>
      <c r="GG113" s="59">
        <f t="shared" si="646"/>
        <v>177429.41816599996</v>
      </c>
      <c r="GH113" s="58">
        <f t="shared" si="647"/>
        <v>586546.17057316273</v>
      </c>
      <c r="GI113" s="54">
        <f t="shared" si="648"/>
        <v>171414.86161799997</v>
      </c>
      <c r="GJ113" s="58">
        <f t="shared" si="649"/>
        <v>566663.24953678425</v>
      </c>
      <c r="GK113" s="54"/>
      <c r="GL113" s="54"/>
      <c r="GM113" s="54">
        <v>1</v>
      </c>
      <c r="GN113" s="54">
        <v>0.97</v>
      </c>
      <c r="GO113" s="54">
        <v>0.95</v>
      </c>
      <c r="GP113" s="54">
        <v>0.93</v>
      </c>
      <c r="GQ113" s="54">
        <f t="shared" si="660"/>
        <v>0.91</v>
      </c>
      <c r="GR113" s="54">
        <f t="shared" si="660"/>
        <v>0.89</v>
      </c>
      <c r="GS113" s="54">
        <f t="shared" si="660"/>
        <v>0.87</v>
      </c>
      <c r="GT113" s="54">
        <f t="shared" si="660"/>
        <v>0.85</v>
      </c>
      <c r="GU113" s="54">
        <f t="shared" si="660"/>
        <v>0.83</v>
      </c>
      <c r="GV113" s="54">
        <f t="shared" si="660"/>
        <v>0.80999999999999994</v>
      </c>
      <c r="GW113" s="54">
        <f t="shared" si="660"/>
        <v>0.78999999999999992</v>
      </c>
      <c r="GX113" s="54">
        <f t="shared" si="660"/>
        <v>0.76999999999999991</v>
      </c>
      <c r="GY113" s="54">
        <f t="shared" si="660"/>
        <v>0.74999999999999989</v>
      </c>
      <c r="GZ113" s="54">
        <f t="shared" si="660"/>
        <v>0.72999999999999987</v>
      </c>
      <c r="HA113" s="54">
        <f t="shared" si="660"/>
        <v>0.70999999999999985</v>
      </c>
      <c r="HB113" s="54">
        <f t="shared" si="660"/>
        <v>0.68999999999999984</v>
      </c>
      <c r="HC113" s="54">
        <f t="shared" si="660"/>
        <v>0.66999999999999982</v>
      </c>
      <c r="HD113" s="54">
        <f t="shared" si="660"/>
        <v>0.6499999999999998</v>
      </c>
      <c r="HE113" s="54">
        <f t="shared" si="660"/>
        <v>0.62999999999999978</v>
      </c>
      <c r="HF113" s="54">
        <f t="shared" si="660"/>
        <v>0.60999999999999976</v>
      </c>
      <c r="HG113" s="54">
        <f t="shared" si="660"/>
        <v>0.58999999999999975</v>
      </c>
      <c r="HH113" s="54">
        <f t="shared" si="660"/>
        <v>0.56999999999999973</v>
      </c>
    </row>
    <row r="114" spans="1:216" s="63" customFormat="1" x14ac:dyDescent="0.3">
      <c r="C114" s="64"/>
      <c r="D114" s="64"/>
      <c r="E114" s="64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1"/>
      <c r="Q114" s="60"/>
      <c r="R114" s="60"/>
      <c r="S114" s="60"/>
      <c r="T114" s="61"/>
      <c r="U114" s="60"/>
      <c r="V114" s="62"/>
      <c r="W114" s="60"/>
      <c r="X114" s="61"/>
      <c r="Y114" s="60"/>
      <c r="Z114" s="60"/>
      <c r="AA114" s="60"/>
      <c r="AB114" s="62"/>
      <c r="AC114" s="60"/>
      <c r="AD114" s="62"/>
      <c r="AE114" s="60"/>
      <c r="AF114" s="62"/>
      <c r="AG114" s="60"/>
      <c r="AH114" s="60"/>
      <c r="AI114" s="60"/>
      <c r="AJ114" s="62"/>
      <c r="AK114" s="60"/>
      <c r="AL114" s="62"/>
      <c r="AM114" s="60"/>
      <c r="AN114" s="62"/>
      <c r="AO114" s="60"/>
      <c r="AP114" s="62"/>
      <c r="AQ114" s="60"/>
      <c r="AR114" s="60"/>
      <c r="AS114" s="60"/>
      <c r="AT114" s="62"/>
      <c r="AU114" s="60"/>
      <c r="AV114" s="62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>
        <f t="shared" ref="BY114:BY115" si="661">+G114*0.91</f>
        <v>0</v>
      </c>
      <c r="BZ114" s="60"/>
      <c r="CA114" s="60"/>
      <c r="CB114" s="60"/>
      <c r="CC114" s="60"/>
      <c r="CD114" s="60"/>
      <c r="CE114" s="60"/>
      <c r="CF114" s="60"/>
      <c r="CG114" s="60"/>
      <c r="CH114" s="61"/>
      <c r="CI114" s="60"/>
      <c r="CJ114" s="60"/>
      <c r="CK114" s="60"/>
      <c r="CL114" s="61"/>
      <c r="CM114" s="60"/>
      <c r="CN114" s="62"/>
      <c r="CO114" s="60"/>
      <c r="CP114" s="61"/>
      <c r="CQ114" s="60"/>
      <c r="CR114" s="60"/>
      <c r="CS114" s="60"/>
      <c r="CT114" s="62"/>
      <c r="CU114" s="60"/>
      <c r="CV114" s="62"/>
      <c r="CW114" s="60"/>
      <c r="CX114" s="62"/>
      <c r="CY114" s="60"/>
      <c r="CZ114" s="60"/>
      <c r="DA114" s="60"/>
      <c r="DB114" s="62"/>
      <c r="DC114" s="60"/>
      <c r="DD114" s="62"/>
      <c r="DE114" s="60"/>
      <c r="DF114" s="62"/>
      <c r="DG114" s="60"/>
      <c r="DH114" s="62"/>
      <c r="DI114" s="60"/>
      <c r="DJ114" s="60"/>
      <c r="DK114" s="60"/>
      <c r="DL114" s="62"/>
      <c r="DM114" s="60"/>
      <c r="DN114" s="62"/>
      <c r="DO114" s="60"/>
      <c r="DP114" s="60"/>
      <c r="DQ114" s="60"/>
      <c r="DR114" s="60"/>
      <c r="DS114" s="60"/>
      <c r="DT114" s="60">
        <v>1</v>
      </c>
      <c r="DU114" s="60">
        <v>0.97</v>
      </c>
      <c r="DV114" s="60">
        <v>0.95</v>
      </c>
      <c r="DW114" s="60">
        <v>0.93</v>
      </c>
      <c r="DX114" s="60">
        <f t="shared" ref="DX114:EO115" si="662">+DW114-0.02</f>
        <v>0.91</v>
      </c>
      <c r="DY114" s="60">
        <f t="shared" si="662"/>
        <v>0.89</v>
      </c>
      <c r="DZ114" s="60">
        <f t="shared" si="662"/>
        <v>0.87</v>
      </c>
      <c r="EA114" s="60">
        <f t="shared" si="662"/>
        <v>0.85</v>
      </c>
      <c r="EB114" s="60">
        <f t="shared" si="662"/>
        <v>0.83</v>
      </c>
      <c r="EC114" s="60">
        <f t="shared" si="662"/>
        <v>0.80999999999999994</v>
      </c>
      <c r="ED114" s="60">
        <f t="shared" si="662"/>
        <v>0.78999999999999992</v>
      </c>
      <c r="EE114" s="60">
        <f t="shared" si="662"/>
        <v>0.76999999999999991</v>
      </c>
      <c r="EF114" s="60">
        <f t="shared" si="662"/>
        <v>0.74999999999999989</v>
      </c>
      <c r="EG114" s="60">
        <f t="shared" si="662"/>
        <v>0.72999999999999987</v>
      </c>
      <c r="EH114" s="60">
        <f t="shared" si="662"/>
        <v>0.70999999999999985</v>
      </c>
      <c r="EI114" s="60">
        <f t="shared" si="662"/>
        <v>0.68999999999999984</v>
      </c>
      <c r="EJ114" s="60">
        <f t="shared" si="662"/>
        <v>0.66999999999999982</v>
      </c>
      <c r="EK114" s="60">
        <f t="shared" si="662"/>
        <v>0.6499999999999998</v>
      </c>
      <c r="EL114" s="60">
        <f t="shared" si="662"/>
        <v>0.62999999999999978</v>
      </c>
      <c r="EM114" s="60">
        <f t="shared" si="662"/>
        <v>0.60999999999999976</v>
      </c>
      <c r="EN114" s="60">
        <f t="shared" si="662"/>
        <v>0.58999999999999975</v>
      </c>
      <c r="EO114" s="60">
        <f t="shared" si="662"/>
        <v>0.56999999999999973</v>
      </c>
      <c r="EQ114" s="60">
        <f t="shared" ref="EQ114:EQ115" si="663">+BY114*0.91</f>
        <v>0</v>
      </c>
      <c r="ER114" s="60"/>
      <c r="ES114" s="60"/>
      <c r="ET114" s="60"/>
      <c r="EU114" s="60"/>
      <c r="EV114" s="60"/>
      <c r="EW114" s="60"/>
      <c r="EX114" s="60"/>
      <c r="EY114" s="60"/>
      <c r="EZ114" s="61"/>
      <c r="FA114" s="60"/>
      <c r="FB114" s="60"/>
      <c r="FC114" s="60"/>
      <c r="FD114" s="61"/>
      <c r="FE114" s="60"/>
      <c r="FF114" s="62"/>
      <c r="FG114" s="60"/>
      <c r="FH114" s="61"/>
      <c r="FI114" s="60"/>
      <c r="FJ114" s="60"/>
      <c r="FK114" s="60"/>
      <c r="FL114" s="62"/>
      <c r="FM114" s="60"/>
      <c r="FN114" s="62"/>
      <c r="FO114" s="60"/>
      <c r="FP114" s="62"/>
      <c r="FQ114" s="60"/>
      <c r="FR114" s="60"/>
      <c r="FS114" s="60"/>
      <c r="FT114" s="62"/>
      <c r="FU114" s="60"/>
      <c r="FV114" s="62"/>
      <c r="FW114" s="60"/>
      <c r="FX114" s="62"/>
      <c r="FY114" s="60"/>
      <c r="FZ114" s="62"/>
      <c r="GA114" s="60"/>
      <c r="GB114" s="60"/>
      <c r="GC114" s="60"/>
      <c r="GD114" s="62"/>
      <c r="GE114" s="60"/>
      <c r="GF114" s="62"/>
      <c r="GG114" s="60"/>
      <c r="GH114" s="60"/>
      <c r="GI114" s="60"/>
      <c r="GJ114" s="60"/>
      <c r="GK114" s="60"/>
      <c r="GL114" s="60">
        <v>1</v>
      </c>
      <c r="GM114" s="60">
        <v>0.97</v>
      </c>
      <c r="GN114" s="60">
        <v>0.95</v>
      </c>
      <c r="GO114" s="60">
        <v>0.93</v>
      </c>
      <c r="GP114" s="60">
        <f t="shared" ref="GP114:HG115" si="664">+GO114-0.02</f>
        <v>0.91</v>
      </c>
      <c r="GQ114" s="60">
        <f t="shared" si="664"/>
        <v>0.89</v>
      </c>
      <c r="GR114" s="60">
        <f t="shared" si="664"/>
        <v>0.87</v>
      </c>
      <c r="GS114" s="60">
        <f t="shared" si="664"/>
        <v>0.85</v>
      </c>
      <c r="GT114" s="60">
        <f t="shared" si="664"/>
        <v>0.83</v>
      </c>
      <c r="GU114" s="60">
        <f t="shared" si="664"/>
        <v>0.80999999999999994</v>
      </c>
      <c r="GV114" s="60">
        <f t="shared" si="664"/>
        <v>0.78999999999999992</v>
      </c>
      <c r="GW114" s="60">
        <f t="shared" si="664"/>
        <v>0.76999999999999991</v>
      </c>
      <c r="GX114" s="60">
        <f t="shared" si="664"/>
        <v>0.74999999999999989</v>
      </c>
      <c r="GY114" s="60">
        <f t="shared" si="664"/>
        <v>0.72999999999999987</v>
      </c>
      <c r="GZ114" s="60">
        <f t="shared" si="664"/>
        <v>0.70999999999999985</v>
      </c>
      <c r="HA114" s="60">
        <f t="shared" si="664"/>
        <v>0.68999999999999984</v>
      </c>
      <c r="HB114" s="60">
        <f t="shared" si="664"/>
        <v>0.66999999999999982</v>
      </c>
      <c r="HC114" s="60">
        <f t="shared" si="664"/>
        <v>0.6499999999999998</v>
      </c>
      <c r="HD114" s="60">
        <f t="shared" si="664"/>
        <v>0.62999999999999978</v>
      </c>
      <c r="HE114" s="60">
        <f t="shared" si="664"/>
        <v>0.60999999999999976</v>
      </c>
      <c r="HF114" s="60">
        <f t="shared" si="664"/>
        <v>0.58999999999999975</v>
      </c>
      <c r="HG114" s="60">
        <f t="shared" si="664"/>
        <v>0.56999999999999973</v>
      </c>
    </row>
    <row r="115" spans="1:216" s="63" customFormat="1" ht="17.25" thickBot="1" x14ac:dyDescent="0.35">
      <c r="B115" s="63" t="s">
        <v>296</v>
      </c>
      <c r="C115" s="63" t="s">
        <v>294</v>
      </c>
      <c r="D115" s="64" t="s">
        <v>304</v>
      </c>
      <c r="E115" s="64" t="s">
        <v>324</v>
      </c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1"/>
      <c r="Q115" s="60"/>
      <c r="R115" s="60"/>
      <c r="S115" s="60"/>
      <c r="T115" s="61"/>
      <c r="U115" s="60"/>
      <c r="V115" s="62"/>
      <c r="W115" s="60"/>
      <c r="X115" s="61"/>
      <c r="Y115" s="60"/>
      <c r="Z115" s="60"/>
      <c r="AA115" s="60"/>
      <c r="AB115" s="62"/>
      <c r="AC115" s="60"/>
      <c r="AD115" s="62"/>
      <c r="AE115" s="60"/>
      <c r="AF115" s="62"/>
      <c r="AG115" s="60"/>
      <c r="AH115" s="60"/>
      <c r="AI115" s="60"/>
      <c r="AJ115" s="62"/>
      <c r="AK115" s="60"/>
      <c r="AL115" s="62"/>
      <c r="AM115" s="60"/>
      <c r="AN115" s="62"/>
      <c r="AO115" s="60"/>
      <c r="AP115" s="62"/>
      <c r="AQ115" s="60"/>
      <c r="AR115" s="60"/>
      <c r="AS115" s="60"/>
      <c r="AT115" s="62"/>
      <c r="AU115" s="60"/>
      <c r="AV115" s="62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>
        <f t="shared" si="661"/>
        <v>0</v>
      </c>
      <c r="BZ115" s="60"/>
      <c r="CA115" s="60"/>
      <c r="CB115" s="60"/>
      <c r="CC115" s="60"/>
      <c r="CD115" s="60"/>
      <c r="CE115" s="60"/>
      <c r="CF115" s="60"/>
      <c r="CG115" s="60"/>
      <c r="CH115" s="61"/>
      <c r="CI115" s="60"/>
      <c r="CJ115" s="60"/>
      <c r="CK115" s="60"/>
      <c r="CL115" s="61"/>
      <c r="CM115" s="60"/>
      <c r="CN115" s="62"/>
      <c r="CO115" s="60"/>
      <c r="CP115" s="61"/>
      <c r="CQ115" s="60"/>
      <c r="CR115" s="60"/>
      <c r="CS115" s="60"/>
      <c r="CT115" s="62"/>
      <c r="CU115" s="60"/>
      <c r="CV115" s="62"/>
      <c r="CW115" s="60"/>
      <c r="CX115" s="62"/>
      <c r="CY115" s="60"/>
      <c r="CZ115" s="60"/>
      <c r="DA115" s="60"/>
      <c r="DB115" s="62"/>
      <c r="DC115" s="60"/>
      <c r="DD115" s="62"/>
      <c r="DE115" s="60"/>
      <c r="DF115" s="62"/>
      <c r="DG115" s="60"/>
      <c r="DH115" s="62"/>
      <c r="DI115" s="60"/>
      <c r="DJ115" s="60"/>
      <c r="DK115" s="60"/>
      <c r="DL115" s="62"/>
      <c r="DM115" s="60"/>
      <c r="DN115" s="62"/>
      <c r="DO115" s="60"/>
      <c r="DP115" s="60"/>
      <c r="DQ115" s="60"/>
      <c r="DR115" s="60"/>
      <c r="DS115" s="60"/>
      <c r="DT115" s="60">
        <v>1</v>
      </c>
      <c r="DU115" s="60">
        <v>0.97</v>
      </c>
      <c r="DV115" s="60">
        <v>0.95</v>
      </c>
      <c r="DW115" s="60">
        <v>0.93</v>
      </c>
      <c r="DX115" s="60">
        <f t="shared" si="662"/>
        <v>0.91</v>
      </c>
      <c r="DY115" s="60">
        <f t="shared" si="662"/>
        <v>0.89</v>
      </c>
      <c r="DZ115" s="60">
        <f t="shared" si="662"/>
        <v>0.87</v>
      </c>
      <c r="EA115" s="60">
        <f t="shared" si="662"/>
        <v>0.85</v>
      </c>
      <c r="EB115" s="60">
        <f t="shared" si="662"/>
        <v>0.83</v>
      </c>
      <c r="EC115" s="60">
        <f t="shared" si="662"/>
        <v>0.80999999999999994</v>
      </c>
      <c r="ED115" s="60">
        <f t="shared" si="662"/>
        <v>0.78999999999999992</v>
      </c>
      <c r="EE115" s="60">
        <f t="shared" si="662"/>
        <v>0.76999999999999991</v>
      </c>
      <c r="EF115" s="60">
        <f t="shared" si="662"/>
        <v>0.74999999999999989</v>
      </c>
      <c r="EG115" s="60">
        <f t="shared" si="662"/>
        <v>0.72999999999999987</v>
      </c>
      <c r="EH115" s="60">
        <f t="shared" si="662"/>
        <v>0.70999999999999985</v>
      </c>
      <c r="EI115" s="60">
        <f t="shared" si="662"/>
        <v>0.68999999999999984</v>
      </c>
      <c r="EJ115" s="60">
        <f t="shared" si="662"/>
        <v>0.66999999999999982</v>
      </c>
      <c r="EK115" s="60">
        <f t="shared" si="662"/>
        <v>0.6499999999999998</v>
      </c>
      <c r="EL115" s="60">
        <f t="shared" si="662"/>
        <v>0.62999999999999978</v>
      </c>
      <c r="EM115" s="60">
        <f t="shared" si="662"/>
        <v>0.60999999999999976</v>
      </c>
      <c r="EN115" s="60">
        <f t="shared" si="662"/>
        <v>0.58999999999999975</v>
      </c>
      <c r="EO115" s="60">
        <f t="shared" si="662"/>
        <v>0.56999999999999973</v>
      </c>
      <c r="EQ115" s="60">
        <f t="shared" si="663"/>
        <v>0</v>
      </c>
      <c r="ER115" s="60"/>
      <c r="ES115" s="60"/>
      <c r="ET115" s="60"/>
      <c r="EU115" s="60"/>
      <c r="EV115" s="60"/>
      <c r="EW115" s="60"/>
      <c r="EX115" s="60"/>
      <c r="EY115" s="60"/>
      <c r="EZ115" s="61"/>
      <c r="FA115" s="60"/>
      <c r="FB115" s="60"/>
      <c r="FC115" s="60"/>
      <c r="FD115" s="61"/>
      <c r="FE115" s="60"/>
      <c r="FF115" s="62"/>
      <c r="FG115" s="60"/>
      <c r="FH115" s="61"/>
      <c r="FI115" s="60"/>
      <c r="FJ115" s="60"/>
      <c r="FK115" s="60"/>
      <c r="FL115" s="62"/>
      <c r="FM115" s="60"/>
      <c r="FN115" s="62"/>
      <c r="FO115" s="60"/>
      <c r="FP115" s="62"/>
      <c r="FQ115" s="60"/>
      <c r="FR115" s="60"/>
      <c r="FS115" s="60"/>
      <c r="FT115" s="62"/>
      <c r="FU115" s="60"/>
      <c r="FV115" s="62"/>
      <c r="FW115" s="60"/>
      <c r="FX115" s="62"/>
      <c r="FY115" s="60"/>
      <c r="FZ115" s="62"/>
      <c r="GA115" s="60"/>
      <c r="GB115" s="60"/>
      <c r="GC115" s="60"/>
      <c r="GD115" s="62"/>
      <c r="GE115" s="60"/>
      <c r="GF115" s="62"/>
      <c r="GG115" s="60"/>
      <c r="GH115" s="60"/>
      <c r="GI115" s="60"/>
      <c r="GJ115" s="60"/>
      <c r="GK115" s="60"/>
      <c r="GL115" s="60">
        <v>1</v>
      </c>
      <c r="GM115" s="60">
        <v>0.97</v>
      </c>
      <c r="GN115" s="60">
        <v>0.95</v>
      </c>
      <c r="GO115" s="60">
        <v>0.93</v>
      </c>
      <c r="GP115" s="60">
        <f t="shared" si="664"/>
        <v>0.91</v>
      </c>
      <c r="GQ115" s="60">
        <f t="shared" si="664"/>
        <v>0.89</v>
      </c>
      <c r="GR115" s="60">
        <f t="shared" si="664"/>
        <v>0.87</v>
      </c>
      <c r="GS115" s="60">
        <f t="shared" si="664"/>
        <v>0.85</v>
      </c>
      <c r="GT115" s="60">
        <f t="shared" si="664"/>
        <v>0.83</v>
      </c>
      <c r="GU115" s="60">
        <f t="shared" si="664"/>
        <v>0.80999999999999994</v>
      </c>
      <c r="GV115" s="60">
        <f t="shared" si="664"/>
        <v>0.78999999999999992</v>
      </c>
      <c r="GW115" s="60">
        <f t="shared" si="664"/>
        <v>0.76999999999999991</v>
      </c>
      <c r="GX115" s="60">
        <f t="shared" si="664"/>
        <v>0.74999999999999989</v>
      </c>
      <c r="GY115" s="60">
        <f t="shared" si="664"/>
        <v>0.72999999999999987</v>
      </c>
      <c r="GZ115" s="60">
        <f t="shared" si="664"/>
        <v>0.70999999999999985</v>
      </c>
      <c r="HA115" s="60">
        <f t="shared" si="664"/>
        <v>0.68999999999999984</v>
      </c>
      <c r="HB115" s="60">
        <f t="shared" si="664"/>
        <v>0.66999999999999982</v>
      </c>
      <c r="HC115" s="60">
        <f t="shared" si="664"/>
        <v>0.6499999999999998</v>
      </c>
      <c r="HD115" s="60">
        <f t="shared" si="664"/>
        <v>0.62999999999999978</v>
      </c>
      <c r="HE115" s="60">
        <f t="shared" si="664"/>
        <v>0.60999999999999976</v>
      </c>
      <c r="HF115" s="60">
        <f t="shared" si="664"/>
        <v>0.58999999999999975</v>
      </c>
      <c r="HG115" s="60">
        <f t="shared" si="664"/>
        <v>0.56999999999999973</v>
      </c>
    </row>
    <row r="116" spans="1:216" x14ac:dyDescent="0.3">
      <c r="A116" s="2">
        <v>1</v>
      </c>
      <c r="C116" s="38" t="s">
        <v>55</v>
      </c>
      <c r="D116" s="40">
        <f>2170+21570</f>
        <v>23740</v>
      </c>
      <c r="E116" s="71">
        <f t="shared" ref="E116:E126" si="665">TRUNC(+D116*3.3058,-1)</f>
        <v>78470</v>
      </c>
      <c r="F116" s="2" t="s">
        <v>315</v>
      </c>
      <c r="H116" s="54">
        <f t="shared" si="510"/>
        <v>86317</v>
      </c>
      <c r="I116" s="54">
        <f t="shared" si="511"/>
        <v>86317</v>
      </c>
      <c r="J116" s="58">
        <f t="shared" si="512"/>
        <v>285346.73859999998</v>
      </c>
      <c r="K116" s="54">
        <f t="shared" ref="K116:K127" si="666">+I116*BD116</f>
        <v>83727.489999999991</v>
      </c>
      <c r="L116" s="58">
        <f t="shared" ref="L116:L127" si="667">+K116*3.3058</f>
        <v>276786.336442</v>
      </c>
      <c r="M116" s="54">
        <f t="shared" ref="M116:M127" si="668">+I116*BE116</f>
        <v>82001.149999999994</v>
      </c>
      <c r="N116" s="58">
        <f t="shared" ref="N116:N127" si="669">+M116*3.3058</f>
        <v>271079.40166999999</v>
      </c>
      <c r="O116" s="54">
        <f t="shared" ref="O116:O127" si="670">+I116*BF116</f>
        <v>80274.81</v>
      </c>
      <c r="P116" s="58">
        <f t="shared" ref="P116:P127" si="671">+O116*3.3058</f>
        <v>265372.46689799998</v>
      </c>
      <c r="Q116" s="56">
        <f t="shared" ref="Q116:Q127" si="672">+I116*BG116</f>
        <v>78548.47</v>
      </c>
      <c r="R116" s="58">
        <f t="shared" ref="R116:R127" si="673">+Q116*3.3058</f>
        <v>259665.53212600001</v>
      </c>
      <c r="S116" s="54">
        <f t="shared" ref="S116:S127" si="674">+I116*BH116</f>
        <v>76822.13</v>
      </c>
      <c r="T116" s="58">
        <f t="shared" ref="T116:T127" si="675">+S116*3.3058</f>
        <v>253958.59735400003</v>
      </c>
      <c r="U116" s="56">
        <f t="shared" ref="U116:U127" si="676">+I116*BI116</f>
        <v>75095.789999999994</v>
      </c>
      <c r="V116" s="58">
        <f t="shared" ref="V116:V127" si="677">+U116*3.3058</f>
        <v>248251.66258199999</v>
      </c>
      <c r="W116" s="59">
        <f t="shared" ref="W116:W127" si="678">+I116*BJ116</f>
        <v>73369.45</v>
      </c>
      <c r="X116" s="58">
        <f t="shared" ref="X116:X127" si="679">+W116*3.3058</f>
        <v>242544.72780999998</v>
      </c>
      <c r="Y116" s="56">
        <f t="shared" ref="Y116:Y127" si="680">+I116*BK116</f>
        <v>71643.11</v>
      </c>
      <c r="Z116" s="58">
        <f t="shared" ref="Z116:Z127" si="681">+Y116*3.3058</f>
        <v>236837.793038</v>
      </c>
      <c r="AA116" s="54">
        <f t="shared" ref="AA116:AA127" si="682">+I116*BL116</f>
        <v>69916.76999999999</v>
      </c>
      <c r="AB116" s="58">
        <f t="shared" ref="AB116:AB127" si="683">+AA116*3.3058</f>
        <v>231130.85826599997</v>
      </c>
      <c r="AC116" s="59">
        <f t="shared" ref="AC116:AC127" si="684">+I116*BM116</f>
        <v>68190.429999999993</v>
      </c>
      <c r="AD116" s="58">
        <f t="shared" ref="AD116:AD127" si="685">+AC116*3.3058</f>
        <v>225423.92349399999</v>
      </c>
      <c r="AE116" s="59">
        <f t="shared" ref="AE116:AE127" si="686">+I116*BN116</f>
        <v>66464.09</v>
      </c>
      <c r="AF116" s="58">
        <f t="shared" ref="AF116:AF127" si="687">+AE116*3.3058</f>
        <v>219716.98872199998</v>
      </c>
      <c r="AG116" s="59">
        <f t="shared" ref="AG116:AG127" si="688">+I116*BO116</f>
        <v>64737.749999999993</v>
      </c>
      <c r="AH116" s="58">
        <f t="shared" ref="AH116:AH127" si="689">+AG116*3.3058</f>
        <v>214010.05394999997</v>
      </c>
      <c r="AI116" s="54">
        <f t="shared" ref="AI116:AI127" si="690">+I116*BP116</f>
        <v>63011.409999999989</v>
      </c>
      <c r="AJ116" s="58">
        <f t="shared" ref="AJ116:AJ127" si="691">+AI116*3.3058</f>
        <v>208303.11917799996</v>
      </c>
      <c r="AK116" s="59">
        <f t="shared" ref="AK116:AK127" si="692">+I116*BQ116</f>
        <v>61285.069999999985</v>
      </c>
      <c r="AL116" s="58">
        <f t="shared" ref="AL116:AL127" si="693">+AK116*3.3058</f>
        <v>202596.18440599996</v>
      </c>
      <c r="AM116" s="59">
        <f t="shared" ref="AM116:AM127" si="694">+I116*BR116</f>
        <v>59558.729999999989</v>
      </c>
      <c r="AN116" s="58">
        <f t="shared" ref="AN116:AN127" si="695">+AM116*3.3058</f>
        <v>196889.24963399998</v>
      </c>
      <c r="AO116" s="59">
        <f t="shared" ref="AO116:AO127" si="696">+I116*BS116</f>
        <v>57832.389999999985</v>
      </c>
      <c r="AP116" s="58">
        <f t="shared" ref="AP116:AP127" si="697">+AO116*3.3058</f>
        <v>191182.31486199994</v>
      </c>
      <c r="AQ116" s="59">
        <f t="shared" ref="AQ116:AQ127" si="698">+I116*BT116</f>
        <v>56106.049999999981</v>
      </c>
      <c r="AR116" s="58">
        <f t="shared" ref="AR116:AR127" si="699">+AQ116*3.3058</f>
        <v>185475.38008999993</v>
      </c>
      <c r="AS116" s="54">
        <f t="shared" ref="AS116:AS127" si="700">+I116*BU116</f>
        <v>54379.709999999985</v>
      </c>
      <c r="AT116" s="58">
        <f t="shared" ref="AT116:AT127" si="701">+AS116*3.3058</f>
        <v>179768.44531799995</v>
      </c>
      <c r="AU116" s="59">
        <f t="shared" ref="AU116:AU127" si="702">+I116*BV116</f>
        <v>52653.369999999981</v>
      </c>
      <c r="AV116" s="58">
        <f t="shared" ref="AV116:AV127" si="703">+AU116*3.3058</f>
        <v>174061.51054599995</v>
      </c>
      <c r="AW116" s="59">
        <f t="shared" ref="AW116:AW127" si="704">+I116*BW116</f>
        <v>50927.029999999977</v>
      </c>
      <c r="AX116" s="58">
        <f t="shared" ref="AX116:AX127" si="705">+AW116*3.3058</f>
        <v>168354.57577399994</v>
      </c>
      <c r="AY116" s="54">
        <f t="shared" ref="AY116:AY127" si="706">+I116*BX116</f>
        <v>49200.689999999973</v>
      </c>
      <c r="AZ116" s="58">
        <f t="shared" ref="AZ116:AZ127" si="707">+AY116*3.3058</f>
        <v>162647.6410019999</v>
      </c>
      <c r="BC116" s="54">
        <v>1</v>
      </c>
      <c r="BD116" s="54">
        <v>0.97</v>
      </c>
      <c r="BE116" s="54">
        <v>0.95</v>
      </c>
      <c r="BF116" s="54">
        <v>0.93</v>
      </c>
      <c r="BG116" s="54">
        <f t="shared" ref="BG116:BX127" si="708">+BF116-0.02</f>
        <v>0.91</v>
      </c>
      <c r="BH116" s="54">
        <f t="shared" si="708"/>
        <v>0.89</v>
      </c>
      <c r="BI116" s="54">
        <f t="shared" si="708"/>
        <v>0.87</v>
      </c>
      <c r="BJ116" s="54">
        <f t="shared" si="708"/>
        <v>0.85</v>
      </c>
      <c r="BK116" s="54">
        <f t="shared" si="708"/>
        <v>0.83</v>
      </c>
      <c r="BL116" s="54">
        <f t="shared" si="708"/>
        <v>0.80999999999999994</v>
      </c>
      <c r="BM116" s="54">
        <f t="shared" si="708"/>
        <v>0.78999999999999992</v>
      </c>
      <c r="BN116" s="54">
        <f t="shared" si="708"/>
        <v>0.76999999999999991</v>
      </c>
      <c r="BO116" s="54">
        <f t="shared" si="708"/>
        <v>0.74999999999999989</v>
      </c>
      <c r="BP116" s="54">
        <f t="shared" si="708"/>
        <v>0.72999999999999987</v>
      </c>
      <c r="BQ116" s="54">
        <f t="shared" si="708"/>
        <v>0.70999999999999985</v>
      </c>
      <c r="BR116" s="54">
        <f t="shared" si="708"/>
        <v>0.68999999999999984</v>
      </c>
      <c r="BS116" s="54">
        <f t="shared" si="708"/>
        <v>0.66999999999999982</v>
      </c>
      <c r="BT116" s="54">
        <f t="shared" si="708"/>
        <v>0.6499999999999998</v>
      </c>
      <c r="BU116" s="54">
        <f t="shared" si="708"/>
        <v>0.62999999999999978</v>
      </c>
      <c r="BV116" s="54">
        <f t="shared" si="708"/>
        <v>0.60999999999999976</v>
      </c>
      <c r="BW116" s="54">
        <f t="shared" si="708"/>
        <v>0.58999999999999975</v>
      </c>
      <c r="BX116" s="54">
        <f t="shared" si="708"/>
        <v>0.56999999999999973</v>
      </c>
      <c r="BZ116" s="54">
        <f t="shared" si="513"/>
        <v>78548.47</v>
      </c>
      <c r="CA116" s="54">
        <f t="shared" si="514"/>
        <v>78548.47</v>
      </c>
      <c r="CB116" s="58">
        <f t="shared" ref="CB116:CB127" si="709">+CA116*3.3058</f>
        <v>259665.53212600001</v>
      </c>
      <c r="CC116" s="54">
        <f t="shared" ref="CC116:CC127" si="710">+CA116*DV116</f>
        <v>76192.015899999999</v>
      </c>
      <c r="CD116" s="58">
        <f t="shared" ref="CD116:CD127" si="711">+CC116*3.3058</f>
        <v>251875.56616222</v>
      </c>
      <c r="CE116" s="54">
        <f t="shared" ref="CE116:CE127" si="712">+CA116*DW116</f>
        <v>74621.046499999997</v>
      </c>
      <c r="CF116" s="58">
        <f t="shared" ref="CF116:CF127" si="713">+CE116*3.3058</f>
        <v>246682.2555197</v>
      </c>
      <c r="CG116" s="54">
        <f t="shared" ref="CG116:CG127" si="714">+CA116*DX116</f>
        <v>73050.07710000001</v>
      </c>
      <c r="CH116" s="58">
        <f t="shared" ref="CH116:CH127" si="715">+CG116*3.3058</f>
        <v>241488.94487718004</v>
      </c>
      <c r="CI116" s="56">
        <f t="shared" ref="CI116:CI127" si="716">+CA116*DY116</f>
        <v>71479.107700000008</v>
      </c>
      <c r="CJ116" s="58">
        <f t="shared" ref="CJ116:CJ127" si="717">+CI116*3.3058</f>
        <v>236295.63423466004</v>
      </c>
      <c r="CK116" s="54">
        <f t="shared" ref="CK116:CK127" si="718">+CA116*DZ116</f>
        <v>69908.138300000006</v>
      </c>
      <c r="CL116" s="58">
        <f t="shared" ref="CL116:CL127" si="719">+CK116*3.3058</f>
        <v>231102.32359214002</v>
      </c>
      <c r="CM116" s="56">
        <f t="shared" ref="CM116:CM127" si="720">+CA116*EA116</f>
        <v>68337.168900000004</v>
      </c>
      <c r="CN116" s="58">
        <f t="shared" ref="CN116:CN127" si="721">+CM116*3.3058</f>
        <v>225909.01294962002</v>
      </c>
      <c r="CO116" s="59">
        <f t="shared" ref="CO116:CO127" si="722">+CA116*EB116</f>
        <v>66766.199500000002</v>
      </c>
      <c r="CP116" s="58">
        <f t="shared" ref="CP116:CP127" si="723">+CO116*3.3058</f>
        <v>220715.7023071</v>
      </c>
      <c r="CQ116" s="56">
        <f t="shared" ref="CQ116:CQ127" si="724">+CA116*EC116</f>
        <v>65195.230100000001</v>
      </c>
      <c r="CR116" s="58">
        <f t="shared" ref="CR116:CR127" si="725">+CQ116*3.3058</f>
        <v>215522.39166458001</v>
      </c>
      <c r="CS116" s="54">
        <f t="shared" ref="CS116:CS127" si="726">+CA116*ED116</f>
        <v>63624.260699999999</v>
      </c>
      <c r="CT116" s="58">
        <f t="shared" ref="CT116:CT127" si="727">+CS116*3.3058</f>
        <v>210329.08102206001</v>
      </c>
      <c r="CU116" s="59">
        <f t="shared" ref="CU116:CU127" si="728">+CA116*EE116</f>
        <v>62053.291299999997</v>
      </c>
      <c r="CV116" s="58">
        <f t="shared" ref="CV116:CV127" si="729">+CU116*3.3058</f>
        <v>205135.77037953999</v>
      </c>
      <c r="CW116" s="59">
        <f t="shared" ref="CW116:CW127" si="730">+CA116*EF116</f>
        <v>60482.321899999995</v>
      </c>
      <c r="CX116" s="58">
        <f t="shared" ref="CX116:CX127" si="731">+CW116*3.3058</f>
        <v>199942.45973701999</v>
      </c>
      <c r="CY116" s="59">
        <f t="shared" ref="CY116:CY127" si="732">+CA116*EG116</f>
        <v>58911.352499999994</v>
      </c>
      <c r="CZ116" s="58">
        <f t="shared" ref="CZ116:CZ127" si="733">+CY116*3.3058</f>
        <v>194749.1490945</v>
      </c>
      <c r="DA116" s="54">
        <f t="shared" ref="DA116:DA127" si="734">+CA116*EH116</f>
        <v>57340.383099999992</v>
      </c>
      <c r="DB116" s="58">
        <f t="shared" ref="DB116:DB127" si="735">+DA116*3.3058</f>
        <v>189555.83845197997</v>
      </c>
      <c r="DC116" s="59">
        <f t="shared" ref="DC116:DC127" si="736">+CA116*EI116</f>
        <v>55769.41369999999</v>
      </c>
      <c r="DD116" s="58">
        <f t="shared" ref="DD116:DD127" si="737">+DC116*3.3058</f>
        <v>184362.52780945998</v>
      </c>
      <c r="DE116" s="59">
        <f t="shared" ref="DE116:DE127" si="738">+CA116*EJ116</f>
        <v>54198.444299999988</v>
      </c>
      <c r="DF116" s="58">
        <f t="shared" ref="DF116:DF127" si="739">+DE116*3.3058</f>
        <v>179169.21716693995</v>
      </c>
      <c r="DG116" s="59">
        <f t="shared" ref="DG116:DG127" si="740">+CA116*EK116</f>
        <v>52627.474899999987</v>
      </c>
      <c r="DH116" s="58">
        <f t="shared" ref="DH116:DH127" si="741">+DG116*3.3058</f>
        <v>173975.90652441996</v>
      </c>
      <c r="DI116" s="59">
        <f t="shared" ref="DI116:DI127" si="742">+CA116*EL116</f>
        <v>51056.505499999985</v>
      </c>
      <c r="DJ116" s="58">
        <f t="shared" ref="DJ116:DJ127" si="743">+DI116*3.3058</f>
        <v>168782.59588189996</v>
      </c>
      <c r="DK116" s="54">
        <f t="shared" ref="DK116:DK127" si="744">+CA116*EM116</f>
        <v>49485.536099999983</v>
      </c>
      <c r="DL116" s="58">
        <f t="shared" ref="DL116:DL127" si="745">+DK116*3.3058</f>
        <v>163589.28523937994</v>
      </c>
      <c r="DM116" s="59">
        <f t="shared" ref="DM116:DM127" si="746">+CA116*EN116</f>
        <v>47914.566699999981</v>
      </c>
      <c r="DN116" s="58">
        <f t="shared" ref="DN116:DN127" si="747">+DM116*3.3058</f>
        <v>158395.97459685995</v>
      </c>
      <c r="DO116" s="59">
        <f t="shared" ref="DO116:DO127" si="748">+CA116*EO116</f>
        <v>46343.597299999979</v>
      </c>
      <c r="DP116" s="58">
        <f t="shared" ref="DP116:DP127" si="749">+DO116*3.3058</f>
        <v>153202.66395433992</v>
      </c>
      <c r="DQ116" s="54">
        <f t="shared" ref="DQ116:DQ127" si="750">+CA116*EP116</f>
        <v>44772.627899999978</v>
      </c>
      <c r="DR116" s="58">
        <f t="shared" ref="DR116:DR127" si="751">+DQ116*3.3058</f>
        <v>148009.35331181993</v>
      </c>
      <c r="DU116" s="54">
        <v>1</v>
      </c>
      <c r="DV116" s="54">
        <v>0.97</v>
      </c>
      <c r="DW116" s="54">
        <v>0.95</v>
      </c>
      <c r="DX116" s="54">
        <v>0.93</v>
      </c>
      <c r="DY116" s="54">
        <f t="shared" si="659"/>
        <v>0.91</v>
      </c>
      <c r="DZ116" s="54">
        <f t="shared" si="659"/>
        <v>0.89</v>
      </c>
      <c r="EA116" s="54">
        <f t="shared" si="659"/>
        <v>0.87</v>
      </c>
      <c r="EB116" s="54">
        <f t="shared" si="659"/>
        <v>0.85</v>
      </c>
      <c r="EC116" s="54">
        <f t="shared" si="659"/>
        <v>0.83</v>
      </c>
      <c r="ED116" s="54">
        <f t="shared" si="659"/>
        <v>0.80999999999999994</v>
      </c>
      <c r="EE116" s="54">
        <f t="shared" si="659"/>
        <v>0.78999999999999992</v>
      </c>
      <c r="EF116" s="54">
        <f t="shared" si="659"/>
        <v>0.76999999999999991</v>
      </c>
      <c r="EG116" s="54">
        <f t="shared" si="659"/>
        <v>0.74999999999999989</v>
      </c>
      <c r="EH116" s="54">
        <f t="shared" si="659"/>
        <v>0.72999999999999987</v>
      </c>
      <c r="EI116" s="54">
        <f t="shared" si="659"/>
        <v>0.70999999999999985</v>
      </c>
      <c r="EJ116" s="54">
        <f t="shared" si="659"/>
        <v>0.68999999999999984</v>
      </c>
      <c r="EK116" s="54">
        <f t="shared" si="659"/>
        <v>0.66999999999999982</v>
      </c>
      <c r="EL116" s="54">
        <f t="shared" si="659"/>
        <v>0.6499999999999998</v>
      </c>
      <c r="EM116" s="54">
        <f t="shared" si="659"/>
        <v>0.62999999999999978</v>
      </c>
      <c r="EN116" s="54">
        <f t="shared" si="659"/>
        <v>0.60999999999999976</v>
      </c>
      <c r="EO116" s="54">
        <f t="shared" si="659"/>
        <v>0.58999999999999975</v>
      </c>
      <c r="EP116" s="54">
        <f t="shared" si="659"/>
        <v>0.56999999999999973</v>
      </c>
      <c r="ER116" s="54">
        <f t="shared" si="653"/>
        <v>71479.107700000008</v>
      </c>
      <c r="ES116" s="54">
        <f t="shared" si="515"/>
        <v>71479.107700000008</v>
      </c>
      <c r="ET116" s="58">
        <f t="shared" ref="ET116:ET127" si="752">+ES116*3.3058</f>
        <v>236295.63423466004</v>
      </c>
      <c r="EU116" s="54">
        <f t="shared" ref="EU116:EU127" si="753">+ES116*GN116</f>
        <v>69334.734469000003</v>
      </c>
      <c r="EV116" s="58">
        <f t="shared" ref="EV116:EV127" si="754">+EU116*3.3058</f>
        <v>229206.76520762022</v>
      </c>
      <c r="EW116" s="54">
        <f t="shared" ref="EW116:EW127" si="755">+ES116*GO116</f>
        <v>67905.152314999999</v>
      </c>
      <c r="EX116" s="58">
        <f t="shared" ref="EX116:EX127" si="756">+EW116*3.3058</f>
        <v>224480.85252292702</v>
      </c>
      <c r="EY116" s="54">
        <f t="shared" ref="EY116:EY127" si="757">+ES116*GP116</f>
        <v>66475.570161000011</v>
      </c>
      <c r="EZ116" s="58">
        <f t="shared" ref="EZ116:EZ127" si="758">+EY116*3.3058</f>
        <v>219754.93983823384</v>
      </c>
      <c r="FA116" s="56">
        <f t="shared" ref="FA116:FA127" si="759">+ES116*GQ116</f>
        <v>65045.988007000007</v>
      </c>
      <c r="FB116" s="58">
        <f t="shared" ref="FB116:FB127" si="760">+FA116*3.3058</f>
        <v>215029.02715354064</v>
      </c>
      <c r="FC116" s="54">
        <f t="shared" ref="FC116:FC127" si="761">+ES116*GR116</f>
        <v>63616.405853000011</v>
      </c>
      <c r="FD116" s="58">
        <f t="shared" ref="FD116:FD127" si="762">+FC116*3.3058</f>
        <v>210303.11446884743</v>
      </c>
      <c r="FE116" s="56">
        <f t="shared" ref="FE116:FE127" si="763">+ES116*GS116</f>
        <v>62186.823699000008</v>
      </c>
      <c r="FF116" s="58">
        <f t="shared" ref="FF116:FF127" si="764">+FE116*3.3058</f>
        <v>205577.20178415423</v>
      </c>
      <c r="FG116" s="59">
        <f t="shared" ref="FG116:FG127" si="765">+ES116*GT116</f>
        <v>60757.241545000004</v>
      </c>
      <c r="FH116" s="58">
        <f t="shared" ref="FH116:FH127" si="766">+FG116*3.3058</f>
        <v>200851.28909946102</v>
      </c>
      <c r="FI116" s="56">
        <f t="shared" ref="FI116:FI127" si="767">+ES116*GU116</f>
        <v>59327.659391000001</v>
      </c>
      <c r="FJ116" s="58">
        <f t="shared" ref="FJ116:FJ127" si="768">+FI116*3.3058</f>
        <v>196125.37641476782</v>
      </c>
      <c r="FK116" s="54">
        <f t="shared" ref="FK116:FK127" si="769">+ES116*GV116</f>
        <v>57898.077237000005</v>
      </c>
      <c r="FL116" s="58">
        <f t="shared" ref="FL116:FL127" si="770">+FK116*3.3058</f>
        <v>191399.46373007461</v>
      </c>
      <c r="FM116" s="59">
        <f t="shared" ref="FM116:FM127" si="771">+ES116*GW116</f>
        <v>56468.495083000002</v>
      </c>
      <c r="FN116" s="58">
        <f t="shared" ref="FN116:FN127" si="772">+FM116*3.3058</f>
        <v>186673.55104538141</v>
      </c>
      <c r="FO116" s="59">
        <f t="shared" ref="FO116:FO127" si="773">+ES116*GX116</f>
        <v>55038.912928999998</v>
      </c>
      <c r="FP116" s="58">
        <f t="shared" ref="FP116:FP127" si="774">+FO116*3.3058</f>
        <v>181947.6383606882</v>
      </c>
      <c r="FQ116" s="59">
        <f t="shared" ref="FQ116:FQ127" si="775">+ES116*GY116</f>
        <v>53609.330774999995</v>
      </c>
      <c r="FR116" s="58">
        <f t="shared" ref="FR116:FR127" si="776">+FQ116*3.3058</f>
        <v>177221.725675995</v>
      </c>
      <c r="FS116" s="54">
        <f t="shared" ref="FS116:FS127" si="777">+ES116*GZ116</f>
        <v>52179.748620999999</v>
      </c>
      <c r="FT116" s="58">
        <f t="shared" ref="FT116:FT127" si="778">+FS116*3.3058</f>
        <v>172495.81299130179</v>
      </c>
      <c r="FU116" s="59">
        <f t="shared" ref="FU116:FU127" si="779">+ES116*HA116</f>
        <v>50750.166466999995</v>
      </c>
      <c r="FV116" s="58">
        <f t="shared" ref="FV116:FV127" si="780">+FU116*3.3058</f>
        <v>167769.90030660859</v>
      </c>
      <c r="FW116" s="59">
        <f t="shared" ref="FW116:FW127" si="781">+ES116*HB116</f>
        <v>49320.584312999992</v>
      </c>
      <c r="FX116" s="58">
        <f t="shared" ref="FX116:FX127" si="782">+FW116*3.3058</f>
        <v>163043.98762191538</v>
      </c>
      <c r="FY116" s="59">
        <f t="shared" ref="FY116:FY127" si="783">+ES116*HC116</f>
        <v>47891.002158999989</v>
      </c>
      <c r="FZ116" s="58">
        <f t="shared" ref="FZ116:FZ127" si="784">+FY116*3.3058</f>
        <v>158318.07493722218</v>
      </c>
      <c r="GA116" s="59">
        <f t="shared" ref="GA116:GA127" si="785">+ES116*HD116</f>
        <v>46461.420004999993</v>
      </c>
      <c r="GB116" s="58">
        <f t="shared" ref="GB116:GB127" si="786">+GA116*3.3058</f>
        <v>153592.16225252897</v>
      </c>
      <c r="GC116" s="54">
        <f t="shared" ref="GC116:GC127" si="787">+ES116*HE116</f>
        <v>45031.837850999989</v>
      </c>
      <c r="GD116" s="58">
        <f t="shared" ref="GD116:GD127" si="788">+GC116*3.3058</f>
        <v>148866.24956783577</v>
      </c>
      <c r="GE116" s="59">
        <f t="shared" ref="GE116:GE127" si="789">+ES116*HF116</f>
        <v>43602.255696999986</v>
      </c>
      <c r="GF116" s="58">
        <f t="shared" ref="GF116:GF127" si="790">+GE116*3.3058</f>
        <v>144140.33688314256</v>
      </c>
      <c r="GG116" s="59">
        <f t="shared" ref="GG116:GG127" si="791">+ES116*HG116</f>
        <v>42172.67354299999</v>
      </c>
      <c r="GH116" s="58">
        <f t="shared" ref="GH116:GH127" si="792">+GG116*3.3058</f>
        <v>139414.42419844936</v>
      </c>
      <c r="GI116" s="54">
        <f t="shared" ref="GI116:GI127" si="793">+ES116*HH116</f>
        <v>40743.091388999987</v>
      </c>
      <c r="GJ116" s="58">
        <f t="shared" ref="GJ116:GJ127" si="794">+GI116*3.3058</f>
        <v>134688.51151375615</v>
      </c>
      <c r="GK116" s="54"/>
      <c r="GL116" s="54"/>
      <c r="GM116" s="54">
        <v>1</v>
      </c>
      <c r="GN116" s="54">
        <v>0.97</v>
      </c>
      <c r="GO116" s="54">
        <v>0.95</v>
      </c>
      <c r="GP116" s="54">
        <v>0.93</v>
      </c>
      <c r="GQ116" s="54">
        <f t="shared" si="660"/>
        <v>0.91</v>
      </c>
      <c r="GR116" s="54">
        <f t="shared" si="660"/>
        <v>0.89</v>
      </c>
      <c r="GS116" s="54">
        <f t="shared" si="660"/>
        <v>0.87</v>
      </c>
      <c r="GT116" s="54">
        <f t="shared" si="660"/>
        <v>0.85</v>
      </c>
      <c r="GU116" s="54">
        <f t="shared" si="660"/>
        <v>0.83</v>
      </c>
      <c r="GV116" s="54">
        <f t="shared" si="660"/>
        <v>0.80999999999999994</v>
      </c>
      <c r="GW116" s="54">
        <f t="shared" si="660"/>
        <v>0.78999999999999992</v>
      </c>
      <c r="GX116" s="54">
        <f t="shared" si="660"/>
        <v>0.76999999999999991</v>
      </c>
      <c r="GY116" s="54">
        <f t="shared" si="660"/>
        <v>0.74999999999999989</v>
      </c>
      <c r="GZ116" s="54">
        <f t="shared" si="660"/>
        <v>0.72999999999999987</v>
      </c>
      <c r="HA116" s="54">
        <f t="shared" si="660"/>
        <v>0.70999999999999985</v>
      </c>
      <c r="HB116" s="54">
        <f t="shared" si="660"/>
        <v>0.68999999999999984</v>
      </c>
      <c r="HC116" s="54">
        <f t="shared" si="660"/>
        <v>0.66999999999999982</v>
      </c>
      <c r="HD116" s="54">
        <f t="shared" si="660"/>
        <v>0.6499999999999998</v>
      </c>
      <c r="HE116" s="54">
        <f t="shared" si="660"/>
        <v>0.62999999999999978</v>
      </c>
      <c r="HF116" s="54">
        <f t="shared" si="660"/>
        <v>0.60999999999999976</v>
      </c>
      <c r="HG116" s="54">
        <f t="shared" si="660"/>
        <v>0.58999999999999975</v>
      </c>
      <c r="HH116" s="54">
        <f t="shared" si="660"/>
        <v>0.56999999999999973</v>
      </c>
    </row>
    <row r="117" spans="1:216" x14ac:dyDescent="0.3">
      <c r="A117" s="2">
        <v>2</v>
      </c>
      <c r="C117" s="38" t="s">
        <v>125</v>
      </c>
      <c r="D117" s="42">
        <f>10420+6230</f>
        <v>16650</v>
      </c>
      <c r="E117" s="72">
        <f t="shared" si="665"/>
        <v>55040</v>
      </c>
      <c r="F117" s="2" t="s">
        <v>316</v>
      </c>
      <c r="H117" s="54">
        <f t="shared" si="510"/>
        <v>60544.000000000007</v>
      </c>
      <c r="I117" s="54">
        <f t="shared" si="511"/>
        <v>60544.000000000007</v>
      </c>
      <c r="J117" s="58">
        <f t="shared" si="512"/>
        <v>200146.35520000002</v>
      </c>
      <c r="K117" s="54">
        <f t="shared" si="666"/>
        <v>58727.680000000008</v>
      </c>
      <c r="L117" s="58">
        <f t="shared" si="667"/>
        <v>194141.96454400002</v>
      </c>
      <c r="M117" s="54">
        <f t="shared" si="668"/>
        <v>57516.800000000003</v>
      </c>
      <c r="N117" s="58">
        <f t="shared" si="669"/>
        <v>190139.03744000001</v>
      </c>
      <c r="O117" s="54">
        <f t="shared" si="670"/>
        <v>56305.920000000013</v>
      </c>
      <c r="P117" s="58">
        <f t="shared" si="671"/>
        <v>186136.11033600004</v>
      </c>
      <c r="Q117" s="56">
        <f t="shared" si="672"/>
        <v>55095.040000000008</v>
      </c>
      <c r="R117" s="58">
        <f t="shared" si="673"/>
        <v>182133.18323200004</v>
      </c>
      <c r="S117" s="54">
        <f t="shared" si="674"/>
        <v>53884.160000000011</v>
      </c>
      <c r="T117" s="58">
        <f t="shared" si="675"/>
        <v>178130.25612800004</v>
      </c>
      <c r="U117" s="56">
        <f t="shared" si="676"/>
        <v>52673.280000000006</v>
      </c>
      <c r="V117" s="58">
        <f t="shared" si="677"/>
        <v>174127.32902400004</v>
      </c>
      <c r="W117" s="59">
        <f t="shared" si="678"/>
        <v>51462.400000000001</v>
      </c>
      <c r="X117" s="58">
        <f t="shared" si="679"/>
        <v>170124.40192</v>
      </c>
      <c r="Y117" s="56">
        <f t="shared" si="680"/>
        <v>50251.520000000004</v>
      </c>
      <c r="Z117" s="58">
        <f t="shared" si="681"/>
        <v>166121.47481600003</v>
      </c>
      <c r="AA117" s="54">
        <f t="shared" si="682"/>
        <v>49040.639999999999</v>
      </c>
      <c r="AB117" s="58">
        <f t="shared" si="683"/>
        <v>162118.547712</v>
      </c>
      <c r="AC117" s="59">
        <f t="shared" si="684"/>
        <v>47829.760000000002</v>
      </c>
      <c r="AD117" s="58">
        <f t="shared" si="685"/>
        <v>158115.620608</v>
      </c>
      <c r="AE117" s="59">
        <f t="shared" si="686"/>
        <v>46618.879999999997</v>
      </c>
      <c r="AF117" s="58">
        <f t="shared" si="687"/>
        <v>154112.693504</v>
      </c>
      <c r="AG117" s="59">
        <f t="shared" si="688"/>
        <v>45408</v>
      </c>
      <c r="AH117" s="58">
        <f t="shared" si="689"/>
        <v>150109.76639999999</v>
      </c>
      <c r="AI117" s="54">
        <f t="shared" si="690"/>
        <v>44197.119999999995</v>
      </c>
      <c r="AJ117" s="58">
        <f t="shared" si="691"/>
        <v>146106.83929599999</v>
      </c>
      <c r="AK117" s="59">
        <f t="shared" si="692"/>
        <v>42986.239999999998</v>
      </c>
      <c r="AL117" s="58">
        <f t="shared" si="693"/>
        <v>142103.91219199999</v>
      </c>
      <c r="AM117" s="59">
        <f t="shared" si="694"/>
        <v>41775.359999999993</v>
      </c>
      <c r="AN117" s="58">
        <f t="shared" si="695"/>
        <v>138100.98508799999</v>
      </c>
      <c r="AO117" s="59">
        <f t="shared" si="696"/>
        <v>40564.479999999996</v>
      </c>
      <c r="AP117" s="58">
        <f t="shared" si="697"/>
        <v>134098.05798399998</v>
      </c>
      <c r="AQ117" s="59">
        <f t="shared" si="698"/>
        <v>39353.599999999991</v>
      </c>
      <c r="AR117" s="58">
        <f t="shared" si="699"/>
        <v>130095.13087999997</v>
      </c>
      <c r="AS117" s="54">
        <f t="shared" si="700"/>
        <v>38142.719999999994</v>
      </c>
      <c r="AT117" s="58">
        <f t="shared" si="701"/>
        <v>126092.20377599998</v>
      </c>
      <c r="AU117" s="59">
        <f t="shared" si="702"/>
        <v>36931.839999999989</v>
      </c>
      <c r="AV117" s="58">
        <f t="shared" si="703"/>
        <v>122089.27667199996</v>
      </c>
      <c r="AW117" s="59">
        <f t="shared" si="704"/>
        <v>35720.959999999992</v>
      </c>
      <c r="AX117" s="58">
        <f t="shared" si="705"/>
        <v>118086.34956799998</v>
      </c>
      <c r="AY117" s="54">
        <f t="shared" si="706"/>
        <v>34510.079999999987</v>
      </c>
      <c r="AZ117" s="58">
        <f t="shared" si="707"/>
        <v>114083.42246399996</v>
      </c>
      <c r="BC117" s="54">
        <v>1</v>
      </c>
      <c r="BD117" s="54">
        <v>0.97</v>
      </c>
      <c r="BE117" s="54">
        <v>0.95</v>
      </c>
      <c r="BF117" s="54">
        <v>0.93</v>
      </c>
      <c r="BG117" s="54">
        <f t="shared" si="708"/>
        <v>0.91</v>
      </c>
      <c r="BH117" s="54">
        <f t="shared" si="708"/>
        <v>0.89</v>
      </c>
      <c r="BI117" s="54">
        <f t="shared" si="708"/>
        <v>0.87</v>
      </c>
      <c r="BJ117" s="54">
        <f t="shared" si="708"/>
        <v>0.85</v>
      </c>
      <c r="BK117" s="54">
        <f t="shared" si="708"/>
        <v>0.83</v>
      </c>
      <c r="BL117" s="54">
        <f t="shared" si="708"/>
        <v>0.80999999999999994</v>
      </c>
      <c r="BM117" s="54">
        <f t="shared" si="708"/>
        <v>0.78999999999999992</v>
      </c>
      <c r="BN117" s="54">
        <f t="shared" si="708"/>
        <v>0.76999999999999991</v>
      </c>
      <c r="BO117" s="54">
        <f t="shared" si="708"/>
        <v>0.74999999999999989</v>
      </c>
      <c r="BP117" s="54">
        <f t="shared" si="708"/>
        <v>0.72999999999999987</v>
      </c>
      <c r="BQ117" s="54">
        <f t="shared" si="708"/>
        <v>0.70999999999999985</v>
      </c>
      <c r="BR117" s="54">
        <f t="shared" si="708"/>
        <v>0.68999999999999984</v>
      </c>
      <c r="BS117" s="54">
        <f t="shared" si="708"/>
        <v>0.66999999999999982</v>
      </c>
      <c r="BT117" s="54">
        <f t="shared" si="708"/>
        <v>0.6499999999999998</v>
      </c>
      <c r="BU117" s="54">
        <f t="shared" si="708"/>
        <v>0.62999999999999978</v>
      </c>
      <c r="BV117" s="54">
        <f t="shared" si="708"/>
        <v>0.60999999999999976</v>
      </c>
      <c r="BW117" s="54">
        <f t="shared" si="708"/>
        <v>0.58999999999999975</v>
      </c>
      <c r="BX117" s="54">
        <f t="shared" si="708"/>
        <v>0.56999999999999973</v>
      </c>
      <c r="BZ117" s="54">
        <f t="shared" si="513"/>
        <v>55095.040000000008</v>
      </c>
      <c r="CA117" s="54">
        <f t="shared" si="514"/>
        <v>55095.040000000008</v>
      </c>
      <c r="CB117" s="58">
        <f t="shared" si="709"/>
        <v>182133.18323200004</v>
      </c>
      <c r="CC117" s="54">
        <f t="shared" si="710"/>
        <v>53442.188800000004</v>
      </c>
      <c r="CD117" s="58">
        <f t="shared" si="711"/>
        <v>176669.18773504</v>
      </c>
      <c r="CE117" s="54">
        <f t="shared" si="712"/>
        <v>52340.288000000008</v>
      </c>
      <c r="CF117" s="58">
        <f t="shared" si="713"/>
        <v>173026.52407040002</v>
      </c>
      <c r="CG117" s="54">
        <f t="shared" si="714"/>
        <v>51238.387200000012</v>
      </c>
      <c r="CH117" s="58">
        <f t="shared" si="715"/>
        <v>169383.86040576003</v>
      </c>
      <c r="CI117" s="56">
        <f t="shared" si="716"/>
        <v>50136.486400000009</v>
      </c>
      <c r="CJ117" s="58">
        <f t="shared" si="717"/>
        <v>165741.19674112005</v>
      </c>
      <c r="CK117" s="54">
        <f t="shared" si="718"/>
        <v>49034.585600000006</v>
      </c>
      <c r="CL117" s="58">
        <f t="shared" si="719"/>
        <v>162098.53307648003</v>
      </c>
      <c r="CM117" s="56">
        <f t="shared" si="720"/>
        <v>47932.68480000001</v>
      </c>
      <c r="CN117" s="58">
        <f t="shared" si="721"/>
        <v>158455.86941184005</v>
      </c>
      <c r="CO117" s="59">
        <f t="shared" si="722"/>
        <v>46830.784000000007</v>
      </c>
      <c r="CP117" s="58">
        <f t="shared" si="723"/>
        <v>154813.20574720003</v>
      </c>
      <c r="CQ117" s="56">
        <f t="shared" si="724"/>
        <v>45728.883200000004</v>
      </c>
      <c r="CR117" s="58">
        <f t="shared" si="725"/>
        <v>151170.54208256002</v>
      </c>
      <c r="CS117" s="54">
        <f t="shared" si="726"/>
        <v>44626.982400000001</v>
      </c>
      <c r="CT117" s="58">
        <f t="shared" si="727"/>
        <v>147527.87841792</v>
      </c>
      <c r="CU117" s="59">
        <f t="shared" si="728"/>
        <v>43525.081600000005</v>
      </c>
      <c r="CV117" s="58">
        <f t="shared" si="729"/>
        <v>143885.21475328002</v>
      </c>
      <c r="CW117" s="59">
        <f t="shared" si="730"/>
        <v>42423.180800000002</v>
      </c>
      <c r="CX117" s="58">
        <f t="shared" si="731"/>
        <v>140242.55108864</v>
      </c>
      <c r="CY117" s="59">
        <f t="shared" si="732"/>
        <v>41321.279999999999</v>
      </c>
      <c r="CZ117" s="58">
        <f t="shared" si="733"/>
        <v>136599.88742399999</v>
      </c>
      <c r="DA117" s="54">
        <f t="shared" si="734"/>
        <v>40219.379199999996</v>
      </c>
      <c r="DB117" s="58">
        <f t="shared" si="735"/>
        <v>132957.22375936</v>
      </c>
      <c r="DC117" s="59">
        <f t="shared" si="736"/>
        <v>39117.4784</v>
      </c>
      <c r="DD117" s="58">
        <f t="shared" si="737"/>
        <v>129314.56009472</v>
      </c>
      <c r="DE117" s="59">
        <f t="shared" si="738"/>
        <v>38015.577599999997</v>
      </c>
      <c r="DF117" s="58">
        <f t="shared" si="739"/>
        <v>125671.89643007999</v>
      </c>
      <c r="DG117" s="59">
        <f t="shared" si="740"/>
        <v>36913.676799999994</v>
      </c>
      <c r="DH117" s="58">
        <f t="shared" si="741"/>
        <v>122029.23276543999</v>
      </c>
      <c r="DI117" s="59">
        <f t="shared" si="742"/>
        <v>35811.775999999991</v>
      </c>
      <c r="DJ117" s="58">
        <f t="shared" si="743"/>
        <v>118386.56910079997</v>
      </c>
      <c r="DK117" s="54">
        <f t="shared" si="744"/>
        <v>34709.875199999995</v>
      </c>
      <c r="DL117" s="58">
        <f t="shared" si="745"/>
        <v>114743.90543615998</v>
      </c>
      <c r="DM117" s="59">
        <f t="shared" si="746"/>
        <v>33607.974399999992</v>
      </c>
      <c r="DN117" s="58">
        <f t="shared" si="747"/>
        <v>111101.24177151997</v>
      </c>
      <c r="DO117" s="59">
        <f t="shared" si="748"/>
        <v>32506.073599999992</v>
      </c>
      <c r="DP117" s="58">
        <f t="shared" si="749"/>
        <v>107458.57810687998</v>
      </c>
      <c r="DQ117" s="54">
        <f t="shared" si="750"/>
        <v>31404.172799999989</v>
      </c>
      <c r="DR117" s="58">
        <f t="shared" si="751"/>
        <v>103815.91444223997</v>
      </c>
      <c r="DU117" s="54">
        <v>1</v>
      </c>
      <c r="DV117" s="54">
        <v>0.97</v>
      </c>
      <c r="DW117" s="54">
        <v>0.95</v>
      </c>
      <c r="DX117" s="54">
        <v>0.93</v>
      </c>
      <c r="DY117" s="54">
        <f t="shared" si="659"/>
        <v>0.91</v>
      </c>
      <c r="DZ117" s="54">
        <f t="shared" si="659"/>
        <v>0.89</v>
      </c>
      <c r="EA117" s="54">
        <f t="shared" si="659"/>
        <v>0.87</v>
      </c>
      <c r="EB117" s="54">
        <f t="shared" si="659"/>
        <v>0.85</v>
      </c>
      <c r="EC117" s="54">
        <f t="shared" si="659"/>
        <v>0.83</v>
      </c>
      <c r="ED117" s="54">
        <f t="shared" si="659"/>
        <v>0.80999999999999994</v>
      </c>
      <c r="EE117" s="54">
        <f t="shared" si="659"/>
        <v>0.78999999999999992</v>
      </c>
      <c r="EF117" s="54">
        <f t="shared" si="659"/>
        <v>0.76999999999999991</v>
      </c>
      <c r="EG117" s="54">
        <f t="shared" si="659"/>
        <v>0.74999999999999989</v>
      </c>
      <c r="EH117" s="54">
        <f t="shared" si="659"/>
        <v>0.72999999999999987</v>
      </c>
      <c r="EI117" s="54">
        <f t="shared" si="659"/>
        <v>0.70999999999999985</v>
      </c>
      <c r="EJ117" s="54">
        <f t="shared" si="659"/>
        <v>0.68999999999999984</v>
      </c>
      <c r="EK117" s="54">
        <f t="shared" si="659"/>
        <v>0.66999999999999982</v>
      </c>
      <c r="EL117" s="54">
        <f t="shared" si="659"/>
        <v>0.6499999999999998</v>
      </c>
      <c r="EM117" s="54">
        <f t="shared" si="659"/>
        <v>0.62999999999999978</v>
      </c>
      <c r="EN117" s="54">
        <f t="shared" si="659"/>
        <v>0.60999999999999976</v>
      </c>
      <c r="EO117" s="54">
        <f t="shared" si="659"/>
        <v>0.58999999999999975</v>
      </c>
      <c r="EP117" s="54">
        <f t="shared" si="659"/>
        <v>0.56999999999999973</v>
      </c>
      <c r="ER117" s="54">
        <f t="shared" si="653"/>
        <v>50136.486400000009</v>
      </c>
      <c r="ES117" s="54">
        <f t="shared" si="515"/>
        <v>50136.486400000009</v>
      </c>
      <c r="ET117" s="58">
        <f t="shared" si="752"/>
        <v>165741.19674112005</v>
      </c>
      <c r="EU117" s="54">
        <f t="shared" si="753"/>
        <v>48632.391808000008</v>
      </c>
      <c r="EV117" s="58">
        <f t="shared" si="754"/>
        <v>160768.96083888641</v>
      </c>
      <c r="EW117" s="54">
        <f t="shared" si="755"/>
        <v>47629.662080000009</v>
      </c>
      <c r="EX117" s="58">
        <f t="shared" si="756"/>
        <v>157454.13690406404</v>
      </c>
      <c r="EY117" s="54">
        <f t="shared" si="757"/>
        <v>46626.932352000011</v>
      </c>
      <c r="EZ117" s="58">
        <f t="shared" si="758"/>
        <v>154139.31296924164</v>
      </c>
      <c r="FA117" s="56">
        <f t="shared" si="759"/>
        <v>45624.202624000012</v>
      </c>
      <c r="FB117" s="58">
        <f t="shared" si="760"/>
        <v>150824.48903441924</v>
      </c>
      <c r="FC117" s="54">
        <f t="shared" si="761"/>
        <v>44621.472896000007</v>
      </c>
      <c r="FD117" s="58">
        <f t="shared" si="762"/>
        <v>147509.66509959684</v>
      </c>
      <c r="FE117" s="56">
        <f t="shared" si="763"/>
        <v>43618.743168000008</v>
      </c>
      <c r="FF117" s="58">
        <f t="shared" si="764"/>
        <v>144194.84116477444</v>
      </c>
      <c r="FG117" s="59">
        <f t="shared" si="765"/>
        <v>42616.01344000001</v>
      </c>
      <c r="FH117" s="58">
        <f t="shared" si="766"/>
        <v>140880.01722995203</v>
      </c>
      <c r="FI117" s="56">
        <f t="shared" si="767"/>
        <v>41613.283712000004</v>
      </c>
      <c r="FJ117" s="58">
        <f t="shared" si="768"/>
        <v>137565.1932951296</v>
      </c>
      <c r="FK117" s="54">
        <f t="shared" si="769"/>
        <v>40610.553984000006</v>
      </c>
      <c r="FL117" s="58">
        <f t="shared" si="770"/>
        <v>134250.36936030723</v>
      </c>
      <c r="FM117" s="59">
        <f t="shared" si="771"/>
        <v>39607.824256</v>
      </c>
      <c r="FN117" s="58">
        <f t="shared" si="772"/>
        <v>130935.5454254848</v>
      </c>
      <c r="FO117" s="59">
        <f t="shared" si="773"/>
        <v>38605.094528000001</v>
      </c>
      <c r="FP117" s="58">
        <f t="shared" si="774"/>
        <v>127620.72149066241</v>
      </c>
      <c r="FQ117" s="59">
        <f t="shared" si="775"/>
        <v>37602.364800000003</v>
      </c>
      <c r="FR117" s="58">
        <f t="shared" si="776"/>
        <v>124305.89755584001</v>
      </c>
      <c r="FS117" s="54">
        <f t="shared" si="777"/>
        <v>36599.635071999997</v>
      </c>
      <c r="FT117" s="58">
        <f t="shared" si="778"/>
        <v>120991.0736210176</v>
      </c>
      <c r="FU117" s="59">
        <f t="shared" si="779"/>
        <v>35596.905343999999</v>
      </c>
      <c r="FV117" s="58">
        <f t="shared" si="780"/>
        <v>117676.24968619519</v>
      </c>
      <c r="FW117" s="59">
        <f t="shared" si="781"/>
        <v>34594.175616</v>
      </c>
      <c r="FX117" s="58">
        <f t="shared" si="782"/>
        <v>114361.42575137281</v>
      </c>
      <c r="FY117" s="59">
        <f t="shared" si="783"/>
        <v>33591.445887999995</v>
      </c>
      <c r="FZ117" s="58">
        <f t="shared" si="784"/>
        <v>111046.60181655039</v>
      </c>
      <c r="GA117" s="59">
        <f t="shared" si="785"/>
        <v>32588.716159999996</v>
      </c>
      <c r="GB117" s="58">
        <f t="shared" si="786"/>
        <v>107731.77788172799</v>
      </c>
      <c r="GC117" s="54">
        <f t="shared" si="787"/>
        <v>31585.986431999994</v>
      </c>
      <c r="GD117" s="58">
        <f t="shared" si="788"/>
        <v>104416.95394690559</v>
      </c>
      <c r="GE117" s="59">
        <f t="shared" si="789"/>
        <v>30583.256703999992</v>
      </c>
      <c r="GF117" s="58">
        <f t="shared" si="790"/>
        <v>101102.13001208317</v>
      </c>
      <c r="GG117" s="59">
        <f t="shared" si="791"/>
        <v>29580.526975999994</v>
      </c>
      <c r="GH117" s="58">
        <f t="shared" si="792"/>
        <v>97787.306077260786</v>
      </c>
      <c r="GI117" s="54">
        <f t="shared" si="793"/>
        <v>28577.797247999992</v>
      </c>
      <c r="GJ117" s="58">
        <f t="shared" si="794"/>
        <v>94472.48214243837</v>
      </c>
      <c r="GK117" s="54"/>
      <c r="GL117" s="54"/>
      <c r="GM117" s="54">
        <v>1</v>
      </c>
      <c r="GN117" s="54">
        <v>0.97</v>
      </c>
      <c r="GO117" s="54">
        <v>0.95</v>
      </c>
      <c r="GP117" s="54">
        <v>0.93</v>
      </c>
      <c r="GQ117" s="54">
        <f t="shared" si="660"/>
        <v>0.91</v>
      </c>
      <c r="GR117" s="54">
        <f t="shared" si="660"/>
        <v>0.89</v>
      </c>
      <c r="GS117" s="54">
        <f t="shared" si="660"/>
        <v>0.87</v>
      </c>
      <c r="GT117" s="54">
        <f t="shared" si="660"/>
        <v>0.85</v>
      </c>
      <c r="GU117" s="54">
        <f t="shared" si="660"/>
        <v>0.83</v>
      </c>
      <c r="GV117" s="54">
        <f t="shared" si="660"/>
        <v>0.80999999999999994</v>
      </c>
      <c r="GW117" s="54">
        <f t="shared" si="660"/>
        <v>0.78999999999999992</v>
      </c>
      <c r="GX117" s="54">
        <f t="shared" si="660"/>
        <v>0.76999999999999991</v>
      </c>
      <c r="GY117" s="54">
        <f t="shared" si="660"/>
        <v>0.74999999999999989</v>
      </c>
      <c r="GZ117" s="54">
        <f t="shared" si="660"/>
        <v>0.72999999999999987</v>
      </c>
      <c r="HA117" s="54">
        <f t="shared" si="660"/>
        <v>0.70999999999999985</v>
      </c>
      <c r="HB117" s="54">
        <f t="shared" si="660"/>
        <v>0.68999999999999984</v>
      </c>
      <c r="HC117" s="54">
        <f t="shared" si="660"/>
        <v>0.66999999999999982</v>
      </c>
      <c r="HD117" s="54">
        <f t="shared" si="660"/>
        <v>0.6499999999999998</v>
      </c>
      <c r="HE117" s="54">
        <f t="shared" si="660"/>
        <v>0.62999999999999978</v>
      </c>
      <c r="HF117" s="54">
        <f t="shared" si="660"/>
        <v>0.60999999999999976</v>
      </c>
      <c r="HG117" s="54">
        <f t="shared" si="660"/>
        <v>0.58999999999999975</v>
      </c>
      <c r="HH117" s="54">
        <f t="shared" si="660"/>
        <v>0.56999999999999973</v>
      </c>
    </row>
    <row r="118" spans="1:216" x14ac:dyDescent="0.3">
      <c r="A118" s="2">
        <v>3</v>
      </c>
      <c r="C118" s="38" t="s">
        <v>152</v>
      </c>
      <c r="D118" s="42">
        <v>0</v>
      </c>
      <c r="E118" s="72">
        <f t="shared" si="665"/>
        <v>0</v>
      </c>
      <c r="H118" s="54">
        <f t="shared" si="510"/>
        <v>0</v>
      </c>
      <c r="I118" s="54">
        <f t="shared" si="511"/>
        <v>0</v>
      </c>
      <c r="J118" s="58">
        <f t="shared" si="512"/>
        <v>0</v>
      </c>
      <c r="K118" s="54">
        <f t="shared" si="666"/>
        <v>0</v>
      </c>
      <c r="L118" s="58">
        <f t="shared" si="667"/>
        <v>0</v>
      </c>
      <c r="M118" s="54">
        <f t="shared" si="668"/>
        <v>0</v>
      </c>
      <c r="N118" s="58">
        <f t="shared" si="669"/>
        <v>0</v>
      </c>
      <c r="O118" s="54">
        <f t="shared" si="670"/>
        <v>0</v>
      </c>
      <c r="P118" s="58">
        <f t="shared" si="671"/>
        <v>0</v>
      </c>
      <c r="Q118" s="56">
        <f t="shared" si="672"/>
        <v>0</v>
      </c>
      <c r="R118" s="58">
        <f t="shared" si="673"/>
        <v>0</v>
      </c>
      <c r="S118" s="54">
        <f t="shared" si="674"/>
        <v>0</v>
      </c>
      <c r="T118" s="58">
        <f t="shared" si="675"/>
        <v>0</v>
      </c>
      <c r="U118" s="56">
        <f t="shared" si="676"/>
        <v>0</v>
      </c>
      <c r="V118" s="58">
        <f t="shared" si="677"/>
        <v>0</v>
      </c>
      <c r="W118" s="59">
        <f t="shared" si="678"/>
        <v>0</v>
      </c>
      <c r="X118" s="58">
        <f t="shared" si="679"/>
        <v>0</v>
      </c>
      <c r="Y118" s="56">
        <f t="shared" si="680"/>
        <v>0</v>
      </c>
      <c r="Z118" s="58">
        <f t="shared" si="681"/>
        <v>0</v>
      </c>
      <c r="AA118" s="54">
        <f t="shared" si="682"/>
        <v>0</v>
      </c>
      <c r="AB118" s="58">
        <f t="shared" si="683"/>
        <v>0</v>
      </c>
      <c r="AC118" s="59">
        <f t="shared" si="684"/>
        <v>0</v>
      </c>
      <c r="AD118" s="58">
        <f t="shared" si="685"/>
        <v>0</v>
      </c>
      <c r="AE118" s="59">
        <f t="shared" si="686"/>
        <v>0</v>
      </c>
      <c r="AF118" s="58">
        <f t="shared" si="687"/>
        <v>0</v>
      </c>
      <c r="AG118" s="59">
        <f t="shared" si="688"/>
        <v>0</v>
      </c>
      <c r="AH118" s="58">
        <f t="shared" si="689"/>
        <v>0</v>
      </c>
      <c r="AI118" s="54">
        <f t="shared" si="690"/>
        <v>0</v>
      </c>
      <c r="AJ118" s="58">
        <f t="shared" si="691"/>
        <v>0</v>
      </c>
      <c r="AK118" s="59">
        <f t="shared" si="692"/>
        <v>0</v>
      </c>
      <c r="AL118" s="58">
        <f t="shared" si="693"/>
        <v>0</v>
      </c>
      <c r="AM118" s="59">
        <f t="shared" si="694"/>
        <v>0</v>
      </c>
      <c r="AN118" s="58">
        <f t="shared" si="695"/>
        <v>0</v>
      </c>
      <c r="AO118" s="59">
        <f t="shared" si="696"/>
        <v>0</v>
      </c>
      <c r="AP118" s="58">
        <f t="shared" si="697"/>
        <v>0</v>
      </c>
      <c r="AQ118" s="59">
        <f t="shared" si="698"/>
        <v>0</v>
      </c>
      <c r="AR118" s="58">
        <f t="shared" si="699"/>
        <v>0</v>
      </c>
      <c r="AS118" s="54">
        <f t="shared" si="700"/>
        <v>0</v>
      </c>
      <c r="AT118" s="58">
        <f t="shared" si="701"/>
        <v>0</v>
      </c>
      <c r="AU118" s="59">
        <f t="shared" si="702"/>
        <v>0</v>
      </c>
      <c r="AV118" s="58">
        <f t="shared" si="703"/>
        <v>0</v>
      </c>
      <c r="AW118" s="59">
        <f t="shared" si="704"/>
        <v>0</v>
      </c>
      <c r="AX118" s="58">
        <f t="shared" si="705"/>
        <v>0</v>
      </c>
      <c r="AY118" s="54">
        <f t="shared" si="706"/>
        <v>0</v>
      </c>
      <c r="AZ118" s="58">
        <f t="shared" si="707"/>
        <v>0</v>
      </c>
      <c r="BC118" s="54">
        <v>1</v>
      </c>
      <c r="BD118" s="54">
        <v>0.97</v>
      </c>
      <c r="BE118" s="54">
        <v>0.95</v>
      </c>
      <c r="BF118" s="54">
        <v>0.93</v>
      </c>
      <c r="BG118" s="54">
        <f t="shared" si="708"/>
        <v>0.91</v>
      </c>
      <c r="BH118" s="54">
        <f t="shared" si="708"/>
        <v>0.89</v>
      </c>
      <c r="BI118" s="54">
        <f t="shared" si="708"/>
        <v>0.87</v>
      </c>
      <c r="BJ118" s="54">
        <f t="shared" si="708"/>
        <v>0.85</v>
      </c>
      <c r="BK118" s="54">
        <f t="shared" si="708"/>
        <v>0.83</v>
      </c>
      <c r="BL118" s="54">
        <f t="shared" si="708"/>
        <v>0.80999999999999994</v>
      </c>
      <c r="BM118" s="54">
        <f t="shared" si="708"/>
        <v>0.78999999999999992</v>
      </c>
      <c r="BN118" s="54">
        <f t="shared" si="708"/>
        <v>0.76999999999999991</v>
      </c>
      <c r="BO118" s="54">
        <f t="shared" si="708"/>
        <v>0.74999999999999989</v>
      </c>
      <c r="BP118" s="54">
        <f t="shared" si="708"/>
        <v>0.72999999999999987</v>
      </c>
      <c r="BQ118" s="54">
        <f t="shared" si="708"/>
        <v>0.70999999999999985</v>
      </c>
      <c r="BR118" s="54">
        <f t="shared" si="708"/>
        <v>0.68999999999999984</v>
      </c>
      <c r="BS118" s="54">
        <f t="shared" si="708"/>
        <v>0.66999999999999982</v>
      </c>
      <c r="BT118" s="54">
        <f t="shared" si="708"/>
        <v>0.6499999999999998</v>
      </c>
      <c r="BU118" s="54">
        <f t="shared" si="708"/>
        <v>0.62999999999999978</v>
      </c>
      <c r="BV118" s="54">
        <f t="shared" si="708"/>
        <v>0.60999999999999976</v>
      </c>
      <c r="BW118" s="54">
        <f t="shared" si="708"/>
        <v>0.58999999999999975</v>
      </c>
      <c r="BX118" s="54">
        <f t="shared" si="708"/>
        <v>0.56999999999999973</v>
      </c>
      <c r="BZ118" s="54">
        <f t="shared" si="513"/>
        <v>0</v>
      </c>
      <c r="CA118" s="54">
        <f t="shared" si="514"/>
        <v>0</v>
      </c>
      <c r="CB118" s="58">
        <f t="shared" si="709"/>
        <v>0</v>
      </c>
      <c r="CC118" s="54">
        <f t="shared" si="710"/>
        <v>0</v>
      </c>
      <c r="CD118" s="58">
        <f t="shared" si="711"/>
        <v>0</v>
      </c>
      <c r="CE118" s="54">
        <f t="shared" si="712"/>
        <v>0</v>
      </c>
      <c r="CF118" s="58">
        <f t="shared" si="713"/>
        <v>0</v>
      </c>
      <c r="CG118" s="54">
        <f t="shared" si="714"/>
        <v>0</v>
      </c>
      <c r="CH118" s="58">
        <f t="shared" si="715"/>
        <v>0</v>
      </c>
      <c r="CI118" s="56">
        <f t="shared" si="716"/>
        <v>0</v>
      </c>
      <c r="CJ118" s="58">
        <f t="shared" si="717"/>
        <v>0</v>
      </c>
      <c r="CK118" s="54">
        <f t="shared" si="718"/>
        <v>0</v>
      </c>
      <c r="CL118" s="58">
        <f t="shared" si="719"/>
        <v>0</v>
      </c>
      <c r="CM118" s="56">
        <f t="shared" si="720"/>
        <v>0</v>
      </c>
      <c r="CN118" s="58">
        <f t="shared" si="721"/>
        <v>0</v>
      </c>
      <c r="CO118" s="59">
        <f t="shared" si="722"/>
        <v>0</v>
      </c>
      <c r="CP118" s="58">
        <f t="shared" si="723"/>
        <v>0</v>
      </c>
      <c r="CQ118" s="56">
        <f t="shared" si="724"/>
        <v>0</v>
      </c>
      <c r="CR118" s="58">
        <f t="shared" si="725"/>
        <v>0</v>
      </c>
      <c r="CS118" s="54">
        <f t="shared" si="726"/>
        <v>0</v>
      </c>
      <c r="CT118" s="58">
        <f t="shared" si="727"/>
        <v>0</v>
      </c>
      <c r="CU118" s="59">
        <f t="shared" si="728"/>
        <v>0</v>
      </c>
      <c r="CV118" s="58">
        <f t="shared" si="729"/>
        <v>0</v>
      </c>
      <c r="CW118" s="59">
        <f t="shared" si="730"/>
        <v>0</v>
      </c>
      <c r="CX118" s="58">
        <f t="shared" si="731"/>
        <v>0</v>
      </c>
      <c r="CY118" s="59">
        <f t="shared" si="732"/>
        <v>0</v>
      </c>
      <c r="CZ118" s="58">
        <f t="shared" si="733"/>
        <v>0</v>
      </c>
      <c r="DA118" s="54">
        <f t="shared" si="734"/>
        <v>0</v>
      </c>
      <c r="DB118" s="58">
        <f t="shared" si="735"/>
        <v>0</v>
      </c>
      <c r="DC118" s="59">
        <f t="shared" si="736"/>
        <v>0</v>
      </c>
      <c r="DD118" s="58">
        <f t="shared" si="737"/>
        <v>0</v>
      </c>
      <c r="DE118" s="59">
        <f t="shared" si="738"/>
        <v>0</v>
      </c>
      <c r="DF118" s="58">
        <f t="shared" si="739"/>
        <v>0</v>
      </c>
      <c r="DG118" s="59">
        <f t="shared" si="740"/>
        <v>0</v>
      </c>
      <c r="DH118" s="58">
        <f t="shared" si="741"/>
        <v>0</v>
      </c>
      <c r="DI118" s="59">
        <f t="shared" si="742"/>
        <v>0</v>
      </c>
      <c r="DJ118" s="58">
        <f t="shared" si="743"/>
        <v>0</v>
      </c>
      <c r="DK118" s="54">
        <f t="shared" si="744"/>
        <v>0</v>
      </c>
      <c r="DL118" s="58">
        <f t="shared" si="745"/>
        <v>0</v>
      </c>
      <c r="DM118" s="59">
        <f t="shared" si="746"/>
        <v>0</v>
      </c>
      <c r="DN118" s="58">
        <f t="shared" si="747"/>
        <v>0</v>
      </c>
      <c r="DO118" s="59">
        <f t="shared" si="748"/>
        <v>0</v>
      </c>
      <c r="DP118" s="58">
        <f t="shared" si="749"/>
        <v>0</v>
      </c>
      <c r="DQ118" s="54">
        <f t="shared" si="750"/>
        <v>0</v>
      </c>
      <c r="DR118" s="58">
        <f t="shared" si="751"/>
        <v>0</v>
      </c>
      <c r="DU118" s="54">
        <v>1</v>
      </c>
      <c r="DV118" s="54">
        <v>0.97</v>
      </c>
      <c r="DW118" s="54">
        <v>0.95</v>
      </c>
      <c r="DX118" s="54">
        <v>0.93</v>
      </c>
      <c r="DY118" s="54">
        <f t="shared" si="659"/>
        <v>0.91</v>
      </c>
      <c r="DZ118" s="54">
        <f t="shared" si="659"/>
        <v>0.89</v>
      </c>
      <c r="EA118" s="54">
        <f t="shared" si="659"/>
        <v>0.87</v>
      </c>
      <c r="EB118" s="54">
        <f t="shared" si="659"/>
        <v>0.85</v>
      </c>
      <c r="EC118" s="54">
        <f t="shared" si="659"/>
        <v>0.83</v>
      </c>
      <c r="ED118" s="54">
        <f t="shared" si="659"/>
        <v>0.80999999999999994</v>
      </c>
      <c r="EE118" s="54">
        <f t="shared" si="659"/>
        <v>0.78999999999999992</v>
      </c>
      <c r="EF118" s="54">
        <f t="shared" si="659"/>
        <v>0.76999999999999991</v>
      </c>
      <c r="EG118" s="54">
        <f t="shared" si="659"/>
        <v>0.74999999999999989</v>
      </c>
      <c r="EH118" s="54">
        <f t="shared" si="659"/>
        <v>0.72999999999999987</v>
      </c>
      <c r="EI118" s="54">
        <f t="shared" si="659"/>
        <v>0.70999999999999985</v>
      </c>
      <c r="EJ118" s="54">
        <f t="shared" si="659"/>
        <v>0.68999999999999984</v>
      </c>
      <c r="EK118" s="54">
        <f t="shared" si="659"/>
        <v>0.66999999999999982</v>
      </c>
      <c r="EL118" s="54">
        <f t="shared" si="659"/>
        <v>0.6499999999999998</v>
      </c>
      <c r="EM118" s="54">
        <f t="shared" si="659"/>
        <v>0.62999999999999978</v>
      </c>
      <c r="EN118" s="54">
        <f t="shared" si="659"/>
        <v>0.60999999999999976</v>
      </c>
      <c r="EO118" s="54">
        <f t="shared" si="659"/>
        <v>0.58999999999999975</v>
      </c>
      <c r="EP118" s="54">
        <f t="shared" si="659"/>
        <v>0.56999999999999973</v>
      </c>
      <c r="ER118" s="54">
        <f t="shared" si="653"/>
        <v>0</v>
      </c>
      <c r="ES118" s="54">
        <f t="shared" si="515"/>
        <v>0</v>
      </c>
      <c r="ET118" s="58">
        <f t="shared" si="752"/>
        <v>0</v>
      </c>
      <c r="EU118" s="54">
        <f t="shared" si="753"/>
        <v>0</v>
      </c>
      <c r="EV118" s="58">
        <f t="shared" si="754"/>
        <v>0</v>
      </c>
      <c r="EW118" s="54">
        <f t="shared" si="755"/>
        <v>0</v>
      </c>
      <c r="EX118" s="58">
        <f t="shared" si="756"/>
        <v>0</v>
      </c>
      <c r="EY118" s="54">
        <f t="shared" si="757"/>
        <v>0</v>
      </c>
      <c r="EZ118" s="58">
        <f t="shared" si="758"/>
        <v>0</v>
      </c>
      <c r="FA118" s="56">
        <f t="shared" si="759"/>
        <v>0</v>
      </c>
      <c r="FB118" s="58">
        <f t="shared" si="760"/>
        <v>0</v>
      </c>
      <c r="FC118" s="54">
        <f t="shared" si="761"/>
        <v>0</v>
      </c>
      <c r="FD118" s="58">
        <f t="shared" si="762"/>
        <v>0</v>
      </c>
      <c r="FE118" s="56">
        <f t="shared" si="763"/>
        <v>0</v>
      </c>
      <c r="FF118" s="58">
        <f t="shared" si="764"/>
        <v>0</v>
      </c>
      <c r="FG118" s="59">
        <f t="shared" si="765"/>
        <v>0</v>
      </c>
      <c r="FH118" s="58">
        <f t="shared" si="766"/>
        <v>0</v>
      </c>
      <c r="FI118" s="56">
        <f t="shared" si="767"/>
        <v>0</v>
      </c>
      <c r="FJ118" s="58">
        <f t="shared" si="768"/>
        <v>0</v>
      </c>
      <c r="FK118" s="54">
        <f t="shared" si="769"/>
        <v>0</v>
      </c>
      <c r="FL118" s="58">
        <f t="shared" si="770"/>
        <v>0</v>
      </c>
      <c r="FM118" s="59">
        <f t="shared" si="771"/>
        <v>0</v>
      </c>
      <c r="FN118" s="58">
        <f t="shared" si="772"/>
        <v>0</v>
      </c>
      <c r="FO118" s="59">
        <f t="shared" si="773"/>
        <v>0</v>
      </c>
      <c r="FP118" s="58">
        <f t="shared" si="774"/>
        <v>0</v>
      </c>
      <c r="FQ118" s="59">
        <f t="shared" si="775"/>
        <v>0</v>
      </c>
      <c r="FR118" s="58">
        <f t="shared" si="776"/>
        <v>0</v>
      </c>
      <c r="FS118" s="54">
        <f t="shared" si="777"/>
        <v>0</v>
      </c>
      <c r="FT118" s="58">
        <f t="shared" si="778"/>
        <v>0</v>
      </c>
      <c r="FU118" s="59">
        <f t="shared" si="779"/>
        <v>0</v>
      </c>
      <c r="FV118" s="58">
        <f t="shared" si="780"/>
        <v>0</v>
      </c>
      <c r="FW118" s="59">
        <f t="shared" si="781"/>
        <v>0</v>
      </c>
      <c r="FX118" s="58">
        <f t="shared" si="782"/>
        <v>0</v>
      </c>
      <c r="FY118" s="59">
        <f t="shared" si="783"/>
        <v>0</v>
      </c>
      <c r="FZ118" s="58">
        <f t="shared" si="784"/>
        <v>0</v>
      </c>
      <c r="GA118" s="59">
        <f t="shared" si="785"/>
        <v>0</v>
      </c>
      <c r="GB118" s="58">
        <f t="shared" si="786"/>
        <v>0</v>
      </c>
      <c r="GC118" s="54">
        <f t="shared" si="787"/>
        <v>0</v>
      </c>
      <c r="GD118" s="58">
        <f t="shared" si="788"/>
        <v>0</v>
      </c>
      <c r="GE118" s="59">
        <f t="shared" si="789"/>
        <v>0</v>
      </c>
      <c r="GF118" s="58">
        <f t="shared" si="790"/>
        <v>0</v>
      </c>
      <c r="GG118" s="59">
        <f t="shared" si="791"/>
        <v>0</v>
      </c>
      <c r="GH118" s="58">
        <f t="shared" si="792"/>
        <v>0</v>
      </c>
      <c r="GI118" s="54">
        <f t="shared" si="793"/>
        <v>0</v>
      </c>
      <c r="GJ118" s="58">
        <f t="shared" si="794"/>
        <v>0</v>
      </c>
      <c r="GK118" s="54"/>
      <c r="GL118" s="54"/>
      <c r="GM118" s="54">
        <v>1</v>
      </c>
      <c r="GN118" s="54">
        <v>0.97</v>
      </c>
      <c r="GO118" s="54">
        <v>0.95</v>
      </c>
      <c r="GP118" s="54">
        <v>0.93</v>
      </c>
      <c r="GQ118" s="54">
        <f t="shared" si="660"/>
        <v>0.91</v>
      </c>
      <c r="GR118" s="54">
        <f t="shared" si="660"/>
        <v>0.89</v>
      </c>
      <c r="GS118" s="54">
        <f t="shared" si="660"/>
        <v>0.87</v>
      </c>
      <c r="GT118" s="54">
        <f t="shared" si="660"/>
        <v>0.85</v>
      </c>
      <c r="GU118" s="54">
        <f t="shared" si="660"/>
        <v>0.83</v>
      </c>
      <c r="GV118" s="54">
        <f t="shared" si="660"/>
        <v>0.80999999999999994</v>
      </c>
      <c r="GW118" s="54">
        <f t="shared" si="660"/>
        <v>0.78999999999999992</v>
      </c>
      <c r="GX118" s="54">
        <f t="shared" si="660"/>
        <v>0.76999999999999991</v>
      </c>
      <c r="GY118" s="54">
        <f t="shared" si="660"/>
        <v>0.74999999999999989</v>
      </c>
      <c r="GZ118" s="54">
        <f t="shared" si="660"/>
        <v>0.72999999999999987</v>
      </c>
      <c r="HA118" s="54">
        <f t="shared" si="660"/>
        <v>0.70999999999999985</v>
      </c>
      <c r="HB118" s="54">
        <f t="shared" si="660"/>
        <v>0.68999999999999984</v>
      </c>
      <c r="HC118" s="54">
        <f t="shared" si="660"/>
        <v>0.66999999999999982</v>
      </c>
      <c r="HD118" s="54">
        <f t="shared" si="660"/>
        <v>0.6499999999999998</v>
      </c>
      <c r="HE118" s="54">
        <f t="shared" si="660"/>
        <v>0.62999999999999978</v>
      </c>
      <c r="HF118" s="54">
        <f t="shared" si="660"/>
        <v>0.60999999999999976</v>
      </c>
      <c r="HG118" s="54">
        <f t="shared" si="660"/>
        <v>0.58999999999999975</v>
      </c>
      <c r="HH118" s="54">
        <f t="shared" si="660"/>
        <v>0.56999999999999973</v>
      </c>
    </row>
    <row r="119" spans="1:216" x14ac:dyDescent="0.3">
      <c r="A119" s="2">
        <v>4</v>
      </c>
      <c r="C119" s="38" t="s">
        <v>139</v>
      </c>
      <c r="D119" s="42">
        <v>6910</v>
      </c>
      <c r="E119" s="72">
        <f t="shared" si="665"/>
        <v>22840</v>
      </c>
      <c r="F119" s="2" t="s">
        <v>317</v>
      </c>
      <c r="H119" s="54">
        <f t="shared" si="510"/>
        <v>25124.000000000004</v>
      </c>
      <c r="I119" s="54">
        <f t="shared" si="511"/>
        <v>25124.000000000004</v>
      </c>
      <c r="J119" s="58">
        <f t="shared" si="512"/>
        <v>83054.919200000018</v>
      </c>
      <c r="K119" s="54">
        <f t="shared" si="666"/>
        <v>24370.280000000002</v>
      </c>
      <c r="L119" s="58">
        <f t="shared" si="667"/>
        <v>80563.271624000015</v>
      </c>
      <c r="M119" s="54">
        <f t="shared" si="668"/>
        <v>23867.800000000003</v>
      </c>
      <c r="N119" s="58">
        <f t="shared" si="669"/>
        <v>78902.173240000018</v>
      </c>
      <c r="O119" s="54">
        <f t="shared" si="670"/>
        <v>23365.320000000003</v>
      </c>
      <c r="P119" s="58">
        <f t="shared" si="671"/>
        <v>77241.074856000007</v>
      </c>
      <c r="Q119" s="56">
        <f t="shared" si="672"/>
        <v>22862.840000000004</v>
      </c>
      <c r="R119" s="58">
        <f t="shared" si="673"/>
        <v>75579.976472000009</v>
      </c>
      <c r="S119" s="54">
        <f t="shared" si="674"/>
        <v>22360.360000000004</v>
      </c>
      <c r="T119" s="58">
        <f t="shared" si="675"/>
        <v>73918.878088000012</v>
      </c>
      <c r="U119" s="56">
        <f t="shared" si="676"/>
        <v>21857.880000000005</v>
      </c>
      <c r="V119" s="58">
        <f t="shared" si="677"/>
        <v>72257.779704000015</v>
      </c>
      <c r="W119" s="59">
        <f t="shared" si="678"/>
        <v>21355.4</v>
      </c>
      <c r="X119" s="58">
        <f t="shared" si="679"/>
        <v>70596.681320000003</v>
      </c>
      <c r="Y119" s="56">
        <f t="shared" si="680"/>
        <v>20852.920000000002</v>
      </c>
      <c r="Z119" s="58">
        <f t="shared" si="681"/>
        <v>68935.582936000006</v>
      </c>
      <c r="AA119" s="54">
        <f t="shared" si="682"/>
        <v>20350.440000000002</v>
      </c>
      <c r="AB119" s="58">
        <f t="shared" si="683"/>
        <v>67274.484552000009</v>
      </c>
      <c r="AC119" s="59">
        <f t="shared" si="684"/>
        <v>19847.960000000003</v>
      </c>
      <c r="AD119" s="58">
        <f t="shared" si="685"/>
        <v>65613.386168000012</v>
      </c>
      <c r="AE119" s="59">
        <f t="shared" si="686"/>
        <v>19345.48</v>
      </c>
      <c r="AF119" s="58">
        <f t="shared" si="687"/>
        <v>63952.287784</v>
      </c>
      <c r="AG119" s="59">
        <f t="shared" si="688"/>
        <v>18843</v>
      </c>
      <c r="AH119" s="58">
        <f t="shared" si="689"/>
        <v>62291.189400000003</v>
      </c>
      <c r="AI119" s="54">
        <f t="shared" si="690"/>
        <v>18340.52</v>
      </c>
      <c r="AJ119" s="58">
        <f t="shared" si="691"/>
        <v>60630.091016000006</v>
      </c>
      <c r="AK119" s="59">
        <f t="shared" si="692"/>
        <v>17838.039999999997</v>
      </c>
      <c r="AL119" s="58">
        <f t="shared" si="693"/>
        <v>58968.992631999994</v>
      </c>
      <c r="AM119" s="59">
        <f t="shared" si="694"/>
        <v>17335.559999999998</v>
      </c>
      <c r="AN119" s="58">
        <f t="shared" si="695"/>
        <v>57307.894247999997</v>
      </c>
      <c r="AO119" s="59">
        <f t="shared" si="696"/>
        <v>16833.079999999998</v>
      </c>
      <c r="AP119" s="58">
        <f t="shared" si="697"/>
        <v>55646.795863999992</v>
      </c>
      <c r="AQ119" s="59">
        <f t="shared" si="698"/>
        <v>16330.599999999997</v>
      </c>
      <c r="AR119" s="58">
        <f t="shared" si="699"/>
        <v>53985.697479999988</v>
      </c>
      <c r="AS119" s="54">
        <f t="shared" si="700"/>
        <v>15828.119999999997</v>
      </c>
      <c r="AT119" s="58">
        <f t="shared" si="701"/>
        <v>52324.599095999991</v>
      </c>
      <c r="AU119" s="59">
        <f t="shared" si="702"/>
        <v>15325.639999999996</v>
      </c>
      <c r="AV119" s="58">
        <f t="shared" si="703"/>
        <v>50663.500711999986</v>
      </c>
      <c r="AW119" s="59">
        <f t="shared" si="704"/>
        <v>14823.159999999996</v>
      </c>
      <c r="AX119" s="58">
        <f t="shared" si="705"/>
        <v>49002.402327999989</v>
      </c>
      <c r="AY119" s="54">
        <f t="shared" si="706"/>
        <v>14320.679999999995</v>
      </c>
      <c r="AZ119" s="58">
        <f t="shared" si="707"/>
        <v>47341.303943999985</v>
      </c>
      <c r="BC119" s="54">
        <v>1</v>
      </c>
      <c r="BD119" s="54">
        <v>0.97</v>
      </c>
      <c r="BE119" s="54">
        <v>0.95</v>
      </c>
      <c r="BF119" s="54">
        <v>0.93</v>
      </c>
      <c r="BG119" s="54">
        <f t="shared" si="708"/>
        <v>0.91</v>
      </c>
      <c r="BH119" s="54">
        <f t="shared" si="708"/>
        <v>0.89</v>
      </c>
      <c r="BI119" s="54">
        <f t="shared" si="708"/>
        <v>0.87</v>
      </c>
      <c r="BJ119" s="54">
        <f t="shared" si="708"/>
        <v>0.85</v>
      </c>
      <c r="BK119" s="54">
        <f t="shared" si="708"/>
        <v>0.83</v>
      </c>
      <c r="BL119" s="54">
        <f t="shared" si="708"/>
        <v>0.80999999999999994</v>
      </c>
      <c r="BM119" s="54">
        <f t="shared" si="708"/>
        <v>0.78999999999999992</v>
      </c>
      <c r="BN119" s="54">
        <f t="shared" si="708"/>
        <v>0.76999999999999991</v>
      </c>
      <c r="BO119" s="54">
        <f t="shared" si="708"/>
        <v>0.74999999999999989</v>
      </c>
      <c r="BP119" s="54">
        <f t="shared" si="708"/>
        <v>0.72999999999999987</v>
      </c>
      <c r="BQ119" s="54">
        <f t="shared" si="708"/>
        <v>0.70999999999999985</v>
      </c>
      <c r="BR119" s="54">
        <f t="shared" si="708"/>
        <v>0.68999999999999984</v>
      </c>
      <c r="BS119" s="54">
        <f t="shared" si="708"/>
        <v>0.66999999999999982</v>
      </c>
      <c r="BT119" s="54">
        <f t="shared" si="708"/>
        <v>0.6499999999999998</v>
      </c>
      <c r="BU119" s="54">
        <f t="shared" si="708"/>
        <v>0.62999999999999978</v>
      </c>
      <c r="BV119" s="54">
        <f t="shared" si="708"/>
        <v>0.60999999999999976</v>
      </c>
      <c r="BW119" s="54">
        <f t="shared" si="708"/>
        <v>0.58999999999999975</v>
      </c>
      <c r="BX119" s="54">
        <f t="shared" si="708"/>
        <v>0.56999999999999973</v>
      </c>
      <c r="BZ119" s="54">
        <f t="shared" si="513"/>
        <v>22862.840000000004</v>
      </c>
      <c r="CA119" s="54">
        <f t="shared" si="514"/>
        <v>22862.840000000004</v>
      </c>
      <c r="CB119" s="58">
        <f t="shared" si="709"/>
        <v>75579.976472000009</v>
      </c>
      <c r="CC119" s="54">
        <f t="shared" si="710"/>
        <v>22176.954800000003</v>
      </c>
      <c r="CD119" s="58">
        <f t="shared" si="711"/>
        <v>73312.577177840009</v>
      </c>
      <c r="CE119" s="54">
        <f t="shared" si="712"/>
        <v>21719.698000000004</v>
      </c>
      <c r="CF119" s="58">
        <f t="shared" si="713"/>
        <v>71800.977648400018</v>
      </c>
      <c r="CG119" s="54">
        <f t="shared" si="714"/>
        <v>21262.441200000005</v>
      </c>
      <c r="CH119" s="58">
        <f t="shared" si="715"/>
        <v>70289.378118960012</v>
      </c>
      <c r="CI119" s="56">
        <f t="shared" si="716"/>
        <v>20805.184400000006</v>
      </c>
      <c r="CJ119" s="58">
        <f t="shared" si="717"/>
        <v>68777.778589520021</v>
      </c>
      <c r="CK119" s="54">
        <f t="shared" si="718"/>
        <v>20347.927600000003</v>
      </c>
      <c r="CL119" s="58">
        <f t="shared" si="719"/>
        <v>67266.179060080016</v>
      </c>
      <c r="CM119" s="56">
        <f t="shared" si="720"/>
        <v>19890.670800000004</v>
      </c>
      <c r="CN119" s="58">
        <f t="shared" si="721"/>
        <v>65754.57953064001</v>
      </c>
      <c r="CO119" s="59">
        <f t="shared" si="722"/>
        <v>19433.414000000004</v>
      </c>
      <c r="CP119" s="58">
        <f t="shared" si="723"/>
        <v>64242.980001200012</v>
      </c>
      <c r="CQ119" s="56">
        <f t="shared" si="724"/>
        <v>18976.157200000001</v>
      </c>
      <c r="CR119" s="58">
        <f t="shared" si="725"/>
        <v>62731.380471760007</v>
      </c>
      <c r="CS119" s="54">
        <f t="shared" si="726"/>
        <v>18518.900400000002</v>
      </c>
      <c r="CT119" s="58">
        <f t="shared" si="727"/>
        <v>61219.780942320009</v>
      </c>
      <c r="CU119" s="59">
        <f t="shared" si="728"/>
        <v>18061.643600000003</v>
      </c>
      <c r="CV119" s="58">
        <f t="shared" si="729"/>
        <v>59708.181412880011</v>
      </c>
      <c r="CW119" s="59">
        <f t="shared" si="730"/>
        <v>17604.3868</v>
      </c>
      <c r="CX119" s="58">
        <f t="shared" si="731"/>
        <v>58196.581883440005</v>
      </c>
      <c r="CY119" s="59">
        <f t="shared" si="732"/>
        <v>17147.13</v>
      </c>
      <c r="CZ119" s="58">
        <f t="shared" si="733"/>
        <v>56684.982354000007</v>
      </c>
      <c r="DA119" s="54">
        <f t="shared" si="734"/>
        <v>16689.873199999998</v>
      </c>
      <c r="DB119" s="58">
        <f t="shared" si="735"/>
        <v>55173.382824559994</v>
      </c>
      <c r="DC119" s="59">
        <f t="shared" si="736"/>
        <v>16232.616399999999</v>
      </c>
      <c r="DD119" s="58">
        <f t="shared" si="737"/>
        <v>53661.783295119996</v>
      </c>
      <c r="DE119" s="59">
        <f t="shared" si="738"/>
        <v>15775.359599999998</v>
      </c>
      <c r="DF119" s="58">
        <f t="shared" si="739"/>
        <v>52150.183765679991</v>
      </c>
      <c r="DG119" s="59">
        <f t="shared" si="740"/>
        <v>15318.102799999999</v>
      </c>
      <c r="DH119" s="58">
        <f t="shared" si="741"/>
        <v>50638.58423624</v>
      </c>
      <c r="DI119" s="59">
        <f t="shared" si="742"/>
        <v>14860.845999999998</v>
      </c>
      <c r="DJ119" s="58">
        <f t="shared" si="743"/>
        <v>49126.984706799994</v>
      </c>
      <c r="DK119" s="54">
        <f t="shared" si="744"/>
        <v>14403.589199999997</v>
      </c>
      <c r="DL119" s="58">
        <f t="shared" si="745"/>
        <v>47615.385177359989</v>
      </c>
      <c r="DM119" s="59">
        <f t="shared" si="746"/>
        <v>13946.332399999998</v>
      </c>
      <c r="DN119" s="58">
        <f t="shared" si="747"/>
        <v>46103.785647919991</v>
      </c>
      <c r="DO119" s="59">
        <f t="shared" si="748"/>
        <v>13489.075599999996</v>
      </c>
      <c r="DP119" s="58">
        <f t="shared" si="749"/>
        <v>44592.186118479993</v>
      </c>
      <c r="DQ119" s="54">
        <f t="shared" si="750"/>
        <v>13031.818799999995</v>
      </c>
      <c r="DR119" s="58">
        <f t="shared" si="751"/>
        <v>43080.586589039987</v>
      </c>
      <c r="DU119" s="54">
        <v>1</v>
      </c>
      <c r="DV119" s="54">
        <v>0.97</v>
      </c>
      <c r="DW119" s="54">
        <v>0.95</v>
      </c>
      <c r="DX119" s="54">
        <v>0.93</v>
      </c>
      <c r="DY119" s="54">
        <f t="shared" si="659"/>
        <v>0.91</v>
      </c>
      <c r="DZ119" s="54">
        <f t="shared" si="659"/>
        <v>0.89</v>
      </c>
      <c r="EA119" s="54">
        <f t="shared" si="659"/>
        <v>0.87</v>
      </c>
      <c r="EB119" s="54">
        <f t="shared" si="659"/>
        <v>0.85</v>
      </c>
      <c r="EC119" s="54">
        <f t="shared" si="659"/>
        <v>0.83</v>
      </c>
      <c r="ED119" s="54">
        <f t="shared" si="659"/>
        <v>0.80999999999999994</v>
      </c>
      <c r="EE119" s="54">
        <f t="shared" si="659"/>
        <v>0.78999999999999992</v>
      </c>
      <c r="EF119" s="54">
        <f t="shared" si="659"/>
        <v>0.76999999999999991</v>
      </c>
      <c r="EG119" s="54">
        <f t="shared" si="659"/>
        <v>0.74999999999999989</v>
      </c>
      <c r="EH119" s="54">
        <f t="shared" si="659"/>
        <v>0.72999999999999987</v>
      </c>
      <c r="EI119" s="54">
        <f t="shared" si="659"/>
        <v>0.70999999999999985</v>
      </c>
      <c r="EJ119" s="54">
        <f t="shared" si="659"/>
        <v>0.68999999999999984</v>
      </c>
      <c r="EK119" s="54">
        <f t="shared" si="659"/>
        <v>0.66999999999999982</v>
      </c>
      <c r="EL119" s="54">
        <f t="shared" si="659"/>
        <v>0.6499999999999998</v>
      </c>
      <c r="EM119" s="54">
        <f t="shared" si="659"/>
        <v>0.62999999999999978</v>
      </c>
      <c r="EN119" s="54">
        <f t="shared" si="659"/>
        <v>0.60999999999999976</v>
      </c>
      <c r="EO119" s="54">
        <f t="shared" si="659"/>
        <v>0.58999999999999975</v>
      </c>
      <c r="EP119" s="54">
        <f t="shared" si="659"/>
        <v>0.56999999999999973</v>
      </c>
      <c r="ER119" s="54">
        <f t="shared" si="653"/>
        <v>20805.184400000006</v>
      </c>
      <c r="ES119" s="54">
        <f t="shared" si="515"/>
        <v>20805.184400000006</v>
      </c>
      <c r="ET119" s="58">
        <f t="shared" si="752"/>
        <v>68777.778589520021</v>
      </c>
      <c r="EU119" s="54">
        <f t="shared" si="753"/>
        <v>20181.028868000005</v>
      </c>
      <c r="EV119" s="58">
        <f t="shared" si="754"/>
        <v>66714.445231834412</v>
      </c>
      <c r="EW119" s="54">
        <f t="shared" si="755"/>
        <v>19764.925180000006</v>
      </c>
      <c r="EX119" s="58">
        <f t="shared" si="756"/>
        <v>65338.88966004402</v>
      </c>
      <c r="EY119" s="54">
        <f t="shared" si="757"/>
        <v>19348.821492000006</v>
      </c>
      <c r="EZ119" s="58">
        <f t="shared" si="758"/>
        <v>63963.334088253621</v>
      </c>
      <c r="FA119" s="56">
        <f t="shared" si="759"/>
        <v>18932.717804000007</v>
      </c>
      <c r="FB119" s="58">
        <f t="shared" si="760"/>
        <v>62587.778516463222</v>
      </c>
      <c r="FC119" s="54">
        <f t="shared" si="761"/>
        <v>18516.614116000004</v>
      </c>
      <c r="FD119" s="58">
        <f t="shared" si="762"/>
        <v>61212.222944672816</v>
      </c>
      <c r="FE119" s="56">
        <f t="shared" si="763"/>
        <v>18100.510428000005</v>
      </c>
      <c r="FF119" s="58">
        <f t="shared" si="764"/>
        <v>59836.667372882417</v>
      </c>
      <c r="FG119" s="59">
        <f t="shared" si="765"/>
        <v>17684.406740000006</v>
      </c>
      <c r="FH119" s="58">
        <f t="shared" si="766"/>
        <v>58461.111801092018</v>
      </c>
      <c r="FI119" s="56">
        <f t="shared" si="767"/>
        <v>17268.303052000003</v>
      </c>
      <c r="FJ119" s="58">
        <f t="shared" si="768"/>
        <v>57085.556229301612</v>
      </c>
      <c r="FK119" s="54">
        <f t="shared" si="769"/>
        <v>16852.199364000004</v>
      </c>
      <c r="FL119" s="58">
        <f t="shared" si="770"/>
        <v>55710.000657511213</v>
      </c>
      <c r="FM119" s="59">
        <f t="shared" si="771"/>
        <v>16436.095676000004</v>
      </c>
      <c r="FN119" s="58">
        <f t="shared" si="772"/>
        <v>54334.445085720814</v>
      </c>
      <c r="FO119" s="59">
        <f t="shared" si="773"/>
        <v>16019.991988000002</v>
      </c>
      <c r="FP119" s="58">
        <f t="shared" si="774"/>
        <v>52958.889513930408</v>
      </c>
      <c r="FQ119" s="59">
        <f t="shared" si="775"/>
        <v>15603.888300000002</v>
      </c>
      <c r="FR119" s="58">
        <f t="shared" si="776"/>
        <v>51583.333942140009</v>
      </c>
      <c r="FS119" s="54">
        <f t="shared" si="777"/>
        <v>15187.784612000001</v>
      </c>
      <c r="FT119" s="58">
        <f t="shared" si="778"/>
        <v>50207.778370349602</v>
      </c>
      <c r="FU119" s="59">
        <f t="shared" si="779"/>
        <v>14771.680924</v>
      </c>
      <c r="FV119" s="58">
        <f t="shared" si="780"/>
        <v>48832.222798559204</v>
      </c>
      <c r="FW119" s="59">
        <f t="shared" si="781"/>
        <v>14355.577236000001</v>
      </c>
      <c r="FX119" s="58">
        <f t="shared" si="782"/>
        <v>47456.667226768805</v>
      </c>
      <c r="FY119" s="59">
        <f t="shared" si="783"/>
        <v>13939.473548</v>
      </c>
      <c r="FZ119" s="58">
        <f t="shared" si="784"/>
        <v>46081.111654978398</v>
      </c>
      <c r="GA119" s="59">
        <f t="shared" si="785"/>
        <v>13523.369859999999</v>
      </c>
      <c r="GB119" s="58">
        <f t="shared" si="786"/>
        <v>44705.556083187999</v>
      </c>
      <c r="GC119" s="54">
        <f t="shared" si="787"/>
        <v>13107.266172</v>
      </c>
      <c r="GD119" s="58">
        <f t="shared" si="788"/>
        <v>43330.0005113976</v>
      </c>
      <c r="GE119" s="59">
        <f t="shared" si="789"/>
        <v>12691.162483999999</v>
      </c>
      <c r="GF119" s="58">
        <f t="shared" si="790"/>
        <v>41954.444939607194</v>
      </c>
      <c r="GG119" s="59">
        <f t="shared" si="791"/>
        <v>12275.058795999998</v>
      </c>
      <c r="GH119" s="58">
        <f t="shared" si="792"/>
        <v>40578.889367816795</v>
      </c>
      <c r="GI119" s="54">
        <f t="shared" si="793"/>
        <v>11858.955107999998</v>
      </c>
      <c r="GJ119" s="58">
        <f t="shared" si="794"/>
        <v>39203.333796026396</v>
      </c>
      <c r="GK119" s="54"/>
      <c r="GL119" s="54"/>
      <c r="GM119" s="54">
        <v>1</v>
      </c>
      <c r="GN119" s="54">
        <v>0.97</v>
      </c>
      <c r="GO119" s="54">
        <v>0.95</v>
      </c>
      <c r="GP119" s="54">
        <v>0.93</v>
      </c>
      <c r="GQ119" s="54">
        <f t="shared" si="660"/>
        <v>0.91</v>
      </c>
      <c r="GR119" s="54">
        <f t="shared" si="660"/>
        <v>0.89</v>
      </c>
      <c r="GS119" s="54">
        <f t="shared" si="660"/>
        <v>0.87</v>
      </c>
      <c r="GT119" s="54">
        <f t="shared" si="660"/>
        <v>0.85</v>
      </c>
      <c r="GU119" s="54">
        <f t="shared" si="660"/>
        <v>0.83</v>
      </c>
      <c r="GV119" s="54">
        <f t="shared" si="660"/>
        <v>0.80999999999999994</v>
      </c>
      <c r="GW119" s="54">
        <f t="shared" si="660"/>
        <v>0.78999999999999992</v>
      </c>
      <c r="GX119" s="54">
        <f t="shared" si="660"/>
        <v>0.76999999999999991</v>
      </c>
      <c r="GY119" s="54">
        <f t="shared" si="660"/>
        <v>0.74999999999999989</v>
      </c>
      <c r="GZ119" s="54">
        <f t="shared" si="660"/>
        <v>0.72999999999999987</v>
      </c>
      <c r="HA119" s="54">
        <f t="shared" si="660"/>
        <v>0.70999999999999985</v>
      </c>
      <c r="HB119" s="54">
        <f t="shared" si="660"/>
        <v>0.68999999999999984</v>
      </c>
      <c r="HC119" s="54">
        <f t="shared" si="660"/>
        <v>0.66999999999999982</v>
      </c>
      <c r="HD119" s="54">
        <f t="shared" si="660"/>
        <v>0.6499999999999998</v>
      </c>
      <c r="HE119" s="54">
        <f t="shared" si="660"/>
        <v>0.62999999999999978</v>
      </c>
      <c r="HF119" s="54">
        <f t="shared" si="660"/>
        <v>0.60999999999999976</v>
      </c>
      <c r="HG119" s="54">
        <f t="shared" si="660"/>
        <v>0.58999999999999975</v>
      </c>
      <c r="HH119" s="54">
        <f t="shared" si="660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2">
        <f t="shared" si="665"/>
        <v>0</v>
      </c>
      <c r="H120" s="54">
        <f t="shared" si="510"/>
        <v>0</v>
      </c>
      <c r="I120" s="54">
        <f t="shared" si="511"/>
        <v>0</v>
      </c>
      <c r="J120" s="58">
        <f t="shared" si="512"/>
        <v>0</v>
      </c>
      <c r="K120" s="54">
        <f t="shared" si="666"/>
        <v>0</v>
      </c>
      <c r="L120" s="58">
        <f t="shared" si="667"/>
        <v>0</v>
      </c>
      <c r="M120" s="54">
        <f t="shared" si="668"/>
        <v>0</v>
      </c>
      <c r="N120" s="58">
        <f t="shared" si="669"/>
        <v>0</v>
      </c>
      <c r="O120" s="54">
        <f t="shared" si="670"/>
        <v>0</v>
      </c>
      <c r="P120" s="58">
        <f t="shared" si="671"/>
        <v>0</v>
      </c>
      <c r="Q120" s="56">
        <f t="shared" si="672"/>
        <v>0</v>
      </c>
      <c r="R120" s="58">
        <f t="shared" si="673"/>
        <v>0</v>
      </c>
      <c r="S120" s="54">
        <f t="shared" si="674"/>
        <v>0</v>
      </c>
      <c r="T120" s="58">
        <f t="shared" si="675"/>
        <v>0</v>
      </c>
      <c r="U120" s="56">
        <f t="shared" si="676"/>
        <v>0</v>
      </c>
      <c r="V120" s="58">
        <f t="shared" si="677"/>
        <v>0</v>
      </c>
      <c r="W120" s="59">
        <f t="shared" si="678"/>
        <v>0</v>
      </c>
      <c r="X120" s="58">
        <f t="shared" si="679"/>
        <v>0</v>
      </c>
      <c r="Y120" s="56">
        <f t="shared" si="680"/>
        <v>0</v>
      </c>
      <c r="Z120" s="58">
        <f t="shared" si="681"/>
        <v>0</v>
      </c>
      <c r="AA120" s="54">
        <f t="shared" si="682"/>
        <v>0</v>
      </c>
      <c r="AB120" s="58">
        <f t="shared" si="683"/>
        <v>0</v>
      </c>
      <c r="AC120" s="59">
        <f t="shared" si="684"/>
        <v>0</v>
      </c>
      <c r="AD120" s="58">
        <f t="shared" si="685"/>
        <v>0</v>
      </c>
      <c r="AE120" s="59">
        <f t="shared" si="686"/>
        <v>0</v>
      </c>
      <c r="AF120" s="58">
        <f t="shared" si="687"/>
        <v>0</v>
      </c>
      <c r="AG120" s="59">
        <f t="shared" si="688"/>
        <v>0</v>
      </c>
      <c r="AH120" s="58">
        <f t="shared" si="689"/>
        <v>0</v>
      </c>
      <c r="AI120" s="54">
        <f t="shared" si="690"/>
        <v>0</v>
      </c>
      <c r="AJ120" s="58">
        <f t="shared" si="691"/>
        <v>0</v>
      </c>
      <c r="AK120" s="59">
        <f t="shared" si="692"/>
        <v>0</v>
      </c>
      <c r="AL120" s="58">
        <f t="shared" si="693"/>
        <v>0</v>
      </c>
      <c r="AM120" s="59">
        <f t="shared" si="694"/>
        <v>0</v>
      </c>
      <c r="AN120" s="58">
        <f t="shared" si="695"/>
        <v>0</v>
      </c>
      <c r="AO120" s="59">
        <f t="shared" si="696"/>
        <v>0</v>
      </c>
      <c r="AP120" s="58">
        <f t="shared" si="697"/>
        <v>0</v>
      </c>
      <c r="AQ120" s="59">
        <f t="shared" si="698"/>
        <v>0</v>
      </c>
      <c r="AR120" s="58">
        <f t="shared" si="699"/>
        <v>0</v>
      </c>
      <c r="AS120" s="54">
        <f t="shared" si="700"/>
        <v>0</v>
      </c>
      <c r="AT120" s="58">
        <f t="shared" si="701"/>
        <v>0</v>
      </c>
      <c r="AU120" s="59">
        <f t="shared" si="702"/>
        <v>0</v>
      </c>
      <c r="AV120" s="58">
        <f t="shared" si="703"/>
        <v>0</v>
      </c>
      <c r="AW120" s="59">
        <f t="shared" si="704"/>
        <v>0</v>
      </c>
      <c r="AX120" s="58">
        <f t="shared" si="705"/>
        <v>0</v>
      </c>
      <c r="AY120" s="54">
        <f t="shared" si="706"/>
        <v>0</v>
      </c>
      <c r="AZ120" s="58">
        <f t="shared" si="707"/>
        <v>0</v>
      </c>
      <c r="BC120" s="54">
        <v>1</v>
      </c>
      <c r="BD120" s="54">
        <v>0.97</v>
      </c>
      <c r="BE120" s="54">
        <v>0.95</v>
      </c>
      <c r="BF120" s="54">
        <v>0.93</v>
      </c>
      <c r="BG120" s="54">
        <f t="shared" si="708"/>
        <v>0.91</v>
      </c>
      <c r="BH120" s="54">
        <f t="shared" si="708"/>
        <v>0.89</v>
      </c>
      <c r="BI120" s="54">
        <f t="shared" si="708"/>
        <v>0.87</v>
      </c>
      <c r="BJ120" s="54">
        <f t="shared" si="708"/>
        <v>0.85</v>
      </c>
      <c r="BK120" s="54">
        <f t="shared" si="708"/>
        <v>0.83</v>
      </c>
      <c r="BL120" s="54">
        <f t="shared" si="708"/>
        <v>0.80999999999999994</v>
      </c>
      <c r="BM120" s="54">
        <f t="shared" si="708"/>
        <v>0.78999999999999992</v>
      </c>
      <c r="BN120" s="54">
        <f t="shared" si="708"/>
        <v>0.76999999999999991</v>
      </c>
      <c r="BO120" s="54">
        <f t="shared" si="708"/>
        <v>0.74999999999999989</v>
      </c>
      <c r="BP120" s="54">
        <f t="shared" si="708"/>
        <v>0.72999999999999987</v>
      </c>
      <c r="BQ120" s="54">
        <f t="shared" si="708"/>
        <v>0.70999999999999985</v>
      </c>
      <c r="BR120" s="54">
        <f t="shared" si="708"/>
        <v>0.68999999999999984</v>
      </c>
      <c r="BS120" s="54">
        <f t="shared" si="708"/>
        <v>0.66999999999999982</v>
      </c>
      <c r="BT120" s="54">
        <f t="shared" si="708"/>
        <v>0.6499999999999998</v>
      </c>
      <c r="BU120" s="54">
        <f t="shared" si="708"/>
        <v>0.62999999999999978</v>
      </c>
      <c r="BV120" s="54">
        <f t="shared" si="708"/>
        <v>0.60999999999999976</v>
      </c>
      <c r="BW120" s="54">
        <f t="shared" si="708"/>
        <v>0.58999999999999975</v>
      </c>
      <c r="BX120" s="54">
        <f t="shared" si="708"/>
        <v>0.56999999999999973</v>
      </c>
      <c r="BZ120" s="54">
        <f t="shared" si="513"/>
        <v>0</v>
      </c>
      <c r="CA120" s="54">
        <f t="shared" si="514"/>
        <v>0</v>
      </c>
      <c r="CB120" s="58">
        <f t="shared" si="709"/>
        <v>0</v>
      </c>
      <c r="CC120" s="54">
        <f t="shared" si="710"/>
        <v>0</v>
      </c>
      <c r="CD120" s="58">
        <f t="shared" si="711"/>
        <v>0</v>
      </c>
      <c r="CE120" s="54">
        <f t="shared" si="712"/>
        <v>0</v>
      </c>
      <c r="CF120" s="58">
        <f t="shared" si="713"/>
        <v>0</v>
      </c>
      <c r="CG120" s="54">
        <f t="shared" si="714"/>
        <v>0</v>
      </c>
      <c r="CH120" s="58">
        <f t="shared" si="715"/>
        <v>0</v>
      </c>
      <c r="CI120" s="56">
        <f t="shared" si="716"/>
        <v>0</v>
      </c>
      <c r="CJ120" s="58">
        <f t="shared" si="717"/>
        <v>0</v>
      </c>
      <c r="CK120" s="54">
        <f t="shared" si="718"/>
        <v>0</v>
      </c>
      <c r="CL120" s="58">
        <f t="shared" si="719"/>
        <v>0</v>
      </c>
      <c r="CM120" s="56">
        <f t="shared" si="720"/>
        <v>0</v>
      </c>
      <c r="CN120" s="58">
        <f t="shared" si="721"/>
        <v>0</v>
      </c>
      <c r="CO120" s="59">
        <f t="shared" si="722"/>
        <v>0</v>
      </c>
      <c r="CP120" s="58">
        <f t="shared" si="723"/>
        <v>0</v>
      </c>
      <c r="CQ120" s="56">
        <f t="shared" si="724"/>
        <v>0</v>
      </c>
      <c r="CR120" s="58">
        <f t="shared" si="725"/>
        <v>0</v>
      </c>
      <c r="CS120" s="54">
        <f t="shared" si="726"/>
        <v>0</v>
      </c>
      <c r="CT120" s="58">
        <f t="shared" si="727"/>
        <v>0</v>
      </c>
      <c r="CU120" s="59">
        <f t="shared" si="728"/>
        <v>0</v>
      </c>
      <c r="CV120" s="58">
        <f t="shared" si="729"/>
        <v>0</v>
      </c>
      <c r="CW120" s="59">
        <f t="shared" si="730"/>
        <v>0</v>
      </c>
      <c r="CX120" s="58">
        <f t="shared" si="731"/>
        <v>0</v>
      </c>
      <c r="CY120" s="59">
        <f t="shared" si="732"/>
        <v>0</v>
      </c>
      <c r="CZ120" s="58">
        <f t="shared" si="733"/>
        <v>0</v>
      </c>
      <c r="DA120" s="54">
        <f t="shared" si="734"/>
        <v>0</v>
      </c>
      <c r="DB120" s="58">
        <f t="shared" si="735"/>
        <v>0</v>
      </c>
      <c r="DC120" s="59">
        <f t="shared" si="736"/>
        <v>0</v>
      </c>
      <c r="DD120" s="58">
        <f t="shared" si="737"/>
        <v>0</v>
      </c>
      <c r="DE120" s="59">
        <f t="shared" si="738"/>
        <v>0</v>
      </c>
      <c r="DF120" s="58">
        <f t="shared" si="739"/>
        <v>0</v>
      </c>
      <c r="DG120" s="59">
        <f t="shared" si="740"/>
        <v>0</v>
      </c>
      <c r="DH120" s="58">
        <f t="shared" si="741"/>
        <v>0</v>
      </c>
      <c r="DI120" s="59">
        <f t="shared" si="742"/>
        <v>0</v>
      </c>
      <c r="DJ120" s="58">
        <f t="shared" si="743"/>
        <v>0</v>
      </c>
      <c r="DK120" s="54">
        <f t="shared" si="744"/>
        <v>0</v>
      </c>
      <c r="DL120" s="58">
        <f t="shared" si="745"/>
        <v>0</v>
      </c>
      <c r="DM120" s="59">
        <f t="shared" si="746"/>
        <v>0</v>
      </c>
      <c r="DN120" s="58">
        <f t="shared" si="747"/>
        <v>0</v>
      </c>
      <c r="DO120" s="59">
        <f t="shared" si="748"/>
        <v>0</v>
      </c>
      <c r="DP120" s="58">
        <f t="shared" si="749"/>
        <v>0</v>
      </c>
      <c r="DQ120" s="54">
        <f t="shared" si="750"/>
        <v>0</v>
      </c>
      <c r="DR120" s="58">
        <f t="shared" si="751"/>
        <v>0</v>
      </c>
      <c r="DU120" s="54">
        <v>1</v>
      </c>
      <c r="DV120" s="54">
        <v>0.97</v>
      </c>
      <c r="DW120" s="54">
        <v>0.95</v>
      </c>
      <c r="DX120" s="54">
        <v>0.93</v>
      </c>
      <c r="DY120" s="54">
        <f t="shared" si="659"/>
        <v>0.91</v>
      </c>
      <c r="DZ120" s="54">
        <f t="shared" si="659"/>
        <v>0.89</v>
      </c>
      <c r="EA120" s="54">
        <f t="shared" si="659"/>
        <v>0.87</v>
      </c>
      <c r="EB120" s="54">
        <f t="shared" si="659"/>
        <v>0.85</v>
      </c>
      <c r="EC120" s="54">
        <f t="shared" si="659"/>
        <v>0.83</v>
      </c>
      <c r="ED120" s="54">
        <f t="shared" si="659"/>
        <v>0.80999999999999994</v>
      </c>
      <c r="EE120" s="54">
        <f t="shared" si="659"/>
        <v>0.78999999999999992</v>
      </c>
      <c r="EF120" s="54">
        <f t="shared" si="659"/>
        <v>0.76999999999999991</v>
      </c>
      <c r="EG120" s="54">
        <f t="shared" si="659"/>
        <v>0.74999999999999989</v>
      </c>
      <c r="EH120" s="54">
        <f t="shared" si="659"/>
        <v>0.72999999999999987</v>
      </c>
      <c r="EI120" s="54">
        <f t="shared" si="659"/>
        <v>0.70999999999999985</v>
      </c>
      <c r="EJ120" s="54">
        <f t="shared" si="659"/>
        <v>0.68999999999999984</v>
      </c>
      <c r="EK120" s="54">
        <f t="shared" si="659"/>
        <v>0.66999999999999982</v>
      </c>
      <c r="EL120" s="54">
        <f t="shared" si="659"/>
        <v>0.6499999999999998</v>
      </c>
      <c r="EM120" s="54">
        <f t="shared" si="659"/>
        <v>0.62999999999999978</v>
      </c>
      <c r="EN120" s="54">
        <f t="shared" si="659"/>
        <v>0.60999999999999976</v>
      </c>
      <c r="EO120" s="54">
        <f t="shared" si="659"/>
        <v>0.58999999999999975</v>
      </c>
      <c r="EP120" s="54">
        <f t="shared" si="659"/>
        <v>0.56999999999999973</v>
      </c>
      <c r="ER120" s="54">
        <f t="shared" si="653"/>
        <v>0</v>
      </c>
      <c r="ES120" s="54">
        <f t="shared" si="515"/>
        <v>0</v>
      </c>
      <c r="ET120" s="58">
        <f t="shared" si="752"/>
        <v>0</v>
      </c>
      <c r="EU120" s="54">
        <f t="shared" si="753"/>
        <v>0</v>
      </c>
      <c r="EV120" s="58">
        <f t="shared" si="754"/>
        <v>0</v>
      </c>
      <c r="EW120" s="54">
        <f t="shared" si="755"/>
        <v>0</v>
      </c>
      <c r="EX120" s="58">
        <f t="shared" si="756"/>
        <v>0</v>
      </c>
      <c r="EY120" s="54">
        <f t="shared" si="757"/>
        <v>0</v>
      </c>
      <c r="EZ120" s="58">
        <f t="shared" si="758"/>
        <v>0</v>
      </c>
      <c r="FA120" s="56">
        <f t="shared" si="759"/>
        <v>0</v>
      </c>
      <c r="FB120" s="58">
        <f t="shared" si="760"/>
        <v>0</v>
      </c>
      <c r="FC120" s="54">
        <f t="shared" si="761"/>
        <v>0</v>
      </c>
      <c r="FD120" s="58">
        <f t="shared" si="762"/>
        <v>0</v>
      </c>
      <c r="FE120" s="56">
        <f t="shared" si="763"/>
        <v>0</v>
      </c>
      <c r="FF120" s="58">
        <f t="shared" si="764"/>
        <v>0</v>
      </c>
      <c r="FG120" s="59">
        <f t="shared" si="765"/>
        <v>0</v>
      </c>
      <c r="FH120" s="58">
        <f t="shared" si="766"/>
        <v>0</v>
      </c>
      <c r="FI120" s="56">
        <f t="shared" si="767"/>
        <v>0</v>
      </c>
      <c r="FJ120" s="58">
        <f t="shared" si="768"/>
        <v>0</v>
      </c>
      <c r="FK120" s="54">
        <f t="shared" si="769"/>
        <v>0</v>
      </c>
      <c r="FL120" s="58">
        <f t="shared" si="770"/>
        <v>0</v>
      </c>
      <c r="FM120" s="59">
        <f t="shared" si="771"/>
        <v>0</v>
      </c>
      <c r="FN120" s="58">
        <f t="shared" si="772"/>
        <v>0</v>
      </c>
      <c r="FO120" s="59">
        <f t="shared" si="773"/>
        <v>0</v>
      </c>
      <c r="FP120" s="58">
        <f t="shared" si="774"/>
        <v>0</v>
      </c>
      <c r="FQ120" s="59">
        <f t="shared" si="775"/>
        <v>0</v>
      </c>
      <c r="FR120" s="58">
        <f t="shared" si="776"/>
        <v>0</v>
      </c>
      <c r="FS120" s="54">
        <f t="shared" si="777"/>
        <v>0</v>
      </c>
      <c r="FT120" s="58">
        <f t="shared" si="778"/>
        <v>0</v>
      </c>
      <c r="FU120" s="59">
        <f t="shared" si="779"/>
        <v>0</v>
      </c>
      <c r="FV120" s="58">
        <f t="shared" si="780"/>
        <v>0</v>
      </c>
      <c r="FW120" s="59">
        <f t="shared" si="781"/>
        <v>0</v>
      </c>
      <c r="FX120" s="58">
        <f t="shared" si="782"/>
        <v>0</v>
      </c>
      <c r="FY120" s="59">
        <f t="shared" si="783"/>
        <v>0</v>
      </c>
      <c r="FZ120" s="58">
        <f t="shared" si="784"/>
        <v>0</v>
      </c>
      <c r="GA120" s="59">
        <f t="shared" si="785"/>
        <v>0</v>
      </c>
      <c r="GB120" s="58">
        <f t="shared" si="786"/>
        <v>0</v>
      </c>
      <c r="GC120" s="54">
        <f t="shared" si="787"/>
        <v>0</v>
      </c>
      <c r="GD120" s="58">
        <f t="shared" si="788"/>
        <v>0</v>
      </c>
      <c r="GE120" s="59">
        <f t="shared" si="789"/>
        <v>0</v>
      </c>
      <c r="GF120" s="58">
        <f t="shared" si="790"/>
        <v>0</v>
      </c>
      <c r="GG120" s="59">
        <f t="shared" si="791"/>
        <v>0</v>
      </c>
      <c r="GH120" s="58">
        <f t="shared" si="792"/>
        <v>0</v>
      </c>
      <c r="GI120" s="54">
        <f t="shared" si="793"/>
        <v>0</v>
      </c>
      <c r="GJ120" s="58">
        <f t="shared" si="794"/>
        <v>0</v>
      </c>
      <c r="GK120" s="54"/>
      <c r="GL120" s="54"/>
      <c r="GM120" s="54">
        <v>1</v>
      </c>
      <c r="GN120" s="54">
        <v>0.97</v>
      </c>
      <c r="GO120" s="54">
        <v>0.95</v>
      </c>
      <c r="GP120" s="54">
        <v>0.93</v>
      </c>
      <c r="GQ120" s="54">
        <f t="shared" si="660"/>
        <v>0.91</v>
      </c>
      <c r="GR120" s="54">
        <f t="shared" si="660"/>
        <v>0.89</v>
      </c>
      <c r="GS120" s="54">
        <f t="shared" si="660"/>
        <v>0.87</v>
      </c>
      <c r="GT120" s="54">
        <f t="shared" si="660"/>
        <v>0.85</v>
      </c>
      <c r="GU120" s="54">
        <f t="shared" si="660"/>
        <v>0.83</v>
      </c>
      <c r="GV120" s="54">
        <f t="shared" si="660"/>
        <v>0.80999999999999994</v>
      </c>
      <c r="GW120" s="54">
        <f t="shared" si="660"/>
        <v>0.78999999999999992</v>
      </c>
      <c r="GX120" s="54">
        <f t="shared" si="660"/>
        <v>0.76999999999999991</v>
      </c>
      <c r="GY120" s="54">
        <f t="shared" si="660"/>
        <v>0.74999999999999989</v>
      </c>
      <c r="GZ120" s="54">
        <f t="shared" si="660"/>
        <v>0.72999999999999987</v>
      </c>
      <c r="HA120" s="54">
        <f t="shared" si="660"/>
        <v>0.70999999999999985</v>
      </c>
      <c r="HB120" s="54">
        <f t="shared" si="660"/>
        <v>0.68999999999999984</v>
      </c>
      <c r="HC120" s="54">
        <f t="shared" si="660"/>
        <v>0.66999999999999982</v>
      </c>
      <c r="HD120" s="54">
        <f t="shared" si="660"/>
        <v>0.6499999999999998</v>
      </c>
      <c r="HE120" s="54">
        <f t="shared" si="660"/>
        <v>0.62999999999999978</v>
      </c>
      <c r="HF120" s="54">
        <f t="shared" si="660"/>
        <v>0.60999999999999976</v>
      </c>
      <c r="HG120" s="54">
        <f t="shared" si="660"/>
        <v>0.58999999999999975</v>
      </c>
      <c r="HH120" s="54">
        <f t="shared" si="660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2">
        <f t="shared" si="665"/>
        <v>0</v>
      </c>
      <c r="H121" s="54">
        <f t="shared" si="510"/>
        <v>0</v>
      </c>
      <c r="I121" s="54">
        <f t="shared" si="511"/>
        <v>0</v>
      </c>
      <c r="J121" s="58">
        <f t="shared" si="512"/>
        <v>0</v>
      </c>
      <c r="K121" s="54">
        <f t="shared" si="666"/>
        <v>0</v>
      </c>
      <c r="L121" s="58">
        <f t="shared" si="667"/>
        <v>0</v>
      </c>
      <c r="M121" s="54">
        <f t="shared" si="668"/>
        <v>0</v>
      </c>
      <c r="N121" s="58">
        <f t="shared" si="669"/>
        <v>0</v>
      </c>
      <c r="O121" s="54">
        <f t="shared" si="670"/>
        <v>0</v>
      </c>
      <c r="P121" s="58">
        <f t="shared" si="671"/>
        <v>0</v>
      </c>
      <c r="Q121" s="56">
        <f t="shared" si="672"/>
        <v>0</v>
      </c>
      <c r="R121" s="58">
        <f t="shared" si="673"/>
        <v>0</v>
      </c>
      <c r="S121" s="54">
        <f t="shared" si="674"/>
        <v>0</v>
      </c>
      <c r="T121" s="58">
        <f t="shared" si="675"/>
        <v>0</v>
      </c>
      <c r="U121" s="56">
        <f t="shared" si="676"/>
        <v>0</v>
      </c>
      <c r="V121" s="58">
        <f t="shared" si="677"/>
        <v>0</v>
      </c>
      <c r="W121" s="59">
        <f t="shared" si="678"/>
        <v>0</v>
      </c>
      <c r="X121" s="58">
        <f t="shared" si="679"/>
        <v>0</v>
      </c>
      <c r="Y121" s="56">
        <f t="shared" si="680"/>
        <v>0</v>
      </c>
      <c r="Z121" s="58">
        <f t="shared" si="681"/>
        <v>0</v>
      </c>
      <c r="AA121" s="54">
        <f t="shared" si="682"/>
        <v>0</v>
      </c>
      <c r="AB121" s="58">
        <f t="shared" si="683"/>
        <v>0</v>
      </c>
      <c r="AC121" s="59">
        <f t="shared" si="684"/>
        <v>0</v>
      </c>
      <c r="AD121" s="58">
        <f t="shared" si="685"/>
        <v>0</v>
      </c>
      <c r="AE121" s="59">
        <f t="shared" si="686"/>
        <v>0</v>
      </c>
      <c r="AF121" s="58">
        <f t="shared" si="687"/>
        <v>0</v>
      </c>
      <c r="AG121" s="59">
        <f t="shared" si="688"/>
        <v>0</v>
      </c>
      <c r="AH121" s="58">
        <f t="shared" si="689"/>
        <v>0</v>
      </c>
      <c r="AI121" s="54">
        <f t="shared" si="690"/>
        <v>0</v>
      </c>
      <c r="AJ121" s="58">
        <f t="shared" si="691"/>
        <v>0</v>
      </c>
      <c r="AK121" s="59">
        <f t="shared" si="692"/>
        <v>0</v>
      </c>
      <c r="AL121" s="58">
        <f t="shared" si="693"/>
        <v>0</v>
      </c>
      <c r="AM121" s="59">
        <f t="shared" si="694"/>
        <v>0</v>
      </c>
      <c r="AN121" s="58">
        <f t="shared" si="695"/>
        <v>0</v>
      </c>
      <c r="AO121" s="59">
        <f t="shared" si="696"/>
        <v>0</v>
      </c>
      <c r="AP121" s="58">
        <f t="shared" si="697"/>
        <v>0</v>
      </c>
      <c r="AQ121" s="59">
        <f t="shared" si="698"/>
        <v>0</v>
      </c>
      <c r="AR121" s="58">
        <f t="shared" si="699"/>
        <v>0</v>
      </c>
      <c r="AS121" s="54">
        <f t="shared" si="700"/>
        <v>0</v>
      </c>
      <c r="AT121" s="58">
        <f t="shared" si="701"/>
        <v>0</v>
      </c>
      <c r="AU121" s="59">
        <f t="shared" si="702"/>
        <v>0</v>
      </c>
      <c r="AV121" s="58">
        <f t="shared" si="703"/>
        <v>0</v>
      </c>
      <c r="AW121" s="59">
        <f t="shared" si="704"/>
        <v>0</v>
      </c>
      <c r="AX121" s="58">
        <f t="shared" si="705"/>
        <v>0</v>
      </c>
      <c r="AY121" s="54">
        <f t="shared" si="706"/>
        <v>0</v>
      </c>
      <c r="AZ121" s="58">
        <f t="shared" si="707"/>
        <v>0</v>
      </c>
      <c r="BC121" s="54">
        <v>1</v>
      </c>
      <c r="BD121" s="54">
        <v>0.97</v>
      </c>
      <c r="BE121" s="54">
        <v>0.95</v>
      </c>
      <c r="BF121" s="54">
        <v>0.93</v>
      </c>
      <c r="BG121" s="54">
        <f t="shared" si="708"/>
        <v>0.91</v>
      </c>
      <c r="BH121" s="54">
        <f t="shared" si="708"/>
        <v>0.89</v>
      </c>
      <c r="BI121" s="54">
        <f t="shared" si="708"/>
        <v>0.87</v>
      </c>
      <c r="BJ121" s="54">
        <f t="shared" si="708"/>
        <v>0.85</v>
      </c>
      <c r="BK121" s="54">
        <f t="shared" si="708"/>
        <v>0.83</v>
      </c>
      <c r="BL121" s="54">
        <f t="shared" si="708"/>
        <v>0.80999999999999994</v>
      </c>
      <c r="BM121" s="54">
        <f t="shared" si="708"/>
        <v>0.78999999999999992</v>
      </c>
      <c r="BN121" s="54">
        <f t="shared" si="708"/>
        <v>0.76999999999999991</v>
      </c>
      <c r="BO121" s="54">
        <f t="shared" si="708"/>
        <v>0.74999999999999989</v>
      </c>
      <c r="BP121" s="54">
        <f t="shared" si="708"/>
        <v>0.72999999999999987</v>
      </c>
      <c r="BQ121" s="54">
        <f t="shared" si="708"/>
        <v>0.70999999999999985</v>
      </c>
      <c r="BR121" s="54">
        <f t="shared" si="708"/>
        <v>0.68999999999999984</v>
      </c>
      <c r="BS121" s="54">
        <f t="shared" si="708"/>
        <v>0.66999999999999982</v>
      </c>
      <c r="BT121" s="54">
        <f t="shared" si="708"/>
        <v>0.6499999999999998</v>
      </c>
      <c r="BU121" s="54">
        <f t="shared" si="708"/>
        <v>0.62999999999999978</v>
      </c>
      <c r="BV121" s="54">
        <f t="shared" si="708"/>
        <v>0.60999999999999976</v>
      </c>
      <c r="BW121" s="54">
        <f t="shared" si="708"/>
        <v>0.58999999999999975</v>
      </c>
      <c r="BX121" s="54">
        <f t="shared" si="708"/>
        <v>0.56999999999999973</v>
      </c>
      <c r="BZ121" s="54">
        <f t="shared" si="513"/>
        <v>0</v>
      </c>
      <c r="CA121" s="54">
        <f t="shared" si="514"/>
        <v>0</v>
      </c>
      <c r="CB121" s="58">
        <f t="shared" si="709"/>
        <v>0</v>
      </c>
      <c r="CC121" s="54">
        <f t="shared" si="710"/>
        <v>0</v>
      </c>
      <c r="CD121" s="58">
        <f t="shared" si="711"/>
        <v>0</v>
      </c>
      <c r="CE121" s="54">
        <f t="shared" si="712"/>
        <v>0</v>
      </c>
      <c r="CF121" s="58">
        <f t="shared" si="713"/>
        <v>0</v>
      </c>
      <c r="CG121" s="54">
        <f t="shared" si="714"/>
        <v>0</v>
      </c>
      <c r="CH121" s="58">
        <f t="shared" si="715"/>
        <v>0</v>
      </c>
      <c r="CI121" s="56">
        <f t="shared" si="716"/>
        <v>0</v>
      </c>
      <c r="CJ121" s="58">
        <f t="shared" si="717"/>
        <v>0</v>
      </c>
      <c r="CK121" s="54">
        <f t="shared" si="718"/>
        <v>0</v>
      </c>
      <c r="CL121" s="58">
        <f t="shared" si="719"/>
        <v>0</v>
      </c>
      <c r="CM121" s="56">
        <f t="shared" si="720"/>
        <v>0</v>
      </c>
      <c r="CN121" s="58">
        <f t="shared" si="721"/>
        <v>0</v>
      </c>
      <c r="CO121" s="59">
        <f t="shared" si="722"/>
        <v>0</v>
      </c>
      <c r="CP121" s="58">
        <f t="shared" si="723"/>
        <v>0</v>
      </c>
      <c r="CQ121" s="56">
        <f t="shared" si="724"/>
        <v>0</v>
      </c>
      <c r="CR121" s="58">
        <f t="shared" si="725"/>
        <v>0</v>
      </c>
      <c r="CS121" s="54">
        <f t="shared" si="726"/>
        <v>0</v>
      </c>
      <c r="CT121" s="58">
        <f t="shared" si="727"/>
        <v>0</v>
      </c>
      <c r="CU121" s="59">
        <f t="shared" si="728"/>
        <v>0</v>
      </c>
      <c r="CV121" s="58">
        <f t="shared" si="729"/>
        <v>0</v>
      </c>
      <c r="CW121" s="59">
        <f t="shared" si="730"/>
        <v>0</v>
      </c>
      <c r="CX121" s="58">
        <f t="shared" si="731"/>
        <v>0</v>
      </c>
      <c r="CY121" s="59">
        <f t="shared" si="732"/>
        <v>0</v>
      </c>
      <c r="CZ121" s="58">
        <f t="shared" si="733"/>
        <v>0</v>
      </c>
      <c r="DA121" s="54">
        <f t="shared" si="734"/>
        <v>0</v>
      </c>
      <c r="DB121" s="58">
        <f t="shared" si="735"/>
        <v>0</v>
      </c>
      <c r="DC121" s="59">
        <f t="shared" si="736"/>
        <v>0</v>
      </c>
      <c r="DD121" s="58">
        <f t="shared" si="737"/>
        <v>0</v>
      </c>
      <c r="DE121" s="59">
        <f t="shared" si="738"/>
        <v>0</v>
      </c>
      <c r="DF121" s="58">
        <f t="shared" si="739"/>
        <v>0</v>
      </c>
      <c r="DG121" s="59">
        <f t="shared" si="740"/>
        <v>0</v>
      </c>
      <c r="DH121" s="58">
        <f t="shared" si="741"/>
        <v>0</v>
      </c>
      <c r="DI121" s="59">
        <f t="shared" si="742"/>
        <v>0</v>
      </c>
      <c r="DJ121" s="58">
        <f t="shared" si="743"/>
        <v>0</v>
      </c>
      <c r="DK121" s="54">
        <f t="shared" si="744"/>
        <v>0</v>
      </c>
      <c r="DL121" s="58">
        <f t="shared" si="745"/>
        <v>0</v>
      </c>
      <c r="DM121" s="59">
        <f t="shared" si="746"/>
        <v>0</v>
      </c>
      <c r="DN121" s="58">
        <f t="shared" si="747"/>
        <v>0</v>
      </c>
      <c r="DO121" s="59">
        <f t="shared" si="748"/>
        <v>0</v>
      </c>
      <c r="DP121" s="58">
        <f t="shared" si="749"/>
        <v>0</v>
      </c>
      <c r="DQ121" s="54">
        <f t="shared" si="750"/>
        <v>0</v>
      </c>
      <c r="DR121" s="58">
        <f t="shared" si="751"/>
        <v>0</v>
      </c>
      <c r="DU121" s="54">
        <v>1</v>
      </c>
      <c r="DV121" s="54">
        <v>0.97</v>
      </c>
      <c r="DW121" s="54">
        <v>0.95</v>
      </c>
      <c r="DX121" s="54">
        <v>0.93</v>
      </c>
      <c r="DY121" s="54">
        <f t="shared" si="659"/>
        <v>0.91</v>
      </c>
      <c r="DZ121" s="54">
        <f t="shared" si="659"/>
        <v>0.89</v>
      </c>
      <c r="EA121" s="54">
        <f t="shared" si="659"/>
        <v>0.87</v>
      </c>
      <c r="EB121" s="54">
        <f t="shared" si="659"/>
        <v>0.85</v>
      </c>
      <c r="EC121" s="54">
        <f t="shared" si="659"/>
        <v>0.83</v>
      </c>
      <c r="ED121" s="54">
        <f t="shared" si="659"/>
        <v>0.80999999999999994</v>
      </c>
      <c r="EE121" s="54">
        <f t="shared" si="659"/>
        <v>0.78999999999999992</v>
      </c>
      <c r="EF121" s="54">
        <f t="shared" si="659"/>
        <v>0.76999999999999991</v>
      </c>
      <c r="EG121" s="54">
        <f t="shared" si="659"/>
        <v>0.74999999999999989</v>
      </c>
      <c r="EH121" s="54">
        <f t="shared" si="659"/>
        <v>0.72999999999999987</v>
      </c>
      <c r="EI121" s="54">
        <f t="shared" si="659"/>
        <v>0.70999999999999985</v>
      </c>
      <c r="EJ121" s="54">
        <f t="shared" si="659"/>
        <v>0.68999999999999984</v>
      </c>
      <c r="EK121" s="54">
        <f t="shared" si="659"/>
        <v>0.66999999999999982</v>
      </c>
      <c r="EL121" s="54">
        <f t="shared" si="659"/>
        <v>0.6499999999999998</v>
      </c>
      <c r="EM121" s="54">
        <f t="shared" si="659"/>
        <v>0.62999999999999978</v>
      </c>
      <c r="EN121" s="54">
        <f t="shared" si="659"/>
        <v>0.60999999999999976</v>
      </c>
      <c r="EO121" s="54">
        <f t="shared" si="659"/>
        <v>0.58999999999999975</v>
      </c>
      <c r="EP121" s="54">
        <f t="shared" si="659"/>
        <v>0.56999999999999973</v>
      </c>
      <c r="ER121" s="54">
        <f t="shared" si="653"/>
        <v>0</v>
      </c>
      <c r="ES121" s="54">
        <f t="shared" si="515"/>
        <v>0</v>
      </c>
      <c r="ET121" s="58">
        <f t="shared" si="752"/>
        <v>0</v>
      </c>
      <c r="EU121" s="54">
        <f t="shared" si="753"/>
        <v>0</v>
      </c>
      <c r="EV121" s="58">
        <f t="shared" si="754"/>
        <v>0</v>
      </c>
      <c r="EW121" s="54">
        <f t="shared" si="755"/>
        <v>0</v>
      </c>
      <c r="EX121" s="58">
        <f t="shared" si="756"/>
        <v>0</v>
      </c>
      <c r="EY121" s="54">
        <f t="shared" si="757"/>
        <v>0</v>
      </c>
      <c r="EZ121" s="58">
        <f t="shared" si="758"/>
        <v>0</v>
      </c>
      <c r="FA121" s="56">
        <f t="shared" si="759"/>
        <v>0</v>
      </c>
      <c r="FB121" s="58">
        <f t="shared" si="760"/>
        <v>0</v>
      </c>
      <c r="FC121" s="54">
        <f t="shared" si="761"/>
        <v>0</v>
      </c>
      <c r="FD121" s="58">
        <f t="shared" si="762"/>
        <v>0</v>
      </c>
      <c r="FE121" s="56">
        <f t="shared" si="763"/>
        <v>0</v>
      </c>
      <c r="FF121" s="58">
        <f t="shared" si="764"/>
        <v>0</v>
      </c>
      <c r="FG121" s="59">
        <f t="shared" si="765"/>
        <v>0</v>
      </c>
      <c r="FH121" s="58">
        <f t="shared" si="766"/>
        <v>0</v>
      </c>
      <c r="FI121" s="56">
        <f t="shared" si="767"/>
        <v>0</v>
      </c>
      <c r="FJ121" s="58">
        <f t="shared" si="768"/>
        <v>0</v>
      </c>
      <c r="FK121" s="54">
        <f t="shared" si="769"/>
        <v>0</v>
      </c>
      <c r="FL121" s="58">
        <f t="shared" si="770"/>
        <v>0</v>
      </c>
      <c r="FM121" s="59">
        <f t="shared" si="771"/>
        <v>0</v>
      </c>
      <c r="FN121" s="58">
        <f t="shared" si="772"/>
        <v>0</v>
      </c>
      <c r="FO121" s="59">
        <f t="shared" si="773"/>
        <v>0</v>
      </c>
      <c r="FP121" s="58">
        <f t="shared" si="774"/>
        <v>0</v>
      </c>
      <c r="FQ121" s="59">
        <f t="shared" si="775"/>
        <v>0</v>
      </c>
      <c r="FR121" s="58">
        <f t="shared" si="776"/>
        <v>0</v>
      </c>
      <c r="FS121" s="54">
        <f t="shared" si="777"/>
        <v>0</v>
      </c>
      <c r="FT121" s="58">
        <f t="shared" si="778"/>
        <v>0</v>
      </c>
      <c r="FU121" s="59">
        <f t="shared" si="779"/>
        <v>0</v>
      </c>
      <c r="FV121" s="58">
        <f t="shared" si="780"/>
        <v>0</v>
      </c>
      <c r="FW121" s="59">
        <f t="shared" si="781"/>
        <v>0</v>
      </c>
      <c r="FX121" s="58">
        <f t="shared" si="782"/>
        <v>0</v>
      </c>
      <c r="FY121" s="59">
        <f t="shared" si="783"/>
        <v>0</v>
      </c>
      <c r="FZ121" s="58">
        <f t="shared" si="784"/>
        <v>0</v>
      </c>
      <c r="GA121" s="59">
        <f t="shared" si="785"/>
        <v>0</v>
      </c>
      <c r="GB121" s="58">
        <f t="shared" si="786"/>
        <v>0</v>
      </c>
      <c r="GC121" s="54">
        <f t="shared" si="787"/>
        <v>0</v>
      </c>
      <c r="GD121" s="58">
        <f t="shared" si="788"/>
        <v>0</v>
      </c>
      <c r="GE121" s="59">
        <f t="shared" si="789"/>
        <v>0</v>
      </c>
      <c r="GF121" s="58">
        <f t="shared" si="790"/>
        <v>0</v>
      </c>
      <c r="GG121" s="59">
        <f t="shared" si="791"/>
        <v>0</v>
      </c>
      <c r="GH121" s="58">
        <f t="shared" si="792"/>
        <v>0</v>
      </c>
      <c r="GI121" s="54">
        <f t="shared" si="793"/>
        <v>0</v>
      </c>
      <c r="GJ121" s="58">
        <f t="shared" si="794"/>
        <v>0</v>
      </c>
      <c r="GK121" s="54"/>
      <c r="GL121" s="54"/>
      <c r="GM121" s="54">
        <v>1</v>
      </c>
      <c r="GN121" s="54">
        <v>0.97</v>
      </c>
      <c r="GO121" s="54">
        <v>0.95</v>
      </c>
      <c r="GP121" s="54">
        <v>0.93</v>
      </c>
      <c r="GQ121" s="54">
        <f t="shared" si="660"/>
        <v>0.91</v>
      </c>
      <c r="GR121" s="54">
        <f t="shared" si="660"/>
        <v>0.89</v>
      </c>
      <c r="GS121" s="54">
        <f t="shared" si="660"/>
        <v>0.87</v>
      </c>
      <c r="GT121" s="54">
        <f t="shared" si="660"/>
        <v>0.85</v>
      </c>
      <c r="GU121" s="54">
        <f t="shared" si="660"/>
        <v>0.83</v>
      </c>
      <c r="GV121" s="54">
        <f t="shared" si="660"/>
        <v>0.80999999999999994</v>
      </c>
      <c r="GW121" s="54">
        <f t="shared" si="660"/>
        <v>0.78999999999999992</v>
      </c>
      <c r="GX121" s="54">
        <f t="shared" si="660"/>
        <v>0.76999999999999991</v>
      </c>
      <c r="GY121" s="54">
        <f t="shared" si="660"/>
        <v>0.74999999999999989</v>
      </c>
      <c r="GZ121" s="54">
        <f t="shared" si="660"/>
        <v>0.72999999999999987</v>
      </c>
      <c r="HA121" s="54">
        <f t="shared" si="660"/>
        <v>0.70999999999999985</v>
      </c>
      <c r="HB121" s="54">
        <f t="shared" si="660"/>
        <v>0.68999999999999984</v>
      </c>
      <c r="HC121" s="54">
        <f t="shared" si="660"/>
        <v>0.66999999999999982</v>
      </c>
      <c r="HD121" s="54">
        <f t="shared" si="660"/>
        <v>0.6499999999999998</v>
      </c>
      <c r="HE121" s="54">
        <f t="shared" si="660"/>
        <v>0.62999999999999978</v>
      </c>
      <c r="HF121" s="54">
        <f t="shared" si="660"/>
        <v>0.60999999999999976</v>
      </c>
      <c r="HG121" s="54">
        <f t="shared" si="660"/>
        <v>0.58999999999999975</v>
      </c>
      <c r="HH121" s="54">
        <f t="shared" si="660"/>
        <v>0.56999999999999973</v>
      </c>
    </row>
    <row r="122" spans="1:216" x14ac:dyDescent="0.3">
      <c r="A122" s="2">
        <v>7</v>
      </c>
      <c r="C122" s="38" t="s">
        <v>46</v>
      </c>
      <c r="D122" s="42">
        <v>2130</v>
      </c>
      <c r="E122" s="72">
        <f t="shared" si="665"/>
        <v>7040</v>
      </c>
      <c r="H122" s="54">
        <f t="shared" si="510"/>
        <v>7744.0000000000009</v>
      </c>
      <c r="I122" s="54">
        <f t="shared" si="511"/>
        <v>7744.0000000000009</v>
      </c>
      <c r="J122" s="58">
        <f t="shared" si="512"/>
        <v>25600.115200000004</v>
      </c>
      <c r="K122" s="54">
        <f t="shared" si="666"/>
        <v>7511.68</v>
      </c>
      <c r="L122" s="58">
        <f t="shared" si="667"/>
        <v>24832.111744000002</v>
      </c>
      <c r="M122" s="54">
        <f t="shared" si="668"/>
        <v>7356.8</v>
      </c>
      <c r="N122" s="58">
        <f t="shared" si="669"/>
        <v>24320.10944</v>
      </c>
      <c r="O122" s="54">
        <f t="shared" si="670"/>
        <v>7201.920000000001</v>
      </c>
      <c r="P122" s="58">
        <f t="shared" si="671"/>
        <v>23808.107136000002</v>
      </c>
      <c r="Q122" s="56">
        <f t="shared" si="672"/>
        <v>7047.0400000000009</v>
      </c>
      <c r="R122" s="58">
        <f t="shared" si="673"/>
        <v>23296.104832000005</v>
      </c>
      <c r="S122" s="54">
        <f t="shared" si="674"/>
        <v>6892.1600000000008</v>
      </c>
      <c r="T122" s="58">
        <f t="shared" si="675"/>
        <v>22784.102528000003</v>
      </c>
      <c r="U122" s="56">
        <f t="shared" si="676"/>
        <v>6737.2800000000007</v>
      </c>
      <c r="V122" s="58">
        <f t="shared" si="677"/>
        <v>22272.100224000002</v>
      </c>
      <c r="W122" s="59">
        <f t="shared" si="678"/>
        <v>6582.4000000000005</v>
      </c>
      <c r="X122" s="58">
        <f t="shared" si="679"/>
        <v>21760.097920000004</v>
      </c>
      <c r="Y122" s="56">
        <f t="shared" si="680"/>
        <v>6427.52</v>
      </c>
      <c r="Z122" s="58">
        <f t="shared" si="681"/>
        <v>21248.095616000002</v>
      </c>
      <c r="AA122" s="54">
        <f t="shared" si="682"/>
        <v>6272.64</v>
      </c>
      <c r="AB122" s="58">
        <f t="shared" si="683"/>
        <v>20736.093312000001</v>
      </c>
      <c r="AC122" s="59">
        <f t="shared" si="684"/>
        <v>6117.76</v>
      </c>
      <c r="AD122" s="58">
        <f t="shared" si="685"/>
        <v>20224.091007999999</v>
      </c>
      <c r="AE122" s="59">
        <f t="shared" si="686"/>
        <v>5962.88</v>
      </c>
      <c r="AF122" s="58">
        <f t="shared" si="687"/>
        <v>19712.088704000002</v>
      </c>
      <c r="AG122" s="59">
        <f t="shared" si="688"/>
        <v>5808</v>
      </c>
      <c r="AH122" s="58">
        <f t="shared" si="689"/>
        <v>19200.0864</v>
      </c>
      <c r="AI122" s="54">
        <f t="shared" si="690"/>
        <v>5653.12</v>
      </c>
      <c r="AJ122" s="58">
        <f t="shared" si="691"/>
        <v>18688.084095999999</v>
      </c>
      <c r="AK122" s="59">
        <f t="shared" si="692"/>
        <v>5498.24</v>
      </c>
      <c r="AL122" s="58">
        <f t="shared" si="693"/>
        <v>18176.081792000001</v>
      </c>
      <c r="AM122" s="59">
        <f t="shared" si="694"/>
        <v>5343.36</v>
      </c>
      <c r="AN122" s="58">
        <f t="shared" si="695"/>
        <v>17664.079487999999</v>
      </c>
      <c r="AO122" s="59">
        <f t="shared" si="696"/>
        <v>5188.4799999999996</v>
      </c>
      <c r="AP122" s="58">
        <f t="shared" si="697"/>
        <v>17152.077183999998</v>
      </c>
      <c r="AQ122" s="59">
        <f t="shared" si="698"/>
        <v>5033.5999999999995</v>
      </c>
      <c r="AR122" s="58">
        <f t="shared" si="699"/>
        <v>16640.07488</v>
      </c>
      <c r="AS122" s="54">
        <f t="shared" si="700"/>
        <v>4878.7199999999984</v>
      </c>
      <c r="AT122" s="58">
        <f t="shared" si="701"/>
        <v>16128.072575999995</v>
      </c>
      <c r="AU122" s="59">
        <f t="shared" si="702"/>
        <v>4723.8399999999983</v>
      </c>
      <c r="AV122" s="58">
        <f t="shared" si="703"/>
        <v>15616.070271999995</v>
      </c>
      <c r="AW122" s="59">
        <f t="shared" si="704"/>
        <v>4568.9599999999982</v>
      </c>
      <c r="AX122" s="58">
        <f t="shared" si="705"/>
        <v>15104.067967999994</v>
      </c>
      <c r="AY122" s="54">
        <f t="shared" si="706"/>
        <v>4414.0799999999981</v>
      </c>
      <c r="AZ122" s="58">
        <f t="shared" si="707"/>
        <v>14592.065663999994</v>
      </c>
      <c r="BC122" s="54">
        <v>1</v>
      </c>
      <c r="BD122" s="54">
        <v>0.97</v>
      </c>
      <c r="BE122" s="54">
        <v>0.95</v>
      </c>
      <c r="BF122" s="54">
        <v>0.93</v>
      </c>
      <c r="BG122" s="54">
        <f t="shared" si="708"/>
        <v>0.91</v>
      </c>
      <c r="BH122" s="54">
        <f t="shared" si="708"/>
        <v>0.89</v>
      </c>
      <c r="BI122" s="54">
        <f t="shared" si="708"/>
        <v>0.87</v>
      </c>
      <c r="BJ122" s="54">
        <f t="shared" si="708"/>
        <v>0.85</v>
      </c>
      <c r="BK122" s="54">
        <f t="shared" si="708"/>
        <v>0.83</v>
      </c>
      <c r="BL122" s="54">
        <f t="shared" si="708"/>
        <v>0.80999999999999994</v>
      </c>
      <c r="BM122" s="54">
        <f t="shared" si="708"/>
        <v>0.78999999999999992</v>
      </c>
      <c r="BN122" s="54">
        <f t="shared" si="708"/>
        <v>0.76999999999999991</v>
      </c>
      <c r="BO122" s="54">
        <f t="shared" si="708"/>
        <v>0.74999999999999989</v>
      </c>
      <c r="BP122" s="54">
        <f t="shared" si="708"/>
        <v>0.72999999999999987</v>
      </c>
      <c r="BQ122" s="54">
        <f t="shared" si="708"/>
        <v>0.70999999999999985</v>
      </c>
      <c r="BR122" s="54">
        <f t="shared" si="708"/>
        <v>0.68999999999999984</v>
      </c>
      <c r="BS122" s="54">
        <f t="shared" si="708"/>
        <v>0.66999999999999982</v>
      </c>
      <c r="BT122" s="54">
        <f t="shared" si="708"/>
        <v>0.6499999999999998</v>
      </c>
      <c r="BU122" s="54">
        <f t="shared" si="708"/>
        <v>0.62999999999999978</v>
      </c>
      <c r="BV122" s="54">
        <f t="shared" si="708"/>
        <v>0.60999999999999976</v>
      </c>
      <c r="BW122" s="54">
        <f t="shared" si="708"/>
        <v>0.58999999999999975</v>
      </c>
      <c r="BX122" s="54">
        <f t="shared" si="708"/>
        <v>0.56999999999999973</v>
      </c>
      <c r="BZ122" s="54">
        <f t="shared" si="513"/>
        <v>7047.0400000000009</v>
      </c>
      <c r="CA122" s="54">
        <f t="shared" si="514"/>
        <v>7047.0400000000009</v>
      </c>
      <c r="CB122" s="58">
        <f t="shared" si="709"/>
        <v>23296.104832000005</v>
      </c>
      <c r="CC122" s="54">
        <f t="shared" si="710"/>
        <v>6835.6288000000004</v>
      </c>
      <c r="CD122" s="58">
        <f t="shared" si="711"/>
        <v>22597.221687040001</v>
      </c>
      <c r="CE122" s="54">
        <f t="shared" si="712"/>
        <v>6694.6880000000001</v>
      </c>
      <c r="CF122" s="58">
        <f t="shared" si="713"/>
        <v>22131.299590400002</v>
      </c>
      <c r="CG122" s="54">
        <f t="shared" si="714"/>
        <v>6553.7472000000007</v>
      </c>
      <c r="CH122" s="58">
        <f t="shared" si="715"/>
        <v>21665.377493760003</v>
      </c>
      <c r="CI122" s="56">
        <f t="shared" si="716"/>
        <v>6412.8064000000013</v>
      </c>
      <c r="CJ122" s="58">
        <f t="shared" si="717"/>
        <v>21199.455397120004</v>
      </c>
      <c r="CK122" s="54">
        <f t="shared" si="718"/>
        <v>6271.865600000001</v>
      </c>
      <c r="CL122" s="58">
        <f t="shared" si="719"/>
        <v>20733.533300480005</v>
      </c>
      <c r="CM122" s="56">
        <f t="shared" si="720"/>
        <v>6130.9248000000007</v>
      </c>
      <c r="CN122" s="58">
        <f t="shared" si="721"/>
        <v>20267.611203840002</v>
      </c>
      <c r="CO122" s="59">
        <f t="shared" si="722"/>
        <v>5989.9840000000004</v>
      </c>
      <c r="CP122" s="58">
        <f t="shared" si="723"/>
        <v>19801.689107200003</v>
      </c>
      <c r="CQ122" s="56">
        <f t="shared" si="724"/>
        <v>5849.0432000000001</v>
      </c>
      <c r="CR122" s="58">
        <f t="shared" si="725"/>
        <v>19335.767010560001</v>
      </c>
      <c r="CS122" s="54">
        <f t="shared" si="726"/>
        <v>5708.1024000000007</v>
      </c>
      <c r="CT122" s="58">
        <f t="shared" si="727"/>
        <v>18869.844913920002</v>
      </c>
      <c r="CU122" s="59">
        <f t="shared" si="728"/>
        <v>5567.1616000000004</v>
      </c>
      <c r="CV122" s="58">
        <f t="shared" si="729"/>
        <v>18403.922817280003</v>
      </c>
      <c r="CW122" s="59">
        <f t="shared" si="730"/>
        <v>5426.2208000000001</v>
      </c>
      <c r="CX122" s="58">
        <f t="shared" si="731"/>
        <v>17938.000720640001</v>
      </c>
      <c r="CY122" s="59">
        <f t="shared" si="732"/>
        <v>5285.28</v>
      </c>
      <c r="CZ122" s="58">
        <f t="shared" si="733"/>
        <v>17472.078623999998</v>
      </c>
      <c r="DA122" s="54">
        <f t="shared" si="734"/>
        <v>5144.3391999999994</v>
      </c>
      <c r="DB122" s="58">
        <f t="shared" si="735"/>
        <v>17006.156527359999</v>
      </c>
      <c r="DC122" s="59">
        <f t="shared" si="736"/>
        <v>5003.3984</v>
      </c>
      <c r="DD122" s="58">
        <f t="shared" si="737"/>
        <v>16540.23443072</v>
      </c>
      <c r="DE122" s="59">
        <f t="shared" si="738"/>
        <v>4862.4575999999997</v>
      </c>
      <c r="DF122" s="58">
        <f t="shared" si="739"/>
        <v>16074.312334079999</v>
      </c>
      <c r="DG122" s="59">
        <f t="shared" si="740"/>
        <v>4721.5167999999994</v>
      </c>
      <c r="DH122" s="58">
        <f t="shared" si="741"/>
        <v>15608.390237439999</v>
      </c>
      <c r="DI122" s="59">
        <f t="shared" si="742"/>
        <v>4580.5759999999991</v>
      </c>
      <c r="DJ122" s="58">
        <f t="shared" si="743"/>
        <v>15142.468140799998</v>
      </c>
      <c r="DK122" s="54">
        <f t="shared" si="744"/>
        <v>4439.6351999999988</v>
      </c>
      <c r="DL122" s="58">
        <f t="shared" si="745"/>
        <v>14676.546044159997</v>
      </c>
      <c r="DM122" s="59">
        <f t="shared" si="746"/>
        <v>4298.6943999999985</v>
      </c>
      <c r="DN122" s="58">
        <f t="shared" si="747"/>
        <v>14210.623947519995</v>
      </c>
      <c r="DO122" s="59">
        <f t="shared" si="748"/>
        <v>4157.7535999999991</v>
      </c>
      <c r="DP122" s="58">
        <f t="shared" si="749"/>
        <v>13744.701850879997</v>
      </c>
      <c r="DQ122" s="54">
        <f t="shared" si="750"/>
        <v>4016.8127999999988</v>
      </c>
      <c r="DR122" s="58">
        <f t="shared" si="751"/>
        <v>13278.779754239997</v>
      </c>
      <c r="DU122" s="54">
        <v>1</v>
      </c>
      <c r="DV122" s="54">
        <v>0.97</v>
      </c>
      <c r="DW122" s="54">
        <v>0.95</v>
      </c>
      <c r="DX122" s="54">
        <v>0.93</v>
      </c>
      <c r="DY122" s="54">
        <f t="shared" si="659"/>
        <v>0.91</v>
      </c>
      <c r="DZ122" s="54">
        <f t="shared" si="659"/>
        <v>0.89</v>
      </c>
      <c r="EA122" s="54">
        <f t="shared" si="659"/>
        <v>0.87</v>
      </c>
      <c r="EB122" s="54">
        <f t="shared" si="659"/>
        <v>0.85</v>
      </c>
      <c r="EC122" s="54">
        <f t="shared" si="659"/>
        <v>0.83</v>
      </c>
      <c r="ED122" s="54">
        <f t="shared" si="659"/>
        <v>0.80999999999999994</v>
      </c>
      <c r="EE122" s="54">
        <f t="shared" si="659"/>
        <v>0.78999999999999992</v>
      </c>
      <c r="EF122" s="54">
        <f t="shared" si="659"/>
        <v>0.76999999999999991</v>
      </c>
      <c r="EG122" s="54">
        <f t="shared" si="659"/>
        <v>0.74999999999999989</v>
      </c>
      <c r="EH122" s="54">
        <f t="shared" si="659"/>
        <v>0.72999999999999987</v>
      </c>
      <c r="EI122" s="54">
        <f t="shared" si="659"/>
        <v>0.70999999999999985</v>
      </c>
      <c r="EJ122" s="54">
        <f t="shared" si="659"/>
        <v>0.68999999999999984</v>
      </c>
      <c r="EK122" s="54">
        <f t="shared" si="659"/>
        <v>0.66999999999999982</v>
      </c>
      <c r="EL122" s="54">
        <f t="shared" si="659"/>
        <v>0.6499999999999998</v>
      </c>
      <c r="EM122" s="54">
        <f t="shared" si="659"/>
        <v>0.62999999999999978</v>
      </c>
      <c r="EN122" s="54">
        <f t="shared" si="659"/>
        <v>0.60999999999999976</v>
      </c>
      <c r="EO122" s="54">
        <f t="shared" si="659"/>
        <v>0.58999999999999975</v>
      </c>
      <c r="EP122" s="54">
        <f t="shared" si="659"/>
        <v>0.56999999999999973</v>
      </c>
      <c r="ER122" s="54">
        <f t="shared" si="653"/>
        <v>6412.8064000000013</v>
      </c>
      <c r="ES122" s="54">
        <f t="shared" si="515"/>
        <v>6412.8064000000013</v>
      </c>
      <c r="ET122" s="58">
        <f t="shared" si="752"/>
        <v>21199.455397120004</v>
      </c>
      <c r="EU122" s="54">
        <f t="shared" si="753"/>
        <v>6220.4222080000009</v>
      </c>
      <c r="EV122" s="58">
        <f t="shared" si="754"/>
        <v>20563.471735206404</v>
      </c>
      <c r="EW122" s="54">
        <f t="shared" si="755"/>
        <v>6092.1660800000009</v>
      </c>
      <c r="EX122" s="58">
        <f t="shared" si="756"/>
        <v>20139.482627264002</v>
      </c>
      <c r="EY122" s="54">
        <f t="shared" si="757"/>
        <v>5963.9099520000018</v>
      </c>
      <c r="EZ122" s="58">
        <f t="shared" si="758"/>
        <v>19715.493519321608</v>
      </c>
      <c r="FA122" s="56">
        <f t="shared" si="759"/>
        <v>5835.6538240000018</v>
      </c>
      <c r="FB122" s="58">
        <f t="shared" si="760"/>
        <v>19291.504411379206</v>
      </c>
      <c r="FC122" s="54">
        <f t="shared" si="761"/>
        <v>5707.3976960000009</v>
      </c>
      <c r="FD122" s="58">
        <f t="shared" si="762"/>
        <v>18867.515303436805</v>
      </c>
      <c r="FE122" s="56">
        <f t="shared" si="763"/>
        <v>5579.1415680000009</v>
      </c>
      <c r="FF122" s="58">
        <f t="shared" si="764"/>
        <v>18443.526195494404</v>
      </c>
      <c r="FG122" s="59">
        <f t="shared" si="765"/>
        <v>5450.8854400000009</v>
      </c>
      <c r="FH122" s="58">
        <f t="shared" si="766"/>
        <v>18019.537087552002</v>
      </c>
      <c r="FI122" s="56">
        <f t="shared" si="767"/>
        <v>5322.6293120000009</v>
      </c>
      <c r="FJ122" s="58">
        <f t="shared" si="768"/>
        <v>17595.547979609604</v>
      </c>
      <c r="FK122" s="54">
        <f t="shared" si="769"/>
        <v>5194.3731840000009</v>
      </c>
      <c r="FL122" s="58">
        <f t="shared" si="770"/>
        <v>17171.558871667203</v>
      </c>
      <c r="FM122" s="59">
        <f t="shared" si="771"/>
        <v>5066.117056000001</v>
      </c>
      <c r="FN122" s="58">
        <f t="shared" si="772"/>
        <v>16747.569763724805</v>
      </c>
      <c r="FO122" s="59">
        <f t="shared" si="773"/>
        <v>4937.8609280000001</v>
      </c>
      <c r="FP122" s="58">
        <f t="shared" si="774"/>
        <v>16323.5806557824</v>
      </c>
      <c r="FQ122" s="59">
        <f t="shared" si="775"/>
        <v>4809.6048000000001</v>
      </c>
      <c r="FR122" s="58">
        <f t="shared" si="776"/>
        <v>15899.59154784</v>
      </c>
      <c r="FS122" s="54">
        <f t="shared" si="777"/>
        <v>4681.3486720000001</v>
      </c>
      <c r="FT122" s="58">
        <f t="shared" si="778"/>
        <v>15475.602439897601</v>
      </c>
      <c r="FU122" s="59">
        <f t="shared" si="779"/>
        <v>4553.0925440000001</v>
      </c>
      <c r="FV122" s="58">
        <f t="shared" si="780"/>
        <v>15051.613331955201</v>
      </c>
      <c r="FW122" s="59">
        <f t="shared" si="781"/>
        <v>4424.8364160000001</v>
      </c>
      <c r="FX122" s="58">
        <f t="shared" si="782"/>
        <v>14627.624224012801</v>
      </c>
      <c r="FY122" s="59">
        <f t="shared" si="783"/>
        <v>4296.5802880000001</v>
      </c>
      <c r="FZ122" s="58">
        <f t="shared" si="784"/>
        <v>14203.6351160704</v>
      </c>
      <c r="GA122" s="59">
        <f t="shared" si="785"/>
        <v>4168.3241599999992</v>
      </c>
      <c r="GB122" s="58">
        <f t="shared" si="786"/>
        <v>13779.646008127998</v>
      </c>
      <c r="GC122" s="54">
        <f t="shared" si="787"/>
        <v>4040.0680319999992</v>
      </c>
      <c r="GD122" s="58">
        <f t="shared" si="788"/>
        <v>13355.656900185597</v>
      </c>
      <c r="GE122" s="59">
        <f t="shared" si="789"/>
        <v>3911.8119039999992</v>
      </c>
      <c r="GF122" s="58">
        <f t="shared" si="790"/>
        <v>12931.667792243197</v>
      </c>
      <c r="GG122" s="59">
        <f t="shared" si="791"/>
        <v>3783.5557759999992</v>
      </c>
      <c r="GH122" s="58">
        <f t="shared" si="792"/>
        <v>12507.678684300798</v>
      </c>
      <c r="GI122" s="54">
        <f t="shared" si="793"/>
        <v>3655.2996479999988</v>
      </c>
      <c r="GJ122" s="58">
        <f t="shared" si="794"/>
        <v>12083.689576358396</v>
      </c>
      <c r="GK122" s="54"/>
      <c r="GL122" s="54"/>
      <c r="GM122" s="54">
        <v>1</v>
      </c>
      <c r="GN122" s="54">
        <v>0.97</v>
      </c>
      <c r="GO122" s="54">
        <v>0.95</v>
      </c>
      <c r="GP122" s="54">
        <v>0.93</v>
      </c>
      <c r="GQ122" s="54">
        <f t="shared" si="660"/>
        <v>0.91</v>
      </c>
      <c r="GR122" s="54">
        <f t="shared" si="660"/>
        <v>0.89</v>
      </c>
      <c r="GS122" s="54">
        <f t="shared" si="660"/>
        <v>0.87</v>
      </c>
      <c r="GT122" s="54">
        <f t="shared" si="660"/>
        <v>0.85</v>
      </c>
      <c r="GU122" s="54">
        <f t="shared" si="660"/>
        <v>0.83</v>
      </c>
      <c r="GV122" s="54">
        <f t="shared" si="660"/>
        <v>0.80999999999999994</v>
      </c>
      <c r="GW122" s="54">
        <f t="shared" si="660"/>
        <v>0.78999999999999992</v>
      </c>
      <c r="GX122" s="54">
        <f t="shared" si="660"/>
        <v>0.76999999999999991</v>
      </c>
      <c r="GY122" s="54">
        <f t="shared" si="660"/>
        <v>0.74999999999999989</v>
      </c>
      <c r="GZ122" s="54">
        <f t="shared" si="660"/>
        <v>0.72999999999999987</v>
      </c>
      <c r="HA122" s="54">
        <f t="shared" si="660"/>
        <v>0.70999999999999985</v>
      </c>
      <c r="HB122" s="54">
        <f t="shared" si="660"/>
        <v>0.68999999999999984</v>
      </c>
      <c r="HC122" s="54">
        <f t="shared" si="660"/>
        <v>0.66999999999999982</v>
      </c>
      <c r="HD122" s="54">
        <f t="shared" si="660"/>
        <v>0.6499999999999998</v>
      </c>
      <c r="HE122" s="54">
        <f t="shared" si="660"/>
        <v>0.62999999999999978</v>
      </c>
      <c r="HF122" s="54">
        <f t="shared" si="660"/>
        <v>0.60999999999999976</v>
      </c>
      <c r="HG122" s="54">
        <f t="shared" si="660"/>
        <v>0.58999999999999975</v>
      </c>
      <c r="HH122" s="54">
        <f t="shared" si="660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2">
        <f t="shared" si="665"/>
        <v>0</v>
      </c>
      <c r="H123" s="54">
        <f t="shared" si="510"/>
        <v>0</v>
      </c>
      <c r="I123" s="54">
        <f t="shared" si="511"/>
        <v>0</v>
      </c>
      <c r="J123" s="58">
        <f t="shared" si="512"/>
        <v>0</v>
      </c>
      <c r="K123" s="54">
        <f t="shared" si="666"/>
        <v>0</v>
      </c>
      <c r="L123" s="58">
        <f t="shared" si="667"/>
        <v>0</v>
      </c>
      <c r="M123" s="54">
        <f t="shared" si="668"/>
        <v>0</v>
      </c>
      <c r="N123" s="58">
        <f t="shared" si="669"/>
        <v>0</v>
      </c>
      <c r="O123" s="54">
        <f t="shared" si="670"/>
        <v>0</v>
      </c>
      <c r="P123" s="58">
        <f t="shared" si="671"/>
        <v>0</v>
      </c>
      <c r="Q123" s="56">
        <f t="shared" si="672"/>
        <v>0</v>
      </c>
      <c r="R123" s="58">
        <f t="shared" si="673"/>
        <v>0</v>
      </c>
      <c r="S123" s="54">
        <f t="shared" si="674"/>
        <v>0</v>
      </c>
      <c r="T123" s="58">
        <f t="shared" si="675"/>
        <v>0</v>
      </c>
      <c r="U123" s="56">
        <f t="shared" si="676"/>
        <v>0</v>
      </c>
      <c r="V123" s="58">
        <f t="shared" si="677"/>
        <v>0</v>
      </c>
      <c r="W123" s="59">
        <f t="shared" si="678"/>
        <v>0</v>
      </c>
      <c r="X123" s="58">
        <f t="shared" si="679"/>
        <v>0</v>
      </c>
      <c r="Y123" s="56">
        <f t="shared" si="680"/>
        <v>0</v>
      </c>
      <c r="Z123" s="58">
        <f t="shared" si="681"/>
        <v>0</v>
      </c>
      <c r="AA123" s="54">
        <f t="shared" si="682"/>
        <v>0</v>
      </c>
      <c r="AB123" s="58">
        <f t="shared" si="683"/>
        <v>0</v>
      </c>
      <c r="AC123" s="59">
        <f t="shared" si="684"/>
        <v>0</v>
      </c>
      <c r="AD123" s="58">
        <f t="shared" si="685"/>
        <v>0</v>
      </c>
      <c r="AE123" s="59">
        <f t="shared" si="686"/>
        <v>0</v>
      </c>
      <c r="AF123" s="58">
        <f t="shared" si="687"/>
        <v>0</v>
      </c>
      <c r="AG123" s="59">
        <f t="shared" si="688"/>
        <v>0</v>
      </c>
      <c r="AH123" s="58">
        <f t="shared" si="689"/>
        <v>0</v>
      </c>
      <c r="AI123" s="54">
        <f t="shared" si="690"/>
        <v>0</v>
      </c>
      <c r="AJ123" s="58">
        <f t="shared" si="691"/>
        <v>0</v>
      </c>
      <c r="AK123" s="59">
        <f t="shared" si="692"/>
        <v>0</v>
      </c>
      <c r="AL123" s="58">
        <f t="shared" si="693"/>
        <v>0</v>
      </c>
      <c r="AM123" s="59">
        <f t="shared" si="694"/>
        <v>0</v>
      </c>
      <c r="AN123" s="58">
        <f t="shared" si="695"/>
        <v>0</v>
      </c>
      <c r="AO123" s="59">
        <f t="shared" si="696"/>
        <v>0</v>
      </c>
      <c r="AP123" s="58">
        <f t="shared" si="697"/>
        <v>0</v>
      </c>
      <c r="AQ123" s="59">
        <f t="shared" si="698"/>
        <v>0</v>
      </c>
      <c r="AR123" s="58">
        <f t="shared" si="699"/>
        <v>0</v>
      </c>
      <c r="AS123" s="54">
        <f t="shared" si="700"/>
        <v>0</v>
      </c>
      <c r="AT123" s="58">
        <f t="shared" si="701"/>
        <v>0</v>
      </c>
      <c r="AU123" s="59">
        <f t="shared" si="702"/>
        <v>0</v>
      </c>
      <c r="AV123" s="58">
        <f t="shared" si="703"/>
        <v>0</v>
      </c>
      <c r="AW123" s="59">
        <f t="shared" si="704"/>
        <v>0</v>
      </c>
      <c r="AX123" s="58">
        <f t="shared" si="705"/>
        <v>0</v>
      </c>
      <c r="AY123" s="54">
        <f t="shared" si="706"/>
        <v>0</v>
      </c>
      <c r="AZ123" s="58">
        <f t="shared" si="707"/>
        <v>0</v>
      </c>
      <c r="BC123" s="54">
        <v>1</v>
      </c>
      <c r="BD123" s="54">
        <v>0.97</v>
      </c>
      <c r="BE123" s="54">
        <v>0.95</v>
      </c>
      <c r="BF123" s="54">
        <v>0.93</v>
      </c>
      <c r="BG123" s="54">
        <f t="shared" si="708"/>
        <v>0.91</v>
      </c>
      <c r="BH123" s="54">
        <f t="shared" si="708"/>
        <v>0.89</v>
      </c>
      <c r="BI123" s="54">
        <f t="shared" si="708"/>
        <v>0.87</v>
      </c>
      <c r="BJ123" s="54">
        <f t="shared" si="708"/>
        <v>0.85</v>
      </c>
      <c r="BK123" s="54">
        <f t="shared" si="708"/>
        <v>0.83</v>
      </c>
      <c r="BL123" s="54">
        <f t="shared" si="708"/>
        <v>0.80999999999999994</v>
      </c>
      <c r="BM123" s="54">
        <f t="shared" si="708"/>
        <v>0.78999999999999992</v>
      </c>
      <c r="BN123" s="54">
        <f t="shared" si="708"/>
        <v>0.76999999999999991</v>
      </c>
      <c r="BO123" s="54">
        <f t="shared" si="708"/>
        <v>0.74999999999999989</v>
      </c>
      <c r="BP123" s="54">
        <f t="shared" si="708"/>
        <v>0.72999999999999987</v>
      </c>
      <c r="BQ123" s="54">
        <f t="shared" si="708"/>
        <v>0.70999999999999985</v>
      </c>
      <c r="BR123" s="54">
        <f t="shared" si="708"/>
        <v>0.68999999999999984</v>
      </c>
      <c r="BS123" s="54">
        <f t="shared" si="708"/>
        <v>0.66999999999999982</v>
      </c>
      <c r="BT123" s="54">
        <f t="shared" si="708"/>
        <v>0.6499999999999998</v>
      </c>
      <c r="BU123" s="54">
        <f t="shared" si="708"/>
        <v>0.62999999999999978</v>
      </c>
      <c r="BV123" s="54">
        <f t="shared" si="708"/>
        <v>0.60999999999999976</v>
      </c>
      <c r="BW123" s="54">
        <f t="shared" si="708"/>
        <v>0.58999999999999975</v>
      </c>
      <c r="BX123" s="54">
        <f t="shared" si="708"/>
        <v>0.56999999999999973</v>
      </c>
      <c r="BZ123" s="54">
        <f t="shared" si="513"/>
        <v>0</v>
      </c>
      <c r="CA123" s="54">
        <f t="shared" si="514"/>
        <v>0</v>
      </c>
      <c r="CB123" s="58">
        <f t="shared" si="709"/>
        <v>0</v>
      </c>
      <c r="CC123" s="54">
        <f t="shared" si="710"/>
        <v>0</v>
      </c>
      <c r="CD123" s="58">
        <f t="shared" si="711"/>
        <v>0</v>
      </c>
      <c r="CE123" s="54">
        <f t="shared" si="712"/>
        <v>0</v>
      </c>
      <c r="CF123" s="58">
        <f t="shared" si="713"/>
        <v>0</v>
      </c>
      <c r="CG123" s="54">
        <f t="shared" si="714"/>
        <v>0</v>
      </c>
      <c r="CH123" s="58">
        <f t="shared" si="715"/>
        <v>0</v>
      </c>
      <c r="CI123" s="56">
        <f t="shared" si="716"/>
        <v>0</v>
      </c>
      <c r="CJ123" s="58">
        <f t="shared" si="717"/>
        <v>0</v>
      </c>
      <c r="CK123" s="54">
        <f t="shared" si="718"/>
        <v>0</v>
      </c>
      <c r="CL123" s="58">
        <f t="shared" si="719"/>
        <v>0</v>
      </c>
      <c r="CM123" s="56">
        <f t="shared" si="720"/>
        <v>0</v>
      </c>
      <c r="CN123" s="58">
        <f t="shared" si="721"/>
        <v>0</v>
      </c>
      <c r="CO123" s="59">
        <f t="shared" si="722"/>
        <v>0</v>
      </c>
      <c r="CP123" s="58">
        <f t="shared" si="723"/>
        <v>0</v>
      </c>
      <c r="CQ123" s="56">
        <f t="shared" si="724"/>
        <v>0</v>
      </c>
      <c r="CR123" s="58">
        <f t="shared" si="725"/>
        <v>0</v>
      </c>
      <c r="CS123" s="54">
        <f t="shared" si="726"/>
        <v>0</v>
      </c>
      <c r="CT123" s="58">
        <f t="shared" si="727"/>
        <v>0</v>
      </c>
      <c r="CU123" s="59">
        <f t="shared" si="728"/>
        <v>0</v>
      </c>
      <c r="CV123" s="58">
        <f t="shared" si="729"/>
        <v>0</v>
      </c>
      <c r="CW123" s="59">
        <f t="shared" si="730"/>
        <v>0</v>
      </c>
      <c r="CX123" s="58">
        <f t="shared" si="731"/>
        <v>0</v>
      </c>
      <c r="CY123" s="59">
        <f t="shared" si="732"/>
        <v>0</v>
      </c>
      <c r="CZ123" s="58">
        <f t="shared" si="733"/>
        <v>0</v>
      </c>
      <c r="DA123" s="54">
        <f t="shared" si="734"/>
        <v>0</v>
      </c>
      <c r="DB123" s="58">
        <f t="shared" si="735"/>
        <v>0</v>
      </c>
      <c r="DC123" s="59">
        <f t="shared" si="736"/>
        <v>0</v>
      </c>
      <c r="DD123" s="58">
        <f t="shared" si="737"/>
        <v>0</v>
      </c>
      <c r="DE123" s="59">
        <f t="shared" si="738"/>
        <v>0</v>
      </c>
      <c r="DF123" s="58">
        <f t="shared" si="739"/>
        <v>0</v>
      </c>
      <c r="DG123" s="59">
        <f t="shared" si="740"/>
        <v>0</v>
      </c>
      <c r="DH123" s="58">
        <f t="shared" si="741"/>
        <v>0</v>
      </c>
      <c r="DI123" s="59">
        <f t="shared" si="742"/>
        <v>0</v>
      </c>
      <c r="DJ123" s="58">
        <f t="shared" si="743"/>
        <v>0</v>
      </c>
      <c r="DK123" s="54">
        <f t="shared" si="744"/>
        <v>0</v>
      </c>
      <c r="DL123" s="58">
        <f t="shared" si="745"/>
        <v>0</v>
      </c>
      <c r="DM123" s="59">
        <f t="shared" si="746"/>
        <v>0</v>
      </c>
      <c r="DN123" s="58">
        <f t="shared" si="747"/>
        <v>0</v>
      </c>
      <c r="DO123" s="59">
        <f t="shared" si="748"/>
        <v>0</v>
      </c>
      <c r="DP123" s="58">
        <f t="shared" si="749"/>
        <v>0</v>
      </c>
      <c r="DQ123" s="54">
        <f t="shared" si="750"/>
        <v>0</v>
      </c>
      <c r="DR123" s="58">
        <f t="shared" si="751"/>
        <v>0</v>
      </c>
      <c r="DU123" s="54">
        <v>1</v>
      </c>
      <c r="DV123" s="54">
        <v>0.97</v>
      </c>
      <c r="DW123" s="54">
        <v>0.95</v>
      </c>
      <c r="DX123" s="54">
        <v>0.93</v>
      </c>
      <c r="DY123" s="54">
        <f t="shared" si="659"/>
        <v>0.91</v>
      </c>
      <c r="DZ123" s="54">
        <f t="shared" si="659"/>
        <v>0.89</v>
      </c>
      <c r="EA123" s="54">
        <f t="shared" si="659"/>
        <v>0.87</v>
      </c>
      <c r="EB123" s="54">
        <f t="shared" ref="EB123:EP123" si="795">+EA123-0.02</f>
        <v>0.85</v>
      </c>
      <c r="EC123" s="54">
        <f t="shared" si="795"/>
        <v>0.83</v>
      </c>
      <c r="ED123" s="54">
        <f t="shared" si="795"/>
        <v>0.80999999999999994</v>
      </c>
      <c r="EE123" s="54">
        <f t="shared" si="795"/>
        <v>0.78999999999999992</v>
      </c>
      <c r="EF123" s="54">
        <f t="shared" si="795"/>
        <v>0.76999999999999991</v>
      </c>
      <c r="EG123" s="54">
        <f t="shared" si="795"/>
        <v>0.74999999999999989</v>
      </c>
      <c r="EH123" s="54">
        <f t="shared" si="795"/>
        <v>0.72999999999999987</v>
      </c>
      <c r="EI123" s="54">
        <f t="shared" si="795"/>
        <v>0.70999999999999985</v>
      </c>
      <c r="EJ123" s="54">
        <f t="shared" si="795"/>
        <v>0.68999999999999984</v>
      </c>
      <c r="EK123" s="54">
        <f t="shared" si="795"/>
        <v>0.66999999999999982</v>
      </c>
      <c r="EL123" s="54">
        <f t="shared" si="795"/>
        <v>0.6499999999999998</v>
      </c>
      <c r="EM123" s="54">
        <f t="shared" si="795"/>
        <v>0.62999999999999978</v>
      </c>
      <c r="EN123" s="54">
        <f t="shared" si="795"/>
        <v>0.60999999999999976</v>
      </c>
      <c r="EO123" s="54">
        <f t="shared" si="795"/>
        <v>0.58999999999999975</v>
      </c>
      <c r="EP123" s="54">
        <f t="shared" si="795"/>
        <v>0.56999999999999973</v>
      </c>
      <c r="ER123" s="54">
        <f t="shared" si="653"/>
        <v>0</v>
      </c>
      <c r="ES123" s="54">
        <f t="shared" si="515"/>
        <v>0</v>
      </c>
      <c r="ET123" s="58">
        <f t="shared" si="752"/>
        <v>0</v>
      </c>
      <c r="EU123" s="54">
        <f t="shared" si="753"/>
        <v>0</v>
      </c>
      <c r="EV123" s="58">
        <f t="shared" si="754"/>
        <v>0</v>
      </c>
      <c r="EW123" s="54">
        <f t="shared" si="755"/>
        <v>0</v>
      </c>
      <c r="EX123" s="58">
        <f t="shared" si="756"/>
        <v>0</v>
      </c>
      <c r="EY123" s="54">
        <f t="shared" si="757"/>
        <v>0</v>
      </c>
      <c r="EZ123" s="58">
        <f t="shared" si="758"/>
        <v>0</v>
      </c>
      <c r="FA123" s="56">
        <f t="shared" si="759"/>
        <v>0</v>
      </c>
      <c r="FB123" s="58">
        <f t="shared" si="760"/>
        <v>0</v>
      </c>
      <c r="FC123" s="54">
        <f t="shared" si="761"/>
        <v>0</v>
      </c>
      <c r="FD123" s="58">
        <f t="shared" si="762"/>
        <v>0</v>
      </c>
      <c r="FE123" s="56">
        <f t="shared" si="763"/>
        <v>0</v>
      </c>
      <c r="FF123" s="58">
        <f t="shared" si="764"/>
        <v>0</v>
      </c>
      <c r="FG123" s="59">
        <f t="shared" si="765"/>
        <v>0</v>
      </c>
      <c r="FH123" s="58">
        <f t="shared" si="766"/>
        <v>0</v>
      </c>
      <c r="FI123" s="56">
        <f t="shared" si="767"/>
        <v>0</v>
      </c>
      <c r="FJ123" s="58">
        <f t="shared" si="768"/>
        <v>0</v>
      </c>
      <c r="FK123" s="54">
        <f t="shared" si="769"/>
        <v>0</v>
      </c>
      <c r="FL123" s="58">
        <f t="shared" si="770"/>
        <v>0</v>
      </c>
      <c r="FM123" s="59">
        <f t="shared" si="771"/>
        <v>0</v>
      </c>
      <c r="FN123" s="58">
        <f t="shared" si="772"/>
        <v>0</v>
      </c>
      <c r="FO123" s="59">
        <f t="shared" si="773"/>
        <v>0</v>
      </c>
      <c r="FP123" s="58">
        <f t="shared" si="774"/>
        <v>0</v>
      </c>
      <c r="FQ123" s="59">
        <f t="shared" si="775"/>
        <v>0</v>
      </c>
      <c r="FR123" s="58">
        <f t="shared" si="776"/>
        <v>0</v>
      </c>
      <c r="FS123" s="54">
        <f t="shared" si="777"/>
        <v>0</v>
      </c>
      <c r="FT123" s="58">
        <f t="shared" si="778"/>
        <v>0</v>
      </c>
      <c r="FU123" s="59">
        <f t="shared" si="779"/>
        <v>0</v>
      </c>
      <c r="FV123" s="58">
        <f t="shared" si="780"/>
        <v>0</v>
      </c>
      <c r="FW123" s="59">
        <f t="shared" si="781"/>
        <v>0</v>
      </c>
      <c r="FX123" s="58">
        <f t="shared" si="782"/>
        <v>0</v>
      </c>
      <c r="FY123" s="59">
        <f t="shared" si="783"/>
        <v>0</v>
      </c>
      <c r="FZ123" s="58">
        <f t="shared" si="784"/>
        <v>0</v>
      </c>
      <c r="GA123" s="59">
        <f t="shared" si="785"/>
        <v>0</v>
      </c>
      <c r="GB123" s="58">
        <f t="shared" si="786"/>
        <v>0</v>
      </c>
      <c r="GC123" s="54">
        <f t="shared" si="787"/>
        <v>0</v>
      </c>
      <c r="GD123" s="58">
        <f t="shared" si="788"/>
        <v>0</v>
      </c>
      <c r="GE123" s="59">
        <f t="shared" si="789"/>
        <v>0</v>
      </c>
      <c r="GF123" s="58">
        <f t="shared" si="790"/>
        <v>0</v>
      </c>
      <c r="GG123" s="59">
        <f t="shared" si="791"/>
        <v>0</v>
      </c>
      <c r="GH123" s="58">
        <f t="shared" si="792"/>
        <v>0</v>
      </c>
      <c r="GI123" s="54">
        <f t="shared" si="793"/>
        <v>0</v>
      </c>
      <c r="GJ123" s="58">
        <f t="shared" si="794"/>
        <v>0</v>
      </c>
      <c r="GK123" s="54"/>
      <c r="GL123" s="54"/>
      <c r="GM123" s="54">
        <v>1</v>
      </c>
      <c r="GN123" s="54">
        <v>0.97</v>
      </c>
      <c r="GO123" s="54">
        <v>0.95</v>
      </c>
      <c r="GP123" s="54">
        <v>0.93</v>
      </c>
      <c r="GQ123" s="54">
        <f t="shared" si="660"/>
        <v>0.91</v>
      </c>
      <c r="GR123" s="54">
        <f t="shared" si="660"/>
        <v>0.89</v>
      </c>
      <c r="GS123" s="54">
        <f t="shared" si="660"/>
        <v>0.87</v>
      </c>
      <c r="GT123" s="54">
        <f t="shared" ref="GT123:HH123" si="796">+GS123-0.02</f>
        <v>0.85</v>
      </c>
      <c r="GU123" s="54">
        <f t="shared" si="796"/>
        <v>0.83</v>
      </c>
      <c r="GV123" s="54">
        <f t="shared" si="796"/>
        <v>0.80999999999999994</v>
      </c>
      <c r="GW123" s="54">
        <f t="shared" si="796"/>
        <v>0.78999999999999992</v>
      </c>
      <c r="GX123" s="54">
        <f t="shared" si="796"/>
        <v>0.76999999999999991</v>
      </c>
      <c r="GY123" s="54">
        <f t="shared" si="796"/>
        <v>0.74999999999999989</v>
      </c>
      <c r="GZ123" s="54">
        <f t="shared" si="796"/>
        <v>0.72999999999999987</v>
      </c>
      <c r="HA123" s="54">
        <f t="shared" si="796"/>
        <v>0.70999999999999985</v>
      </c>
      <c r="HB123" s="54">
        <f t="shared" si="796"/>
        <v>0.68999999999999984</v>
      </c>
      <c r="HC123" s="54">
        <f t="shared" si="796"/>
        <v>0.66999999999999982</v>
      </c>
      <c r="HD123" s="54">
        <f t="shared" si="796"/>
        <v>0.6499999999999998</v>
      </c>
      <c r="HE123" s="54">
        <f t="shared" si="796"/>
        <v>0.62999999999999978</v>
      </c>
      <c r="HF123" s="54">
        <f t="shared" si="796"/>
        <v>0.60999999999999976</v>
      </c>
      <c r="HG123" s="54">
        <f t="shared" si="796"/>
        <v>0.58999999999999975</v>
      </c>
      <c r="HH123" s="54">
        <f t="shared" si="796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2">
        <f t="shared" si="665"/>
        <v>0</v>
      </c>
      <c r="H124" s="54">
        <f t="shared" si="510"/>
        <v>0</v>
      </c>
      <c r="I124" s="54">
        <f t="shared" si="511"/>
        <v>0</v>
      </c>
      <c r="J124" s="58">
        <f t="shared" si="512"/>
        <v>0</v>
      </c>
      <c r="K124" s="54">
        <f t="shared" si="666"/>
        <v>0</v>
      </c>
      <c r="L124" s="58">
        <f t="shared" si="667"/>
        <v>0</v>
      </c>
      <c r="M124" s="54">
        <f t="shared" si="668"/>
        <v>0</v>
      </c>
      <c r="N124" s="58">
        <f t="shared" si="669"/>
        <v>0</v>
      </c>
      <c r="O124" s="54">
        <f t="shared" si="670"/>
        <v>0</v>
      </c>
      <c r="P124" s="58">
        <f t="shared" si="671"/>
        <v>0</v>
      </c>
      <c r="Q124" s="56">
        <f t="shared" si="672"/>
        <v>0</v>
      </c>
      <c r="R124" s="58">
        <f t="shared" si="673"/>
        <v>0</v>
      </c>
      <c r="S124" s="54">
        <f t="shared" si="674"/>
        <v>0</v>
      </c>
      <c r="T124" s="58">
        <f t="shared" si="675"/>
        <v>0</v>
      </c>
      <c r="U124" s="56">
        <f t="shared" si="676"/>
        <v>0</v>
      </c>
      <c r="V124" s="58">
        <f t="shared" si="677"/>
        <v>0</v>
      </c>
      <c r="W124" s="59">
        <f t="shared" si="678"/>
        <v>0</v>
      </c>
      <c r="X124" s="58">
        <f t="shared" si="679"/>
        <v>0</v>
      </c>
      <c r="Y124" s="56">
        <f t="shared" si="680"/>
        <v>0</v>
      </c>
      <c r="Z124" s="58">
        <f t="shared" si="681"/>
        <v>0</v>
      </c>
      <c r="AA124" s="54">
        <f t="shared" si="682"/>
        <v>0</v>
      </c>
      <c r="AB124" s="58">
        <f t="shared" si="683"/>
        <v>0</v>
      </c>
      <c r="AC124" s="59">
        <f t="shared" si="684"/>
        <v>0</v>
      </c>
      <c r="AD124" s="58">
        <f t="shared" si="685"/>
        <v>0</v>
      </c>
      <c r="AE124" s="59">
        <f t="shared" si="686"/>
        <v>0</v>
      </c>
      <c r="AF124" s="58">
        <f t="shared" si="687"/>
        <v>0</v>
      </c>
      <c r="AG124" s="59">
        <f t="shared" si="688"/>
        <v>0</v>
      </c>
      <c r="AH124" s="58">
        <f t="shared" si="689"/>
        <v>0</v>
      </c>
      <c r="AI124" s="54">
        <f t="shared" si="690"/>
        <v>0</v>
      </c>
      <c r="AJ124" s="58">
        <f t="shared" si="691"/>
        <v>0</v>
      </c>
      <c r="AK124" s="59">
        <f t="shared" si="692"/>
        <v>0</v>
      </c>
      <c r="AL124" s="58">
        <f t="shared" si="693"/>
        <v>0</v>
      </c>
      <c r="AM124" s="59">
        <f t="shared" si="694"/>
        <v>0</v>
      </c>
      <c r="AN124" s="58">
        <f t="shared" si="695"/>
        <v>0</v>
      </c>
      <c r="AO124" s="59">
        <f t="shared" si="696"/>
        <v>0</v>
      </c>
      <c r="AP124" s="58">
        <f t="shared" si="697"/>
        <v>0</v>
      </c>
      <c r="AQ124" s="59">
        <f t="shared" si="698"/>
        <v>0</v>
      </c>
      <c r="AR124" s="58">
        <f t="shared" si="699"/>
        <v>0</v>
      </c>
      <c r="AS124" s="54">
        <f t="shared" si="700"/>
        <v>0</v>
      </c>
      <c r="AT124" s="58">
        <f t="shared" si="701"/>
        <v>0</v>
      </c>
      <c r="AU124" s="59">
        <f t="shared" si="702"/>
        <v>0</v>
      </c>
      <c r="AV124" s="58">
        <f t="shared" si="703"/>
        <v>0</v>
      </c>
      <c r="AW124" s="59">
        <f t="shared" si="704"/>
        <v>0</v>
      </c>
      <c r="AX124" s="58">
        <f t="shared" si="705"/>
        <v>0</v>
      </c>
      <c r="AY124" s="54">
        <f t="shared" si="706"/>
        <v>0</v>
      </c>
      <c r="AZ124" s="58">
        <f t="shared" si="707"/>
        <v>0</v>
      </c>
      <c r="BC124" s="54">
        <v>1</v>
      </c>
      <c r="BD124" s="54">
        <v>0.97</v>
      </c>
      <c r="BE124" s="54">
        <v>0.95</v>
      </c>
      <c r="BF124" s="54">
        <v>0.93</v>
      </c>
      <c r="BG124" s="54">
        <f t="shared" si="708"/>
        <v>0.91</v>
      </c>
      <c r="BH124" s="54">
        <f t="shared" si="708"/>
        <v>0.89</v>
      </c>
      <c r="BI124" s="54">
        <f t="shared" si="708"/>
        <v>0.87</v>
      </c>
      <c r="BJ124" s="54">
        <f t="shared" si="708"/>
        <v>0.85</v>
      </c>
      <c r="BK124" s="54">
        <f t="shared" si="708"/>
        <v>0.83</v>
      </c>
      <c r="BL124" s="54">
        <f t="shared" si="708"/>
        <v>0.80999999999999994</v>
      </c>
      <c r="BM124" s="54">
        <f t="shared" si="708"/>
        <v>0.78999999999999992</v>
      </c>
      <c r="BN124" s="54">
        <f t="shared" si="708"/>
        <v>0.76999999999999991</v>
      </c>
      <c r="BO124" s="54">
        <f t="shared" si="708"/>
        <v>0.74999999999999989</v>
      </c>
      <c r="BP124" s="54">
        <f t="shared" si="708"/>
        <v>0.72999999999999987</v>
      </c>
      <c r="BQ124" s="54">
        <f t="shared" si="708"/>
        <v>0.70999999999999985</v>
      </c>
      <c r="BR124" s="54">
        <f t="shared" si="708"/>
        <v>0.68999999999999984</v>
      </c>
      <c r="BS124" s="54">
        <f t="shared" si="708"/>
        <v>0.66999999999999982</v>
      </c>
      <c r="BT124" s="54">
        <f t="shared" si="708"/>
        <v>0.6499999999999998</v>
      </c>
      <c r="BU124" s="54">
        <f t="shared" si="708"/>
        <v>0.62999999999999978</v>
      </c>
      <c r="BV124" s="54">
        <f t="shared" si="708"/>
        <v>0.60999999999999976</v>
      </c>
      <c r="BW124" s="54">
        <f t="shared" si="708"/>
        <v>0.58999999999999975</v>
      </c>
      <c r="BX124" s="54">
        <f t="shared" si="708"/>
        <v>0.56999999999999973</v>
      </c>
      <c r="BZ124" s="54">
        <f t="shared" si="513"/>
        <v>0</v>
      </c>
      <c r="CA124" s="54">
        <f t="shared" si="514"/>
        <v>0</v>
      </c>
      <c r="CB124" s="58">
        <f t="shared" si="709"/>
        <v>0</v>
      </c>
      <c r="CC124" s="54">
        <f t="shared" si="710"/>
        <v>0</v>
      </c>
      <c r="CD124" s="58">
        <f t="shared" si="711"/>
        <v>0</v>
      </c>
      <c r="CE124" s="54">
        <f t="shared" si="712"/>
        <v>0</v>
      </c>
      <c r="CF124" s="58">
        <f t="shared" si="713"/>
        <v>0</v>
      </c>
      <c r="CG124" s="54">
        <f t="shared" si="714"/>
        <v>0</v>
      </c>
      <c r="CH124" s="58">
        <f t="shared" si="715"/>
        <v>0</v>
      </c>
      <c r="CI124" s="56">
        <f t="shared" si="716"/>
        <v>0</v>
      </c>
      <c r="CJ124" s="58">
        <f t="shared" si="717"/>
        <v>0</v>
      </c>
      <c r="CK124" s="54">
        <f t="shared" si="718"/>
        <v>0</v>
      </c>
      <c r="CL124" s="58">
        <f t="shared" si="719"/>
        <v>0</v>
      </c>
      <c r="CM124" s="56">
        <f t="shared" si="720"/>
        <v>0</v>
      </c>
      <c r="CN124" s="58">
        <f t="shared" si="721"/>
        <v>0</v>
      </c>
      <c r="CO124" s="59">
        <f t="shared" si="722"/>
        <v>0</v>
      </c>
      <c r="CP124" s="58">
        <f t="shared" si="723"/>
        <v>0</v>
      </c>
      <c r="CQ124" s="56">
        <f t="shared" si="724"/>
        <v>0</v>
      </c>
      <c r="CR124" s="58">
        <f t="shared" si="725"/>
        <v>0</v>
      </c>
      <c r="CS124" s="54">
        <f t="shared" si="726"/>
        <v>0</v>
      </c>
      <c r="CT124" s="58">
        <f t="shared" si="727"/>
        <v>0</v>
      </c>
      <c r="CU124" s="59">
        <f t="shared" si="728"/>
        <v>0</v>
      </c>
      <c r="CV124" s="58">
        <f t="shared" si="729"/>
        <v>0</v>
      </c>
      <c r="CW124" s="59">
        <f t="shared" si="730"/>
        <v>0</v>
      </c>
      <c r="CX124" s="58">
        <f t="shared" si="731"/>
        <v>0</v>
      </c>
      <c r="CY124" s="59">
        <f t="shared" si="732"/>
        <v>0</v>
      </c>
      <c r="CZ124" s="58">
        <f t="shared" si="733"/>
        <v>0</v>
      </c>
      <c r="DA124" s="54">
        <f t="shared" si="734"/>
        <v>0</v>
      </c>
      <c r="DB124" s="58">
        <f t="shared" si="735"/>
        <v>0</v>
      </c>
      <c r="DC124" s="59">
        <f t="shared" si="736"/>
        <v>0</v>
      </c>
      <c r="DD124" s="58">
        <f t="shared" si="737"/>
        <v>0</v>
      </c>
      <c r="DE124" s="59">
        <f t="shared" si="738"/>
        <v>0</v>
      </c>
      <c r="DF124" s="58">
        <f t="shared" si="739"/>
        <v>0</v>
      </c>
      <c r="DG124" s="59">
        <f t="shared" si="740"/>
        <v>0</v>
      </c>
      <c r="DH124" s="58">
        <f t="shared" si="741"/>
        <v>0</v>
      </c>
      <c r="DI124" s="59">
        <f t="shared" si="742"/>
        <v>0</v>
      </c>
      <c r="DJ124" s="58">
        <f t="shared" si="743"/>
        <v>0</v>
      </c>
      <c r="DK124" s="54">
        <f t="shared" si="744"/>
        <v>0</v>
      </c>
      <c r="DL124" s="58">
        <f t="shared" si="745"/>
        <v>0</v>
      </c>
      <c r="DM124" s="59">
        <f t="shared" si="746"/>
        <v>0</v>
      </c>
      <c r="DN124" s="58">
        <f t="shared" si="747"/>
        <v>0</v>
      </c>
      <c r="DO124" s="59">
        <f t="shared" si="748"/>
        <v>0</v>
      </c>
      <c r="DP124" s="58">
        <f t="shared" si="749"/>
        <v>0</v>
      </c>
      <c r="DQ124" s="54">
        <f t="shared" si="750"/>
        <v>0</v>
      </c>
      <c r="DR124" s="58">
        <f t="shared" si="751"/>
        <v>0</v>
      </c>
      <c r="DU124" s="54">
        <v>1</v>
      </c>
      <c r="DV124" s="54">
        <v>0.97</v>
      </c>
      <c r="DW124" s="54">
        <v>0.95</v>
      </c>
      <c r="DX124" s="54">
        <v>0.93</v>
      </c>
      <c r="DY124" s="54">
        <f t="shared" ref="DY124:EP138" si="797">+DX124-0.02</f>
        <v>0.91</v>
      </c>
      <c r="DZ124" s="54">
        <f t="shared" si="797"/>
        <v>0.89</v>
      </c>
      <c r="EA124" s="54">
        <f t="shared" si="797"/>
        <v>0.87</v>
      </c>
      <c r="EB124" s="54">
        <f t="shared" si="797"/>
        <v>0.85</v>
      </c>
      <c r="EC124" s="54">
        <f t="shared" si="797"/>
        <v>0.83</v>
      </c>
      <c r="ED124" s="54">
        <f t="shared" si="797"/>
        <v>0.80999999999999994</v>
      </c>
      <c r="EE124" s="54">
        <f t="shared" si="797"/>
        <v>0.78999999999999992</v>
      </c>
      <c r="EF124" s="54">
        <f t="shared" si="797"/>
        <v>0.76999999999999991</v>
      </c>
      <c r="EG124" s="54">
        <f t="shared" si="797"/>
        <v>0.74999999999999989</v>
      </c>
      <c r="EH124" s="54">
        <f t="shared" si="797"/>
        <v>0.72999999999999987</v>
      </c>
      <c r="EI124" s="54">
        <f t="shared" si="797"/>
        <v>0.70999999999999985</v>
      </c>
      <c r="EJ124" s="54">
        <f t="shared" si="797"/>
        <v>0.68999999999999984</v>
      </c>
      <c r="EK124" s="54">
        <f t="shared" si="797"/>
        <v>0.66999999999999982</v>
      </c>
      <c r="EL124" s="54">
        <f t="shared" si="797"/>
        <v>0.6499999999999998</v>
      </c>
      <c r="EM124" s="54">
        <f t="shared" si="797"/>
        <v>0.62999999999999978</v>
      </c>
      <c r="EN124" s="54">
        <f t="shared" si="797"/>
        <v>0.60999999999999976</v>
      </c>
      <c r="EO124" s="54">
        <f t="shared" si="797"/>
        <v>0.58999999999999975</v>
      </c>
      <c r="EP124" s="54">
        <f t="shared" si="797"/>
        <v>0.56999999999999973</v>
      </c>
      <c r="ER124" s="54">
        <f t="shared" si="653"/>
        <v>0</v>
      </c>
      <c r="ES124" s="54">
        <f t="shared" si="515"/>
        <v>0</v>
      </c>
      <c r="ET124" s="58">
        <f t="shared" si="752"/>
        <v>0</v>
      </c>
      <c r="EU124" s="54">
        <f t="shared" si="753"/>
        <v>0</v>
      </c>
      <c r="EV124" s="58">
        <f t="shared" si="754"/>
        <v>0</v>
      </c>
      <c r="EW124" s="54">
        <f t="shared" si="755"/>
        <v>0</v>
      </c>
      <c r="EX124" s="58">
        <f t="shared" si="756"/>
        <v>0</v>
      </c>
      <c r="EY124" s="54">
        <f t="shared" si="757"/>
        <v>0</v>
      </c>
      <c r="EZ124" s="58">
        <f t="shared" si="758"/>
        <v>0</v>
      </c>
      <c r="FA124" s="56">
        <f t="shared" si="759"/>
        <v>0</v>
      </c>
      <c r="FB124" s="58">
        <f t="shared" si="760"/>
        <v>0</v>
      </c>
      <c r="FC124" s="54">
        <f t="shared" si="761"/>
        <v>0</v>
      </c>
      <c r="FD124" s="58">
        <f t="shared" si="762"/>
        <v>0</v>
      </c>
      <c r="FE124" s="56">
        <f t="shared" si="763"/>
        <v>0</v>
      </c>
      <c r="FF124" s="58">
        <f t="shared" si="764"/>
        <v>0</v>
      </c>
      <c r="FG124" s="59">
        <f t="shared" si="765"/>
        <v>0</v>
      </c>
      <c r="FH124" s="58">
        <f t="shared" si="766"/>
        <v>0</v>
      </c>
      <c r="FI124" s="56">
        <f t="shared" si="767"/>
        <v>0</v>
      </c>
      <c r="FJ124" s="58">
        <f t="shared" si="768"/>
        <v>0</v>
      </c>
      <c r="FK124" s="54">
        <f t="shared" si="769"/>
        <v>0</v>
      </c>
      <c r="FL124" s="58">
        <f t="shared" si="770"/>
        <v>0</v>
      </c>
      <c r="FM124" s="59">
        <f t="shared" si="771"/>
        <v>0</v>
      </c>
      <c r="FN124" s="58">
        <f t="shared" si="772"/>
        <v>0</v>
      </c>
      <c r="FO124" s="59">
        <f t="shared" si="773"/>
        <v>0</v>
      </c>
      <c r="FP124" s="58">
        <f t="shared" si="774"/>
        <v>0</v>
      </c>
      <c r="FQ124" s="59">
        <f t="shared" si="775"/>
        <v>0</v>
      </c>
      <c r="FR124" s="58">
        <f t="shared" si="776"/>
        <v>0</v>
      </c>
      <c r="FS124" s="54">
        <f t="shared" si="777"/>
        <v>0</v>
      </c>
      <c r="FT124" s="58">
        <f t="shared" si="778"/>
        <v>0</v>
      </c>
      <c r="FU124" s="59">
        <f t="shared" si="779"/>
        <v>0</v>
      </c>
      <c r="FV124" s="58">
        <f t="shared" si="780"/>
        <v>0</v>
      </c>
      <c r="FW124" s="59">
        <f t="shared" si="781"/>
        <v>0</v>
      </c>
      <c r="FX124" s="58">
        <f t="shared" si="782"/>
        <v>0</v>
      </c>
      <c r="FY124" s="59">
        <f t="shared" si="783"/>
        <v>0</v>
      </c>
      <c r="FZ124" s="58">
        <f t="shared" si="784"/>
        <v>0</v>
      </c>
      <c r="GA124" s="59">
        <f t="shared" si="785"/>
        <v>0</v>
      </c>
      <c r="GB124" s="58">
        <f t="shared" si="786"/>
        <v>0</v>
      </c>
      <c r="GC124" s="54">
        <f t="shared" si="787"/>
        <v>0</v>
      </c>
      <c r="GD124" s="58">
        <f t="shared" si="788"/>
        <v>0</v>
      </c>
      <c r="GE124" s="59">
        <f t="shared" si="789"/>
        <v>0</v>
      </c>
      <c r="GF124" s="58">
        <f t="shared" si="790"/>
        <v>0</v>
      </c>
      <c r="GG124" s="59">
        <f t="shared" si="791"/>
        <v>0</v>
      </c>
      <c r="GH124" s="58">
        <f t="shared" si="792"/>
        <v>0</v>
      </c>
      <c r="GI124" s="54">
        <f t="shared" si="793"/>
        <v>0</v>
      </c>
      <c r="GJ124" s="58">
        <f t="shared" si="794"/>
        <v>0</v>
      </c>
      <c r="GK124" s="54"/>
      <c r="GL124" s="54"/>
      <c r="GM124" s="54">
        <v>1</v>
      </c>
      <c r="GN124" s="54">
        <v>0.97</v>
      </c>
      <c r="GO124" s="54">
        <v>0.95</v>
      </c>
      <c r="GP124" s="54">
        <v>0.93</v>
      </c>
      <c r="GQ124" s="54">
        <f t="shared" ref="GQ124:HH138" si="798">+GP124-0.02</f>
        <v>0.91</v>
      </c>
      <c r="GR124" s="54">
        <f t="shared" si="798"/>
        <v>0.89</v>
      </c>
      <c r="GS124" s="54">
        <f t="shared" si="798"/>
        <v>0.87</v>
      </c>
      <c r="GT124" s="54">
        <f t="shared" si="798"/>
        <v>0.85</v>
      </c>
      <c r="GU124" s="54">
        <f t="shared" si="798"/>
        <v>0.83</v>
      </c>
      <c r="GV124" s="54">
        <f t="shared" si="798"/>
        <v>0.80999999999999994</v>
      </c>
      <c r="GW124" s="54">
        <f t="shared" si="798"/>
        <v>0.78999999999999992</v>
      </c>
      <c r="GX124" s="54">
        <f t="shared" si="798"/>
        <v>0.76999999999999991</v>
      </c>
      <c r="GY124" s="54">
        <f t="shared" si="798"/>
        <v>0.74999999999999989</v>
      </c>
      <c r="GZ124" s="54">
        <f t="shared" si="798"/>
        <v>0.72999999999999987</v>
      </c>
      <c r="HA124" s="54">
        <f t="shared" si="798"/>
        <v>0.70999999999999985</v>
      </c>
      <c r="HB124" s="54">
        <f t="shared" si="798"/>
        <v>0.68999999999999984</v>
      </c>
      <c r="HC124" s="54">
        <f t="shared" si="798"/>
        <v>0.66999999999999982</v>
      </c>
      <c r="HD124" s="54">
        <f t="shared" si="798"/>
        <v>0.6499999999999998</v>
      </c>
      <c r="HE124" s="54">
        <f t="shared" si="798"/>
        <v>0.62999999999999978</v>
      </c>
      <c r="HF124" s="54">
        <f t="shared" si="798"/>
        <v>0.60999999999999976</v>
      </c>
      <c r="HG124" s="54">
        <f t="shared" si="798"/>
        <v>0.58999999999999975</v>
      </c>
      <c r="HH124" s="54">
        <f t="shared" si="798"/>
        <v>0.56999999999999973</v>
      </c>
    </row>
    <row r="125" spans="1:216" x14ac:dyDescent="0.3">
      <c r="A125" s="2">
        <v>10</v>
      </c>
      <c r="C125" s="38" t="s">
        <v>149</v>
      </c>
      <c r="D125" s="42">
        <f>TRUNC(26705.1981960598,-1)</f>
        <v>26700</v>
      </c>
      <c r="E125" s="72">
        <f t="shared" si="665"/>
        <v>88260</v>
      </c>
      <c r="F125" s="2" t="s">
        <v>323</v>
      </c>
      <c r="H125" s="54">
        <f t="shared" si="510"/>
        <v>97086.000000000015</v>
      </c>
      <c r="I125" s="54">
        <f t="shared" si="511"/>
        <v>97086.000000000015</v>
      </c>
      <c r="J125" s="58">
        <f t="shared" si="512"/>
        <v>320946.89880000008</v>
      </c>
      <c r="K125" s="54">
        <f t="shared" si="666"/>
        <v>94173.420000000013</v>
      </c>
      <c r="L125" s="58">
        <f t="shared" si="667"/>
        <v>311318.49183600006</v>
      </c>
      <c r="M125" s="54">
        <f t="shared" si="668"/>
        <v>92231.700000000012</v>
      </c>
      <c r="N125" s="58">
        <f t="shared" si="669"/>
        <v>304899.55386000004</v>
      </c>
      <c r="O125" s="54">
        <f t="shared" si="670"/>
        <v>90289.980000000025</v>
      </c>
      <c r="P125" s="58">
        <f t="shared" si="671"/>
        <v>298480.61588400009</v>
      </c>
      <c r="Q125" s="56">
        <f t="shared" si="672"/>
        <v>88348.260000000009</v>
      </c>
      <c r="R125" s="58">
        <f t="shared" si="673"/>
        <v>292061.67790800001</v>
      </c>
      <c r="S125" s="54">
        <f t="shared" si="674"/>
        <v>86406.540000000008</v>
      </c>
      <c r="T125" s="58">
        <f t="shared" si="675"/>
        <v>285642.73993200005</v>
      </c>
      <c r="U125" s="56">
        <f t="shared" si="676"/>
        <v>84464.82</v>
      </c>
      <c r="V125" s="58">
        <f t="shared" si="677"/>
        <v>279223.80195600004</v>
      </c>
      <c r="W125" s="59">
        <f t="shared" si="678"/>
        <v>82523.100000000006</v>
      </c>
      <c r="X125" s="58">
        <f t="shared" si="679"/>
        <v>272804.86398000002</v>
      </c>
      <c r="Y125" s="56">
        <f t="shared" si="680"/>
        <v>80581.38</v>
      </c>
      <c r="Z125" s="58">
        <f t="shared" si="681"/>
        <v>266385.92600400001</v>
      </c>
      <c r="AA125" s="54">
        <f t="shared" si="682"/>
        <v>78639.66</v>
      </c>
      <c r="AB125" s="58">
        <f t="shared" si="683"/>
        <v>259966.98802800002</v>
      </c>
      <c r="AC125" s="59">
        <f t="shared" si="684"/>
        <v>76697.94</v>
      </c>
      <c r="AD125" s="58">
        <f t="shared" si="685"/>
        <v>253548.05005200001</v>
      </c>
      <c r="AE125" s="59">
        <f t="shared" si="686"/>
        <v>74756.22</v>
      </c>
      <c r="AF125" s="58">
        <f t="shared" si="687"/>
        <v>247129.11207600002</v>
      </c>
      <c r="AG125" s="59">
        <f t="shared" si="688"/>
        <v>72814.5</v>
      </c>
      <c r="AH125" s="58">
        <f t="shared" si="689"/>
        <v>240710.1741</v>
      </c>
      <c r="AI125" s="54">
        <f t="shared" si="690"/>
        <v>70872.78</v>
      </c>
      <c r="AJ125" s="58">
        <f t="shared" si="691"/>
        <v>234291.23612399999</v>
      </c>
      <c r="AK125" s="59">
        <f t="shared" si="692"/>
        <v>68931.06</v>
      </c>
      <c r="AL125" s="58">
        <f t="shared" si="693"/>
        <v>227872.298148</v>
      </c>
      <c r="AM125" s="59">
        <f t="shared" si="694"/>
        <v>66989.34</v>
      </c>
      <c r="AN125" s="58">
        <f t="shared" si="695"/>
        <v>221453.36017199999</v>
      </c>
      <c r="AO125" s="59">
        <f t="shared" si="696"/>
        <v>65047.619999999995</v>
      </c>
      <c r="AP125" s="58">
        <f t="shared" si="697"/>
        <v>215034.422196</v>
      </c>
      <c r="AQ125" s="59">
        <f t="shared" si="698"/>
        <v>63105.899999999987</v>
      </c>
      <c r="AR125" s="58">
        <f t="shared" si="699"/>
        <v>208615.48421999995</v>
      </c>
      <c r="AS125" s="54">
        <f t="shared" si="700"/>
        <v>61164.179999999986</v>
      </c>
      <c r="AT125" s="58">
        <f t="shared" si="701"/>
        <v>202196.54624399997</v>
      </c>
      <c r="AU125" s="59">
        <f t="shared" si="702"/>
        <v>59222.459999999985</v>
      </c>
      <c r="AV125" s="58">
        <f t="shared" si="703"/>
        <v>195777.60826799995</v>
      </c>
      <c r="AW125" s="59">
        <f t="shared" si="704"/>
        <v>57280.739999999983</v>
      </c>
      <c r="AX125" s="58">
        <f t="shared" si="705"/>
        <v>189358.67029199994</v>
      </c>
      <c r="AY125" s="54">
        <f t="shared" si="706"/>
        <v>55339.019999999982</v>
      </c>
      <c r="AZ125" s="58">
        <f t="shared" si="707"/>
        <v>182939.73231599995</v>
      </c>
      <c r="BC125" s="54">
        <v>1</v>
      </c>
      <c r="BD125" s="54">
        <v>0.97</v>
      </c>
      <c r="BE125" s="54">
        <v>0.95</v>
      </c>
      <c r="BF125" s="54">
        <v>0.93</v>
      </c>
      <c r="BG125" s="54">
        <f t="shared" si="708"/>
        <v>0.91</v>
      </c>
      <c r="BH125" s="54">
        <f t="shared" si="708"/>
        <v>0.89</v>
      </c>
      <c r="BI125" s="54">
        <f t="shared" si="708"/>
        <v>0.87</v>
      </c>
      <c r="BJ125" s="54">
        <f t="shared" si="708"/>
        <v>0.85</v>
      </c>
      <c r="BK125" s="54">
        <f t="shared" si="708"/>
        <v>0.83</v>
      </c>
      <c r="BL125" s="54">
        <f t="shared" si="708"/>
        <v>0.80999999999999994</v>
      </c>
      <c r="BM125" s="54">
        <f t="shared" si="708"/>
        <v>0.78999999999999992</v>
      </c>
      <c r="BN125" s="54">
        <f t="shared" si="708"/>
        <v>0.76999999999999991</v>
      </c>
      <c r="BO125" s="54">
        <f t="shared" si="708"/>
        <v>0.74999999999999989</v>
      </c>
      <c r="BP125" s="54">
        <f t="shared" si="708"/>
        <v>0.72999999999999987</v>
      </c>
      <c r="BQ125" s="54">
        <f t="shared" si="708"/>
        <v>0.70999999999999985</v>
      </c>
      <c r="BR125" s="54">
        <f t="shared" si="708"/>
        <v>0.68999999999999984</v>
      </c>
      <c r="BS125" s="54">
        <f t="shared" si="708"/>
        <v>0.66999999999999982</v>
      </c>
      <c r="BT125" s="54">
        <f t="shared" si="708"/>
        <v>0.6499999999999998</v>
      </c>
      <c r="BU125" s="54">
        <f t="shared" si="708"/>
        <v>0.62999999999999978</v>
      </c>
      <c r="BV125" s="54">
        <f t="shared" si="708"/>
        <v>0.60999999999999976</v>
      </c>
      <c r="BW125" s="54">
        <f t="shared" si="708"/>
        <v>0.58999999999999975</v>
      </c>
      <c r="BX125" s="54">
        <f t="shared" si="708"/>
        <v>0.56999999999999973</v>
      </c>
      <c r="BZ125" s="54">
        <f t="shared" si="513"/>
        <v>88348.260000000009</v>
      </c>
      <c r="CA125" s="54">
        <f t="shared" si="514"/>
        <v>88348.260000000009</v>
      </c>
      <c r="CB125" s="58">
        <f t="shared" si="709"/>
        <v>292061.67790800001</v>
      </c>
      <c r="CC125" s="54">
        <f t="shared" si="710"/>
        <v>85697.8122</v>
      </c>
      <c r="CD125" s="58">
        <f t="shared" si="711"/>
        <v>283299.82757075998</v>
      </c>
      <c r="CE125" s="54">
        <f t="shared" si="712"/>
        <v>83930.847000000009</v>
      </c>
      <c r="CF125" s="58">
        <f t="shared" si="713"/>
        <v>277458.59401260002</v>
      </c>
      <c r="CG125" s="54">
        <f t="shared" si="714"/>
        <v>82163.881800000017</v>
      </c>
      <c r="CH125" s="58">
        <f t="shared" si="715"/>
        <v>271617.36045444006</v>
      </c>
      <c r="CI125" s="56">
        <f t="shared" si="716"/>
        <v>80396.916600000011</v>
      </c>
      <c r="CJ125" s="58">
        <f t="shared" si="717"/>
        <v>265776.12689628004</v>
      </c>
      <c r="CK125" s="54">
        <f t="shared" si="718"/>
        <v>78629.951400000005</v>
      </c>
      <c r="CL125" s="58">
        <f t="shared" si="719"/>
        <v>259934.89333812002</v>
      </c>
      <c r="CM125" s="56">
        <f t="shared" si="720"/>
        <v>76862.986200000014</v>
      </c>
      <c r="CN125" s="58">
        <f t="shared" si="721"/>
        <v>254093.65977996006</v>
      </c>
      <c r="CO125" s="59">
        <f t="shared" si="722"/>
        <v>75096.021000000008</v>
      </c>
      <c r="CP125" s="58">
        <f t="shared" si="723"/>
        <v>248252.42622180004</v>
      </c>
      <c r="CQ125" s="56">
        <f t="shared" si="724"/>
        <v>73329.055800000002</v>
      </c>
      <c r="CR125" s="58">
        <f t="shared" si="725"/>
        <v>242411.19266364002</v>
      </c>
      <c r="CS125" s="54">
        <f t="shared" si="726"/>
        <v>71562.090599999996</v>
      </c>
      <c r="CT125" s="58">
        <f t="shared" si="727"/>
        <v>236569.95910548</v>
      </c>
      <c r="CU125" s="59">
        <f t="shared" si="728"/>
        <v>69795.125400000004</v>
      </c>
      <c r="CV125" s="58">
        <f t="shared" si="729"/>
        <v>230728.72554732001</v>
      </c>
      <c r="CW125" s="59">
        <f t="shared" si="730"/>
        <v>68028.160199999998</v>
      </c>
      <c r="CX125" s="58">
        <f t="shared" si="731"/>
        <v>224887.49198915999</v>
      </c>
      <c r="CY125" s="59">
        <f t="shared" si="732"/>
        <v>66261.194999999992</v>
      </c>
      <c r="CZ125" s="58">
        <f t="shared" si="733"/>
        <v>219046.25843099997</v>
      </c>
      <c r="DA125" s="54">
        <f t="shared" si="734"/>
        <v>64494.229799999994</v>
      </c>
      <c r="DB125" s="58">
        <f t="shared" si="735"/>
        <v>213205.02487283997</v>
      </c>
      <c r="DC125" s="59">
        <f t="shared" si="736"/>
        <v>62727.264599999995</v>
      </c>
      <c r="DD125" s="58">
        <f t="shared" si="737"/>
        <v>207363.79131467998</v>
      </c>
      <c r="DE125" s="59">
        <f t="shared" si="738"/>
        <v>60960.299399999989</v>
      </c>
      <c r="DF125" s="58">
        <f t="shared" si="739"/>
        <v>201522.55775651996</v>
      </c>
      <c r="DG125" s="59">
        <f t="shared" si="740"/>
        <v>59193.33419999999</v>
      </c>
      <c r="DH125" s="58">
        <f t="shared" si="741"/>
        <v>195681.32419835997</v>
      </c>
      <c r="DI125" s="59">
        <f t="shared" si="742"/>
        <v>57426.368999999992</v>
      </c>
      <c r="DJ125" s="58">
        <f t="shared" si="743"/>
        <v>189840.09064019998</v>
      </c>
      <c r="DK125" s="54">
        <f t="shared" si="744"/>
        <v>55659.403799999985</v>
      </c>
      <c r="DL125" s="58">
        <f t="shared" si="745"/>
        <v>183998.85708203996</v>
      </c>
      <c r="DM125" s="59">
        <f t="shared" si="746"/>
        <v>53892.438599999987</v>
      </c>
      <c r="DN125" s="58">
        <f t="shared" si="747"/>
        <v>178157.62352387997</v>
      </c>
      <c r="DO125" s="59">
        <f t="shared" si="748"/>
        <v>52125.473399999981</v>
      </c>
      <c r="DP125" s="58">
        <f t="shared" si="749"/>
        <v>172316.38996571995</v>
      </c>
      <c r="DQ125" s="54">
        <f t="shared" si="750"/>
        <v>50358.508199999982</v>
      </c>
      <c r="DR125" s="58">
        <f t="shared" si="751"/>
        <v>166475.15640755993</v>
      </c>
      <c r="DU125" s="54">
        <v>1</v>
      </c>
      <c r="DV125" s="54">
        <v>0.97</v>
      </c>
      <c r="DW125" s="54">
        <v>0.95</v>
      </c>
      <c r="DX125" s="54">
        <v>0.93</v>
      </c>
      <c r="DY125" s="54">
        <f t="shared" si="797"/>
        <v>0.91</v>
      </c>
      <c r="DZ125" s="54">
        <f t="shared" si="797"/>
        <v>0.89</v>
      </c>
      <c r="EA125" s="54">
        <f t="shared" si="797"/>
        <v>0.87</v>
      </c>
      <c r="EB125" s="54">
        <f t="shared" si="797"/>
        <v>0.85</v>
      </c>
      <c r="EC125" s="54">
        <f t="shared" si="797"/>
        <v>0.83</v>
      </c>
      <c r="ED125" s="54">
        <f t="shared" si="797"/>
        <v>0.80999999999999994</v>
      </c>
      <c r="EE125" s="54">
        <f t="shared" si="797"/>
        <v>0.78999999999999992</v>
      </c>
      <c r="EF125" s="54">
        <f t="shared" si="797"/>
        <v>0.76999999999999991</v>
      </c>
      <c r="EG125" s="54">
        <f t="shared" si="797"/>
        <v>0.74999999999999989</v>
      </c>
      <c r="EH125" s="54">
        <f t="shared" si="797"/>
        <v>0.72999999999999987</v>
      </c>
      <c r="EI125" s="54">
        <f t="shared" si="797"/>
        <v>0.70999999999999985</v>
      </c>
      <c r="EJ125" s="54">
        <f t="shared" si="797"/>
        <v>0.68999999999999984</v>
      </c>
      <c r="EK125" s="54">
        <f t="shared" si="797"/>
        <v>0.66999999999999982</v>
      </c>
      <c r="EL125" s="54">
        <f t="shared" si="797"/>
        <v>0.6499999999999998</v>
      </c>
      <c r="EM125" s="54">
        <f t="shared" si="797"/>
        <v>0.62999999999999978</v>
      </c>
      <c r="EN125" s="54">
        <f t="shared" si="797"/>
        <v>0.60999999999999976</v>
      </c>
      <c r="EO125" s="54">
        <f t="shared" si="797"/>
        <v>0.58999999999999975</v>
      </c>
      <c r="EP125" s="54">
        <f t="shared" si="797"/>
        <v>0.56999999999999973</v>
      </c>
      <c r="ER125" s="54">
        <f t="shared" si="653"/>
        <v>80396.916600000011</v>
      </c>
      <c r="ES125" s="54">
        <f t="shared" si="515"/>
        <v>80396.916600000011</v>
      </c>
      <c r="ET125" s="58">
        <f t="shared" si="752"/>
        <v>265776.12689628004</v>
      </c>
      <c r="EU125" s="54">
        <f t="shared" si="753"/>
        <v>77985.009102000011</v>
      </c>
      <c r="EV125" s="58">
        <f t="shared" si="754"/>
        <v>257802.84308939165</v>
      </c>
      <c r="EW125" s="54">
        <f t="shared" si="755"/>
        <v>76377.070770000006</v>
      </c>
      <c r="EX125" s="58">
        <f t="shared" si="756"/>
        <v>252487.32055146602</v>
      </c>
      <c r="EY125" s="54">
        <f t="shared" si="757"/>
        <v>74769.132438000015</v>
      </c>
      <c r="EZ125" s="58">
        <f t="shared" si="758"/>
        <v>247171.79801354045</v>
      </c>
      <c r="FA125" s="56">
        <f t="shared" si="759"/>
        <v>73161.19410600001</v>
      </c>
      <c r="FB125" s="58">
        <f t="shared" si="760"/>
        <v>241856.27547561485</v>
      </c>
      <c r="FC125" s="54">
        <f t="shared" si="761"/>
        <v>71553.255774000005</v>
      </c>
      <c r="FD125" s="58">
        <f t="shared" si="762"/>
        <v>236540.75293768922</v>
      </c>
      <c r="FE125" s="56">
        <f t="shared" si="763"/>
        <v>69945.317442000014</v>
      </c>
      <c r="FF125" s="58">
        <f t="shared" si="764"/>
        <v>231225.23039976365</v>
      </c>
      <c r="FG125" s="59">
        <f t="shared" si="765"/>
        <v>68337.379110000009</v>
      </c>
      <c r="FH125" s="58">
        <f t="shared" si="766"/>
        <v>225909.70786183805</v>
      </c>
      <c r="FI125" s="56">
        <f t="shared" si="767"/>
        <v>66729.440778000004</v>
      </c>
      <c r="FJ125" s="58">
        <f t="shared" si="768"/>
        <v>220594.18532391242</v>
      </c>
      <c r="FK125" s="54">
        <f t="shared" si="769"/>
        <v>65121.502446000006</v>
      </c>
      <c r="FL125" s="58">
        <f t="shared" si="770"/>
        <v>215278.66278598682</v>
      </c>
      <c r="FM125" s="59">
        <f t="shared" si="771"/>
        <v>63513.564114000001</v>
      </c>
      <c r="FN125" s="58">
        <f t="shared" si="772"/>
        <v>209963.14024806122</v>
      </c>
      <c r="FO125" s="59">
        <f t="shared" si="773"/>
        <v>61905.625782000003</v>
      </c>
      <c r="FP125" s="58">
        <f t="shared" si="774"/>
        <v>204647.61771013562</v>
      </c>
      <c r="FQ125" s="59">
        <f t="shared" si="775"/>
        <v>60297.687449999998</v>
      </c>
      <c r="FR125" s="58">
        <f t="shared" si="776"/>
        <v>199332.09517220999</v>
      </c>
      <c r="FS125" s="54">
        <f t="shared" si="777"/>
        <v>58689.749118</v>
      </c>
      <c r="FT125" s="58">
        <f t="shared" si="778"/>
        <v>194016.57263428441</v>
      </c>
      <c r="FU125" s="59">
        <f t="shared" si="779"/>
        <v>57081.810785999995</v>
      </c>
      <c r="FV125" s="58">
        <f t="shared" si="780"/>
        <v>188701.05009635878</v>
      </c>
      <c r="FW125" s="59">
        <f t="shared" si="781"/>
        <v>55473.872453999997</v>
      </c>
      <c r="FX125" s="58">
        <f t="shared" si="782"/>
        <v>183385.52755843318</v>
      </c>
      <c r="FY125" s="59">
        <f t="shared" si="783"/>
        <v>53865.934121999991</v>
      </c>
      <c r="FZ125" s="58">
        <f t="shared" si="784"/>
        <v>178070.00502050758</v>
      </c>
      <c r="GA125" s="59">
        <f t="shared" si="785"/>
        <v>52257.995789999994</v>
      </c>
      <c r="GB125" s="58">
        <f t="shared" si="786"/>
        <v>172754.48248258198</v>
      </c>
      <c r="GC125" s="54">
        <f t="shared" si="787"/>
        <v>50650.057457999988</v>
      </c>
      <c r="GD125" s="58">
        <f t="shared" si="788"/>
        <v>167438.95994465635</v>
      </c>
      <c r="GE125" s="59">
        <f t="shared" si="789"/>
        <v>49042.119125999991</v>
      </c>
      <c r="GF125" s="58">
        <f t="shared" si="790"/>
        <v>162123.43740673078</v>
      </c>
      <c r="GG125" s="59">
        <f t="shared" si="791"/>
        <v>47434.180793999985</v>
      </c>
      <c r="GH125" s="58">
        <f t="shared" si="792"/>
        <v>156807.91486880515</v>
      </c>
      <c r="GI125" s="54">
        <f t="shared" si="793"/>
        <v>45826.242461999987</v>
      </c>
      <c r="GJ125" s="58">
        <f t="shared" si="794"/>
        <v>151492.39233087955</v>
      </c>
      <c r="GK125" s="54"/>
      <c r="GL125" s="54"/>
      <c r="GM125" s="54">
        <v>1</v>
      </c>
      <c r="GN125" s="54">
        <v>0.97</v>
      </c>
      <c r="GO125" s="54">
        <v>0.95</v>
      </c>
      <c r="GP125" s="54">
        <v>0.93</v>
      </c>
      <c r="GQ125" s="54">
        <f t="shared" si="798"/>
        <v>0.91</v>
      </c>
      <c r="GR125" s="54">
        <f t="shared" si="798"/>
        <v>0.89</v>
      </c>
      <c r="GS125" s="54">
        <f t="shared" si="798"/>
        <v>0.87</v>
      </c>
      <c r="GT125" s="54">
        <f t="shared" si="798"/>
        <v>0.85</v>
      </c>
      <c r="GU125" s="54">
        <f t="shared" si="798"/>
        <v>0.83</v>
      </c>
      <c r="GV125" s="54">
        <f t="shared" si="798"/>
        <v>0.80999999999999994</v>
      </c>
      <c r="GW125" s="54">
        <f t="shared" si="798"/>
        <v>0.78999999999999992</v>
      </c>
      <c r="GX125" s="54">
        <f t="shared" si="798"/>
        <v>0.76999999999999991</v>
      </c>
      <c r="GY125" s="54">
        <f t="shared" si="798"/>
        <v>0.74999999999999989</v>
      </c>
      <c r="GZ125" s="54">
        <f t="shared" si="798"/>
        <v>0.72999999999999987</v>
      </c>
      <c r="HA125" s="54">
        <f t="shared" si="798"/>
        <v>0.70999999999999985</v>
      </c>
      <c r="HB125" s="54">
        <f t="shared" si="798"/>
        <v>0.68999999999999984</v>
      </c>
      <c r="HC125" s="54">
        <f t="shared" si="798"/>
        <v>0.66999999999999982</v>
      </c>
      <c r="HD125" s="54">
        <f t="shared" si="798"/>
        <v>0.6499999999999998</v>
      </c>
      <c r="HE125" s="54">
        <f t="shared" si="798"/>
        <v>0.62999999999999978</v>
      </c>
      <c r="HF125" s="54">
        <f t="shared" si="798"/>
        <v>0.60999999999999976</v>
      </c>
      <c r="HG125" s="54">
        <f t="shared" si="798"/>
        <v>0.58999999999999975</v>
      </c>
      <c r="HH125" s="54">
        <f t="shared" si="798"/>
        <v>0.56999999999999973</v>
      </c>
    </row>
    <row r="126" spans="1:216" ht="17.25" thickBot="1" x14ac:dyDescent="0.35">
      <c r="A126" s="2">
        <v>11</v>
      </c>
      <c r="C126" s="38" t="s">
        <v>47</v>
      </c>
      <c r="D126" s="43">
        <f>1740+250+210</f>
        <v>2200</v>
      </c>
      <c r="E126" s="73">
        <f t="shared" si="665"/>
        <v>7270</v>
      </c>
      <c r="F126" s="2" t="s">
        <v>318</v>
      </c>
      <c r="H126" s="54">
        <f t="shared" si="510"/>
        <v>7997.0000000000009</v>
      </c>
      <c r="I126" s="54">
        <f t="shared" si="511"/>
        <v>7997.0000000000009</v>
      </c>
      <c r="J126" s="58">
        <f t="shared" si="512"/>
        <v>26436.482600000003</v>
      </c>
      <c r="K126" s="54">
        <f t="shared" si="666"/>
        <v>7757.0900000000011</v>
      </c>
      <c r="L126" s="58">
        <f t="shared" si="667"/>
        <v>25643.388122000004</v>
      </c>
      <c r="M126" s="54">
        <f t="shared" si="668"/>
        <v>7597.1500000000005</v>
      </c>
      <c r="N126" s="58">
        <f t="shared" si="669"/>
        <v>25114.658470000002</v>
      </c>
      <c r="O126" s="54">
        <f t="shared" si="670"/>
        <v>7437.2100000000009</v>
      </c>
      <c r="P126" s="58">
        <f t="shared" si="671"/>
        <v>24585.928818000004</v>
      </c>
      <c r="Q126" s="56">
        <f t="shared" si="672"/>
        <v>7277.2700000000013</v>
      </c>
      <c r="R126" s="58">
        <f t="shared" si="673"/>
        <v>24057.199166000006</v>
      </c>
      <c r="S126" s="54">
        <f t="shared" si="674"/>
        <v>7117.3300000000008</v>
      </c>
      <c r="T126" s="58">
        <f t="shared" si="675"/>
        <v>23528.469514000004</v>
      </c>
      <c r="U126" s="56">
        <f t="shared" si="676"/>
        <v>6957.39</v>
      </c>
      <c r="V126" s="58">
        <f t="shared" si="677"/>
        <v>22999.739862000002</v>
      </c>
      <c r="W126" s="59">
        <f t="shared" si="678"/>
        <v>6797.4500000000007</v>
      </c>
      <c r="X126" s="58">
        <f t="shared" si="679"/>
        <v>22471.010210000004</v>
      </c>
      <c r="Y126" s="56">
        <f t="shared" si="680"/>
        <v>6637.51</v>
      </c>
      <c r="Z126" s="58">
        <f t="shared" si="681"/>
        <v>21942.280558000002</v>
      </c>
      <c r="AA126" s="54">
        <f t="shared" si="682"/>
        <v>6477.5700000000006</v>
      </c>
      <c r="AB126" s="58">
        <f t="shared" si="683"/>
        <v>21413.550906000004</v>
      </c>
      <c r="AC126" s="59">
        <f t="shared" si="684"/>
        <v>6317.63</v>
      </c>
      <c r="AD126" s="58">
        <f t="shared" si="685"/>
        <v>20884.821254000002</v>
      </c>
      <c r="AE126" s="59">
        <f t="shared" si="686"/>
        <v>6157.69</v>
      </c>
      <c r="AF126" s="58">
        <f t="shared" si="687"/>
        <v>20356.091602</v>
      </c>
      <c r="AG126" s="59">
        <f t="shared" si="688"/>
        <v>5997.75</v>
      </c>
      <c r="AH126" s="58">
        <f t="shared" si="689"/>
        <v>19827.361949999999</v>
      </c>
      <c r="AI126" s="54">
        <f t="shared" si="690"/>
        <v>5837.8099999999995</v>
      </c>
      <c r="AJ126" s="58">
        <f t="shared" si="691"/>
        <v>19298.632298</v>
      </c>
      <c r="AK126" s="59">
        <f t="shared" si="692"/>
        <v>5677.87</v>
      </c>
      <c r="AL126" s="58">
        <f t="shared" si="693"/>
        <v>18769.902645999999</v>
      </c>
      <c r="AM126" s="59">
        <f t="shared" si="694"/>
        <v>5517.9299999999994</v>
      </c>
      <c r="AN126" s="58">
        <f t="shared" si="695"/>
        <v>18241.172993999997</v>
      </c>
      <c r="AO126" s="59">
        <f t="shared" si="696"/>
        <v>5357.9899999999989</v>
      </c>
      <c r="AP126" s="58">
        <f t="shared" si="697"/>
        <v>17712.443341999995</v>
      </c>
      <c r="AQ126" s="59">
        <f t="shared" si="698"/>
        <v>5198.0499999999993</v>
      </c>
      <c r="AR126" s="58">
        <f t="shared" si="699"/>
        <v>17183.713689999997</v>
      </c>
      <c r="AS126" s="54">
        <f t="shared" si="700"/>
        <v>5038.1099999999988</v>
      </c>
      <c r="AT126" s="58">
        <f t="shared" si="701"/>
        <v>16654.984037999995</v>
      </c>
      <c r="AU126" s="59">
        <f t="shared" si="702"/>
        <v>4878.1699999999983</v>
      </c>
      <c r="AV126" s="58">
        <f t="shared" si="703"/>
        <v>16126.254385999995</v>
      </c>
      <c r="AW126" s="59">
        <f t="shared" si="704"/>
        <v>4718.2299999999987</v>
      </c>
      <c r="AX126" s="58">
        <f t="shared" si="705"/>
        <v>15597.524733999995</v>
      </c>
      <c r="AY126" s="54">
        <f t="shared" si="706"/>
        <v>4558.2899999999981</v>
      </c>
      <c r="AZ126" s="58">
        <f t="shared" si="707"/>
        <v>15068.795081999995</v>
      </c>
      <c r="BC126" s="54">
        <v>1</v>
      </c>
      <c r="BD126" s="54">
        <v>0.97</v>
      </c>
      <c r="BE126" s="54">
        <v>0.95</v>
      </c>
      <c r="BF126" s="54">
        <v>0.93</v>
      </c>
      <c r="BG126" s="54">
        <f t="shared" si="708"/>
        <v>0.91</v>
      </c>
      <c r="BH126" s="54">
        <f t="shared" si="708"/>
        <v>0.89</v>
      </c>
      <c r="BI126" s="54">
        <f t="shared" si="708"/>
        <v>0.87</v>
      </c>
      <c r="BJ126" s="54">
        <f t="shared" si="708"/>
        <v>0.85</v>
      </c>
      <c r="BK126" s="54">
        <f t="shared" si="708"/>
        <v>0.83</v>
      </c>
      <c r="BL126" s="54">
        <f t="shared" si="708"/>
        <v>0.80999999999999994</v>
      </c>
      <c r="BM126" s="54">
        <f t="shared" si="708"/>
        <v>0.78999999999999992</v>
      </c>
      <c r="BN126" s="54">
        <f t="shared" si="708"/>
        <v>0.76999999999999991</v>
      </c>
      <c r="BO126" s="54">
        <f t="shared" si="708"/>
        <v>0.74999999999999989</v>
      </c>
      <c r="BP126" s="54">
        <f t="shared" si="708"/>
        <v>0.72999999999999987</v>
      </c>
      <c r="BQ126" s="54">
        <f t="shared" si="708"/>
        <v>0.70999999999999985</v>
      </c>
      <c r="BR126" s="54">
        <f t="shared" si="708"/>
        <v>0.68999999999999984</v>
      </c>
      <c r="BS126" s="54">
        <f t="shared" si="708"/>
        <v>0.66999999999999982</v>
      </c>
      <c r="BT126" s="54">
        <f t="shared" si="708"/>
        <v>0.6499999999999998</v>
      </c>
      <c r="BU126" s="54">
        <f t="shared" si="708"/>
        <v>0.62999999999999978</v>
      </c>
      <c r="BV126" s="54">
        <f t="shared" si="708"/>
        <v>0.60999999999999976</v>
      </c>
      <c r="BW126" s="54">
        <f t="shared" si="708"/>
        <v>0.58999999999999975</v>
      </c>
      <c r="BX126" s="54">
        <f t="shared" si="708"/>
        <v>0.56999999999999973</v>
      </c>
      <c r="BZ126" s="54">
        <f t="shared" si="513"/>
        <v>7277.2700000000013</v>
      </c>
      <c r="CA126" s="54">
        <f t="shared" si="514"/>
        <v>7277.2700000000013</v>
      </c>
      <c r="CB126" s="58">
        <f t="shared" si="709"/>
        <v>24057.199166000006</v>
      </c>
      <c r="CC126" s="54">
        <f t="shared" si="710"/>
        <v>7058.9519000000009</v>
      </c>
      <c r="CD126" s="58">
        <f t="shared" si="711"/>
        <v>23335.483191020005</v>
      </c>
      <c r="CE126" s="54">
        <f t="shared" si="712"/>
        <v>6913.406500000001</v>
      </c>
      <c r="CF126" s="58">
        <f t="shared" si="713"/>
        <v>22854.339207700003</v>
      </c>
      <c r="CG126" s="54">
        <f t="shared" si="714"/>
        <v>6767.8611000000019</v>
      </c>
      <c r="CH126" s="58">
        <f t="shared" si="715"/>
        <v>22373.195224380008</v>
      </c>
      <c r="CI126" s="56">
        <f t="shared" si="716"/>
        <v>6622.315700000001</v>
      </c>
      <c r="CJ126" s="58">
        <f t="shared" si="717"/>
        <v>21892.051241060002</v>
      </c>
      <c r="CK126" s="54">
        <f t="shared" si="718"/>
        <v>6476.770300000001</v>
      </c>
      <c r="CL126" s="58">
        <f t="shared" si="719"/>
        <v>21410.907257740004</v>
      </c>
      <c r="CM126" s="56">
        <f t="shared" si="720"/>
        <v>6331.2249000000011</v>
      </c>
      <c r="CN126" s="58">
        <f t="shared" si="721"/>
        <v>20929.763274420005</v>
      </c>
      <c r="CO126" s="59">
        <f t="shared" si="722"/>
        <v>6185.6795000000011</v>
      </c>
      <c r="CP126" s="58">
        <f t="shared" si="723"/>
        <v>20448.619291100003</v>
      </c>
      <c r="CQ126" s="56">
        <f t="shared" si="724"/>
        <v>6040.1341000000011</v>
      </c>
      <c r="CR126" s="58">
        <f t="shared" si="725"/>
        <v>19967.475307780005</v>
      </c>
      <c r="CS126" s="54">
        <f t="shared" si="726"/>
        <v>5894.5887000000002</v>
      </c>
      <c r="CT126" s="58">
        <f t="shared" si="727"/>
        <v>19486.331324459999</v>
      </c>
      <c r="CU126" s="59">
        <f t="shared" si="728"/>
        <v>5749.0433000000003</v>
      </c>
      <c r="CV126" s="58">
        <f t="shared" si="729"/>
        <v>19005.187341140001</v>
      </c>
      <c r="CW126" s="59">
        <f t="shared" si="730"/>
        <v>5603.4979000000003</v>
      </c>
      <c r="CX126" s="58">
        <f t="shared" si="731"/>
        <v>18524.043357820003</v>
      </c>
      <c r="CY126" s="59">
        <f t="shared" si="732"/>
        <v>5457.9525000000003</v>
      </c>
      <c r="CZ126" s="58">
        <f t="shared" si="733"/>
        <v>18042.899374500001</v>
      </c>
      <c r="DA126" s="54">
        <f t="shared" si="734"/>
        <v>5312.4071000000004</v>
      </c>
      <c r="DB126" s="58">
        <f t="shared" si="735"/>
        <v>17561.755391180002</v>
      </c>
      <c r="DC126" s="59">
        <f t="shared" si="736"/>
        <v>5166.8616999999995</v>
      </c>
      <c r="DD126" s="58">
        <f t="shared" si="737"/>
        <v>17080.61140786</v>
      </c>
      <c r="DE126" s="59">
        <f t="shared" si="738"/>
        <v>5021.3162999999995</v>
      </c>
      <c r="DF126" s="58">
        <f t="shared" si="739"/>
        <v>16599.467424539998</v>
      </c>
      <c r="DG126" s="59">
        <f t="shared" si="740"/>
        <v>4875.7708999999995</v>
      </c>
      <c r="DH126" s="58">
        <f t="shared" si="741"/>
        <v>16118.323441219998</v>
      </c>
      <c r="DI126" s="59">
        <f t="shared" si="742"/>
        <v>4730.2254999999996</v>
      </c>
      <c r="DJ126" s="58">
        <f t="shared" si="743"/>
        <v>15637.1794579</v>
      </c>
      <c r="DK126" s="54">
        <f t="shared" si="744"/>
        <v>4584.6800999999996</v>
      </c>
      <c r="DL126" s="58">
        <f t="shared" si="745"/>
        <v>15156.03547458</v>
      </c>
      <c r="DM126" s="59">
        <f t="shared" si="746"/>
        <v>4439.1346999999987</v>
      </c>
      <c r="DN126" s="58">
        <f t="shared" si="747"/>
        <v>14674.891491259996</v>
      </c>
      <c r="DO126" s="59">
        <f t="shared" si="748"/>
        <v>4293.5892999999987</v>
      </c>
      <c r="DP126" s="58">
        <f t="shared" si="749"/>
        <v>14193.747507939996</v>
      </c>
      <c r="DQ126" s="54">
        <f t="shared" si="750"/>
        <v>4148.0438999999988</v>
      </c>
      <c r="DR126" s="58">
        <f t="shared" si="751"/>
        <v>13712.603524619995</v>
      </c>
      <c r="DU126" s="54">
        <v>1</v>
      </c>
      <c r="DV126" s="54">
        <v>0.97</v>
      </c>
      <c r="DW126" s="54">
        <v>0.95</v>
      </c>
      <c r="DX126" s="54">
        <v>0.93</v>
      </c>
      <c r="DY126" s="54">
        <f t="shared" si="797"/>
        <v>0.91</v>
      </c>
      <c r="DZ126" s="54">
        <f t="shared" si="797"/>
        <v>0.89</v>
      </c>
      <c r="EA126" s="54">
        <f t="shared" si="797"/>
        <v>0.87</v>
      </c>
      <c r="EB126" s="54">
        <f t="shared" si="797"/>
        <v>0.85</v>
      </c>
      <c r="EC126" s="54">
        <f t="shared" si="797"/>
        <v>0.83</v>
      </c>
      <c r="ED126" s="54">
        <f t="shared" si="797"/>
        <v>0.80999999999999994</v>
      </c>
      <c r="EE126" s="54">
        <f t="shared" si="797"/>
        <v>0.78999999999999992</v>
      </c>
      <c r="EF126" s="54">
        <f t="shared" si="797"/>
        <v>0.76999999999999991</v>
      </c>
      <c r="EG126" s="54">
        <f t="shared" si="797"/>
        <v>0.74999999999999989</v>
      </c>
      <c r="EH126" s="54">
        <f t="shared" si="797"/>
        <v>0.72999999999999987</v>
      </c>
      <c r="EI126" s="54">
        <f t="shared" si="797"/>
        <v>0.70999999999999985</v>
      </c>
      <c r="EJ126" s="54">
        <f t="shared" si="797"/>
        <v>0.68999999999999984</v>
      </c>
      <c r="EK126" s="54">
        <f t="shared" si="797"/>
        <v>0.66999999999999982</v>
      </c>
      <c r="EL126" s="54">
        <f t="shared" si="797"/>
        <v>0.6499999999999998</v>
      </c>
      <c r="EM126" s="54">
        <f t="shared" si="797"/>
        <v>0.62999999999999978</v>
      </c>
      <c r="EN126" s="54">
        <f t="shared" si="797"/>
        <v>0.60999999999999976</v>
      </c>
      <c r="EO126" s="54">
        <f t="shared" si="797"/>
        <v>0.58999999999999975</v>
      </c>
      <c r="EP126" s="54">
        <f t="shared" si="797"/>
        <v>0.56999999999999973</v>
      </c>
      <c r="ER126" s="54">
        <f t="shared" si="653"/>
        <v>6622.315700000001</v>
      </c>
      <c r="ES126" s="54">
        <f t="shared" si="515"/>
        <v>6622.315700000001</v>
      </c>
      <c r="ET126" s="58">
        <f t="shared" si="752"/>
        <v>21892.051241060002</v>
      </c>
      <c r="EU126" s="54">
        <f t="shared" si="753"/>
        <v>6423.6462290000009</v>
      </c>
      <c r="EV126" s="58">
        <f t="shared" si="754"/>
        <v>21235.289703828203</v>
      </c>
      <c r="EW126" s="54">
        <f t="shared" si="755"/>
        <v>6291.1999150000011</v>
      </c>
      <c r="EX126" s="58">
        <f t="shared" si="756"/>
        <v>20797.448679007004</v>
      </c>
      <c r="EY126" s="54">
        <f t="shared" si="757"/>
        <v>6158.7536010000013</v>
      </c>
      <c r="EZ126" s="58">
        <f t="shared" si="758"/>
        <v>20359.607654185806</v>
      </c>
      <c r="FA126" s="56">
        <f t="shared" si="759"/>
        <v>6026.3072870000015</v>
      </c>
      <c r="FB126" s="58">
        <f t="shared" si="760"/>
        <v>19921.766629364603</v>
      </c>
      <c r="FC126" s="54">
        <f t="shared" si="761"/>
        <v>5893.8609730000007</v>
      </c>
      <c r="FD126" s="58">
        <f t="shared" si="762"/>
        <v>19483.925604543401</v>
      </c>
      <c r="FE126" s="56">
        <f t="shared" si="763"/>
        <v>5761.4146590000009</v>
      </c>
      <c r="FF126" s="58">
        <f t="shared" si="764"/>
        <v>19046.084579722203</v>
      </c>
      <c r="FG126" s="59">
        <f t="shared" si="765"/>
        <v>5628.9683450000011</v>
      </c>
      <c r="FH126" s="58">
        <f t="shared" si="766"/>
        <v>18608.243554901004</v>
      </c>
      <c r="FI126" s="56">
        <f t="shared" si="767"/>
        <v>5496.5220310000004</v>
      </c>
      <c r="FJ126" s="58">
        <f t="shared" si="768"/>
        <v>18170.402530079802</v>
      </c>
      <c r="FK126" s="54">
        <f t="shared" si="769"/>
        <v>5364.0757170000006</v>
      </c>
      <c r="FL126" s="58">
        <f t="shared" si="770"/>
        <v>17732.561505258604</v>
      </c>
      <c r="FM126" s="59">
        <f t="shared" si="771"/>
        <v>5231.6294029999999</v>
      </c>
      <c r="FN126" s="58">
        <f t="shared" si="772"/>
        <v>17294.720480437401</v>
      </c>
      <c r="FO126" s="59">
        <f t="shared" si="773"/>
        <v>5099.1830890000001</v>
      </c>
      <c r="FP126" s="58">
        <f t="shared" si="774"/>
        <v>16856.879455616199</v>
      </c>
      <c r="FQ126" s="59">
        <f t="shared" si="775"/>
        <v>4966.7367750000003</v>
      </c>
      <c r="FR126" s="58">
        <f t="shared" si="776"/>
        <v>16419.038430795001</v>
      </c>
      <c r="FS126" s="54">
        <f t="shared" si="777"/>
        <v>4834.2904609999996</v>
      </c>
      <c r="FT126" s="58">
        <f t="shared" si="778"/>
        <v>15981.197405973799</v>
      </c>
      <c r="FU126" s="59">
        <f t="shared" si="779"/>
        <v>4701.8441469999998</v>
      </c>
      <c r="FV126" s="58">
        <f t="shared" si="780"/>
        <v>15543.3563811526</v>
      </c>
      <c r="FW126" s="59">
        <f t="shared" si="781"/>
        <v>4569.397833</v>
      </c>
      <c r="FX126" s="58">
        <f t="shared" si="782"/>
        <v>15105.5153563314</v>
      </c>
      <c r="FY126" s="59">
        <f t="shared" si="783"/>
        <v>4436.9515189999993</v>
      </c>
      <c r="FZ126" s="58">
        <f t="shared" si="784"/>
        <v>14667.674331510198</v>
      </c>
      <c r="GA126" s="59">
        <f t="shared" si="785"/>
        <v>4304.5052049999995</v>
      </c>
      <c r="GB126" s="58">
        <f t="shared" si="786"/>
        <v>14229.833306688999</v>
      </c>
      <c r="GC126" s="54">
        <f t="shared" si="787"/>
        <v>4172.0588909999988</v>
      </c>
      <c r="GD126" s="58">
        <f t="shared" si="788"/>
        <v>13791.992281867797</v>
      </c>
      <c r="GE126" s="59">
        <f t="shared" si="789"/>
        <v>4039.612576999999</v>
      </c>
      <c r="GF126" s="58">
        <f t="shared" si="790"/>
        <v>13354.151257046597</v>
      </c>
      <c r="GG126" s="59">
        <f t="shared" si="791"/>
        <v>3907.1662629999987</v>
      </c>
      <c r="GH126" s="58">
        <f t="shared" si="792"/>
        <v>12916.310232225396</v>
      </c>
      <c r="GI126" s="54">
        <f t="shared" si="793"/>
        <v>3774.7199489999989</v>
      </c>
      <c r="GJ126" s="58">
        <f t="shared" si="794"/>
        <v>12478.469207404196</v>
      </c>
      <c r="GK126" s="54"/>
      <c r="GL126" s="54"/>
      <c r="GM126" s="54">
        <v>1</v>
      </c>
      <c r="GN126" s="54">
        <v>0.97</v>
      </c>
      <c r="GO126" s="54">
        <v>0.95</v>
      </c>
      <c r="GP126" s="54">
        <v>0.93</v>
      </c>
      <c r="GQ126" s="54">
        <f t="shared" si="798"/>
        <v>0.91</v>
      </c>
      <c r="GR126" s="54">
        <f t="shared" si="798"/>
        <v>0.89</v>
      </c>
      <c r="GS126" s="54">
        <f t="shared" si="798"/>
        <v>0.87</v>
      </c>
      <c r="GT126" s="54">
        <f t="shared" si="798"/>
        <v>0.85</v>
      </c>
      <c r="GU126" s="54">
        <f t="shared" si="798"/>
        <v>0.83</v>
      </c>
      <c r="GV126" s="54">
        <f t="shared" si="798"/>
        <v>0.80999999999999994</v>
      </c>
      <c r="GW126" s="54">
        <f t="shared" si="798"/>
        <v>0.78999999999999992</v>
      </c>
      <c r="GX126" s="54">
        <f t="shared" si="798"/>
        <v>0.76999999999999991</v>
      </c>
      <c r="GY126" s="54">
        <f t="shared" si="798"/>
        <v>0.74999999999999989</v>
      </c>
      <c r="GZ126" s="54">
        <f t="shared" si="798"/>
        <v>0.72999999999999987</v>
      </c>
      <c r="HA126" s="54">
        <f t="shared" si="798"/>
        <v>0.70999999999999985</v>
      </c>
      <c r="HB126" s="54">
        <f t="shared" si="798"/>
        <v>0.68999999999999984</v>
      </c>
      <c r="HC126" s="54">
        <f t="shared" si="798"/>
        <v>0.66999999999999982</v>
      </c>
      <c r="HD126" s="54">
        <f t="shared" si="798"/>
        <v>0.6499999999999998</v>
      </c>
      <c r="HE126" s="54">
        <f t="shared" si="798"/>
        <v>0.62999999999999978</v>
      </c>
      <c r="HF126" s="54">
        <f t="shared" si="798"/>
        <v>0.60999999999999976</v>
      </c>
      <c r="HG126" s="54">
        <f t="shared" si="798"/>
        <v>0.58999999999999975</v>
      </c>
      <c r="HH126" s="54">
        <f t="shared" si="798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78330</v>
      </c>
      <c r="E127" s="39">
        <f>SUM(E116:E126)</f>
        <v>258920</v>
      </c>
      <c r="H127" s="54">
        <f t="shared" si="510"/>
        <v>284812</v>
      </c>
      <c r="I127" s="54">
        <f t="shared" si="511"/>
        <v>284812</v>
      </c>
      <c r="J127" s="58">
        <f t="shared" si="512"/>
        <v>941531.50959999999</v>
      </c>
      <c r="K127" s="54">
        <f t="shared" si="666"/>
        <v>276267.64</v>
      </c>
      <c r="L127" s="58">
        <f t="shared" si="667"/>
        <v>913285.56431200006</v>
      </c>
      <c r="M127" s="54">
        <f t="shared" si="668"/>
        <v>270571.39999999997</v>
      </c>
      <c r="N127" s="58">
        <f t="shared" si="669"/>
        <v>894454.93411999987</v>
      </c>
      <c r="O127" s="54">
        <f t="shared" si="670"/>
        <v>264875.16000000003</v>
      </c>
      <c r="P127" s="58">
        <f t="shared" si="671"/>
        <v>875624.30392800015</v>
      </c>
      <c r="Q127" s="56">
        <f t="shared" si="672"/>
        <v>259178.92</v>
      </c>
      <c r="R127" s="58">
        <f t="shared" si="673"/>
        <v>856793.67373600008</v>
      </c>
      <c r="S127" s="54">
        <f t="shared" si="674"/>
        <v>253482.68</v>
      </c>
      <c r="T127" s="58">
        <f t="shared" si="675"/>
        <v>837963.04354400001</v>
      </c>
      <c r="U127" s="56">
        <f t="shared" si="676"/>
        <v>247786.44</v>
      </c>
      <c r="V127" s="58">
        <f t="shared" si="677"/>
        <v>819132.41335200006</v>
      </c>
      <c r="W127" s="59">
        <f t="shared" si="678"/>
        <v>242090.19999999998</v>
      </c>
      <c r="X127" s="58">
        <f t="shared" si="679"/>
        <v>800301.78315999999</v>
      </c>
      <c r="Y127" s="56">
        <f t="shared" si="680"/>
        <v>236393.96</v>
      </c>
      <c r="Z127" s="58">
        <f t="shared" si="681"/>
        <v>781471.15296800004</v>
      </c>
      <c r="AA127" s="54">
        <f t="shared" si="682"/>
        <v>230697.71999999997</v>
      </c>
      <c r="AB127" s="58">
        <f t="shared" si="683"/>
        <v>762640.52277599997</v>
      </c>
      <c r="AC127" s="59">
        <f t="shared" si="684"/>
        <v>225001.47999999998</v>
      </c>
      <c r="AD127" s="58">
        <f t="shared" si="685"/>
        <v>743809.8925839999</v>
      </c>
      <c r="AE127" s="59">
        <f t="shared" si="686"/>
        <v>219305.23999999996</v>
      </c>
      <c r="AF127" s="58">
        <f t="shared" si="687"/>
        <v>724979.26239199995</v>
      </c>
      <c r="AG127" s="59">
        <f t="shared" si="688"/>
        <v>213608.99999999997</v>
      </c>
      <c r="AH127" s="58">
        <f t="shared" si="689"/>
        <v>706148.63219999988</v>
      </c>
      <c r="AI127" s="54">
        <f t="shared" si="690"/>
        <v>207912.75999999995</v>
      </c>
      <c r="AJ127" s="58">
        <f t="shared" si="691"/>
        <v>687318.00200799981</v>
      </c>
      <c r="AK127" s="59">
        <f t="shared" si="692"/>
        <v>202216.51999999996</v>
      </c>
      <c r="AL127" s="58">
        <f t="shared" si="693"/>
        <v>668487.37181599985</v>
      </c>
      <c r="AM127" s="59">
        <f t="shared" si="694"/>
        <v>196520.27999999994</v>
      </c>
      <c r="AN127" s="58">
        <f t="shared" si="695"/>
        <v>649656.74162399978</v>
      </c>
      <c r="AO127" s="59">
        <f t="shared" si="696"/>
        <v>190824.03999999995</v>
      </c>
      <c r="AP127" s="58">
        <f t="shared" si="697"/>
        <v>630826.11143199983</v>
      </c>
      <c r="AQ127" s="59">
        <f t="shared" si="698"/>
        <v>185127.79999999993</v>
      </c>
      <c r="AR127" s="58">
        <f t="shared" si="699"/>
        <v>611995.48123999976</v>
      </c>
      <c r="AS127" s="54">
        <f t="shared" si="700"/>
        <v>179431.55999999994</v>
      </c>
      <c r="AT127" s="58">
        <f t="shared" si="701"/>
        <v>593164.85104799981</v>
      </c>
      <c r="AU127" s="59">
        <f t="shared" si="702"/>
        <v>173735.31999999992</v>
      </c>
      <c r="AV127" s="58">
        <f t="shared" si="703"/>
        <v>574334.22085599974</v>
      </c>
      <c r="AW127" s="59">
        <f t="shared" si="704"/>
        <v>168039.07999999993</v>
      </c>
      <c r="AX127" s="58">
        <f t="shared" si="705"/>
        <v>555503.59066399978</v>
      </c>
      <c r="AY127" s="54">
        <f t="shared" si="706"/>
        <v>162342.83999999991</v>
      </c>
      <c r="AZ127" s="58">
        <f t="shared" si="707"/>
        <v>536672.96047199972</v>
      </c>
      <c r="BC127" s="54">
        <v>1</v>
      </c>
      <c r="BD127" s="54">
        <v>0.97</v>
      </c>
      <c r="BE127" s="54">
        <v>0.95</v>
      </c>
      <c r="BF127" s="54">
        <v>0.93</v>
      </c>
      <c r="BG127" s="54">
        <f t="shared" si="708"/>
        <v>0.91</v>
      </c>
      <c r="BH127" s="54">
        <f t="shared" si="708"/>
        <v>0.89</v>
      </c>
      <c r="BI127" s="54">
        <f t="shared" si="708"/>
        <v>0.87</v>
      </c>
      <c r="BJ127" s="54">
        <f t="shared" si="708"/>
        <v>0.85</v>
      </c>
      <c r="BK127" s="54">
        <f t="shared" si="708"/>
        <v>0.83</v>
      </c>
      <c r="BL127" s="54">
        <f t="shared" si="708"/>
        <v>0.80999999999999994</v>
      </c>
      <c r="BM127" s="54">
        <f t="shared" si="708"/>
        <v>0.78999999999999992</v>
      </c>
      <c r="BN127" s="54">
        <f t="shared" si="708"/>
        <v>0.76999999999999991</v>
      </c>
      <c r="BO127" s="54">
        <f t="shared" si="708"/>
        <v>0.74999999999999989</v>
      </c>
      <c r="BP127" s="54">
        <f t="shared" si="708"/>
        <v>0.72999999999999987</v>
      </c>
      <c r="BQ127" s="54">
        <f t="shared" si="708"/>
        <v>0.70999999999999985</v>
      </c>
      <c r="BR127" s="54">
        <f t="shared" si="708"/>
        <v>0.68999999999999984</v>
      </c>
      <c r="BS127" s="54">
        <f t="shared" si="708"/>
        <v>0.66999999999999982</v>
      </c>
      <c r="BT127" s="54">
        <f t="shared" si="708"/>
        <v>0.6499999999999998</v>
      </c>
      <c r="BU127" s="54">
        <f t="shared" si="708"/>
        <v>0.62999999999999978</v>
      </c>
      <c r="BV127" s="54">
        <f t="shared" si="708"/>
        <v>0.60999999999999976</v>
      </c>
      <c r="BW127" s="54">
        <f t="shared" si="708"/>
        <v>0.58999999999999975</v>
      </c>
      <c r="BX127" s="54">
        <f t="shared" si="708"/>
        <v>0.56999999999999973</v>
      </c>
      <c r="BZ127" s="54">
        <f t="shared" si="513"/>
        <v>259178.92</v>
      </c>
      <c r="CA127" s="54">
        <f t="shared" si="514"/>
        <v>259178.92</v>
      </c>
      <c r="CB127" s="58">
        <f t="shared" si="709"/>
        <v>856793.67373600008</v>
      </c>
      <c r="CC127" s="54">
        <f t="shared" si="710"/>
        <v>251403.55240000002</v>
      </c>
      <c r="CD127" s="58">
        <f t="shared" si="711"/>
        <v>831089.86352392007</v>
      </c>
      <c r="CE127" s="54">
        <f t="shared" si="712"/>
        <v>246219.97399999999</v>
      </c>
      <c r="CF127" s="58">
        <f t="shared" si="713"/>
        <v>813953.99004920002</v>
      </c>
      <c r="CG127" s="54">
        <f t="shared" si="714"/>
        <v>241036.39560000002</v>
      </c>
      <c r="CH127" s="58">
        <f t="shared" si="715"/>
        <v>796818.11657448008</v>
      </c>
      <c r="CI127" s="56">
        <f t="shared" si="716"/>
        <v>235852.81720000002</v>
      </c>
      <c r="CJ127" s="58">
        <f t="shared" si="717"/>
        <v>779682.24309976003</v>
      </c>
      <c r="CK127" s="54">
        <f t="shared" si="718"/>
        <v>230669.23880000002</v>
      </c>
      <c r="CL127" s="58">
        <f t="shared" si="719"/>
        <v>762546.3696250401</v>
      </c>
      <c r="CM127" s="56">
        <f t="shared" si="720"/>
        <v>225485.66040000002</v>
      </c>
      <c r="CN127" s="58">
        <f t="shared" si="721"/>
        <v>745410.49615032005</v>
      </c>
      <c r="CO127" s="59">
        <f t="shared" si="722"/>
        <v>220302.08199999999</v>
      </c>
      <c r="CP127" s="58">
        <f t="shared" si="723"/>
        <v>728274.6226756</v>
      </c>
      <c r="CQ127" s="56">
        <f t="shared" si="724"/>
        <v>215118.5036</v>
      </c>
      <c r="CR127" s="58">
        <f t="shared" si="725"/>
        <v>711138.74920087995</v>
      </c>
      <c r="CS127" s="54">
        <f t="shared" si="726"/>
        <v>209934.9252</v>
      </c>
      <c r="CT127" s="58">
        <f t="shared" si="727"/>
        <v>694002.87572616001</v>
      </c>
      <c r="CU127" s="59">
        <f t="shared" si="728"/>
        <v>204751.3468</v>
      </c>
      <c r="CV127" s="58">
        <f t="shared" si="729"/>
        <v>676867.00225143996</v>
      </c>
      <c r="CW127" s="59">
        <f t="shared" si="730"/>
        <v>199567.76839999997</v>
      </c>
      <c r="CX127" s="58">
        <f t="shared" si="731"/>
        <v>659731.12877671991</v>
      </c>
      <c r="CY127" s="59">
        <f t="shared" si="732"/>
        <v>194384.18999999997</v>
      </c>
      <c r="CZ127" s="58">
        <f t="shared" si="733"/>
        <v>642595.25530199998</v>
      </c>
      <c r="DA127" s="54">
        <f t="shared" si="734"/>
        <v>189200.61159999997</v>
      </c>
      <c r="DB127" s="58">
        <f t="shared" si="735"/>
        <v>625459.38182727993</v>
      </c>
      <c r="DC127" s="59">
        <f t="shared" si="736"/>
        <v>184017.03319999998</v>
      </c>
      <c r="DD127" s="58">
        <f t="shared" si="737"/>
        <v>608323.50835255999</v>
      </c>
      <c r="DE127" s="59">
        <f t="shared" si="738"/>
        <v>178833.45479999998</v>
      </c>
      <c r="DF127" s="58">
        <f t="shared" si="739"/>
        <v>591187.63487783994</v>
      </c>
      <c r="DG127" s="59">
        <f t="shared" si="740"/>
        <v>173649.87639999995</v>
      </c>
      <c r="DH127" s="58">
        <f t="shared" si="741"/>
        <v>574051.76140311989</v>
      </c>
      <c r="DI127" s="59">
        <f t="shared" si="742"/>
        <v>168466.29799999995</v>
      </c>
      <c r="DJ127" s="58">
        <f t="shared" si="743"/>
        <v>556915.88792839984</v>
      </c>
      <c r="DK127" s="54">
        <f t="shared" si="744"/>
        <v>163282.71959999995</v>
      </c>
      <c r="DL127" s="58">
        <f t="shared" si="745"/>
        <v>539780.01445367991</v>
      </c>
      <c r="DM127" s="59">
        <f t="shared" si="746"/>
        <v>158099.14119999995</v>
      </c>
      <c r="DN127" s="58">
        <f t="shared" si="747"/>
        <v>522644.14097895985</v>
      </c>
      <c r="DO127" s="59">
        <f t="shared" si="748"/>
        <v>152915.56279999996</v>
      </c>
      <c r="DP127" s="58">
        <f t="shared" si="749"/>
        <v>505508.26750423986</v>
      </c>
      <c r="DQ127" s="54">
        <f t="shared" si="750"/>
        <v>147731.98439999993</v>
      </c>
      <c r="DR127" s="58">
        <f t="shared" si="751"/>
        <v>488372.39402951975</v>
      </c>
      <c r="DU127" s="54">
        <v>1</v>
      </c>
      <c r="DV127" s="54">
        <v>0.97</v>
      </c>
      <c r="DW127" s="54">
        <v>0.95</v>
      </c>
      <c r="DX127" s="54">
        <v>0.93</v>
      </c>
      <c r="DY127" s="54">
        <f t="shared" si="797"/>
        <v>0.91</v>
      </c>
      <c r="DZ127" s="54">
        <f t="shared" si="797"/>
        <v>0.89</v>
      </c>
      <c r="EA127" s="54">
        <f t="shared" si="797"/>
        <v>0.87</v>
      </c>
      <c r="EB127" s="54">
        <f t="shared" si="797"/>
        <v>0.85</v>
      </c>
      <c r="EC127" s="54">
        <f t="shared" si="797"/>
        <v>0.83</v>
      </c>
      <c r="ED127" s="54">
        <f t="shared" si="797"/>
        <v>0.80999999999999994</v>
      </c>
      <c r="EE127" s="54">
        <f t="shared" si="797"/>
        <v>0.78999999999999992</v>
      </c>
      <c r="EF127" s="54">
        <f t="shared" si="797"/>
        <v>0.76999999999999991</v>
      </c>
      <c r="EG127" s="54">
        <f t="shared" si="797"/>
        <v>0.74999999999999989</v>
      </c>
      <c r="EH127" s="54">
        <f t="shared" si="797"/>
        <v>0.72999999999999987</v>
      </c>
      <c r="EI127" s="54">
        <f t="shared" si="797"/>
        <v>0.70999999999999985</v>
      </c>
      <c r="EJ127" s="54">
        <f t="shared" si="797"/>
        <v>0.68999999999999984</v>
      </c>
      <c r="EK127" s="54">
        <f t="shared" si="797"/>
        <v>0.66999999999999982</v>
      </c>
      <c r="EL127" s="54">
        <f t="shared" si="797"/>
        <v>0.6499999999999998</v>
      </c>
      <c r="EM127" s="54">
        <f t="shared" si="797"/>
        <v>0.62999999999999978</v>
      </c>
      <c r="EN127" s="54">
        <f t="shared" si="797"/>
        <v>0.60999999999999976</v>
      </c>
      <c r="EO127" s="54">
        <f t="shared" si="797"/>
        <v>0.58999999999999975</v>
      </c>
      <c r="EP127" s="54">
        <f t="shared" si="797"/>
        <v>0.56999999999999973</v>
      </c>
      <c r="ER127" s="54">
        <f t="shared" si="653"/>
        <v>235852.81720000002</v>
      </c>
      <c r="ES127" s="54">
        <f t="shared" si="515"/>
        <v>235852.81720000002</v>
      </c>
      <c r="ET127" s="58">
        <f t="shared" si="752"/>
        <v>779682.24309976003</v>
      </c>
      <c r="EU127" s="54">
        <f t="shared" si="753"/>
        <v>228777.23268400002</v>
      </c>
      <c r="EV127" s="58">
        <f t="shared" si="754"/>
        <v>756291.77580676728</v>
      </c>
      <c r="EW127" s="54">
        <f t="shared" si="755"/>
        <v>224060.17634000001</v>
      </c>
      <c r="EX127" s="58">
        <f t="shared" si="756"/>
        <v>740698.13094477204</v>
      </c>
      <c r="EY127" s="54">
        <f t="shared" si="757"/>
        <v>219343.11999600002</v>
      </c>
      <c r="EZ127" s="58">
        <f t="shared" si="758"/>
        <v>725104.48608277692</v>
      </c>
      <c r="FA127" s="56">
        <f t="shared" si="759"/>
        <v>214626.06365200001</v>
      </c>
      <c r="FB127" s="58">
        <f t="shared" si="760"/>
        <v>709510.84122078167</v>
      </c>
      <c r="FC127" s="54">
        <f t="shared" si="761"/>
        <v>209909.00730800003</v>
      </c>
      <c r="FD127" s="58">
        <f t="shared" si="762"/>
        <v>693917.19635878655</v>
      </c>
      <c r="FE127" s="56">
        <f t="shared" si="763"/>
        <v>205191.95096400002</v>
      </c>
      <c r="FF127" s="58">
        <f t="shared" si="764"/>
        <v>678323.5514967913</v>
      </c>
      <c r="FG127" s="59">
        <f t="shared" si="765"/>
        <v>200474.89462000001</v>
      </c>
      <c r="FH127" s="58">
        <f t="shared" si="766"/>
        <v>662729.90663479606</v>
      </c>
      <c r="FI127" s="56">
        <f t="shared" si="767"/>
        <v>195757.83827599999</v>
      </c>
      <c r="FJ127" s="58">
        <f t="shared" si="768"/>
        <v>647136.26177280082</v>
      </c>
      <c r="FK127" s="54">
        <f t="shared" si="769"/>
        <v>191040.78193200001</v>
      </c>
      <c r="FL127" s="58">
        <f t="shared" si="770"/>
        <v>631542.61691080569</v>
      </c>
      <c r="FM127" s="59">
        <f t="shared" si="771"/>
        <v>186323.725588</v>
      </c>
      <c r="FN127" s="58">
        <f t="shared" si="772"/>
        <v>615948.97204881045</v>
      </c>
      <c r="FO127" s="59">
        <f t="shared" si="773"/>
        <v>181606.66924399999</v>
      </c>
      <c r="FP127" s="58">
        <f t="shared" si="774"/>
        <v>600355.32718681521</v>
      </c>
      <c r="FQ127" s="59">
        <f t="shared" si="775"/>
        <v>176889.61289999998</v>
      </c>
      <c r="FR127" s="58">
        <f t="shared" si="776"/>
        <v>584761.68232481997</v>
      </c>
      <c r="FS127" s="54">
        <f t="shared" si="777"/>
        <v>172172.556556</v>
      </c>
      <c r="FT127" s="58">
        <f t="shared" si="778"/>
        <v>569168.03746282484</v>
      </c>
      <c r="FU127" s="59">
        <f t="shared" si="779"/>
        <v>167455.50021199998</v>
      </c>
      <c r="FV127" s="58">
        <f t="shared" si="780"/>
        <v>553574.3926008296</v>
      </c>
      <c r="FW127" s="59">
        <f t="shared" si="781"/>
        <v>162738.44386799997</v>
      </c>
      <c r="FX127" s="58">
        <f t="shared" si="782"/>
        <v>537980.74773883435</v>
      </c>
      <c r="FY127" s="59">
        <f t="shared" si="783"/>
        <v>158021.38752399996</v>
      </c>
      <c r="FZ127" s="58">
        <f t="shared" si="784"/>
        <v>522387.10287683911</v>
      </c>
      <c r="GA127" s="59">
        <f t="shared" si="785"/>
        <v>153304.33117999998</v>
      </c>
      <c r="GB127" s="58">
        <f t="shared" si="786"/>
        <v>506793.45801484393</v>
      </c>
      <c r="GC127" s="54">
        <f t="shared" si="787"/>
        <v>148587.27483599997</v>
      </c>
      <c r="GD127" s="58">
        <f t="shared" si="788"/>
        <v>491199.81315284868</v>
      </c>
      <c r="GE127" s="59">
        <f t="shared" si="789"/>
        <v>143870.21849199996</v>
      </c>
      <c r="GF127" s="58">
        <f t="shared" si="790"/>
        <v>475606.16829085344</v>
      </c>
      <c r="GG127" s="59">
        <f t="shared" si="791"/>
        <v>139153.16214799994</v>
      </c>
      <c r="GH127" s="58">
        <f t="shared" si="792"/>
        <v>460012.5234288582</v>
      </c>
      <c r="GI127" s="54">
        <f t="shared" si="793"/>
        <v>134436.10580399993</v>
      </c>
      <c r="GJ127" s="58">
        <f t="shared" si="794"/>
        <v>444418.87856686302</v>
      </c>
      <c r="GK127" s="54"/>
      <c r="GL127" s="54"/>
      <c r="GM127" s="54">
        <v>1</v>
      </c>
      <c r="GN127" s="54">
        <v>0.97</v>
      </c>
      <c r="GO127" s="54">
        <v>0.95</v>
      </c>
      <c r="GP127" s="54">
        <v>0.93</v>
      </c>
      <c r="GQ127" s="54">
        <f t="shared" si="798"/>
        <v>0.91</v>
      </c>
      <c r="GR127" s="54">
        <f t="shared" si="798"/>
        <v>0.89</v>
      </c>
      <c r="GS127" s="54">
        <f t="shared" si="798"/>
        <v>0.87</v>
      </c>
      <c r="GT127" s="54">
        <f t="shared" si="798"/>
        <v>0.85</v>
      </c>
      <c r="GU127" s="54">
        <f t="shared" si="798"/>
        <v>0.83</v>
      </c>
      <c r="GV127" s="54">
        <f t="shared" si="798"/>
        <v>0.80999999999999994</v>
      </c>
      <c r="GW127" s="54">
        <f t="shared" si="798"/>
        <v>0.78999999999999992</v>
      </c>
      <c r="GX127" s="54">
        <f t="shared" si="798"/>
        <v>0.76999999999999991</v>
      </c>
      <c r="GY127" s="54">
        <f t="shared" si="798"/>
        <v>0.74999999999999989</v>
      </c>
      <c r="GZ127" s="54">
        <f t="shared" si="798"/>
        <v>0.72999999999999987</v>
      </c>
      <c r="HA127" s="54">
        <f t="shared" si="798"/>
        <v>0.70999999999999985</v>
      </c>
      <c r="HB127" s="54">
        <f t="shared" si="798"/>
        <v>0.68999999999999984</v>
      </c>
      <c r="HC127" s="54">
        <f t="shared" si="798"/>
        <v>0.66999999999999982</v>
      </c>
      <c r="HD127" s="54">
        <f t="shared" si="798"/>
        <v>0.6499999999999998</v>
      </c>
      <c r="HE127" s="54">
        <f t="shared" si="798"/>
        <v>0.62999999999999978</v>
      </c>
      <c r="HF127" s="54">
        <f t="shared" si="798"/>
        <v>0.60999999999999976</v>
      </c>
      <c r="HG127" s="54">
        <f t="shared" si="798"/>
        <v>0.58999999999999975</v>
      </c>
      <c r="HH127" s="54">
        <f t="shared" si="798"/>
        <v>0.56999999999999973</v>
      </c>
    </row>
    <row r="128" spans="1:216" s="63" customFormat="1" x14ac:dyDescent="0.3">
      <c r="C128" s="64"/>
      <c r="D128" s="64"/>
      <c r="E128" s="64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1"/>
      <c r="Q128" s="60"/>
      <c r="R128" s="60"/>
      <c r="S128" s="60"/>
      <c r="T128" s="61"/>
      <c r="U128" s="60"/>
      <c r="V128" s="62"/>
      <c r="W128" s="60"/>
      <c r="X128" s="61"/>
      <c r="Y128" s="60"/>
      <c r="Z128" s="60"/>
      <c r="AA128" s="60"/>
      <c r="AB128" s="62"/>
      <c r="AC128" s="60"/>
      <c r="AD128" s="62"/>
      <c r="AE128" s="60"/>
      <c r="AF128" s="62"/>
      <c r="AG128" s="60"/>
      <c r="AH128" s="60"/>
      <c r="AI128" s="60"/>
      <c r="AJ128" s="62"/>
      <c r="AK128" s="60"/>
      <c r="AL128" s="62"/>
      <c r="AM128" s="60"/>
      <c r="AN128" s="62"/>
      <c r="AO128" s="60"/>
      <c r="AP128" s="62"/>
      <c r="AQ128" s="60"/>
      <c r="AR128" s="60"/>
      <c r="AS128" s="60"/>
      <c r="AT128" s="62"/>
      <c r="AU128" s="60"/>
      <c r="AV128" s="62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>
        <f t="shared" ref="BY128:BY129" si="799">+G128*0.91</f>
        <v>0</v>
      </c>
      <c r="BZ128" s="60"/>
      <c r="CA128" s="60"/>
      <c r="CB128" s="60"/>
      <c r="CC128" s="60"/>
      <c r="CD128" s="60"/>
      <c r="CE128" s="60"/>
      <c r="CF128" s="60"/>
      <c r="CG128" s="60"/>
      <c r="CH128" s="61"/>
      <c r="CI128" s="60"/>
      <c r="CJ128" s="60"/>
      <c r="CK128" s="60"/>
      <c r="CL128" s="61"/>
      <c r="CM128" s="60"/>
      <c r="CN128" s="62"/>
      <c r="CO128" s="60"/>
      <c r="CP128" s="61"/>
      <c r="CQ128" s="60"/>
      <c r="CR128" s="60"/>
      <c r="CS128" s="60"/>
      <c r="CT128" s="62"/>
      <c r="CU128" s="60"/>
      <c r="CV128" s="62"/>
      <c r="CW128" s="60"/>
      <c r="CX128" s="62"/>
      <c r="CY128" s="60"/>
      <c r="CZ128" s="60"/>
      <c r="DA128" s="60"/>
      <c r="DB128" s="62"/>
      <c r="DC128" s="60"/>
      <c r="DD128" s="62"/>
      <c r="DE128" s="60"/>
      <c r="DF128" s="62"/>
      <c r="DG128" s="60"/>
      <c r="DH128" s="62"/>
      <c r="DI128" s="60"/>
      <c r="DJ128" s="60"/>
      <c r="DK128" s="60"/>
      <c r="DL128" s="62"/>
      <c r="DM128" s="60"/>
      <c r="DN128" s="62"/>
      <c r="DO128" s="60"/>
      <c r="DP128" s="60"/>
      <c r="DQ128" s="60"/>
      <c r="DR128" s="60"/>
      <c r="DS128" s="60"/>
      <c r="DT128" s="60">
        <v>1</v>
      </c>
      <c r="DU128" s="60">
        <v>0.97</v>
      </c>
      <c r="DV128" s="60">
        <v>0.95</v>
      </c>
      <c r="DW128" s="60">
        <v>0.93</v>
      </c>
      <c r="DX128" s="60">
        <f t="shared" ref="DX128:EO129" si="800">+DW128-0.02</f>
        <v>0.91</v>
      </c>
      <c r="DY128" s="60">
        <f t="shared" si="800"/>
        <v>0.89</v>
      </c>
      <c r="DZ128" s="60">
        <f t="shared" si="800"/>
        <v>0.87</v>
      </c>
      <c r="EA128" s="60">
        <f t="shared" si="800"/>
        <v>0.85</v>
      </c>
      <c r="EB128" s="60">
        <f t="shared" si="800"/>
        <v>0.83</v>
      </c>
      <c r="EC128" s="60">
        <f t="shared" si="800"/>
        <v>0.80999999999999994</v>
      </c>
      <c r="ED128" s="60">
        <f t="shared" si="800"/>
        <v>0.78999999999999992</v>
      </c>
      <c r="EE128" s="60">
        <f t="shared" si="800"/>
        <v>0.76999999999999991</v>
      </c>
      <c r="EF128" s="60">
        <f t="shared" si="800"/>
        <v>0.74999999999999989</v>
      </c>
      <c r="EG128" s="60">
        <f t="shared" si="800"/>
        <v>0.72999999999999987</v>
      </c>
      <c r="EH128" s="60">
        <f t="shared" si="800"/>
        <v>0.70999999999999985</v>
      </c>
      <c r="EI128" s="60">
        <f t="shared" si="800"/>
        <v>0.68999999999999984</v>
      </c>
      <c r="EJ128" s="60">
        <f t="shared" si="800"/>
        <v>0.66999999999999982</v>
      </c>
      <c r="EK128" s="60">
        <f t="shared" si="800"/>
        <v>0.6499999999999998</v>
      </c>
      <c r="EL128" s="60">
        <f t="shared" si="800"/>
        <v>0.62999999999999978</v>
      </c>
      <c r="EM128" s="60">
        <f t="shared" si="800"/>
        <v>0.60999999999999976</v>
      </c>
      <c r="EN128" s="60">
        <f t="shared" si="800"/>
        <v>0.58999999999999975</v>
      </c>
      <c r="EO128" s="60">
        <f t="shared" si="800"/>
        <v>0.56999999999999973</v>
      </c>
      <c r="EQ128" s="60">
        <f t="shared" ref="EQ128:EQ129" si="801">+BY128*0.91</f>
        <v>0</v>
      </c>
      <c r="ER128" s="60"/>
      <c r="ES128" s="60"/>
      <c r="ET128" s="60"/>
      <c r="EU128" s="60"/>
      <c r="EV128" s="60"/>
      <c r="EW128" s="60"/>
      <c r="EX128" s="60"/>
      <c r="EY128" s="60"/>
      <c r="EZ128" s="61"/>
      <c r="FA128" s="60"/>
      <c r="FB128" s="60"/>
      <c r="FC128" s="60"/>
      <c r="FD128" s="61"/>
      <c r="FE128" s="60"/>
      <c r="FF128" s="62"/>
      <c r="FG128" s="60"/>
      <c r="FH128" s="61"/>
      <c r="FI128" s="60"/>
      <c r="FJ128" s="60"/>
      <c r="FK128" s="60"/>
      <c r="FL128" s="62"/>
      <c r="FM128" s="60"/>
      <c r="FN128" s="62"/>
      <c r="FO128" s="60"/>
      <c r="FP128" s="62"/>
      <c r="FQ128" s="60"/>
      <c r="FR128" s="60"/>
      <c r="FS128" s="60"/>
      <c r="FT128" s="62"/>
      <c r="FU128" s="60"/>
      <c r="FV128" s="62"/>
      <c r="FW128" s="60"/>
      <c r="FX128" s="62"/>
      <c r="FY128" s="60"/>
      <c r="FZ128" s="62"/>
      <c r="GA128" s="60"/>
      <c r="GB128" s="60"/>
      <c r="GC128" s="60"/>
      <c r="GD128" s="62"/>
      <c r="GE128" s="60"/>
      <c r="GF128" s="62"/>
      <c r="GG128" s="60"/>
      <c r="GH128" s="60"/>
      <c r="GI128" s="60"/>
      <c r="GJ128" s="60"/>
      <c r="GK128" s="60"/>
      <c r="GL128" s="60">
        <v>1</v>
      </c>
      <c r="GM128" s="60">
        <v>0.97</v>
      </c>
      <c r="GN128" s="60">
        <v>0.95</v>
      </c>
      <c r="GO128" s="60">
        <v>0.93</v>
      </c>
      <c r="GP128" s="60">
        <f t="shared" ref="GP128:HG129" si="802">+GO128-0.02</f>
        <v>0.91</v>
      </c>
      <c r="GQ128" s="60">
        <f t="shared" si="802"/>
        <v>0.89</v>
      </c>
      <c r="GR128" s="60">
        <f t="shared" si="802"/>
        <v>0.87</v>
      </c>
      <c r="GS128" s="60">
        <f t="shared" si="802"/>
        <v>0.85</v>
      </c>
      <c r="GT128" s="60">
        <f t="shared" si="802"/>
        <v>0.83</v>
      </c>
      <c r="GU128" s="60">
        <f t="shared" si="802"/>
        <v>0.80999999999999994</v>
      </c>
      <c r="GV128" s="60">
        <f t="shared" si="802"/>
        <v>0.78999999999999992</v>
      </c>
      <c r="GW128" s="60">
        <f t="shared" si="802"/>
        <v>0.76999999999999991</v>
      </c>
      <c r="GX128" s="60">
        <f t="shared" si="802"/>
        <v>0.74999999999999989</v>
      </c>
      <c r="GY128" s="60">
        <f t="shared" si="802"/>
        <v>0.72999999999999987</v>
      </c>
      <c r="GZ128" s="60">
        <f t="shared" si="802"/>
        <v>0.70999999999999985</v>
      </c>
      <c r="HA128" s="60">
        <f t="shared" si="802"/>
        <v>0.68999999999999984</v>
      </c>
      <c r="HB128" s="60">
        <f t="shared" si="802"/>
        <v>0.66999999999999982</v>
      </c>
      <c r="HC128" s="60">
        <f t="shared" si="802"/>
        <v>0.6499999999999998</v>
      </c>
      <c r="HD128" s="60">
        <f t="shared" si="802"/>
        <v>0.62999999999999978</v>
      </c>
      <c r="HE128" s="60">
        <f t="shared" si="802"/>
        <v>0.60999999999999976</v>
      </c>
      <c r="HF128" s="60">
        <f t="shared" si="802"/>
        <v>0.58999999999999975</v>
      </c>
      <c r="HG128" s="60">
        <f t="shared" si="802"/>
        <v>0.56999999999999973</v>
      </c>
    </row>
    <row r="129" spans="1:216" s="63" customFormat="1" ht="17.25" thickBot="1" x14ac:dyDescent="0.35">
      <c r="B129" s="63" t="s">
        <v>297</v>
      </c>
      <c r="C129" s="63" t="s">
        <v>294</v>
      </c>
      <c r="D129" s="64" t="s">
        <v>304</v>
      </c>
      <c r="E129" s="64" t="s">
        <v>324</v>
      </c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1"/>
      <c r="Q129" s="60"/>
      <c r="R129" s="60"/>
      <c r="S129" s="60"/>
      <c r="T129" s="61"/>
      <c r="U129" s="60"/>
      <c r="V129" s="62"/>
      <c r="W129" s="60"/>
      <c r="X129" s="61"/>
      <c r="Y129" s="60"/>
      <c r="Z129" s="60"/>
      <c r="AA129" s="60"/>
      <c r="AB129" s="62"/>
      <c r="AC129" s="60"/>
      <c r="AD129" s="62"/>
      <c r="AE129" s="60"/>
      <c r="AF129" s="62"/>
      <c r="AG129" s="60"/>
      <c r="AH129" s="60"/>
      <c r="AI129" s="60"/>
      <c r="AJ129" s="62"/>
      <c r="AK129" s="60"/>
      <c r="AL129" s="62"/>
      <c r="AM129" s="60"/>
      <c r="AN129" s="62"/>
      <c r="AO129" s="60"/>
      <c r="AP129" s="62"/>
      <c r="AQ129" s="60"/>
      <c r="AR129" s="60"/>
      <c r="AS129" s="60"/>
      <c r="AT129" s="62"/>
      <c r="AU129" s="60"/>
      <c r="AV129" s="62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>
        <f t="shared" si="799"/>
        <v>0</v>
      </c>
      <c r="BZ129" s="60"/>
      <c r="CA129" s="60"/>
      <c r="CB129" s="60"/>
      <c r="CC129" s="60"/>
      <c r="CD129" s="60"/>
      <c r="CE129" s="60"/>
      <c r="CF129" s="60"/>
      <c r="CG129" s="60"/>
      <c r="CH129" s="61"/>
      <c r="CI129" s="60"/>
      <c r="CJ129" s="60"/>
      <c r="CK129" s="60"/>
      <c r="CL129" s="61"/>
      <c r="CM129" s="60"/>
      <c r="CN129" s="62"/>
      <c r="CO129" s="60"/>
      <c r="CP129" s="61"/>
      <c r="CQ129" s="60"/>
      <c r="CR129" s="60"/>
      <c r="CS129" s="60"/>
      <c r="CT129" s="62"/>
      <c r="CU129" s="60"/>
      <c r="CV129" s="62"/>
      <c r="CW129" s="60"/>
      <c r="CX129" s="62"/>
      <c r="CY129" s="60"/>
      <c r="CZ129" s="60"/>
      <c r="DA129" s="60"/>
      <c r="DB129" s="62"/>
      <c r="DC129" s="60"/>
      <c r="DD129" s="62"/>
      <c r="DE129" s="60"/>
      <c r="DF129" s="62"/>
      <c r="DG129" s="60"/>
      <c r="DH129" s="62"/>
      <c r="DI129" s="60"/>
      <c r="DJ129" s="60"/>
      <c r="DK129" s="60"/>
      <c r="DL129" s="62"/>
      <c r="DM129" s="60"/>
      <c r="DN129" s="62"/>
      <c r="DO129" s="60"/>
      <c r="DP129" s="60"/>
      <c r="DQ129" s="60"/>
      <c r="DR129" s="60"/>
      <c r="DS129" s="60"/>
      <c r="DT129" s="60">
        <v>1</v>
      </c>
      <c r="DU129" s="60">
        <v>0.97</v>
      </c>
      <c r="DV129" s="60">
        <v>0.95</v>
      </c>
      <c r="DW129" s="60">
        <v>0.93</v>
      </c>
      <c r="DX129" s="60">
        <f t="shared" si="800"/>
        <v>0.91</v>
      </c>
      <c r="DY129" s="60">
        <f t="shared" si="800"/>
        <v>0.89</v>
      </c>
      <c r="DZ129" s="60">
        <f t="shared" si="800"/>
        <v>0.87</v>
      </c>
      <c r="EA129" s="60">
        <f t="shared" si="800"/>
        <v>0.85</v>
      </c>
      <c r="EB129" s="60">
        <f t="shared" si="800"/>
        <v>0.83</v>
      </c>
      <c r="EC129" s="60">
        <f t="shared" si="800"/>
        <v>0.80999999999999994</v>
      </c>
      <c r="ED129" s="60">
        <f t="shared" si="800"/>
        <v>0.78999999999999992</v>
      </c>
      <c r="EE129" s="60">
        <f t="shared" si="800"/>
        <v>0.76999999999999991</v>
      </c>
      <c r="EF129" s="60">
        <f t="shared" si="800"/>
        <v>0.74999999999999989</v>
      </c>
      <c r="EG129" s="60">
        <f t="shared" si="800"/>
        <v>0.72999999999999987</v>
      </c>
      <c r="EH129" s="60">
        <f t="shared" si="800"/>
        <v>0.70999999999999985</v>
      </c>
      <c r="EI129" s="60">
        <f t="shared" si="800"/>
        <v>0.68999999999999984</v>
      </c>
      <c r="EJ129" s="60">
        <f t="shared" si="800"/>
        <v>0.66999999999999982</v>
      </c>
      <c r="EK129" s="60">
        <f t="shared" si="800"/>
        <v>0.6499999999999998</v>
      </c>
      <c r="EL129" s="60">
        <f t="shared" si="800"/>
        <v>0.62999999999999978</v>
      </c>
      <c r="EM129" s="60">
        <f t="shared" si="800"/>
        <v>0.60999999999999976</v>
      </c>
      <c r="EN129" s="60">
        <f t="shared" si="800"/>
        <v>0.58999999999999975</v>
      </c>
      <c r="EO129" s="60">
        <f t="shared" si="800"/>
        <v>0.56999999999999973</v>
      </c>
      <c r="EQ129" s="60">
        <f t="shared" si="801"/>
        <v>0</v>
      </c>
      <c r="ER129" s="60"/>
      <c r="ES129" s="60"/>
      <c r="ET129" s="60"/>
      <c r="EU129" s="60"/>
      <c r="EV129" s="60"/>
      <c r="EW129" s="60"/>
      <c r="EX129" s="60"/>
      <c r="EY129" s="60"/>
      <c r="EZ129" s="61"/>
      <c r="FA129" s="60"/>
      <c r="FB129" s="60"/>
      <c r="FC129" s="60"/>
      <c r="FD129" s="61"/>
      <c r="FE129" s="60"/>
      <c r="FF129" s="62"/>
      <c r="FG129" s="60"/>
      <c r="FH129" s="61"/>
      <c r="FI129" s="60"/>
      <c r="FJ129" s="60"/>
      <c r="FK129" s="60"/>
      <c r="FL129" s="62"/>
      <c r="FM129" s="60"/>
      <c r="FN129" s="62"/>
      <c r="FO129" s="60"/>
      <c r="FP129" s="62"/>
      <c r="FQ129" s="60"/>
      <c r="FR129" s="60"/>
      <c r="FS129" s="60"/>
      <c r="FT129" s="62"/>
      <c r="FU129" s="60"/>
      <c r="FV129" s="62"/>
      <c r="FW129" s="60"/>
      <c r="FX129" s="62"/>
      <c r="FY129" s="60"/>
      <c r="FZ129" s="62"/>
      <c r="GA129" s="60"/>
      <c r="GB129" s="60"/>
      <c r="GC129" s="60"/>
      <c r="GD129" s="62"/>
      <c r="GE129" s="60"/>
      <c r="GF129" s="62"/>
      <c r="GG129" s="60"/>
      <c r="GH129" s="60"/>
      <c r="GI129" s="60"/>
      <c r="GJ129" s="60"/>
      <c r="GK129" s="60"/>
      <c r="GL129" s="60">
        <v>1</v>
      </c>
      <c r="GM129" s="60">
        <v>0.97</v>
      </c>
      <c r="GN129" s="60">
        <v>0.95</v>
      </c>
      <c r="GO129" s="60">
        <v>0.93</v>
      </c>
      <c r="GP129" s="60">
        <f t="shared" si="802"/>
        <v>0.91</v>
      </c>
      <c r="GQ129" s="60">
        <f t="shared" si="802"/>
        <v>0.89</v>
      </c>
      <c r="GR129" s="60">
        <f t="shared" si="802"/>
        <v>0.87</v>
      </c>
      <c r="GS129" s="60">
        <f t="shared" si="802"/>
        <v>0.85</v>
      </c>
      <c r="GT129" s="60">
        <f t="shared" si="802"/>
        <v>0.83</v>
      </c>
      <c r="GU129" s="60">
        <f t="shared" si="802"/>
        <v>0.80999999999999994</v>
      </c>
      <c r="GV129" s="60">
        <f t="shared" si="802"/>
        <v>0.78999999999999992</v>
      </c>
      <c r="GW129" s="60">
        <f t="shared" si="802"/>
        <v>0.76999999999999991</v>
      </c>
      <c r="GX129" s="60">
        <f t="shared" si="802"/>
        <v>0.74999999999999989</v>
      </c>
      <c r="GY129" s="60">
        <f t="shared" si="802"/>
        <v>0.72999999999999987</v>
      </c>
      <c r="GZ129" s="60">
        <f t="shared" si="802"/>
        <v>0.70999999999999985</v>
      </c>
      <c r="HA129" s="60">
        <f t="shared" si="802"/>
        <v>0.68999999999999984</v>
      </c>
      <c r="HB129" s="60">
        <f t="shared" si="802"/>
        <v>0.66999999999999982</v>
      </c>
      <c r="HC129" s="60">
        <f t="shared" si="802"/>
        <v>0.6499999999999998</v>
      </c>
      <c r="HD129" s="60">
        <f t="shared" si="802"/>
        <v>0.62999999999999978</v>
      </c>
      <c r="HE129" s="60">
        <f t="shared" si="802"/>
        <v>0.60999999999999976</v>
      </c>
      <c r="HF129" s="60">
        <f t="shared" si="802"/>
        <v>0.58999999999999975</v>
      </c>
      <c r="HG129" s="60">
        <f t="shared" si="802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1">
        <f t="shared" ref="E130:E139" si="803">TRUNC(+D130*3.3058,-1)</f>
        <v>0</v>
      </c>
      <c r="H130" s="54">
        <f t="shared" si="510"/>
        <v>0</v>
      </c>
      <c r="I130" s="54">
        <f t="shared" si="511"/>
        <v>0</v>
      </c>
      <c r="J130" s="58">
        <f t="shared" si="512"/>
        <v>0</v>
      </c>
      <c r="K130" s="54">
        <f t="shared" ref="K130:K140" si="804">+I130*BD130</f>
        <v>0</v>
      </c>
      <c r="L130" s="58">
        <f t="shared" ref="L130:L140" si="805">+K130*3.3058</f>
        <v>0</v>
      </c>
      <c r="M130" s="54">
        <f t="shared" ref="M130:M140" si="806">+I130*BE130</f>
        <v>0</v>
      </c>
      <c r="N130" s="58">
        <f t="shared" ref="N130:N140" si="807">+M130*3.3058</f>
        <v>0</v>
      </c>
      <c r="O130" s="54">
        <f t="shared" ref="O130:O140" si="808">+I130*BF130</f>
        <v>0</v>
      </c>
      <c r="P130" s="58">
        <f t="shared" ref="P130:P140" si="809">+O130*3.3058</f>
        <v>0</v>
      </c>
      <c r="Q130" s="56">
        <f t="shared" ref="Q130:Q140" si="810">+I130*BG130</f>
        <v>0</v>
      </c>
      <c r="R130" s="58">
        <f t="shared" ref="R130:R140" si="811">+Q130*3.3058</f>
        <v>0</v>
      </c>
      <c r="S130" s="54">
        <f t="shared" ref="S130:S140" si="812">+I130*BH130</f>
        <v>0</v>
      </c>
      <c r="T130" s="58">
        <f t="shared" ref="T130:T140" si="813">+S130*3.3058</f>
        <v>0</v>
      </c>
      <c r="U130" s="56">
        <f t="shared" ref="U130:U140" si="814">+I130*BI130</f>
        <v>0</v>
      </c>
      <c r="V130" s="58">
        <f t="shared" ref="V130:V140" si="815">+U130*3.3058</f>
        <v>0</v>
      </c>
      <c r="W130" s="59">
        <f t="shared" ref="W130:W140" si="816">+I130*BJ130</f>
        <v>0</v>
      </c>
      <c r="X130" s="58">
        <f t="shared" ref="X130:X140" si="817">+W130*3.3058</f>
        <v>0</v>
      </c>
      <c r="Y130" s="56">
        <f t="shared" ref="Y130:Y140" si="818">+I130*BK130</f>
        <v>0</v>
      </c>
      <c r="Z130" s="58">
        <f t="shared" ref="Z130:Z140" si="819">+Y130*3.3058</f>
        <v>0</v>
      </c>
      <c r="AA130" s="54">
        <f t="shared" ref="AA130:AA140" si="820">+I130*BL130</f>
        <v>0</v>
      </c>
      <c r="AB130" s="58">
        <f t="shared" ref="AB130:AB140" si="821">+AA130*3.3058</f>
        <v>0</v>
      </c>
      <c r="AC130" s="59">
        <f t="shared" ref="AC130:AC140" si="822">+I130*BM130</f>
        <v>0</v>
      </c>
      <c r="AD130" s="58">
        <f t="shared" ref="AD130:AD140" si="823">+AC130*3.3058</f>
        <v>0</v>
      </c>
      <c r="AE130" s="59">
        <f t="shared" ref="AE130:AE140" si="824">+I130*BN130</f>
        <v>0</v>
      </c>
      <c r="AF130" s="58">
        <f t="shared" ref="AF130:AF140" si="825">+AE130*3.3058</f>
        <v>0</v>
      </c>
      <c r="AG130" s="59">
        <f t="shared" ref="AG130:AG140" si="826">+I130*BO130</f>
        <v>0</v>
      </c>
      <c r="AH130" s="58">
        <f t="shared" ref="AH130:AH140" si="827">+AG130*3.3058</f>
        <v>0</v>
      </c>
      <c r="AI130" s="54">
        <f t="shared" ref="AI130:AI140" si="828">+I130*BP130</f>
        <v>0</v>
      </c>
      <c r="AJ130" s="58">
        <f t="shared" ref="AJ130:AJ140" si="829">+AI130*3.3058</f>
        <v>0</v>
      </c>
      <c r="AK130" s="59">
        <f t="shared" ref="AK130:AK140" si="830">+I130*BQ130</f>
        <v>0</v>
      </c>
      <c r="AL130" s="58">
        <f t="shared" ref="AL130:AL140" si="831">+AK130*3.3058</f>
        <v>0</v>
      </c>
      <c r="AM130" s="59">
        <f t="shared" ref="AM130:AM140" si="832">+I130*BR130</f>
        <v>0</v>
      </c>
      <c r="AN130" s="58">
        <f t="shared" ref="AN130:AN140" si="833">+AM130*3.3058</f>
        <v>0</v>
      </c>
      <c r="AO130" s="59">
        <f t="shared" ref="AO130:AO140" si="834">+I130*BS130</f>
        <v>0</v>
      </c>
      <c r="AP130" s="58">
        <f t="shared" ref="AP130:AP140" si="835">+AO130*3.3058</f>
        <v>0</v>
      </c>
      <c r="AQ130" s="59">
        <f t="shared" ref="AQ130:AQ140" si="836">+I130*BT130</f>
        <v>0</v>
      </c>
      <c r="AR130" s="58">
        <f t="shared" ref="AR130:AR140" si="837">+AQ130*3.3058</f>
        <v>0</v>
      </c>
      <c r="AS130" s="54">
        <f t="shared" ref="AS130:AS140" si="838">+I130*BU130</f>
        <v>0</v>
      </c>
      <c r="AT130" s="58">
        <f t="shared" ref="AT130:AT140" si="839">+AS130*3.3058</f>
        <v>0</v>
      </c>
      <c r="AU130" s="59">
        <f t="shared" ref="AU130:AU140" si="840">+I130*BV130</f>
        <v>0</v>
      </c>
      <c r="AV130" s="58">
        <f t="shared" ref="AV130:AV140" si="841">+AU130*3.3058</f>
        <v>0</v>
      </c>
      <c r="AW130" s="59">
        <f t="shared" ref="AW130:AW140" si="842">+I130*BW130</f>
        <v>0</v>
      </c>
      <c r="AX130" s="58">
        <f t="shared" ref="AX130:AX140" si="843">+AW130*3.3058</f>
        <v>0</v>
      </c>
      <c r="AY130" s="54">
        <f t="shared" ref="AY130:AY140" si="844">+I130*BX130</f>
        <v>0</v>
      </c>
      <c r="AZ130" s="58">
        <f t="shared" ref="AZ130:AZ140" si="845">+AY130*3.3058</f>
        <v>0</v>
      </c>
      <c r="BC130" s="54">
        <v>1</v>
      </c>
      <c r="BD130" s="54">
        <v>0.97</v>
      </c>
      <c r="BE130" s="54">
        <v>0.95</v>
      </c>
      <c r="BF130" s="54">
        <v>0.93</v>
      </c>
      <c r="BG130" s="54">
        <f t="shared" ref="BG130:BX140" si="846">+BF130-0.02</f>
        <v>0.91</v>
      </c>
      <c r="BH130" s="54">
        <f t="shared" si="846"/>
        <v>0.89</v>
      </c>
      <c r="BI130" s="54">
        <f t="shared" si="846"/>
        <v>0.87</v>
      </c>
      <c r="BJ130" s="54">
        <f t="shared" si="846"/>
        <v>0.85</v>
      </c>
      <c r="BK130" s="54">
        <f t="shared" si="846"/>
        <v>0.83</v>
      </c>
      <c r="BL130" s="54">
        <f t="shared" si="846"/>
        <v>0.80999999999999994</v>
      </c>
      <c r="BM130" s="54">
        <f t="shared" si="846"/>
        <v>0.78999999999999992</v>
      </c>
      <c r="BN130" s="54">
        <f t="shared" si="846"/>
        <v>0.76999999999999991</v>
      </c>
      <c r="BO130" s="54">
        <f t="shared" si="846"/>
        <v>0.74999999999999989</v>
      </c>
      <c r="BP130" s="54">
        <f t="shared" si="846"/>
        <v>0.72999999999999987</v>
      </c>
      <c r="BQ130" s="54">
        <f t="shared" si="846"/>
        <v>0.70999999999999985</v>
      </c>
      <c r="BR130" s="54">
        <f t="shared" si="846"/>
        <v>0.68999999999999984</v>
      </c>
      <c r="BS130" s="54">
        <f t="shared" si="846"/>
        <v>0.66999999999999982</v>
      </c>
      <c r="BT130" s="54">
        <f t="shared" si="846"/>
        <v>0.6499999999999998</v>
      </c>
      <c r="BU130" s="54">
        <f t="shared" si="846"/>
        <v>0.62999999999999978</v>
      </c>
      <c r="BV130" s="54">
        <f t="shared" si="846"/>
        <v>0.60999999999999976</v>
      </c>
      <c r="BW130" s="54">
        <f t="shared" si="846"/>
        <v>0.58999999999999975</v>
      </c>
      <c r="BX130" s="54">
        <f t="shared" si="846"/>
        <v>0.56999999999999973</v>
      </c>
      <c r="BZ130" s="54">
        <f t="shared" si="513"/>
        <v>0</v>
      </c>
      <c r="CA130" s="54">
        <f t="shared" si="514"/>
        <v>0</v>
      </c>
      <c r="CB130" s="58">
        <f t="shared" ref="CB130:CB140" si="847">+CA130*3.3058</f>
        <v>0</v>
      </c>
      <c r="CC130" s="54">
        <f t="shared" ref="CC130:CC140" si="848">+CA130*DV130</f>
        <v>0</v>
      </c>
      <c r="CD130" s="58">
        <f t="shared" ref="CD130:CD140" si="849">+CC130*3.3058</f>
        <v>0</v>
      </c>
      <c r="CE130" s="54">
        <f t="shared" ref="CE130:CE140" si="850">+CA130*DW130</f>
        <v>0</v>
      </c>
      <c r="CF130" s="58">
        <f t="shared" ref="CF130:CF140" si="851">+CE130*3.3058</f>
        <v>0</v>
      </c>
      <c r="CG130" s="54">
        <f t="shared" ref="CG130:CG140" si="852">+CA130*DX130</f>
        <v>0</v>
      </c>
      <c r="CH130" s="58">
        <f t="shared" ref="CH130:CH140" si="853">+CG130*3.3058</f>
        <v>0</v>
      </c>
      <c r="CI130" s="56">
        <f t="shared" ref="CI130:CI140" si="854">+CA130*DY130</f>
        <v>0</v>
      </c>
      <c r="CJ130" s="58">
        <f t="shared" ref="CJ130:CJ140" si="855">+CI130*3.3058</f>
        <v>0</v>
      </c>
      <c r="CK130" s="54">
        <f t="shared" ref="CK130:CK140" si="856">+CA130*DZ130</f>
        <v>0</v>
      </c>
      <c r="CL130" s="58">
        <f t="shared" ref="CL130:CL140" si="857">+CK130*3.3058</f>
        <v>0</v>
      </c>
      <c r="CM130" s="56">
        <f t="shared" ref="CM130:CM140" si="858">+CA130*EA130</f>
        <v>0</v>
      </c>
      <c r="CN130" s="58">
        <f t="shared" ref="CN130:CN140" si="859">+CM130*3.3058</f>
        <v>0</v>
      </c>
      <c r="CO130" s="59">
        <f t="shared" ref="CO130:CO140" si="860">+CA130*EB130</f>
        <v>0</v>
      </c>
      <c r="CP130" s="58">
        <f t="shared" ref="CP130:CP140" si="861">+CO130*3.3058</f>
        <v>0</v>
      </c>
      <c r="CQ130" s="56">
        <f t="shared" ref="CQ130:CQ140" si="862">+CA130*EC130</f>
        <v>0</v>
      </c>
      <c r="CR130" s="58">
        <f t="shared" ref="CR130:CR140" si="863">+CQ130*3.3058</f>
        <v>0</v>
      </c>
      <c r="CS130" s="54">
        <f t="shared" ref="CS130:CS140" si="864">+CA130*ED130</f>
        <v>0</v>
      </c>
      <c r="CT130" s="58">
        <f t="shared" ref="CT130:CT140" si="865">+CS130*3.3058</f>
        <v>0</v>
      </c>
      <c r="CU130" s="59">
        <f t="shared" ref="CU130:CU140" si="866">+CA130*EE130</f>
        <v>0</v>
      </c>
      <c r="CV130" s="58">
        <f t="shared" ref="CV130:CV140" si="867">+CU130*3.3058</f>
        <v>0</v>
      </c>
      <c r="CW130" s="59">
        <f t="shared" ref="CW130:CW140" si="868">+CA130*EF130</f>
        <v>0</v>
      </c>
      <c r="CX130" s="58">
        <f t="shared" ref="CX130:CX140" si="869">+CW130*3.3058</f>
        <v>0</v>
      </c>
      <c r="CY130" s="59">
        <f t="shared" ref="CY130:CY140" si="870">+CA130*EG130</f>
        <v>0</v>
      </c>
      <c r="CZ130" s="58">
        <f t="shared" ref="CZ130:CZ140" si="871">+CY130*3.3058</f>
        <v>0</v>
      </c>
      <c r="DA130" s="54">
        <f t="shared" ref="DA130:DA140" si="872">+CA130*EH130</f>
        <v>0</v>
      </c>
      <c r="DB130" s="58">
        <f t="shared" ref="DB130:DB140" si="873">+DA130*3.3058</f>
        <v>0</v>
      </c>
      <c r="DC130" s="59">
        <f t="shared" ref="DC130:DC140" si="874">+CA130*EI130</f>
        <v>0</v>
      </c>
      <c r="DD130" s="58">
        <f t="shared" ref="DD130:DD140" si="875">+DC130*3.3058</f>
        <v>0</v>
      </c>
      <c r="DE130" s="59">
        <f t="shared" ref="DE130:DE140" si="876">+CA130*EJ130</f>
        <v>0</v>
      </c>
      <c r="DF130" s="58">
        <f t="shared" ref="DF130:DF140" si="877">+DE130*3.3058</f>
        <v>0</v>
      </c>
      <c r="DG130" s="59">
        <f t="shared" ref="DG130:DG140" si="878">+CA130*EK130</f>
        <v>0</v>
      </c>
      <c r="DH130" s="58">
        <f t="shared" ref="DH130:DH140" si="879">+DG130*3.3058</f>
        <v>0</v>
      </c>
      <c r="DI130" s="59">
        <f t="shared" ref="DI130:DI140" si="880">+CA130*EL130</f>
        <v>0</v>
      </c>
      <c r="DJ130" s="58">
        <f t="shared" ref="DJ130:DJ140" si="881">+DI130*3.3058</f>
        <v>0</v>
      </c>
      <c r="DK130" s="54">
        <f t="shared" ref="DK130:DK140" si="882">+CA130*EM130</f>
        <v>0</v>
      </c>
      <c r="DL130" s="58">
        <f t="shared" ref="DL130:DL140" si="883">+DK130*3.3058</f>
        <v>0</v>
      </c>
      <c r="DM130" s="59">
        <f t="shared" ref="DM130:DM140" si="884">+CA130*EN130</f>
        <v>0</v>
      </c>
      <c r="DN130" s="58">
        <f t="shared" ref="DN130:DN140" si="885">+DM130*3.3058</f>
        <v>0</v>
      </c>
      <c r="DO130" s="59">
        <f t="shared" ref="DO130:DO140" si="886">+CA130*EO130</f>
        <v>0</v>
      </c>
      <c r="DP130" s="58">
        <f t="shared" ref="DP130:DP140" si="887">+DO130*3.3058</f>
        <v>0</v>
      </c>
      <c r="DQ130" s="54">
        <f t="shared" ref="DQ130:DQ140" si="888">+CA130*EP130</f>
        <v>0</v>
      </c>
      <c r="DR130" s="58">
        <f t="shared" ref="DR130:DR140" si="889">+DQ130*3.3058</f>
        <v>0</v>
      </c>
      <c r="DU130" s="54">
        <v>1</v>
      </c>
      <c r="DV130" s="54">
        <v>0.97</v>
      </c>
      <c r="DW130" s="54">
        <v>0.95</v>
      </c>
      <c r="DX130" s="54">
        <v>0.93</v>
      </c>
      <c r="DY130" s="54">
        <f t="shared" si="797"/>
        <v>0.91</v>
      </c>
      <c r="DZ130" s="54">
        <f t="shared" si="797"/>
        <v>0.89</v>
      </c>
      <c r="EA130" s="54">
        <f t="shared" si="797"/>
        <v>0.87</v>
      </c>
      <c r="EB130" s="54">
        <f t="shared" si="797"/>
        <v>0.85</v>
      </c>
      <c r="EC130" s="54">
        <f t="shared" si="797"/>
        <v>0.83</v>
      </c>
      <c r="ED130" s="54">
        <f t="shared" si="797"/>
        <v>0.80999999999999994</v>
      </c>
      <c r="EE130" s="54">
        <f t="shared" si="797"/>
        <v>0.78999999999999992</v>
      </c>
      <c r="EF130" s="54">
        <f t="shared" si="797"/>
        <v>0.76999999999999991</v>
      </c>
      <c r="EG130" s="54">
        <f t="shared" si="797"/>
        <v>0.74999999999999989</v>
      </c>
      <c r="EH130" s="54">
        <f t="shared" si="797"/>
        <v>0.72999999999999987</v>
      </c>
      <c r="EI130" s="54">
        <f t="shared" si="797"/>
        <v>0.70999999999999985</v>
      </c>
      <c r="EJ130" s="54">
        <f t="shared" si="797"/>
        <v>0.68999999999999984</v>
      </c>
      <c r="EK130" s="54">
        <f t="shared" si="797"/>
        <v>0.66999999999999982</v>
      </c>
      <c r="EL130" s="54">
        <f t="shared" si="797"/>
        <v>0.6499999999999998</v>
      </c>
      <c r="EM130" s="54">
        <f t="shared" si="797"/>
        <v>0.62999999999999978</v>
      </c>
      <c r="EN130" s="54">
        <f t="shared" si="797"/>
        <v>0.60999999999999976</v>
      </c>
      <c r="EO130" s="54">
        <f t="shared" si="797"/>
        <v>0.58999999999999975</v>
      </c>
      <c r="EP130" s="54">
        <f t="shared" si="797"/>
        <v>0.56999999999999973</v>
      </c>
      <c r="ER130" s="54">
        <f t="shared" si="653"/>
        <v>0</v>
      </c>
      <c r="ES130" s="54">
        <f t="shared" si="515"/>
        <v>0</v>
      </c>
      <c r="ET130" s="58">
        <f t="shared" ref="ET130:ET140" si="890">+ES130*3.3058</f>
        <v>0</v>
      </c>
      <c r="EU130" s="54">
        <f t="shared" ref="EU130:EU140" si="891">+ES130*GN130</f>
        <v>0</v>
      </c>
      <c r="EV130" s="58">
        <f t="shared" ref="EV130:EV140" si="892">+EU130*3.3058</f>
        <v>0</v>
      </c>
      <c r="EW130" s="54">
        <f t="shared" ref="EW130:EW140" si="893">+ES130*GO130</f>
        <v>0</v>
      </c>
      <c r="EX130" s="58">
        <f t="shared" ref="EX130:EX140" si="894">+EW130*3.3058</f>
        <v>0</v>
      </c>
      <c r="EY130" s="54">
        <f t="shared" ref="EY130:EY140" si="895">+ES130*GP130</f>
        <v>0</v>
      </c>
      <c r="EZ130" s="58">
        <f t="shared" ref="EZ130:EZ140" si="896">+EY130*3.3058</f>
        <v>0</v>
      </c>
      <c r="FA130" s="56">
        <f t="shared" ref="FA130:FA140" si="897">+ES130*GQ130</f>
        <v>0</v>
      </c>
      <c r="FB130" s="58">
        <f t="shared" ref="FB130:FB140" si="898">+FA130*3.3058</f>
        <v>0</v>
      </c>
      <c r="FC130" s="54">
        <f t="shared" ref="FC130:FC140" si="899">+ES130*GR130</f>
        <v>0</v>
      </c>
      <c r="FD130" s="58">
        <f t="shared" ref="FD130:FD140" si="900">+FC130*3.3058</f>
        <v>0</v>
      </c>
      <c r="FE130" s="56">
        <f t="shared" ref="FE130:FE140" si="901">+ES130*GS130</f>
        <v>0</v>
      </c>
      <c r="FF130" s="58">
        <f t="shared" ref="FF130:FF140" si="902">+FE130*3.3058</f>
        <v>0</v>
      </c>
      <c r="FG130" s="59">
        <f t="shared" ref="FG130:FG140" si="903">+ES130*GT130</f>
        <v>0</v>
      </c>
      <c r="FH130" s="58">
        <f t="shared" ref="FH130:FH140" si="904">+FG130*3.3058</f>
        <v>0</v>
      </c>
      <c r="FI130" s="56">
        <f t="shared" ref="FI130:FI140" si="905">+ES130*GU130</f>
        <v>0</v>
      </c>
      <c r="FJ130" s="58">
        <f t="shared" ref="FJ130:FJ140" si="906">+FI130*3.3058</f>
        <v>0</v>
      </c>
      <c r="FK130" s="54">
        <f t="shared" ref="FK130:FK140" si="907">+ES130*GV130</f>
        <v>0</v>
      </c>
      <c r="FL130" s="58">
        <f t="shared" ref="FL130:FL140" si="908">+FK130*3.3058</f>
        <v>0</v>
      </c>
      <c r="FM130" s="59">
        <f t="shared" ref="FM130:FM140" si="909">+ES130*GW130</f>
        <v>0</v>
      </c>
      <c r="FN130" s="58">
        <f t="shared" ref="FN130:FN140" si="910">+FM130*3.3058</f>
        <v>0</v>
      </c>
      <c r="FO130" s="59">
        <f t="shared" ref="FO130:FO140" si="911">+ES130*GX130</f>
        <v>0</v>
      </c>
      <c r="FP130" s="58">
        <f t="shared" ref="FP130:FP140" si="912">+FO130*3.3058</f>
        <v>0</v>
      </c>
      <c r="FQ130" s="59">
        <f t="shared" ref="FQ130:FQ140" si="913">+ES130*GY130</f>
        <v>0</v>
      </c>
      <c r="FR130" s="58">
        <f t="shared" ref="FR130:FR140" si="914">+FQ130*3.3058</f>
        <v>0</v>
      </c>
      <c r="FS130" s="54">
        <f t="shared" ref="FS130:FS140" si="915">+ES130*GZ130</f>
        <v>0</v>
      </c>
      <c r="FT130" s="58">
        <f t="shared" ref="FT130:FT140" si="916">+FS130*3.3058</f>
        <v>0</v>
      </c>
      <c r="FU130" s="59">
        <f t="shared" ref="FU130:FU140" si="917">+ES130*HA130</f>
        <v>0</v>
      </c>
      <c r="FV130" s="58">
        <f t="shared" ref="FV130:FV140" si="918">+FU130*3.3058</f>
        <v>0</v>
      </c>
      <c r="FW130" s="59">
        <f t="shared" ref="FW130:FW140" si="919">+ES130*HB130</f>
        <v>0</v>
      </c>
      <c r="FX130" s="58">
        <f t="shared" ref="FX130:FX140" si="920">+FW130*3.3058</f>
        <v>0</v>
      </c>
      <c r="FY130" s="59">
        <f t="shared" ref="FY130:FY140" si="921">+ES130*HC130</f>
        <v>0</v>
      </c>
      <c r="FZ130" s="58">
        <f t="shared" ref="FZ130:FZ140" si="922">+FY130*3.3058</f>
        <v>0</v>
      </c>
      <c r="GA130" s="59">
        <f t="shared" ref="GA130:GA140" si="923">+ES130*HD130</f>
        <v>0</v>
      </c>
      <c r="GB130" s="58">
        <f t="shared" ref="GB130:GB140" si="924">+GA130*3.3058</f>
        <v>0</v>
      </c>
      <c r="GC130" s="54">
        <f t="shared" ref="GC130:GC140" si="925">+ES130*HE130</f>
        <v>0</v>
      </c>
      <c r="GD130" s="58">
        <f t="shared" ref="GD130:GD140" si="926">+GC130*3.3058</f>
        <v>0</v>
      </c>
      <c r="GE130" s="59">
        <f t="shared" ref="GE130:GE140" si="927">+ES130*HF130</f>
        <v>0</v>
      </c>
      <c r="GF130" s="58">
        <f t="shared" ref="GF130:GF140" si="928">+GE130*3.3058</f>
        <v>0</v>
      </c>
      <c r="GG130" s="59">
        <f t="shared" ref="GG130:GG140" si="929">+ES130*HG130</f>
        <v>0</v>
      </c>
      <c r="GH130" s="58">
        <f t="shared" ref="GH130:GH140" si="930">+GG130*3.3058</f>
        <v>0</v>
      </c>
      <c r="GI130" s="54">
        <f t="shared" ref="GI130:GI140" si="931">+ES130*HH130</f>
        <v>0</v>
      </c>
      <c r="GJ130" s="58">
        <f t="shared" ref="GJ130:GJ140" si="932">+GI130*3.3058</f>
        <v>0</v>
      </c>
      <c r="GK130" s="54"/>
      <c r="GL130" s="54"/>
      <c r="GM130" s="54">
        <v>1</v>
      </c>
      <c r="GN130" s="54">
        <v>0.97</v>
      </c>
      <c r="GO130" s="54">
        <v>0.95</v>
      </c>
      <c r="GP130" s="54">
        <v>0.93</v>
      </c>
      <c r="GQ130" s="54">
        <f t="shared" si="798"/>
        <v>0.91</v>
      </c>
      <c r="GR130" s="54">
        <f t="shared" si="798"/>
        <v>0.89</v>
      </c>
      <c r="GS130" s="54">
        <f t="shared" si="798"/>
        <v>0.87</v>
      </c>
      <c r="GT130" s="54">
        <f t="shared" si="798"/>
        <v>0.85</v>
      </c>
      <c r="GU130" s="54">
        <f t="shared" si="798"/>
        <v>0.83</v>
      </c>
      <c r="GV130" s="54">
        <f t="shared" si="798"/>
        <v>0.80999999999999994</v>
      </c>
      <c r="GW130" s="54">
        <f t="shared" si="798"/>
        <v>0.78999999999999992</v>
      </c>
      <c r="GX130" s="54">
        <f t="shared" si="798"/>
        <v>0.76999999999999991</v>
      </c>
      <c r="GY130" s="54">
        <f t="shared" si="798"/>
        <v>0.74999999999999989</v>
      </c>
      <c r="GZ130" s="54">
        <f t="shared" si="798"/>
        <v>0.72999999999999987</v>
      </c>
      <c r="HA130" s="54">
        <f t="shared" si="798"/>
        <v>0.70999999999999985</v>
      </c>
      <c r="HB130" s="54">
        <f t="shared" si="798"/>
        <v>0.68999999999999984</v>
      </c>
      <c r="HC130" s="54">
        <f t="shared" si="798"/>
        <v>0.66999999999999982</v>
      </c>
      <c r="HD130" s="54">
        <f t="shared" si="798"/>
        <v>0.6499999999999998</v>
      </c>
      <c r="HE130" s="54">
        <f t="shared" si="798"/>
        <v>0.62999999999999978</v>
      </c>
      <c r="HF130" s="54">
        <f t="shared" si="798"/>
        <v>0.60999999999999976</v>
      </c>
      <c r="HG130" s="54">
        <f t="shared" si="798"/>
        <v>0.58999999999999975</v>
      </c>
      <c r="HH130" s="54">
        <f t="shared" si="798"/>
        <v>0.56999999999999973</v>
      </c>
    </row>
    <row r="131" spans="1:216" x14ac:dyDescent="0.3">
      <c r="A131" s="2">
        <v>2</v>
      </c>
      <c r="C131" s="38" t="s">
        <v>47</v>
      </c>
      <c r="D131" s="42">
        <f>2500+2270+1360</f>
        <v>6130</v>
      </c>
      <c r="E131" s="72">
        <f t="shared" si="803"/>
        <v>20260</v>
      </c>
      <c r="F131" s="2" t="s">
        <v>319</v>
      </c>
      <c r="H131" s="54">
        <f t="shared" si="510"/>
        <v>22286</v>
      </c>
      <c r="I131" s="54">
        <f t="shared" si="511"/>
        <v>22286</v>
      </c>
      <c r="J131" s="58">
        <f t="shared" si="512"/>
        <v>73673.058799999999</v>
      </c>
      <c r="K131" s="54">
        <f t="shared" si="804"/>
        <v>21617.42</v>
      </c>
      <c r="L131" s="58">
        <f t="shared" si="805"/>
        <v>71462.867035999996</v>
      </c>
      <c r="M131" s="54">
        <f t="shared" si="806"/>
        <v>21171.7</v>
      </c>
      <c r="N131" s="58">
        <f t="shared" si="807"/>
        <v>69989.405859999999</v>
      </c>
      <c r="O131" s="54">
        <f t="shared" si="808"/>
        <v>20725.98</v>
      </c>
      <c r="P131" s="58">
        <f t="shared" si="809"/>
        <v>68515.944684000002</v>
      </c>
      <c r="Q131" s="56">
        <f t="shared" si="810"/>
        <v>20280.260000000002</v>
      </c>
      <c r="R131" s="58">
        <f t="shared" si="811"/>
        <v>67042.483508000005</v>
      </c>
      <c r="S131" s="54">
        <f t="shared" si="812"/>
        <v>19834.54</v>
      </c>
      <c r="T131" s="58">
        <f t="shared" si="813"/>
        <v>65569.022332000008</v>
      </c>
      <c r="U131" s="56">
        <f t="shared" si="814"/>
        <v>19388.82</v>
      </c>
      <c r="V131" s="58">
        <f t="shared" si="815"/>
        <v>64095.561156000003</v>
      </c>
      <c r="W131" s="59">
        <f t="shared" si="816"/>
        <v>18943.099999999999</v>
      </c>
      <c r="X131" s="58">
        <f t="shared" si="817"/>
        <v>62622.099979999999</v>
      </c>
      <c r="Y131" s="56">
        <f t="shared" si="818"/>
        <v>18497.379999999997</v>
      </c>
      <c r="Z131" s="58">
        <f t="shared" si="819"/>
        <v>61148.638803999995</v>
      </c>
      <c r="AA131" s="54">
        <f t="shared" si="820"/>
        <v>18051.66</v>
      </c>
      <c r="AB131" s="58">
        <f t="shared" si="821"/>
        <v>59675.177627999998</v>
      </c>
      <c r="AC131" s="59">
        <f t="shared" si="822"/>
        <v>17605.939999999999</v>
      </c>
      <c r="AD131" s="58">
        <f t="shared" si="823"/>
        <v>58201.716451999993</v>
      </c>
      <c r="AE131" s="59">
        <f t="shared" si="824"/>
        <v>17160.219999999998</v>
      </c>
      <c r="AF131" s="58">
        <f t="shared" si="825"/>
        <v>56728.255275999996</v>
      </c>
      <c r="AG131" s="59">
        <f t="shared" si="826"/>
        <v>16714.499999999996</v>
      </c>
      <c r="AH131" s="58">
        <f t="shared" si="827"/>
        <v>55254.794099999992</v>
      </c>
      <c r="AI131" s="54">
        <f t="shared" si="828"/>
        <v>16268.779999999997</v>
      </c>
      <c r="AJ131" s="58">
        <f t="shared" si="829"/>
        <v>53781.332923999995</v>
      </c>
      <c r="AK131" s="59">
        <f t="shared" si="830"/>
        <v>15823.059999999996</v>
      </c>
      <c r="AL131" s="58">
        <f t="shared" si="831"/>
        <v>52307.87174799999</v>
      </c>
      <c r="AM131" s="59">
        <f t="shared" si="832"/>
        <v>15377.339999999997</v>
      </c>
      <c r="AN131" s="58">
        <f t="shared" si="833"/>
        <v>50834.410571999986</v>
      </c>
      <c r="AO131" s="59">
        <f t="shared" si="834"/>
        <v>14931.619999999995</v>
      </c>
      <c r="AP131" s="58">
        <f t="shared" si="835"/>
        <v>49360.949395999989</v>
      </c>
      <c r="AQ131" s="59">
        <f t="shared" si="836"/>
        <v>14485.899999999996</v>
      </c>
      <c r="AR131" s="58">
        <f t="shared" si="837"/>
        <v>47887.488219999985</v>
      </c>
      <c r="AS131" s="54">
        <f t="shared" si="838"/>
        <v>14040.179999999995</v>
      </c>
      <c r="AT131" s="58">
        <f t="shared" si="839"/>
        <v>46414.02704399998</v>
      </c>
      <c r="AU131" s="59">
        <f t="shared" si="840"/>
        <v>13594.459999999995</v>
      </c>
      <c r="AV131" s="58">
        <f t="shared" si="841"/>
        <v>44940.565867999983</v>
      </c>
      <c r="AW131" s="59">
        <f t="shared" si="842"/>
        <v>13148.739999999994</v>
      </c>
      <c r="AX131" s="58">
        <f t="shared" si="843"/>
        <v>43467.104691999979</v>
      </c>
      <c r="AY131" s="54">
        <f t="shared" si="844"/>
        <v>12703.019999999993</v>
      </c>
      <c r="AZ131" s="58">
        <f t="shared" si="845"/>
        <v>41993.643515999982</v>
      </c>
      <c r="BC131" s="54">
        <v>1</v>
      </c>
      <c r="BD131" s="54">
        <v>0.97</v>
      </c>
      <c r="BE131" s="54">
        <v>0.95</v>
      </c>
      <c r="BF131" s="54">
        <v>0.93</v>
      </c>
      <c r="BG131" s="54">
        <f t="shared" si="846"/>
        <v>0.91</v>
      </c>
      <c r="BH131" s="54">
        <f t="shared" si="846"/>
        <v>0.89</v>
      </c>
      <c r="BI131" s="54">
        <f t="shared" si="846"/>
        <v>0.87</v>
      </c>
      <c r="BJ131" s="54">
        <f t="shared" si="846"/>
        <v>0.85</v>
      </c>
      <c r="BK131" s="54">
        <f t="shared" si="846"/>
        <v>0.83</v>
      </c>
      <c r="BL131" s="54">
        <f t="shared" si="846"/>
        <v>0.80999999999999994</v>
      </c>
      <c r="BM131" s="54">
        <f t="shared" si="846"/>
        <v>0.78999999999999992</v>
      </c>
      <c r="BN131" s="54">
        <f t="shared" si="846"/>
        <v>0.76999999999999991</v>
      </c>
      <c r="BO131" s="54">
        <f t="shared" si="846"/>
        <v>0.74999999999999989</v>
      </c>
      <c r="BP131" s="54">
        <f t="shared" si="846"/>
        <v>0.72999999999999987</v>
      </c>
      <c r="BQ131" s="54">
        <f t="shared" si="846"/>
        <v>0.70999999999999985</v>
      </c>
      <c r="BR131" s="54">
        <f t="shared" si="846"/>
        <v>0.68999999999999984</v>
      </c>
      <c r="BS131" s="54">
        <f t="shared" si="846"/>
        <v>0.66999999999999982</v>
      </c>
      <c r="BT131" s="54">
        <f t="shared" si="846"/>
        <v>0.6499999999999998</v>
      </c>
      <c r="BU131" s="54">
        <f t="shared" si="846"/>
        <v>0.62999999999999978</v>
      </c>
      <c r="BV131" s="54">
        <f t="shared" si="846"/>
        <v>0.60999999999999976</v>
      </c>
      <c r="BW131" s="54">
        <f t="shared" si="846"/>
        <v>0.58999999999999975</v>
      </c>
      <c r="BX131" s="54">
        <f t="shared" si="846"/>
        <v>0.56999999999999973</v>
      </c>
      <c r="BZ131" s="54">
        <f t="shared" si="513"/>
        <v>20280.260000000002</v>
      </c>
      <c r="CA131" s="54">
        <f t="shared" si="514"/>
        <v>20280.260000000002</v>
      </c>
      <c r="CB131" s="58">
        <f t="shared" si="847"/>
        <v>67042.483508000005</v>
      </c>
      <c r="CC131" s="54">
        <f t="shared" si="848"/>
        <v>19671.852200000001</v>
      </c>
      <c r="CD131" s="58">
        <f t="shared" si="849"/>
        <v>65031.209002760006</v>
      </c>
      <c r="CE131" s="54">
        <f t="shared" si="850"/>
        <v>19266.246999999999</v>
      </c>
      <c r="CF131" s="58">
        <f t="shared" si="851"/>
        <v>63690.359332599997</v>
      </c>
      <c r="CG131" s="54">
        <f t="shared" si="852"/>
        <v>18860.641800000001</v>
      </c>
      <c r="CH131" s="58">
        <f t="shared" si="853"/>
        <v>62349.509662440003</v>
      </c>
      <c r="CI131" s="56">
        <f t="shared" si="854"/>
        <v>18455.036600000003</v>
      </c>
      <c r="CJ131" s="58">
        <f t="shared" si="855"/>
        <v>61008.659992280009</v>
      </c>
      <c r="CK131" s="54">
        <f t="shared" si="856"/>
        <v>18049.431400000001</v>
      </c>
      <c r="CL131" s="58">
        <f t="shared" si="857"/>
        <v>59667.810322120007</v>
      </c>
      <c r="CM131" s="56">
        <f t="shared" si="858"/>
        <v>17643.826200000003</v>
      </c>
      <c r="CN131" s="58">
        <f t="shared" si="859"/>
        <v>58326.960651960013</v>
      </c>
      <c r="CO131" s="59">
        <f t="shared" si="860"/>
        <v>17238.221000000001</v>
      </c>
      <c r="CP131" s="58">
        <f t="shared" si="861"/>
        <v>56986.110981800004</v>
      </c>
      <c r="CQ131" s="56">
        <f t="shared" si="862"/>
        <v>16832.6158</v>
      </c>
      <c r="CR131" s="58">
        <f t="shared" si="863"/>
        <v>55645.261311640003</v>
      </c>
      <c r="CS131" s="54">
        <f t="shared" si="864"/>
        <v>16427.010600000001</v>
      </c>
      <c r="CT131" s="58">
        <f t="shared" si="865"/>
        <v>54304.411641480008</v>
      </c>
      <c r="CU131" s="59">
        <f t="shared" si="866"/>
        <v>16021.4054</v>
      </c>
      <c r="CV131" s="58">
        <f t="shared" si="867"/>
        <v>52963.561971319999</v>
      </c>
      <c r="CW131" s="59">
        <f t="shared" si="868"/>
        <v>15615.8002</v>
      </c>
      <c r="CX131" s="58">
        <f t="shared" si="869"/>
        <v>51622.712301159998</v>
      </c>
      <c r="CY131" s="59">
        <f t="shared" si="870"/>
        <v>15210.195</v>
      </c>
      <c r="CZ131" s="58">
        <f t="shared" si="871"/>
        <v>50281.862631000004</v>
      </c>
      <c r="DA131" s="54">
        <f t="shared" si="872"/>
        <v>14804.5898</v>
      </c>
      <c r="DB131" s="58">
        <f t="shared" si="873"/>
        <v>48941.012960840002</v>
      </c>
      <c r="DC131" s="59">
        <f t="shared" si="874"/>
        <v>14398.984599999998</v>
      </c>
      <c r="DD131" s="58">
        <f t="shared" si="875"/>
        <v>47600.163290679993</v>
      </c>
      <c r="DE131" s="59">
        <f t="shared" si="876"/>
        <v>13993.379399999998</v>
      </c>
      <c r="DF131" s="58">
        <f t="shared" si="877"/>
        <v>46259.313620519992</v>
      </c>
      <c r="DG131" s="59">
        <f t="shared" si="878"/>
        <v>13587.774199999998</v>
      </c>
      <c r="DH131" s="58">
        <f t="shared" si="879"/>
        <v>44918.463950359997</v>
      </c>
      <c r="DI131" s="59">
        <f t="shared" si="880"/>
        <v>13182.168999999998</v>
      </c>
      <c r="DJ131" s="58">
        <f t="shared" si="881"/>
        <v>43577.614280199996</v>
      </c>
      <c r="DK131" s="54">
        <f t="shared" si="882"/>
        <v>12776.563799999996</v>
      </c>
      <c r="DL131" s="58">
        <f t="shared" si="883"/>
        <v>42236.764610039987</v>
      </c>
      <c r="DM131" s="59">
        <f t="shared" si="884"/>
        <v>12370.958599999996</v>
      </c>
      <c r="DN131" s="58">
        <f t="shared" si="885"/>
        <v>40895.914939879985</v>
      </c>
      <c r="DO131" s="59">
        <f t="shared" si="886"/>
        <v>11965.353399999996</v>
      </c>
      <c r="DP131" s="58">
        <f t="shared" si="887"/>
        <v>39555.065269719991</v>
      </c>
      <c r="DQ131" s="54">
        <f t="shared" si="888"/>
        <v>11559.748199999996</v>
      </c>
      <c r="DR131" s="58">
        <f t="shared" si="889"/>
        <v>38214.21559955999</v>
      </c>
      <c r="DU131" s="54">
        <v>1</v>
      </c>
      <c r="DV131" s="54">
        <v>0.97</v>
      </c>
      <c r="DW131" s="54">
        <v>0.95</v>
      </c>
      <c r="DX131" s="54">
        <v>0.93</v>
      </c>
      <c r="DY131" s="54">
        <f t="shared" si="797"/>
        <v>0.91</v>
      </c>
      <c r="DZ131" s="54">
        <f t="shared" si="797"/>
        <v>0.89</v>
      </c>
      <c r="EA131" s="54">
        <f t="shared" si="797"/>
        <v>0.87</v>
      </c>
      <c r="EB131" s="54">
        <f t="shared" si="797"/>
        <v>0.85</v>
      </c>
      <c r="EC131" s="54">
        <f t="shared" si="797"/>
        <v>0.83</v>
      </c>
      <c r="ED131" s="54">
        <f t="shared" si="797"/>
        <v>0.80999999999999994</v>
      </c>
      <c r="EE131" s="54">
        <f t="shared" si="797"/>
        <v>0.78999999999999992</v>
      </c>
      <c r="EF131" s="54">
        <f t="shared" si="797"/>
        <v>0.76999999999999991</v>
      </c>
      <c r="EG131" s="54">
        <f t="shared" si="797"/>
        <v>0.74999999999999989</v>
      </c>
      <c r="EH131" s="54">
        <f t="shared" si="797"/>
        <v>0.72999999999999987</v>
      </c>
      <c r="EI131" s="54">
        <f t="shared" si="797"/>
        <v>0.70999999999999985</v>
      </c>
      <c r="EJ131" s="54">
        <f t="shared" si="797"/>
        <v>0.68999999999999984</v>
      </c>
      <c r="EK131" s="54">
        <f t="shared" si="797"/>
        <v>0.66999999999999982</v>
      </c>
      <c r="EL131" s="54">
        <f t="shared" si="797"/>
        <v>0.6499999999999998</v>
      </c>
      <c r="EM131" s="54">
        <f t="shared" si="797"/>
        <v>0.62999999999999978</v>
      </c>
      <c r="EN131" s="54">
        <f t="shared" si="797"/>
        <v>0.60999999999999976</v>
      </c>
      <c r="EO131" s="54">
        <f t="shared" si="797"/>
        <v>0.58999999999999975</v>
      </c>
      <c r="EP131" s="54">
        <f t="shared" si="797"/>
        <v>0.56999999999999973</v>
      </c>
      <c r="ER131" s="54">
        <f t="shared" si="653"/>
        <v>18455.036600000003</v>
      </c>
      <c r="ES131" s="54">
        <f t="shared" si="515"/>
        <v>18455.036600000003</v>
      </c>
      <c r="ET131" s="58">
        <f t="shared" si="890"/>
        <v>61008.659992280009</v>
      </c>
      <c r="EU131" s="54">
        <f t="shared" si="891"/>
        <v>17901.385502000001</v>
      </c>
      <c r="EV131" s="58">
        <f t="shared" si="892"/>
        <v>59178.400192511603</v>
      </c>
      <c r="EW131" s="54">
        <f t="shared" si="893"/>
        <v>17532.284770000002</v>
      </c>
      <c r="EX131" s="58">
        <f t="shared" si="894"/>
        <v>57958.226992666008</v>
      </c>
      <c r="EY131" s="54">
        <f t="shared" si="895"/>
        <v>17163.184038000003</v>
      </c>
      <c r="EZ131" s="58">
        <f t="shared" si="896"/>
        <v>56738.053792820414</v>
      </c>
      <c r="FA131" s="56">
        <f t="shared" si="897"/>
        <v>16794.083306000004</v>
      </c>
      <c r="FB131" s="58">
        <f t="shared" si="898"/>
        <v>55517.880592974812</v>
      </c>
      <c r="FC131" s="54">
        <f t="shared" si="899"/>
        <v>16424.982574000001</v>
      </c>
      <c r="FD131" s="58">
        <f t="shared" si="900"/>
        <v>54297.707393129203</v>
      </c>
      <c r="FE131" s="56">
        <f t="shared" si="901"/>
        <v>16055.881842000003</v>
      </c>
      <c r="FF131" s="58">
        <f t="shared" si="902"/>
        <v>53077.534193283609</v>
      </c>
      <c r="FG131" s="59">
        <f t="shared" si="903"/>
        <v>15686.781110000002</v>
      </c>
      <c r="FH131" s="58">
        <f t="shared" si="904"/>
        <v>51857.360993438007</v>
      </c>
      <c r="FI131" s="56">
        <f t="shared" si="905"/>
        <v>15317.680378000001</v>
      </c>
      <c r="FJ131" s="58">
        <f t="shared" si="906"/>
        <v>50637.187793592406</v>
      </c>
      <c r="FK131" s="54">
        <f t="shared" si="907"/>
        <v>14948.579646000002</v>
      </c>
      <c r="FL131" s="58">
        <f t="shared" si="908"/>
        <v>49417.014593746804</v>
      </c>
      <c r="FM131" s="59">
        <f t="shared" si="909"/>
        <v>14579.478914000001</v>
      </c>
      <c r="FN131" s="58">
        <f t="shared" si="910"/>
        <v>48196.841393901203</v>
      </c>
      <c r="FO131" s="59">
        <f t="shared" si="911"/>
        <v>14210.378182</v>
      </c>
      <c r="FP131" s="58">
        <f t="shared" si="912"/>
        <v>46976.668194055601</v>
      </c>
      <c r="FQ131" s="59">
        <f t="shared" si="913"/>
        <v>13841.27745</v>
      </c>
      <c r="FR131" s="58">
        <f t="shared" si="914"/>
        <v>45756.494994209999</v>
      </c>
      <c r="FS131" s="54">
        <f t="shared" si="915"/>
        <v>13472.176718000001</v>
      </c>
      <c r="FT131" s="58">
        <f t="shared" si="916"/>
        <v>44536.321794364405</v>
      </c>
      <c r="FU131" s="59">
        <f t="shared" si="917"/>
        <v>13103.075986</v>
      </c>
      <c r="FV131" s="58">
        <f t="shared" si="918"/>
        <v>43316.148594518803</v>
      </c>
      <c r="FW131" s="59">
        <f t="shared" si="919"/>
        <v>12733.975253999999</v>
      </c>
      <c r="FX131" s="58">
        <f t="shared" si="920"/>
        <v>42095.975394673194</v>
      </c>
      <c r="FY131" s="59">
        <f t="shared" si="921"/>
        <v>12364.874521999998</v>
      </c>
      <c r="FZ131" s="58">
        <f t="shared" si="922"/>
        <v>40875.802194827593</v>
      </c>
      <c r="GA131" s="59">
        <f t="shared" si="923"/>
        <v>11995.773789999997</v>
      </c>
      <c r="GB131" s="58">
        <f t="shared" si="924"/>
        <v>39655.628994981991</v>
      </c>
      <c r="GC131" s="54">
        <f t="shared" si="925"/>
        <v>11626.673057999998</v>
      </c>
      <c r="GD131" s="58">
        <f t="shared" si="926"/>
        <v>38435.455795136397</v>
      </c>
      <c r="GE131" s="59">
        <f t="shared" si="927"/>
        <v>11257.572325999998</v>
      </c>
      <c r="GF131" s="58">
        <f t="shared" si="928"/>
        <v>37215.282595290795</v>
      </c>
      <c r="GG131" s="59">
        <f t="shared" si="929"/>
        <v>10888.471593999997</v>
      </c>
      <c r="GH131" s="58">
        <f t="shared" si="930"/>
        <v>35995.109395445194</v>
      </c>
      <c r="GI131" s="54">
        <f t="shared" si="931"/>
        <v>10519.370861999996</v>
      </c>
      <c r="GJ131" s="58">
        <f t="shared" si="932"/>
        <v>34774.936195599585</v>
      </c>
      <c r="GK131" s="54"/>
      <c r="GL131" s="54"/>
      <c r="GM131" s="54">
        <v>1</v>
      </c>
      <c r="GN131" s="54">
        <v>0.97</v>
      </c>
      <c r="GO131" s="54">
        <v>0.95</v>
      </c>
      <c r="GP131" s="54">
        <v>0.93</v>
      </c>
      <c r="GQ131" s="54">
        <f t="shared" si="798"/>
        <v>0.91</v>
      </c>
      <c r="GR131" s="54">
        <f t="shared" si="798"/>
        <v>0.89</v>
      </c>
      <c r="GS131" s="54">
        <f t="shared" si="798"/>
        <v>0.87</v>
      </c>
      <c r="GT131" s="54">
        <f t="shared" si="798"/>
        <v>0.85</v>
      </c>
      <c r="GU131" s="54">
        <f t="shared" si="798"/>
        <v>0.83</v>
      </c>
      <c r="GV131" s="54">
        <f t="shared" si="798"/>
        <v>0.80999999999999994</v>
      </c>
      <c r="GW131" s="54">
        <f t="shared" si="798"/>
        <v>0.78999999999999992</v>
      </c>
      <c r="GX131" s="54">
        <f t="shared" si="798"/>
        <v>0.76999999999999991</v>
      </c>
      <c r="GY131" s="54">
        <f t="shared" si="798"/>
        <v>0.74999999999999989</v>
      </c>
      <c r="GZ131" s="54">
        <f t="shared" si="798"/>
        <v>0.72999999999999987</v>
      </c>
      <c r="HA131" s="54">
        <f t="shared" si="798"/>
        <v>0.70999999999999985</v>
      </c>
      <c r="HB131" s="54">
        <f t="shared" si="798"/>
        <v>0.68999999999999984</v>
      </c>
      <c r="HC131" s="54">
        <f t="shared" si="798"/>
        <v>0.66999999999999982</v>
      </c>
      <c r="HD131" s="54">
        <f t="shared" si="798"/>
        <v>0.6499999999999998</v>
      </c>
      <c r="HE131" s="54">
        <f t="shared" si="798"/>
        <v>0.62999999999999978</v>
      </c>
      <c r="HF131" s="54">
        <f t="shared" si="798"/>
        <v>0.60999999999999976</v>
      </c>
      <c r="HG131" s="54">
        <f t="shared" si="798"/>
        <v>0.58999999999999975</v>
      </c>
      <c r="HH131" s="54">
        <f t="shared" si="798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2">
        <f t="shared" si="803"/>
        <v>0</v>
      </c>
      <c r="H132" s="54">
        <f t="shared" si="510"/>
        <v>0</v>
      </c>
      <c r="I132" s="54">
        <f t="shared" si="511"/>
        <v>0</v>
      </c>
      <c r="J132" s="58">
        <f t="shared" si="512"/>
        <v>0</v>
      </c>
      <c r="K132" s="54">
        <f t="shared" si="804"/>
        <v>0</v>
      </c>
      <c r="L132" s="58">
        <f t="shared" si="805"/>
        <v>0</v>
      </c>
      <c r="M132" s="54">
        <f t="shared" si="806"/>
        <v>0</v>
      </c>
      <c r="N132" s="58">
        <f t="shared" si="807"/>
        <v>0</v>
      </c>
      <c r="O132" s="54">
        <f t="shared" si="808"/>
        <v>0</v>
      </c>
      <c r="P132" s="58">
        <f t="shared" si="809"/>
        <v>0</v>
      </c>
      <c r="Q132" s="56">
        <f t="shared" si="810"/>
        <v>0</v>
      </c>
      <c r="R132" s="58">
        <f t="shared" si="811"/>
        <v>0</v>
      </c>
      <c r="S132" s="54">
        <f t="shared" si="812"/>
        <v>0</v>
      </c>
      <c r="T132" s="58">
        <f t="shared" si="813"/>
        <v>0</v>
      </c>
      <c r="U132" s="56">
        <f t="shared" si="814"/>
        <v>0</v>
      </c>
      <c r="V132" s="58">
        <f t="shared" si="815"/>
        <v>0</v>
      </c>
      <c r="W132" s="59">
        <f t="shared" si="816"/>
        <v>0</v>
      </c>
      <c r="X132" s="58">
        <f t="shared" si="817"/>
        <v>0</v>
      </c>
      <c r="Y132" s="56">
        <f t="shared" si="818"/>
        <v>0</v>
      </c>
      <c r="Z132" s="58">
        <f t="shared" si="819"/>
        <v>0</v>
      </c>
      <c r="AA132" s="54">
        <f t="shared" si="820"/>
        <v>0</v>
      </c>
      <c r="AB132" s="58">
        <f t="shared" si="821"/>
        <v>0</v>
      </c>
      <c r="AC132" s="59">
        <f t="shared" si="822"/>
        <v>0</v>
      </c>
      <c r="AD132" s="58">
        <f t="shared" si="823"/>
        <v>0</v>
      </c>
      <c r="AE132" s="59">
        <f t="shared" si="824"/>
        <v>0</v>
      </c>
      <c r="AF132" s="58">
        <f t="shared" si="825"/>
        <v>0</v>
      </c>
      <c r="AG132" s="59">
        <f t="shared" si="826"/>
        <v>0</v>
      </c>
      <c r="AH132" s="58">
        <f t="shared" si="827"/>
        <v>0</v>
      </c>
      <c r="AI132" s="54">
        <f t="shared" si="828"/>
        <v>0</v>
      </c>
      <c r="AJ132" s="58">
        <f t="shared" si="829"/>
        <v>0</v>
      </c>
      <c r="AK132" s="59">
        <f t="shared" si="830"/>
        <v>0</v>
      </c>
      <c r="AL132" s="58">
        <f t="shared" si="831"/>
        <v>0</v>
      </c>
      <c r="AM132" s="59">
        <f t="shared" si="832"/>
        <v>0</v>
      </c>
      <c r="AN132" s="58">
        <f t="shared" si="833"/>
        <v>0</v>
      </c>
      <c r="AO132" s="59">
        <f t="shared" si="834"/>
        <v>0</v>
      </c>
      <c r="AP132" s="58">
        <f t="shared" si="835"/>
        <v>0</v>
      </c>
      <c r="AQ132" s="59">
        <f t="shared" si="836"/>
        <v>0</v>
      </c>
      <c r="AR132" s="58">
        <f t="shared" si="837"/>
        <v>0</v>
      </c>
      <c r="AS132" s="54">
        <f t="shared" si="838"/>
        <v>0</v>
      </c>
      <c r="AT132" s="58">
        <f t="shared" si="839"/>
        <v>0</v>
      </c>
      <c r="AU132" s="59">
        <f t="shared" si="840"/>
        <v>0</v>
      </c>
      <c r="AV132" s="58">
        <f t="shared" si="841"/>
        <v>0</v>
      </c>
      <c r="AW132" s="59">
        <f t="shared" si="842"/>
        <v>0</v>
      </c>
      <c r="AX132" s="58">
        <f t="shared" si="843"/>
        <v>0</v>
      </c>
      <c r="AY132" s="54">
        <f t="shared" si="844"/>
        <v>0</v>
      </c>
      <c r="AZ132" s="58">
        <f t="shared" si="845"/>
        <v>0</v>
      </c>
      <c r="BC132" s="54">
        <v>1</v>
      </c>
      <c r="BD132" s="54">
        <v>0.97</v>
      </c>
      <c r="BE132" s="54">
        <v>0.95</v>
      </c>
      <c r="BF132" s="54">
        <v>0.93</v>
      </c>
      <c r="BG132" s="54">
        <f t="shared" si="846"/>
        <v>0.91</v>
      </c>
      <c r="BH132" s="54">
        <f t="shared" si="846"/>
        <v>0.89</v>
      </c>
      <c r="BI132" s="54">
        <f t="shared" si="846"/>
        <v>0.87</v>
      </c>
      <c r="BJ132" s="54">
        <f t="shared" si="846"/>
        <v>0.85</v>
      </c>
      <c r="BK132" s="54">
        <f t="shared" si="846"/>
        <v>0.83</v>
      </c>
      <c r="BL132" s="54">
        <f t="shared" si="846"/>
        <v>0.80999999999999994</v>
      </c>
      <c r="BM132" s="54">
        <f t="shared" si="846"/>
        <v>0.78999999999999992</v>
      </c>
      <c r="BN132" s="54">
        <f t="shared" si="846"/>
        <v>0.76999999999999991</v>
      </c>
      <c r="BO132" s="54">
        <f t="shared" si="846"/>
        <v>0.74999999999999989</v>
      </c>
      <c r="BP132" s="54">
        <f t="shared" si="846"/>
        <v>0.72999999999999987</v>
      </c>
      <c r="BQ132" s="54">
        <f t="shared" si="846"/>
        <v>0.70999999999999985</v>
      </c>
      <c r="BR132" s="54">
        <f t="shared" si="846"/>
        <v>0.68999999999999984</v>
      </c>
      <c r="BS132" s="54">
        <f t="shared" si="846"/>
        <v>0.66999999999999982</v>
      </c>
      <c r="BT132" s="54">
        <f t="shared" si="846"/>
        <v>0.6499999999999998</v>
      </c>
      <c r="BU132" s="54">
        <f t="shared" si="846"/>
        <v>0.62999999999999978</v>
      </c>
      <c r="BV132" s="54">
        <f t="shared" si="846"/>
        <v>0.60999999999999976</v>
      </c>
      <c r="BW132" s="54">
        <f t="shared" si="846"/>
        <v>0.58999999999999975</v>
      </c>
      <c r="BX132" s="54">
        <f t="shared" si="846"/>
        <v>0.56999999999999973</v>
      </c>
      <c r="BZ132" s="54">
        <f t="shared" si="513"/>
        <v>0</v>
      </c>
      <c r="CA132" s="54">
        <f t="shared" si="514"/>
        <v>0</v>
      </c>
      <c r="CB132" s="58">
        <f t="shared" si="847"/>
        <v>0</v>
      </c>
      <c r="CC132" s="54">
        <f t="shared" si="848"/>
        <v>0</v>
      </c>
      <c r="CD132" s="58">
        <f t="shared" si="849"/>
        <v>0</v>
      </c>
      <c r="CE132" s="54">
        <f t="shared" si="850"/>
        <v>0</v>
      </c>
      <c r="CF132" s="58">
        <f t="shared" si="851"/>
        <v>0</v>
      </c>
      <c r="CG132" s="54">
        <f t="shared" si="852"/>
        <v>0</v>
      </c>
      <c r="CH132" s="58">
        <f t="shared" si="853"/>
        <v>0</v>
      </c>
      <c r="CI132" s="56">
        <f t="shared" si="854"/>
        <v>0</v>
      </c>
      <c r="CJ132" s="58">
        <f t="shared" si="855"/>
        <v>0</v>
      </c>
      <c r="CK132" s="54">
        <f t="shared" si="856"/>
        <v>0</v>
      </c>
      <c r="CL132" s="58">
        <f t="shared" si="857"/>
        <v>0</v>
      </c>
      <c r="CM132" s="56">
        <f t="shared" si="858"/>
        <v>0</v>
      </c>
      <c r="CN132" s="58">
        <f t="shared" si="859"/>
        <v>0</v>
      </c>
      <c r="CO132" s="59">
        <f t="shared" si="860"/>
        <v>0</v>
      </c>
      <c r="CP132" s="58">
        <f t="shared" si="861"/>
        <v>0</v>
      </c>
      <c r="CQ132" s="56">
        <f t="shared" si="862"/>
        <v>0</v>
      </c>
      <c r="CR132" s="58">
        <f t="shared" si="863"/>
        <v>0</v>
      </c>
      <c r="CS132" s="54">
        <f t="shared" si="864"/>
        <v>0</v>
      </c>
      <c r="CT132" s="58">
        <f t="shared" si="865"/>
        <v>0</v>
      </c>
      <c r="CU132" s="59">
        <f t="shared" si="866"/>
        <v>0</v>
      </c>
      <c r="CV132" s="58">
        <f t="shared" si="867"/>
        <v>0</v>
      </c>
      <c r="CW132" s="59">
        <f t="shared" si="868"/>
        <v>0</v>
      </c>
      <c r="CX132" s="58">
        <f t="shared" si="869"/>
        <v>0</v>
      </c>
      <c r="CY132" s="59">
        <f t="shared" si="870"/>
        <v>0</v>
      </c>
      <c r="CZ132" s="58">
        <f t="shared" si="871"/>
        <v>0</v>
      </c>
      <c r="DA132" s="54">
        <f t="shared" si="872"/>
        <v>0</v>
      </c>
      <c r="DB132" s="58">
        <f t="shared" si="873"/>
        <v>0</v>
      </c>
      <c r="DC132" s="59">
        <f t="shared" si="874"/>
        <v>0</v>
      </c>
      <c r="DD132" s="58">
        <f t="shared" si="875"/>
        <v>0</v>
      </c>
      <c r="DE132" s="59">
        <f t="shared" si="876"/>
        <v>0</v>
      </c>
      <c r="DF132" s="58">
        <f t="shared" si="877"/>
        <v>0</v>
      </c>
      <c r="DG132" s="59">
        <f t="shared" si="878"/>
        <v>0</v>
      </c>
      <c r="DH132" s="58">
        <f t="shared" si="879"/>
        <v>0</v>
      </c>
      <c r="DI132" s="59">
        <f t="shared" si="880"/>
        <v>0</v>
      </c>
      <c r="DJ132" s="58">
        <f t="shared" si="881"/>
        <v>0</v>
      </c>
      <c r="DK132" s="54">
        <f t="shared" si="882"/>
        <v>0</v>
      </c>
      <c r="DL132" s="58">
        <f t="shared" si="883"/>
        <v>0</v>
      </c>
      <c r="DM132" s="59">
        <f t="shared" si="884"/>
        <v>0</v>
      </c>
      <c r="DN132" s="58">
        <f t="shared" si="885"/>
        <v>0</v>
      </c>
      <c r="DO132" s="59">
        <f t="shared" si="886"/>
        <v>0</v>
      </c>
      <c r="DP132" s="58">
        <f t="shared" si="887"/>
        <v>0</v>
      </c>
      <c r="DQ132" s="54">
        <f t="shared" si="888"/>
        <v>0</v>
      </c>
      <c r="DR132" s="58">
        <f t="shared" si="889"/>
        <v>0</v>
      </c>
      <c r="DU132" s="54">
        <v>1</v>
      </c>
      <c r="DV132" s="54">
        <v>0.97</v>
      </c>
      <c r="DW132" s="54">
        <v>0.95</v>
      </c>
      <c r="DX132" s="54">
        <v>0.93</v>
      </c>
      <c r="DY132" s="54">
        <f t="shared" si="797"/>
        <v>0.91</v>
      </c>
      <c r="DZ132" s="54">
        <f t="shared" si="797"/>
        <v>0.89</v>
      </c>
      <c r="EA132" s="54">
        <f t="shared" si="797"/>
        <v>0.87</v>
      </c>
      <c r="EB132" s="54">
        <f t="shared" si="797"/>
        <v>0.85</v>
      </c>
      <c r="EC132" s="54">
        <f t="shared" si="797"/>
        <v>0.83</v>
      </c>
      <c r="ED132" s="54">
        <f t="shared" si="797"/>
        <v>0.80999999999999994</v>
      </c>
      <c r="EE132" s="54">
        <f t="shared" si="797"/>
        <v>0.78999999999999992</v>
      </c>
      <c r="EF132" s="54">
        <f t="shared" si="797"/>
        <v>0.76999999999999991</v>
      </c>
      <c r="EG132" s="54">
        <f t="shared" si="797"/>
        <v>0.74999999999999989</v>
      </c>
      <c r="EH132" s="54">
        <f t="shared" si="797"/>
        <v>0.72999999999999987</v>
      </c>
      <c r="EI132" s="54">
        <f t="shared" si="797"/>
        <v>0.70999999999999985</v>
      </c>
      <c r="EJ132" s="54">
        <f t="shared" si="797"/>
        <v>0.68999999999999984</v>
      </c>
      <c r="EK132" s="54">
        <f t="shared" si="797"/>
        <v>0.66999999999999982</v>
      </c>
      <c r="EL132" s="54">
        <f t="shared" si="797"/>
        <v>0.6499999999999998</v>
      </c>
      <c r="EM132" s="54">
        <f t="shared" si="797"/>
        <v>0.62999999999999978</v>
      </c>
      <c r="EN132" s="54">
        <f t="shared" si="797"/>
        <v>0.60999999999999976</v>
      </c>
      <c r="EO132" s="54">
        <f t="shared" si="797"/>
        <v>0.58999999999999975</v>
      </c>
      <c r="EP132" s="54">
        <f t="shared" si="797"/>
        <v>0.56999999999999973</v>
      </c>
      <c r="ER132" s="54">
        <f t="shared" si="653"/>
        <v>0</v>
      </c>
      <c r="ES132" s="54">
        <f t="shared" si="515"/>
        <v>0</v>
      </c>
      <c r="ET132" s="58">
        <f t="shared" si="890"/>
        <v>0</v>
      </c>
      <c r="EU132" s="54">
        <f t="shared" si="891"/>
        <v>0</v>
      </c>
      <c r="EV132" s="58">
        <f t="shared" si="892"/>
        <v>0</v>
      </c>
      <c r="EW132" s="54">
        <f t="shared" si="893"/>
        <v>0</v>
      </c>
      <c r="EX132" s="58">
        <f t="shared" si="894"/>
        <v>0</v>
      </c>
      <c r="EY132" s="54">
        <f t="shared" si="895"/>
        <v>0</v>
      </c>
      <c r="EZ132" s="58">
        <f t="shared" si="896"/>
        <v>0</v>
      </c>
      <c r="FA132" s="56">
        <f t="shared" si="897"/>
        <v>0</v>
      </c>
      <c r="FB132" s="58">
        <f t="shared" si="898"/>
        <v>0</v>
      </c>
      <c r="FC132" s="54">
        <f t="shared" si="899"/>
        <v>0</v>
      </c>
      <c r="FD132" s="58">
        <f t="shared" si="900"/>
        <v>0</v>
      </c>
      <c r="FE132" s="56">
        <f t="shared" si="901"/>
        <v>0</v>
      </c>
      <c r="FF132" s="58">
        <f t="shared" si="902"/>
        <v>0</v>
      </c>
      <c r="FG132" s="59">
        <f t="shared" si="903"/>
        <v>0</v>
      </c>
      <c r="FH132" s="58">
        <f t="shared" si="904"/>
        <v>0</v>
      </c>
      <c r="FI132" s="56">
        <f t="shared" si="905"/>
        <v>0</v>
      </c>
      <c r="FJ132" s="58">
        <f t="shared" si="906"/>
        <v>0</v>
      </c>
      <c r="FK132" s="54">
        <f t="shared" si="907"/>
        <v>0</v>
      </c>
      <c r="FL132" s="58">
        <f t="shared" si="908"/>
        <v>0</v>
      </c>
      <c r="FM132" s="59">
        <f t="shared" si="909"/>
        <v>0</v>
      </c>
      <c r="FN132" s="58">
        <f t="shared" si="910"/>
        <v>0</v>
      </c>
      <c r="FO132" s="59">
        <f t="shared" si="911"/>
        <v>0</v>
      </c>
      <c r="FP132" s="58">
        <f t="shared" si="912"/>
        <v>0</v>
      </c>
      <c r="FQ132" s="59">
        <f t="shared" si="913"/>
        <v>0</v>
      </c>
      <c r="FR132" s="58">
        <f t="shared" si="914"/>
        <v>0</v>
      </c>
      <c r="FS132" s="54">
        <f t="shared" si="915"/>
        <v>0</v>
      </c>
      <c r="FT132" s="58">
        <f t="shared" si="916"/>
        <v>0</v>
      </c>
      <c r="FU132" s="59">
        <f t="shared" si="917"/>
        <v>0</v>
      </c>
      <c r="FV132" s="58">
        <f t="shared" si="918"/>
        <v>0</v>
      </c>
      <c r="FW132" s="59">
        <f t="shared" si="919"/>
        <v>0</v>
      </c>
      <c r="FX132" s="58">
        <f t="shared" si="920"/>
        <v>0</v>
      </c>
      <c r="FY132" s="59">
        <f t="shared" si="921"/>
        <v>0</v>
      </c>
      <c r="FZ132" s="58">
        <f t="shared" si="922"/>
        <v>0</v>
      </c>
      <c r="GA132" s="59">
        <f t="shared" si="923"/>
        <v>0</v>
      </c>
      <c r="GB132" s="58">
        <f t="shared" si="924"/>
        <v>0</v>
      </c>
      <c r="GC132" s="54">
        <f t="shared" si="925"/>
        <v>0</v>
      </c>
      <c r="GD132" s="58">
        <f t="shared" si="926"/>
        <v>0</v>
      </c>
      <c r="GE132" s="59">
        <f t="shared" si="927"/>
        <v>0</v>
      </c>
      <c r="GF132" s="58">
        <f t="shared" si="928"/>
        <v>0</v>
      </c>
      <c r="GG132" s="59">
        <f t="shared" si="929"/>
        <v>0</v>
      </c>
      <c r="GH132" s="58">
        <f t="shared" si="930"/>
        <v>0</v>
      </c>
      <c r="GI132" s="54">
        <f t="shared" si="931"/>
        <v>0</v>
      </c>
      <c r="GJ132" s="58">
        <f t="shared" si="932"/>
        <v>0</v>
      </c>
      <c r="GK132" s="54"/>
      <c r="GL132" s="54"/>
      <c r="GM132" s="54">
        <v>1</v>
      </c>
      <c r="GN132" s="54">
        <v>0.97</v>
      </c>
      <c r="GO132" s="54">
        <v>0.95</v>
      </c>
      <c r="GP132" s="54">
        <v>0.93</v>
      </c>
      <c r="GQ132" s="54">
        <f t="shared" si="798"/>
        <v>0.91</v>
      </c>
      <c r="GR132" s="54">
        <f t="shared" si="798"/>
        <v>0.89</v>
      </c>
      <c r="GS132" s="54">
        <f t="shared" si="798"/>
        <v>0.87</v>
      </c>
      <c r="GT132" s="54">
        <f t="shared" si="798"/>
        <v>0.85</v>
      </c>
      <c r="GU132" s="54">
        <f t="shared" si="798"/>
        <v>0.83</v>
      </c>
      <c r="GV132" s="54">
        <f t="shared" si="798"/>
        <v>0.80999999999999994</v>
      </c>
      <c r="GW132" s="54">
        <f t="shared" si="798"/>
        <v>0.78999999999999992</v>
      </c>
      <c r="GX132" s="54">
        <f t="shared" si="798"/>
        <v>0.76999999999999991</v>
      </c>
      <c r="GY132" s="54">
        <f t="shared" si="798"/>
        <v>0.74999999999999989</v>
      </c>
      <c r="GZ132" s="54">
        <f t="shared" si="798"/>
        <v>0.72999999999999987</v>
      </c>
      <c r="HA132" s="54">
        <f t="shared" si="798"/>
        <v>0.70999999999999985</v>
      </c>
      <c r="HB132" s="54">
        <f t="shared" si="798"/>
        <v>0.68999999999999984</v>
      </c>
      <c r="HC132" s="54">
        <f t="shared" si="798"/>
        <v>0.66999999999999982</v>
      </c>
      <c r="HD132" s="54">
        <f t="shared" si="798"/>
        <v>0.6499999999999998</v>
      </c>
      <c r="HE132" s="54">
        <f t="shared" si="798"/>
        <v>0.62999999999999978</v>
      </c>
      <c r="HF132" s="54">
        <f t="shared" si="798"/>
        <v>0.60999999999999976</v>
      </c>
      <c r="HG132" s="54">
        <f t="shared" si="798"/>
        <v>0.58999999999999975</v>
      </c>
      <c r="HH132" s="54">
        <f t="shared" si="798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2">
        <f t="shared" si="803"/>
        <v>0</v>
      </c>
      <c r="H133" s="54">
        <f t="shared" si="510"/>
        <v>0</v>
      </c>
      <c r="I133" s="54">
        <f t="shared" si="511"/>
        <v>0</v>
      </c>
      <c r="J133" s="58">
        <f t="shared" si="512"/>
        <v>0</v>
      </c>
      <c r="K133" s="54">
        <f t="shared" si="804"/>
        <v>0</v>
      </c>
      <c r="L133" s="58">
        <f t="shared" si="805"/>
        <v>0</v>
      </c>
      <c r="M133" s="54">
        <f t="shared" si="806"/>
        <v>0</v>
      </c>
      <c r="N133" s="58">
        <f t="shared" si="807"/>
        <v>0</v>
      </c>
      <c r="O133" s="54">
        <f t="shared" si="808"/>
        <v>0</v>
      </c>
      <c r="P133" s="58">
        <f t="shared" si="809"/>
        <v>0</v>
      </c>
      <c r="Q133" s="56">
        <f t="shared" si="810"/>
        <v>0</v>
      </c>
      <c r="R133" s="58">
        <f t="shared" si="811"/>
        <v>0</v>
      </c>
      <c r="S133" s="54">
        <f t="shared" si="812"/>
        <v>0</v>
      </c>
      <c r="T133" s="58">
        <f t="shared" si="813"/>
        <v>0</v>
      </c>
      <c r="U133" s="56">
        <f t="shared" si="814"/>
        <v>0</v>
      </c>
      <c r="V133" s="58">
        <f t="shared" si="815"/>
        <v>0</v>
      </c>
      <c r="W133" s="59">
        <f t="shared" si="816"/>
        <v>0</v>
      </c>
      <c r="X133" s="58">
        <f t="shared" si="817"/>
        <v>0</v>
      </c>
      <c r="Y133" s="56">
        <f t="shared" si="818"/>
        <v>0</v>
      </c>
      <c r="Z133" s="58">
        <f t="shared" si="819"/>
        <v>0</v>
      </c>
      <c r="AA133" s="54">
        <f t="shared" si="820"/>
        <v>0</v>
      </c>
      <c r="AB133" s="58">
        <f t="shared" si="821"/>
        <v>0</v>
      </c>
      <c r="AC133" s="59">
        <f t="shared" si="822"/>
        <v>0</v>
      </c>
      <c r="AD133" s="58">
        <f t="shared" si="823"/>
        <v>0</v>
      </c>
      <c r="AE133" s="59">
        <f t="shared" si="824"/>
        <v>0</v>
      </c>
      <c r="AF133" s="58">
        <f t="shared" si="825"/>
        <v>0</v>
      </c>
      <c r="AG133" s="59">
        <f t="shared" si="826"/>
        <v>0</v>
      </c>
      <c r="AH133" s="58">
        <f t="shared" si="827"/>
        <v>0</v>
      </c>
      <c r="AI133" s="54">
        <f t="shared" si="828"/>
        <v>0</v>
      </c>
      <c r="AJ133" s="58">
        <f t="shared" si="829"/>
        <v>0</v>
      </c>
      <c r="AK133" s="59">
        <f t="shared" si="830"/>
        <v>0</v>
      </c>
      <c r="AL133" s="58">
        <f t="shared" si="831"/>
        <v>0</v>
      </c>
      <c r="AM133" s="59">
        <f t="shared" si="832"/>
        <v>0</v>
      </c>
      <c r="AN133" s="58">
        <f t="shared" si="833"/>
        <v>0</v>
      </c>
      <c r="AO133" s="59">
        <f t="shared" si="834"/>
        <v>0</v>
      </c>
      <c r="AP133" s="58">
        <f t="shared" si="835"/>
        <v>0</v>
      </c>
      <c r="AQ133" s="59">
        <f t="shared" si="836"/>
        <v>0</v>
      </c>
      <c r="AR133" s="58">
        <f t="shared" si="837"/>
        <v>0</v>
      </c>
      <c r="AS133" s="54">
        <f t="shared" si="838"/>
        <v>0</v>
      </c>
      <c r="AT133" s="58">
        <f t="shared" si="839"/>
        <v>0</v>
      </c>
      <c r="AU133" s="59">
        <f t="shared" si="840"/>
        <v>0</v>
      </c>
      <c r="AV133" s="58">
        <f t="shared" si="841"/>
        <v>0</v>
      </c>
      <c r="AW133" s="59">
        <f t="shared" si="842"/>
        <v>0</v>
      </c>
      <c r="AX133" s="58">
        <f t="shared" si="843"/>
        <v>0</v>
      </c>
      <c r="AY133" s="54">
        <f t="shared" si="844"/>
        <v>0</v>
      </c>
      <c r="AZ133" s="58">
        <f t="shared" si="845"/>
        <v>0</v>
      </c>
      <c r="BC133" s="54">
        <v>1</v>
      </c>
      <c r="BD133" s="54">
        <v>0.97</v>
      </c>
      <c r="BE133" s="54">
        <v>0.95</v>
      </c>
      <c r="BF133" s="54">
        <v>0.93</v>
      </c>
      <c r="BG133" s="54">
        <f t="shared" si="846"/>
        <v>0.91</v>
      </c>
      <c r="BH133" s="54">
        <f t="shared" si="846"/>
        <v>0.89</v>
      </c>
      <c r="BI133" s="54">
        <f t="shared" si="846"/>
        <v>0.87</v>
      </c>
      <c r="BJ133" s="54">
        <f t="shared" si="846"/>
        <v>0.85</v>
      </c>
      <c r="BK133" s="54">
        <f t="shared" si="846"/>
        <v>0.83</v>
      </c>
      <c r="BL133" s="54">
        <f t="shared" si="846"/>
        <v>0.80999999999999994</v>
      </c>
      <c r="BM133" s="54">
        <f t="shared" si="846"/>
        <v>0.78999999999999992</v>
      </c>
      <c r="BN133" s="54">
        <f t="shared" si="846"/>
        <v>0.76999999999999991</v>
      </c>
      <c r="BO133" s="54">
        <f t="shared" si="846"/>
        <v>0.74999999999999989</v>
      </c>
      <c r="BP133" s="54">
        <f t="shared" si="846"/>
        <v>0.72999999999999987</v>
      </c>
      <c r="BQ133" s="54">
        <f t="shared" si="846"/>
        <v>0.70999999999999985</v>
      </c>
      <c r="BR133" s="54">
        <f t="shared" si="846"/>
        <v>0.68999999999999984</v>
      </c>
      <c r="BS133" s="54">
        <f t="shared" si="846"/>
        <v>0.66999999999999982</v>
      </c>
      <c r="BT133" s="54">
        <f t="shared" si="846"/>
        <v>0.6499999999999998</v>
      </c>
      <c r="BU133" s="54">
        <f t="shared" si="846"/>
        <v>0.62999999999999978</v>
      </c>
      <c r="BV133" s="54">
        <f t="shared" si="846"/>
        <v>0.60999999999999976</v>
      </c>
      <c r="BW133" s="54">
        <f t="shared" si="846"/>
        <v>0.58999999999999975</v>
      </c>
      <c r="BX133" s="54">
        <f t="shared" si="846"/>
        <v>0.56999999999999973</v>
      </c>
      <c r="BZ133" s="54">
        <f t="shared" si="513"/>
        <v>0</v>
      </c>
      <c r="CA133" s="54">
        <f t="shared" si="514"/>
        <v>0</v>
      </c>
      <c r="CB133" s="58">
        <f t="shared" si="847"/>
        <v>0</v>
      </c>
      <c r="CC133" s="54">
        <f t="shared" si="848"/>
        <v>0</v>
      </c>
      <c r="CD133" s="58">
        <f t="shared" si="849"/>
        <v>0</v>
      </c>
      <c r="CE133" s="54">
        <f t="shared" si="850"/>
        <v>0</v>
      </c>
      <c r="CF133" s="58">
        <f t="shared" si="851"/>
        <v>0</v>
      </c>
      <c r="CG133" s="54">
        <f t="shared" si="852"/>
        <v>0</v>
      </c>
      <c r="CH133" s="58">
        <f t="shared" si="853"/>
        <v>0</v>
      </c>
      <c r="CI133" s="56">
        <f t="shared" si="854"/>
        <v>0</v>
      </c>
      <c r="CJ133" s="58">
        <f t="shared" si="855"/>
        <v>0</v>
      </c>
      <c r="CK133" s="54">
        <f t="shared" si="856"/>
        <v>0</v>
      </c>
      <c r="CL133" s="58">
        <f t="shared" si="857"/>
        <v>0</v>
      </c>
      <c r="CM133" s="56">
        <f t="shared" si="858"/>
        <v>0</v>
      </c>
      <c r="CN133" s="58">
        <f t="shared" si="859"/>
        <v>0</v>
      </c>
      <c r="CO133" s="59">
        <f t="shared" si="860"/>
        <v>0</v>
      </c>
      <c r="CP133" s="58">
        <f t="shared" si="861"/>
        <v>0</v>
      </c>
      <c r="CQ133" s="56">
        <f t="shared" si="862"/>
        <v>0</v>
      </c>
      <c r="CR133" s="58">
        <f t="shared" si="863"/>
        <v>0</v>
      </c>
      <c r="CS133" s="54">
        <f t="shared" si="864"/>
        <v>0</v>
      </c>
      <c r="CT133" s="58">
        <f t="shared" si="865"/>
        <v>0</v>
      </c>
      <c r="CU133" s="59">
        <f t="shared" si="866"/>
        <v>0</v>
      </c>
      <c r="CV133" s="58">
        <f t="shared" si="867"/>
        <v>0</v>
      </c>
      <c r="CW133" s="59">
        <f t="shared" si="868"/>
        <v>0</v>
      </c>
      <c r="CX133" s="58">
        <f t="shared" si="869"/>
        <v>0</v>
      </c>
      <c r="CY133" s="59">
        <f t="shared" si="870"/>
        <v>0</v>
      </c>
      <c r="CZ133" s="58">
        <f t="shared" si="871"/>
        <v>0</v>
      </c>
      <c r="DA133" s="54">
        <f t="shared" si="872"/>
        <v>0</v>
      </c>
      <c r="DB133" s="58">
        <f t="shared" si="873"/>
        <v>0</v>
      </c>
      <c r="DC133" s="59">
        <f t="shared" si="874"/>
        <v>0</v>
      </c>
      <c r="DD133" s="58">
        <f t="shared" si="875"/>
        <v>0</v>
      </c>
      <c r="DE133" s="59">
        <f t="shared" si="876"/>
        <v>0</v>
      </c>
      <c r="DF133" s="58">
        <f t="shared" si="877"/>
        <v>0</v>
      </c>
      <c r="DG133" s="59">
        <f t="shared" si="878"/>
        <v>0</v>
      </c>
      <c r="DH133" s="58">
        <f t="shared" si="879"/>
        <v>0</v>
      </c>
      <c r="DI133" s="59">
        <f t="shared" si="880"/>
        <v>0</v>
      </c>
      <c r="DJ133" s="58">
        <f t="shared" si="881"/>
        <v>0</v>
      </c>
      <c r="DK133" s="54">
        <f t="shared" si="882"/>
        <v>0</v>
      </c>
      <c r="DL133" s="58">
        <f t="shared" si="883"/>
        <v>0</v>
      </c>
      <c r="DM133" s="59">
        <f t="shared" si="884"/>
        <v>0</v>
      </c>
      <c r="DN133" s="58">
        <f t="shared" si="885"/>
        <v>0</v>
      </c>
      <c r="DO133" s="59">
        <f t="shared" si="886"/>
        <v>0</v>
      </c>
      <c r="DP133" s="58">
        <f t="shared" si="887"/>
        <v>0</v>
      </c>
      <c r="DQ133" s="54">
        <f t="shared" si="888"/>
        <v>0</v>
      </c>
      <c r="DR133" s="58">
        <f t="shared" si="889"/>
        <v>0</v>
      </c>
      <c r="DU133" s="54">
        <v>1</v>
      </c>
      <c r="DV133" s="54">
        <v>0.97</v>
      </c>
      <c r="DW133" s="54">
        <v>0.95</v>
      </c>
      <c r="DX133" s="54">
        <v>0.93</v>
      </c>
      <c r="DY133" s="54">
        <f t="shared" si="797"/>
        <v>0.91</v>
      </c>
      <c r="DZ133" s="54">
        <f t="shared" si="797"/>
        <v>0.89</v>
      </c>
      <c r="EA133" s="54">
        <f t="shared" si="797"/>
        <v>0.87</v>
      </c>
      <c r="EB133" s="54">
        <f t="shared" si="797"/>
        <v>0.85</v>
      </c>
      <c r="EC133" s="54">
        <f t="shared" si="797"/>
        <v>0.83</v>
      </c>
      <c r="ED133" s="54">
        <f t="shared" si="797"/>
        <v>0.80999999999999994</v>
      </c>
      <c r="EE133" s="54">
        <f t="shared" si="797"/>
        <v>0.78999999999999992</v>
      </c>
      <c r="EF133" s="54">
        <f t="shared" si="797"/>
        <v>0.76999999999999991</v>
      </c>
      <c r="EG133" s="54">
        <f t="shared" si="797"/>
        <v>0.74999999999999989</v>
      </c>
      <c r="EH133" s="54">
        <f t="shared" si="797"/>
        <v>0.72999999999999987</v>
      </c>
      <c r="EI133" s="54">
        <f t="shared" si="797"/>
        <v>0.70999999999999985</v>
      </c>
      <c r="EJ133" s="54">
        <f t="shared" si="797"/>
        <v>0.68999999999999984</v>
      </c>
      <c r="EK133" s="54">
        <f t="shared" si="797"/>
        <v>0.66999999999999982</v>
      </c>
      <c r="EL133" s="54">
        <f t="shared" si="797"/>
        <v>0.6499999999999998</v>
      </c>
      <c r="EM133" s="54">
        <f t="shared" si="797"/>
        <v>0.62999999999999978</v>
      </c>
      <c r="EN133" s="54">
        <f t="shared" si="797"/>
        <v>0.60999999999999976</v>
      </c>
      <c r="EO133" s="54">
        <f t="shared" si="797"/>
        <v>0.58999999999999975</v>
      </c>
      <c r="EP133" s="54">
        <f t="shared" si="797"/>
        <v>0.56999999999999973</v>
      </c>
      <c r="ER133" s="54">
        <f t="shared" si="653"/>
        <v>0</v>
      </c>
      <c r="ES133" s="54">
        <f t="shared" si="515"/>
        <v>0</v>
      </c>
      <c r="ET133" s="58">
        <f t="shared" si="890"/>
        <v>0</v>
      </c>
      <c r="EU133" s="54">
        <f t="shared" si="891"/>
        <v>0</v>
      </c>
      <c r="EV133" s="58">
        <f t="shared" si="892"/>
        <v>0</v>
      </c>
      <c r="EW133" s="54">
        <f t="shared" si="893"/>
        <v>0</v>
      </c>
      <c r="EX133" s="58">
        <f t="shared" si="894"/>
        <v>0</v>
      </c>
      <c r="EY133" s="54">
        <f t="shared" si="895"/>
        <v>0</v>
      </c>
      <c r="EZ133" s="58">
        <f t="shared" si="896"/>
        <v>0</v>
      </c>
      <c r="FA133" s="56">
        <f t="shared" si="897"/>
        <v>0</v>
      </c>
      <c r="FB133" s="58">
        <f t="shared" si="898"/>
        <v>0</v>
      </c>
      <c r="FC133" s="54">
        <f t="shared" si="899"/>
        <v>0</v>
      </c>
      <c r="FD133" s="58">
        <f t="shared" si="900"/>
        <v>0</v>
      </c>
      <c r="FE133" s="56">
        <f t="shared" si="901"/>
        <v>0</v>
      </c>
      <c r="FF133" s="58">
        <f t="shared" si="902"/>
        <v>0</v>
      </c>
      <c r="FG133" s="59">
        <f t="shared" si="903"/>
        <v>0</v>
      </c>
      <c r="FH133" s="58">
        <f t="shared" si="904"/>
        <v>0</v>
      </c>
      <c r="FI133" s="56">
        <f t="shared" si="905"/>
        <v>0</v>
      </c>
      <c r="FJ133" s="58">
        <f t="shared" si="906"/>
        <v>0</v>
      </c>
      <c r="FK133" s="54">
        <f t="shared" si="907"/>
        <v>0</v>
      </c>
      <c r="FL133" s="58">
        <f t="shared" si="908"/>
        <v>0</v>
      </c>
      <c r="FM133" s="59">
        <f t="shared" si="909"/>
        <v>0</v>
      </c>
      <c r="FN133" s="58">
        <f t="shared" si="910"/>
        <v>0</v>
      </c>
      <c r="FO133" s="59">
        <f t="shared" si="911"/>
        <v>0</v>
      </c>
      <c r="FP133" s="58">
        <f t="shared" si="912"/>
        <v>0</v>
      </c>
      <c r="FQ133" s="59">
        <f t="shared" si="913"/>
        <v>0</v>
      </c>
      <c r="FR133" s="58">
        <f t="shared" si="914"/>
        <v>0</v>
      </c>
      <c r="FS133" s="54">
        <f t="shared" si="915"/>
        <v>0</v>
      </c>
      <c r="FT133" s="58">
        <f t="shared" si="916"/>
        <v>0</v>
      </c>
      <c r="FU133" s="59">
        <f t="shared" si="917"/>
        <v>0</v>
      </c>
      <c r="FV133" s="58">
        <f t="shared" si="918"/>
        <v>0</v>
      </c>
      <c r="FW133" s="59">
        <f t="shared" si="919"/>
        <v>0</v>
      </c>
      <c r="FX133" s="58">
        <f t="shared" si="920"/>
        <v>0</v>
      </c>
      <c r="FY133" s="59">
        <f t="shared" si="921"/>
        <v>0</v>
      </c>
      <c r="FZ133" s="58">
        <f t="shared" si="922"/>
        <v>0</v>
      </c>
      <c r="GA133" s="59">
        <f t="shared" si="923"/>
        <v>0</v>
      </c>
      <c r="GB133" s="58">
        <f t="shared" si="924"/>
        <v>0</v>
      </c>
      <c r="GC133" s="54">
        <f t="shared" si="925"/>
        <v>0</v>
      </c>
      <c r="GD133" s="58">
        <f t="shared" si="926"/>
        <v>0</v>
      </c>
      <c r="GE133" s="59">
        <f t="shared" si="927"/>
        <v>0</v>
      </c>
      <c r="GF133" s="58">
        <f t="shared" si="928"/>
        <v>0</v>
      </c>
      <c r="GG133" s="59">
        <f t="shared" si="929"/>
        <v>0</v>
      </c>
      <c r="GH133" s="58">
        <f t="shared" si="930"/>
        <v>0</v>
      </c>
      <c r="GI133" s="54">
        <f t="shared" si="931"/>
        <v>0</v>
      </c>
      <c r="GJ133" s="58">
        <f t="shared" si="932"/>
        <v>0</v>
      </c>
      <c r="GK133" s="54"/>
      <c r="GL133" s="54"/>
      <c r="GM133" s="54">
        <v>1</v>
      </c>
      <c r="GN133" s="54">
        <v>0.97</v>
      </c>
      <c r="GO133" s="54">
        <v>0.95</v>
      </c>
      <c r="GP133" s="54">
        <v>0.93</v>
      </c>
      <c r="GQ133" s="54">
        <f t="shared" si="798"/>
        <v>0.91</v>
      </c>
      <c r="GR133" s="54">
        <f t="shared" si="798"/>
        <v>0.89</v>
      </c>
      <c r="GS133" s="54">
        <f t="shared" si="798"/>
        <v>0.87</v>
      </c>
      <c r="GT133" s="54">
        <f t="shared" si="798"/>
        <v>0.85</v>
      </c>
      <c r="GU133" s="54">
        <f t="shared" si="798"/>
        <v>0.83</v>
      </c>
      <c r="GV133" s="54">
        <f t="shared" si="798"/>
        <v>0.80999999999999994</v>
      </c>
      <c r="GW133" s="54">
        <f t="shared" si="798"/>
        <v>0.78999999999999992</v>
      </c>
      <c r="GX133" s="54">
        <f t="shared" si="798"/>
        <v>0.76999999999999991</v>
      </c>
      <c r="GY133" s="54">
        <f t="shared" si="798"/>
        <v>0.74999999999999989</v>
      </c>
      <c r="GZ133" s="54">
        <f t="shared" si="798"/>
        <v>0.72999999999999987</v>
      </c>
      <c r="HA133" s="54">
        <f t="shared" si="798"/>
        <v>0.70999999999999985</v>
      </c>
      <c r="HB133" s="54">
        <f t="shared" si="798"/>
        <v>0.68999999999999984</v>
      </c>
      <c r="HC133" s="54">
        <f t="shared" si="798"/>
        <v>0.66999999999999982</v>
      </c>
      <c r="HD133" s="54">
        <f t="shared" si="798"/>
        <v>0.6499999999999998</v>
      </c>
      <c r="HE133" s="54">
        <f t="shared" si="798"/>
        <v>0.62999999999999978</v>
      </c>
      <c r="HF133" s="54">
        <f t="shared" si="798"/>
        <v>0.60999999999999976</v>
      </c>
      <c r="HG133" s="54">
        <f t="shared" si="798"/>
        <v>0.58999999999999975</v>
      </c>
      <c r="HH133" s="54">
        <f t="shared" si="798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2">
        <f t="shared" si="803"/>
        <v>0</v>
      </c>
      <c r="H134" s="54">
        <f t="shared" si="510"/>
        <v>0</v>
      </c>
      <c r="I134" s="54">
        <f t="shared" si="511"/>
        <v>0</v>
      </c>
      <c r="J134" s="58">
        <f t="shared" si="512"/>
        <v>0</v>
      </c>
      <c r="K134" s="54">
        <f t="shared" si="804"/>
        <v>0</v>
      </c>
      <c r="L134" s="58">
        <f t="shared" si="805"/>
        <v>0</v>
      </c>
      <c r="M134" s="54">
        <f t="shared" si="806"/>
        <v>0</v>
      </c>
      <c r="N134" s="58">
        <f t="shared" si="807"/>
        <v>0</v>
      </c>
      <c r="O134" s="54">
        <f t="shared" si="808"/>
        <v>0</v>
      </c>
      <c r="P134" s="58">
        <f t="shared" si="809"/>
        <v>0</v>
      </c>
      <c r="Q134" s="56">
        <f t="shared" si="810"/>
        <v>0</v>
      </c>
      <c r="R134" s="58">
        <f t="shared" si="811"/>
        <v>0</v>
      </c>
      <c r="S134" s="54">
        <f t="shared" si="812"/>
        <v>0</v>
      </c>
      <c r="T134" s="58">
        <f t="shared" si="813"/>
        <v>0</v>
      </c>
      <c r="U134" s="56">
        <f t="shared" si="814"/>
        <v>0</v>
      </c>
      <c r="V134" s="58">
        <f t="shared" si="815"/>
        <v>0</v>
      </c>
      <c r="W134" s="59">
        <f t="shared" si="816"/>
        <v>0</v>
      </c>
      <c r="X134" s="58">
        <f t="shared" si="817"/>
        <v>0</v>
      </c>
      <c r="Y134" s="56">
        <f t="shared" si="818"/>
        <v>0</v>
      </c>
      <c r="Z134" s="58">
        <f t="shared" si="819"/>
        <v>0</v>
      </c>
      <c r="AA134" s="54">
        <f t="shared" si="820"/>
        <v>0</v>
      </c>
      <c r="AB134" s="58">
        <f t="shared" si="821"/>
        <v>0</v>
      </c>
      <c r="AC134" s="59">
        <f t="shared" si="822"/>
        <v>0</v>
      </c>
      <c r="AD134" s="58">
        <f t="shared" si="823"/>
        <v>0</v>
      </c>
      <c r="AE134" s="59">
        <f t="shared" si="824"/>
        <v>0</v>
      </c>
      <c r="AF134" s="58">
        <f t="shared" si="825"/>
        <v>0</v>
      </c>
      <c r="AG134" s="59">
        <f t="shared" si="826"/>
        <v>0</v>
      </c>
      <c r="AH134" s="58">
        <f t="shared" si="827"/>
        <v>0</v>
      </c>
      <c r="AI134" s="54">
        <f t="shared" si="828"/>
        <v>0</v>
      </c>
      <c r="AJ134" s="58">
        <f t="shared" si="829"/>
        <v>0</v>
      </c>
      <c r="AK134" s="59">
        <f t="shared" si="830"/>
        <v>0</v>
      </c>
      <c r="AL134" s="58">
        <f t="shared" si="831"/>
        <v>0</v>
      </c>
      <c r="AM134" s="59">
        <f t="shared" si="832"/>
        <v>0</v>
      </c>
      <c r="AN134" s="58">
        <f t="shared" si="833"/>
        <v>0</v>
      </c>
      <c r="AO134" s="59">
        <f t="shared" si="834"/>
        <v>0</v>
      </c>
      <c r="AP134" s="58">
        <f t="shared" si="835"/>
        <v>0</v>
      </c>
      <c r="AQ134" s="59">
        <f t="shared" si="836"/>
        <v>0</v>
      </c>
      <c r="AR134" s="58">
        <f t="shared" si="837"/>
        <v>0</v>
      </c>
      <c r="AS134" s="54">
        <f t="shared" si="838"/>
        <v>0</v>
      </c>
      <c r="AT134" s="58">
        <f t="shared" si="839"/>
        <v>0</v>
      </c>
      <c r="AU134" s="59">
        <f t="shared" si="840"/>
        <v>0</v>
      </c>
      <c r="AV134" s="58">
        <f t="shared" si="841"/>
        <v>0</v>
      </c>
      <c r="AW134" s="59">
        <f t="shared" si="842"/>
        <v>0</v>
      </c>
      <c r="AX134" s="58">
        <f t="shared" si="843"/>
        <v>0</v>
      </c>
      <c r="AY134" s="54">
        <f t="shared" si="844"/>
        <v>0</v>
      </c>
      <c r="AZ134" s="58">
        <f t="shared" si="845"/>
        <v>0</v>
      </c>
      <c r="BC134" s="54">
        <v>1</v>
      </c>
      <c r="BD134" s="54">
        <v>0.97</v>
      </c>
      <c r="BE134" s="54">
        <v>0.95</v>
      </c>
      <c r="BF134" s="54">
        <v>0.93</v>
      </c>
      <c r="BG134" s="54">
        <f t="shared" si="846"/>
        <v>0.91</v>
      </c>
      <c r="BH134" s="54">
        <f t="shared" si="846"/>
        <v>0.89</v>
      </c>
      <c r="BI134" s="54">
        <f t="shared" si="846"/>
        <v>0.87</v>
      </c>
      <c r="BJ134" s="54">
        <f t="shared" si="846"/>
        <v>0.85</v>
      </c>
      <c r="BK134" s="54">
        <f t="shared" si="846"/>
        <v>0.83</v>
      </c>
      <c r="BL134" s="54">
        <f t="shared" si="846"/>
        <v>0.80999999999999994</v>
      </c>
      <c r="BM134" s="54">
        <f t="shared" si="846"/>
        <v>0.78999999999999992</v>
      </c>
      <c r="BN134" s="54">
        <f t="shared" si="846"/>
        <v>0.76999999999999991</v>
      </c>
      <c r="BO134" s="54">
        <f t="shared" si="846"/>
        <v>0.74999999999999989</v>
      </c>
      <c r="BP134" s="54">
        <f t="shared" si="846"/>
        <v>0.72999999999999987</v>
      </c>
      <c r="BQ134" s="54">
        <f t="shared" si="846"/>
        <v>0.70999999999999985</v>
      </c>
      <c r="BR134" s="54">
        <f t="shared" si="846"/>
        <v>0.68999999999999984</v>
      </c>
      <c r="BS134" s="54">
        <f t="shared" si="846"/>
        <v>0.66999999999999982</v>
      </c>
      <c r="BT134" s="54">
        <f t="shared" si="846"/>
        <v>0.6499999999999998</v>
      </c>
      <c r="BU134" s="54">
        <f t="shared" si="846"/>
        <v>0.62999999999999978</v>
      </c>
      <c r="BV134" s="54">
        <f t="shared" si="846"/>
        <v>0.60999999999999976</v>
      </c>
      <c r="BW134" s="54">
        <f t="shared" si="846"/>
        <v>0.58999999999999975</v>
      </c>
      <c r="BX134" s="54">
        <f t="shared" si="846"/>
        <v>0.56999999999999973</v>
      </c>
      <c r="BZ134" s="54">
        <f t="shared" si="513"/>
        <v>0</v>
      </c>
      <c r="CA134" s="54">
        <f t="shared" si="514"/>
        <v>0</v>
      </c>
      <c r="CB134" s="58">
        <f t="shared" si="847"/>
        <v>0</v>
      </c>
      <c r="CC134" s="54">
        <f t="shared" si="848"/>
        <v>0</v>
      </c>
      <c r="CD134" s="58">
        <f t="shared" si="849"/>
        <v>0</v>
      </c>
      <c r="CE134" s="54">
        <f t="shared" si="850"/>
        <v>0</v>
      </c>
      <c r="CF134" s="58">
        <f t="shared" si="851"/>
        <v>0</v>
      </c>
      <c r="CG134" s="54">
        <f t="shared" si="852"/>
        <v>0</v>
      </c>
      <c r="CH134" s="58">
        <f t="shared" si="853"/>
        <v>0</v>
      </c>
      <c r="CI134" s="56">
        <f t="shared" si="854"/>
        <v>0</v>
      </c>
      <c r="CJ134" s="58">
        <f t="shared" si="855"/>
        <v>0</v>
      </c>
      <c r="CK134" s="54">
        <f t="shared" si="856"/>
        <v>0</v>
      </c>
      <c r="CL134" s="58">
        <f t="shared" si="857"/>
        <v>0</v>
      </c>
      <c r="CM134" s="56">
        <f t="shared" si="858"/>
        <v>0</v>
      </c>
      <c r="CN134" s="58">
        <f t="shared" si="859"/>
        <v>0</v>
      </c>
      <c r="CO134" s="59">
        <f t="shared" si="860"/>
        <v>0</v>
      </c>
      <c r="CP134" s="58">
        <f t="shared" si="861"/>
        <v>0</v>
      </c>
      <c r="CQ134" s="56">
        <f t="shared" si="862"/>
        <v>0</v>
      </c>
      <c r="CR134" s="58">
        <f t="shared" si="863"/>
        <v>0</v>
      </c>
      <c r="CS134" s="54">
        <f t="shared" si="864"/>
        <v>0</v>
      </c>
      <c r="CT134" s="58">
        <f t="shared" si="865"/>
        <v>0</v>
      </c>
      <c r="CU134" s="59">
        <f t="shared" si="866"/>
        <v>0</v>
      </c>
      <c r="CV134" s="58">
        <f t="shared" si="867"/>
        <v>0</v>
      </c>
      <c r="CW134" s="59">
        <f t="shared" si="868"/>
        <v>0</v>
      </c>
      <c r="CX134" s="58">
        <f t="shared" si="869"/>
        <v>0</v>
      </c>
      <c r="CY134" s="59">
        <f t="shared" si="870"/>
        <v>0</v>
      </c>
      <c r="CZ134" s="58">
        <f t="shared" si="871"/>
        <v>0</v>
      </c>
      <c r="DA134" s="54">
        <f t="shared" si="872"/>
        <v>0</v>
      </c>
      <c r="DB134" s="58">
        <f t="shared" si="873"/>
        <v>0</v>
      </c>
      <c r="DC134" s="59">
        <f t="shared" si="874"/>
        <v>0</v>
      </c>
      <c r="DD134" s="58">
        <f t="shared" si="875"/>
        <v>0</v>
      </c>
      <c r="DE134" s="59">
        <f t="shared" si="876"/>
        <v>0</v>
      </c>
      <c r="DF134" s="58">
        <f t="shared" si="877"/>
        <v>0</v>
      </c>
      <c r="DG134" s="59">
        <f t="shared" si="878"/>
        <v>0</v>
      </c>
      <c r="DH134" s="58">
        <f t="shared" si="879"/>
        <v>0</v>
      </c>
      <c r="DI134" s="59">
        <f t="shared" si="880"/>
        <v>0</v>
      </c>
      <c r="DJ134" s="58">
        <f t="shared" si="881"/>
        <v>0</v>
      </c>
      <c r="DK134" s="54">
        <f t="shared" si="882"/>
        <v>0</v>
      </c>
      <c r="DL134" s="58">
        <f t="shared" si="883"/>
        <v>0</v>
      </c>
      <c r="DM134" s="59">
        <f t="shared" si="884"/>
        <v>0</v>
      </c>
      <c r="DN134" s="58">
        <f t="shared" si="885"/>
        <v>0</v>
      </c>
      <c r="DO134" s="59">
        <f t="shared" si="886"/>
        <v>0</v>
      </c>
      <c r="DP134" s="58">
        <f t="shared" si="887"/>
        <v>0</v>
      </c>
      <c r="DQ134" s="54">
        <f t="shared" si="888"/>
        <v>0</v>
      </c>
      <c r="DR134" s="58">
        <f t="shared" si="889"/>
        <v>0</v>
      </c>
      <c r="DU134" s="54">
        <v>1</v>
      </c>
      <c r="DV134" s="54">
        <v>0.97</v>
      </c>
      <c r="DW134" s="54">
        <v>0.95</v>
      </c>
      <c r="DX134" s="54">
        <v>0.93</v>
      </c>
      <c r="DY134" s="54">
        <f t="shared" si="797"/>
        <v>0.91</v>
      </c>
      <c r="DZ134" s="54">
        <f t="shared" si="797"/>
        <v>0.89</v>
      </c>
      <c r="EA134" s="54">
        <f t="shared" si="797"/>
        <v>0.87</v>
      </c>
      <c r="EB134" s="54">
        <f t="shared" si="797"/>
        <v>0.85</v>
      </c>
      <c r="EC134" s="54">
        <f t="shared" si="797"/>
        <v>0.83</v>
      </c>
      <c r="ED134" s="54">
        <f t="shared" si="797"/>
        <v>0.80999999999999994</v>
      </c>
      <c r="EE134" s="54">
        <f t="shared" si="797"/>
        <v>0.78999999999999992</v>
      </c>
      <c r="EF134" s="54">
        <f t="shared" si="797"/>
        <v>0.76999999999999991</v>
      </c>
      <c r="EG134" s="54">
        <f t="shared" si="797"/>
        <v>0.74999999999999989</v>
      </c>
      <c r="EH134" s="54">
        <f t="shared" si="797"/>
        <v>0.72999999999999987</v>
      </c>
      <c r="EI134" s="54">
        <f t="shared" si="797"/>
        <v>0.70999999999999985</v>
      </c>
      <c r="EJ134" s="54">
        <f t="shared" si="797"/>
        <v>0.68999999999999984</v>
      </c>
      <c r="EK134" s="54">
        <f t="shared" si="797"/>
        <v>0.66999999999999982</v>
      </c>
      <c r="EL134" s="54">
        <f t="shared" si="797"/>
        <v>0.6499999999999998</v>
      </c>
      <c r="EM134" s="54">
        <f t="shared" si="797"/>
        <v>0.62999999999999978</v>
      </c>
      <c r="EN134" s="54">
        <f t="shared" si="797"/>
        <v>0.60999999999999976</v>
      </c>
      <c r="EO134" s="54">
        <f t="shared" si="797"/>
        <v>0.58999999999999975</v>
      </c>
      <c r="EP134" s="54">
        <f t="shared" si="797"/>
        <v>0.56999999999999973</v>
      </c>
      <c r="ER134" s="54">
        <f t="shared" si="653"/>
        <v>0</v>
      </c>
      <c r="ES134" s="54">
        <f t="shared" si="515"/>
        <v>0</v>
      </c>
      <c r="ET134" s="58">
        <f t="shared" si="890"/>
        <v>0</v>
      </c>
      <c r="EU134" s="54">
        <f t="shared" si="891"/>
        <v>0</v>
      </c>
      <c r="EV134" s="58">
        <f t="shared" si="892"/>
        <v>0</v>
      </c>
      <c r="EW134" s="54">
        <f t="shared" si="893"/>
        <v>0</v>
      </c>
      <c r="EX134" s="58">
        <f t="shared" si="894"/>
        <v>0</v>
      </c>
      <c r="EY134" s="54">
        <f t="shared" si="895"/>
        <v>0</v>
      </c>
      <c r="EZ134" s="58">
        <f t="shared" si="896"/>
        <v>0</v>
      </c>
      <c r="FA134" s="56">
        <f t="shared" si="897"/>
        <v>0</v>
      </c>
      <c r="FB134" s="58">
        <f t="shared" si="898"/>
        <v>0</v>
      </c>
      <c r="FC134" s="54">
        <f t="shared" si="899"/>
        <v>0</v>
      </c>
      <c r="FD134" s="58">
        <f t="shared" si="900"/>
        <v>0</v>
      </c>
      <c r="FE134" s="56">
        <f t="shared" si="901"/>
        <v>0</v>
      </c>
      <c r="FF134" s="58">
        <f t="shared" si="902"/>
        <v>0</v>
      </c>
      <c r="FG134" s="59">
        <f t="shared" si="903"/>
        <v>0</v>
      </c>
      <c r="FH134" s="58">
        <f t="shared" si="904"/>
        <v>0</v>
      </c>
      <c r="FI134" s="56">
        <f t="shared" si="905"/>
        <v>0</v>
      </c>
      <c r="FJ134" s="58">
        <f t="shared" si="906"/>
        <v>0</v>
      </c>
      <c r="FK134" s="54">
        <f t="shared" si="907"/>
        <v>0</v>
      </c>
      <c r="FL134" s="58">
        <f t="shared" si="908"/>
        <v>0</v>
      </c>
      <c r="FM134" s="59">
        <f t="shared" si="909"/>
        <v>0</v>
      </c>
      <c r="FN134" s="58">
        <f t="shared" si="910"/>
        <v>0</v>
      </c>
      <c r="FO134" s="59">
        <f t="shared" si="911"/>
        <v>0</v>
      </c>
      <c r="FP134" s="58">
        <f t="shared" si="912"/>
        <v>0</v>
      </c>
      <c r="FQ134" s="59">
        <f t="shared" si="913"/>
        <v>0</v>
      </c>
      <c r="FR134" s="58">
        <f t="shared" si="914"/>
        <v>0</v>
      </c>
      <c r="FS134" s="54">
        <f t="shared" si="915"/>
        <v>0</v>
      </c>
      <c r="FT134" s="58">
        <f t="shared" si="916"/>
        <v>0</v>
      </c>
      <c r="FU134" s="59">
        <f t="shared" si="917"/>
        <v>0</v>
      </c>
      <c r="FV134" s="58">
        <f t="shared" si="918"/>
        <v>0</v>
      </c>
      <c r="FW134" s="59">
        <f t="shared" si="919"/>
        <v>0</v>
      </c>
      <c r="FX134" s="58">
        <f t="shared" si="920"/>
        <v>0</v>
      </c>
      <c r="FY134" s="59">
        <f t="shared" si="921"/>
        <v>0</v>
      </c>
      <c r="FZ134" s="58">
        <f t="shared" si="922"/>
        <v>0</v>
      </c>
      <c r="GA134" s="59">
        <f t="shared" si="923"/>
        <v>0</v>
      </c>
      <c r="GB134" s="58">
        <f t="shared" si="924"/>
        <v>0</v>
      </c>
      <c r="GC134" s="54">
        <f t="shared" si="925"/>
        <v>0</v>
      </c>
      <c r="GD134" s="58">
        <f t="shared" si="926"/>
        <v>0</v>
      </c>
      <c r="GE134" s="59">
        <f t="shared" si="927"/>
        <v>0</v>
      </c>
      <c r="GF134" s="58">
        <f t="shared" si="928"/>
        <v>0</v>
      </c>
      <c r="GG134" s="59">
        <f t="shared" si="929"/>
        <v>0</v>
      </c>
      <c r="GH134" s="58">
        <f t="shared" si="930"/>
        <v>0</v>
      </c>
      <c r="GI134" s="54">
        <f t="shared" si="931"/>
        <v>0</v>
      </c>
      <c r="GJ134" s="58">
        <f t="shared" si="932"/>
        <v>0</v>
      </c>
      <c r="GK134" s="54"/>
      <c r="GL134" s="54"/>
      <c r="GM134" s="54">
        <v>1</v>
      </c>
      <c r="GN134" s="54">
        <v>0.97</v>
      </c>
      <c r="GO134" s="54">
        <v>0.95</v>
      </c>
      <c r="GP134" s="54">
        <v>0.93</v>
      </c>
      <c r="GQ134" s="54">
        <f t="shared" si="798"/>
        <v>0.91</v>
      </c>
      <c r="GR134" s="54">
        <f t="shared" si="798"/>
        <v>0.89</v>
      </c>
      <c r="GS134" s="54">
        <f t="shared" si="798"/>
        <v>0.87</v>
      </c>
      <c r="GT134" s="54">
        <f t="shared" si="798"/>
        <v>0.85</v>
      </c>
      <c r="GU134" s="54">
        <f t="shared" si="798"/>
        <v>0.83</v>
      </c>
      <c r="GV134" s="54">
        <f t="shared" si="798"/>
        <v>0.80999999999999994</v>
      </c>
      <c r="GW134" s="54">
        <f t="shared" si="798"/>
        <v>0.78999999999999992</v>
      </c>
      <c r="GX134" s="54">
        <f t="shared" si="798"/>
        <v>0.76999999999999991</v>
      </c>
      <c r="GY134" s="54">
        <f t="shared" si="798"/>
        <v>0.74999999999999989</v>
      </c>
      <c r="GZ134" s="54">
        <f t="shared" si="798"/>
        <v>0.72999999999999987</v>
      </c>
      <c r="HA134" s="54">
        <f t="shared" si="798"/>
        <v>0.70999999999999985</v>
      </c>
      <c r="HB134" s="54">
        <f t="shared" si="798"/>
        <v>0.68999999999999984</v>
      </c>
      <c r="HC134" s="54">
        <f t="shared" si="798"/>
        <v>0.66999999999999982</v>
      </c>
      <c r="HD134" s="54">
        <f t="shared" si="798"/>
        <v>0.6499999999999998</v>
      </c>
      <c r="HE134" s="54">
        <f t="shared" si="798"/>
        <v>0.62999999999999978</v>
      </c>
      <c r="HF134" s="54">
        <f t="shared" si="798"/>
        <v>0.60999999999999976</v>
      </c>
      <c r="HG134" s="54">
        <f t="shared" si="798"/>
        <v>0.58999999999999975</v>
      </c>
      <c r="HH134" s="54">
        <f t="shared" si="798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2">
        <f t="shared" si="803"/>
        <v>0</v>
      </c>
      <c r="H135" s="54">
        <f t="shared" si="510"/>
        <v>0</v>
      </c>
      <c r="I135" s="54">
        <f t="shared" si="511"/>
        <v>0</v>
      </c>
      <c r="J135" s="58">
        <f t="shared" si="512"/>
        <v>0</v>
      </c>
      <c r="K135" s="54">
        <f t="shared" si="804"/>
        <v>0</v>
      </c>
      <c r="L135" s="58">
        <f t="shared" si="805"/>
        <v>0</v>
      </c>
      <c r="M135" s="54">
        <f t="shared" si="806"/>
        <v>0</v>
      </c>
      <c r="N135" s="58">
        <f t="shared" si="807"/>
        <v>0</v>
      </c>
      <c r="O135" s="54">
        <f t="shared" si="808"/>
        <v>0</v>
      </c>
      <c r="P135" s="58">
        <f t="shared" si="809"/>
        <v>0</v>
      </c>
      <c r="Q135" s="56">
        <f t="shared" si="810"/>
        <v>0</v>
      </c>
      <c r="R135" s="58">
        <f t="shared" si="811"/>
        <v>0</v>
      </c>
      <c r="S135" s="54">
        <f t="shared" si="812"/>
        <v>0</v>
      </c>
      <c r="T135" s="58">
        <f t="shared" si="813"/>
        <v>0</v>
      </c>
      <c r="U135" s="56">
        <f t="shared" si="814"/>
        <v>0</v>
      </c>
      <c r="V135" s="58">
        <f t="shared" si="815"/>
        <v>0</v>
      </c>
      <c r="W135" s="59">
        <f t="shared" si="816"/>
        <v>0</v>
      </c>
      <c r="X135" s="58">
        <f t="shared" si="817"/>
        <v>0</v>
      </c>
      <c r="Y135" s="56">
        <f t="shared" si="818"/>
        <v>0</v>
      </c>
      <c r="Z135" s="58">
        <f t="shared" si="819"/>
        <v>0</v>
      </c>
      <c r="AA135" s="54">
        <f t="shared" si="820"/>
        <v>0</v>
      </c>
      <c r="AB135" s="58">
        <f t="shared" si="821"/>
        <v>0</v>
      </c>
      <c r="AC135" s="59">
        <f t="shared" si="822"/>
        <v>0</v>
      </c>
      <c r="AD135" s="58">
        <f t="shared" si="823"/>
        <v>0</v>
      </c>
      <c r="AE135" s="59">
        <f t="shared" si="824"/>
        <v>0</v>
      </c>
      <c r="AF135" s="58">
        <f t="shared" si="825"/>
        <v>0</v>
      </c>
      <c r="AG135" s="59">
        <f t="shared" si="826"/>
        <v>0</v>
      </c>
      <c r="AH135" s="58">
        <f t="shared" si="827"/>
        <v>0</v>
      </c>
      <c r="AI135" s="54">
        <f t="shared" si="828"/>
        <v>0</v>
      </c>
      <c r="AJ135" s="58">
        <f t="shared" si="829"/>
        <v>0</v>
      </c>
      <c r="AK135" s="59">
        <f t="shared" si="830"/>
        <v>0</v>
      </c>
      <c r="AL135" s="58">
        <f t="shared" si="831"/>
        <v>0</v>
      </c>
      <c r="AM135" s="59">
        <f t="shared" si="832"/>
        <v>0</v>
      </c>
      <c r="AN135" s="58">
        <f t="shared" si="833"/>
        <v>0</v>
      </c>
      <c r="AO135" s="59">
        <f t="shared" si="834"/>
        <v>0</v>
      </c>
      <c r="AP135" s="58">
        <f t="shared" si="835"/>
        <v>0</v>
      </c>
      <c r="AQ135" s="59">
        <f t="shared" si="836"/>
        <v>0</v>
      </c>
      <c r="AR135" s="58">
        <f t="shared" si="837"/>
        <v>0</v>
      </c>
      <c r="AS135" s="54">
        <f t="shared" si="838"/>
        <v>0</v>
      </c>
      <c r="AT135" s="58">
        <f t="shared" si="839"/>
        <v>0</v>
      </c>
      <c r="AU135" s="59">
        <f t="shared" si="840"/>
        <v>0</v>
      </c>
      <c r="AV135" s="58">
        <f t="shared" si="841"/>
        <v>0</v>
      </c>
      <c r="AW135" s="59">
        <f t="shared" si="842"/>
        <v>0</v>
      </c>
      <c r="AX135" s="58">
        <f t="shared" si="843"/>
        <v>0</v>
      </c>
      <c r="AY135" s="54">
        <f t="shared" si="844"/>
        <v>0</v>
      </c>
      <c r="AZ135" s="58">
        <f t="shared" si="845"/>
        <v>0</v>
      </c>
      <c r="BC135" s="54">
        <v>1</v>
      </c>
      <c r="BD135" s="54">
        <v>0.97</v>
      </c>
      <c r="BE135" s="54">
        <v>0.95</v>
      </c>
      <c r="BF135" s="54">
        <v>0.93</v>
      </c>
      <c r="BG135" s="54">
        <f t="shared" si="846"/>
        <v>0.91</v>
      </c>
      <c r="BH135" s="54">
        <f t="shared" si="846"/>
        <v>0.89</v>
      </c>
      <c r="BI135" s="54">
        <f t="shared" si="846"/>
        <v>0.87</v>
      </c>
      <c r="BJ135" s="54">
        <f t="shared" si="846"/>
        <v>0.85</v>
      </c>
      <c r="BK135" s="54">
        <f t="shared" si="846"/>
        <v>0.83</v>
      </c>
      <c r="BL135" s="54">
        <f t="shared" si="846"/>
        <v>0.80999999999999994</v>
      </c>
      <c r="BM135" s="54">
        <f t="shared" si="846"/>
        <v>0.78999999999999992</v>
      </c>
      <c r="BN135" s="54">
        <f t="shared" si="846"/>
        <v>0.76999999999999991</v>
      </c>
      <c r="BO135" s="54">
        <f t="shared" si="846"/>
        <v>0.74999999999999989</v>
      </c>
      <c r="BP135" s="54">
        <f t="shared" si="846"/>
        <v>0.72999999999999987</v>
      </c>
      <c r="BQ135" s="54">
        <f t="shared" si="846"/>
        <v>0.70999999999999985</v>
      </c>
      <c r="BR135" s="54">
        <f t="shared" si="846"/>
        <v>0.68999999999999984</v>
      </c>
      <c r="BS135" s="54">
        <f t="shared" si="846"/>
        <v>0.66999999999999982</v>
      </c>
      <c r="BT135" s="54">
        <f t="shared" si="846"/>
        <v>0.6499999999999998</v>
      </c>
      <c r="BU135" s="54">
        <f t="shared" si="846"/>
        <v>0.62999999999999978</v>
      </c>
      <c r="BV135" s="54">
        <f t="shared" si="846"/>
        <v>0.60999999999999976</v>
      </c>
      <c r="BW135" s="54">
        <f t="shared" si="846"/>
        <v>0.58999999999999975</v>
      </c>
      <c r="BX135" s="54">
        <f t="shared" si="846"/>
        <v>0.56999999999999973</v>
      </c>
      <c r="BZ135" s="54">
        <f t="shared" si="513"/>
        <v>0</v>
      </c>
      <c r="CA135" s="54">
        <f t="shared" si="514"/>
        <v>0</v>
      </c>
      <c r="CB135" s="58">
        <f t="shared" si="847"/>
        <v>0</v>
      </c>
      <c r="CC135" s="54">
        <f t="shared" si="848"/>
        <v>0</v>
      </c>
      <c r="CD135" s="58">
        <f t="shared" si="849"/>
        <v>0</v>
      </c>
      <c r="CE135" s="54">
        <f t="shared" si="850"/>
        <v>0</v>
      </c>
      <c r="CF135" s="58">
        <f t="shared" si="851"/>
        <v>0</v>
      </c>
      <c r="CG135" s="54">
        <f t="shared" si="852"/>
        <v>0</v>
      </c>
      <c r="CH135" s="58">
        <f t="shared" si="853"/>
        <v>0</v>
      </c>
      <c r="CI135" s="56">
        <f t="shared" si="854"/>
        <v>0</v>
      </c>
      <c r="CJ135" s="58">
        <f t="shared" si="855"/>
        <v>0</v>
      </c>
      <c r="CK135" s="54">
        <f t="shared" si="856"/>
        <v>0</v>
      </c>
      <c r="CL135" s="58">
        <f t="shared" si="857"/>
        <v>0</v>
      </c>
      <c r="CM135" s="56">
        <f t="shared" si="858"/>
        <v>0</v>
      </c>
      <c r="CN135" s="58">
        <f t="shared" si="859"/>
        <v>0</v>
      </c>
      <c r="CO135" s="59">
        <f t="shared" si="860"/>
        <v>0</v>
      </c>
      <c r="CP135" s="58">
        <f t="shared" si="861"/>
        <v>0</v>
      </c>
      <c r="CQ135" s="56">
        <f t="shared" si="862"/>
        <v>0</v>
      </c>
      <c r="CR135" s="58">
        <f t="shared" si="863"/>
        <v>0</v>
      </c>
      <c r="CS135" s="54">
        <f t="shared" si="864"/>
        <v>0</v>
      </c>
      <c r="CT135" s="58">
        <f t="shared" si="865"/>
        <v>0</v>
      </c>
      <c r="CU135" s="59">
        <f t="shared" si="866"/>
        <v>0</v>
      </c>
      <c r="CV135" s="58">
        <f t="shared" si="867"/>
        <v>0</v>
      </c>
      <c r="CW135" s="59">
        <f t="shared" si="868"/>
        <v>0</v>
      </c>
      <c r="CX135" s="58">
        <f t="shared" si="869"/>
        <v>0</v>
      </c>
      <c r="CY135" s="59">
        <f t="shared" si="870"/>
        <v>0</v>
      </c>
      <c r="CZ135" s="58">
        <f t="shared" si="871"/>
        <v>0</v>
      </c>
      <c r="DA135" s="54">
        <f t="shared" si="872"/>
        <v>0</v>
      </c>
      <c r="DB135" s="58">
        <f t="shared" si="873"/>
        <v>0</v>
      </c>
      <c r="DC135" s="59">
        <f t="shared" si="874"/>
        <v>0</v>
      </c>
      <c r="DD135" s="58">
        <f t="shared" si="875"/>
        <v>0</v>
      </c>
      <c r="DE135" s="59">
        <f t="shared" si="876"/>
        <v>0</v>
      </c>
      <c r="DF135" s="58">
        <f t="shared" si="877"/>
        <v>0</v>
      </c>
      <c r="DG135" s="59">
        <f t="shared" si="878"/>
        <v>0</v>
      </c>
      <c r="DH135" s="58">
        <f t="shared" si="879"/>
        <v>0</v>
      </c>
      <c r="DI135" s="59">
        <f t="shared" si="880"/>
        <v>0</v>
      </c>
      <c r="DJ135" s="58">
        <f t="shared" si="881"/>
        <v>0</v>
      </c>
      <c r="DK135" s="54">
        <f t="shared" si="882"/>
        <v>0</v>
      </c>
      <c r="DL135" s="58">
        <f t="shared" si="883"/>
        <v>0</v>
      </c>
      <c r="DM135" s="59">
        <f t="shared" si="884"/>
        <v>0</v>
      </c>
      <c r="DN135" s="58">
        <f t="shared" si="885"/>
        <v>0</v>
      </c>
      <c r="DO135" s="59">
        <f t="shared" si="886"/>
        <v>0</v>
      </c>
      <c r="DP135" s="58">
        <f t="shared" si="887"/>
        <v>0</v>
      </c>
      <c r="DQ135" s="54">
        <f t="shared" si="888"/>
        <v>0</v>
      </c>
      <c r="DR135" s="58">
        <f t="shared" si="889"/>
        <v>0</v>
      </c>
      <c r="DU135" s="54">
        <v>1</v>
      </c>
      <c r="DV135" s="54">
        <v>0.97</v>
      </c>
      <c r="DW135" s="54">
        <v>0.95</v>
      </c>
      <c r="DX135" s="54">
        <v>0.93</v>
      </c>
      <c r="DY135" s="54">
        <f t="shared" si="797"/>
        <v>0.91</v>
      </c>
      <c r="DZ135" s="54">
        <f t="shared" si="797"/>
        <v>0.89</v>
      </c>
      <c r="EA135" s="54">
        <f t="shared" si="797"/>
        <v>0.87</v>
      </c>
      <c r="EB135" s="54">
        <f t="shared" si="797"/>
        <v>0.85</v>
      </c>
      <c r="EC135" s="54">
        <f t="shared" si="797"/>
        <v>0.83</v>
      </c>
      <c r="ED135" s="54">
        <f t="shared" si="797"/>
        <v>0.80999999999999994</v>
      </c>
      <c r="EE135" s="54">
        <f t="shared" si="797"/>
        <v>0.78999999999999992</v>
      </c>
      <c r="EF135" s="54">
        <f t="shared" si="797"/>
        <v>0.76999999999999991</v>
      </c>
      <c r="EG135" s="54">
        <f t="shared" si="797"/>
        <v>0.74999999999999989</v>
      </c>
      <c r="EH135" s="54">
        <f t="shared" si="797"/>
        <v>0.72999999999999987</v>
      </c>
      <c r="EI135" s="54">
        <f t="shared" si="797"/>
        <v>0.70999999999999985</v>
      </c>
      <c r="EJ135" s="54">
        <f t="shared" si="797"/>
        <v>0.68999999999999984</v>
      </c>
      <c r="EK135" s="54">
        <f t="shared" si="797"/>
        <v>0.66999999999999982</v>
      </c>
      <c r="EL135" s="54">
        <f t="shared" si="797"/>
        <v>0.6499999999999998</v>
      </c>
      <c r="EM135" s="54">
        <f t="shared" si="797"/>
        <v>0.62999999999999978</v>
      </c>
      <c r="EN135" s="54">
        <f t="shared" si="797"/>
        <v>0.60999999999999976</v>
      </c>
      <c r="EO135" s="54">
        <f t="shared" si="797"/>
        <v>0.58999999999999975</v>
      </c>
      <c r="EP135" s="54">
        <f t="shared" si="797"/>
        <v>0.56999999999999973</v>
      </c>
      <c r="ER135" s="54">
        <f t="shared" si="653"/>
        <v>0</v>
      </c>
      <c r="ES135" s="54">
        <f t="shared" si="515"/>
        <v>0</v>
      </c>
      <c r="ET135" s="58">
        <f t="shared" si="890"/>
        <v>0</v>
      </c>
      <c r="EU135" s="54">
        <f t="shared" si="891"/>
        <v>0</v>
      </c>
      <c r="EV135" s="58">
        <f t="shared" si="892"/>
        <v>0</v>
      </c>
      <c r="EW135" s="54">
        <f t="shared" si="893"/>
        <v>0</v>
      </c>
      <c r="EX135" s="58">
        <f t="shared" si="894"/>
        <v>0</v>
      </c>
      <c r="EY135" s="54">
        <f t="shared" si="895"/>
        <v>0</v>
      </c>
      <c r="EZ135" s="58">
        <f t="shared" si="896"/>
        <v>0</v>
      </c>
      <c r="FA135" s="56">
        <f t="shared" si="897"/>
        <v>0</v>
      </c>
      <c r="FB135" s="58">
        <f t="shared" si="898"/>
        <v>0</v>
      </c>
      <c r="FC135" s="54">
        <f t="shared" si="899"/>
        <v>0</v>
      </c>
      <c r="FD135" s="58">
        <f t="shared" si="900"/>
        <v>0</v>
      </c>
      <c r="FE135" s="56">
        <f t="shared" si="901"/>
        <v>0</v>
      </c>
      <c r="FF135" s="58">
        <f t="shared" si="902"/>
        <v>0</v>
      </c>
      <c r="FG135" s="59">
        <f t="shared" si="903"/>
        <v>0</v>
      </c>
      <c r="FH135" s="58">
        <f t="shared" si="904"/>
        <v>0</v>
      </c>
      <c r="FI135" s="56">
        <f t="shared" si="905"/>
        <v>0</v>
      </c>
      <c r="FJ135" s="58">
        <f t="shared" si="906"/>
        <v>0</v>
      </c>
      <c r="FK135" s="54">
        <f t="shared" si="907"/>
        <v>0</v>
      </c>
      <c r="FL135" s="58">
        <f t="shared" si="908"/>
        <v>0</v>
      </c>
      <c r="FM135" s="59">
        <f t="shared" si="909"/>
        <v>0</v>
      </c>
      <c r="FN135" s="58">
        <f t="shared" si="910"/>
        <v>0</v>
      </c>
      <c r="FO135" s="59">
        <f t="shared" si="911"/>
        <v>0</v>
      </c>
      <c r="FP135" s="58">
        <f t="shared" si="912"/>
        <v>0</v>
      </c>
      <c r="FQ135" s="59">
        <f t="shared" si="913"/>
        <v>0</v>
      </c>
      <c r="FR135" s="58">
        <f t="shared" si="914"/>
        <v>0</v>
      </c>
      <c r="FS135" s="54">
        <f t="shared" si="915"/>
        <v>0</v>
      </c>
      <c r="FT135" s="58">
        <f t="shared" si="916"/>
        <v>0</v>
      </c>
      <c r="FU135" s="59">
        <f t="shared" si="917"/>
        <v>0</v>
      </c>
      <c r="FV135" s="58">
        <f t="shared" si="918"/>
        <v>0</v>
      </c>
      <c r="FW135" s="59">
        <f t="shared" si="919"/>
        <v>0</v>
      </c>
      <c r="FX135" s="58">
        <f t="shared" si="920"/>
        <v>0</v>
      </c>
      <c r="FY135" s="59">
        <f t="shared" si="921"/>
        <v>0</v>
      </c>
      <c r="FZ135" s="58">
        <f t="shared" si="922"/>
        <v>0</v>
      </c>
      <c r="GA135" s="59">
        <f t="shared" si="923"/>
        <v>0</v>
      </c>
      <c r="GB135" s="58">
        <f t="shared" si="924"/>
        <v>0</v>
      </c>
      <c r="GC135" s="54">
        <f t="shared" si="925"/>
        <v>0</v>
      </c>
      <c r="GD135" s="58">
        <f t="shared" si="926"/>
        <v>0</v>
      </c>
      <c r="GE135" s="59">
        <f t="shared" si="927"/>
        <v>0</v>
      </c>
      <c r="GF135" s="58">
        <f t="shared" si="928"/>
        <v>0</v>
      </c>
      <c r="GG135" s="59">
        <f t="shared" si="929"/>
        <v>0</v>
      </c>
      <c r="GH135" s="58">
        <f t="shared" si="930"/>
        <v>0</v>
      </c>
      <c r="GI135" s="54">
        <f t="shared" si="931"/>
        <v>0</v>
      </c>
      <c r="GJ135" s="58">
        <f t="shared" si="932"/>
        <v>0</v>
      </c>
      <c r="GK135" s="54"/>
      <c r="GL135" s="54"/>
      <c r="GM135" s="54">
        <v>1</v>
      </c>
      <c r="GN135" s="54">
        <v>0.97</v>
      </c>
      <c r="GO135" s="54">
        <v>0.95</v>
      </c>
      <c r="GP135" s="54">
        <v>0.93</v>
      </c>
      <c r="GQ135" s="54">
        <f t="shared" si="798"/>
        <v>0.91</v>
      </c>
      <c r="GR135" s="54">
        <f t="shared" si="798"/>
        <v>0.89</v>
      </c>
      <c r="GS135" s="54">
        <f t="shared" si="798"/>
        <v>0.87</v>
      </c>
      <c r="GT135" s="54">
        <f t="shared" si="798"/>
        <v>0.85</v>
      </c>
      <c r="GU135" s="54">
        <f t="shared" si="798"/>
        <v>0.83</v>
      </c>
      <c r="GV135" s="54">
        <f t="shared" si="798"/>
        <v>0.80999999999999994</v>
      </c>
      <c r="GW135" s="54">
        <f t="shared" si="798"/>
        <v>0.78999999999999992</v>
      </c>
      <c r="GX135" s="54">
        <f t="shared" si="798"/>
        <v>0.76999999999999991</v>
      </c>
      <c r="GY135" s="54">
        <f t="shared" si="798"/>
        <v>0.74999999999999989</v>
      </c>
      <c r="GZ135" s="54">
        <f t="shared" si="798"/>
        <v>0.72999999999999987</v>
      </c>
      <c r="HA135" s="54">
        <f t="shared" si="798"/>
        <v>0.70999999999999985</v>
      </c>
      <c r="HB135" s="54">
        <f t="shared" si="798"/>
        <v>0.68999999999999984</v>
      </c>
      <c r="HC135" s="54">
        <f t="shared" si="798"/>
        <v>0.66999999999999982</v>
      </c>
      <c r="HD135" s="54">
        <f t="shared" si="798"/>
        <v>0.6499999999999998</v>
      </c>
      <c r="HE135" s="54">
        <f t="shared" si="798"/>
        <v>0.62999999999999978</v>
      </c>
      <c r="HF135" s="54">
        <f t="shared" si="798"/>
        <v>0.60999999999999976</v>
      </c>
      <c r="HG135" s="54">
        <f t="shared" si="798"/>
        <v>0.58999999999999975</v>
      </c>
      <c r="HH135" s="54">
        <f t="shared" si="798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2">
        <f t="shared" si="803"/>
        <v>0</v>
      </c>
      <c r="H136" s="54">
        <f t="shared" si="510"/>
        <v>0</v>
      </c>
      <c r="I136" s="54">
        <f t="shared" si="511"/>
        <v>0</v>
      </c>
      <c r="J136" s="58">
        <f t="shared" si="512"/>
        <v>0</v>
      </c>
      <c r="K136" s="54">
        <f t="shared" si="804"/>
        <v>0</v>
      </c>
      <c r="L136" s="58">
        <f t="shared" si="805"/>
        <v>0</v>
      </c>
      <c r="M136" s="54">
        <f t="shared" si="806"/>
        <v>0</v>
      </c>
      <c r="N136" s="58">
        <f t="shared" si="807"/>
        <v>0</v>
      </c>
      <c r="O136" s="54">
        <f t="shared" si="808"/>
        <v>0</v>
      </c>
      <c r="P136" s="58">
        <f t="shared" si="809"/>
        <v>0</v>
      </c>
      <c r="Q136" s="56">
        <f t="shared" si="810"/>
        <v>0</v>
      </c>
      <c r="R136" s="58">
        <f t="shared" si="811"/>
        <v>0</v>
      </c>
      <c r="S136" s="54">
        <f t="shared" si="812"/>
        <v>0</v>
      </c>
      <c r="T136" s="58">
        <f t="shared" si="813"/>
        <v>0</v>
      </c>
      <c r="U136" s="56">
        <f t="shared" si="814"/>
        <v>0</v>
      </c>
      <c r="V136" s="58">
        <f t="shared" si="815"/>
        <v>0</v>
      </c>
      <c r="W136" s="59">
        <f t="shared" si="816"/>
        <v>0</v>
      </c>
      <c r="X136" s="58">
        <f t="shared" si="817"/>
        <v>0</v>
      </c>
      <c r="Y136" s="56">
        <f t="shared" si="818"/>
        <v>0</v>
      </c>
      <c r="Z136" s="58">
        <f t="shared" si="819"/>
        <v>0</v>
      </c>
      <c r="AA136" s="54">
        <f t="shared" si="820"/>
        <v>0</v>
      </c>
      <c r="AB136" s="58">
        <f t="shared" si="821"/>
        <v>0</v>
      </c>
      <c r="AC136" s="59">
        <f t="shared" si="822"/>
        <v>0</v>
      </c>
      <c r="AD136" s="58">
        <f t="shared" si="823"/>
        <v>0</v>
      </c>
      <c r="AE136" s="59">
        <f t="shared" si="824"/>
        <v>0</v>
      </c>
      <c r="AF136" s="58">
        <f t="shared" si="825"/>
        <v>0</v>
      </c>
      <c r="AG136" s="59">
        <f t="shared" si="826"/>
        <v>0</v>
      </c>
      <c r="AH136" s="58">
        <f t="shared" si="827"/>
        <v>0</v>
      </c>
      <c r="AI136" s="54">
        <f t="shared" si="828"/>
        <v>0</v>
      </c>
      <c r="AJ136" s="58">
        <f t="shared" si="829"/>
        <v>0</v>
      </c>
      <c r="AK136" s="59">
        <f t="shared" si="830"/>
        <v>0</v>
      </c>
      <c r="AL136" s="58">
        <f t="shared" si="831"/>
        <v>0</v>
      </c>
      <c r="AM136" s="59">
        <f t="shared" si="832"/>
        <v>0</v>
      </c>
      <c r="AN136" s="58">
        <f t="shared" si="833"/>
        <v>0</v>
      </c>
      <c r="AO136" s="59">
        <f t="shared" si="834"/>
        <v>0</v>
      </c>
      <c r="AP136" s="58">
        <f t="shared" si="835"/>
        <v>0</v>
      </c>
      <c r="AQ136" s="59">
        <f t="shared" si="836"/>
        <v>0</v>
      </c>
      <c r="AR136" s="58">
        <f t="shared" si="837"/>
        <v>0</v>
      </c>
      <c r="AS136" s="54">
        <f t="shared" si="838"/>
        <v>0</v>
      </c>
      <c r="AT136" s="58">
        <f t="shared" si="839"/>
        <v>0</v>
      </c>
      <c r="AU136" s="59">
        <f t="shared" si="840"/>
        <v>0</v>
      </c>
      <c r="AV136" s="58">
        <f t="shared" si="841"/>
        <v>0</v>
      </c>
      <c r="AW136" s="59">
        <f t="shared" si="842"/>
        <v>0</v>
      </c>
      <c r="AX136" s="58">
        <f t="shared" si="843"/>
        <v>0</v>
      </c>
      <c r="AY136" s="54">
        <f t="shared" si="844"/>
        <v>0</v>
      </c>
      <c r="AZ136" s="58">
        <f t="shared" si="845"/>
        <v>0</v>
      </c>
      <c r="BC136" s="54">
        <v>1</v>
      </c>
      <c r="BD136" s="54">
        <v>0.97</v>
      </c>
      <c r="BE136" s="54">
        <v>0.95</v>
      </c>
      <c r="BF136" s="54">
        <v>0.93</v>
      </c>
      <c r="BG136" s="54">
        <f t="shared" si="846"/>
        <v>0.91</v>
      </c>
      <c r="BH136" s="54">
        <f t="shared" si="846"/>
        <v>0.89</v>
      </c>
      <c r="BI136" s="54">
        <f t="shared" si="846"/>
        <v>0.87</v>
      </c>
      <c r="BJ136" s="54">
        <f t="shared" si="846"/>
        <v>0.85</v>
      </c>
      <c r="BK136" s="54">
        <f t="shared" si="846"/>
        <v>0.83</v>
      </c>
      <c r="BL136" s="54">
        <f t="shared" si="846"/>
        <v>0.80999999999999994</v>
      </c>
      <c r="BM136" s="54">
        <f t="shared" si="846"/>
        <v>0.78999999999999992</v>
      </c>
      <c r="BN136" s="54">
        <f t="shared" si="846"/>
        <v>0.76999999999999991</v>
      </c>
      <c r="BO136" s="54">
        <f t="shared" si="846"/>
        <v>0.74999999999999989</v>
      </c>
      <c r="BP136" s="54">
        <f t="shared" si="846"/>
        <v>0.72999999999999987</v>
      </c>
      <c r="BQ136" s="54">
        <f t="shared" si="846"/>
        <v>0.70999999999999985</v>
      </c>
      <c r="BR136" s="54">
        <f t="shared" si="846"/>
        <v>0.68999999999999984</v>
      </c>
      <c r="BS136" s="54">
        <f t="shared" si="846"/>
        <v>0.66999999999999982</v>
      </c>
      <c r="BT136" s="54">
        <f t="shared" si="846"/>
        <v>0.6499999999999998</v>
      </c>
      <c r="BU136" s="54">
        <f t="shared" si="846"/>
        <v>0.62999999999999978</v>
      </c>
      <c r="BV136" s="54">
        <f t="shared" si="846"/>
        <v>0.60999999999999976</v>
      </c>
      <c r="BW136" s="54">
        <f t="shared" si="846"/>
        <v>0.58999999999999975</v>
      </c>
      <c r="BX136" s="54">
        <f t="shared" si="846"/>
        <v>0.56999999999999973</v>
      </c>
      <c r="BZ136" s="54">
        <f t="shared" si="513"/>
        <v>0</v>
      </c>
      <c r="CA136" s="54">
        <f t="shared" si="514"/>
        <v>0</v>
      </c>
      <c r="CB136" s="58">
        <f t="shared" si="847"/>
        <v>0</v>
      </c>
      <c r="CC136" s="54">
        <f t="shared" si="848"/>
        <v>0</v>
      </c>
      <c r="CD136" s="58">
        <f t="shared" si="849"/>
        <v>0</v>
      </c>
      <c r="CE136" s="54">
        <f t="shared" si="850"/>
        <v>0</v>
      </c>
      <c r="CF136" s="58">
        <f t="shared" si="851"/>
        <v>0</v>
      </c>
      <c r="CG136" s="54">
        <f t="shared" si="852"/>
        <v>0</v>
      </c>
      <c r="CH136" s="58">
        <f t="shared" si="853"/>
        <v>0</v>
      </c>
      <c r="CI136" s="56">
        <f t="shared" si="854"/>
        <v>0</v>
      </c>
      <c r="CJ136" s="58">
        <f t="shared" si="855"/>
        <v>0</v>
      </c>
      <c r="CK136" s="54">
        <f t="shared" si="856"/>
        <v>0</v>
      </c>
      <c r="CL136" s="58">
        <f t="shared" si="857"/>
        <v>0</v>
      </c>
      <c r="CM136" s="56">
        <f t="shared" si="858"/>
        <v>0</v>
      </c>
      <c r="CN136" s="58">
        <f t="shared" si="859"/>
        <v>0</v>
      </c>
      <c r="CO136" s="59">
        <f t="shared" si="860"/>
        <v>0</v>
      </c>
      <c r="CP136" s="58">
        <f t="shared" si="861"/>
        <v>0</v>
      </c>
      <c r="CQ136" s="56">
        <f t="shared" si="862"/>
        <v>0</v>
      </c>
      <c r="CR136" s="58">
        <f t="shared" si="863"/>
        <v>0</v>
      </c>
      <c r="CS136" s="54">
        <f t="shared" si="864"/>
        <v>0</v>
      </c>
      <c r="CT136" s="58">
        <f t="shared" si="865"/>
        <v>0</v>
      </c>
      <c r="CU136" s="59">
        <f t="shared" si="866"/>
        <v>0</v>
      </c>
      <c r="CV136" s="58">
        <f t="shared" si="867"/>
        <v>0</v>
      </c>
      <c r="CW136" s="59">
        <f t="shared" si="868"/>
        <v>0</v>
      </c>
      <c r="CX136" s="58">
        <f t="shared" si="869"/>
        <v>0</v>
      </c>
      <c r="CY136" s="59">
        <f t="shared" si="870"/>
        <v>0</v>
      </c>
      <c r="CZ136" s="58">
        <f t="shared" si="871"/>
        <v>0</v>
      </c>
      <c r="DA136" s="54">
        <f t="shared" si="872"/>
        <v>0</v>
      </c>
      <c r="DB136" s="58">
        <f t="shared" si="873"/>
        <v>0</v>
      </c>
      <c r="DC136" s="59">
        <f t="shared" si="874"/>
        <v>0</v>
      </c>
      <c r="DD136" s="58">
        <f t="shared" si="875"/>
        <v>0</v>
      </c>
      <c r="DE136" s="59">
        <f t="shared" si="876"/>
        <v>0</v>
      </c>
      <c r="DF136" s="58">
        <f t="shared" si="877"/>
        <v>0</v>
      </c>
      <c r="DG136" s="59">
        <f t="shared" si="878"/>
        <v>0</v>
      </c>
      <c r="DH136" s="58">
        <f t="shared" si="879"/>
        <v>0</v>
      </c>
      <c r="DI136" s="59">
        <f t="shared" si="880"/>
        <v>0</v>
      </c>
      <c r="DJ136" s="58">
        <f t="shared" si="881"/>
        <v>0</v>
      </c>
      <c r="DK136" s="54">
        <f t="shared" si="882"/>
        <v>0</v>
      </c>
      <c r="DL136" s="58">
        <f t="shared" si="883"/>
        <v>0</v>
      </c>
      <c r="DM136" s="59">
        <f t="shared" si="884"/>
        <v>0</v>
      </c>
      <c r="DN136" s="58">
        <f t="shared" si="885"/>
        <v>0</v>
      </c>
      <c r="DO136" s="59">
        <f t="shared" si="886"/>
        <v>0</v>
      </c>
      <c r="DP136" s="58">
        <f t="shared" si="887"/>
        <v>0</v>
      </c>
      <c r="DQ136" s="54">
        <f t="shared" si="888"/>
        <v>0</v>
      </c>
      <c r="DR136" s="58">
        <f t="shared" si="889"/>
        <v>0</v>
      </c>
      <c r="DU136" s="54">
        <v>1</v>
      </c>
      <c r="DV136" s="54">
        <v>0.97</v>
      </c>
      <c r="DW136" s="54">
        <v>0.95</v>
      </c>
      <c r="DX136" s="54">
        <v>0.93</v>
      </c>
      <c r="DY136" s="54">
        <f t="shared" si="797"/>
        <v>0.91</v>
      </c>
      <c r="DZ136" s="54">
        <f t="shared" si="797"/>
        <v>0.89</v>
      </c>
      <c r="EA136" s="54">
        <f t="shared" si="797"/>
        <v>0.87</v>
      </c>
      <c r="EB136" s="54">
        <f t="shared" si="797"/>
        <v>0.85</v>
      </c>
      <c r="EC136" s="54">
        <f t="shared" si="797"/>
        <v>0.83</v>
      </c>
      <c r="ED136" s="54">
        <f t="shared" si="797"/>
        <v>0.80999999999999994</v>
      </c>
      <c r="EE136" s="54">
        <f t="shared" si="797"/>
        <v>0.78999999999999992</v>
      </c>
      <c r="EF136" s="54">
        <f t="shared" si="797"/>
        <v>0.76999999999999991</v>
      </c>
      <c r="EG136" s="54">
        <f t="shared" si="797"/>
        <v>0.74999999999999989</v>
      </c>
      <c r="EH136" s="54">
        <f t="shared" si="797"/>
        <v>0.72999999999999987</v>
      </c>
      <c r="EI136" s="54">
        <f t="shared" si="797"/>
        <v>0.70999999999999985</v>
      </c>
      <c r="EJ136" s="54">
        <f t="shared" si="797"/>
        <v>0.68999999999999984</v>
      </c>
      <c r="EK136" s="54">
        <f t="shared" si="797"/>
        <v>0.66999999999999982</v>
      </c>
      <c r="EL136" s="54">
        <f t="shared" si="797"/>
        <v>0.6499999999999998</v>
      </c>
      <c r="EM136" s="54">
        <f t="shared" si="797"/>
        <v>0.62999999999999978</v>
      </c>
      <c r="EN136" s="54">
        <f t="shared" si="797"/>
        <v>0.60999999999999976</v>
      </c>
      <c r="EO136" s="54">
        <f t="shared" si="797"/>
        <v>0.58999999999999975</v>
      </c>
      <c r="EP136" s="54">
        <f t="shared" si="797"/>
        <v>0.56999999999999973</v>
      </c>
      <c r="ER136" s="54">
        <f t="shared" si="653"/>
        <v>0</v>
      </c>
      <c r="ES136" s="54">
        <f t="shared" si="515"/>
        <v>0</v>
      </c>
      <c r="ET136" s="58">
        <f t="shared" si="890"/>
        <v>0</v>
      </c>
      <c r="EU136" s="54">
        <f t="shared" si="891"/>
        <v>0</v>
      </c>
      <c r="EV136" s="58">
        <f t="shared" si="892"/>
        <v>0</v>
      </c>
      <c r="EW136" s="54">
        <f t="shared" si="893"/>
        <v>0</v>
      </c>
      <c r="EX136" s="58">
        <f t="shared" si="894"/>
        <v>0</v>
      </c>
      <c r="EY136" s="54">
        <f t="shared" si="895"/>
        <v>0</v>
      </c>
      <c r="EZ136" s="58">
        <f t="shared" si="896"/>
        <v>0</v>
      </c>
      <c r="FA136" s="56">
        <f t="shared" si="897"/>
        <v>0</v>
      </c>
      <c r="FB136" s="58">
        <f t="shared" si="898"/>
        <v>0</v>
      </c>
      <c r="FC136" s="54">
        <f t="shared" si="899"/>
        <v>0</v>
      </c>
      <c r="FD136" s="58">
        <f t="shared" si="900"/>
        <v>0</v>
      </c>
      <c r="FE136" s="56">
        <f t="shared" si="901"/>
        <v>0</v>
      </c>
      <c r="FF136" s="58">
        <f t="shared" si="902"/>
        <v>0</v>
      </c>
      <c r="FG136" s="59">
        <f t="shared" si="903"/>
        <v>0</v>
      </c>
      <c r="FH136" s="58">
        <f t="shared" si="904"/>
        <v>0</v>
      </c>
      <c r="FI136" s="56">
        <f t="shared" si="905"/>
        <v>0</v>
      </c>
      <c r="FJ136" s="58">
        <f t="shared" si="906"/>
        <v>0</v>
      </c>
      <c r="FK136" s="54">
        <f t="shared" si="907"/>
        <v>0</v>
      </c>
      <c r="FL136" s="58">
        <f t="shared" si="908"/>
        <v>0</v>
      </c>
      <c r="FM136" s="59">
        <f t="shared" si="909"/>
        <v>0</v>
      </c>
      <c r="FN136" s="58">
        <f t="shared" si="910"/>
        <v>0</v>
      </c>
      <c r="FO136" s="59">
        <f t="shared" si="911"/>
        <v>0</v>
      </c>
      <c r="FP136" s="58">
        <f t="shared" si="912"/>
        <v>0</v>
      </c>
      <c r="FQ136" s="59">
        <f t="shared" si="913"/>
        <v>0</v>
      </c>
      <c r="FR136" s="58">
        <f t="shared" si="914"/>
        <v>0</v>
      </c>
      <c r="FS136" s="54">
        <f t="shared" si="915"/>
        <v>0</v>
      </c>
      <c r="FT136" s="58">
        <f t="shared" si="916"/>
        <v>0</v>
      </c>
      <c r="FU136" s="59">
        <f t="shared" si="917"/>
        <v>0</v>
      </c>
      <c r="FV136" s="58">
        <f t="shared" si="918"/>
        <v>0</v>
      </c>
      <c r="FW136" s="59">
        <f t="shared" si="919"/>
        <v>0</v>
      </c>
      <c r="FX136" s="58">
        <f t="shared" si="920"/>
        <v>0</v>
      </c>
      <c r="FY136" s="59">
        <f t="shared" si="921"/>
        <v>0</v>
      </c>
      <c r="FZ136" s="58">
        <f t="shared" si="922"/>
        <v>0</v>
      </c>
      <c r="GA136" s="59">
        <f t="shared" si="923"/>
        <v>0</v>
      </c>
      <c r="GB136" s="58">
        <f t="shared" si="924"/>
        <v>0</v>
      </c>
      <c r="GC136" s="54">
        <f t="shared" si="925"/>
        <v>0</v>
      </c>
      <c r="GD136" s="58">
        <f t="shared" si="926"/>
        <v>0</v>
      </c>
      <c r="GE136" s="59">
        <f t="shared" si="927"/>
        <v>0</v>
      </c>
      <c r="GF136" s="58">
        <f t="shared" si="928"/>
        <v>0</v>
      </c>
      <c r="GG136" s="59">
        <f t="shared" si="929"/>
        <v>0</v>
      </c>
      <c r="GH136" s="58">
        <f t="shared" si="930"/>
        <v>0</v>
      </c>
      <c r="GI136" s="54">
        <f t="shared" si="931"/>
        <v>0</v>
      </c>
      <c r="GJ136" s="58">
        <f t="shared" si="932"/>
        <v>0</v>
      </c>
      <c r="GK136" s="54"/>
      <c r="GL136" s="54"/>
      <c r="GM136" s="54">
        <v>1</v>
      </c>
      <c r="GN136" s="54">
        <v>0.97</v>
      </c>
      <c r="GO136" s="54">
        <v>0.95</v>
      </c>
      <c r="GP136" s="54">
        <v>0.93</v>
      </c>
      <c r="GQ136" s="54">
        <f t="shared" si="798"/>
        <v>0.91</v>
      </c>
      <c r="GR136" s="54">
        <f t="shared" si="798"/>
        <v>0.89</v>
      </c>
      <c r="GS136" s="54">
        <f t="shared" si="798"/>
        <v>0.87</v>
      </c>
      <c r="GT136" s="54">
        <f t="shared" si="798"/>
        <v>0.85</v>
      </c>
      <c r="GU136" s="54">
        <f t="shared" si="798"/>
        <v>0.83</v>
      </c>
      <c r="GV136" s="54">
        <f t="shared" si="798"/>
        <v>0.80999999999999994</v>
      </c>
      <c r="GW136" s="54">
        <f t="shared" si="798"/>
        <v>0.78999999999999992</v>
      </c>
      <c r="GX136" s="54">
        <f t="shared" si="798"/>
        <v>0.76999999999999991</v>
      </c>
      <c r="GY136" s="54">
        <f t="shared" si="798"/>
        <v>0.74999999999999989</v>
      </c>
      <c r="GZ136" s="54">
        <f t="shared" si="798"/>
        <v>0.72999999999999987</v>
      </c>
      <c r="HA136" s="54">
        <f t="shared" si="798"/>
        <v>0.70999999999999985</v>
      </c>
      <c r="HB136" s="54">
        <f t="shared" si="798"/>
        <v>0.68999999999999984</v>
      </c>
      <c r="HC136" s="54">
        <f t="shared" si="798"/>
        <v>0.66999999999999982</v>
      </c>
      <c r="HD136" s="54">
        <f t="shared" si="798"/>
        <v>0.6499999999999998</v>
      </c>
      <c r="HE136" s="54">
        <f t="shared" si="798"/>
        <v>0.62999999999999978</v>
      </c>
      <c r="HF136" s="54">
        <f t="shared" si="798"/>
        <v>0.60999999999999976</v>
      </c>
      <c r="HG136" s="54">
        <f t="shared" si="798"/>
        <v>0.58999999999999975</v>
      </c>
      <c r="HH136" s="54">
        <f t="shared" si="798"/>
        <v>0.56999999999999973</v>
      </c>
    </row>
    <row r="137" spans="1:216" x14ac:dyDescent="0.3">
      <c r="A137" s="2">
        <v>8</v>
      </c>
      <c r="C137" s="38" t="s">
        <v>62</v>
      </c>
      <c r="D137" s="42">
        <v>3000</v>
      </c>
      <c r="E137" s="72">
        <f t="shared" si="803"/>
        <v>9910</v>
      </c>
      <c r="H137" s="54">
        <f t="shared" si="510"/>
        <v>10901</v>
      </c>
      <c r="I137" s="54">
        <f t="shared" si="511"/>
        <v>10901</v>
      </c>
      <c r="J137" s="58">
        <f t="shared" si="512"/>
        <v>36036.525800000003</v>
      </c>
      <c r="K137" s="54">
        <f t="shared" si="804"/>
        <v>10573.97</v>
      </c>
      <c r="L137" s="58">
        <f t="shared" si="805"/>
        <v>34955.430026000002</v>
      </c>
      <c r="M137" s="54">
        <f t="shared" si="806"/>
        <v>10355.949999999999</v>
      </c>
      <c r="N137" s="58">
        <f t="shared" si="807"/>
        <v>34234.699509999999</v>
      </c>
      <c r="O137" s="54">
        <f t="shared" si="808"/>
        <v>10137.93</v>
      </c>
      <c r="P137" s="58">
        <f t="shared" si="809"/>
        <v>33513.968994000003</v>
      </c>
      <c r="Q137" s="56">
        <f t="shared" si="810"/>
        <v>9919.91</v>
      </c>
      <c r="R137" s="58">
        <f t="shared" si="811"/>
        <v>32793.238477999999</v>
      </c>
      <c r="S137" s="54">
        <f t="shared" si="812"/>
        <v>9701.89</v>
      </c>
      <c r="T137" s="58">
        <f t="shared" si="813"/>
        <v>32072.507962</v>
      </c>
      <c r="U137" s="56">
        <f t="shared" si="814"/>
        <v>9483.8700000000008</v>
      </c>
      <c r="V137" s="58">
        <f t="shared" si="815"/>
        <v>31351.777446000004</v>
      </c>
      <c r="W137" s="59">
        <f t="shared" si="816"/>
        <v>9265.85</v>
      </c>
      <c r="X137" s="58">
        <f t="shared" si="817"/>
        <v>30631.04693</v>
      </c>
      <c r="Y137" s="56">
        <f t="shared" si="818"/>
        <v>9047.83</v>
      </c>
      <c r="Z137" s="58">
        <f t="shared" si="819"/>
        <v>29910.316414000001</v>
      </c>
      <c r="AA137" s="54">
        <f t="shared" si="820"/>
        <v>8829.81</v>
      </c>
      <c r="AB137" s="58">
        <f t="shared" si="821"/>
        <v>29189.585897999998</v>
      </c>
      <c r="AC137" s="59">
        <f t="shared" si="822"/>
        <v>8611.7899999999991</v>
      </c>
      <c r="AD137" s="58">
        <f t="shared" si="823"/>
        <v>28468.855381999998</v>
      </c>
      <c r="AE137" s="59">
        <f t="shared" si="824"/>
        <v>8393.7699999999986</v>
      </c>
      <c r="AF137" s="58">
        <f t="shared" si="825"/>
        <v>27748.124865999995</v>
      </c>
      <c r="AG137" s="59">
        <f t="shared" si="826"/>
        <v>8175.7499999999991</v>
      </c>
      <c r="AH137" s="58">
        <f t="shared" si="827"/>
        <v>27027.394349999999</v>
      </c>
      <c r="AI137" s="54">
        <f t="shared" si="828"/>
        <v>7957.7299999999987</v>
      </c>
      <c r="AJ137" s="58">
        <f t="shared" si="829"/>
        <v>26306.663833999995</v>
      </c>
      <c r="AK137" s="59">
        <f t="shared" si="830"/>
        <v>7739.7099999999982</v>
      </c>
      <c r="AL137" s="58">
        <f t="shared" si="831"/>
        <v>25585.933317999996</v>
      </c>
      <c r="AM137" s="59">
        <f t="shared" si="832"/>
        <v>7521.6899999999978</v>
      </c>
      <c r="AN137" s="58">
        <f t="shared" si="833"/>
        <v>24865.202801999993</v>
      </c>
      <c r="AO137" s="59">
        <f t="shared" si="834"/>
        <v>7303.6699999999983</v>
      </c>
      <c r="AP137" s="58">
        <f t="shared" si="835"/>
        <v>24144.472285999997</v>
      </c>
      <c r="AQ137" s="59">
        <f t="shared" si="836"/>
        <v>7085.6499999999978</v>
      </c>
      <c r="AR137" s="58">
        <f t="shared" si="837"/>
        <v>23423.741769999993</v>
      </c>
      <c r="AS137" s="54">
        <f t="shared" si="838"/>
        <v>6867.6299999999974</v>
      </c>
      <c r="AT137" s="58">
        <f t="shared" si="839"/>
        <v>22703.011253999994</v>
      </c>
      <c r="AU137" s="59">
        <f t="shared" si="840"/>
        <v>6649.6099999999979</v>
      </c>
      <c r="AV137" s="58">
        <f t="shared" si="841"/>
        <v>21982.280737999994</v>
      </c>
      <c r="AW137" s="59">
        <f t="shared" si="842"/>
        <v>6431.5899999999974</v>
      </c>
      <c r="AX137" s="58">
        <f t="shared" si="843"/>
        <v>21261.550221999991</v>
      </c>
      <c r="AY137" s="54">
        <f t="shared" si="844"/>
        <v>6213.569999999997</v>
      </c>
      <c r="AZ137" s="58">
        <f t="shared" si="845"/>
        <v>20540.819705999991</v>
      </c>
      <c r="BC137" s="54">
        <v>1</v>
      </c>
      <c r="BD137" s="54">
        <v>0.97</v>
      </c>
      <c r="BE137" s="54">
        <v>0.95</v>
      </c>
      <c r="BF137" s="54">
        <v>0.93</v>
      </c>
      <c r="BG137" s="54">
        <f t="shared" si="846"/>
        <v>0.91</v>
      </c>
      <c r="BH137" s="54">
        <f t="shared" si="846"/>
        <v>0.89</v>
      </c>
      <c r="BI137" s="54">
        <f t="shared" si="846"/>
        <v>0.87</v>
      </c>
      <c r="BJ137" s="54">
        <f t="shared" si="846"/>
        <v>0.85</v>
      </c>
      <c r="BK137" s="54">
        <f t="shared" si="846"/>
        <v>0.83</v>
      </c>
      <c r="BL137" s="54">
        <f t="shared" si="846"/>
        <v>0.80999999999999994</v>
      </c>
      <c r="BM137" s="54">
        <f t="shared" si="846"/>
        <v>0.78999999999999992</v>
      </c>
      <c r="BN137" s="54">
        <f t="shared" si="846"/>
        <v>0.76999999999999991</v>
      </c>
      <c r="BO137" s="54">
        <f t="shared" si="846"/>
        <v>0.74999999999999989</v>
      </c>
      <c r="BP137" s="54">
        <f t="shared" si="846"/>
        <v>0.72999999999999987</v>
      </c>
      <c r="BQ137" s="54">
        <f t="shared" si="846"/>
        <v>0.70999999999999985</v>
      </c>
      <c r="BR137" s="54">
        <f t="shared" si="846"/>
        <v>0.68999999999999984</v>
      </c>
      <c r="BS137" s="54">
        <f t="shared" si="846"/>
        <v>0.66999999999999982</v>
      </c>
      <c r="BT137" s="54">
        <f t="shared" si="846"/>
        <v>0.6499999999999998</v>
      </c>
      <c r="BU137" s="54">
        <f t="shared" si="846"/>
        <v>0.62999999999999978</v>
      </c>
      <c r="BV137" s="54">
        <f t="shared" si="846"/>
        <v>0.60999999999999976</v>
      </c>
      <c r="BW137" s="54">
        <f t="shared" si="846"/>
        <v>0.58999999999999975</v>
      </c>
      <c r="BX137" s="54">
        <f t="shared" si="846"/>
        <v>0.56999999999999973</v>
      </c>
      <c r="BZ137" s="54">
        <f t="shared" si="513"/>
        <v>9919.91</v>
      </c>
      <c r="CA137" s="54">
        <f t="shared" si="514"/>
        <v>9919.91</v>
      </c>
      <c r="CB137" s="58">
        <f t="shared" si="847"/>
        <v>32793.238477999999</v>
      </c>
      <c r="CC137" s="54">
        <f t="shared" si="848"/>
        <v>9622.3127000000004</v>
      </c>
      <c r="CD137" s="58">
        <f t="shared" si="849"/>
        <v>31809.441323660001</v>
      </c>
      <c r="CE137" s="54">
        <f t="shared" si="850"/>
        <v>9423.914499999999</v>
      </c>
      <c r="CF137" s="58">
        <f t="shared" si="851"/>
        <v>31153.576554099996</v>
      </c>
      <c r="CG137" s="54">
        <f t="shared" si="852"/>
        <v>9225.5163000000011</v>
      </c>
      <c r="CH137" s="58">
        <f t="shared" si="853"/>
        <v>30497.711784540006</v>
      </c>
      <c r="CI137" s="56">
        <f t="shared" si="854"/>
        <v>9027.1180999999997</v>
      </c>
      <c r="CJ137" s="58">
        <f t="shared" si="855"/>
        <v>29841.847014980001</v>
      </c>
      <c r="CK137" s="54">
        <f t="shared" si="856"/>
        <v>8828.7199000000001</v>
      </c>
      <c r="CL137" s="58">
        <f t="shared" si="857"/>
        <v>29185.98224542</v>
      </c>
      <c r="CM137" s="56">
        <f t="shared" si="858"/>
        <v>8630.3217000000004</v>
      </c>
      <c r="CN137" s="58">
        <f t="shared" si="859"/>
        <v>28530.117475860003</v>
      </c>
      <c r="CO137" s="59">
        <f t="shared" si="860"/>
        <v>8431.923499999999</v>
      </c>
      <c r="CP137" s="58">
        <f t="shared" si="861"/>
        <v>27874.252706299998</v>
      </c>
      <c r="CQ137" s="56">
        <f t="shared" si="862"/>
        <v>8233.5252999999993</v>
      </c>
      <c r="CR137" s="58">
        <f t="shared" si="863"/>
        <v>27218.387936739997</v>
      </c>
      <c r="CS137" s="54">
        <f t="shared" si="864"/>
        <v>8035.1270999999997</v>
      </c>
      <c r="CT137" s="58">
        <f t="shared" si="865"/>
        <v>26562.523167179999</v>
      </c>
      <c r="CU137" s="59">
        <f t="shared" si="866"/>
        <v>7836.7288999999992</v>
      </c>
      <c r="CV137" s="58">
        <f t="shared" si="867"/>
        <v>25906.658397619998</v>
      </c>
      <c r="CW137" s="59">
        <f t="shared" si="868"/>
        <v>7638.3306999999986</v>
      </c>
      <c r="CX137" s="58">
        <f t="shared" si="869"/>
        <v>25250.793628059997</v>
      </c>
      <c r="CY137" s="59">
        <f t="shared" si="870"/>
        <v>7439.932499999999</v>
      </c>
      <c r="CZ137" s="58">
        <f t="shared" si="871"/>
        <v>24594.928858499996</v>
      </c>
      <c r="DA137" s="54">
        <f t="shared" si="872"/>
        <v>7241.5342999999984</v>
      </c>
      <c r="DB137" s="58">
        <f t="shared" si="873"/>
        <v>23939.064088939995</v>
      </c>
      <c r="DC137" s="59">
        <f t="shared" si="874"/>
        <v>7043.1360999999988</v>
      </c>
      <c r="DD137" s="58">
        <f t="shared" si="875"/>
        <v>23283.199319379997</v>
      </c>
      <c r="DE137" s="59">
        <f t="shared" si="876"/>
        <v>6844.7378999999983</v>
      </c>
      <c r="DF137" s="58">
        <f t="shared" si="877"/>
        <v>22627.334549819996</v>
      </c>
      <c r="DG137" s="59">
        <f t="shared" si="878"/>
        <v>6646.3396999999977</v>
      </c>
      <c r="DH137" s="58">
        <f t="shared" si="879"/>
        <v>21971.469780259991</v>
      </c>
      <c r="DI137" s="59">
        <f t="shared" si="880"/>
        <v>6447.9414999999981</v>
      </c>
      <c r="DJ137" s="58">
        <f t="shared" si="881"/>
        <v>21315.605010699994</v>
      </c>
      <c r="DK137" s="54">
        <f t="shared" si="882"/>
        <v>6249.5432999999975</v>
      </c>
      <c r="DL137" s="58">
        <f t="shared" si="883"/>
        <v>20659.740241139993</v>
      </c>
      <c r="DM137" s="59">
        <f t="shared" si="884"/>
        <v>6051.1450999999979</v>
      </c>
      <c r="DN137" s="58">
        <f t="shared" si="885"/>
        <v>20003.875471579995</v>
      </c>
      <c r="DO137" s="59">
        <f t="shared" si="886"/>
        <v>5852.7468999999974</v>
      </c>
      <c r="DP137" s="58">
        <f t="shared" si="887"/>
        <v>19348.01070201999</v>
      </c>
      <c r="DQ137" s="54">
        <f t="shared" si="888"/>
        <v>5654.3486999999968</v>
      </c>
      <c r="DR137" s="58">
        <f t="shared" si="889"/>
        <v>18692.145932459989</v>
      </c>
      <c r="DU137" s="54">
        <v>1</v>
      </c>
      <c r="DV137" s="54">
        <v>0.97</v>
      </c>
      <c r="DW137" s="54">
        <v>0.95</v>
      </c>
      <c r="DX137" s="54">
        <v>0.93</v>
      </c>
      <c r="DY137" s="54">
        <f t="shared" si="797"/>
        <v>0.91</v>
      </c>
      <c r="DZ137" s="54">
        <f t="shared" si="797"/>
        <v>0.89</v>
      </c>
      <c r="EA137" s="54">
        <f t="shared" si="797"/>
        <v>0.87</v>
      </c>
      <c r="EB137" s="54">
        <f t="shared" si="797"/>
        <v>0.85</v>
      </c>
      <c r="EC137" s="54">
        <f t="shared" si="797"/>
        <v>0.83</v>
      </c>
      <c r="ED137" s="54">
        <f t="shared" si="797"/>
        <v>0.80999999999999994</v>
      </c>
      <c r="EE137" s="54">
        <f t="shared" si="797"/>
        <v>0.78999999999999992</v>
      </c>
      <c r="EF137" s="54">
        <f t="shared" si="797"/>
        <v>0.76999999999999991</v>
      </c>
      <c r="EG137" s="54">
        <f t="shared" si="797"/>
        <v>0.74999999999999989</v>
      </c>
      <c r="EH137" s="54">
        <f t="shared" si="797"/>
        <v>0.72999999999999987</v>
      </c>
      <c r="EI137" s="54">
        <f t="shared" si="797"/>
        <v>0.70999999999999985</v>
      </c>
      <c r="EJ137" s="54">
        <f t="shared" si="797"/>
        <v>0.68999999999999984</v>
      </c>
      <c r="EK137" s="54">
        <f t="shared" si="797"/>
        <v>0.66999999999999982</v>
      </c>
      <c r="EL137" s="54">
        <f t="shared" si="797"/>
        <v>0.6499999999999998</v>
      </c>
      <c r="EM137" s="54">
        <f t="shared" si="797"/>
        <v>0.62999999999999978</v>
      </c>
      <c r="EN137" s="54">
        <f t="shared" si="797"/>
        <v>0.60999999999999976</v>
      </c>
      <c r="EO137" s="54">
        <f t="shared" si="797"/>
        <v>0.58999999999999975</v>
      </c>
      <c r="EP137" s="54">
        <f t="shared" si="797"/>
        <v>0.56999999999999973</v>
      </c>
      <c r="ER137" s="54">
        <f t="shared" si="653"/>
        <v>9027.1180999999997</v>
      </c>
      <c r="ES137" s="54">
        <f t="shared" si="515"/>
        <v>9027.1180999999997</v>
      </c>
      <c r="ET137" s="58">
        <f t="shared" si="890"/>
        <v>29841.847014980001</v>
      </c>
      <c r="EU137" s="54">
        <f t="shared" si="891"/>
        <v>8756.3045569999995</v>
      </c>
      <c r="EV137" s="58">
        <f t="shared" si="892"/>
        <v>28946.5916045306</v>
      </c>
      <c r="EW137" s="54">
        <f t="shared" si="893"/>
        <v>8575.7621949999993</v>
      </c>
      <c r="EX137" s="58">
        <f t="shared" si="894"/>
        <v>28349.754664230997</v>
      </c>
      <c r="EY137" s="54">
        <f t="shared" si="895"/>
        <v>8395.219833000001</v>
      </c>
      <c r="EZ137" s="58">
        <f t="shared" si="896"/>
        <v>27752.917723931405</v>
      </c>
      <c r="FA137" s="56">
        <f t="shared" si="897"/>
        <v>8214.6774710000009</v>
      </c>
      <c r="FB137" s="58">
        <f t="shared" si="898"/>
        <v>27156.080783631802</v>
      </c>
      <c r="FC137" s="54">
        <f t="shared" si="899"/>
        <v>8034.1351089999998</v>
      </c>
      <c r="FD137" s="58">
        <f t="shared" si="900"/>
        <v>26559.243843332199</v>
      </c>
      <c r="FE137" s="56">
        <f t="shared" si="901"/>
        <v>7853.5927469999997</v>
      </c>
      <c r="FF137" s="58">
        <f t="shared" si="902"/>
        <v>25962.406903032599</v>
      </c>
      <c r="FG137" s="59">
        <f t="shared" si="903"/>
        <v>7673.0503849999996</v>
      </c>
      <c r="FH137" s="58">
        <f t="shared" si="904"/>
        <v>25365.569962733</v>
      </c>
      <c r="FI137" s="56">
        <f t="shared" si="905"/>
        <v>7492.5080229999994</v>
      </c>
      <c r="FJ137" s="58">
        <f t="shared" si="906"/>
        <v>24768.7330224334</v>
      </c>
      <c r="FK137" s="54">
        <f t="shared" si="907"/>
        <v>7311.9656609999993</v>
      </c>
      <c r="FL137" s="58">
        <f t="shared" si="908"/>
        <v>24171.896082133797</v>
      </c>
      <c r="FM137" s="59">
        <f t="shared" si="909"/>
        <v>7131.4232989999991</v>
      </c>
      <c r="FN137" s="58">
        <f t="shared" si="910"/>
        <v>23575.059141834197</v>
      </c>
      <c r="FO137" s="59">
        <f t="shared" si="911"/>
        <v>6950.880936999999</v>
      </c>
      <c r="FP137" s="58">
        <f t="shared" si="912"/>
        <v>22978.222201534598</v>
      </c>
      <c r="FQ137" s="59">
        <f t="shared" si="913"/>
        <v>6770.3385749999989</v>
      </c>
      <c r="FR137" s="58">
        <f t="shared" si="914"/>
        <v>22381.385261234998</v>
      </c>
      <c r="FS137" s="54">
        <f t="shared" si="915"/>
        <v>6589.7962129999987</v>
      </c>
      <c r="FT137" s="58">
        <f t="shared" si="916"/>
        <v>21784.548320935395</v>
      </c>
      <c r="FU137" s="59">
        <f t="shared" si="917"/>
        <v>6409.2538509999986</v>
      </c>
      <c r="FV137" s="58">
        <f t="shared" si="918"/>
        <v>21187.711380635796</v>
      </c>
      <c r="FW137" s="59">
        <f t="shared" si="919"/>
        <v>6228.7114889999984</v>
      </c>
      <c r="FX137" s="58">
        <f t="shared" si="920"/>
        <v>20590.874440336196</v>
      </c>
      <c r="FY137" s="59">
        <f t="shared" si="921"/>
        <v>6048.1691269999983</v>
      </c>
      <c r="FZ137" s="58">
        <f t="shared" si="922"/>
        <v>19994.037500036597</v>
      </c>
      <c r="GA137" s="59">
        <f t="shared" si="923"/>
        <v>5867.6267649999982</v>
      </c>
      <c r="GB137" s="58">
        <f t="shared" si="924"/>
        <v>19397.200559736993</v>
      </c>
      <c r="GC137" s="54">
        <f t="shared" si="925"/>
        <v>5687.084402999998</v>
      </c>
      <c r="GD137" s="58">
        <f t="shared" si="926"/>
        <v>18800.363619437394</v>
      </c>
      <c r="GE137" s="59">
        <f t="shared" si="927"/>
        <v>5506.5420409999979</v>
      </c>
      <c r="GF137" s="58">
        <f t="shared" si="928"/>
        <v>18203.526679137794</v>
      </c>
      <c r="GG137" s="59">
        <f t="shared" si="929"/>
        <v>5325.9996789999977</v>
      </c>
      <c r="GH137" s="58">
        <f t="shared" si="930"/>
        <v>17606.689738838191</v>
      </c>
      <c r="GI137" s="54">
        <f t="shared" si="931"/>
        <v>5145.4573169999976</v>
      </c>
      <c r="GJ137" s="58">
        <f t="shared" si="932"/>
        <v>17009.852798538592</v>
      </c>
      <c r="GK137" s="54"/>
      <c r="GL137" s="54"/>
      <c r="GM137" s="54">
        <v>1</v>
      </c>
      <c r="GN137" s="54">
        <v>0.97</v>
      </c>
      <c r="GO137" s="54">
        <v>0.95</v>
      </c>
      <c r="GP137" s="54">
        <v>0.93</v>
      </c>
      <c r="GQ137" s="54">
        <f t="shared" si="798"/>
        <v>0.91</v>
      </c>
      <c r="GR137" s="54">
        <f t="shared" si="798"/>
        <v>0.89</v>
      </c>
      <c r="GS137" s="54">
        <f t="shared" si="798"/>
        <v>0.87</v>
      </c>
      <c r="GT137" s="54">
        <f t="shared" si="798"/>
        <v>0.85</v>
      </c>
      <c r="GU137" s="54">
        <f t="shared" si="798"/>
        <v>0.83</v>
      </c>
      <c r="GV137" s="54">
        <f t="shared" si="798"/>
        <v>0.80999999999999994</v>
      </c>
      <c r="GW137" s="54">
        <f t="shared" si="798"/>
        <v>0.78999999999999992</v>
      </c>
      <c r="GX137" s="54">
        <f t="shared" si="798"/>
        <v>0.76999999999999991</v>
      </c>
      <c r="GY137" s="54">
        <f t="shared" si="798"/>
        <v>0.74999999999999989</v>
      </c>
      <c r="GZ137" s="54">
        <f t="shared" si="798"/>
        <v>0.72999999999999987</v>
      </c>
      <c r="HA137" s="54">
        <f t="shared" si="798"/>
        <v>0.70999999999999985</v>
      </c>
      <c r="HB137" s="54">
        <f t="shared" si="798"/>
        <v>0.68999999999999984</v>
      </c>
      <c r="HC137" s="54">
        <f t="shared" si="798"/>
        <v>0.66999999999999982</v>
      </c>
      <c r="HD137" s="54">
        <f t="shared" si="798"/>
        <v>0.6499999999999998</v>
      </c>
      <c r="HE137" s="54">
        <f t="shared" si="798"/>
        <v>0.62999999999999978</v>
      </c>
      <c r="HF137" s="54">
        <f t="shared" si="798"/>
        <v>0.60999999999999976</v>
      </c>
      <c r="HG137" s="54">
        <f t="shared" si="798"/>
        <v>0.58999999999999975</v>
      </c>
      <c r="HH137" s="54">
        <f t="shared" si="798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2">
        <f t="shared" si="803"/>
        <v>0</v>
      </c>
      <c r="H138" s="54">
        <f t="shared" si="510"/>
        <v>0</v>
      </c>
      <c r="I138" s="54">
        <f t="shared" si="511"/>
        <v>0</v>
      </c>
      <c r="J138" s="58">
        <f t="shared" si="512"/>
        <v>0</v>
      </c>
      <c r="K138" s="54">
        <f t="shared" si="804"/>
        <v>0</v>
      </c>
      <c r="L138" s="58">
        <f t="shared" si="805"/>
        <v>0</v>
      </c>
      <c r="M138" s="54">
        <f t="shared" si="806"/>
        <v>0</v>
      </c>
      <c r="N138" s="58">
        <f t="shared" si="807"/>
        <v>0</v>
      </c>
      <c r="O138" s="54">
        <f t="shared" si="808"/>
        <v>0</v>
      </c>
      <c r="P138" s="58">
        <f t="shared" si="809"/>
        <v>0</v>
      </c>
      <c r="Q138" s="56">
        <f t="shared" si="810"/>
        <v>0</v>
      </c>
      <c r="R138" s="58">
        <f t="shared" si="811"/>
        <v>0</v>
      </c>
      <c r="S138" s="54">
        <f t="shared" si="812"/>
        <v>0</v>
      </c>
      <c r="T138" s="58">
        <f t="shared" si="813"/>
        <v>0</v>
      </c>
      <c r="U138" s="56">
        <f t="shared" si="814"/>
        <v>0</v>
      </c>
      <c r="V138" s="58">
        <f t="shared" si="815"/>
        <v>0</v>
      </c>
      <c r="W138" s="59">
        <f t="shared" si="816"/>
        <v>0</v>
      </c>
      <c r="X138" s="58">
        <f t="shared" si="817"/>
        <v>0</v>
      </c>
      <c r="Y138" s="56">
        <f t="shared" si="818"/>
        <v>0</v>
      </c>
      <c r="Z138" s="58">
        <f t="shared" si="819"/>
        <v>0</v>
      </c>
      <c r="AA138" s="54">
        <f t="shared" si="820"/>
        <v>0</v>
      </c>
      <c r="AB138" s="58">
        <f t="shared" si="821"/>
        <v>0</v>
      </c>
      <c r="AC138" s="59">
        <f t="shared" si="822"/>
        <v>0</v>
      </c>
      <c r="AD138" s="58">
        <f t="shared" si="823"/>
        <v>0</v>
      </c>
      <c r="AE138" s="59">
        <f t="shared" si="824"/>
        <v>0</v>
      </c>
      <c r="AF138" s="58">
        <f t="shared" si="825"/>
        <v>0</v>
      </c>
      <c r="AG138" s="59">
        <f t="shared" si="826"/>
        <v>0</v>
      </c>
      <c r="AH138" s="58">
        <f t="shared" si="827"/>
        <v>0</v>
      </c>
      <c r="AI138" s="54">
        <f t="shared" si="828"/>
        <v>0</v>
      </c>
      <c r="AJ138" s="58">
        <f t="shared" si="829"/>
        <v>0</v>
      </c>
      <c r="AK138" s="59">
        <f t="shared" si="830"/>
        <v>0</v>
      </c>
      <c r="AL138" s="58">
        <f t="shared" si="831"/>
        <v>0</v>
      </c>
      <c r="AM138" s="59">
        <f t="shared" si="832"/>
        <v>0</v>
      </c>
      <c r="AN138" s="58">
        <f t="shared" si="833"/>
        <v>0</v>
      </c>
      <c r="AO138" s="59">
        <f t="shared" si="834"/>
        <v>0</v>
      </c>
      <c r="AP138" s="58">
        <f t="shared" si="835"/>
        <v>0</v>
      </c>
      <c r="AQ138" s="59">
        <f t="shared" si="836"/>
        <v>0</v>
      </c>
      <c r="AR138" s="58">
        <f t="shared" si="837"/>
        <v>0</v>
      </c>
      <c r="AS138" s="54">
        <f t="shared" si="838"/>
        <v>0</v>
      </c>
      <c r="AT138" s="58">
        <f t="shared" si="839"/>
        <v>0</v>
      </c>
      <c r="AU138" s="59">
        <f t="shared" si="840"/>
        <v>0</v>
      </c>
      <c r="AV138" s="58">
        <f t="shared" si="841"/>
        <v>0</v>
      </c>
      <c r="AW138" s="59">
        <f t="shared" si="842"/>
        <v>0</v>
      </c>
      <c r="AX138" s="58">
        <f t="shared" si="843"/>
        <v>0</v>
      </c>
      <c r="AY138" s="54">
        <f t="shared" si="844"/>
        <v>0</v>
      </c>
      <c r="AZ138" s="58">
        <f t="shared" si="845"/>
        <v>0</v>
      </c>
      <c r="BC138" s="54">
        <v>1</v>
      </c>
      <c r="BD138" s="54">
        <v>0.97</v>
      </c>
      <c r="BE138" s="54">
        <v>0.95</v>
      </c>
      <c r="BF138" s="54">
        <v>0.93</v>
      </c>
      <c r="BG138" s="54">
        <f t="shared" si="846"/>
        <v>0.91</v>
      </c>
      <c r="BH138" s="54">
        <f t="shared" si="846"/>
        <v>0.89</v>
      </c>
      <c r="BI138" s="54">
        <f t="shared" si="846"/>
        <v>0.87</v>
      </c>
      <c r="BJ138" s="54">
        <f t="shared" si="846"/>
        <v>0.85</v>
      </c>
      <c r="BK138" s="54">
        <f t="shared" si="846"/>
        <v>0.83</v>
      </c>
      <c r="BL138" s="54">
        <f t="shared" si="846"/>
        <v>0.80999999999999994</v>
      </c>
      <c r="BM138" s="54">
        <f t="shared" si="846"/>
        <v>0.78999999999999992</v>
      </c>
      <c r="BN138" s="54">
        <f t="shared" si="846"/>
        <v>0.76999999999999991</v>
      </c>
      <c r="BO138" s="54">
        <f t="shared" si="846"/>
        <v>0.74999999999999989</v>
      </c>
      <c r="BP138" s="54">
        <f t="shared" si="846"/>
        <v>0.72999999999999987</v>
      </c>
      <c r="BQ138" s="54">
        <f t="shared" si="846"/>
        <v>0.70999999999999985</v>
      </c>
      <c r="BR138" s="54">
        <f t="shared" si="846"/>
        <v>0.68999999999999984</v>
      </c>
      <c r="BS138" s="54">
        <f t="shared" si="846"/>
        <v>0.66999999999999982</v>
      </c>
      <c r="BT138" s="54">
        <f t="shared" si="846"/>
        <v>0.6499999999999998</v>
      </c>
      <c r="BU138" s="54">
        <f t="shared" si="846"/>
        <v>0.62999999999999978</v>
      </c>
      <c r="BV138" s="54">
        <f t="shared" si="846"/>
        <v>0.60999999999999976</v>
      </c>
      <c r="BW138" s="54">
        <f t="shared" si="846"/>
        <v>0.58999999999999975</v>
      </c>
      <c r="BX138" s="54">
        <f t="shared" si="846"/>
        <v>0.56999999999999973</v>
      </c>
      <c r="BZ138" s="54">
        <f t="shared" si="513"/>
        <v>0</v>
      </c>
      <c r="CA138" s="54">
        <f t="shared" si="514"/>
        <v>0</v>
      </c>
      <c r="CB138" s="58">
        <f t="shared" si="847"/>
        <v>0</v>
      </c>
      <c r="CC138" s="54">
        <f t="shared" si="848"/>
        <v>0</v>
      </c>
      <c r="CD138" s="58">
        <f t="shared" si="849"/>
        <v>0</v>
      </c>
      <c r="CE138" s="54">
        <f t="shared" si="850"/>
        <v>0</v>
      </c>
      <c r="CF138" s="58">
        <f t="shared" si="851"/>
        <v>0</v>
      </c>
      <c r="CG138" s="54">
        <f t="shared" si="852"/>
        <v>0</v>
      </c>
      <c r="CH138" s="58">
        <f t="shared" si="853"/>
        <v>0</v>
      </c>
      <c r="CI138" s="56">
        <f t="shared" si="854"/>
        <v>0</v>
      </c>
      <c r="CJ138" s="58">
        <f t="shared" si="855"/>
        <v>0</v>
      </c>
      <c r="CK138" s="54">
        <f t="shared" si="856"/>
        <v>0</v>
      </c>
      <c r="CL138" s="58">
        <f t="shared" si="857"/>
        <v>0</v>
      </c>
      <c r="CM138" s="56">
        <f t="shared" si="858"/>
        <v>0</v>
      </c>
      <c r="CN138" s="58">
        <f t="shared" si="859"/>
        <v>0</v>
      </c>
      <c r="CO138" s="59">
        <f t="shared" si="860"/>
        <v>0</v>
      </c>
      <c r="CP138" s="58">
        <f t="shared" si="861"/>
        <v>0</v>
      </c>
      <c r="CQ138" s="56">
        <f t="shared" si="862"/>
        <v>0</v>
      </c>
      <c r="CR138" s="58">
        <f t="shared" si="863"/>
        <v>0</v>
      </c>
      <c r="CS138" s="54">
        <f t="shared" si="864"/>
        <v>0</v>
      </c>
      <c r="CT138" s="58">
        <f t="shared" si="865"/>
        <v>0</v>
      </c>
      <c r="CU138" s="59">
        <f t="shared" si="866"/>
        <v>0</v>
      </c>
      <c r="CV138" s="58">
        <f t="shared" si="867"/>
        <v>0</v>
      </c>
      <c r="CW138" s="59">
        <f t="shared" si="868"/>
        <v>0</v>
      </c>
      <c r="CX138" s="58">
        <f t="shared" si="869"/>
        <v>0</v>
      </c>
      <c r="CY138" s="59">
        <f t="shared" si="870"/>
        <v>0</v>
      </c>
      <c r="CZ138" s="58">
        <f t="shared" si="871"/>
        <v>0</v>
      </c>
      <c r="DA138" s="54">
        <f t="shared" si="872"/>
        <v>0</v>
      </c>
      <c r="DB138" s="58">
        <f t="shared" si="873"/>
        <v>0</v>
      </c>
      <c r="DC138" s="59">
        <f t="shared" si="874"/>
        <v>0</v>
      </c>
      <c r="DD138" s="58">
        <f t="shared" si="875"/>
        <v>0</v>
      </c>
      <c r="DE138" s="59">
        <f t="shared" si="876"/>
        <v>0</v>
      </c>
      <c r="DF138" s="58">
        <f t="shared" si="877"/>
        <v>0</v>
      </c>
      <c r="DG138" s="59">
        <f t="shared" si="878"/>
        <v>0</v>
      </c>
      <c r="DH138" s="58">
        <f t="shared" si="879"/>
        <v>0</v>
      </c>
      <c r="DI138" s="59">
        <f t="shared" si="880"/>
        <v>0</v>
      </c>
      <c r="DJ138" s="58">
        <f t="shared" si="881"/>
        <v>0</v>
      </c>
      <c r="DK138" s="54">
        <f t="shared" si="882"/>
        <v>0</v>
      </c>
      <c r="DL138" s="58">
        <f t="shared" si="883"/>
        <v>0</v>
      </c>
      <c r="DM138" s="59">
        <f t="shared" si="884"/>
        <v>0</v>
      </c>
      <c r="DN138" s="58">
        <f t="shared" si="885"/>
        <v>0</v>
      </c>
      <c r="DO138" s="59">
        <f t="shared" si="886"/>
        <v>0</v>
      </c>
      <c r="DP138" s="58">
        <f t="shared" si="887"/>
        <v>0</v>
      </c>
      <c r="DQ138" s="54">
        <f t="shared" si="888"/>
        <v>0</v>
      </c>
      <c r="DR138" s="58">
        <f t="shared" si="889"/>
        <v>0</v>
      </c>
      <c r="DU138" s="54">
        <v>1</v>
      </c>
      <c r="DV138" s="54">
        <v>0.97</v>
      </c>
      <c r="DW138" s="54">
        <v>0.95</v>
      </c>
      <c r="DX138" s="54">
        <v>0.93</v>
      </c>
      <c r="DY138" s="54">
        <f t="shared" si="797"/>
        <v>0.91</v>
      </c>
      <c r="DZ138" s="54">
        <f t="shared" si="797"/>
        <v>0.89</v>
      </c>
      <c r="EA138" s="54">
        <f t="shared" si="797"/>
        <v>0.87</v>
      </c>
      <c r="EB138" s="54">
        <f t="shared" ref="EB138:EP138" si="933">+EA138-0.02</f>
        <v>0.85</v>
      </c>
      <c r="EC138" s="54">
        <f t="shared" si="933"/>
        <v>0.83</v>
      </c>
      <c r="ED138" s="54">
        <f t="shared" si="933"/>
        <v>0.80999999999999994</v>
      </c>
      <c r="EE138" s="54">
        <f t="shared" si="933"/>
        <v>0.78999999999999992</v>
      </c>
      <c r="EF138" s="54">
        <f t="shared" si="933"/>
        <v>0.76999999999999991</v>
      </c>
      <c r="EG138" s="54">
        <f t="shared" si="933"/>
        <v>0.74999999999999989</v>
      </c>
      <c r="EH138" s="54">
        <f t="shared" si="933"/>
        <v>0.72999999999999987</v>
      </c>
      <c r="EI138" s="54">
        <f t="shared" si="933"/>
        <v>0.70999999999999985</v>
      </c>
      <c r="EJ138" s="54">
        <f t="shared" si="933"/>
        <v>0.68999999999999984</v>
      </c>
      <c r="EK138" s="54">
        <f t="shared" si="933"/>
        <v>0.66999999999999982</v>
      </c>
      <c r="EL138" s="54">
        <f t="shared" si="933"/>
        <v>0.6499999999999998</v>
      </c>
      <c r="EM138" s="54">
        <f t="shared" si="933"/>
        <v>0.62999999999999978</v>
      </c>
      <c r="EN138" s="54">
        <f t="shared" si="933"/>
        <v>0.60999999999999976</v>
      </c>
      <c r="EO138" s="54">
        <f t="shared" si="933"/>
        <v>0.58999999999999975</v>
      </c>
      <c r="EP138" s="54">
        <f t="shared" si="933"/>
        <v>0.56999999999999973</v>
      </c>
      <c r="ER138" s="54">
        <f t="shared" si="653"/>
        <v>0</v>
      </c>
      <c r="ES138" s="54">
        <f t="shared" si="515"/>
        <v>0</v>
      </c>
      <c r="ET138" s="58">
        <f t="shared" si="890"/>
        <v>0</v>
      </c>
      <c r="EU138" s="54">
        <f t="shared" si="891"/>
        <v>0</v>
      </c>
      <c r="EV138" s="58">
        <f t="shared" si="892"/>
        <v>0</v>
      </c>
      <c r="EW138" s="54">
        <f t="shared" si="893"/>
        <v>0</v>
      </c>
      <c r="EX138" s="58">
        <f t="shared" si="894"/>
        <v>0</v>
      </c>
      <c r="EY138" s="54">
        <f t="shared" si="895"/>
        <v>0</v>
      </c>
      <c r="EZ138" s="58">
        <f t="shared" si="896"/>
        <v>0</v>
      </c>
      <c r="FA138" s="56">
        <f t="shared" si="897"/>
        <v>0</v>
      </c>
      <c r="FB138" s="58">
        <f t="shared" si="898"/>
        <v>0</v>
      </c>
      <c r="FC138" s="54">
        <f t="shared" si="899"/>
        <v>0</v>
      </c>
      <c r="FD138" s="58">
        <f t="shared" si="900"/>
        <v>0</v>
      </c>
      <c r="FE138" s="56">
        <f t="shared" si="901"/>
        <v>0</v>
      </c>
      <c r="FF138" s="58">
        <f t="shared" si="902"/>
        <v>0</v>
      </c>
      <c r="FG138" s="59">
        <f t="shared" si="903"/>
        <v>0</v>
      </c>
      <c r="FH138" s="58">
        <f t="shared" si="904"/>
        <v>0</v>
      </c>
      <c r="FI138" s="56">
        <f t="shared" si="905"/>
        <v>0</v>
      </c>
      <c r="FJ138" s="58">
        <f t="shared" si="906"/>
        <v>0</v>
      </c>
      <c r="FK138" s="54">
        <f t="shared" si="907"/>
        <v>0</v>
      </c>
      <c r="FL138" s="58">
        <f t="shared" si="908"/>
        <v>0</v>
      </c>
      <c r="FM138" s="59">
        <f t="shared" si="909"/>
        <v>0</v>
      </c>
      <c r="FN138" s="58">
        <f t="shared" si="910"/>
        <v>0</v>
      </c>
      <c r="FO138" s="59">
        <f t="shared" si="911"/>
        <v>0</v>
      </c>
      <c r="FP138" s="58">
        <f t="shared" si="912"/>
        <v>0</v>
      </c>
      <c r="FQ138" s="59">
        <f t="shared" si="913"/>
        <v>0</v>
      </c>
      <c r="FR138" s="58">
        <f t="shared" si="914"/>
        <v>0</v>
      </c>
      <c r="FS138" s="54">
        <f t="shared" si="915"/>
        <v>0</v>
      </c>
      <c r="FT138" s="58">
        <f t="shared" si="916"/>
        <v>0</v>
      </c>
      <c r="FU138" s="59">
        <f t="shared" si="917"/>
        <v>0</v>
      </c>
      <c r="FV138" s="58">
        <f t="shared" si="918"/>
        <v>0</v>
      </c>
      <c r="FW138" s="59">
        <f t="shared" si="919"/>
        <v>0</v>
      </c>
      <c r="FX138" s="58">
        <f t="shared" si="920"/>
        <v>0</v>
      </c>
      <c r="FY138" s="59">
        <f t="shared" si="921"/>
        <v>0</v>
      </c>
      <c r="FZ138" s="58">
        <f t="shared" si="922"/>
        <v>0</v>
      </c>
      <c r="GA138" s="59">
        <f t="shared" si="923"/>
        <v>0</v>
      </c>
      <c r="GB138" s="58">
        <f t="shared" si="924"/>
        <v>0</v>
      </c>
      <c r="GC138" s="54">
        <f t="shared" si="925"/>
        <v>0</v>
      </c>
      <c r="GD138" s="58">
        <f t="shared" si="926"/>
        <v>0</v>
      </c>
      <c r="GE138" s="59">
        <f t="shared" si="927"/>
        <v>0</v>
      </c>
      <c r="GF138" s="58">
        <f t="shared" si="928"/>
        <v>0</v>
      </c>
      <c r="GG138" s="59">
        <f t="shared" si="929"/>
        <v>0</v>
      </c>
      <c r="GH138" s="58">
        <f t="shared" si="930"/>
        <v>0</v>
      </c>
      <c r="GI138" s="54">
        <f t="shared" si="931"/>
        <v>0</v>
      </c>
      <c r="GJ138" s="58">
        <f t="shared" si="932"/>
        <v>0</v>
      </c>
      <c r="GK138" s="54"/>
      <c r="GL138" s="54"/>
      <c r="GM138" s="54">
        <v>1</v>
      </c>
      <c r="GN138" s="54">
        <v>0.97</v>
      </c>
      <c r="GO138" s="54">
        <v>0.95</v>
      </c>
      <c r="GP138" s="54">
        <v>0.93</v>
      </c>
      <c r="GQ138" s="54">
        <f t="shared" si="798"/>
        <v>0.91</v>
      </c>
      <c r="GR138" s="54">
        <f t="shared" si="798"/>
        <v>0.89</v>
      </c>
      <c r="GS138" s="54">
        <f t="shared" si="798"/>
        <v>0.87</v>
      </c>
      <c r="GT138" s="54">
        <f t="shared" ref="GT138:HH138" si="934">+GS138-0.02</f>
        <v>0.85</v>
      </c>
      <c r="GU138" s="54">
        <f t="shared" si="934"/>
        <v>0.83</v>
      </c>
      <c r="GV138" s="54">
        <f t="shared" si="934"/>
        <v>0.80999999999999994</v>
      </c>
      <c r="GW138" s="54">
        <f t="shared" si="934"/>
        <v>0.78999999999999992</v>
      </c>
      <c r="GX138" s="54">
        <f t="shared" si="934"/>
        <v>0.76999999999999991</v>
      </c>
      <c r="GY138" s="54">
        <f t="shared" si="934"/>
        <v>0.74999999999999989</v>
      </c>
      <c r="GZ138" s="54">
        <f t="shared" si="934"/>
        <v>0.72999999999999987</v>
      </c>
      <c r="HA138" s="54">
        <f t="shared" si="934"/>
        <v>0.70999999999999985</v>
      </c>
      <c r="HB138" s="54">
        <f t="shared" si="934"/>
        <v>0.68999999999999984</v>
      </c>
      <c r="HC138" s="54">
        <f t="shared" si="934"/>
        <v>0.66999999999999982</v>
      </c>
      <c r="HD138" s="54">
        <f t="shared" si="934"/>
        <v>0.6499999999999998</v>
      </c>
      <c r="HE138" s="54">
        <f t="shared" si="934"/>
        <v>0.62999999999999978</v>
      </c>
      <c r="HF138" s="54">
        <f t="shared" si="934"/>
        <v>0.60999999999999976</v>
      </c>
      <c r="HG138" s="54">
        <f t="shared" si="934"/>
        <v>0.58999999999999975</v>
      </c>
      <c r="HH138" s="54">
        <f t="shared" si="934"/>
        <v>0.56999999999999973</v>
      </c>
    </row>
    <row r="139" spans="1:216" ht="17.25" thickBot="1" x14ac:dyDescent="0.35">
      <c r="A139" s="2">
        <v>10</v>
      </c>
      <c r="C139" s="38" t="s">
        <v>149</v>
      </c>
      <c r="D139" s="43">
        <v>0</v>
      </c>
      <c r="E139" s="73">
        <f t="shared" si="803"/>
        <v>0</v>
      </c>
      <c r="H139" s="54">
        <f t="shared" si="510"/>
        <v>0</v>
      </c>
      <c r="I139" s="54">
        <f t="shared" si="511"/>
        <v>0</v>
      </c>
      <c r="J139" s="58">
        <f t="shared" si="512"/>
        <v>0</v>
      </c>
      <c r="K139" s="54">
        <f t="shared" si="804"/>
        <v>0</v>
      </c>
      <c r="L139" s="58">
        <f t="shared" si="805"/>
        <v>0</v>
      </c>
      <c r="M139" s="54">
        <f t="shared" si="806"/>
        <v>0</v>
      </c>
      <c r="N139" s="58">
        <f t="shared" si="807"/>
        <v>0</v>
      </c>
      <c r="O139" s="54">
        <f t="shared" si="808"/>
        <v>0</v>
      </c>
      <c r="P139" s="58">
        <f t="shared" si="809"/>
        <v>0</v>
      </c>
      <c r="Q139" s="56">
        <f t="shared" si="810"/>
        <v>0</v>
      </c>
      <c r="R139" s="58">
        <f t="shared" si="811"/>
        <v>0</v>
      </c>
      <c r="S139" s="54">
        <f t="shared" si="812"/>
        <v>0</v>
      </c>
      <c r="T139" s="58">
        <f t="shared" si="813"/>
        <v>0</v>
      </c>
      <c r="U139" s="56">
        <f t="shared" si="814"/>
        <v>0</v>
      </c>
      <c r="V139" s="58">
        <f t="shared" si="815"/>
        <v>0</v>
      </c>
      <c r="W139" s="59">
        <f t="shared" si="816"/>
        <v>0</v>
      </c>
      <c r="X139" s="58">
        <f t="shared" si="817"/>
        <v>0</v>
      </c>
      <c r="Y139" s="56">
        <f t="shared" si="818"/>
        <v>0</v>
      </c>
      <c r="Z139" s="58">
        <f t="shared" si="819"/>
        <v>0</v>
      </c>
      <c r="AA139" s="54">
        <f t="shared" si="820"/>
        <v>0</v>
      </c>
      <c r="AB139" s="58">
        <f t="shared" si="821"/>
        <v>0</v>
      </c>
      <c r="AC139" s="59">
        <f t="shared" si="822"/>
        <v>0</v>
      </c>
      <c r="AD139" s="58">
        <f t="shared" si="823"/>
        <v>0</v>
      </c>
      <c r="AE139" s="59">
        <f t="shared" si="824"/>
        <v>0</v>
      </c>
      <c r="AF139" s="58">
        <f t="shared" si="825"/>
        <v>0</v>
      </c>
      <c r="AG139" s="59">
        <f t="shared" si="826"/>
        <v>0</v>
      </c>
      <c r="AH139" s="58">
        <f t="shared" si="827"/>
        <v>0</v>
      </c>
      <c r="AI139" s="54">
        <f t="shared" si="828"/>
        <v>0</v>
      </c>
      <c r="AJ139" s="58">
        <f t="shared" si="829"/>
        <v>0</v>
      </c>
      <c r="AK139" s="59">
        <f t="shared" si="830"/>
        <v>0</v>
      </c>
      <c r="AL139" s="58">
        <f t="shared" si="831"/>
        <v>0</v>
      </c>
      <c r="AM139" s="59">
        <f t="shared" si="832"/>
        <v>0</v>
      </c>
      <c r="AN139" s="58">
        <f t="shared" si="833"/>
        <v>0</v>
      </c>
      <c r="AO139" s="59">
        <f t="shared" si="834"/>
        <v>0</v>
      </c>
      <c r="AP139" s="58">
        <f t="shared" si="835"/>
        <v>0</v>
      </c>
      <c r="AQ139" s="59">
        <f t="shared" si="836"/>
        <v>0</v>
      </c>
      <c r="AR139" s="58">
        <f t="shared" si="837"/>
        <v>0</v>
      </c>
      <c r="AS139" s="54">
        <f t="shared" si="838"/>
        <v>0</v>
      </c>
      <c r="AT139" s="58">
        <f t="shared" si="839"/>
        <v>0</v>
      </c>
      <c r="AU139" s="59">
        <f t="shared" si="840"/>
        <v>0</v>
      </c>
      <c r="AV139" s="58">
        <f t="shared" si="841"/>
        <v>0</v>
      </c>
      <c r="AW139" s="59">
        <f t="shared" si="842"/>
        <v>0</v>
      </c>
      <c r="AX139" s="58">
        <f t="shared" si="843"/>
        <v>0</v>
      </c>
      <c r="AY139" s="54">
        <f t="shared" si="844"/>
        <v>0</v>
      </c>
      <c r="AZ139" s="58">
        <f t="shared" si="845"/>
        <v>0</v>
      </c>
      <c r="BC139" s="54">
        <v>1</v>
      </c>
      <c r="BD139" s="54">
        <v>0.97</v>
      </c>
      <c r="BE139" s="54">
        <v>0.95</v>
      </c>
      <c r="BF139" s="54">
        <v>0.93</v>
      </c>
      <c r="BG139" s="54">
        <f t="shared" si="846"/>
        <v>0.91</v>
      </c>
      <c r="BH139" s="54">
        <f t="shared" si="846"/>
        <v>0.89</v>
      </c>
      <c r="BI139" s="54">
        <f t="shared" si="846"/>
        <v>0.87</v>
      </c>
      <c r="BJ139" s="54">
        <f t="shared" si="846"/>
        <v>0.85</v>
      </c>
      <c r="BK139" s="54">
        <f t="shared" si="846"/>
        <v>0.83</v>
      </c>
      <c r="BL139" s="54">
        <f t="shared" si="846"/>
        <v>0.80999999999999994</v>
      </c>
      <c r="BM139" s="54">
        <f t="shared" si="846"/>
        <v>0.78999999999999992</v>
      </c>
      <c r="BN139" s="54">
        <f t="shared" si="846"/>
        <v>0.76999999999999991</v>
      </c>
      <c r="BO139" s="54">
        <f t="shared" si="846"/>
        <v>0.74999999999999989</v>
      </c>
      <c r="BP139" s="54">
        <f t="shared" si="846"/>
        <v>0.72999999999999987</v>
      </c>
      <c r="BQ139" s="54">
        <f t="shared" si="846"/>
        <v>0.70999999999999985</v>
      </c>
      <c r="BR139" s="54">
        <f t="shared" si="846"/>
        <v>0.68999999999999984</v>
      </c>
      <c r="BS139" s="54">
        <f t="shared" si="846"/>
        <v>0.66999999999999982</v>
      </c>
      <c r="BT139" s="54">
        <f t="shared" si="846"/>
        <v>0.6499999999999998</v>
      </c>
      <c r="BU139" s="54">
        <f t="shared" si="846"/>
        <v>0.62999999999999978</v>
      </c>
      <c r="BV139" s="54">
        <f t="shared" si="846"/>
        <v>0.60999999999999976</v>
      </c>
      <c r="BW139" s="54">
        <f t="shared" si="846"/>
        <v>0.58999999999999975</v>
      </c>
      <c r="BX139" s="54">
        <f t="shared" si="846"/>
        <v>0.56999999999999973</v>
      </c>
      <c r="BZ139" s="54">
        <f t="shared" si="513"/>
        <v>0</v>
      </c>
      <c r="CA139" s="54">
        <f t="shared" si="514"/>
        <v>0</v>
      </c>
      <c r="CB139" s="58">
        <f t="shared" si="847"/>
        <v>0</v>
      </c>
      <c r="CC139" s="54">
        <f t="shared" si="848"/>
        <v>0</v>
      </c>
      <c r="CD139" s="58">
        <f t="shared" si="849"/>
        <v>0</v>
      </c>
      <c r="CE139" s="54">
        <f t="shared" si="850"/>
        <v>0</v>
      </c>
      <c r="CF139" s="58">
        <f t="shared" si="851"/>
        <v>0</v>
      </c>
      <c r="CG139" s="54">
        <f t="shared" si="852"/>
        <v>0</v>
      </c>
      <c r="CH139" s="58">
        <f t="shared" si="853"/>
        <v>0</v>
      </c>
      <c r="CI139" s="56">
        <f t="shared" si="854"/>
        <v>0</v>
      </c>
      <c r="CJ139" s="58">
        <f t="shared" si="855"/>
        <v>0</v>
      </c>
      <c r="CK139" s="54">
        <f t="shared" si="856"/>
        <v>0</v>
      </c>
      <c r="CL139" s="58">
        <f t="shared" si="857"/>
        <v>0</v>
      </c>
      <c r="CM139" s="56">
        <f t="shared" si="858"/>
        <v>0</v>
      </c>
      <c r="CN139" s="58">
        <f t="shared" si="859"/>
        <v>0</v>
      </c>
      <c r="CO139" s="59">
        <f t="shared" si="860"/>
        <v>0</v>
      </c>
      <c r="CP139" s="58">
        <f t="shared" si="861"/>
        <v>0</v>
      </c>
      <c r="CQ139" s="56">
        <f t="shared" si="862"/>
        <v>0</v>
      </c>
      <c r="CR139" s="58">
        <f t="shared" si="863"/>
        <v>0</v>
      </c>
      <c r="CS139" s="54">
        <f t="shared" si="864"/>
        <v>0</v>
      </c>
      <c r="CT139" s="58">
        <f t="shared" si="865"/>
        <v>0</v>
      </c>
      <c r="CU139" s="59">
        <f t="shared" si="866"/>
        <v>0</v>
      </c>
      <c r="CV139" s="58">
        <f t="shared" si="867"/>
        <v>0</v>
      </c>
      <c r="CW139" s="59">
        <f t="shared" si="868"/>
        <v>0</v>
      </c>
      <c r="CX139" s="58">
        <f t="shared" si="869"/>
        <v>0</v>
      </c>
      <c r="CY139" s="59">
        <f t="shared" si="870"/>
        <v>0</v>
      </c>
      <c r="CZ139" s="58">
        <f t="shared" si="871"/>
        <v>0</v>
      </c>
      <c r="DA139" s="54">
        <f t="shared" si="872"/>
        <v>0</v>
      </c>
      <c r="DB139" s="58">
        <f t="shared" si="873"/>
        <v>0</v>
      </c>
      <c r="DC139" s="59">
        <f t="shared" si="874"/>
        <v>0</v>
      </c>
      <c r="DD139" s="58">
        <f t="shared" si="875"/>
        <v>0</v>
      </c>
      <c r="DE139" s="59">
        <f t="shared" si="876"/>
        <v>0</v>
      </c>
      <c r="DF139" s="58">
        <f t="shared" si="877"/>
        <v>0</v>
      </c>
      <c r="DG139" s="59">
        <f t="shared" si="878"/>
        <v>0</v>
      </c>
      <c r="DH139" s="58">
        <f t="shared" si="879"/>
        <v>0</v>
      </c>
      <c r="DI139" s="59">
        <f t="shared" si="880"/>
        <v>0</v>
      </c>
      <c r="DJ139" s="58">
        <f t="shared" si="881"/>
        <v>0</v>
      </c>
      <c r="DK139" s="54">
        <f t="shared" si="882"/>
        <v>0</v>
      </c>
      <c r="DL139" s="58">
        <f t="shared" si="883"/>
        <v>0</v>
      </c>
      <c r="DM139" s="59">
        <f t="shared" si="884"/>
        <v>0</v>
      </c>
      <c r="DN139" s="58">
        <f t="shared" si="885"/>
        <v>0</v>
      </c>
      <c r="DO139" s="59">
        <f t="shared" si="886"/>
        <v>0</v>
      </c>
      <c r="DP139" s="58">
        <f t="shared" si="887"/>
        <v>0</v>
      </c>
      <c r="DQ139" s="54">
        <f t="shared" si="888"/>
        <v>0</v>
      </c>
      <c r="DR139" s="58">
        <f t="shared" si="889"/>
        <v>0</v>
      </c>
      <c r="DU139" s="54">
        <v>1</v>
      </c>
      <c r="DV139" s="54">
        <v>0.97</v>
      </c>
      <c r="DW139" s="54">
        <v>0.95</v>
      </c>
      <c r="DX139" s="54">
        <v>0.93</v>
      </c>
      <c r="DY139" s="54">
        <f t="shared" ref="DY139:EP153" si="935">+DX139-0.02</f>
        <v>0.91</v>
      </c>
      <c r="DZ139" s="54">
        <f t="shared" si="935"/>
        <v>0.89</v>
      </c>
      <c r="EA139" s="54">
        <f t="shared" si="935"/>
        <v>0.87</v>
      </c>
      <c r="EB139" s="54">
        <f t="shared" si="935"/>
        <v>0.85</v>
      </c>
      <c r="EC139" s="54">
        <f t="shared" si="935"/>
        <v>0.83</v>
      </c>
      <c r="ED139" s="54">
        <f t="shared" si="935"/>
        <v>0.80999999999999994</v>
      </c>
      <c r="EE139" s="54">
        <f t="shared" si="935"/>
        <v>0.78999999999999992</v>
      </c>
      <c r="EF139" s="54">
        <f t="shared" si="935"/>
        <v>0.76999999999999991</v>
      </c>
      <c r="EG139" s="54">
        <f t="shared" si="935"/>
        <v>0.74999999999999989</v>
      </c>
      <c r="EH139" s="54">
        <f t="shared" si="935"/>
        <v>0.72999999999999987</v>
      </c>
      <c r="EI139" s="54">
        <f t="shared" si="935"/>
        <v>0.70999999999999985</v>
      </c>
      <c r="EJ139" s="54">
        <f t="shared" si="935"/>
        <v>0.68999999999999984</v>
      </c>
      <c r="EK139" s="54">
        <f t="shared" si="935"/>
        <v>0.66999999999999982</v>
      </c>
      <c r="EL139" s="54">
        <f t="shared" si="935"/>
        <v>0.6499999999999998</v>
      </c>
      <c r="EM139" s="54">
        <f t="shared" si="935"/>
        <v>0.62999999999999978</v>
      </c>
      <c r="EN139" s="54">
        <f t="shared" si="935"/>
        <v>0.60999999999999976</v>
      </c>
      <c r="EO139" s="54">
        <f t="shared" si="935"/>
        <v>0.58999999999999975</v>
      </c>
      <c r="EP139" s="54">
        <f t="shared" si="935"/>
        <v>0.56999999999999973</v>
      </c>
      <c r="ER139" s="54">
        <f t="shared" si="653"/>
        <v>0</v>
      </c>
      <c r="ES139" s="54">
        <f t="shared" si="515"/>
        <v>0</v>
      </c>
      <c r="ET139" s="58">
        <f t="shared" si="890"/>
        <v>0</v>
      </c>
      <c r="EU139" s="54">
        <f t="shared" si="891"/>
        <v>0</v>
      </c>
      <c r="EV139" s="58">
        <f t="shared" si="892"/>
        <v>0</v>
      </c>
      <c r="EW139" s="54">
        <f t="shared" si="893"/>
        <v>0</v>
      </c>
      <c r="EX139" s="58">
        <f t="shared" si="894"/>
        <v>0</v>
      </c>
      <c r="EY139" s="54">
        <f t="shared" si="895"/>
        <v>0</v>
      </c>
      <c r="EZ139" s="58">
        <f t="shared" si="896"/>
        <v>0</v>
      </c>
      <c r="FA139" s="56">
        <f t="shared" si="897"/>
        <v>0</v>
      </c>
      <c r="FB139" s="58">
        <f t="shared" si="898"/>
        <v>0</v>
      </c>
      <c r="FC139" s="54">
        <f t="shared" si="899"/>
        <v>0</v>
      </c>
      <c r="FD139" s="58">
        <f t="shared" si="900"/>
        <v>0</v>
      </c>
      <c r="FE139" s="56">
        <f t="shared" si="901"/>
        <v>0</v>
      </c>
      <c r="FF139" s="58">
        <f t="shared" si="902"/>
        <v>0</v>
      </c>
      <c r="FG139" s="59">
        <f t="shared" si="903"/>
        <v>0</v>
      </c>
      <c r="FH139" s="58">
        <f t="shared" si="904"/>
        <v>0</v>
      </c>
      <c r="FI139" s="56">
        <f t="shared" si="905"/>
        <v>0</v>
      </c>
      <c r="FJ139" s="58">
        <f t="shared" si="906"/>
        <v>0</v>
      </c>
      <c r="FK139" s="54">
        <f t="shared" si="907"/>
        <v>0</v>
      </c>
      <c r="FL139" s="58">
        <f t="shared" si="908"/>
        <v>0</v>
      </c>
      <c r="FM139" s="59">
        <f t="shared" si="909"/>
        <v>0</v>
      </c>
      <c r="FN139" s="58">
        <f t="shared" si="910"/>
        <v>0</v>
      </c>
      <c r="FO139" s="59">
        <f t="shared" si="911"/>
        <v>0</v>
      </c>
      <c r="FP139" s="58">
        <f t="shared" si="912"/>
        <v>0</v>
      </c>
      <c r="FQ139" s="59">
        <f t="shared" si="913"/>
        <v>0</v>
      </c>
      <c r="FR139" s="58">
        <f t="shared" si="914"/>
        <v>0</v>
      </c>
      <c r="FS139" s="54">
        <f t="shared" si="915"/>
        <v>0</v>
      </c>
      <c r="FT139" s="58">
        <f t="shared" si="916"/>
        <v>0</v>
      </c>
      <c r="FU139" s="59">
        <f t="shared" si="917"/>
        <v>0</v>
      </c>
      <c r="FV139" s="58">
        <f t="shared" si="918"/>
        <v>0</v>
      </c>
      <c r="FW139" s="59">
        <f t="shared" si="919"/>
        <v>0</v>
      </c>
      <c r="FX139" s="58">
        <f t="shared" si="920"/>
        <v>0</v>
      </c>
      <c r="FY139" s="59">
        <f t="shared" si="921"/>
        <v>0</v>
      </c>
      <c r="FZ139" s="58">
        <f t="shared" si="922"/>
        <v>0</v>
      </c>
      <c r="GA139" s="59">
        <f t="shared" si="923"/>
        <v>0</v>
      </c>
      <c r="GB139" s="58">
        <f t="shared" si="924"/>
        <v>0</v>
      </c>
      <c r="GC139" s="54">
        <f t="shared" si="925"/>
        <v>0</v>
      </c>
      <c r="GD139" s="58">
        <f t="shared" si="926"/>
        <v>0</v>
      </c>
      <c r="GE139" s="59">
        <f t="shared" si="927"/>
        <v>0</v>
      </c>
      <c r="GF139" s="58">
        <f t="shared" si="928"/>
        <v>0</v>
      </c>
      <c r="GG139" s="59">
        <f t="shared" si="929"/>
        <v>0</v>
      </c>
      <c r="GH139" s="58">
        <f t="shared" si="930"/>
        <v>0</v>
      </c>
      <c r="GI139" s="54">
        <f t="shared" si="931"/>
        <v>0</v>
      </c>
      <c r="GJ139" s="58">
        <f t="shared" si="932"/>
        <v>0</v>
      </c>
      <c r="GK139" s="54"/>
      <c r="GL139" s="54"/>
      <c r="GM139" s="54">
        <v>1</v>
      </c>
      <c r="GN139" s="54">
        <v>0.97</v>
      </c>
      <c r="GO139" s="54">
        <v>0.95</v>
      </c>
      <c r="GP139" s="54">
        <v>0.93</v>
      </c>
      <c r="GQ139" s="54">
        <f t="shared" ref="GQ139:HH153" si="936">+GP139-0.02</f>
        <v>0.91</v>
      </c>
      <c r="GR139" s="54">
        <f t="shared" si="936"/>
        <v>0.89</v>
      </c>
      <c r="GS139" s="54">
        <f t="shared" si="936"/>
        <v>0.87</v>
      </c>
      <c r="GT139" s="54">
        <f t="shared" si="936"/>
        <v>0.85</v>
      </c>
      <c r="GU139" s="54">
        <f t="shared" si="936"/>
        <v>0.83</v>
      </c>
      <c r="GV139" s="54">
        <f t="shared" si="936"/>
        <v>0.80999999999999994</v>
      </c>
      <c r="GW139" s="54">
        <f t="shared" si="936"/>
        <v>0.78999999999999992</v>
      </c>
      <c r="GX139" s="54">
        <f t="shared" si="936"/>
        <v>0.76999999999999991</v>
      </c>
      <c r="GY139" s="54">
        <f t="shared" si="936"/>
        <v>0.74999999999999989</v>
      </c>
      <c r="GZ139" s="54">
        <f t="shared" si="936"/>
        <v>0.72999999999999987</v>
      </c>
      <c r="HA139" s="54">
        <f t="shared" si="936"/>
        <v>0.70999999999999985</v>
      </c>
      <c r="HB139" s="54">
        <f t="shared" si="936"/>
        <v>0.68999999999999984</v>
      </c>
      <c r="HC139" s="54">
        <f t="shared" si="936"/>
        <v>0.66999999999999982</v>
      </c>
      <c r="HD139" s="54">
        <f t="shared" si="936"/>
        <v>0.6499999999999998</v>
      </c>
      <c r="HE139" s="54">
        <f t="shared" si="936"/>
        <v>0.62999999999999978</v>
      </c>
      <c r="HF139" s="54">
        <f t="shared" si="936"/>
        <v>0.60999999999999976</v>
      </c>
      <c r="HG139" s="54">
        <f t="shared" si="936"/>
        <v>0.58999999999999975</v>
      </c>
      <c r="HH139" s="54">
        <f t="shared" si="936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9130</v>
      </c>
      <c r="E140" s="39">
        <f>SUM(E130:E139)</f>
        <v>30170</v>
      </c>
      <c r="H140" s="54">
        <f t="shared" si="510"/>
        <v>33187</v>
      </c>
      <c r="I140" s="54">
        <f t="shared" si="511"/>
        <v>33187</v>
      </c>
      <c r="J140" s="58">
        <f t="shared" si="512"/>
        <v>109709.5846</v>
      </c>
      <c r="K140" s="54">
        <f t="shared" si="804"/>
        <v>32191.39</v>
      </c>
      <c r="L140" s="58">
        <f t="shared" si="805"/>
        <v>106418.297062</v>
      </c>
      <c r="M140" s="54">
        <f t="shared" si="806"/>
        <v>31527.649999999998</v>
      </c>
      <c r="N140" s="58">
        <f t="shared" si="807"/>
        <v>104224.10536999999</v>
      </c>
      <c r="O140" s="54">
        <f t="shared" si="808"/>
        <v>30863.91</v>
      </c>
      <c r="P140" s="58">
        <f t="shared" si="809"/>
        <v>102029.913678</v>
      </c>
      <c r="Q140" s="56">
        <f t="shared" si="810"/>
        <v>30200.170000000002</v>
      </c>
      <c r="R140" s="58">
        <f t="shared" si="811"/>
        <v>99835.721986000004</v>
      </c>
      <c r="S140" s="54">
        <f t="shared" si="812"/>
        <v>29536.43</v>
      </c>
      <c r="T140" s="58">
        <f t="shared" si="813"/>
        <v>97641.530293999997</v>
      </c>
      <c r="U140" s="56">
        <f t="shared" si="814"/>
        <v>28872.69</v>
      </c>
      <c r="V140" s="58">
        <f t="shared" si="815"/>
        <v>95447.338602000003</v>
      </c>
      <c r="W140" s="59">
        <f t="shared" si="816"/>
        <v>28208.95</v>
      </c>
      <c r="X140" s="58">
        <f t="shared" si="817"/>
        <v>93253.14691000001</v>
      </c>
      <c r="Y140" s="56">
        <f t="shared" si="818"/>
        <v>27545.21</v>
      </c>
      <c r="Z140" s="58">
        <f t="shared" si="819"/>
        <v>91058.955218000003</v>
      </c>
      <c r="AA140" s="54">
        <f t="shared" si="820"/>
        <v>26881.469999999998</v>
      </c>
      <c r="AB140" s="58">
        <f t="shared" si="821"/>
        <v>88864.763525999995</v>
      </c>
      <c r="AC140" s="59">
        <f t="shared" si="822"/>
        <v>26217.729999999996</v>
      </c>
      <c r="AD140" s="58">
        <f t="shared" si="823"/>
        <v>86670.571833999988</v>
      </c>
      <c r="AE140" s="59">
        <f t="shared" si="824"/>
        <v>25553.989999999998</v>
      </c>
      <c r="AF140" s="58">
        <f t="shared" si="825"/>
        <v>84476.380141999995</v>
      </c>
      <c r="AG140" s="59">
        <f t="shared" si="826"/>
        <v>24890.249999999996</v>
      </c>
      <c r="AH140" s="58">
        <f t="shared" si="827"/>
        <v>82282.188449999987</v>
      </c>
      <c r="AI140" s="54">
        <f t="shared" si="828"/>
        <v>24226.509999999995</v>
      </c>
      <c r="AJ140" s="58">
        <f t="shared" si="829"/>
        <v>80087.996757999979</v>
      </c>
      <c r="AK140" s="59">
        <f t="shared" si="830"/>
        <v>23562.769999999997</v>
      </c>
      <c r="AL140" s="58">
        <f t="shared" si="831"/>
        <v>77893.805065999986</v>
      </c>
      <c r="AM140" s="59">
        <f t="shared" si="832"/>
        <v>22899.029999999995</v>
      </c>
      <c r="AN140" s="58">
        <f t="shared" si="833"/>
        <v>75699.613373999979</v>
      </c>
      <c r="AO140" s="59">
        <f t="shared" si="834"/>
        <v>22235.289999999994</v>
      </c>
      <c r="AP140" s="58">
        <f t="shared" si="835"/>
        <v>73505.421681999986</v>
      </c>
      <c r="AQ140" s="59">
        <f t="shared" si="836"/>
        <v>21571.549999999992</v>
      </c>
      <c r="AR140" s="58">
        <f t="shared" si="837"/>
        <v>71311.229989999978</v>
      </c>
      <c r="AS140" s="54">
        <f t="shared" si="838"/>
        <v>20907.809999999994</v>
      </c>
      <c r="AT140" s="58">
        <f t="shared" si="839"/>
        <v>69117.038297999985</v>
      </c>
      <c r="AU140" s="59">
        <f t="shared" si="840"/>
        <v>20244.069999999992</v>
      </c>
      <c r="AV140" s="58">
        <f t="shared" si="841"/>
        <v>66922.846605999977</v>
      </c>
      <c r="AW140" s="59">
        <f t="shared" si="842"/>
        <v>19580.329999999991</v>
      </c>
      <c r="AX140" s="58">
        <f t="shared" si="843"/>
        <v>64728.65491399997</v>
      </c>
      <c r="AY140" s="54">
        <f t="shared" si="844"/>
        <v>18916.589999999989</v>
      </c>
      <c r="AZ140" s="58">
        <f t="shared" si="845"/>
        <v>62534.463221999969</v>
      </c>
      <c r="BC140" s="54">
        <v>1</v>
      </c>
      <c r="BD140" s="54">
        <v>0.97</v>
      </c>
      <c r="BE140" s="54">
        <v>0.95</v>
      </c>
      <c r="BF140" s="54">
        <v>0.93</v>
      </c>
      <c r="BG140" s="54">
        <f t="shared" si="846"/>
        <v>0.91</v>
      </c>
      <c r="BH140" s="54">
        <f t="shared" si="846"/>
        <v>0.89</v>
      </c>
      <c r="BI140" s="54">
        <f t="shared" si="846"/>
        <v>0.87</v>
      </c>
      <c r="BJ140" s="54">
        <f t="shared" si="846"/>
        <v>0.85</v>
      </c>
      <c r="BK140" s="54">
        <f t="shared" si="846"/>
        <v>0.83</v>
      </c>
      <c r="BL140" s="54">
        <f t="shared" si="846"/>
        <v>0.80999999999999994</v>
      </c>
      <c r="BM140" s="54">
        <f t="shared" si="846"/>
        <v>0.78999999999999992</v>
      </c>
      <c r="BN140" s="54">
        <f t="shared" si="846"/>
        <v>0.76999999999999991</v>
      </c>
      <c r="BO140" s="54">
        <f t="shared" si="846"/>
        <v>0.74999999999999989</v>
      </c>
      <c r="BP140" s="54">
        <f t="shared" si="846"/>
        <v>0.72999999999999987</v>
      </c>
      <c r="BQ140" s="54">
        <f t="shared" si="846"/>
        <v>0.70999999999999985</v>
      </c>
      <c r="BR140" s="54">
        <f t="shared" si="846"/>
        <v>0.68999999999999984</v>
      </c>
      <c r="BS140" s="54">
        <f t="shared" si="846"/>
        <v>0.66999999999999982</v>
      </c>
      <c r="BT140" s="54">
        <f t="shared" si="846"/>
        <v>0.6499999999999998</v>
      </c>
      <c r="BU140" s="54">
        <f t="shared" si="846"/>
        <v>0.62999999999999978</v>
      </c>
      <c r="BV140" s="54">
        <f t="shared" si="846"/>
        <v>0.60999999999999976</v>
      </c>
      <c r="BW140" s="54">
        <f t="shared" si="846"/>
        <v>0.58999999999999975</v>
      </c>
      <c r="BX140" s="54">
        <f t="shared" si="846"/>
        <v>0.56999999999999973</v>
      </c>
      <c r="BZ140" s="54">
        <f t="shared" si="513"/>
        <v>30200.170000000002</v>
      </c>
      <c r="CA140" s="54">
        <f t="shared" si="514"/>
        <v>30200.170000000002</v>
      </c>
      <c r="CB140" s="58">
        <f t="shared" si="847"/>
        <v>99835.721986000004</v>
      </c>
      <c r="CC140" s="54">
        <f t="shared" si="848"/>
        <v>29294.1649</v>
      </c>
      <c r="CD140" s="58">
        <f t="shared" si="849"/>
        <v>96840.65032642</v>
      </c>
      <c r="CE140" s="54">
        <f t="shared" si="850"/>
        <v>28690.161500000002</v>
      </c>
      <c r="CF140" s="58">
        <f t="shared" si="851"/>
        <v>94843.935886700012</v>
      </c>
      <c r="CG140" s="54">
        <f t="shared" si="852"/>
        <v>28086.158100000004</v>
      </c>
      <c r="CH140" s="58">
        <f t="shared" si="853"/>
        <v>92847.221446980009</v>
      </c>
      <c r="CI140" s="56">
        <f t="shared" si="854"/>
        <v>27482.154700000003</v>
      </c>
      <c r="CJ140" s="58">
        <f t="shared" si="855"/>
        <v>90850.507007260007</v>
      </c>
      <c r="CK140" s="54">
        <f t="shared" si="856"/>
        <v>26878.151300000001</v>
      </c>
      <c r="CL140" s="58">
        <f t="shared" si="857"/>
        <v>88853.792567540004</v>
      </c>
      <c r="CM140" s="56">
        <f t="shared" si="858"/>
        <v>26274.1479</v>
      </c>
      <c r="CN140" s="58">
        <f t="shared" si="859"/>
        <v>86857.078127820001</v>
      </c>
      <c r="CO140" s="59">
        <f t="shared" si="860"/>
        <v>25670.144500000002</v>
      </c>
      <c r="CP140" s="58">
        <f t="shared" si="861"/>
        <v>84860.363688100013</v>
      </c>
      <c r="CQ140" s="56">
        <f t="shared" si="862"/>
        <v>25066.141100000001</v>
      </c>
      <c r="CR140" s="58">
        <f t="shared" si="863"/>
        <v>82863.64924838001</v>
      </c>
      <c r="CS140" s="54">
        <f t="shared" si="864"/>
        <v>24462.137699999999</v>
      </c>
      <c r="CT140" s="58">
        <f t="shared" si="865"/>
        <v>80866.934808659993</v>
      </c>
      <c r="CU140" s="59">
        <f t="shared" si="866"/>
        <v>23858.134299999998</v>
      </c>
      <c r="CV140" s="58">
        <f t="shared" si="867"/>
        <v>78870.22036893999</v>
      </c>
      <c r="CW140" s="59">
        <f t="shared" si="868"/>
        <v>23254.1309</v>
      </c>
      <c r="CX140" s="58">
        <f t="shared" si="869"/>
        <v>76873.505929220002</v>
      </c>
      <c r="CY140" s="59">
        <f t="shared" si="870"/>
        <v>22650.127499999999</v>
      </c>
      <c r="CZ140" s="58">
        <f t="shared" si="871"/>
        <v>74876.791489499999</v>
      </c>
      <c r="DA140" s="54">
        <f t="shared" si="872"/>
        <v>22046.124099999997</v>
      </c>
      <c r="DB140" s="58">
        <f t="shared" si="873"/>
        <v>72880.077049779997</v>
      </c>
      <c r="DC140" s="59">
        <f t="shared" si="874"/>
        <v>21442.120699999996</v>
      </c>
      <c r="DD140" s="58">
        <f t="shared" si="875"/>
        <v>70883.362610059994</v>
      </c>
      <c r="DE140" s="59">
        <f t="shared" si="876"/>
        <v>20838.117299999998</v>
      </c>
      <c r="DF140" s="58">
        <f t="shared" si="877"/>
        <v>68886.648170339991</v>
      </c>
      <c r="DG140" s="59">
        <f t="shared" si="878"/>
        <v>20234.113899999997</v>
      </c>
      <c r="DH140" s="58">
        <f t="shared" si="879"/>
        <v>66889.933730619989</v>
      </c>
      <c r="DI140" s="59">
        <f t="shared" si="880"/>
        <v>19630.110499999995</v>
      </c>
      <c r="DJ140" s="58">
        <f t="shared" si="881"/>
        <v>64893.219290899986</v>
      </c>
      <c r="DK140" s="54">
        <f t="shared" si="882"/>
        <v>19026.107099999994</v>
      </c>
      <c r="DL140" s="58">
        <f t="shared" si="883"/>
        <v>62896.504851179983</v>
      </c>
      <c r="DM140" s="59">
        <f t="shared" si="884"/>
        <v>18422.103699999992</v>
      </c>
      <c r="DN140" s="58">
        <f t="shared" si="885"/>
        <v>60899.790411459973</v>
      </c>
      <c r="DO140" s="59">
        <f t="shared" si="886"/>
        <v>17818.100299999995</v>
      </c>
      <c r="DP140" s="58">
        <f t="shared" si="887"/>
        <v>58903.075971739985</v>
      </c>
      <c r="DQ140" s="54">
        <f t="shared" si="888"/>
        <v>17214.096899999993</v>
      </c>
      <c r="DR140" s="58">
        <f t="shared" si="889"/>
        <v>56906.361532019975</v>
      </c>
      <c r="DU140" s="54">
        <v>1</v>
      </c>
      <c r="DV140" s="54">
        <v>0.97</v>
      </c>
      <c r="DW140" s="54">
        <v>0.95</v>
      </c>
      <c r="DX140" s="54">
        <v>0.93</v>
      </c>
      <c r="DY140" s="54">
        <f t="shared" si="935"/>
        <v>0.91</v>
      </c>
      <c r="DZ140" s="54">
        <f t="shared" si="935"/>
        <v>0.89</v>
      </c>
      <c r="EA140" s="54">
        <f t="shared" si="935"/>
        <v>0.87</v>
      </c>
      <c r="EB140" s="54">
        <f t="shared" si="935"/>
        <v>0.85</v>
      </c>
      <c r="EC140" s="54">
        <f t="shared" si="935"/>
        <v>0.83</v>
      </c>
      <c r="ED140" s="54">
        <f t="shared" si="935"/>
        <v>0.80999999999999994</v>
      </c>
      <c r="EE140" s="54">
        <f t="shared" si="935"/>
        <v>0.78999999999999992</v>
      </c>
      <c r="EF140" s="54">
        <f t="shared" si="935"/>
        <v>0.76999999999999991</v>
      </c>
      <c r="EG140" s="54">
        <f t="shared" si="935"/>
        <v>0.74999999999999989</v>
      </c>
      <c r="EH140" s="54">
        <f t="shared" si="935"/>
        <v>0.72999999999999987</v>
      </c>
      <c r="EI140" s="54">
        <f t="shared" si="935"/>
        <v>0.70999999999999985</v>
      </c>
      <c r="EJ140" s="54">
        <f t="shared" si="935"/>
        <v>0.68999999999999984</v>
      </c>
      <c r="EK140" s="54">
        <f t="shared" si="935"/>
        <v>0.66999999999999982</v>
      </c>
      <c r="EL140" s="54">
        <f t="shared" si="935"/>
        <v>0.6499999999999998</v>
      </c>
      <c r="EM140" s="54">
        <f t="shared" si="935"/>
        <v>0.62999999999999978</v>
      </c>
      <c r="EN140" s="54">
        <f t="shared" si="935"/>
        <v>0.60999999999999976</v>
      </c>
      <c r="EO140" s="54">
        <f t="shared" si="935"/>
        <v>0.58999999999999975</v>
      </c>
      <c r="EP140" s="54">
        <f t="shared" si="935"/>
        <v>0.56999999999999973</v>
      </c>
      <c r="ER140" s="54">
        <f t="shared" si="653"/>
        <v>27482.154700000003</v>
      </c>
      <c r="ES140" s="54">
        <f t="shared" si="515"/>
        <v>27482.154700000003</v>
      </c>
      <c r="ET140" s="58">
        <f t="shared" si="890"/>
        <v>90850.507007260007</v>
      </c>
      <c r="EU140" s="54">
        <f t="shared" si="891"/>
        <v>26657.690059</v>
      </c>
      <c r="EV140" s="58">
        <f t="shared" si="892"/>
        <v>88124.99179704221</v>
      </c>
      <c r="EW140" s="54">
        <f t="shared" si="893"/>
        <v>26108.046965000001</v>
      </c>
      <c r="EX140" s="58">
        <f t="shared" si="894"/>
        <v>86307.981656897013</v>
      </c>
      <c r="EY140" s="54">
        <f t="shared" si="895"/>
        <v>25558.403871000002</v>
      </c>
      <c r="EZ140" s="58">
        <f t="shared" si="896"/>
        <v>84490.971516751815</v>
      </c>
      <c r="FA140" s="56">
        <f t="shared" si="897"/>
        <v>25008.760777000003</v>
      </c>
      <c r="FB140" s="58">
        <f t="shared" si="898"/>
        <v>82673.961376606618</v>
      </c>
      <c r="FC140" s="54">
        <f t="shared" si="899"/>
        <v>24459.117683000004</v>
      </c>
      <c r="FD140" s="58">
        <f t="shared" si="900"/>
        <v>80856.95123646142</v>
      </c>
      <c r="FE140" s="56">
        <f t="shared" si="901"/>
        <v>23909.474589000001</v>
      </c>
      <c r="FF140" s="58">
        <f t="shared" si="902"/>
        <v>79039.941096316208</v>
      </c>
      <c r="FG140" s="59">
        <f t="shared" si="903"/>
        <v>23359.831495000002</v>
      </c>
      <c r="FH140" s="58">
        <f t="shared" si="904"/>
        <v>77222.930956171011</v>
      </c>
      <c r="FI140" s="56">
        <f t="shared" si="905"/>
        <v>22810.188400999999</v>
      </c>
      <c r="FJ140" s="58">
        <f t="shared" si="906"/>
        <v>75405.920816025799</v>
      </c>
      <c r="FK140" s="54">
        <f t="shared" si="907"/>
        <v>22260.545307</v>
      </c>
      <c r="FL140" s="58">
        <f t="shared" si="908"/>
        <v>73588.910675880601</v>
      </c>
      <c r="FM140" s="59">
        <f t="shared" si="909"/>
        <v>21710.902213000001</v>
      </c>
      <c r="FN140" s="58">
        <f t="shared" si="910"/>
        <v>71771.900535735404</v>
      </c>
      <c r="FO140" s="59">
        <f t="shared" si="911"/>
        <v>21161.259118999998</v>
      </c>
      <c r="FP140" s="58">
        <f t="shared" si="912"/>
        <v>69954.890395590191</v>
      </c>
      <c r="FQ140" s="59">
        <f t="shared" si="913"/>
        <v>20611.616024999999</v>
      </c>
      <c r="FR140" s="58">
        <f t="shared" si="914"/>
        <v>68137.880255444994</v>
      </c>
      <c r="FS140" s="54">
        <f t="shared" si="915"/>
        <v>20061.972931</v>
      </c>
      <c r="FT140" s="58">
        <f t="shared" si="916"/>
        <v>66320.870115299796</v>
      </c>
      <c r="FU140" s="59">
        <f t="shared" si="917"/>
        <v>19512.329836999997</v>
      </c>
      <c r="FV140" s="58">
        <f t="shared" si="918"/>
        <v>64503.859975154592</v>
      </c>
      <c r="FW140" s="59">
        <f t="shared" si="919"/>
        <v>18962.686742999998</v>
      </c>
      <c r="FX140" s="58">
        <f t="shared" si="920"/>
        <v>62686.849835009394</v>
      </c>
      <c r="FY140" s="59">
        <f t="shared" si="921"/>
        <v>18413.043648999996</v>
      </c>
      <c r="FZ140" s="58">
        <f t="shared" si="922"/>
        <v>60869.839694864189</v>
      </c>
      <c r="GA140" s="59">
        <f t="shared" si="923"/>
        <v>17863.400554999997</v>
      </c>
      <c r="GB140" s="58">
        <f t="shared" si="924"/>
        <v>59052.829554718992</v>
      </c>
      <c r="GC140" s="54">
        <f t="shared" si="925"/>
        <v>17313.757460999997</v>
      </c>
      <c r="GD140" s="58">
        <f t="shared" si="926"/>
        <v>57235.819414573794</v>
      </c>
      <c r="GE140" s="59">
        <f t="shared" si="927"/>
        <v>16764.114366999995</v>
      </c>
      <c r="GF140" s="58">
        <f t="shared" si="928"/>
        <v>55418.809274428582</v>
      </c>
      <c r="GG140" s="59">
        <f t="shared" si="929"/>
        <v>16214.471272999996</v>
      </c>
      <c r="GH140" s="58">
        <f t="shared" si="930"/>
        <v>53601.799134283385</v>
      </c>
      <c r="GI140" s="54">
        <f t="shared" si="931"/>
        <v>15664.828178999995</v>
      </c>
      <c r="GJ140" s="58">
        <f t="shared" si="932"/>
        <v>51784.78899413818</v>
      </c>
      <c r="GK140" s="54"/>
      <c r="GL140" s="54"/>
      <c r="GM140" s="54">
        <v>1</v>
      </c>
      <c r="GN140" s="54">
        <v>0.97</v>
      </c>
      <c r="GO140" s="54">
        <v>0.95</v>
      </c>
      <c r="GP140" s="54">
        <v>0.93</v>
      </c>
      <c r="GQ140" s="54">
        <f t="shared" si="936"/>
        <v>0.91</v>
      </c>
      <c r="GR140" s="54">
        <f t="shared" si="936"/>
        <v>0.89</v>
      </c>
      <c r="GS140" s="54">
        <f t="shared" si="936"/>
        <v>0.87</v>
      </c>
      <c r="GT140" s="54">
        <f t="shared" si="936"/>
        <v>0.85</v>
      </c>
      <c r="GU140" s="54">
        <f t="shared" si="936"/>
        <v>0.83</v>
      </c>
      <c r="GV140" s="54">
        <f t="shared" si="936"/>
        <v>0.80999999999999994</v>
      </c>
      <c r="GW140" s="54">
        <f t="shared" si="936"/>
        <v>0.78999999999999992</v>
      </c>
      <c r="GX140" s="54">
        <f t="shared" si="936"/>
        <v>0.76999999999999991</v>
      </c>
      <c r="GY140" s="54">
        <f t="shared" si="936"/>
        <v>0.74999999999999989</v>
      </c>
      <c r="GZ140" s="54">
        <f t="shared" si="936"/>
        <v>0.72999999999999987</v>
      </c>
      <c r="HA140" s="54">
        <f t="shared" si="936"/>
        <v>0.70999999999999985</v>
      </c>
      <c r="HB140" s="54">
        <f t="shared" si="936"/>
        <v>0.68999999999999984</v>
      </c>
      <c r="HC140" s="54">
        <f t="shared" si="936"/>
        <v>0.66999999999999982</v>
      </c>
      <c r="HD140" s="54">
        <f t="shared" si="936"/>
        <v>0.6499999999999998</v>
      </c>
      <c r="HE140" s="54">
        <f t="shared" si="936"/>
        <v>0.62999999999999978</v>
      </c>
      <c r="HF140" s="54">
        <f t="shared" si="936"/>
        <v>0.60999999999999976</v>
      </c>
      <c r="HG140" s="54">
        <f t="shared" si="936"/>
        <v>0.58999999999999975</v>
      </c>
      <c r="HH140" s="54">
        <f t="shared" si="936"/>
        <v>0.56999999999999973</v>
      </c>
    </row>
    <row r="141" spans="1:216" s="63" customFormat="1" x14ac:dyDescent="0.3">
      <c r="C141" s="64"/>
      <c r="D141" s="64"/>
      <c r="E141" s="64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1"/>
      <c r="Q141" s="60"/>
      <c r="R141" s="60"/>
      <c r="S141" s="60"/>
      <c r="T141" s="61"/>
      <c r="U141" s="60"/>
      <c r="V141" s="62"/>
      <c r="W141" s="60"/>
      <c r="X141" s="61"/>
      <c r="Y141" s="60"/>
      <c r="Z141" s="60"/>
      <c r="AA141" s="60"/>
      <c r="AB141" s="62"/>
      <c r="AC141" s="60"/>
      <c r="AD141" s="62"/>
      <c r="AE141" s="60"/>
      <c r="AF141" s="62"/>
      <c r="AG141" s="60"/>
      <c r="AH141" s="60"/>
      <c r="AI141" s="60"/>
      <c r="AJ141" s="62"/>
      <c r="AK141" s="60"/>
      <c r="AL141" s="62"/>
      <c r="AM141" s="60"/>
      <c r="AN141" s="62"/>
      <c r="AO141" s="60"/>
      <c r="AP141" s="62"/>
      <c r="AQ141" s="60"/>
      <c r="AR141" s="60"/>
      <c r="AS141" s="60"/>
      <c r="AT141" s="62"/>
      <c r="AU141" s="60"/>
      <c r="AV141" s="62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>
        <f t="shared" ref="BY141:BY142" si="937">+G141*0.91</f>
        <v>0</v>
      </c>
      <c r="BZ141" s="60"/>
      <c r="CA141" s="60"/>
      <c r="CB141" s="60"/>
      <c r="CC141" s="60"/>
      <c r="CD141" s="60"/>
      <c r="CE141" s="60"/>
      <c r="CF141" s="60"/>
      <c r="CG141" s="60"/>
      <c r="CH141" s="61"/>
      <c r="CI141" s="60"/>
      <c r="CJ141" s="60"/>
      <c r="CK141" s="60"/>
      <c r="CL141" s="61"/>
      <c r="CM141" s="60"/>
      <c r="CN141" s="62"/>
      <c r="CO141" s="60"/>
      <c r="CP141" s="61"/>
      <c r="CQ141" s="60"/>
      <c r="CR141" s="60"/>
      <c r="CS141" s="60"/>
      <c r="CT141" s="62"/>
      <c r="CU141" s="60"/>
      <c r="CV141" s="62"/>
      <c r="CW141" s="60"/>
      <c r="CX141" s="62"/>
      <c r="CY141" s="60"/>
      <c r="CZ141" s="60"/>
      <c r="DA141" s="60"/>
      <c r="DB141" s="62"/>
      <c r="DC141" s="60"/>
      <c r="DD141" s="62"/>
      <c r="DE141" s="60"/>
      <c r="DF141" s="62"/>
      <c r="DG141" s="60"/>
      <c r="DH141" s="62"/>
      <c r="DI141" s="60"/>
      <c r="DJ141" s="60"/>
      <c r="DK141" s="60"/>
      <c r="DL141" s="62"/>
      <c r="DM141" s="60"/>
      <c r="DN141" s="62"/>
      <c r="DO141" s="60"/>
      <c r="DP141" s="60"/>
      <c r="DQ141" s="60"/>
      <c r="DR141" s="60"/>
      <c r="DS141" s="60"/>
      <c r="DT141" s="60">
        <v>1</v>
      </c>
      <c r="DU141" s="60">
        <v>0.97</v>
      </c>
      <c r="DV141" s="60">
        <v>0.95</v>
      </c>
      <c r="DW141" s="60">
        <v>0.93</v>
      </c>
      <c r="DX141" s="60">
        <f t="shared" ref="DX141:EO142" si="938">+DW141-0.02</f>
        <v>0.91</v>
      </c>
      <c r="DY141" s="60">
        <f t="shared" si="938"/>
        <v>0.89</v>
      </c>
      <c r="DZ141" s="60">
        <f t="shared" si="938"/>
        <v>0.87</v>
      </c>
      <c r="EA141" s="60">
        <f t="shared" si="938"/>
        <v>0.85</v>
      </c>
      <c r="EB141" s="60">
        <f t="shared" si="938"/>
        <v>0.83</v>
      </c>
      <c r="EC141" s="60">
        <f t="shared" si="938"/>
        <v>0.80999999999999994</v>
      </c>
      <c r="ED141" s="60">
        <f t="shared" si="938"/>
        <v>0.78999999999999992</v>
      </c>
      <c r="EE141" s="60">
        <f t="shared" si="938"/>
        <v>0.76999999999999991</v>
      </c>
      <c r="EF141" s="60">
        <f t="shared" si="938"/>
        <v>0.74999999999999989</v>
      </c>
      <c r="EG141" s="60">
        <f t="shared" si="938"/>
        <v>0.72999999999999987</v>
      </c>
      <c r="EH141" s="60">
        <f t="shared" si="938"/>
        <v>0.70999999999999985</v>
      </c>
      <c r="EI141" s="60">
        <f t="shared" si="938"/>
        <v>0.68999999999999984</v>
      </c>
      <c r="EJ141" s="60">
        <f t="shared" si="938"/>
        <v>0.66999999999999982</v>
      </c>
      <c r="EK141" s="60">
        <f t="shared" si="938"/>
        <v>0.6499999999999998</v>
      </c>
      <c r="EL141" s="60">
        <f t="shared" si="938"/>
        <v>0.62999999999999978</v>
      </c>
      <c r="EM141" s="60">
        <f t="shared" si="938"/>
        <v>0.60999999999999976</v>
      </c>
      <c r="EN141" s="60">
        <f t="shared" si="938"/>
        <v>0.58999999999999975</v>
      </c>
      <c r="EO141" s="60">
        <f t="shared" si="938"/>
        <v>0.56999999999999973</v>
      </c>
      <c r="EQ141" s="60">
        <f t="shared" ref="EQ141:EQ142" si="939">+BY141*0.91</f>
        <v>0</v>
      </c>
      <c r="ER141" s="60"/>
      <c r="ES141" s="60"/>
      <c r="ET141" s="60"/>
      <c r="EU141" s="60"/>
      <c r="EV141" s="60"/>
      <c r="EW141" s="60"/>
      <c r="EX141" s="60"/>
      <c r="EY141" s="60"/>
      <c r="EZ141" s="61"/>
      <c r="FA141" s="60"/>
      <c r="FB141" s="60"/>
      <c r="FC141" s="60"/>
      <c r="FD141" s="61"/>
      <c r="FE141" s="60"/>
      <c r="FF141" s="62"/>
      <c r="FG141" s="60"/>
      <c r="FH141" s="61"/>
      <c r="FI141" s="60"/>
      <c r="FJ141" s="60"/>
      <c r="FK141" s="60"/>
      <c r="FL141" s="62"/>
      <c r="FM141" s="60"/>
      <c r="FN141" s="62"/>
      <c r="FO141" s="60"/>
      <c r="FP141" s="62"/>
      <c r="FQ141" s="60"/>
      <c r="FR141" s="60"/>
      <c r="FS141" s="60"/>
      <c r="FT141" s="62"/>
      <c r="FU141" s="60"/>
      <c r="FV141" s="62"/>
      <c r="FW141" s="60"/>
      <c r="FX141" s="62"/>
      <c r="FY141" s="60"/>
      <c r="FZ141" s="62"/>
      <c r="GA141" s="60"/>
      <c r="GB141" s="60"/>
      <c r="GC141" s="60"/>
      <c r="GD141" s="62"/>
      <c r="GE141" s="60"/>
      <c r="GF141" s="62"/>
      <c r="GG141" s="60"/>
      <c r="GH141" s="60"/>
      <c r="GI141" s="60"/>
      <c r="GJ141" s="60"/>
      <c r="GK141" s="60"/>
      <c r="GL141" s="60">
        <v>1</v>
      </c>
      <c r="GM141" s="60">
        <v>0.97</v>
      </c>
      <c r="GN141" s="60">
        <v>0.95</v>
      </c>
      <c r="GO141" s="60">
        <v>0.93</v>
      </c>
      <c r="GP141" s="60">
        <f t="shared" ref="GP141:HG142" si="940">+GO141-0.02</f>
        <v>0.91</v>
      </c>
      <c r="GQ141" s="60">
        <f t="shared" si="940"/>
        <v>0.89</v>
      </c>
      <c r="GR141" s="60">
        <f t="shared" si="940"/>
        <v>0.87</v>
      </c>
      <c r="GS141" s="60">
        <f t="shared" si="940"/>
        <v>0.85</v>
      </c>
      <c r="GT141" s="60">
        <f t="shared" si="940"/>
        <v>0.83</v>
      </c>
      <c r="GU141" s="60">
        <f t="shared" si="940"/>
        <v>0.80999999999999994</v>
      </c>
      <c r="GV141" s="60">
        <f t="shared" si="940"/>
        <v>0.78999999999999992</v>
      </c>
      <c r="GW141" s="60">
        <f t="shared" si="940"/>
        <v>0.76999999999999991</v>
      </c>
      <c r="GX141" s="60">
        <f t="shared" si="940"/>
        <v>0.74999999999999989</v>
      </c>
      <c r="GY141" s="60">
        <f t="shared" si="940"/>
        <v>0.72999999999999987</v>
      </c>
      <c r="GZ141" s="60">
        <f t="shared" si="940"/>
        <v>0.70999999999999985</v>
      </c>
      <c r="HA141" s="60">
        <f t="shared" si="940"/>
        <v>0.68999999999999984</v>
      </c>
      <c r="HB141" s="60">
        <f t="shared" si="940"/>
        <v>0.66999999999999982</v>
      </c>
      <c r="HC141" s="60">
        <f t="shared" si="940"/>
        <v>0.6499999999999998</v>
      </c>
      <c r="HD141" s="60">
        <f t="shared" si="940"/>
        <v>0.62999999999999978</v>
      </c>
      <c r="HE141" s="60">
        <f t="shared" si="940"/>
        <v>0.60999999999999976</v>
      </c>
      <c r="HF141" s="60">
        <f t="shared" si="940"/>
        <v>0.58999999999999975</v>
      </c>
      <c r="HG141" s="60">
        <f t="shared" si="940"/>
        <v>0.56999999999999973</v>
      </c>
    </row>
    <row r="142" spans="1:216" s="63" customFormat="1" ht="17.25" thickBot="1" x14ac:dyDescent="0.35">
      <c r="B142" s="63" t="s">
        <v>298</v>
      </c>
      <c r="C142" s="63" t="s">
        <v>294</v>
      </c>
      <c r="D142" s="64" t="s">
        <v>304</v>
      </c>
      <c r="E142" s="64" t="s">
        <v>324</v>
      </c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1"/>
      <c r="Q142" s="60"/>
      <c r="R142" s="60"/>
      <c r="S142" s="60"/>
      <c r="T142" s="61"/>
      <c r="U142" s="60"/>
      <c r="V142" s="62"/>
      <c r="W142" s="60"/>
      <c r="X142" s="61"/>
      <c r="Y142" s="60"/>
      <c r="Z142" s="60"/>
      <c r="AA142" s="60"/>
      <c r="AB142" s="62"/>
      <c r="AC142" s="60"/>
      <c r="AD142" s="62"/>
      <c r="AE142" s="60"/>
      <c r="AF142" s="62"/>
      <c r="AG142" s="60"/>
      <c r="AH142" s="60"/>
      <c r="AI142" s="60"/>
      <c r="AJ142" s="62"/>
      <c r="AK142" s="60"/>
      <c r="AL142" s="62"/>
      <c r="AM142" s="60"/>
      <c r="AN142" s="62"/>
      <c r="AO142" s="60"/>
      <c r="AP142" s="62"/>
      <c r="AQ142" s="60"/>
      <c r="AR142" s="60"/>
      <c r="AS142" s="60"/>
      <c r="AT142" s="62"/>
      <c r="AU142" s="60"/>
      <c r="AV142" s="62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>
        <f t="shared" si="937"/>
        <v>0</v>
      </c>
      <c r="BZ142" s="60"/>
      <c r="CA142" s="60"/>
      <c r="CB142" s="60"/>
      <c r="CC142" s="60"/>
      <c r="CD142" s="60"/>
      <c r="CE142" s="60"/>
      <c r="CF142" s="60"/>
      <c r="CG142" s="60"/>
      <c r="CH142" s="61"/>
      <c r="CI142" s="60"/>
      <c r="CJ142" s="60"/>
      <c r="CK142" s="60"/>
      <c r="CL142" s="61"/>
      <c r="CM142" s="60"/>
      <c r="CN142" s="62"/>
      <c r="CO142" s="60"/>
      <c r="CP142" s="61"/>
      <c r="CQ142" s="60"/>
      <c r="CR142" s="60"/>
      <c r="CS142" s="60"/>
      <c r="CT142" s="62"/>
      <c r="CU142" s="60"/>
      <c r="CV142" s="62"/>
      <c r="CW142" s="60"/>
      <c r="CX142" s="62"/>
      <c r="CY142" s="60"/>
      <c r="CZ142" s="60"/>
      <c r="DA142" s="60"/>
      <c r="DB142" s="62"/>
      <c r="DC142" s="60"/>
      <c r="DD142" s="62"/>
      <c r="DE142" s="60"/>
      <c r="DF142" s="62"/>
      <c r="DG142" s="60"/>
      <c r="DH142" s="62"/>
      <c r="DI142" s="60"/>
      <c r="DJ142" s="60"/>
      <c r="DK142" s="60"/>
      <c r="DL142" s="62"/>
      <c r="DM142" s="60"/>
      <c r="DN142" s="62"/>
      <c r="DO142" s="60"/>
      <c r="DP142" s="60"/>
      <c r="DQ142" s="60"/>
      <c r="DR142" s="60"/>
      <c r="DS142" s="60"/>
      <c r="DT142" s="60">
        <v>1</v>
      </c>
      <c r="DU142" s="60">
        <v>0.97</v>
      </c>
      <c r="DV142" s="60">
        <v>0.95</v>
      </c>
      <c r="DW142" s="60">
        <v>0.93</v>
      </c>
      <c r="DX142" s="60">
        <f t="shared" si="938"/>
        <v>0.91</v>
      </c>
      <c r="DY142" s="60">
        <f t="shared" si="938"/>
        <v>0.89</v>
      </c>
      <c r="DZ142" s="60">
        <f t="shared" si="938"/>
        <v>0.87</v>
      </c>
      <c r="EA142" s="60">
        <f t="shared" si="938"/>
        <v>0.85</v>
      </c>
      <c r="EB142" s="60">
        <f t="shared" si="938"/>
        <v>0.83</v>
      </c>
      <c r="EC142" s="60">
        <f t="shared" si="938"/>
        <v>0.80999999999999994</v>
      </c>
      <c r="ED142" s="60">
        <f t="shared" si="938"/>
        <v>0.78999999999999992</v>
      </c>
      <c r="EE142" s="60">
        <f t="shared" si="938"/>
        <v>0.76999999999999991</v>
      </c>
      <c r="EF142" s="60">
        <f t="shared" si="938"/>
        <v>0.74999999999999989</v>
      </c>
      <c r="EG142" s="60">
        <f t="shared" si="938"/>
        <v>0.72999999999999987</v>
      </c>
      <c r="EH142" s="60">
        <f t="shared" si="938"/>
        <v>0.70999999999999985</v>
      </c>
      <c r="EI142" s="60">
        <f t="shared" si="938"/>
        <v>0.68999999999999984</v>
      </c>
      <c r="EJ142" s="60">
        <f t="shared" si="938"/>
        <v>0.66999999999999982</v>
      </c>
      <c r="EK142" s="60">
        <f t="shared" si="938"/>
        <v>0.6499999999999998</v>
      </c>
      <c r="EL142" s="60">
        <f t="shared" si="938"/>
        <v>0.62999999999999978</v>
      </c>
      <c r="EM142" s="60">
        <f t="shared" si="938"/>
        <v>0.60999999999999976</v>
      </c>
      <c r="EN142" s="60">
        <f t="shared" si="938"/>
        <v>0.58999999999999975</v>
      </c>
      <c r="EO142" s="60">
        <f t="shared" si="938"/>
        <v>0.56999999999999973</v>
      </c>
      <c r="EQ142" s="60">
        <f t="shared" si="939"/>
        <v>0</v>
      </c>
      <c r="ER142" s="60"/>
      <c r="ES142" s="60"/>
      <c r="ET142" s="60"/>
      <c r="EU142" s="60"/>
      <c r="EV142" s="60"/>
      <c r="EW142" s="60"/>
      <c r="EX142" s="60"/>
      <c r="EY142" s="60"/>
      <c r="EZ142" s="61"/>
      <c r="FA142" s="60"/>
      <c r="FB142" s="60"/>
      <c r="FC142" s="60"/>
      <c r="FD142" s="61"/>
      <c r="FE142" s="60"/>
      <c r="FF142" s="62"/>
      <c r="FG142" s="60"/>
      <c r="FH142" s="61"/>
      <c r="FI142" s="60"/>
      <c r="FJ142" s="60"/>
      <c r="FK142" s="60"/>
      <c r="FL142" s="62"/>
      <c r="FM142" s="60"/>
      <c r="FN142" s="62"/>
      <c r="FO142" s="60"/>
      <c r="FP142" s="62"/>
      <c r="FQ142" s="60"/>
      <c r="FR142" s="60"/>
      <c r="FS142" s="60"/>
      <c r="FT142" s="62"/>
      <c r="FU142" s="60"/>
      <c r="FV142" s="62"/>
      <c r="FW142" s="60"/>
      <c r="FX142" s="62"/>
      <c r="FY142" s="60"/>
      <c r="FZ142" s="62"/>
      <c r="GA142" s="60"/>
      <c r="GB142" s="60"/>
      <c r="GC142" s="60"/>
      <c r="GD142" s="62"/>
      <c r="GE142" s="60"/>
      <c r="GF142" s="62"/>
      <c r="GG142" s="60"/>
      <c r="GH142" s="60"/>
      <c r="GI142" s="60"/>
      <c r="GJ142" s="60"/>
      <c r="GK142" s="60"/>
      <c r="GL142" s="60">
        <v>1</v>
      </c>
      <c r="GM142" s="60">
        <v>0.97</v>
      </c>
      <c r="GN142" s="60">
        <v>0.95</v>
      </c>
      <c r="GO142" s="60">
        <v>0.93</v>
      </c>
      <c r="GP142" s="60">
        <f t="shared" si="940"/>
        <v>0.91</v>
      </c>
      <c r="GQ142" s="60">
        <f t="shared" si="940"/>
        <v>0.89</v>
      </c>
      <c r="GR142" s="60">
        <f t="shared" si="940"/>
        <v>0.87</v>
      </c>
      <c r="GS142" s="60">
        <f t="shared" si="940"/>
        <v>0.85</v>
      </c>
      <c r="GT142" s="60">
        <f t="shared" si="940"/>
        <v>0.83</v>
      </c>
      <c r="GU142" s="60">
        <f t="shared" si="940"/>
        <v>0.80999999999999994</v>
      </c>
      <c r="GV142" s="60">
        <f t="shared" si="940"/>
        <v>0.78999999999999992</v>
      </c>
      <c r="GW142" s="60">
        <f t="shared" si="940"/>
        <v>0.76999999999999991</v>
      </c>
      <c r="GX142" s="60">
        <f t="shared" si="940"/>
        <v>0.74999999999999989</v>
      </c>
      <c r="GY142" s="60">
        <f t="shared" si="940"/>
        <v>0.72999999999999987</v>
      </c>
      <c r="GZ142" s="60">
        <f t="shared" si="940"/>
        <v>0.70999999999999985</v>
      </c>
      <c r="HA142" s="60">
        <f t="shared" si="940"/>
        <v>0.68999999999999984</v>
      </c>
      <c r="HB142" s="60">
        <f t="shared" si="940"/>
        <v>0.66999999999999982</v>
      </c>
      <c r="HC142" s="60">
        <f t="shared" si="940"/>
        <v>0.6499999999999998</v>
      </c>
      <c r="HD142" s="60">
        <f t="shared" si="940"/>
        <v>0.62999999999999978</v>
      </c>
      <c r="HE142" s="60">
        <f t="shared" si="940"/>
        <v>0.60999999999999976</v>
      </c>
      <c r="HF142" s="60">
        <f t="shared" si="940"/>
        <v>0.58999999999999975</v>
      </c>
      <c r="HG142" s="60">
        <f t="shared" si="940"/>
        <v>0.56999999999999973</v>
      </c>
    </row>
    <row r="143" spans="1:216" x14ac:dyDescent="0.3">
      <c r="A143" s="2">
        <v>1</v>
      </c>
      <c r="C143" s="38" t="s">
        <v>48</v>
      </c>
      <c r="D143" s="40">
        <v>0</v>
      </c>
      <c r="E143" s="71">
        <f>TRUNC(+D143*3.3058,-1)</f>
        <v>0</v>
      </c>
      <c r="H143" s="54">
        <f t="shared" si="510"/>
        <v>0</v>
      </c>
      <c r="I143" s="54">
        <f t="shared" si="511"/>
        <v>0</v>
      </c>
      <c r="J143" s="58">
        <f t="shared" si="512"/>
        <v>0</v>
      </c>
      <c r="K143" s="54">
        <f t="shared" ref="K143:K148" si="941">+I143*BD143</f>
        <v>0</v>
      </c>
      <c r="L143" s="58">
        <f t="shared" ref="L143:L148" si="942">+K143*3.3058</f>
        <v>0</v>
      </c>
      <c r="M143" s="54">
        <f t="shared" ref="M143:M148" si="943">+I143*BE143</f>
        <v>0</v>
      </c>
      <c r="N143" s="58">
        <f t="shared" ref="N143:N148" si="944">+M143*3.3058</f>
        <v>0</v>
      </c>
      <c r="O143" s="54">
        <f t="shared" ref="O143:O148" si="945">+I143*BF143</f>
        <v>0</v>
      </c>
      <c r="P143" s="58">
        <f t="shared" ref="P143:P148" si="946">+O143*3.3058</f>
        <v>0</v>
      </c>
      <c r="Q143" s="56">
        <f t="shared" ref="Q143:Q148" si="947">+I143*BG143</f>
        <v>0</v>
      </c>
      <c r="R143" s="58">
        <f t="shared" ref="R143:R148" si="948">+Q143*3.3058</f>
        <v>0</v>
      </c>
      <c r="S143" s="54">
        <f t="shared" ref="S143:S148" si="949">+I143*BH143</f>
        <v>0</v>
      </c>
      <c r="T143" s="58">
        <f t="shared" ref="T143:T148" si="950">+S143*3.3058</f>
        <v>0</v>
      </c>
      <c r="U143" s="56">
        <f t="shared" ref="U143:U148" si="951">+I143*BI143</f>
        <v>0</v>
      </c>
      <c r="V143" s="58">
        <f t="shared" ref="V143:V148" si="952">+U143*3.3058</f>
        <v>0</v>
      </c>
      <c r="W143" s="59">
        <f t="shared" ref="W143:W148" si="953">+I143*BJ143</f>
        <v>0</v>
      </c>
      <c r="X143" s="58">
        <f t="shared" ref="X143:X148" si="954">+W143*3.3058</f>
        <v>0</v>
      </c>
      <c r="Y143" s="56">
        <f t="shared" ref="Y143:Y148" si="955">+I143*BK143</f>
        <v>0</v>
      </c>
      <c r="Z143" s="58">
        <f t="shared" ref="Z143:Z148" si="956">+Y143*3.3058</f>
        <v>0</v>
      </c>
      <c r="AA143" s="54">
        <f t="shared" ref="AA143:AA148" si="957">+I143*BL143</f>
        <v>0</v>
      </c>
      <c r="AB143" s="58">
        <f t="shared" ref="AB143:AB148" si="958">+AA143*3.3058</f>
        <v>0</v>
      </c>
      <c r="AC143" s="59">
        <f t="shared" ref="AC143:AC148" si="959">+I143*BM143</f>
        <v>0</v>
      </c>
      <c r="AD143" s="58">
        <f t="shared" ref="AD143:AD148" si="960">+AC143*3.3058</f>
        <v>0</v>
      </c>
      <c r="AE143" s="59">
        <f t="shared" ref="AE143:AE148" si="961">+I143*BN143</f>
        <v>0</v>
      </c>
      <c r="AF143" s="58">
        <f t="shared" ref="AF143:AF148" si="962">+AE143*3.3058</f>
        <v>0</v>
      </c>
      <c r="AG143" s="59">
        <f t="shared" ref="AG143:AG148" si="963">+I143*BO143</f>
        <v>0</v>
      </c>
      <c r="AH143" s="58">
        <f t="shared" ref="AH143:AH148" si="964">+AG143*3.3058</f>
        <v>0</v>
      </c>
      <c r="AI143" s="54">
        <f t="shared" ref="AI143:AI148" si="965">+I143*BP143</f>
        <v>0</v>
      </c>
      <c r="AJ143" s="58">
        <f t="shared" ref="AJ143:AJ148" si="966">+AI143*3.3058</f>
        <v>0</v>
      </c>
      <c r="AK143" s="59">
        <f t="shared" ref="AK143:AK148" si="967">+I143*BQ143</f>
        <v>0</v>
      </c>
      <c r="AL143" s="58">
        <f t="shared" ref="AL143:AL148" si="968">+AK143*3.3058</f>
        <v>0</v>
      </c>
      <c r="AM143" s="59">
        <f t="shared" ref="AM143:AM148" si="969">+I143*BR143</f>
        <v>0</v>
      </c>
      <c r="AN143" s="58">
        <f t="shared" ref="AN143:AN148" si="970">+AM143*3.3058</f>
        <v>0</v>
      </c>
      <c r="AO143" s="59">
        <f t="shared" ref="AO143:AO148" si="971">+I143*BS143</f>
        <v>0</v>
      </c>
      <c r="AP143" s="58">
        <f t="shared" ref="AP143:AP148" si="972">+AO143*3.3058</f>
        <v>0</v>
      </c>
      <c r="AQ143" s="59">
        <f t="shared" ref="AQ143:AQ148" si="973">+I143*BT143</f>
        <v>0</v>
      </c>
      <c r="AR143" s="58">
        <f t="shared" ref="AR143:AR148" si="974">+AQ143*3.3058</f>
        <v>0</v>
      </c>
      <c r="AS143" s="54">
        <f t="shared" ref="AS143:AS148" si="975">+I143*BU143</f>
        <v>0</v>
      </c>
      <c r="AT143" s="58">
        <f t="shared" ref="AT143:AT148" si="976">+AS143*3.3058</f>
        <v>0</v>
      </c>
      <c r="AU143" s="59">
        <f t="shared" ref="AU143:AU148" si="977">+I143*BV143</f>
        <v>0</v>
      </c>
      <c r="AV143" s="58">
        <f t="shared" ref="AV143:AV148" si="978">+AU143*3.3058</f>
        <v>0</v>
      </c>
      <c r="AW143" s="59">
        <f t="shared" ref="AW143:AW148" si="979">+I143*BW143</f>
        <v>0</v>
      </c>
      <c r="AX143" s="58">
        <f t="shared" ref="AX143:AX148" si="980">+AW143*3.3058</f>
        <v>0</v>
      </c>
      <c r="AY143" s="54">
        <f t="shared" ref="AY143:AY148" si="981">+I143*BX143</f>
        <v>0</v>
      </c>
      <c r="AZ143" s="58">
        <f t="shared" ref="AZ143:AZ148" si="982">+AY143*3.3058</f>
        <v>0</v>
      </c>
      <c r="BC143" s="54">
        <v>1</v>
      </c>
      <c r="BD143" s="54">
        <v>0.97</v>
      </c>
      <c r="BE143" s="54">
        <v>0.95</v>
      </c>
      <c r="BF143" s="54">
        <v>0.93</v>
      </c>
      <c r="BG143" s="54">
        <f t="shared" ref="BG143:BX148" si="983">+BF143-0.02</f>
        <v>0.91</v>
      </c>
      <c r="BH143" s="54">
        <f t="shared" si="983"/>
        <v>0.89</v>
      </c>
      <c r="BI143" s="54">
        <f t="shared" si="983"/>
        <v>0.87</v>
      </c>
      <c r="BJ143" s="54">
        <f t="shared" si="983"/>
        <v>0.85</v>
      </c>
      <c r="BK143" s="54">
        <f t="shared" si="983"/>
        <v>0.83</v>
      </c>
      <c r="BL143" s="54">
        <f t="shared" si="983"/>
        <v>0.80999999999999994</v>
      </c>
      <c r="BM143" s="54">
        <f t="shared" si="983"/>
        <v>0.78999999999999992</v>
      </c>
      <c r="BN143" s="54">
        <f t="shared" si="983"/>
        <v>0.76999999999999991</v>
      </c>
      <c r="BO143" s="54">
        <f t="shared" si="983"/>
        <v>0.74999999999999989</v>
      </c>
      <c r="BP143" s="54">
        <f t="shared" si="983"/>
        <v>0.72999999999999987</v>
      </c>
      <c r="BQ143" s="54">
        <f t="shared" si="983"/>
        <v>0.70999999999999985</v>
      </c>
      <c r="BR143" s="54">
        <f t="shared" si="983"/>
        <v>0.68999999999999984</v>
      </c>
      <c r="BS143" s="54">
        <f t="shared" si="983"/>
        <v>0.66999999999999982</v>
      </c>
      <c r="BT143" s="54">
        <f t="shared" si="983"/>
        <v>0.6499999999999998</v>
      </c>
      <c r="BU143" s="54">
        <f t="shared" si="983"/>
        <v>0.62999999999999978</v>
      </c>
      <c r="BV143" s="54">
        <f t="shared" si="983"/>
        <v>0.60999999999999976</v>
      </c>
      <c r="BW143" s="54">
        <f t="shared" si="983"/>
        <v>0.58999999999999975</v>
      </c>
      <c r="BX143" s="54">
        <f t="shared" si="983"/>
        <v>0.56999999999999973</v>
      </c>
      <c r="BZ143" s="54">
        <f t="shared" si="513"/>
        <v>0</v>
      </c>
      <c r="CA143" s="54">
        <f t="shared" si="514"/>
        <v>0</v>
      </c>
      <c r="CB143" s="58">
        <f t="shared" ref="CB143:CB148" si="984">+CA143*3.3058</f>
        <v>0</v>
      </c>
      <c r="CC143" s="54">
        <f t="shared" ref="CC143:CC148" si="985">+CA143*DV143</f>
        <v>0</v>
      </c>
      <c r="CD143" s="58">
        <f t="shared" ref="CD143:CD148" si="986">+CC143*3.3058</f>
        <v>0</v>
      </c>
      <c r="CE143" s="54">
        <f t="shared" ref="CE143:CE148" si="987">+CA143*DW143</f>
        <v>0</v>
      </c>
      <c r="CF143" s="58">
        <f t="shared" ref="CF143:CF148" si="988">+CE143*3.3058</f>
        <v>0</v>
      </c>
      <c r="CG143" s="54">
        <f t="shared" ref="CG143:CG148" si="989">+CA143*DX143</f>
        <v>0</v>
      </c>
      <c r="CH143" s="58">
        <f t="shared" ref="CH143:CH148" si="990">+CG143*3.3058</f>
        <v>0</v>
      </c>
      <c r="CI143" s="56">
        <f t="shared" ref="CI143:CI148" si="991">+CA143*DY143</f>
        <v>0</v>
      </c>
      <c r="CJ143" s="58">
        <f t="shared" ref="CJ143:CJ148" si="992">+CI143*3.3058</f>
        <v>0</v>
      </c>
      <c r="CK143" s="54">
        <f t="shared" ref="CK143:CK148" si="993">+CA143*DZ143</f>
        <v>0</v>
      </c>
      <c r="CL143" s="58">
        <f t="shared" ref="CL143:CL148" si="994">+CK143*3.3058</f>
        <v>0</v>
      </c>
      <c r="CM143" s="56">
        <f t="shared" ref="CM143:CM148" si="995">+CA143*EA143</f>
        <v>0</v>
      </c>
      <c r="CN143" s="58">
        <f t="shared" ref="CN143:CN148" si="996">+CM143*3.3058</f>
        <v>0</v>
      </c>
      <c r="CO143" s="59">
        <f t="shared" ref="CO143:CO148" si="997">+CA143*EB143</f>
        <v>0</v>
      </c>
      <c r="CP143" s="58">
        <f t="shared" ref="CP143:CP148" si="998">+CO143*3.3058</f>
        <v>0</v>
      </c>
      <c r="CQ143" s="56">
        <f t="shared" ref="CQ143:CQ148" si="999">+CA143*EC143</f>
        <v>0</v>
      </c>
      <c r="CR143" s="58">
        <f t="shared" ref="CR143:CR148" si="1000">+CQ143*3.3058</f>
        <v>0</v>
      </c>
      <c r="CS143" s="54">
        <f t="shared" ref="CS143:CS148" si="1001">+CA143*ED143</f>
        <v>0</v>
      </c>
      <c r="CT143" s="58">
        <f t="shared" ref="CT143:CT148" si="1002">+CS143*3.3058</f>
        <v>0</v>
      </c>
      <c r="CU143" s="59">
        <f t="shared" ref="CU143:CU148" si="1003">+CA143*EE143</f>
        <v>0</v>
      </c>
      <c r="CV143" s="58">
        <f t="shared" ref="CV143:CV148" si="1004">+CU143*3.3058</f>
        <v>0</v>
      </c>
      <c r="CW143" s="59">
        <f t="shared" ref="CW143:CW148" si="1005">+CA143*EF143</f>
        <v>0</v>
      </c>
      <c r="CX143" s="58">
        <f t="shared" ref="CX143:CX148" si="1006">+CW143*3.3058</f>
        <v>0</v>
      </c>
      <c r="CY143" s="59">
        <f t="shared" ref="CY143:CY148" si="1007">+CA143*EG143</f>
        <v>0</v>
      </c>
      <c r="CZ143" s="58">
        <f t="shared" ref="CZ143:CZ148" si="1008">+CY143*3.3058</f>
        <v>0</v>
      </c>
      <c r="DA143" s="54">
        <f t="shared" ref="DA143:DA148" si="1009">+CA143*EH143</f>
        <v>0</v>
      </c>
      <c r="DB143" s="58">
        <f t="shared" ref="DB143:DB148" si="1010">+DA143*3.3058</f>
        <v>0</v>
      </c>
      <c r="DC143" s="59">
        <f t="shared" ref="DC143:DC148" si="1011">+CA143*EI143</f>
        <v>0</v>
      </c>
      <c r="DD143" s="58">
        <f t="shared" ref="DD143:DD148" si="1012">+DC143*3.3058</f>
        <v>0</v>
      </c>
      <c r="DE143" s="59">
        <f t="shared" ref="DE143:DE148" si="1013">+CA143*EJ143</f>
        <v>0</v>
      </c>
      <c r="DF143" s="58">
        <f t="shared" ref="DF143:DF148" si="1014">+DE143*3.3058</f>
        <v>0</v>
      </c>
      <c r="DG143" s="59">
        <f t="shared" ref="DG143:DG148" si="1015">+CA143*EK143</f>
        <v>0</v>
      </c>
      <c r="DH143" s="58">
        <f t="shared" ref="DH143:DH148" si="1016">+DG143*3.3058</f>
        <v>0</v>
      </c>
      <c r="DI143" s="59">
        <f t="shared" ref="DI143:DI148" si="1017">+CA143*EL143</f>
        <v>0</v>
      </c>
      <c r="DJ143" s="58">
        <f t="shared" ref="DJ143:DJ148" si="1018">+DI143*3.3058</f>
        <v>0</v>
      </c>
      <c r="DK143" s="54">
        <f t="shared" ref="DK143:DK148" si="1019">+CA143*EM143</f>
        <v>0</v>
      </c>
      <c r="DL143" s="58">
        <f t="shared" ref="DL143:DL148" si="1020">+DK143*3.3058</f>
        <v>0</v>
      </c>
      <c r="DM143" s="59">
        <f t="shared" ref="DM143:DM148" si="1021">+CA143*EN143</f>
        <v>0</v>
      </c>
      <c r="DN143" s="58">
        <f t="shared" ref="DN143:DN148" si="1022">+DM143*3.3058</f>
        <v>0</v>
      </c>
      <c r="DO143" s="59">
        <f t="shared" ref="DO143:DO148" si="1023">+CA143*EO143</f>
        <v>0</v>
      </c>
      <c r="DP143" s="58">
        <f t="shared" ref="DP143:DP148" si="1024">+DO143*3.3058</f>
        <v>0</v>
      </c>
      <c r="DQ143" s="54">
        <f t="shared" ref="DQ143:DQ148" si="1025">+CA143*EP143</f>
        <v>0</v>
      </c>
      <c r="DR143" s="58">
        <f t="shared" ref="DR143:DR148" si="1026">+DQ143*3.3058</f>
        <v>0</v>
      </c>
      <c r="DU143" s="54">
        <v>1</v>
      </c>
      <c r="DV143" s="54">
        <v>0.97</v>
      </c>
      <c r="DW143" s="54">
        <v>0.95</v>
      </c>
      <c r="DX143" s="54">
        <v>0.93</v>
      </c>
      <c r="DY143" s="54">
        <f t="shared" si="935"/>
        <v>0.91</v>
      </c>
      <c r="DZ143" s="54">
        <f t="shared" si="935"/>
        <v>0.89</v>
      </c>
      <c r="EA143" s="54">
        <f t="shared" si="935"/>
        <v>0.87</v>
      </c>
      <c r="EB143" s="54">
        <f t="shared" si="935"/>
        <v>0.85</v>
      </c>
      <c r="EC143" s="54">
        <f t="shared" si="935"/>
        <v>0.83</v>
      </c>
      <c r="ED143" s="54">
        <f t="shared" si="935"/>
        <v>0.80999999999999994</v>
      </c>
      <c r="EE143" s="54">
        <f t="shared" si="935"/>
        <v>0.78999999999999992</v>
      </c>
      <c r="EF143" s="54">
        <f t="shared" si="935"/>
        <v>0.76999999999999991</v>
      </c>
      <c r="EG143" s="54">
        <f t="shared" si="935"/>
        <v>0.74999999999999989</v>
      </c>
      <c r="EH143" s="54">
        <f t="shared" si="935"/>
        <v>0.72999999999999987</v>
      </c>
      <c r="EI143" s="54">
        <f t="shared" si="935"/>
        <v>0.70999999999999985</v>
      </c>
      <c r="EJ143" s="54">
        <f t="shared" si="935"/>
        <v>0.68999999999999984</v>
      </c>
      <c r="EK143" s="54">
        <f t="shared" si="935"/>
        <v>0.66999999999999982</v>
      </c>
      <c r="EL143" s="54">
        <f t="shared" si="935"/>
        <v>0.6499999999999998</v>
      </c>
      <c r="EM143" s="54">
        <f t="shared" si="935"/>
        <v>0.62999999999999978</v>
      </c>
      <c r="EN143" s="54">
        <f t="shared" si="935"/>
        <v>0.60999999999999976</v>
      </c>
      <c r="EO143" s="54">
        <f t="shared" si="935"/>
        <v>0.58999999999999975</v>
      </c>
      <c r="EP143" s="54">
        <f t="shared" si="935"/>
        <v>0.56999999999999973</v>
      </c>
      <c r="ER143" s="54">
        <f t="shared" si="653"/>
        <v>0</v>
      </c>
      <c r="ES143" s="54">
        <f t="shared" si="515"/>
        <v>0</v>
      </c>
      <c r="ET143" s="58">
        <f t="shared" ref="ET143:ET148" si="1027">+ES143*3.3058</f>
        <v>0</v>
      </c>
      <c r="EU143" s="54">
        <f t="shared" ref="EU143:EU148" si="1028">+ES143*GN143</f>
        <v>0</v>
      </c>
      <c r="EV143" s="58">
        <f t="shared" ref="EV143:EV148" si="1029">+EU143*3.3058</f>
        <v>0</v>
      </c>
      <c r="EW143" s="54">
        <f t="shared" ref="EW143:EW148" si="1030">+ES143*GO143</f>
        <v>0</v>
      </c>
      <c r="EX143" s="58">
        <f t="shared" ref="EX143:EX148" si="1031">+EW143*3.3058</f>
        <v>0</v>
      </c>
      <c r="EY143" s="54">
        <f t="shared" ref="EY143:EY148" si="1032">+ES143*GP143</f>
        <v>0</v>
      </c>
      <c r="EZ143" s="58">
        <f t="shared" ref="EZ143:EZ148" si="1033">+EY143*3.3058</f>
        <v>0</v>
      </c>
      <c r="FA143" s="56">
        <f t="shared" ref="FA143:FA148" si="1034">+ES143*GQ143</f>
        <v>0</v>
      </c>
      <c r="FB143" s="58">
        <f t="shared" ref="FB143:FB148" si="1035">+FA143*3.3058</f>
        <v>0</v>
      </c>
      <c r="FC143" s="54">
        <f t="shared" ref="FC143:FC148" si="1036">+ES143*GR143</f>
        <v>0</v>
      </c>
      <c r="FD143" s="58">
        <f t="shared" ref="FD143:FD148" si="1037">+FC143*3.3058</f>
        <v>0</v>
      </c>
      <c r="FE143" s="56">
        <f t="shared" ref="FE143:FE148" si="1038">+ES143*GS143</f>
        <v>0</v>
      </c>
      <c r="FF143" s="58">
        <f t="shared" ref="FF143:FF148" si="1039">+FE143*3.3058</f>
        <v>0</v>
      </c>
      <c r="FG143" s="59">
        <f t="shared" ref="FG143:FG148" si="1040">+ES143*GT143</f>
        <v>0</v>
      </c>
      <c r="FH143" s="58">
        <f t="shared" ref="FH143:FH148" si="1041">+FG143*3.3058</f>
        <v>0</v>
      </c>
      <c r="FI143" s="56">
        <f t="shared" ref="FI143:FI148" si="1042">+ES143*GU143</f>
        <v>0</v>
      </c>
      <c r="FJ143" s="58">
        <f t="shared" ref="FJ143:FJ148" si="1043">+FI143*3.3058</f>
        <v>0</v>
      </c>
      <c r="FK143" s="54">
        <f t="shared" ref="FK143:FK148" si="1044">+ES143*GV143</f>
        <v>0</v>
      </c>
      <c r="FL143" s="58">
        <f t="shared" ref="FL143:FL148" si="1045">+FK143*3.3058</f>
        <v>0</v>
      </c>
      <c r="FM143" s="59">
        <f t="shared" ref="FM143:FM148" si="1046">+ES143*GW143</f>
        <v>0</v>
      </c>
      <c r="FN143" s="58">
        <f t="shared" ref="FN143:FN148" si="1047">+FM143*3.3058</f>
        <v>0</v>
      </c>
      <c r="FO143" s="59">
        <f t="shared" ref="FO143:FO148" si="1048">+ES143*GX143</f>
        <v>0</v>
      </c>
      <c r="FP143" s="58">
        <f t="shared" ref="FP143:FP148" si="1049">+FO143*3.3058</f>
        <v>0</v>
      </c>
      <c r="FQ143" s="59">
        <f t="shared" ref="FQ143:FQ148" si="1050">+ES143*GY143</f>
        <v>0</v>
      </c>
      <c r="FR143" s="58">
        <f t="shared" ref="FR143:FR148" si="1051">+FQ143*3.3058</f>
        <v>0</v>
      </c>
      <c r="FS143" s="54">
        <f t="shared" ref="FS143:FS148" si="1052">+ES143*GZ143</f>
        <v>0</v>
      </c>
      <c r="FT143" s="58">
        <f t="shared" ref="FT143:FT148" si="1053">+FS143*3.3058</f>
        <v>0</v>
      </c>
      <c r="FU143" s="59">
        <f t="shared" ref="FU143:FU148" si="1054">+ES143*HA143</f>
        <v>0</v>
      </c>
      <c r="FV143" s="58">
        <f t="shared" ref="FV143:FV148" si="1055">+FU143*3.3058</f>
        <v>0</v>
      </c>
      <c r="FW143" s="59">
        <f t="shared" ref="FW143:FW148" si="1056">+ES143*HB143</f>
        <v>0</v>
      </c>
      <c r="FX143" s="58">
        <f t="shared" ref="FX143:FX148" si="1057">+FW143*3.3058</f>
        <v>0</v>
      </c>
      <c r="FY143" s="59">
        <f t="shared" ref="FY143:FY148" si="1058">+ES143*HC143</f>
        <v>0</v>
      </c>
      <c r="FZ143" s="58">
        <f t="shared" ref="FZ143:FZ148" si="1059">+FY143*3.3058</f>
        <v>0</v>
      </c>
      <c r="GA143" s="59">
        <f t="shared" ref="GA143:GA148" si="1060">+ES143*HD143</f>
        <v>0</v>
      </c>
      <c r="GB143" s="58">
        <f t="shared" ref="GB143:GB148" si="1061">+GA143*3.3058</f>
        <v>0</v>
      </c>
      <c r="GC143" s="54">
        <f t="shared" ref="GC143:GC148" si="1062">+ES143*HE143</f>
        <v>0</v>
      </c>
      <c r="GD143" s="58">
        <f t="shared" ref="GD143:GD148" si="1063">+GC143*3.3058</f>
        <v>0</v>
      </c>
      <c r="GE143" s="59">
        <f t="shared" ref="GE143:GE148" si="1064">+ES143*HF143</f>
        <v>0</v>
      </c>
      <c r="GF143" s="58">
        <f t="shared" ref="GF143:GF148" si="1065">+GE143*3.3058</f>
        <v>0</v>
      </c>
      <c r="GG143" s="59">
        <f t="shared" ref="GG143:GG148" si="1066">+ES143*HG143</f>
        <v>0</v>
      </c>
      <c r="GH143" s="58">
        <f t="shared" ref="GH143:GH148" si="1067">+GG143*3.3058</f>
        <v>0</v>
      </c>
      <c r="GI143" s="54">
        <f t="shared" ref="GI143:GI148" si="1068">+ES143*HH143</f>
        <v>0</v>
      </c>
      <c r="GJ143" s="58">
        <f t="shared" ref="GJ143:GJ148" si="1069">+GI143*3.3058</f>
        <v>0</v>
      </c>
      <c r="GK143" s="54"/>
      <c r="GL143" s="54"/>
      <c r="GM143" s="54">
        <v>1</v>
      </c>
      <c r="GN143" s="54">
        <v>0.97</v>
      </c>
      <c r="GO143" s="54">
        <v>0.95</v>
      </c>
      <c r="GP143" s="54">
        <v>0.93</v>
      </c>
      <c r="GQ143" s="54">
        <f t="shared" si="936"/>
        <v>0.91</v>
      </c>
      <c r="GR143" s="54">
        <f t="shared" si="936"/>
        <v>0.89</v>
      </c>
      <c r="GS143" s="54">
        <f t="shared" si="936"/>
        <v>0.87</v>
      </c>
      <c r="GT143" s="54">
        <f t="shared" si="936"/>
        <v>0.85</v>
      </c>
      <c r="GU143" s="54">
        <f t="shared" si="936"/>
        <v>0.83</v>
      </c>
      <c r="GV143" s="54">
        <f t="shared" si="936"/>
        <v>0.80999999999999994</v>
      </c>
      <c r="GW143" s="54">
        <f t="shared" si="936"/>
        <v>0.78999999999999992</v>
      </c>
      <c r="GX143" s="54">
        <f t="shared" si="936"/>
        <v>0.76999999999999991</v>
      </c>
      <c r="GY143" s="54">
        <f t="shared" si="936"/>
        <v>0.74999999999999989</v>
      </c>
      <c r="GZ143" s="54">
        <f t="shared" si="936"/>
        <v>0.72999999999999987</v>
      </c>
      <c r="HA143" s="54">
        <f t="shared" si="936"/>
        <v>0.70999999999999985</v>
      </c>
      <c r="HB143" s="54">
        <f t="shared" si="936"/>
        <v>0.68999999999999984</v>
      </c>
      <c r="HC143" s="54">
        <f t="shared" si="936"/>
        <v>0.66999999999999982</v>
      </c>
      <c r="HD143" s="54">
        <f t="shared" si="936"/>
        <v>0.6499999999999998</v>
      </c>
      <c r="HE143" s="54">
        <f t="shared" si="936"/>
        <v>0.62999999999999978</v>
      </c>
      <c r="HF143" s="54">
        <f t="shared" si="936"/>
        <v>0.60999999999999976</v>
      </c>
      <c r="HG143" s="54">
        <f t="shared" si="936"/>
        <v>0.58999999999999975</v>
      </c>
      <c r="HH143" s="54">
        <f t="shared" si="936"/>
        <v>0.56999999999999973</v>
      </c>
    </row>
    <row r="144" spans="1:216" x14ac:dyDescent="0.3">
      <c r="A144" s="2">
        <v>2</v>
      </c>
      <c r="C144" s="38" t="s">
        <v>49</v>
      </c>
      <c r="D144" s="42">
        <v>14180</v>
      </c>
      <c r="E144" s="72">
        <f>TRUNC(+D144*3.3058,-1)</f>
        <v>46870</v>
      </c>
      <c r="H144" s="54">
        <f t="shared" si="510"/>
        <v>51557.000000000007</v>
      </c>
      <c r="I144" s="54">
        <f t="shared" si="511"/>
        <v>51557.000000000007</v>
      </c>
      <c r="J144" s="58">
        <f t="shared" si="512"/>
        <v>170437.13060000003</v>
      </c>
      <c r="K144" s="54">
        <f t="shared" si="941"/>
        <v>50010.290000000008</v>
      </c>
      <c r="L144" s="58">
        <f t="shared" si="942"/>
        <v>165324.01668200004</v>
      </c>
      <c r="M144" s="54">
        <f t="shared" si="943"/>
        <v>48979.15</v>
      </c>
      <c r="N144" s="58">
        <f t="shared" si="944"/>
        <v>161915.27407000001</v>
      </c>
      <c r="O144" s="54">
        <f t="shared" si="945"/>
        <v>47948.010000000009</v>
      </c>
      <c r="P144" s="58">
        <f t="shared" si="946"/>
        <v>158506.53145800004</v>
      </c>
      <c r="Q144" s="56">
        <f t="shared" si="947"/>
        <v>46916.87000000001</v>
      </c>
      <c r="R144" s="58">
        <f t="shared" si="948"/>
        <v>155097.78884600004</v>
      </c>
      <c r="S144" s="54">
        <f t="shared" si="949"/>
        <v>45885.73000000001</v>
      </c>
      <c r="T144" s="58">
        <f t="shared" si="950"/>
        <v>151689.04623400004</v>
      </c>
      <c r="U144" s="56">
        <f t="shared" si="951"/>
        <v>44854.590000000004</v>
      </c>
      <c r="V144" s="58">
        <f t="shared" si="952"/>
        <v>148280.30362200001</v>
      </c>
      <c r="W144" s="59">
        <f t="shared" si="953"/>
        <v>43823.450000000004</v>
      </c>
      <c r="X144" s="58">
        <f t="shared" si="954"/>
        <v>144871.56101</v>
      </c>
      <c r="Y144" s="56">
        <f t="shared" si="955"/>
        <v>42792.310000000005</v>
      </c>
      <c r="Z144" s="58">
        <f t="shared" si="956"/>
        <v>141462.81839800003</v>
      </c>
      <c r="AA144" s="54">
        <f t="shared" si="957"/>
        <v>41761.170000000006</v>
      </c>
      <c r="AB144" s="58">
        <f t="shared" si="958"/>
        <v>138054.07578600003</v>
      </c>
      <c r="AC144" s="59">
        <f t="shared" si="959"/>
        <v>40730.03</v>
      </c>
      <c r="AD144" s="58">
        <f t="shared" si="960"/>
        <v>134645.333174</v>
      </c>
      <c r="AE144" s="59">
        <f t="shared" si="961"/>
        <v>39698.89</v>
      </c>
      <c r="AF144" s="58">
        <f t="shared" si="962"/>
        <v>131236.590562</v>
      </c>
      <c r="AG144" s="59">
        <f t="shared" si="963"/>
        <v>38667.75</v>
      </c>
      <c r="AH144" s="58">
        <f t="shared" si="964"/>
        <v>127827.84795</v>
      </c>
      <c r="AI144" s="54">
        <f t="shared" si="965"/>
        <v>37636.61</v>
      </c>
      <c r="AJ144" s="58">
        <f t="shared" si="966"/>
        <v>124419.10533800001</v>
      </c>
      <c r="AK144" s="59">
        <f t="shared" si="967"/>
        <v>36605.47</v>
      </c>
      <c r="AL144" s="58">
        <f t="shared" si="968"/>
        <v>121010.36272600001</v>
      </c>
      <c r="AM144" s="59">
        <f t="shared" si="969"/>
        <v>35574.329999999994</v>
      </c>
      <c r="AN144" s="58">
        <f t="shared" si="970"/>
        <v>117601.62011399999</v>
      </c>
      <c r="AO144" s="59">
        <f t="shared" si="971"/>
        <v>34543.189999999995</v>
      </c>
      <c r="AP144" s="58">
        <f t="shared" si="972"/>
        <v>114192.87750199999</v>
      </c>
      <c r="AQ144" s="59">
        <f t="shared" si="973"/>
        <v>33512.049999999996</v>
      </c>
      <c r="AR144" s="58">
        <f t="shared" si="974"/>
        <v>110784.13488999999</v>
      </c>
      <c r="AS144" s="54">
        <f t="shared" si="975"/>
        <v>32480.909999999993</v>
      </c>
      <c r="AT144" s="58">
        <f t="shared" si="976"/>
        <v>107375.39227799998</v>
      </c>
      <c r="AU144" s="59">
        <f t="shared" si="977"/>
        <v>31449.769999999993</v>
      </c>
      <c r="AV144" s="58">
        <f t="shared" si="978"/>
        <v>103966.64966599998</v>
      </c>
      <c r="AW144" s="59">
        <f t="shared" si="979"/>
        <v>30418.62999999999</v>
      </c>
      <c r="AX144" s="58">
        <f t="shared" si="980"/>
        <v>100557.90705399997</v>
      </c>
      <c r="AY144" s="54">
        <f t="shared" si="981"/>
        <v>29387.489999999991</v>
      </c>
      <c r="AZ144" s="58">
        <f t="shared" si="982"/>
        <v>97149.164441999965</v>
      </c>
      <c r="BC144" s="54">
        <v>1</v>
      </c>
      <c r="BD144" s="54">
        <v>0.97</v>
      </c>
      <c r="BE144" s="54">
        <v>0.95</v>
      </c>
      <c r="BF144" s="54">
        <v>0.93</v>
      </c>
      <c r="BG144" s="54">
        <f t="shared" si="983"/>
        <v>0.91</v>
      </c>
      <c r="BH144" s="54">
        <f t="shared" si="983"/>
        <v>0.89</v>
      </c>
      <c r="BI144" s="54">
        <f t="shared" si="983"/>
        <v>0.87</v>
      </c>
      <c r="BJ144" s="54">
        <f t="shared" si="983"/>
        <v>0.85</v>
      </c>
      <c r="BK144" s="54">
        <f t="shared" si="983"/>
        <v>0.83</v>
      </c>
      <c r="BL144" s="54">
        <f t="shared" si="983"/>
        <v>0.80999999999999994</v>
      </c>
      <c r="BM144" s="54">
        <f t="shared" si="983"/>
        <v>0.78999999999999992</v>
      </c>
      <c r="BN144" s="54">
        <f t="shared" si="983"/>
        <v>0.76999999999999991</v>
      </c>
      <c r="BO144" s="54">
        <f t="shared" si="983"/>
        <v>0.74999999999999989</v>
      </c>
      <c r="BP144" s="54">
        <f t="shared" si="983"/>
        <v>0.72999999999999987</v>
      </c>
      <c r="BQ144" s="54">
        <f t="shared" si="983"/>
        <v>0.70999999999999985</v>
      </c>
      <c r="BR144" s="54">
        <f t="shared" si="983"/>
        <v>0.68999999999999984</v>
      </c>
      <c r="BS144" s="54">
        <f t="shared" si="983"/>
        <v>0.66999999999999982</v>
      </c>
      <c r="BT144" s="54">
        <f t="shared" si="983"/>
        <v>0.6499999999999998</v>
      </c>
      <c r="BU144" s="54">
        <f t="shared" si="983"/>
        <v>0.62999999999999978</v>
      </c>
      <c r="BV144" s="54">
        <f t="shared" si="983"/>
        <v>0.60999999999999976</v>
      </c>
      <c r="BW144" s="54">
        <f t="shared" si="983"/>
        <v>0.58999999999999975</v>
      </c>
      <c r="BX144" s="54">
        <f t="shared" si="983"/>
        <v>0.56999999999999973</v>
      </c>
      <c r="BZ144" s="54">
        <f t="shared" si="513"/>
        <v>46916.87000000001</v>
      </c>
      <c r="CA144" s="54">
        <f t="shared" si="514"/>
        <v>46916.87000000001</v>
      </c>
      <c r="CB144" s="58">
        <f t="shared" si="984"/>
        <v>155097.78884600004</v>
      </c>
      <c r="CC144" s="54">
        <f t="shared" si="985"/>
        <v>45509.363900000011</v>
      </c>
      <c r="CD144" s="58">
        <f t="shared" si="986"/>
        <v>150444.85518062004</v>
      </c>
      <c r="CE144" s="54">
        <f t="shared" si="987"/>
        <v>44571.026500000007</v>
      </c>
      <c r="CF144" s="58">
        <f t="shared" si="988"/>
        <v>147342.89940370002</v>
      </c>
      <c r="CG144" s="54">
        <f t="shared" si="989"/>
        <v>43632.689100000011</v>
      </c>
      <c r="CH144" s="58">
        <f t="shared" si="990"/>
        <v>144240.94362678003</v>
      </c>
      <c r="CI144" s="56">
        <f t="shared" si="991"/>
        <v>42694.351700000014</v>
      </c>
      <c r="CJ144" s="58">
        <f t="shared" si="992"/>
        <v>141138.98784986004</v>
      </c>
      <c r="CK144" s="54">
        <f t="shared" si="993"/>
        <v>41756.01430000001</v>
      </c>
      <c r="CL144" s="58">
        <f t="shared" si="994"/>
        <v>138037.03207294003</v>
      </c>
      <c r="CM144" s="56">
        <f t="shared" si="995"/>
        <v>40817.676900000006</v>
      </c>
      <c r="CN144" s="58">
        <f t="shared" si="996"/>
        <v>134935.07629602001</v>
      </c>
      <c r="CO144" s="59">
        <f t="shared" si="997"/>
        <v>39879.339500000009</v>
      </c>
      <c r="CP144" s="58">
        <f t="shared" si="998"/>
        <v>131833.12051910002</v>
      </c>
      <c r="CQ144" s="56">
        <f t="shared" si="999"/>
        <v>38941.002100000005</v>
      </c>
      <c r="CR144" s="58">
        <f t="shared" si="1000"/>
        <v>128731.16474218002</v>
      </c>
      <c r="CS144" s="54">
        <f t="shared" si="1001"/>
        <v>38002.664700000008</v>
      </c>
      <c r="CT144" s="58">
        <f t="shared" si="1002"/>
        <v>125629.20896526003</v>
      </c>
      <c r="CU144" s="59">
        <f t="shared" si="1003"/>
        <v>37064.327300000004</v>
      </c>
      <c r="CV144" s="58">
        <f t="shared" si="1004"/>
        <v>122527.25318834002</v>
      </c>
      <c r="CW144" s="59">
        <f t="shared" si="1005"/>
        <v>36125.9899</v>
      </c>
      <c r="CX144" s="58">
        <f t="shared" si="1006"/>
        <v>119425.29741142</v>
      </c>
      <c r="CY144" s="59">
        <f t="shared" si="1007"/>
        <v>35187.652500000004</v>
      </c>
      <c r="CZ144" s="58">
        <f t="shared" si="1008"/>
        <v>116323.34163450002</v>
      </c>
      <c r="DA144" s="54">
        <f t="shared" si="1009"/>
        <v>34249.3151</v>
      </c>
      <c r="DB144" s="58">
        <f t="shared" si="1010"/>
        <v>113221.38585758</v>
      </c>
      <c r="DC144" s="59">
        <f t="shared" si="1011"/>
        <v>33310.977700000003</v>
      </c>
      <c r="DD144" s="58">
        <f t="shared" si="1012"/>
        <v>110119.43008066001</v>
      </c>
      <c r="DE144" s="59">
        <f t="shared" si="1013"/>
        <v>32372.640299999999</v>
      </c>
      <c r="DF144" s="58">
        <f t="shared" si="1014"/>
        <v>107017.47430374</v>
      </c>
      <c r="DG144" s="59">
        <f t="shared" si="1015"/>
        <v>31434.302899999999</v>
      </c>
      <c r="DH144" s="58">
        <f t="shared" si="1016"/>
        <v>103915.51852682</v>
      </c>
      <c r="DI144" s="59">
        <f t="shared" si="1017"/>
        <v>30495.965499999998</v>
      </c>
      <c r="DJ144" s="58">
        <f t="shared" si="1018"/>
        <v>100813.5627499</v>
      </c>
      <c r="DK144" s="54">
        <f t="shared" si="1019"/>
        <v>29557.628099999994</v>
      </c>
      <c r="DL144" s="58">
        <f t="shared" si="1020"/>
        <v>97711.606972979978</v>
      </c>
      <c r="DM144" s="59">
        <f t="shared" si="1021"/>
        <v>28619.290699999994</v>
      </c>
      <c r="DN144" s="58">
        <f t="shared" si="1022"/>
        <v>94609.651196059989</v>
      </c>
      <c r="DO144" s="59">
        <f t="shared" si="1023"/>
        <v>27680.953299999994</v>
      </c>
      <c r="DP144" s="58">
        <f t="shared" si="1024"/>
        <v>91507.695419139985</v>
      </c>
      <c r="DQ144" s="54">
        <f t="shared" si="1025"/>
        <v>26742.615899999993</v>
      </c>
      <c r="DR144" s="58">
        <f t="shared" si="1026"/>
        <v>88405.739642219982</v>
      </c>
      <c r="DU144" s="54">
        <v>1</v>
      </c>
      <c r="DV144" s="54">
        <v>0.97</v>
      </c>
      <c r="DW144" s="54">
        <v>0.95</v>
      </c>
      <c r="DX144" s="54">
        <v>0.93</v>
      </c>
      <c r="DY144" s="54">
        <f t="shared" si="935"/>
        <v>0.91</v>
      </c>
      <c r="DZ144" s="54">
        <f t="shared" si="935"/>
        <v>0.89</v>
      </c>
      <c r="EA144" s="54">
        <f t="shared" si="935"/>
        <v>0.87</v>
      </c>
      <c r="EB144" s="54">
        <f t="shared" si="935"/>
        <v>0.85</v>
      </c>
      <c r="EC144" s="54">
        <f t="shared" si="935"/>
        <v>0.83</v>
      </c>
      <c r="ED144" s="54">
        <f t="shared" si="935"/>
        <v>0.80999999999999994</v>
      </c>
      <c r="EE144" s="54">
        <f t="shared" si="935"/>
        <v>0.78999999999999992</v>
      </c>
      <c r="EF144" s="54">
        <f t="shared" si="935"/>
        <v>0.76999999999999991</v>
      </c>
      <c r="EG144" s="54">
        <f t="shared" si="935"/>
        <v>0.74999999999999989</v>
      </c>
      <c r="EH144" s="54">
        <f t="shared" si="935"/>
        <v>0.72999999999999987</v>
      </c>
      <c r="EI144" s="54">
        <f t="shared" si="935"/>
        <v>0.70999999999999985</v>
      </c>
      <c r="EJ144" s="54">
        <f t="shared" si="935"/>
        <v>0.68999999999999984</v>
      </c>
      <c r="EK144" s="54">
        <f t="shared" si="935"/>
        <v>0.66999999999999982</v>
      </c>
      <c r="EL144" s="54">
        <f t="shared" si="935"/>
        <v>0.6499999999999998</v>
      </c>
      <c r="EM144" s="54">
        <f t="shared" si="935"/>
        <v>0.62999999999999978</v>
      </c>
      <c r="EN144" s="54">
        <f t="shared" si="935"/>
        <v>0.60999999999999976</v>
      </c>
      <c r="EO144" s="54">
        <f t="shared" si="935"/>
        <v>0.58999999999999975</v>
      </c>
      <c r="EP144" s="54">
        <f t="shared" si="935"/>
        <v>0.56999999999999973</v>
      </c>
      <c r="ER144" s="54">
        <f t="shared" si="653"/>
        <v>42694.351700000014</v>
      </c>
      <c r="ES144" s="54">
        <f t="shared" si="515"/>
        <v>42694.351700000014</v>
      </c>
      <c r="ET144" s="58">
        <f t="shared" si="1027"/>
        <v>141138.98784986004</v>
      </c>
      <c r="EU144" s="54">
        <f t="shared" si="1028"/>
        <v>41413.521149000015</v>
      </c>
      <c r="EV144" s="58">
        <f t="shared" si="1029"/>
        <v>136904.81821436426</v>
      </c>
      <c r="EW144" s="54">
        <f t="shared" si="1030"/>
        <v>40559.634115000008</v>
      </c>
      <c r="EX144" s="58">
        <f t="shared" si="1031"/>
        <v>134082.03845736702</v>
      </c>
      <c r="EY144" s="54">
        <f t="shared" si="1032"/>
        <v>39705.747081000016</v>
      </c>
      <c r="EZ144" s="58">
        <f t="shared" si="1033"/>
        <v>131259.25870036986</v>
      </c>
      <c r="FA144" s="56">
        <f t="shared" si="1034"/>
        <v>38851.860047000016</v>
      </c>
      <c r="FB144" s="58">
        <f t="shared" si="1035"/>
        <v>128436.47894337265</v>
      </c>
      <c r="FC144" s="54">
        <f t="shared" si="1036"/>
        <v>37997.97301300001</v>
      </c>
      <c r="FD144" s="58">
        <f t="shared" si="1037"/>
        <v>125613.69918637544</v>
      </c>
      <c r="FE144" s="56">
        <f t="shared" si="1038"/>
        <v>37144.08597900001</v>
      </c>
      <c r="FF144" s="58">
        <f t="shared" si="1039"/>
        <v>122790.91942937823</v>
      </c>
      <c r="FG144" s="59">
        <f t="shared" si="1040"/>
        <v>36290.198945000011</v>
      </c>
      <c r="FH144" s="58">
        <f t="shared" si="1041"/>
        <v>119968.13967238103</v>
      </c>
      <c r="FI144" s="56">
        <f t="shared" si="1042"/>
        <v>35436.311911000012</v>
      </c>
      <c r="FJ144" s="58">
        <f t="shared" si="1043"/>
        <v>117145.35991538384</v>
      </c>
      <c r="FK144" s="54">
        <f t="shared" si="1044"/>
        <v>34582.424877000012</v>
      </c>
      <c r="FL144" s="58">
        <f t="shared" si="1045"/>
        <v>114322.58015838664</v>
      </c>
      <c r="FM144" s="59">
        <f t="shared" si="1046"/>
        <v>33728.537843000006</v>
      </c>
      <c r="FN144" s="58">
        <f t="shared" si="1047"/>
        <v>111499.80040138942</v>
      </c>
      <c r="FO144" s="59">
        <f t="shared" si="1048"/>
        <v>32874.650809000006</v>
      </c>
      <c r="FP144" s="58">
        <f t="shared" si="1049"/>
        <v>108677.02064439222</v>
      </c>
      <c r="FQ144" s="59">
        <f t="shared" si="1050"/>
        <v>32020.763775000007</v>
      </c>
      <c r="FR144" s="58">
        <f t="shared" si="1051"/>
        <v>105854.24088739502</v>
      </c>
      <c r="FS144" s="54">
        <f t="shared" si="1052"/>
        <v>31166.876741000004</v>
      </c>
      <c r="FT144" s="58">
        <f t="shared" si="1053"/>
        <v>103031.46113039782</v>
      </c>
      <c r="FU144" s="59">
        <f t="shared" si="1054"/>
        <v>30312.989707000004</v>
      </c>
      <c r="FV144" s="58">
        <f t="shared" si="1055"/>
        <v>100208.68137340061</v>
      </c>
      <c r="FW144" s="59">
        <f t="shared" si="1056"/>
        <v>29459.102673000001</v>
      </c>
      <c r="FX144" s="58">
        <f t="shared" si="1057"/>
        <v>97385.901616403411</v>
      </c>
      <c r="FY144" s="59">
        <f t="shared" si="1058"/>
        <v>28605.215639000002</v>
      </c>
      <c r="FZ144" s="58">
        <f t="shared" si="1059"/>
        <v>94563.121859406208</v>
      </c>
      <c r="GA144" s="59">
        <f t="shared" si="1060"/>
        <v>27751.328604999999</v>
      </c>
      <c r="GB144" s="58">
        <f t="shared" si="1061"/>
        <v>91740.342102408991</v>
      </c>
      <c r="GC144" s="54">
        <f t="shared" si="1062"/>
        <v>26897.441570999999</v>
      </c>
      <c r="GD144" s="58">
        <f t="shared" si="1063"/>
        <v>88917.562345411803</v>
      </c>
      <c r="GE144" s="59">
        <f t="shared" si="1064"/>
        <v>26043.554537</v>
      </c>
      <c r="GF144" s="58">
        <f t="shared" si="1065"/>
        <v>86094.7825884146</v>
      </c>
      <c r="GG144" s="59">
        <f t="shared" si="1066"/>
        <v>25189.667502999997</v>
      </c>
      <c r="GH144" s="58">
        <f t="shared" si="1067"/>
        <v>83272.002831417398</v>
      </c>
      <c r="GI144" s="54">
        <f t="shared" si="1068"/>
        <v>24335.780468999998</v>
      </c>
      <c r="GJ144" s="58">
        <f t="shared" si="1069"/>
        <v>80449.223074420195</v>
      </c>
      <c r="GK144" s="54"/>
      <c r="GL144" s="54"/>
      <c r="GM144" s="54">
        <v>1</v>
      </c>
      <c r="GN144" s="54">
        <v>0.97</v>
      </c>
      <c r="GO144" s="54">
        <v>0.95</v>
      </c>
      <c r="GP144" s="54">
        <v>0.93</v>
      </c>
      <c r="GQ144" s="54">
        <f t="shared" si="936"/>
        <v>0.91</v>
      </c>
      <c r="GR144" s="54">
        <f t="shared" si="936"/>
        <v>0.89</v>
      </c>
      <c r="GS144" s="54">
        <f t="shared" si="936"/>
        <v>0.87</v>
      </c>
      <c r="GT144" s="54">
        <f t="shared" si="936"/>
        <v>0.85</v>
      </c>
      <c r="GU144" s="54">
        <f t="shared" si="936"/>
        <v>0.83</v>
      </c>
      <c r="GV144" s="54">
        <f t="shared" si="936"/>
        <v>0.80999999999999994</v>
      </c>
      <c r="GW144" s="54">
        <f t="shared" si="936"/>
        <v>0.78999999999999992</v>
      </c>
      <c r="GX144" s="54">
        <f t="shared" si="936"/>
        <v>0.76999999999999991</v>
      </c>
      <c r="GY144" s="54">
        <f t="shared" si="936"/>
        <v>0.74999999999999989</v>
      </c>
      <c r="GZ144" s="54">
        <f t="shared" si="936"/>
        <v>0.72999999999999987</v>
      </c>
      <c r="HA144" s="54">
        <f t="shared" si="936"/>
        <v>0.70999999999999985</v>
      </c>
      <c r="HB144" s="54">
        <f t="shared" si="936"/>
        <v>0.68999999999999984</v>
      </c>
      <c r="HC144" s="54">
        <f t="shared" si="936"/>
        <v>0.66999999999999982</v>
      </c>
      <c r="HD144" s="54">
        <f t="shared" si="936"/>
        <v>0.6499999999999998</v>
      </c>
      <c r="HE144" s="54">
        <f t="shared" si="936"/>
        <v>0.62999999999999978</v>
      </c>
      <c r="HF144" s="54">
        <f t="shared" si="936"/>
        <v>0.60999999999999976</v>
      </c>
      <c r="HG144" s="54">
        <f t="shared" si="936"/>
        <v>0.58999999999999975</v>
      </c>
      <c r="HH144" s="54">
        <f t="shared" si="936"/>
        <v>0.56999999999999973</v>
      </c>
    </row>
    <row r="145" spans="1:216" x14ac:dyDescent="0.3">
      <c r="A145" s="2">
        <v>3</v>
      </c>
      <c r="C145" s="38" t="s">
        <v>50</v>
      </c>
      <c r="D145" s="42">
        <v>720</v>
      </c>
      <c r="E145" s="72">
        <f>TRUNC(+D145*3.3058,-1)</f>
        <v>2380</v>
      </c>
      <c r="H145" s="54">
        <f t="shared" si="510"/>
        <v>2618</v>
      </c>
      <c r="I145" s="54">
        <f t="shared" si="511"/>
        <v>2618</v>
      </c>
      <c r="J145" s="58">
        <f t="shared" si="512"/>
        <v>8654.5843999999997</v>
      </c>
      <c r="K145" s="54">
        <f t="shared" si="941"/>
        <v>2539.46</v>
      </c>
      <c r="L145" s="58">
        <f t="shared" si="942"/>
        <v>8394.9468680000009</v>
      </c>
      <c r="M145" s="54">
        <f t="shared" si="943"/>
        <v>2487.1</v>
      </c>
      <c r="N145" s="58">
        <f t="shared" si="944"/>
        <v>8221.8551800000005</v>
      </c>
      <c r="O145" s="54">
        <f t="shared" si="945"/>
        <v>2434.7400000000002</v>
      </c>
      <c r="P145" s="58">
        <f t="shared" si="946"/>
        <v>8048.763492000001</v>
      </c>
      <c r="Q145" s="56">
        <f t="shared" si="947"/>
        <v>2382.38</v>
      </c>
      <c r="R145" s="58">
        <f t="shared" si="948"/>
        <v>7875.6718040000005</v>
      </c>
      <c r="S145" s="54">
        <f t="shared" si="949"/>
        <v>2330.02</v>
      </c>
      <c r="T145" s="58">
        <f t="shared" si="950"/>
        <v>7702.5801160000001</v>
      </c>
      <c r="U145" s="56">
        <f t="shared" si="951"/>
        <v>2277.66</v>
      </c>
      <c r="V145" s="58">
        <f t="shared" si="952"/>
        <v>7529.4884279999997</v>
      </c>
      <c r="W145" s="59">
        <f t="shared" si="953"/>
        <v>2225.2999999999997</v>
      </c>
      <c r="X145" s="58">
        <f t="shared" si="954"/>
        <v>7356.3967399999992</v>
      </c>
      <c r="Y145" s="56">
        <f t="shared" si="955"/>
        <v>2172.94</v>
      </c>
      <c r="Z145" s="58">
        <f t="shared" si="956"/>
        <v>7183.3050520000006</v>
      </c>
      <c r="AA145" s="54">
        <f t="shared" si="957"/>
        <v>2120.58</v>
      </c>
      <c r="AB145" s="58">
        <f t="shared" si="958"/>
        <v>7010.2133640000002</v>
      </c>
      <c r="AC145" s="59">
        <f t="shared" si="959"/>
        <v>2068.2199999999998</v>
      </c>
      <c r="AD145" s="58">
        <f t="shared" si="960"/>
        <v>6837.1216759999998</v>
      </c>
      <c r="AE145" s="59">
        <f t="shared" si="961"/>
        <v>2015.8599999999997</v>
      </c>
      <c r="AF145" s="58">
        <f t="shared" si="962"/>
        <v>6664.0299879999993</v>
      </c>
      <c r="AG145" s="59">
        <f t="shared" si="963"/>
        <v>1963.4999999999998</v>
      </c>
      <c r="AH145" s="58">
        <f t="shared" si="964"/>
        <v>6490.9382999999998</v>
      </c>
      <c r="AI145" s="54">
        <f t="shared" si="965"/>
        <v>1911.1399999999996</v>
      </c>
      <c r="AJ145" s="58">
        <f t="shared" si="966"/>
        <v>6317.8466119999994</v>
      </c>
      <c r="AK145" s="59">
        <f t="shared" si="967"/>
        <v>1858.7799999999995</v>
      </c>
      <c r="AL145" s="58">
        <f t="shared" si="968"/>
        <v>6144.7549239999989</v>
      </c>
      <c r="AM145" s="59">
        <f t="shared" si="969"/>
        <v>1806.4199999999996</v>
      </c>
      <c r="AN145" s="58">
        <f t="shared" si="970"/>
        <v>5971.6632359999985</v>
      </c>
      <c r="AO145" s="59">
        <f t="shared" si="971"/>
        <v>1754.0599999999995</v>
      </c>
      <c r="AP145" s="58">
        <f t="shared" si="972"/>
        <v>5798.5715479999981</v>
      </c>
      <c r="AQ145" s="59">
        <f t="shared" si="973"/>
        <v>1701.6999999999994</v>
      </c>
      <c r="AR145" s="58">
        <f t="shared" si="974"/>
        <v>5625.4798599999976</v>
      </c>
      <c r="AS145" s="54">
        <f t="shared" si="975"/>
        <v>1649.3399999999995</v>
      </c>
      <c r="AT145" s="58">
        <f t="shared" si="976"/>
        <v>5452.3881719999981</v>
      </c>
      <c r="AU145" s="59">
        <f t="shared" si="977"/>
        <v>1596.9799999999993</v>
      </c>
      <c r="AV145" s="58">
        <f t="shared" si="978"/>
        <v>5279.2964839999977</v>
      </c>
      <c r="AW145" s="59">
        <f t="shared" si="979"/>
        <v>1544.6199999999994</v>
      </c>
      <c r="AX145" s="58">
        <f t="shared" si="980"/>
        <v>5106.2047959999982</v>
      </c>
      <c r="AY145" s="54">
        <f t="shared" si="981"/>
        <v>1492.2599999999993</v>
      </c>
      <c r="AZ145" s="58">
        <f t="shared" si="982"/>
        <v>4933.1131079999977</v>
      </c>
      <c r="BC145" s="54">
        <v>1</v>
      </c>
      <c r="BD145" s="54">
        <v>0.97</v>
      </c>
      <c r="BE145" s="54">
        <v>0.95</v>
      </c>
      <c r="BF145" s="54">
        <v>0.93</v>
      </c>
      <c r="BG145" s="54">
        <f t="shared" si="983"/>
        <v>0.91</v>
      </c>
      <c r="BH145" s="54">
        <f t="shared" si="983"/>
        <v>0.89</v>
      </c>
      <c r="BI145" s="54">
        <f t="shared" si="983"/>
        <v>0.87</v>
      </c>
      <c r="BJ145" s="54">
        <f t="shared" si="983"/>
        <v>0.85</v>
      </c>
      <c r="BK145" s="54">
        <f t="shared" si="983"/>
        <v>0.83</v>
      </c>
      <c r="BL145" s="54">
        <f t="shared" si="983"/>
        <v>0.80999999999999994</v>
      </c>
      <c r="BM145" s="54">
        <f t="shared" si="983"/>
        <v>0.78999999999999992</v>
      </c>
      <c r="BN145" s="54">
        <f t="shared" si="983"/>
        <v>0.76999999999999991</v>
      </c>
      <c r="BO145" s="54">
        <f t="shared" si="983"/>
        <v>0.74999999999999989</v>
      </c>
      <c r="BP145" s="54">
        <f t="shared" si="983"/>
        <v>0.72999999999999987</v>
      </c>
      <c r="BQ145" s="54">
        <f t="shared" si="983"/>
        <v>0.70999999999999985</v>
      </c>
      <c r="BR145" s="54">
        <f t="shared" si="983"/>
        <v>0.68999999999999984</v>
      </c>
      <c r="BS145" s="54">
        <f t="shared" si="983"/>
        <v>0.66999999999999982</v>
      </c>
      <c r="BT145" s="54">
        <f t="shared" si="983"/>
        <v>0.6499999999999998</v>
      </c>
      <c r="BU145" s="54">
        <f t="shared" si="983"/>
        <v>0.62999999999999978</v>
      </c>
      <c r="BV145" s="54">
        <f t="shared" si="983"/>
        <v>0.60999999999999976</v>
      </c>
      <c r="BW145" s="54">
        <f t="shared" si="983"/>
        <v>0.58999999999999975</v>
      </c>
      <c r="BX145" s="54">
        <f t="shared" si="983"/>
        <v>0.56999999999999973</v>
      </c>
      <c r="BZ145" s="54">
        <f t="shared" si="513"/>
        <v>2382.38</v>
      </c>
      <c r="CA145" s="54">
        <f t="shared" si="514"/>
        <v>2382.38</v>
      </c>
      <c r="CB145" s="58">
        <f t="shared" si="984"/>
        <v>7875.6718040000005</v>
      </c>
      <c r="CC145" s="54">
        <f t="shared" si="985"/>
        <v>2310.9086000000002</v>
      </c>
      <c r="CD145" s="58">
        <f t="shared" si="986"/>
        <v>7639.4016498800011</v>
      </c>
      <c r="CE145" s="54">
        <f t="shared" si="987"/>
        <v>2263.261</v>
      </c>
      <c r="CF145" s="58">
        <f t="shared" si="988"/>
        <v>7481.8882137999999</v>
      </c>
      <c r="CG145" s="54">
        <f t="shared" si="989"/>
        <v>2215.6134000000002</v>
      </c>
      <c r="CH145" s="58">
        <f t="shared" si="990"/>
        <v>7324.3747777200006</v>
      </c>
      <c r="CI145" s="56">
        <f t="shared" si="991"/>
        <v>2167.9658000000004</v>
      </c>
      <c r="CJ145" s="58">
        <f t="shared" si="992"/>
        <v>7166.8613416400012</v>
      </c>
      <c r="CK145" s="54">
        <f t="shared" si="993"/>
        <v>2120.3182000000002</v>
      </c>
      <c r="CL145" s="58">
        <f t="shared" si="994"/>
        <v>7009.347905560001</v>
      </c>
      <c r="CM145" s="56">
        <f t="shared" si="995"/>
        <v>2072.6705999999999</v>
      </c>
      <c r="CN145" s="58">
        <f t="shared" si="996"/>
        <v>6851.8344694799998</v>
      </c>
      <c r="CO145" s="59">
        <f t="shared" si="997"/>
        <v>2025.0230000000001</v>
      </c>
      <c r="CP145" s="58">
        <f t="shared" si="998"/>
        <v>6694.3210334000005</v>
      </c>
      <c r="CQ145" s="56">
        <f t="shared" si="999"/>
        <v>1977.3753999999999</v>
      </c>
      <c r="CR145" s="58">
        <f t="shared" si="1000"/>
        <v>6536.8075973200002</v>
      </c>
      <c r="CS145" s="54">
        <f t="shared" si="1001"/>
        <v>1929.7277999999999</v>
      </c>
      <c r="CT145" s="58">
        <f t="shared" si="1002"/>
        <v>6379.29416124</v>
      </c>
      <c r="CU145" s="59">
        <f t="shared" si="1003"/>
        <v>1882.0801999999999</v>
      </c>
      <c r="CV145" s="58">
        <f t="shared" si="1004"/>
        <v>6221.7807251599997</v>
      </c>
      <c r="CW145" s="59">
        <f t="shared" si="1005"/>
        <v>1834.4325999999999</v>
      </c>
      <c r="CX145" s="58">
        <f t="shared" si="1006"/>
        <v>6064.2672890799995</v>
      </c>
      <c r="CY145" s="59">
        <f t="shared" si="1007"/>
        <v>1786.7849999999999</v>
      </c>
      <c r="CZ145" s="58">
        <f t="shared" si="1008"/>
        <v>5906.7538529999993</v>
      </c>
      <c r="DA145" s="54">
        <f t="shared" si="1009"/>
        <v>1739.1373999999998</v>
      </c>
      <c r="DB145" s="58">
        <f t="shared" si="1010"/>
        <v>5749.2404169199999</v>
      </c>
      <c r="DC145" s="59">
        <f t="shared" si="1011"/>
        <v>1691.4897999999998</v>
      </c>
      <c r="DD145" s="58">
        <f t="shared" si="1012"/>
        <v>5591.7269808399997</v>
      </c>
      <c r="DE145" s="59">
        <f t="shared" si="1013"/>
        <v>1643.8421999999996</v>
      </c>
      <c r="DF145" s="58">
        <f t="shared" si="1014"/>
        <v>5434.2135447599985</v>
      </c>
      <c r="DG145" s="59">
        <f t="shared" si="1015"/>
        <v>1596.1945999999996</v>
      </c>
      <c r="DH145" s="58">
        <f t="shared" si="1016"/>
        <v>5276.7001086799992</v>
      </c>
      <c r="DI145" s="59">
        <f t="shared" si="1017"/>
        <v>1548.5469999999996</v>
      </c>
      <c r="DJ145" s="58">
        <f t="shared" si="1018"/>
        <v>5119.1866725999989</v>
      </c>
      <c r="DK145" s="54">
        <f t="shared" si="1019"/>
        <v>1500.8993999999996</v>
      </c>
      <c r="DL145" s="58">
        <f t="shared" si="1020"/>
        <v>4961.6732365199987</v>
      </c>
      <c r="DM145" s="59">
        <f t="shared" si="1021"/>
        <v>1453.2517999999995</v>
      </c>
      <c r="DN145" s="58">
        <f t="shared" si="1022"/>
        <v>4804.1598004399984</v>
      </c>
      <c r="DO145" s="59">
        <f t="shared" si="1023"/>
        <v>1405.6041999999995</v>
      </c>
      <c r="DP145" s="58">
        <f t="shared" si="1024"/>
        <v>4646.6463643599982</v>
      </c>
      <c r="DQ145" s="54">
        <f t="shared" si="1025"/>
        <v>1357.9565999999995</v>
      </c>
      <c r="DR145" s="58">
        <f t="shared" si="1026"/>
        <v>4489.1329282799989</v>
      </c>
      <c r="DU145" s="54">
        <v>1</v>
      </c>
      <c r="DV145" s="54">
        <v>0.97</v>
      </c>
      <c r="DW145" s="54">
        <v>0.95</v>
      </c>
      <c r="DX145" s="54">
        <v>0.93</v>
      </c>
      <c r="DY145" s="54">
        <f t="shared" si="935"/>
        <v>0.91</v>
      </c>
      <c r="DZ145" s="54">
        <f t="shared" si="935"/>
        <v>0.89</v>
      </c>
      <c r="EA145" s="54">
        <f t="shared" si="935"/>
        <v>0.87</v>
      </c>
      <c r="EB145" s="54">
        <f t="shared" si="935"/>
        <v>0.85</v>
      </c>
      <c r="EC145" s="54">
        <f t="shared" si="935"/>
        <v>0.83</v>
      </c>
      <c r="ED145" s="54">
        <f t="shared" si="935"/>
        <v>0.80999999999999994</v>
      </c>
      <c r="EE145" s="54">
        <f t="shared" si="935"/>
        <v>0.78999999999999992</v>
      </c>
      <c r="EF145" s="54">
        <f t="shared" si="935"/>
        <v>0.76999999999999991</v>
      </c>
      <c r="EG145" s="54">
        <f t="shared" si="935"/>
        <v>0.74999999999999989</v>
      </c>
      <c r="EH145" s="54">
        <f t="shared" si="935"/>
        <v>0.72999999999999987</v>
      </c>
      <c r="EI145" s="54">
        <f t="shared" si="935"/>
        <v>0.70999999999999985</v>
      </c>
      <c r="EJ145" s="54">
        <f t="shared" si="935"/>
        <v>0.68999999999999984</v>
      </c>
      <c r="EK145" s="54">
        <f t="shared" si="935"/>
        <v>0.66999999999999982</v>
      </c>
      <c r="EL145" s="54">
        <f t="shared" si="935"/>
        <v>0.6499999999999998</v>
      </c>
      <c r="EM145" s="54">
        <f t="shared" si="935"/>
        <v>0.62999999999999978</v>
      </c>
      <c r="EN145" s="54">
        <f t="shared" si="935"/>
        <v>0.60999999999999976</v>
      </c>
      <c r="EO145" s="54">
        <f t="shared" si="935"/>
        <v>0.58999999999999975</v>
      </c>
      <c r="EP145" s="54">
        <f t="shared" si="935"/>
        <v>0.56999999999999973</v>
      </c>
      <c r="ER145" s="54">
        <f t="shared" si="653"/>
        <v>2167.9658000000004</v>
      </c>
      <c r="ES145" s="54">
        <f t="shared" si="515"/>
        <v>2167.9658000000004</v>
      </c>
      <c r="ET145" s="58">
        <f t="shared" si="1027"/>
        <v>7166.8613416400012</v>
      </c>
      <c r="EU145" s="54">
        <f t="shared" si="1028"/>
        <v>2102.9268260000003</v>
      </c>
      <c r="EV145" s="58">
        <f t="shared" si="1029"/>
        <v>6951.8555013908017</v>
      </c>
      <c r="EW145" s="54">
        <f t="shared" si="1030"/>
        <v>2059.5675100000003</v>
      </c>
      <c r="EX145" s="58">
        <f t="shared" si="1031"/>
        <v>6808.5182745580014</v>
      </c>
      <c r="EY145" s="54">
        <f t="shared" si="1032"/>
        <v>2016.2081940000005</v>
      </c>
      <c r="EZ145" s="58">
        <f t="shared" si="1033"/>
        <v>6665.181047725202</v>
      </c>
      <c r="FA145" s="56">
        <f t="shared" si="1034"/>
        <v>1972.8488780000005</v>
      </c>
      <c r="FB145" s="58">
        <f t="shared" si="1035"/>
        <v>6521.8438208924017</v>
      </c>
      <c r="FC145" s="54">
        <f t="shared" si="1036"/>
        <v>1929.4895620000004</v>
      </c>
      <c r="FD145" s="58">
        <f t="shared" si="1037"/>
        <v>6378.5065940596014</v>
      </c>
      <c r="FE145" s="56">
        <f t="shared" si="1038"/>
        <v>1886.1302460000004</v>
      </c>
      <c r="FF145" s="58">
        <f t="shared" si="1039"/>
        <v>6235.1693672268011</v>
      </c>
      <c r="FG145" s="59">
        <f t="shared" si="1040"/>
        <v>1842.7709300000004</v>
      </c>
      <c r="FH145" s="58">
        <f t="shared" si="1041"/>
        <v>6091.8321403940017</v>
      </c>
      <c r="FI145" s="56">
        <f t="shared" si="1042"/>
        <v>1799.4116140000003</v>
      </c>
      <c r="FJ145" s="58">
        <f t="shared" si="1043"/>
        <v>5948.4949135612014</v>
      </c>
      <c r="FK145" s="54">
        <f t="shared" si="1044"/>
        <v>1756.0522980000003</v>
      </c>
      <c r="FL145" s="58">
        <f t="shared" si="1045"/>
        <v>5805.1576867284011</v>
      </c>
      <c r="FM145" s="59">
        <f t="shared" si="1046"/>
        <v>1712.6929820000003</v>
      </c>
      <c r="FN145" s="58">
        <f t="shared" si="1047"/>
        <v>5661.8204598956008</v>
      </c>
      <c r="FO145" s="59">
        <f t="shared" si="1048"/>
        <v>1669.333666</v>
      </c>
      <c r="FP145" s="58">
        <f t="shared" si="1049"/>
        <v>5518.4832330628005</v>
      </c>
      <c r="FQ145" s="59">
        <f t="shared" si="1050"/>
        <v>1625.97435</v>
      </c>
      <c r="FR145" s="58">
        <f t="shared" si="1051"/>
        <v>5375.1460062300002</v>
      </c>
      <c r="FS145" s="54">
        <f t="shared" si="1052"/>
        <v>1582.6150339999999</v>
      </c>
      <c r="FT145" s="58">
        <f t="shared" si="1053"/>
        <v>5231.8087793971999</v>
      </c>
      <c r="FU145" s="59">
        <f t="shared" si="1054"/>
        <v>1539.2557179999999</v>
      </c>
      <c r="FV145" s="58">
        <f t="shared" si="1055"/>
        <v>5088.4715525643996</v>
      </c>
      <c r="FW145" s="59">
        <f t="shared" si="1056"/>
        <v>1495.8964019999999</v>
      </c>
      <c r="FX145" s="58">
        <f t="shared" si="1057"/>
        <v>4945.1343257315993</v>
      </c>
      <c r="FY145" s="59">
        <f t="shared" si="1058"/>
        <v>1452.5370859999998</v>
      </c>
      <c r="FZ145" s="58">
        <f t="shared" si="1059"/>
        <v>4801.797098898799</v>
      </c>
      <c r="GA145" s="59">
        <f t="shared" si="1060"/>
        <v>1409.1777699999998</v>
      </c>
      <c r="GB145" s="58">
        <f t="shared" si="1061"/>
        <v>4658.4598720659997</v>
      </c>
      <c r="GC145" s="54">
        <f t="shared" si="1062"/>
        <v>1365.8184539999997</v>
      </c>
      <c r="GD145" s="58">
        <f t="shared" si="1063"/>
        <v>4515.1226452331994</v>
      </c>
      <c r="GE145" s="59">
        <f t="shared" si="1064"/>
        <v>1322.4591379999997</v>
      </c>
      <c r="GF145" s="58">
        <f t="shared" si="1065"/>
        <v>4371.7854184003991</v>
      </c>
      <c r="GG145" s="59">
        <f t="shared" si="1066"/>
        <v>1279.0998219999997</v>
      </c>
      <c r="GH145" s="58">
        <f t="shared" si="1067"/>
        <v>4228.4481915675988</v>
      </c>
      <c r="GI145" s="54">
        <f t="shared" si="1068"/>
        <v>1235.7405059999996</v>
      </c>
      <c r="GJ145" s="58">
        <f t="shared" si="1069"/>
        <v>4085.1109647347989</v>
      </c>
      <c r="GK145" s="54"/>
      <c r="GL145" s="54"/>
      <c r="GM145" s="54">
        <v>1</v>
      </c>
      <c r="GN145" s="54">
        <v>0.97</v>
      </c>
      <c r="GO145" s="54">
        <v>0.95</v>
      </c>
      <c r="GP145" s="54">
        <v>0.93</v>
      </c>
      <c r="GQ145" s="54">
        <f t="shared" si="936"/>
        <v>0.91</v>
      </c>
      <c r="GR145" s="54">
        <f t="shared" si="936"/>
        <v>0.89</v>
      </c>
      <c r="GS145" s="54">
        <f t="shared" si="936"/>
        <v>0.87</v>
      </c>
      <c r="GT145" s="54">
        <f t="shared" si="936"/>
        <v>0.85</v>
      </c>
      <c r="GU145" s="54">
        <f t="shared" si="936"/>
        <v>0.83</v>
      </c>
      <c r="GV145" s="54">
        <f t="shared" si="936"/>
        <v>0.80999999999999994</v>
      </c>
      <c r="GW145" s="54">
        <f t="shared" si="936"/>
        <v>0.78999999999999992</v>
      </c>
      <c r="GX145" s="54">
        <f t="shared" si="936"/>
        <v>0.76999999999999991</v>
      </c>
      <c r="GY145" s="54">
        <f t="shared" si="936"/>
        <v>0.74999999999999989</v>
      </c>
      <c r="GZ145" s="54">
        <f t="shared" si="936"/>
        <v>0.72999999999999987</v>
      </c>
      <c r="HA145" s="54">
        <f t="shared" si="936"/>
        <v>0.70999999999999985</v>
      </c>
      <c r="HB145" s="54">
        <f t="shared" si="936"/>
        <v>0.68999999999999984</v>
      </c>
      <c r="HC145" s="54">
        <f t="shared" si="936"/>
        <v>0.66999999999999982</v>
      </c>
      <c r="HD145" s="54">
        <f t="shared" si="936"/>
        <v>0.6499999999999998</v>
      </c>
      <c r="HE145" s="54">
        <f t="shared" si="936"/>
        <v>0.62999999999999978</v>
      </c>
      <c r="HF145" s="54">
        <f t="shared" si="936"/>
        <v>0.60999999999999976</v>
      </c>
      <c r="HG145" s="54">
        <f t="shared" si="936"/>
        <v>0.58999999999999975</v>
      </c>
      <c r="HH145" s="54">
        <f t="shared" si="936"/>
        <v>0.56999999999999973</v>
      </c>
    </row>
    <row r="146" spans="1:216" x14ac:dyDescent="0.3">
      <c r="A146" s="2">
        <v>4</v>
      </c>
      <c r="C146" s="38" t="s">
        <v>47</v>
      </c>
      <c r="D146" s="42">
        <f>2570+1910+8160</f>
        <v>12640</v>
      </c>
      <c r="E146" s="72">
        <f>TRUNC(+D146*3.3058,-1)</f>
        <v>41780</v>
      </c>
      <c r="F146" s="66" t="s">
        <v>320</v>
      </c>
      <c r="H146" s="54">
        <f t="shared" si="510"/>
        <v>45958.000000000007</v>
      </c>
      <c r="I146" s="54">
        <f t="shared" si="511"/>
        <v>45958.000000000007</v>
      </c>
      <c r="J146" s="58">
        <f t="shared" si="512"/>
        <v>151927.95640000002</v>
      </c>
      <c r="K146" s="54">
        <f t="shared" si="941"/>
        <v>44579.260000000009</v>
      </c>
      <c r="L146" s="58">
        <f t="shared" si="942"/>
        <v>147370.11770800003</v>
      </c>
      <c r="M146" s="54">
        <f t="shared" si="943"/>
        <v>43660.100000000006</v>
      </c>
      <c r="N146" s="58">
        <f t="shared" si="944"/>
        <v>144331.55858000001</v>
      </c>
      <c r="O146" s="54">
        <f t="shared" si="945"/>
        <v>42740.94000000001</v>
      </c>
      <c r="P146" s="58">
        <f t="shared" si="946"/>
        <v>141292.99945200005</v>
      </c>
      <c r="Q146" s="56">
        <f t="shared" si="947"/>
        <v>41821.780000000006</v>
      </c>
      <c r="R146" s="58">
        <f t="shared" si="948"/>
        <v>138254.44032400002</v>
      </c>
      <c r="S146" s="54">
        <f t="shared" si="949"/>
        <v>40902.62000000001</v>
      </c>
      <c r="T146" s="58">
        <f t="shared" si="950"/>
        <v>135215.88119600003</v>
      </c>
      <c r="U146" s="56">
        <f t="shared" si="951"/>
        <v>39983.460000000006</v>
      </c>
      <c r="V146" s="58">
        <f t="shared" si="952"/>
        <v>132177.32206800004</v>
      </c>
      <c r="W146" s="59">
        <f t="shared" si="953"/>
        <v>39064.300000000003</v>
      </c>
      <c r="X146" s="58">
        <f t="shared" si="954"/>
        <v>129138.76294000002</v>
      </c>
      <c r="Y146" s="56">
        <f t="shared" si="955"/>
        <v>38145.140000000007</v>
      </c>
      <c r="Z146" s="58">
        <f t="shared" si="956"/>
        <v>126100.20381200002</v>
      </c>
      <c r="AA146" s="54">
        <f t="shared" si="957"/>
        <v>37225.980000000003</v>
      </c>
      <c r="AB146" s="58">
        <f t="shared" si="958"/>
        <v>123061.64468400001</v>
      </c>
      <c r="AC146" s="59">
        <f t="shared" si="959"/>
        <v>36306.82</v>
      </c>
      <c r="AD146" s="58">
        <f t="shared" si="960"/>
        <v>120023.08555600001</v>
      </c>
      <c r="AE146" s="59">
        <f t="shared" si="961"/>
        <v>35387.660000000003</v>
      </c>
      <c r="AF146" s="58">
        <f t="shared" si="962"/>
        <v>116984.52642800001</v>
      </c>
      <c r="AG146" s="59">
        <f t="shared" si="963"/>
        <v>34468.5</v>
      </c>
      <c r="AH146" s="58">
        <f t="shared" si="964"/>
        <v>113945.9673</v>
      </c>
      <c r="AI146" s="54">
        <f t="shared" si="965"/>
        <v>33549.339999999997</v>
      </c>
      <c r="AJ146" s="58">
        <f t="shared" si="966"/>
        <v>110907.408172</v>
      </c>
      <c r="AK146" s="59">
        <f t="shared" si="967"/>
        <v>32630.179999999997</v>
      </c>
      <c r="AL146" s="58">
        <f t="shared" si="968"/>
        <v>107868.84904399999</v>
      </c>
      <c r="AM146" s="59">
        <f t="shared" si="969"/>
        <v>31711.019999999997</v>
      </c>
      <c r="AN146" s="58">
        <f t="shared" si="970"/>
        <v>104830.28991599999</v>
      </c>
      <c r="AO146" s="59">
        <f t="shared" si="971"/>
        <v>30791.859999999997</v>
      </c>
      <c r="AP146" s="58">
        <f t="shared" si="972"/>
        <v>101791.73078799999</v>
      </c>
      <c r="AQ146" s="59">
        <f t="shared" si="973"/>
        <v>29872.699999999997</v>
      </c>
      <c r="AR146" s="58">
        <f t="shared" si="974"/>
        <v>98753.171659999993</v>
      </c>
      <c r="AS146" s="54">
        <f t="shared" si="975"/>
        <v>28953.539999999994</v>
      </c>
      <c r="AT146" s="58">
        <f t="shared" si="976"/>
        <v>95714.612531999985</v>
      </c>
      <c r="AU146" s="59">
        <f t="shared" si="977"/>
        <v>28034.379999999994</v>
      </c>
      <c r="AV146" s="58">
        <f t="shared" si="978"/>
        <v>92676.053403999977</v>
      </c>
      <c r="AW146" s="59">
        <f t="shared" si="979"/>
        <v>27115.219999999994</v>
      </c>
      <c r="AX146" s="58">
        <f t="shared" si="980"/>
        <v>89637.494275999983</v>
      </c>
      <c r="AY146" s="54">
        <f t="shared" si="981"/>
        <v>26196.05999999999</v>
      </c>
      <c r="AZ146" s="58">
        <f t="shared" si="982"/>
        <v>86598.935147999975</v>
      </c>
      <c r="BC146" s="54">
        <v>1</v>
      </c>
      <c r="BD146" s="54">
        <v>0.97</v>
      </c>
      <c r="BE146" s="54">
        <v>0.95</v>
      </c>
      <c r="BF146" s="54">
        <v>0.93</v>
      </c>
      <c r="BG146" s="54">
        <f t="shared" si="983"/>
        <v>0.91</v>
      </c>
      <c r="BH146" s="54">
        <f t="shared" si="983"/>
        <v>0.89</v>
      </c>
      <c r="BI146" s="54">
        <f t="shared" si="983"/>
        <v>0.87</v>
      </c>
      <c r="BJ146" s="54">
        <f t="shared" si="983"/>
        <v>0.85</v>
      </c>
      <c r="BK146" s="54">
        <f t="shared" si="983"/>
        <v>0.83</v>
      </c>
      <c r="BL146" s="54">
        <f t="shared" si="983"/>
        <v>0.80999999999999994</v>
      </c>
      <c r="BM146" s="54">
        <f t="shared" si="983"/>
        <v>0.78999999999999992</v>
      </c>
      <c r="BN146" s="54">
        <f t="shared" si="983"/>
        <v>0.76999999999999991</v>
      </c>
      <c r="BO146" s="54">
        <f t="shared" si="983"/>
        <v>0.74999999999999989</v>
      </c>
      <c r="BP146" s="54">
        <f t="shared" si="983"/>
        <v>0.72999999999999987</v>
      </c>
      <c r="BQ146" s="54">
        <f t="shared" si="983"/>
        <v>0.70999999999999985</v>
      </c>
      <c r="BR146" s="54">
        <f t="shared" si="983"/>
        <v>0.68999999999999984</v>
      </c>
      <c r="BS146" s="54">
        <f t="shared" si="983"/>
        <v>0.66999999999999982</v>
      </c>
      <c r="BT146" s="54">
        <f t="shared" si="983"/>
        <v>0.6499999999999998</v>
      </c>
      <c r="BU146" s="54">
        <f t="shared" si="983"/>
        <v>0.62999999999999978</v>
      </c>
      <c r="BV146" s="54">
        <f t="shared" si="983"/>
        <v>0.60999999999999976</v>
      </c>
      <c r="BW146" s="54">
        <f t="shared" si="983"/>
        <v>0.58999999999999975</v>
      </c>
      <c r="BX146" s="54">
        <f t="shared" si="983"/>
        <v>0.56999999999999973</v>
      </c>
      <c r="BZ146" s="54">
        <f t="shared" si="513"/>
        <v>41821.780000000006</v>
      </c>
      <c r="CA146" s="54">
        <f t="shared" si="514"/>
        <v>41821.780000000006</v>
      </c>
      <c r="CB146" s="58">
        <f t="shared" si="984"/>
        <v>138254.44032400002</v>
      </c>
      <c r="CC146" s="54">
        <f t="shared" si="985"/>
        <v>40567.126600000003</v>
      </c>
      <c r="CD146" s="58">
        <f t="shared" si="986"/>
        <v>134106.80711428</v>
      </c>
      <c r="CE146" s="54">
        <f t="shared" si="987"/>
        <v>39730.691000000006</v>
      </c>
      <c r="CF146" s="58">
        <f t="shared" si="988"/>
        <v>131341.71830780001</v>
      </c>
      <c r="CG146" s="54">
        <f t="shared" si="989"/>
        <v>38894.255400000009</v>
      </c>
      <c r="CH146" s="58">
        <f t="shared" si="990"/>
        <v>128576.62950132003</v>
      </c>
      <c r="CI146" s="56">
        <f t="shared" si="991"/>
        <v>38057.819800000005</v>
      </c>
      <c r="CJ146" s="58">
        <f t="shared" si="992"/>
        <v>125811.54069484002</v>
      </c>
      <c r="CK146" s="54">
        <f t="shared" si="993"/>
        <v>37221.384200000008</v>
      </c>
      <c r="CL146" s="58">
        <f t="shared" si="994"/>
        <v>123046.45188836002</v>
      </c>
      <c r="CM146" s="56">
        <f t="shared" si="995"/>
        <v>36384.948600000003</v>
      </c>
      <c r="CN146" s="58">
        <f t="shared" si="996"/>
        <v>120281.36308188002</v>
      </c>
      <c r="CO146" s="59">
        <f t="shared" si="997"/>
        <v>35548.513000000006</v>
      </c>
      <c r="CP146" s="58">
        <f t="shared" si="998"/>
        <v>117516.27427540002</v>
      </c>
      <c r="CQ146" s="56">
        <f t="shared" si="999"/>
        <v>34712.077400000002</v>
      </c>
      <c r="CR146" s="58">
        <f t="shared" si="1000"/>
        <v>114751.18546892001</v>
      </c>
      <c r="CS146" s="54">
        <f t="shared" si="1001"/>
        <v>33875.641800000005</v>
      </c>
      <c r="CT146" s="58">
        <f t="shared" si="1002"/>
        <v>111986.09666244002</v>
      </c>
      <c r="CU146" s="59">
        <f t="shared" si="1003"/>
        <v>33039.206200000001</v>
      </c>
      <c r="CV146" s="58">
        <f t="shared" si="1004"/>
        <v>109221.00785596001</v>
      </c>
      <c r="CW146" s="59">
        <f t="shared" si="1005"/>
        <v>32202.7706</v>
      </c>
      <c r="CX146" s="58">
        <f t="shared" si="1006"/>
        <v>106455.91904948</v>
      </c>
      <c r="CY146" s="59">
        <f t="shared" si="1007"/>
        <v>31366.334999999999</v>
      </c>
      <c r="CZ146" s="58">
        <f t="shared" si="1008"/>
        <v>103690.830243</v>
      </c>
      <c r="DA146" s="54">
        <f t="shared" si="1009"/>
        <v>30529.899399999998</v>
      </c>
      <c r="DB146" s="58">
        <f t="shared" si="1010"/>
        <v>100925.74143651999</v>
      </c>
      <c r="DC146" s="59">
        <f t="shared" si="1011"/>
        <v>29693.463799999998</v>
      </c>
      <c r="DD146" s="58">
        <f t="shared" si="1012"/>
        <v>98160.65263004</v>
      </c>
      <c r="DE146" s="59">
        <f t="shared" si="1013"/>
        <v>28857.028199999997</v>
      </c>
      <c r="DF146" s="58">
        <f t="shared" si="1014"/>
        <v>95395.563823559991</v>
      </c>
      <c r="DG146" s="59">
        <f t="shared" si="1015"/>
        <v>28020.592599999996</v>
      </c>
      <c r="DH146" s="58">
        <f t="shared" si="1016"/>
        <v>92630.475017079996</v>
      </c>
      <c r="DI146" s="59">
        <f t="shared" si="1017"/>
        <v>27184.156999999996</v>
      </c>
      <c r="DJ146" s="58">
        <f t="shared" si="1018"/>
        <v>89865.386210599987</v>
      </c>
      <c r="DK146" s="54">
        <f t="shared" si="1019"/>
        <v>26347.721399999995</v>
      </c>
      <c r="DL146" s="58">
        <f t="shared" si="1020"/>
        <v>87100.297404119992</v>
      </c>
      <c r="DM146" s="59">
        <f t="shared" si="1021"/>
        <v>25511.285799999994</v>
      </c>
      <c r="DN146" s="58">
        <f t="shared" si="1022"/>
        <v>84335.208597639983</v>
      </c>
      <c r="DO146" s="59">
        <f t="shared" si="1023"/>
        <v>24674.850199999993</v>
      </c>
      <c r="DP146" s="58">
        <f t="shared" si="1024"/>
        <v>81570.119791159974</v>
      </c>
      <c r="DQ146" s="54">
        <f t="shared" si="1025"/>
        <v>23838.414599999993</v>
      </c>
      <c r="DR146" s="58">
        <f t="shared" si="1026"/>
        <v>78805.030984679979</v>
      </c>
      <c r="DU146" s="54">
        <v>1</v>
      </c>
      <c r="DV146" s="54">
        <v>0.97</v>
      </c>
      <c r="DW146" s="54">
        <v>0.95</v>
      </c>
      <c r="DX146" s="54">
        <v>0.93</v>
      </c>
      <c r="DY146" s="54">
        <f t="shared" si="935"/>
        <v>0.91</v>
      </c>
      <c r="DZ146" s="54">
        <f t="shared" si="935"/>
        <v>0.89</v>
      </c>
      <c r="EA146" s="54">
        <f t="shared" si="935"/>
        <v>0.87</v>
      </c>
      <c r="EB146" s="54">
        <f t="shared" si="935"/>
        <v>0.85</v>
      </c>
      <c r="EC146" s="54">
        <f t="shared" si="935"/>
        <v>0.83</v>
      </c>
      <c r="ED146" s="54">
        <f t="shared" si="935"/>
        <v>0.80999999999999994</v>
      </c>
      <c r="EE146" s="54">
        <f t="shared" si="935"/>
        <v>0.78999999999999992</v>
      </c>
      <c r="EF146" s="54">
        <f t="shared" si="935"/>
        <v>0.76999999999999991</v>
      </c>
      <c r="EG146" s="54">
        <f t="shared" si="935"/>
        <v>0.74999999999999989</v>
      </c>
      <c r="EH146" s="54">
        <f t="shared" si="935"/>
        <v>0.72999999999999987</v>
      </c>
      <c r="EI146" s="54">
        <f t="shared" si="935"/>
        <v>0.70999999999999985</v>
      </c>
      <c r="EJ146" s="54">
        <f t="shared" si="935"/>
        <v>0.68999999999999984</v>
      </c>
      <c r="EK146" s="54">
        <f t="shared" si="935"/>
        <v>0.66999999999999982</v>
      </c>
      <c r="EL146" s="54">
        <f t="shared" si="935"/>
        <v>0.6499999999999998</v>
      </c>
      <c r="EM146" s="54">
        <f t="shared" si="935"/>
        <v>0.62999999999999978</v>
      </c>
      <c r="EN146" s="54">
        <f t="shared" si="935"/>
        <v>0.60999999999999976</v>
      </c>
      <c r="EO146" s="54">
        <f t="shared" si="935"/>
        <v>0.58999999999999975</v>
      </c>
      <c r="EP146" s="54">
        <f t="shared" si="935"/>
        <v>0.56999999999999973</v>
      </c>
      <c r="ER146" s="54">
        <f t="shared" si="653"/>
        <v>38057.819800000005</v>
      </c>
      <c r="ES146" s="54">
        <f t="shared" si="515"/>
        <v>38057.819800000005</v>
      </c>
      <c r="ET146" s="58">
        <f t="shared" si="1027"/>
        <v>125811.54069484002</v>
      </c>
      <c r="EU146" s="54">
        <f t="shared" si="1028"/>
        <v>36916.085206000003</v>
      </c>
      <c r="EV146" s="58">
        <f t="shared" si="1029"/>
        <v>122037.19447399481</v>
      </c>
      <c r="EW146" s="54">
        <f t="shared" si="1030"/>
        <v>36154.928810000005</v>
      </c>
      <c r="EX146" s="58">
        <f t="shared" si="1031"/>
        <v>119520.96366009802</v>
      </c>
      <c r="EY146" s="54">
        <f t="shared" si="1032"/>
        <v>35393.772414000006</v>
      </c>
      <c r="EZ146" s="58">
        <f t="shared" si="1033"/>
        <v>117004.73284620122</v>
      </c>
      <c r="FA146" s="56">
        <f t="shared" si="1034"/>
        <v>34632.616018000008</v>
      </c>
      <c r="FB146" s="58">
        <f t="shared" si="1035"/>
        <v>114488.50203230443</v>
      </c>
      <c r="FC146" s="54">
        <f t="shared" si="1036"/>
        <v>33871.459622000002</v>
      </c>
      <c r="FD146" s="58">
        <f t="shared" si="1037"/>
        <v>111972.27121840761</v>
      </c>
      <c r="FE146" s="56">
        <f t="shared" si="1038"/>
        <v>33110.303226000004</v>
      </c>
      <c r="FF146" s="58">
        <f t="shared" si="1039"/>
        <v>109456.04040451082</v>
      </c>
      <c r="FG146" s="59">
        <f t="shared" si="1040"/>
        <v>32349.146830000002</v>
      </c>
      <c r="FH146" s="58">
        <f t="shared" si="1041"/>
        <v>106939.80959061401</v>
      </c>
      <c r="FI146" s="56">
        <f t="shared" si="1042"/>
        <v>31587.990434000003</v>
      </c>
      <c r="FJ146" s="58">
        <f t="shared" si="1043"/>
        <v>104423.57877671722</v>
      </c>
      <c r="FK146" s="54">
        <f t="shared" si="1044"/>
        <v>30826.834038000001</v>
      </c>
      <c r="FL146" s="58">
        <f t="shared" si="1045"/>
        <v>101907.34796282041</v>
      </c>
      <c r="FM146" s="59">
        <f t="shared" si="1046"/>
        <v>30065.677642000002</v>
      </c>
      <c r="FN146" s="58">
        <f t="shared" si="1047"/>
        <v>99391.117148923615</v>
      </c>
      <c r="FO146" s="59">
        <f t="shared" si="1048"/>
        <v>29304.521246</v>
      </c>
      <c r="FP146" s="58">
        <f t="shared" si="1049"/>
        <v>96874.886335026808</v>
      </c>
      <c r="FQ146" s="59">
        <f t="shared" si="1050"/>
        <v>28543.364849999998</v>
      </c>
      <c r="FR146" s="58">
        <f t="shared" si="1051"/>
        <v>94358.65552113</v>
      </c>
      <c r="FS146" s="54">
        <f t="shared" si="1052"/>
        <v>27782.208454</v>
      </c>
      <c r="FT146" s="58">
        <f t="shared" si="1053"/>
        <v>91842.424707233207</v>
      </c>
      <c r="FU146" s="59">
        <f t="shared" si="1054"/>
        <v>27021.052057999997</v>
      </c>
      <c r="FV146" s="58">
        <f t="shared" si="1055"/>
        <v>89326.1938933364</v>
      </c>
      <c r="FW146" s="59">
        <f t="shared" si="1056"/>
        <v>26259.895661999995</v>
      </c>
      <c r="FX146" s="58">
        <f t="shared" si="1057"/>
        <v>86809.963079439593</v>
      </c>
      <c r="FY146" s="59">
        <f t="shared" si="1058"/>
        <v>25498.739265999997</v>
      </c>
      <c r="FZ146" s="58">
        <f t="shared" si="1059"/>
        <v>84293.732265542785</v>
      </c>
      <c r="GA146" s="59">
        <f t="shared" si="1060"/>
        <v>24737.582869999995</v>
      </c>
      <c r="GB146" s="58">
        <f t="shared" si="1061"/>
        <v>81777.501451645978</v>
      </c>
      <c r="GC146" s="54">
        <f t="shared" si="1062"/>
        <v>23976.426473999996</v>
      </c>
      <c r="GD146" s="58">
        <f t="shared" si="1063"/>
        <v>79261.270637749185</v>
      </c>
      <c r="GE146" s="59">
        <f t="shared" si="1064"/>
        <v>23215.270077999994</v>
      </c>
      <c r="GF146" s="58">
        <f t="shared" si="1065"/>
        <v>76745.039823852378</v>
      </c>
      <c r="GG146" s="59">
        <f t="shared" si="1066"/>
        <v>22454.113681999992</v>
      </c>
      <c r="GH146" s="58">
        <f t="shared" si="1067"/>
        <v>74228.80900995557</v>
      </c>
      <c r="GI146" s="54">
        <f t="shared" si="1068"/>
        <v>21692.957285999993</v>
      </c>
      <c r="GJ146" s="58">
        <f t="shared" si="1069"/>
        <v>71712.578196058777</v>
      </c>
      <c r="GK146" s="54"/>
      <c r="GL146" s="54"/>
      <c r="GM146" s="54">
        <v>1</v>
      </c>
      <c r="GN146" s="54">
        <v>0.97</v>
      </c>
      <c r="GO146" s="54">
        <v>0.95</v>
      </c>
      <c r="GP146" s="54">
        <v>0.93</v>
      </c>
      <c r="GQ146" s="54">
        <f t="shared" si="936"/>
        <v>0.91</v>
      </c>
      <c r="GR146" s="54">
        <f t="shared" si="936"/>
        <v>0.89</v>
      </c>
      <c r="GS146" s="54">
        <f t="shared" si="936"/>
        <v>0.87</v>
      </c>
      <c r="GT146" s="54">
        <f t="shared" si="936"/>
        <v>0.85</v>
      </c>
      <c r="GU146" s="54">
        <f t="shared" si="936"/>
        <v>0.83</v>
      </c>
      <c r="GV146" s="54">
        <f t="shared" si="936"/>
        <v>0.80999999999999994</v>
      </c>
      <c r="GW146" s="54">
        <f t="shared" si="936"/>
        <v>0.78999999999999992</v>
      </c>
      <c r="GX146" s="54">
        <f t="shared" si="936"/>
        <v>0.76999999999999991</v>
      </c>
      <c r="GY146" s="54">
        <f t="shared" si="936"/>
        <v>0.74999999999999989</v>
      </c>
      <c r="GZ146" s="54">
        <f t="shared" si="936"/>
        <v>0.72999999999999987</v>
      </c>
      <c r="HA146" s="54">
        <f t="shared" si="936"/>
        <v>0.70999999999999985</v>
      </c>
      <c r="HB146" s="54">
        <f t="shared" si="936"/>
        <v>0.68999999999999984</v>
      </c>
      <c r="HC146" s="54">
        <f t="shared" si="936"/>
        <v>0.66999999999999982</v>
      </c>
      <c r="HD146" s="54">
        <f t="shared" si="936"/>
        <v>0.6499999999999998</v>
      </c>
      <c r="HE146" s="54">
        <f t="shared" si="936"/>
        <v>0.62999999999999978</v>
      </c>
      <c r="HF146" s="54">
        <f t="shared" si="936"/>
        <v>0.60999999999999976</v>
      </c>
      <c r="HG146" s="54">
        <f t="shared" si="936"/>
        <v>0.58999999999999975</v>
      </c>
      <c r="HH146" s="54">
        <f t="shared" si="936"/>
        <v>0.56999999999999973</v>
      </c>
    </row>
    <row r="147" spans="1:216" ht="17.25" thickBot="1" x14ac:dyDescent="0.35">
      <c r="A147" s="2">
        <v>5</v>
      </c>
      <c r="C147" s="38" t="s">
        <v>149</v>
      </c>
      <c r="D147" s="43">
        <v>0</v>
      </c>
      <c r="E147" s="73">
        <f>TRUNC(+D147*3.3058,-1)</f>
        <v>0</v>
      </c>
      <c r="H147" s="54">
        <f t="shared" si="510"/>
        <v>0</v>
      </c>
      <c r="I147" s="54">
        <f t="shared" si="511"/>
        <v>0</v>
      </c>
      <c r="J147" s="58">
        <f t="shared" si="512"/>
        <v>0</v>
      </c>
      <c r="K147" s="54">
        <f t="shared" si="941"/>
        <v>0</v>
      </c>
      <c r="L147" s="58">
        <f t="shared" si="942"/>
        <v>0</v>
      </c>
      <c r="M147" s="54">
        <f t="shared" si="943"/>
        <v>0</v>
      </c>
      <c r="N147" s="58">
        <f t="shared" si="944"/>
        <v>0</v>
      </c>
      <c r="O147" s="54">
        <f t="shared" si="945"/>
        <v>0</v>
      </c>
      <c r="P147" s="58">
        <f t="shared" si="946"/>
        <v>0</v>
      </c>
      <c r="Q147" s="56">
        <f t="shared" si="947"/>
        <v>0</v>
      </c>
      <c r="R147" s="58">
        <f t="shared" si="948"/>
        <v>0</v>
      </c>
      <c r="S147" s="54">
        <f t="shared" si="949"/>
        <v>0</v>
      </c>
      <c r="T147" s="58">
        <f t="shared" si="950"/>
        <v>0</v>
      </c>
      <c r="U147" s="56">
        <f t="shared" si="951"/>
        <v>0</v>
      </c>
      <c r="V147" s="58">
        <f t="shared" si="952"/>
        <v>0</v>
      </c>
      <c r="W147" s="59">
        <f t="shared" si="953"/>
        <v>0</v>
      </c>
      <c r="X147" s="58">
        <f t="shared" si="954"/>
        <v>0</v>
      </c>
      <c r="Y147" s="56">
        <f t="shared" si="955"/>
        <v>0</v>
      </c>
      <c r="Z147" s="58">
        <f t="shared" si="956"/>
        <v>0</v>
      </c>
      <c r="AA147" s="54">
        <f t="shared" si="957"/>
        <v>0</v>
      </c>
      <c r="AB147" s="58">
        <f t="shared" si="958"/>
        <v>0</v>
      </c>
      <c r="AC147" s="59">
        <f t="shared" si="959"/>
        <v>0</v>
      </c>
      <c r="AD147" s="58">
        <f t="shared" si="960"/>
        <v>0</v>
      </c>
      <c r="AE147" s="59">
        <f t="shared" si="961"/>
        <v>0</v>
      </c>
      <c r="AF147" s="58">
        <f t="shared" si="962"/>
        <v>0</v>
      </c>
      <c r="AG147" s="59">
        <f t="shared" si="963"/>
        <v>0</v>
      </c>
      <c r="AH147" s="58">
        <f t="shared" si="964"/>
        <v>0</v>
      </c>
      <c r="AI147" s="54">
        <f t="shared" si="965"/>
        <v>0</v>
      </c>
      <c r="AJ147" s="58">
        <f t="shared" si="966"/>
        <v>0</v>
      </c>
      <c r="AK147" s="59">
        <f t="shared" si="967"/>
        <v>0</v>
      </c>
      <c r="AL147" s="58">
        <f t="shared" si="968"/>
        <v>0</v>
      </c>
      <c r="AM147" s="59">
        <f t="shared" si="969"/>
        <v>0</v>
      </c>
      <c r="AN147" s="58">
        <f t="shared" si="970"/>
        <v>0</v>
      </c>
      <c r="AO147" s="59">
        <f t="shared" si="971"/>
        <v>0</v>
      </c>
      <c r="AP147" s="58">
        <f t="shared" si="972"/>
        <v>0</v>
      </c>
      <c r="AQ147" s="59">
        <f t="shared" si="973"/>
        <v>0</v>
      </c>
      <c r="AR147" s="58">
        <f t="shared" si="974"/>
        <v>0</v>
      </c>
      <c r="AS147" s="54">
        <f t="shared" si="975"/>
        <v>0</v>
      </c>
      <c r="AT147" s="58">
        <f t="shared" si="976"/>
        <v>0</v>
      </c>
      <c r="AU147" s="59">
        <f t="shared" si="977"/>
        <v>0</v>
      </c>
      <c r="AV147" s="58">
        <f t="shared" si="978"/>
        <v>0</v>
      </c>
      <c r="AW147" s="59">
        <f t="shared" si="979"/>
        <v>0</v>
      </c>
      <c r="AX147" s="58">
        <f t="shared" si="980"/>
        <v>0</v>
      </c>
      <c r="AY147" s="54">
        <f t="shared" si="981"/>
        <v>0</v>
      </c>
      <c r="AZ147" s="58">
        <f t="shared" si="982"/>
        <v>0</v>
      </c>
      <c r="BC147" s="54">
        <v>1</v>
      </c>
      <c r="BD147" s="54">
        <v>0.97</v>
      </c>
      <c r="BE147" s="54">
        <v>0.95</v>
      </c>
      <c r="BF147" s="54">
        <v>0.93</v>
      </c>
      <c r="BG147" s="54">
        <f t="shared" si="983"/>
        <v>0.91</v>
      </c>
      <c r="BH147" s="54">
        <f t="shared" si="983"/>
        <v>0.89</v>
      </c>
      <c r="BI147" s="54">
        <f t="shared" si="983"/>
        <v>0.87</v>
      </c>
      <c r="BJ147" s="54">
        <f t="shared" si="983"/>
        <v>0.85</v>
      </c>
      <c r="BK147" s="54">
        <f t="shared" si="983"/>
        <v>0.83</v>
      </c>
      <c r="BL147" s="54">
        <f t="shared" si="983"/>
        <v>0.80999999999999994</v>
      </c>
      <c r="BM147" s="54">
        <f t="shared" si="983"/>
        <v>0.78999999999999992</v>
      </c>
      <c r="BN147" s="54">
        <f t="shared" si="983"/>
        <v>0.76999999999999991</v>
      </c>
      <c r="BO147" s="54">
        <f t="shared" si="983"/>
        <v>0.74999999999999989</v>
      </c>
      <c r="BP147" s="54">
        <f t="shared" si="983"/>
        <v>0.72999999999999987</v>
      </c>
      <c r="BQ147" s="54">
        <f t="shared" si="983"/>
        <v>0.70999999999999985</v>
      </c>
      <c r="BR147" s="54">
        <f t="shared" si="983"/>
        <v>0.68999999999999984</v>
      </c>
      <c r="BS147" s="54">
        <f t="shared" si="983"/>
        <v>0.66999999999999982</v>
      </c>
      <c r="BT147" s="54">
        <f t="shared" si="983"/>
        <v>0.6499999999999998</v>
      </c>
      <c r="BU147" s="54">
        <f t="shared" si="983"/>
        <v>0.62999999999999978</v>
      </c>
      <c r="BV147" s="54">
        <f t="shared" si="983"/>
        <v>0.60999999999999976</v>
      </c>
      <c r="BW147" s="54">
        <f t="shared" si="983"/>
        <v>0.58999999999999975</v>
      </c>
      <c r="BX147" s="54">
        <f t="shared" si="983"/>
        <v>0.56999999999999973</v>
      </c>
      <c r="BZ147" s="54">
        <f t="shared" si="513"/>
        <v>0</v>
      </c>
      <c r="CA147" s="54">
        <f t="shared" si="514"/>
        <v>0</v>
      </c>
      <c r="CB147" s="58">
        <f t="shared" si="984"/>
        <v>0</v>
      </c>
      <c r="CC147" s="54">
        <f t="shared" si="985"/>
        <v>0</v>
      </c>
      <c r="CD147" s="58">
        <f t="shared" si="986"/>
        <v>0</v>
      </c>
      <c r="CE147" s="54">
        <f t="shared" si="987"/>
        <v>0</v>
      </c>
      <c r="CF147" s="58">
        <f t="shared" si="988"/>
        <v>0</v>
      </c>
      <c r="CG147" s="54">
        <f t="shared" si="989"/>
        <v>0</v>
      </c>
      <c r="CH147" s="58">
        <f t="shared" si="990"/>
        <v>0</v>
      </c>
      <c r="CI147" s="56">
        <f t="shared" si="991"/>
        <v>0</v>
      </c>
      <c r="CJ147" s="58">
        <f t="shared" si="992"/>
        <v>0</v>
      </c>
      <c r="CK147" s="54">
        <f t="shared" si="993"/>
        <v>0</v>
      </c>
      <c r="CL147" s="58">
        <f t="shared" si="994"/>
        <v>0</v>
      </c>
      <c r="CM147" s="56">
        <f t="shared" si="995"/>
        <v>0</v>
      </c>
      <c r="CN147" s="58">
        <f t="shared" si="996"/>
        <v>0</v>
      </c>
      <c r="CO147" s="59">
        <f t="shared" si="997"/>
        <v>0</v>
      </c>
      <c r="CP147" s="58">
        <f t="shared" si="998"/>
        <v>0</v>
      </c>
      <c r="CQ147" s="56">
        <f t="shared" si="999"/>
        <v>0</v>
      </c>
      <c r="CR147" s="58">
        <f t="shared" si="1000"/>
        <v>0</v>
      </c>
      <c r="CS147" s="54">
        <f t="shared" si="1001"/>
        <v>0</v>
      </c>
      <c r="CT147" s="58">
        <f t="shared" si="1002"/>
        <v>0</v>
      </c>
      <c r="CU147" s="59">
        <f t="shared" si="1003"/>
        <v>0</v>
      </c>
      <c r="CV147" s="58">
        <f t="shared" si="1004"/>
        <v>0</v>
      </c>
      <c r="CW147" s="59">
        <f t="shared" si="1005"/>
        <v>0</v>
      </c>
      <c r="CX147" s="58">
        <f t="shared" si="1006"/>
        <v>0</v>
      </c>
      <c r="CY147" s="59">
        <f t="shared" si="1007"/>
        <v>0</v>
      </c>
      <c r="CZ147" s="58">
        <f t="shared" si="1008"/>
        <v>0</v>
      </c>
      <c r="DA147" s="54">
        <f t="shared" si="1009"/>
        <v>0</v>
      </c>
      <c r="DB147" s="58">
        <f t="shared" si="1010"/>
        <v>0</v>
      </c>
      <c r="DC147" s="59">
        <f t="shared" si="1011"/>
        <v>0</v>
      </c>
      <c r="DD147" s="58">
        <f t="shared" si="1012"/>
        <v>0</v>
      </c>
      <c r="DE147" s="59">
        <f t="shared" si="1013"/>
        <v>0</v>
      </c>
      <c r="DF147" s="58">
        <f t="shared" si="1014"/>
        <v>0</v>
      </c>
      <c r="DG147" s="59">
        <f t="shared" si="1015"/>
        <v>0</v>
      </c>
      <c r="DH147" s="58">
        <f t="shared" si="1016"/>
        <v>0</v>
      </c>
      <c r="DI147" s="59">
        <f t="shared" si="1017"/>
        <v>0</v>
      </c>
      <c r="DJ147" s="58">
        <f t="shared" si="1018"/>
        <v>0</v>
      </c>
      <c r="DK147" s="54">
        <f t="shared" si="1019"/>
        <v>0</v>
      </c>
      <c r="DL147" s="58">
        <f t="shared" si="1020"/>
        <v>0</v>
      </c>
      <c r="DM147" s="59">
        <f t="shared" si="1021"/>
        <v>0</v>
      </c>
      <c r="DN147" s="58">
        <f t="shared" si="1022"/>
        <v>0</v>
      </c>
      <c r="DO147" s="59">
        <f t="shared" si="1023"/>
        <v>0</v>
      </c>
      <c r="DP147" s="58">
        <f t="shared" si="1024"/>
        <v>0</v>
      </c>
      <c r="DQ147" s="54">
        <f t="shared" si="1025"/>
        <v>0</v>
      </c>
      <c r="DR147" s="58">
        <f t="shared" si="1026"/>
        <v>0</v>
      </c>
      <c r="DU147" s="54">
        <v>1</v>
      </c>
      <c r="DV147" s="54">
        <v>0.97</v>
      </c>
      <c r="DW147" s="54">
        <v>0.95</v>
      </c>
      <c r="DX147" s="54">
        <v>0.93</v>
      </c>
      <c r="DY147" s="54">
        <f t="shared" si="935"/>
        <v>0.91</v>
      </c>
      <c r="DZ147" s="54">
        <f t="shared" si="935"/>
        <v>0.89</v>
      </c>
      <c r="EA147" s="54">
        <f t="shared" si="935"/>
        <v>0.87</v>
      </c>
      <c r="EB147" s="54">
        <f t="shared" si="935"/>
        <v>0.85</v>
      </c>
      <c r="EC147" s="54">
        <f t="shared" si="935"/>
        <v>0.83</v>
      </c>
      <c r="ED147" s="54">
        <f t="shared" si="935"/>
        <v>0.80999999999999994</v>
      </c>
      <c r="EE147" s="54">
        <f t="shared" si="935"/>
        <v>0.78999999999999992</v>
      </c>
      <c r="EF147" s="54">
        <f t="shared" si="935"/>
        <v>0.76999999999999991</v>
      </c>
      <c r="EG147" s="54">
        <f t="shared" si="935"/>
        <v>0.74999999999999989</v>
      </c>
      <c r="EH147" s="54">
        <f t="shared" si="935"/>
        <v>0.72999999999999987</v>
      </c>
      <c r="EI147" s="54">
        <f t="shared" si="935"/>
        <v>0.70999999999999985</v>
      </c>
      <c r="EJ147" s="54">
        <f t="shared" si="935"/>
        <v>0.68999999999999984</v>
      </c>
      <c r="EK147" s="54">
        <f t="shared" si="935"/>
        <v>0.66999999999999982</v>
      </c>
      <c r="EL147" s="54">
        <f t="shared" si="935"/>
        <v>0.6499999999999998</v>
      </c>
      <c r="EM147" s="54">
        <f t="shared" si="935"/>
        <v>0.62999999999999978</v>
      </c>
      <c r="EN147" s="54">
        <f t="shared" si="935"/>
        <v>0.60999999999999976</v>
      </c>
      <c r="EO147" s="54">
        <f t="shared" si="935"/>
        <v>0.58999999999999975</v>
      </c>
      <c r="EP147" s="54">
        <f t="shared" si="935"/>
        <v>0.56999999999999973</v>
      </c>
      <c r="ER147" s="54">
        <f t="shared" si="653"/>
        <v>0</v>
      </c>
      <c r="ES147" s="54">
        <f t="shared" si="515"/>
        <v>0</v>
      </c>
      <c r="ET147" s="58">
        <f t="shared" si="1027"/>
        <v>0</v>
      </c>
      <c r="EU147" s="54">
        <f t="shared" si="1028"/>
        <v>0</v>
      </c>
      <c r="EV147" s="58">
        <f t="shared" si="1029"/>
        <v>0</v>
      </c>
      <c r="EW147" s="54">
        <f t="shared" si="1030"/>
        <v>0</v>
      </c>
      <c r="EX147" s="58">
        <f t="shared" si="1031"/>
        <v>0</v>
      </c>
      <c r="EY147" s="54">
        <f t="shared" si="1032"/>
        <v>0</v>
      </c>
      <c r="EZ147" s="58">
        <f t="shared" si="1033"/>
        <v>0</v>
      </c>
      <c r="FA147" s="56">
        <f t="shared" si="1034"/>
        <v>0</v>
      </c>
      <c r="FB147" s="58">
        <f t="shared" si="1035"/>
        <v>0</v>
      </c>
      <c r="FC147" s="54">
        <f t="shared" si="1036"/>
        <v>0</v>
      </c>
      <c r="FD147" s="58">
        <f t="shared" si="1037"/>
        <v>0</v>
      </c>
      <c r="FE147" s="56">
        <f t="shared" si="1038"/>
        <v>0</v>
      </c>
      <c r="FF147" s="58">
        <f t="shared" si="1039"/>
        <v>0</v>
      </c>
      <c r="FG147" s="59">
        <f t="shared" si="1040"/>
        <v>0</v>
      </c>
      <c r="FH147" s="58">
        <f t="shared" si="1041"/>
        <v>0</v>
      </c>
      <c r="FI147" s="56">
        <f t="shared" si="1042"/>
        <v>0</v>
      </c>
      <c r="FJ147" s="58">
        <f t="shared" si="1043"/>
        <v>0</v>
      </c>
      <c r="FK147" s="54">
        <f t="shared" si="1044"/>
        <v>0</v>
      </c>
      <c r="FL147" s="58">
        <f t="shared" si="1045"/>
        <v>0</v>
      </c>
      <c r="FM147" s="59">
        <f t="shared" si="1046"/>
        <v>0</v>
      </c>
      <c r="FN147" s="58">
        <f t="shared" si="1047"/>
        <v>0</v>
      </c>
      <c r="FO147" s="59">
        <f t="shared" si="1048"/>
        <v>0</v>
      </c>
      <c r="FP147" s="58">
        <f t="shared" si="1049"/>
        <v>0</v>
      </c>
      <c r="FQ147" s="59">
        <f t="shared" si="1050"/>
        <v>0</v>
      </c>
      <c r="FR147" s="58">
        <f t="shared" si="1051"/>
        <v>0</v>
      </c>
      <c r="FS147" s="54">
        <f t="shared" si="1052"/>
        <v>0</v>
      </c>
      <c r="FT147" s="58">
        <f t="shared" si="1053"/>
        <v>0</v>
      </c>
      <c r="FU147" s="59">
        <f t="shared" si="1054"/>
        <v>0</v>
      </c>
      <c r="FV147" s="58">
        <f t="shared" si="1055"/>
        <v>0</v>
      </c>
      <c r="FW147" s="59">
        <f t="shared" si="1056"/>
        <v>0</v>
      </c>
      <c r="FX147" s="58">
        <f t="shared" si="1057"/>
        <v>0</v>
      </c>
      <c r="FY147" s="59">
        <f t="shared" si="1058"/>
        <v>0</v>
      </c>
      <c r="FZ147" s="58">
        <f t="shared" si="1059"/>
        <v>0</v>
      </c>
      <c r="GA147" s="59">
        <f t="shared" si="1060"/>
        <v>0</v>
      </c>
      <c r="GB147" s="58">
        <f t="shared" si="1061"/>
        <v>0</v>
      </c>
      <c r="GC147" s="54">
        <f t="shared" si="1062"/>
        <v>0</v>
      </c>
      <c r="GD147" s="58">
        <f t="shared" si="1063"/>
        <v>0</v>
      </c>
      <c r="GE147" s="59">
        <f t="shared" si="1064"/>
        <v>0</v>
      </c>
      <c r="GF147" s="58">
        <f t="shared" si="1065"/>
        <v>0</v>
      </c>
      <c r="GG147" s="59">
        <f t="shared" si="1066"/>
        <v>0</v>
      </c>
      <c r="GH147" s="58">
        <f t="shared" si="1067"/>
        <v>0</v>
      </c>
      <c r="GI147" s="54">
        <f t="shared" si="1068"/>
        <v>0</v>
      </c>
      <c r="GJ147" s="58">
        <f t="shared" si="1069"/>
        <v>0</v>
      </c>
      <c r="GK147" s="54"/>
      <c r="GL147" s="54"/>
      <c r="GM147" s="54">
        <v>1</v>
      </c>
      <c r="GN147" s="54">
        <v>0.97</v>
      </c>
      <c r="GO147" s="54">
        <v>0.95</v>
      </c>
      <c r="GP147" s="54">
        <v>0.93</v>
      </c>
      <c r="GQ147" s="54">
        <f t="shared" si="936"/>
        <v>0.91</v>
      </c>
      <c r="GR147" s="54">
        <f t="shared" si="936"/>
        <v>0.89</v>
      </c>
      <c r="GS147" s="54">
        <f t="shared" si="936"/>
        <v>0.87</v>
      </c>
      <c r="GT147" s="54">
        <f t="shared" si="936"/>
        <v>0.85</v>
      </c>
      <c r="GU147" s="54">
        <f t="shared" si="936"/>
        <v>0.83</v>
      </c>
      <c r="GV147" s="54">
        <f t="shared" si="936"/>
        <v>0.80999999999999994</v>
      </c>
      <c r="GW147" s="54">
        <f t="shared" si="936"/>
        <v>0.78999999999999992</v>
      </c>
      <c r="GX147" s="54">
        <f t="shared" si="936"/>
        <v>0.76999999999999991</v>
      </c>
      <c r="GY147" s="54">
        <f t="shared" si="936"/>
        <v>0.74999999999999989</v>
      </c>
      <c r="GZ147" s="54">
        <f t="shared" si="936"/>
        <v>0.72999999999999987</v>
      </c>
      <c r="HA147" s="54">
        <f t="shared" si="936"/>
        <v>0.70999999999999985</v>
      </c>
      <c r="HB147" s="54">
        <f t="shared" si="936"/>
        <v>0.68999999999999984</v>
      </c>
      <c r="HC147" s="54">
        <f t="shared" si="936"/>
        <v>0.66999999999999982</v>
      </c>
      <c r="HD147" s="54">
        <f t="shared" si="936"/>
        <v>0.6499999999999998</v>
      </c>
      <c r="HE147" s="54">
        <f t="shared" si="936"/>
        <v>0.62999999999999978</v>
      </c>
      <c r="HF147" s="54">
        <f t="shared" si="936"/>
        <v>0.60999999999999976</v>
      </c>
      <c r="HG147" s="54">
        <f t="shared" si="936"/>
        <v>0.58999999999999975</v>
      </c>
      <c r="HH147" s="54">
        <f t="shared" si="936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27540</v>
      </c>
      <c r="E148" s="39">
        <f>SUM(E143:E147)</f>
        <v>91030</v>
      </c>
      <c r="H148" s="54">
        <f t="shared" ref="H148:H155" si="1070">+E148*1.1</f>
        <v>100133.00000000001</v>
      </c>
      <c r="I148" s="54">
        <f t="shared" ref="I148:I155" si="1071">+H148</f>
        <v>100133.00000000001</v>
      </c>
      <c r="J148" s="58">
        <f t="shared" ref="J148:J155" si="1072">+I148*3.3058</f>
        <v>331019.67140000005</v>
      </c>
      <c r="K148" s="54">
        <f t="shared" si="941"/>
        <v>97129.010000000009</v>
      </c>
      <c r="L148" s="58">
        <f t="shared" si="942"/>
        <v>321089.08125800005</v>
      </c>
      <c r="M148" s="54">
        <f t="shared" si="943"/>
        <v>95126.35</v>
      </c>
      <c r="N148" s="58">
        <f t="shared" si="944"/>
        <v>314468.68783000001</v>
      </c>
      <c r="O148" s="54">
        <f t="shared" si="945"/>
        <v>93123.690000000017</v>
      </c>
      <c r="P148" s="58">
        <f t="shared" si="946"/>
        <v>307848.29440200009</v>
      </c>
      <c r="Q148" s="56">
        <f t="shared" si="947"/>
        <v>91121.030000000013</v>
      </c>
      <c r="R148" s="58">
        <f t="shared" si="948"/>
        <v>301227.90097400005</v>
      </c>
      <c r="S148" s="54">
        <f t="shared" si="949"/>
        <v>89118.37000000001</v>
      </c>
      <c r="T148" s="58">
        <f t="shared" si="950"/>
        <v>294607.50754600007</v>
      </c>
      <c r="U148" s="56">
        <f t="shared" si="951"/>
        <v>87115.71</v>
      </c>
      <c r="V148" s="58">
        <f t="shared" si="952"/>
        <v>287987.11411800003</v>
      </c>
      <c r="W148" s="59">
        <f t="shared" si="953"/>
        <v>85113.05</v>
      </c>
      <c r="X148" s="58">
        <f t="shared" si="954"/>
        <v>281366.72068999999</v>
      </c>
      <c r="Y148" s="56">
        <f t="shared" si="955"/>
        <v>83110.390000000014</v>
      </c>
      <c r="Z148" s="58">
        <f t="shared" si="956"/>
        <v>274746.32726200006</v>
      </c>
      <c r="AA148" s="54">
        <f t="shared" si="957"/>
        <v>81107.73000000001</v>
      </c>
      <c r="AB148" s="58">
        <f t="shared" si="958"/>
        <v>268125.93383400002</v>
      </c>
      <c r="AC148" s="59">
        <f t="shared" si="959"/>
        <v>79105.070000000007</v>
      </c>
      <c r="AD148" s="58">
        <f t="shared" si="960"/>
        <v>261505.54040600001</v>
      </c>
      <c r="AE148" s="59">
        <f t="shared" si="961"/>
        <v>77102.41</v>
      </c>
      <c r="AF148" s="58">
        <f t="shared" si="962"/>
        <v>254885.146978</v>
      </c>
      <c r="AG148" s="59">
        <f t="shared" si="963"/>
        <v>75099.75</v>
      </c>
      <c r="AH148" s="58">
        <f t="shared" si="964"/>
        <v>248264.75354999999</v>
      </c>
      <c r="AI148" s="54">
        <f t="shared" si="965"/>
        <v>73097.09</v>
      </c>
      <c r="AJ148" s="58">
        <f t="shared" si="966"/>
        <v>241644.36012199998</v>
      </c>
      <c r="AK148" s="59">
        <f t="shared" si="967"/>
        <v>71094.429999999993</v>
      </c>
      <c r="AL148" s="58">
        <f t="shared" si="968"/>
        <v>235023.96669399997</v>
      </c>
      <c r="AM148" s="59">
        <f t="shared" si="969"/>
        <v>69091.76999999999</v>
      </c>
      <c r="AN148" s="58">
        <f t="shared" si="970"/>
        <v>228403.57326599996</v>
      </c>
      <c r="AO148" s="59">
        <f t="shared" si="971"/>
        <v>67089.109999999986</v>
      </c>
      <c r="AP148" s="58">
        <f t="shared" si="972"/>
        <v>221783.17983799995</v>
      </c>
      <c r="AQ148" s="59">
        <f t="shared" si="973"/>
        <v>65086.44999999999</v>
      </c>
      <c r="AR148" s="58">
        <f t="shared" si="974"/>
        <v>215162.78640999997</v>
      </c>
      <c r="AS148" s="54">
        <f t="shared" si="975"/>
        <v>63083.789999999986</v>
      </c>
      <c r="AT148" s="58">
        <f t="shared" si="976"/>
        <v>208542.39298199996</v>
      </c>
      <c r="AU148" s="59">
        <f t="shared" si="977"/>
        <v>61081.129999999983</v>
      </c>
      <c r="AV148" s="58">
        <f t="shared" si="978"/>
        <v>201921.99955399995</v>
      </c>
      <c r="AW148" s="59">
        <f t="shared" si="979"/>
        <v>59078.469999999987</v>
      </c>
      <c r="AX148" s="58">
        <f t="shared" si="980"/>
        <v>195301.60612599997</v>
      </c>
      <c r="AY148" s="54">
        <f t="shared" si="981"/>
        <v>57075.809999999983</v>
      </c>
      <c r="AZ148" s="58">
        <f t="shared" si="982"/>
        <v>188681.21269799996</v>
      </c>
      <c r="BC148" s="54">
        <v>1</v>
      </c>
      <c r="BD148" s="54">
        <v>0.97</v>
      </c>
      <c r="BE148" s="54">
        <v>0.95</v>
      </c>
      <c r="BF148" s="54">
        <v>0.93</v>
      </c>
      <c r="BG148" s="54">
        <f t="shared" si="983"/>
        <v>0.91</v>
      </c>
      <c r="BH148" s="54">
        <f t="shared" si="983"/>
        <v>0.89</v>
      </c>
      <c r="BI148" s="54">
        <f t="shared" si="983"/>
        <v>0.87</v>
      </c>
      <c r="BJ148" s="54">
        <f t="shared" si="983"/>
        <v>0.85</v>
      </c>
      <c r="BK148" s="54">
        <f t="shared" si="983"/>
        <v>0.83</v>
      </c>
      <c r="BL148" s="54">
        <f t="shared" si="983"/>
        <v>0.80999999999999994</v>
      </c>
      <c r="BM148" s="54">
        <f t="shared" si="983"/>
        <v>0.78999999999999992</v>
      </c>
      <c r="BN148" s="54">
        <f t="shared" si="983"/>
        <v>0.76999999999999991</v>
      </c>
      <c r="BO148" s="54">
        <f t="shared" si="983"/>
        <v>0.74999999999999989</v>
      </c>
      <c r="BP148" s="54">
        <f t="shared" si="983"/>
        <v>0.72999999999999987</v>
      </c>
      <c r="BQ148" s="54">
        <f t="shared" si="983"/>
        <v>0.70999999999999985</v>
      </c>
      <c r="BR148" s="54">
        <f t="shared" si="983"/>
        <v>0.68999999999999984</v>
      </c>
      <c r="BS148" s="54">
        <f t="shared" si="983"/>
        <v>0.66999999999999982</v>
      </c>
      <c r="BT148" s="54">
        <f t="shared" si="983"/>
        <v>0.6499999999999998</v>
      </c>
      <c r="BU148" s="54">
        <f t="shared" si="983"/>
        <v>0.62999999999999978</v>
      </c>
      <c r="BV148" s="54">
        <f t="shared" si="983"/>
        <v>0.60999999999999976</v>
      </c>
      <c r="BW148" s="54">
        <f t="shared" si="983"/>
        <v>0.58999999999999975</v>
      </c>
      <c r="BX148" s="54">
        <f t="shared" si="983"/>
        <v>0.56999999999999973</v>
      </c>
      <c r="BZ148" s="54">
        <f t="shared" ref="BZ148:BZ155" si="1073">+H148*0.91</f>
        <v>91121.030000000013</v>
      </c>
      <c r="CA148" s="54">
        <f t="shared" ref="CA148:CA155" si="1074">+BZ148</f>
        <v>91121.030000000013</v>
      </c>
      <c r="CB148" s="58">
        <f t="shared" si="984"/>
        <v>301227.90097400005</v>
      </c>
      <c r="CC148" s="54">
        <f t="shared" si="985"/>
        <v>88387.39910000001</v>
      </c>
      <c r="CD148" s="58">
        <f t="shared" si="986"/>
        <v>292191.06394478003</v>
      </c>
      <c r="CE148" s="54">
        <f t="shared" si="987"/>
        <v>86564.978500000012</v>
      </c>
      <c r="CF148" s="58">
        <f t="shared" si="988"/>
        <v>286166.50592530007</v>
      </c>
      <c r="CG148" s="54">
        <f t="shared" si="989"/>
        <v>84742.557900000014</v>
      </c>
      <c r="CH148" s="58">
        <f t="shared" si="990"/>
        <v>280141.94790582004</v>
      </c>
      <c r="CI148" s="56">
        <f t="shared" si="991"/>
        <v>82920.137300000017</v>
      </c>
      <c r="CJ148" s="58">
        <f t="shared" si="992"/>
        <v>274117.38988634007</v>
      </c>
      <c r="CK148" s="54">
        <f t="shared" si="993"/>
        <v>81097.716700000019</v>
      </c>
      <c r="CL148" s="58">
        <f t="shared" si="994"/>
        <v>268092.83186686004</v>
      </c>
      <c r="CM148" s="56">
        <f t="shared" si="995"/>
        <v>79275.296100000007</v>
      </c>
      <c r="CN148" s="58">
        <f t="shared" si="996"/>
        <v>262068.27384738004</v>
      </c>
      <c r="CO148" s="59">
        <f t="shared" si="997"/>
        <v>77452.875500000009</v>
      </c>
      <c r="CP148" s="58">
        <f t="shared" si="998"/>
        <v>256043.71582790004</v>
      </c>
      <c r="CQ148" s="56">
        <f t="shared" si="999"/>
        <v>75630.454900000012</v>
      </c>
      <c r="CR148" s="58">
        <f t="shared" si="1000"/>
        <v>250019.15780842004</v>
      </c>
      <c r="CS148" s="54">
        <f t="shared" si="1001"/>
        <v>73808.034299999999</v>
      </c>
      <c r="CT148" s="58">
        <f t="shared" si="1002"/>
        <v>243994.59978894002</v>
      </c>
      <c r="CU148" s="59">
        <f t="shared" si="1003"/>
        <v>71985.613700000002</v>
      </c>
      <c r="CV148" s="58">
        <f t="shared" si="1004"/>
        <v>237970.04176946002</v>
      </c>
      <c r="CW148" s="59">
        <f t="shared" si="1005"/>
        <v>70163.193100000004</v>
      </c>
      <c r="CX148" s="58">
        <f t="shared" si="1006"/>
        <v>231945.48374998002</v>
      </c>
      <c r="CY148" s="59">
        <f t="shared" si="1007"/>
        <v>68340.772500000006</v>
      </c>
      <c r="CZ148" s="58">
        <f t="shared" si="1008"/>
        <v>225920.92573050002</v>
      </c>
      <c r="DA148" s="54">
        <f t="shared" si="1009"/>
        <v>66518.351899999994</v>
      </c>
      <c r="DB148" s="58">
        <f t="shared" si="1010"/>
        <v>219896.36771101999</v>
      </c>
      <c r="DC148" s="59">
        <f t="shared" si="1011"/>
        <v>64695.931299999997</v>
      </c>
      <c r="DD148" s="58">
        <f t="shared" si="1012"/>
        <v>213871.80969153999</v>
      </c>
      <c r="DE148" s="59">
        <f t="shared" si="1013"/>
        <v>62873.510699999992</v>
      </c>
      <c r="DF148" s="58">
        <f t="shared" si="1014"/>
        <v>207847.25167205997</v>
      </c>
      <c r="DG148" s="59">
        <f t="shared" si="1015"/>
        <v>61051.090099999994</v>
      </c>
      <c r="DH148" s="58">
        <f t="shared" si="1016"/>
        <v>201822.69365258</v>
      </c>
      <c r="DI148" s="59">
        <f t="shared" si="1017"/>
        <v>59228.669499999989</v>
      </c>
      <c r="DJ148" s="58">
        <f t="shared" si="1018"/>
        <v>195798.13563309997</v>
      </c>
      <c r="DK148" s="54">
        <f t="shared" si="1019"/>
        <v>57406.248899999991</v>
      </c>
      <c r="DL148" s="58">
        <f t="shared" si="1020"/>
        <v>189773.57761361997</v>
      </c>
      <c r="DM148" s="59">
        <f t="shared" si="1021"/>
        <v>55583.828299999986</v>
      </c>
      <c r="DN148" s="58">
        <f t="shared" si="1022"/>
        <v>183749.01959413997</v>
      </c>
      <c r="DO148" s="59">
        <f t="shared" si="1023"/>
        <v>53761.407699999982</v>
      </c>
      <c r="DP148" s="58">
        <f t="shared" si="1024"/>
        <v>177724.46157465994</v>
      </c>
      <c r="DQ148" s="54">
        <f t="shared" si="1025"/>
        <v>51938.987099999984</v>
      </c>
      <c r="DR148" s="58">
        <f t="shared" si="1026"/>
        <v>171699.90355517995</v>
      </c>
      <c r="DU148" s="54">
        <v>1</v>
      </c>
      <c r="DV148" s="54">
        <v>0.97</v>
      </c>
      <c r="DW148" s="54">
        <v>0.95</v>
      </c>
      <c r="DX148" s="54">
        <v>0.93</v>
      </c>
      <c r="DY148" s="54">
        <f t="shared" si="935"/>
        <v>0.91</v>
      </c>
      <c r="DZ148" s="54">
        <f t="shared" si="935"/>
        <v>0.89</v>
      </c>
      <c r="EA148" s="54">
        <f t="shared" si="935"/>
        <v>0.87</v>
      </c>
      <c r="EB148" s="54">
        <f t="shared" si="935"/>
        <v>0.85</v>
      </c>
      <c r="EC148" s="54">
        <f t="shared" si="935"/>
        <v>0.83</v>
      </c>
      <c r="ED148" s="54">
        <f t="shared" si="935"/>
        <v>0.80999999999999994</v>
      </c>
      <c r="EE148" s="54">
        <f t="shared" si="935"/>
        <v>0.78999999999999992</v>
      </c>
      <c r="EF148" s="54">
        <f t="shared" si="935"/>
        <v>0.76999999999999991</v>
      </c>
      <c r="EG148" s="54">
        <f t="shared" si="935"/>
        <v>0.74999999999999989</v>
      </c>
      <c r="EH148" s="54">
        <f t="shared" si="935"/>
        <v>0.72999999999999987</v>
      </c>
      <c r="EI148" s="54">
        <f t="shared" si="935"/>
        <v>0.70999999999999985</v>
      </c>
      <c r="EJ148" s="54">
        <f t="shared" si="935"/>
        <v>0.68999999999999984</v>
      </c>
      <c r="EK148" s="54">
        <f t="shared" si="935"/>
        <v>0.66999999999999982</v>
      </c>
      <c r="EL148" s="54">
        <f t="shared" si="935"/>
        <v>0.6499999999999998</v>
      </c>
      <c r="EM148" s="54">
        <f t="shared" si="935"/>
        <v>0.62999999999999978</v>
      </c>
      <c r="EN148" s="54">
        <f t="shared" si="935"/>
        <v>0.60999999999999976</v>
      </c>
      <c r="EO148" s="54">
        <f t="shared" si="935"/>
        <v>0.58999999999999975</v>
      </c>
      <c r="EP148" s="54">
        <f t="shared" si="935"/>
        <v>0.56999999999999973</v>
      </c>
      <c r="ER148" s="54">
        <f t="shared" si="653"/>
        <v>82920.137300000017</v>
      </c>
      <c r="ES148" s="54">
        <f t="shared" ref="ES148:ES155" si="1075">+ER148</f>
        <v>82920.137300000017</v>
      </c>
      <c r="ET148" s="58">
        <f t="shared" si="1027"/>
        <v>274117.38988634007</v>
      </c>
      <c r="EU148" s="54">
        <f t="shared" si="1028"/>
        <v>80432.533181000021</v>
      </c>
      <c r="EV148" s="58">
        <f t="shared" si="1029"/>
        <v>265893.86818974989</v>
      </c>
      <c r="EW148" s="54">
        <f t="shared" si="1030"/>
        <v>78774.130435000014</v>
      </c>
      <c r="EX148" s="58">
        <f t="shared" si="1031"/>
        <v>260411.52039202306</v>
      </c>
      <c r="EY148" s="54">
        <f t="shared" si="1032"/>
        <v>77115.727689000021</v>
      </c>
      <c r="EZ148" s="58">
        <f t="shared" si="1033"/>
        <v>254929.17259429628</v>
      </c>
      <c r="FA148" s="56">
        <f t="shared" si="1034"/>
        <v>75457.324943000014</v>
      </c>
      <c r="FB148" s="58">
        <f t="shared" si="1035"/>
        <v>249446.82479656945</v>
      </c>
      <c r="FC148" s="54">
        <f t="shared" si="1036"/>
        <v>73798.922197000022</v>
      </c>
      <c r="FD148" s="58">
        <f t="shared" si="1037"/>
        <v>243964.47699884267</v>
      </c>
      <c r="FE148" s="56">
        <f t="shared" si="1038"/>
        <v>72140.519451000015</v>
      </c>
      <c r="FF148" s="58">
        <f t="shared" si="1039"/>
        <v>238482.12920111587</v>
      </c>
      <c r="FG148" s="59">
        <f t="shared" si="1040"/>
        <v>70482.116705000008</v>
      </c>
      <c r="FH148" s="58">
        <f t="shared" si="1041"/>
        <v>232999.78140338903</v>
      </c>
      <c r="FI148" s="56">
        <f t="shared" si="1042"/>
        <v>68823.713959000015</v>
      </c>
      <c r="FJ148" s="58">
        <f t="shared" si="1043"/>
        <v>227517.43360566226</v>
      </c>
      <c r="FK148" s="54">
        <f t="shared" si="1044"/>
        <v>67165.311213000008</v>
      </c>
      <c r="FL148" s="58">
        <f t="shared" si="1045"/>
        <v>222035.08580793542</v>
      </c>
      <c r="FM148" s="59">
        <f t="shared" si="1046"/>
        <v>65506.908467000008</v>
      </c>
      <c r="FN148" s="58">
        <f t="shared" si="1047"/>
        <v>216552.73801020865</v>
      </c>
      <c r="FO148" s="59">
        <f t="shared" si="1048"/>
        <v>63848.505721000009</v>
      </c>
      <c r="FP148" s="58">
        <f t="shared" si="1049"/>
        <v>211070.39021248184</v>
      </c>
      <c r="FQ148" s="59">
        <f t="shared" si="1050"/>
        <v>62190.102975000002</v>
      </c>
      <c r="FR148" s="58">
        <f t="shared" si="1051"/>
        <v>205588.04241475501</v>
      </c>
      <c r="FS148" s="54">
        <f t="shared" si="1052"/>
        <v>60531.700229000002</v>
      </c>
      <c r="FT148" s="58">
        <f t="shared" si="1053"/>
        <v>200105.6946170282</v>
      </c>
      <c r="FU148" s="59">
        <f t="shared" si="1054"/>
        <v>58873.297483000002</v>
      </c>
      <c r="FV148" s="58">
        <f t="shared" si="1055"/>
        <v>194623.3468193014</v>
      </c>
      <c r="FW148" s="59">
        <f t="shared" si="1056"/>
        <v>57214.894736999995</v>
      </c>
      <c r="FX148" s="58">
        <f t="shared" si="1057"/>
        <v>189140.99902157459</v>
      </c>
      <c r="FY148" s="59">
        <f t="shared" si="1058"/>
        <v>55556.491990999995</v>
      </c>
      <c r="FZ148" s="58">
        <f t="shared" si="1059"/>
        <v>183658.65122384779</v>
      </c>
      <c r="GA148" s="59">
        <f t="shared" si="1060"/>
        <v>53898.089244999996</v>
      </c>
      <c r="GB148" s="58">
        <f t="shared" si="1061"/>
        <v>178176.30342612098</v>
      </c>
      <c r="GC148" s="54">
        <f t="shared" si="1062"/>
        <v>52239.686498999996</v>
      </c>
      <c r="GD148" s="58">
        <f t="shared" si="1063"/>
        <v>172693.95562839418</v>
      </c>
      <c r="GE148" s="59">
        <f t="shared" si="1064"/>
        <v>50581.283752999989</v>
      </c>
      <c r="GF148" s="58">
        <f t="shared" si="1065"/>
        <v>167211.60783066737</v>
      </c>
      <c r="GG148" s="59">
        <f t="shared" si="1066"/>
        <v>48922.881006999989</v>
      </c>
      <c r="GH148" s="58">
        <f t="shared" si="1067"/>
        <v>161729.26003294057</v>
      </c>
      <c r="GI148" s="54">
        <f t="shared" si="1068"/>
        <v>47264.478260999989</v>
      </c>
      <c r="GJ148" s="58">
        <f t="shared" si="1069"/>
        <v>156246.91223521376</v>
      </c>
      <c r="GK148" s="54"/>
      <c r="GL148" s="54"/>
      <c r="GM148" s="54">
        <v>1</v>
      </c>
      <c r="GN148" s="54">
        <v>0.97</v>
      </c>
      <c r="GO148" s="54">
        <v>0.95</v>
      </c>
      <c r="GP148" s="54">
        <v>0.93</v>
      </c>
      <c r="GQ148" s="54">
        <f t="shared" si="936"/>
        <v>0.91</v>
      </c>
      <c r="GR148" s="54">
        <f t="shared" si="936"/>
        <v>0.89</v>
      </c>
      <c r="GS148" s="54">
        <f t="shared" si="936"/>
        <v>0.87</v>
      </c>
      <c r="GT148" s="54">
        <f t="shared" si="936"/>
        <v>0.85</v>
      </c>
      <c r="GU148" s="54">
        <f t="shared" si="936"/>
        <v>0.83</v>
      </c>
      <c r="GV148" s="54">
        <f t="shared" si="936"/>
        <v>0.80999999999999994</v>
      </c>
      <c r="GW148" s="54">
        <f t="shared" si="936"/>
        <v>0.78999999999999992</v>
      </c>
      <c r="GX148" s="54">
        <f t="shared" si="936"/>
        <v>0.76999999999999991</v>
      </c>
      <c r="GY148" s="54">
        <f t="shared" si="936"/>
        <v>0.74999999999999989</v>
      </c>
      <c r="GZ148" s="54">
        <f t="shared" si="936"/>
        <v>0.72999999999999987</v>
      </c>
      <c r="HA148" s="54">
        <f t="shared" si="936"/>
        <v>0.70999999999999985</v>
      </c>
      <c r="HB148" s="54">
        <f t="shared" si="936"/>
        <v>0.68999999999999984</v>
      </c>
      <c r="HC148" s="54">
        <f t="shared" si="936"/>
        <v>0.66999999999999982</v>
      </c>
      <c r="HD148" s="54">
        <f t="shared" si="936"/>
        <v>0.6499999999999998</v>
      </c>
      <c r="HE148" s="54">
        <f t="shared" si="936"/>
        <v>0.62999999999999978</v>
      </c>
      <c r="HF148" s="54">
        <f t="shared" si="936"/>
        <v>0.60999999999999976</v>
      </c>
      <c r="HG148" s="54">
        <f t="shared" si="936"/>
        <v>0.58999999999999975</v>
      </c>
      <c r="HH148" s="54">
        <f t="shared" si="936"/>
        <v>0.56999999999999973</v>
      </c>
    </row>
    <row r="149" spans="1:216" s="63" customFormat="1" x14ac:dyDescent="0.3">
      <c r="C149" s="64"/>
      <c r="D149" s="64"/>
      <c r="E149" s="64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1"/>
      <c r="Q149" s="60"/>
      <c r="R149" s="60"/>
      <c r="S149" s="60"/>
      <c r="T149" s="61"/>
      <c r="U149" s="60"/>
      <c r="V149" s="62"/>
      <c r="W149" s="60"/>
      <c r="X149" s="61"/>
      <c r="Y149" s="60"/>
      <c r="Z149" s="60"/>
      <c r="AA149" s="60"/>
      <c r="AB149" s="62"/>
      <c r="AC149" s="60"/>
      <c r="AD149" s="62"/>
      <c r="AE149" s="60"/>
      <c r="AF149" s="62"/>
      <c r="AG149" s="60"/>
      <c r="AH149" s="60"/>
      <c r="AI149" s="60"/>
      <c r="AJ149" s="62"/>
      <c r="AK149" s="60"/>
      <c r="AL149" s="62"/>
      <c r="AM149" s="60"/>
      <c r="AN149" s="62"/>
      <c r="AO149" s="60"/>
      <c r="AP149" s="62"/>
      <c r="AQ149" s="60"/>
      <c r="AR149" s="60"/>
      <c r="AS149" s="60"/>
      <c r="AT149" s="62"/>
      <c r="AU149" s="60"/>
      <c r="AV149" s="62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>
        <f t="shared" ref="BY149:BY150" si="1076">+G149*0.91</f>
        <v>0</v>
      </c>
      <c r="BZ149" s="60"/>
      <c r="CA149" s="60"/>
      <c r="CB149" s="60"/>
      <c r="CC149" s="60"/>
      <c r="CD149" s="60"/>
      <c r="CE149" s="60"/>
      <c r="CF149" s="60"/>
      <c r="CG149" s="60"/>
      <c r="CH149" s="61"/>
      <c r="CI149" s="60"/>
      <c r="CJ149" s="60"/>
      <c r="CK149" s="60"/>
      <c r="CL149" s="61"/>
      <c r="CM149" s="60"/>
      <c r="CN149" s="62"/>
      <c r="CO149" s="60"/>
      <c r="CP149" s="61"/>
      <c r="CQ149" s="60"/>
      <c r="CR149" s="60"/>
      <c r="CS149" s="60"/>
      <c r="CT149" s="62"/>
      <c r="CU149" s="60"/>
      <c r="CV149" s="62"/>
      <c r="CW149" s="60"/>
      <c r="CX149" s="62"/>
      <c r="CY149" s="60"/>
      <c r="CZ149" s="60"/>
      <c r="DA149" s="60"/>
      <c r="DB149" s="62"/>
      <c r="DC149" s="60"/>
      <c r="DD149" s="62"/>
      <c r="DE149" s="60"/>
      <c r="DF149" s="62"/>
      <c r="DG149" s="60"/>
      <c r="DH149" s="62"/>
      <c r="DI149" s="60"/>
      <c r="DJ149" s="60"/>
      <c r="DK149" s="60"/>
      <c r="DL149" s="62"/>
      <c r="DM149" s="60"/>
      <c r="DN149" s="62"/>
      <c r="DO149" s="60"/>
      <c r="DP149" s="60"/>
      <c r="DQ149" s="60"/>
      <c r="DR149" s="60"/>
      <c r="DS149" s="60"/>
      <c r="DT149" s="60">
        <v>1</v>
      </c>
      <c r="DU149" s="60">
        <v>0.97</v>
      </c>
      <c r="DV149" s="60">
        <v>0.95</v>
      </c>
      <c r="DW149" s="60">
        <v>0.93</v>
      </c>
      <c r="DX149" s="60">
        <f t="shared" ref="DX149:EO150" si="1077">+DW149-0.02</f>
        <v>0.91</v>
      </c>
      <c r="DY149" s="60">
        <f t="shared" si="1077"/>
        <v>0.89</v>
      </c>
      <c r="DZ149" s="60">
        <f t="shared" si="1077"/>
        <v>0.87</v>
      </c>
      <c r="EA149" s="60">
        <f t="shared" si="1077"/>
        <v>0.85</v>
      </c>
      <c r="EB149" s="60">
        <f t="shared" si="1077"/>
        <v>0.83</v>
      </c>
      <c r="EC149" s="60">
        <f t="shared" si="1077"/>
        <v>0.80999999999999994</v>
      </c>
      <c r="ED149" s="60">
        <f t="shared" si="1077"/>
        <v>0.78999999999999992</v>
      </c>
      <c r="EE149" s="60">
        <f t="shared" si="1077"/>
        <v>0.76999999999999991</v>
      </c>
      <c r="EF149" s="60">
        <f t="shared" si="1077"/>
        <v>0.74999999999999989</v>
      </c>
      <c r="EG149" s="60">
        <f t="shared" si="1077"/>
        <v>0.72999999999999987</v>
      </c>
      <c r="EH149" s="60">
        <f t="shared" si="1077"/>
        <v>0.70999999999999985</v>
      </c>
      <c r="EI149" s="60">
        <f t="shared" si="1077"/>
        <v>0.68999999999999984</v>
      </c>
      <c r="EJ149" s="60">
        <f t="shared" si="1077"/>
        <v>0.66999999999999982</v>
      </c>
      <c r="EK149" s="60">
        <f t="shared" si="1077"/>
        <v>0.6499999999999998</v>
      </c>
      <c r="EL149" s="60">
        <f t="shared" si="1077"/>
        <v>0.62999999999999978</v>
      </c>
      <c r="EM149" s="60">
        <f t="shared" si="1077"/>
        <v>0.60999999999999976</v>
      </c>
      <c r="EN149" s="60">
        <f t="shared" si="1077"/>
        <v>0.58999999999999975</v>
      </c>
      <c r="EO149" s="60">
        <f t="shared" si="1077"/>
        <v>0.56999999999999973</v>
      </c>
      <c r="EQ149" s="60">
        <f t="shared" ref="EQ149:EQ150" si="1078">+BY149*0.91</f>
        <v>0</v>
      </c>
      <c r="ER149" s="60"/>
      <c r="ES149" s="60"/>
      <c r="ET149" s="60"/>
      <c r="EU149" s="60"/>
      <c r="EV149" s="60"/>
      <c r="EW149" s="60"/>
      <c r="EX149" s="60"/>
      <c r="EY149" s="60"/>
      <c r="EZ149" s="61"/>
      <c r="FA149" s="60"/>
      <c r="FB149" s="60"/>
      <c r="FC149" s="60"/>
      <c r="FD149" s="61"/>
      <c r="FE149" s="60"/>
      <c r="FF149" s="62"/>
      <c r="FG149" s="60"/>
      <c r="FH149" s="61"/>
      <c r="FI149" s="60"/>
      <c r="FJ149" s="60"/>
      <c r="FK149" s="60"/>
      <c r="FL149" s="62"/>
      <c r="FM149" s="60"/>
      <c r="FN149" s="62"/>
      <c r="FO149" s="60"/>
      <c r="FP149" s="62"/>
      <c r="FQ149" s="60"/>
      <c r="FR149" s="60"/>
      <c r="FS149" s="60"/>
      <c r="FT149" s="62"/>
      <c r="FU149" s="60"/>
      <c r="FV149" s="62"/>
      <c r="FW149" s="60"/>
      <c r="FX149" s="62"/>
      <c r="FY149" s="60"/>
      <c r="FZ149" s="62"/>
      <c r="GA149" s="60"/>
      <c r="GB149" s="60"/>
      <c r="GC149" s="60"/>
      <c r="GD149" s="62"/>
      <c r="GE149" s="60"/>
      <c r="GF149" s="62"/>
      <c r="GG149" s="60"/>
      <c r="GH149" s="60"/>
      <c r="GI149" s="60"/>
      <c r="GJ149" s="60"/>
      <c r="GK149" s="60"/>
      <c r="GL149" s="60">
        <v>1</v>
      </c>
      <c r="GM149" s="60">
        <v>0.97</v>
      </c>
      <c r="GN149" s="60">
        <v>0.95</v>
      </c>
      <c r="GO149" s="60">
        <v>0.93</v>
      </c>
      <c r="GP149" s="60">
        <f t="shared" ref="GP149:HG150" si="1079">+GO149-0.02</f>
        <v>0.91</v>
      </c>
      <c r="GQ149" s="60">
        <f t="shared" si="1079"/>
        <v>0.89</v>
      </c>
      <c r="GR149" s="60">
        <f t="shared" si="1079"/>
        <v>0.87</v>
      </c>
      <c r="GS149" s="60">
        <f t="shared" si="1079"/>
        <v>0.85</v>
      </c>
      <c r="GT149" s="60">
        <f t="shared" si="1079"/>
        <v>0.83</v>
      </c>
      <c r="GU149" s="60">
        <f t="shared" si="1079"/>
        <v>0.80999999999999994</v>
      </c>
      <c r="GV149" s="60">
        <f t="shared" si="1079"/>
        <v>0.78999999999999992</v>
      </c>
      <c r="GW149" s="60">
        <f t="shared" si="1079"/>
        <v>0.76999999999999991</v>
      </c>
      <c r="GX149" s="60">
        <f t="shared" si="1079"/>
        <v>0.74999999999999989</v>
      </c>
      <c r="GY149" s="60">
        <f t="shared" si="1079"/>
        <v>0.72999999999999987</v>
      </c>
      <c r="GZ149" s="60">
        <f t="shared" si="1079"/>
        <v>0.70999999999999985</v>
      </c>
      <c r="HA149" s="60">
        <f t="shared" si="1079"/>
        <v>0.68999999999999984</v>
      </c>
      <c r="HB149" s="60">
        <f t="shared" si="1079"/>
        <v>0.66999999999999982</v>
      </c>
      <c r="HC149" s="60">
        <f t="shared" si="1079"/>
        <v>0.6499999999999998</v>
      </c>
      <c r="HD149" s="60">
        <f t="shared" si="1079"/>
        <v>0.62999999999999978</v>
      </c>
      <c r="HE149" s="60">
        <f t="shared" si="1079"/>
        <v>0.60999999999999976</v>
      </c>
      <c r="HF149" s="60">
        <f t="shared" si="1079"/>
        <v>0.58999999999999975</v>
      </c>
      <c r="HG149" s="60">
        <f t="shared" si="1079"/>
        <v>0.56999999999999973</v>
      </c>
    </row>
    <row r="150" spans="1:216" s="63" customFormat="1" ht="17.25" thickBot="1" x14ac:dyDescent="0.35">
      <c r="B150" s="63" t="s">
        <v>299</v>
      </c>
      <c r="C150" s="63" t="s">
        <v>294</v>
      </c>
      <c r="D150" s="64" t="s">
        <v>304</v>
      </c>
      <c r="E150" s="64" t="s">
        <v>324</v>
      </c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1"/>
      <c r="Q150" s="60"/>
      <c r="R150" s="60"/>
      <c r="S150" s="60"/>
      <c r="T150" s="61"/>
      <c r="U150" s="60"/>
      <c r="V150" s="62"/>
      <c r="W150" s="60"/>
      <c r="X150" s="61"/>
      <c r="Y150" s="60"/>
      <c r="Z150" s="60"/>
      <c r="AA150" s="60"/>
      <c r="AB150" s="62"/>
      <c r="AC150" s="60"/>
      <c r="AD150" s="62"/>
      <c r="AE150" s="60"/>
      <c r="AF150" s="62"/>
      <c r="AG150" s="60"/>
      <c r="AH150" s="60"/>
      <c r="AI150" s="60"/>
      <c r="AJ150" s="62"/>
      <c r="AK150" s="60"/>
      <c r="AL150" s="62"/>
      <c r="AM150" s="60"/>
      <c r="AN150" s="62"/>
      <c r="AO150" s="60"/>
      <c r="AP150" s="62"/>
      <c r="AQ150" s="60"/>
      <c r="AR150" s="60"/>
      <c r="AS150" s="60"/>
      <c r="AT150" s="62"/>
      <c r="AU150" s="60"/>
      <c r="AV150" s="62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>
        <f t="shared" si="1076"/>
        <v>0</v>
      </c>
      <c r="BZ150" s="60"/>
      <c r="CA150" s="60"/>
      <c r="CB150" s="60"/>
      <c r="CC150" s="60"/>
      <c r="CD150" s="60"/>
      <c r="CE150" s="60"/>
      <c r="CF150" s="60"/>
      <c r="CG150" s="60"/>
      <c r="CH150" s="61"/>
      <c r="CI150" s="60"/>
      <c r="CJ150" s="60"/>
      <c r="CK150" s="60"/>
      <c r="CL150" s="61"/>
      <c r="CM150" s="60"/>
      <c r="CN150" s="62"/>
      <c r="CO150" s="60"/>
      <c r="CP150" s="61"/>
      <c r="CQ150" s="60"/>
      <c r="CR150" s="60"/>
      <c r="CS150" s="60"/>
      <c r="CT150" s="62"/>
      <c r="CU150" s="60"/>
      <c r="CV150" s="62"/>
      <c r="CW150" s="60"/>
      <c r="CX150" s="62"/>
      <c r="CY150" s="60"/>
      <c r="CZ150" s="60"/>
      <c r="DA150" s="60"/>
      <c r="DB150" s="62"/>
      <c r="DC150" s="60"/>
      <c r="DD150" s="62"/>
      <c r="DE150" s="60"/>
      <c r="DF150" s="62"/>
      <c r="DG150" s="60"/>
      <c r="DH150" s="62"/>
      <c r="DI150" s="60"/>
      <c r="DJ150" s="60"/>
      <c r="DK150" s="60"/>
      <c r="DL150" s="62"/>
      <c r="DM150" s="60"/>
      <c r="DN150" s="62"/>
      <c r="DO150" s="60"/>
      <c r="DP150" s="60"/>
      <c r="DQ150" s="60"/>
      <c r="DR150" s="60"/>
      <c r="DS150" s="60"/>
      <c r="DT150" s="60">
        <v>1</v>
      </c>
      <c r="DU150" s="60">
        <v>0.97</v>
      </c>
      <c r="DV150" s="60">
        <v>0.95</v>
      </c>
      <c r="DW150" s="60">
        <v>0.93</v>
      </c>
      <c r="DX150" s="60">
        <f t="shared" si="1077"/>
        <v>0.91</v>
      </c>
      <c r="DY150" s="60">
        <f t="shared" si="1077"/>
        <v>0.89</v>
      </c>
      <c r="DZ150" s="60">
        <f t="shared" si="1077"/>
        <v>0.87</v>
      </c>
      <c r="EA150" s="60">
        <f t="shared" si="1077"/>
        <v>0.85</v>
      </c>
      <c r="EB150" s="60">
        <f t="shared" si="1077"/>
        <v>0.83</v>
      </c>
      <c r="EC150" s="60">
        <f t="shared" si="1077"/>
        <v>0.80999999999999994</v>
      </c>
      <c r="ED150" s="60">
        <f t="shared" si="1077"/>
        <v>0.78999999999999992</v>
      </c>
      <c r="EE150" s="60">
        <f t="shared" si="1077"/>
        <v>0.76999999999999991</v>
      </c>
      <c r="EF150" s="60">
        <f t="shared" si="1077"/>
        <v>0.74999999999999989</v>
      </c>
      <c r="EG150" s="60">
        <f t="shared" si="1077"/>
        <v>0.72999999999999987</v>
      </c>
      <c r="EH150" s="60">
        <f t="shared" si="1077"/>
        <v>0.70999999999999985</v>
      </c>
      <c r="EI150" s="60">
        <f t="shared" si="1077"/>
        <v>0.68999999999999984</v>
      </c>
      <c r="EJ150" s="60">
        <f t="shared" si="1077"/>
        <v>0.66999999999999982</v>
      </c>
      <c r="EK150" s="60">
        <f t="shared" si="1077"/>
        <v>0.6499999999999998</v>
      </c>
      <c r="EL150" s="60">
        <f t="shared" si="1077"/>
        <v>0.62999999999999978</v>
      </c>
      <c r="EM150" s="60">
        <f t="shared" si="1077"/>
        <v>0.60999999999999976</v>
      </c>
      <c r="EN150" s="60">
        <f t="shared" si="1077"/>
        <v>0.58999999999999975</v>
      </c>
      <c r="EO150" s="60">
        <f t="shared" si="1077"/>
        <v>0.56999999999999973</v>
      </c>
      <c r="EQ150" s="60">
        <f t="shared" si="1078"/>
        <v>0</v>
      </c>
      <c r="ER150" s="60"/>
      <c r="ES150" s="60"/>
      <c r="ET150" s="60"/>
      <c r="EU150" s="60"/>
      <c r="EV150" s="60"/>
      <c r="EW150" s="60"/>
      <c r="EX150" s="60"/>
      <c r="EY150" s="60"/>
      <c r="EZ150" s="61"/>
      <c r="FA150" s="60"/>
      <c r="FB150" s="60"/>
      <c r="FC150" s="60"/>
      <c r="FD150" s="61"/>
      <c r="FE150" s="60"/>
      <c r="FF150" s="62"/>
      <c r="FG150" s="60"/>
      <c r="FH150" s="61"/>
      <c r="FI150" s="60"/>
      <c r="FJ150" s="60"/>
      <c r="FK150" s="60"/>
      <c r="FL150" s="62"/>
      <c r="FM150" s="60"/>
      <c r="FN150" s="62"/>
      <c r="FO150" s="60"/>
      <c r="FP150" s="62"/>
      <c r="FQ150" s="60"/>
      <c r="FR150" s="60"/>
      <c r="FS150" s="60"/>
      <c r="FT150" s="62"/>
      <c r="FU150" s="60"/>
      <c r="FV150" s="62"/>
      <c r="FW150" s="60"/>
      <c r="FX150" s="62"/>
      <c r="FY150" s="60"/>
      <c r="FZ150" s="62"/>
      <c r="GA150" s="60"/>
      <c r="GB150" s="60"/>
      <c r="GC150" s="60"/>
      <c r="GD150" s="62"/>
      <c r="GE150" s="60"/>
      <c r="GF150" s="62"/>
      <c r="GG150" s="60"/>
      <c r="GH150" s="60"/>
      <c r="GI150" s="60"/>
      <c r="GJ150" s="60"/>
      <c r="GK150" s="60"/>
      <c r="GL150" s="60">
        <v>1</v>
      </c>
      <c r="GM150" s="60">
        <v>0.97</v>
      </c>
      <c r="GN150" s="60">
        <v>0.95</v>
      </c>
      <c r="GO150" s="60">
        <v>0.93</v>
      </c>
      <c r="GP150" s="60">
        <f t="shared" si="1079"/>
        <v>0.91</v>
      </c>
      <c r="GQ150" s="60">
        <f t="shared" si="1079"/>
        <v>0.89</v>
      </c>
      <c r="GR150" s="60">
        <f t="shared" si="1079"/>
        <v>0.87</v>
      </c>
      <c r="GS150" s="60">
        <f t="shared" si="1079"/>
        <v>0.85</v>
      </c>
      <c r="GT150" s="60">
        <f t="shared" si="1079"/>
        <v>0.83</v>
      </c>
      <c r="GU150" s="60">
        <f t="shared" si="1079"/>
        <v>0.80999999999999994</v>
      </c>
      <c r="GV150" s="60">
        <f t="shared" si="1079"/>
        <v>0.78999999999999992</v>
      </c>
      <c r="GW150" s="60">
        <f t="shared" si="1079"/>
        <v>0.76999999999999991</v>
      </c>
      <c r="GX150" s="60">
        <f t="shared" si="1079"/>
        <v>0.74999999999999989</v>
      </c>
      <c r="GY150" s="60">
        <f t="shared" si="1079"/>
        <v>0.72999999999999987</v>
      </c>
      <c r="GZ150" s="60">
        <f t="shared" si="1079"/>
        <v>0.70999999999999985</v>
      </c>
      <c r="HA150" s="60">
        <f t="shared" si="1079"/>
        <v>0.68999999999999984</v>
      </c>
      <c r="HB150" s="60">
        <f t="shared" si="1079"/>
        <v>0.66999999999999982</v>
      </c>
      <c r="HC150" s="60">
        <f t="shared" si="1079"/>
        <v>0.6499999999999998</v>
      </c>
      <c r="HD150" s="60">
        <f t="shared" si="1079"/>
        <v>0.62999999999999978</v>
      </c>
      <c r="HE150" s="60">
        <f t="shared" si="1079"/>
        <v>0.60999999999999976</v>
      </c>
      <c r="HF150" s="60">
        <f t="shared" si="1079"/>
        <v>0.58999999999999975</v>
      </c>
      <c r="HG150" s="60">
        <f t="shared" si="1079"/>
        <v>0.56999999999999973</v>
      </c>
    </row>
    <row r="151" spans="1:216" x14ac:dyDescent="0.3">
      <c r="A151" s="2">
        <v>1</v>
      </c>
      <c r="C151" s="38" t="s">
        <v>51</v>
      </c>
      <c r="D151" s="40">
        <v>2030</v>
      </c>
      <c r="E151" s="71">
        <f>TRUNC(+D151*3.3058,-1)</f>
        <v>6710</v>
      </c>
      <c r="H151" s="54">
        <f t="shared" si="1070"/>
        <v>7381.0000000000009</v>
      </c>
      <c r="I151" s="54">
        <f t="shared" si="1071"/>
        <v>7381.0000000000009</v>
      </c>
      <c r="J151" s="58">
        <f t="shared" si="1072"/>
        <v>24400.109800000002</v>
      </c>
      <c r="K151" s="54">
        <f t="shared" ref="K151:K155" si="1080">+I151*BD151</f>
        <v>7159.5700000000006</v>
      </c>
      <c r="L151" s="58">
        <f t="shared" ref="L151:L155" si="1081">+K151*3.3058</f>
        <v>23668.106506000004</v>
      </c>
      <c r="M151" s="54">
        <f t="shared" ref="M151:M155" si="1082">+I151*BE151</f>
        <v>7011.9500000000007</v>
      </c>
      <c r="N151" s="58">
        <f t="shared" ref="N151:N155" si="1083">+M151*3.3058</f>
        <v>23180.104310000002</v>
      </c>
      <c r="O151" s="54">
        <f>+I151*BF151</f>
        <v>6864.3300000000008</v>
      </c>
      <c r="P151" s="58">
        <f t="shared" ref="P151:P155" si="1084">+O151*3.3058</f>
        <v>22692.102114000005</v>
      </c>
      <c r="Q151" s="56">
        <f>+I151*BG151</f>
        <v>6716.7100000000009</v>
      </c>
      <c r="R151" s="58">
        <f t="shared" ref="R151:R155" si="1085">+Q151*3.3058</f>
        <v>22204.099918000004</v>
      </c>
      <c r="S151" s="54">
        <f>+I151*BH151</f>
        <v>6569.0900000000011</v>
      </c>
      <c r="T151" s="58">
        <f t="shared" ref="T151:T155" si="1086">+S151*3.3058</f>
        <v>21716.097722000002</v>
      </c>
      <c r="U151" s="56">
        <f>+I151*BI151</f>
        <v>6421.4700000000012</v>
      </c>
      <c r="V151" s="58">
        <f t="shared" ref="V151:V155" si="1087">+U151*3.3058</f>
        <v>21228.095526000005</v>
      </c>
      <c r="W151" s="59">
        <f>+I151*BJ151</f>
        <v>6273.85</v>
      </c>
      <c r="X151" s="58">
        <f t="shared" ref="X151:X155" si="1088">+W151*3.3058</f>
        <v>20740.093330000003</v>
      </c>
      <c r="Y151" s="56">
        <f>+I151*BK151</f>
        <v>6126.2300000000005</v>
      </c>
      <c r="Z151" s="58">
        <f t="shared" ref="Z151:Z155" si="1089">+Y151*3.3058</f>
        <v>20252.091134000002</v>
      </c>
      <c r="AA151" s="54">
        <f>+I151*BL151</f>
        <v>5978.6100000000006</v>
      </c>
      <c r="AB151" s="58">
        <f t="shared" ref="AB151:AB155" si="1090">+AA151*3.3058</f>
        <v>19764.088938000001</v>
      </c>
      <c r="AC151" s="59">
        <f>+I151*BM151</f>
        <v>5830.99</v>
      </c>
      <c r="AD151" s="58">
        <f t="shared" ref="AD151:AD155" si="1091">+AC151*3.3058</f>
        <v>19276.086742</v>
      </c>
      <c r="AE151" s="59">
        <f>+I151*BN151</f>
        <v>5683.37</v>
      </c>
      <c r="AF151" s="58">
        <f t="shared" ref="AF151:AF155" si="1092">+AE151*3.3058</f>
        <v>18788.084546000002</v>
      </c>
      <c r="AG151" s="59">
        <f>+I151*BO151</f>
        <v>5535.75</v>
      </c>
      <c r="AH151" s="58">
        <f t="shared" ref="AH151:AH155" si="1093">+AG151*3.3058</f>
        <v>18300.082350000001</v>
      </c>
      <c r="AI151" s="54">
        <f>+I151*BP151</f>
        <v>5388.13</v>
      </c>
      <c r="AJ151" s="58">
        <f t="shared" ref="AJ151:AJ155" si="1094">+AI151*3.3058</f>
        <v>17812.080153999999</v>
      </c>
      <c r="AK151" s="59">
        <f>+I151*BQ151</f>
        <v>5240.5099999999993</v>
      </c>
      <c r="AL151" s="58">
        <f t="shared" ref="AL151:AL155" si="1095">+AK151*3.3058</f>
        <v>17324.077957999998</v>
      </c>
      <c r="AM151" s="59">
        <f>+I151*BR151</f>
        <v>5092.8899999999994</v>
      </c>
      <c r="AN151" s="58">
        <f t="shared" ref="AN151:AN155" si="1096">+AM151*3.3058</f>
        <v>16836.075761999997</v>
      </c>
      <c r="AO151" s="59">
        <f>+I151*BS151</f>
        <v>4945.2699999999995</v>
      </c>
      <c r="AP151" s="58">
        <f t="shared" ref="AP151:AP155" si="1097">+AO151*3.3058</f>
        <v>16348.073565999999</v>
      </c>
      <c r="AQ151" s="59">
        <f>+I151*BT151</f>
        <v>4797.6499999999987</v>
      </c>
      <c r="AR151" s="58">
        <f t="shared" ref="AR151:AR155" si="1098">+AQ151*3.3058</f>
        <v>15860.071369999996</v>
      </c>
      <c r="AS151" s="54">
        <f>+I151*BU151</f>
        <v>4650.0299999999988</v>
      </c>
      <c r="AT151" s="58">
        <f t="shared" ref="AT151:AT155" si="1099">+AS151*3.3058</f>
        <v>15372.069173999997</v>
      </c>
      <c r="AU151" s="59">
        <f>+I151*BV151</f>
        <v>4502.4099999999989</v>
      </c>
      <c r="AV151" s="58">
        <f t="shared" ref="AV151:AV155" si="1100">+AU151*3.3058</f>
        <v>14884.066977999997</v>
      </c>
      <c r="AW151" s="59">
        <f>+I151*BW151</f>
        <v>4354.7899999999991</v>
      </c>
      <c r="AX151" s="58">
        <f t="shared" ref="AX151:AX155" si="1101">+AW151*3.3058</f>
        <v>14396.064781999998</v>
      </c>
      <c r="AY151" s="54">
        <f>+I151*BX151</f>
        <v>4207.1699999999983</v>
      </c>
      <c r="AZ151" s="58">
        <f t="shared" ref="AZ151:AZ155" si="1102">+AY151*3.3058</f>
        <v>13908.062585999995</v>
      </c>
      <c r="BC151" s="54">
        <v>1</v>
      </c>
      <c r="BD151" s="54">
        <v>0.97</v>
      </c>
      <c r="BE151" s="54">
        <v>0.95</v>
      </c>
      <c r="BF151" s="54">
        <v>0.93</v>
      </c>
      <c r="BG151" s="54">
        <f t="shared" ref="BG151:BX155" si="1103">+BF151-0.02</f>
        <v>0.91</v>
      </c>
      <c r="BH151" s="54">
        <f t="shared" si="1103"/>
        <v>0.89</v>
      </c>
      <c r="BI151" s="54">
        <f t="shared" si="1103"/>
        <v>0.87</v>
      </c>
      <c r="BJ151" s="54">
        <f t="shared" si="1103"/>
        <v>0.85</v>
      </c>
      <c r="BK151" s="54">
        <f t="shared" si="1103"/>
        <v>0.83</v>
      </c>
      <c r="BL151" s="54">
        <f t="shared" si="1103"/>
        <v>0.80999999999999994</v>
      </c>
      <c r="BM151" s="54">
        <f t="shared" si="1103"/>
        <v>0.78999999999999992</v>
      </c>
      <c r="BN151" s="54">
        <f t="shared" si="1103"/>
        <v>0.76999999999999991</v>
      </c>
      <c r="BO151" s="54">
        <f t="shared" si="1103"/>
        <v>0.74999999999999989</v>
      </c>
      <c r="BP151" s="54">
        <f t="shared" si="1103"/>
        <v>0.72999999999999987</v>
      </c>
      <c r="BQ151" s="54">
        <f t="shared" si="1103"/>
        <v>0.70999999999999985</v>
      </c>
      <c r="BR151" s="54">
        <f t="shared" si="1103"/>
        <v>0.68999999999999984</v>
      </c>
      <c r="BS151" s="54">
        <f t="shared" si="1103"/>
        <v>0.66999999999999982</v>
      </c>
      <c r="BT151" s="54">
        <f t="shared" si="1103"/>
        <v>0.6499999999999998</v>
      </c>
      <c r="BU151" s="54">
        <f t="shared" si="1103"/>
        <v>0.62999999999999978</v>
      </c>
      <c r="BV151" s="54">
        <f t="shared" si="1103"/>
        <v>0.60999999999999976</v>
      </c>
      <c r="BW151" s="54">
        <f t="shared" si="1103"/>
        <v>0.58999999999999975</v>
      </c>
      <c r="BX151" s="54">
        <f t="shared" si="1103"/>
        <v>0.56999999999999973</v>
      </c>
      <c r="BZ151" s="54">
        <f t="shared" si="1073"/>
        <v>6716.7100000000009</v>
      </c>
      <c r="CA151" s="54">
        <f t="shared" si="1074"/>
        <v>6716.7100000000009</v>
      </c>
      <c r="CB151" s="58">
        <f t="shared" ref="CB151:CB155" si="1104">+CA151*3.3058</f>
        <v>22204.099918000004</v>
      </c>
      <c r="CC151" s="54">
        <f t="shared" ref="CC151:CC155" si="1105">+CA151*DV151</f>
        <v>6515.208700000001</v>
      </c>
      <c r="CD151" s="58">
        <f t="shared" ref="CD151:CD155" si="1106">+CC151*3.3058</f>
        <v>21537.976920460005</v>
      </c>
      <c r="CE151" s="54">
        <f t="shared" ref="CE151:CE155" si="1107">+CA151*DW151</f>
        <v>6380.8745000000008</v>
      </c>
      <c r="CF151" s="58">
        <f t="shared" ref="CF151:CF155" si="1108">+CE151*3.3058</f>
        <v>21093.894922100004</v>
      </c>
      <c r="CG151" s="54">
        <f>+CA151*DX151</f>
        <v>6246.5403000000015</v>
      </c>
      <c r="CH151" s="58">
        <f t="shared" ref="CH151:CH155" si="1109">+CG151*3.3058</f>
        <v>20649.812923740006</v>
      </c>
      <c r="CI151" s="56">
        <f>+CA151*DY151</f>
        <v>6112.2061000000012</v>
      </c>
      <c r="CJ151" s="58">
        <f t="shared" ref="CJ151:CJ155" si="1110">+CI151*3.3058</f>
        <v>20205.730925380005</v>
      </c>
      <c r="CK151" s="54">
        <f>+CA151*DZ151</f>
        <v>5977.871900000001</v>
      </c>
      <c r="CL151" s="58">
        <f t="shared" ref="CL151:CL155" si="1111">+CK151*3.3058</f>
        <v>19761.648927020004</v>
      </c>
      <c r="CM151" s="56">
        <f>+CA151*EA151</f>
        <v>5843.5377000000008</v>
      </c>
      <c r="CN151" s="58">
        <f t="shared" ref="CN151:CN155" si="1112">+CM151*3.3058</f>
        <v>19317.566928660002</v>
      </c>
      <c r="CO151" s="59">
        <f>+CA151*EB151</f>
        <v>5709.2035000000005</v>
      </c>
      <c r="CP151" s="58">
        <f t="shared" ref="CP151:CP155" si="1113">+CO151*3.3058</f>
        <v>18873.484930300001</v>
      </c>
      <c r="CQ151" s="56">
        <f>+CA151*EC151</f>
        <v>5574.8693000000003</v>
      </c>
      <c r="CR151" s="58">
        <f t="shared" ref="CR151:CR155" si="1114">+CQ151*3.3058</f>
        <v>18429.40293194</v>
      </c>
      <c r="CS151" s="54">
        <f>+CA151*ED151</f>
        <v>5440.5351000000001</v>
      </c>
      <c r="CT151" s="58">
        <f t="shared" ref="CT151:CT155" si="1115">+CS151*3.3058</f>
        <v>17985.320933580002</v>
      </c>
      <c r="CU151" s="59">
        <f>+CA151*EE151</f>
        <v>5306.2008999999998</v>
      </c>
      <c r="CV151" s="58">
        <f t="shared" ref="CV151:CV155" si="1116">+CU151*3.3058</f>
        <v>17541.238935220001</v>
      </c>
      <c r="CW151" s="59">
        <f>+CA151*EF151</f>
        <v>5171.8667000000005</v>
      </c>
      <c r="CX151" s="58">
        <f t="shared" ref="CX151:CX155" si="1117">+CW151*3.3058</f>
        <v>17097.156936860003</v>
      </c>
      <c r="CY151" s="59">
        <f>+CA151*EG151</f>
        <v>5037.5325000000003</v>
      </c>
      <c r="CZ151" s="58">
        <f t="shared" ref="CZ151:CZ155" si="1118">+CY151*3.3058</f>
        <v>16653.074938500002</v>
      </c>
      <c r="DA151" s="54">
        <f>+CA151*EH151</f>
        <v>4903.1983</v>
      </c>
      <c r="DB151" s="58">
        <f t="shared" ref="DB151:DB155" si="1119">+DA151*3.3058</f>
        <v>16208.99294014</v>
      </c>
      <c r="DC151" s="59">
        <f>+CA151*EI151</f>
        <v>4768.8640999999998</v>
      </c>
      <c r="DD151" s="58">
        <f t="shared" ref="DD151:DD155" si="1120">+DC151*3.3058</f>
        <v>15764.910941779999</v>
      </c>
      <c r="DE151" s="59">
        <f>+CA151*EJ151</f>
        <v>4634.5298999999995</v>
      </c>
      <c r="DF151" s="58">
        <f t="shared" ref="DF151:DF155" si="1121">+DE151*3.3058</f>
        <v>15320.82894342</v>
      </c>
      <c r="DG151" s="59">
        <f>+CA151*EK151</f>
        <v>4500.1956999999993</v>
      </c>
      <c r="DH151" s="58">
        <f t="shared" ref="DH151:DH155" si="1122">+DG151*3.3058</f>
        <v>14876.746945059998</v>
      </c>
      <c r="DI151" s="59">
        <f>+CA151*EL151</f>
        <v>4365.8614999999991</v>
      </c>
      <c r="DJ151" s="58">
        <f t="shared" ref="DJ151:DJ155" si="1123">+DI151*3.3058</f>
        <v>14432.664946699997</v>
      </c>
      <c r="DK151" s="54">
        <f>+CA151*EM151</f>
        <v>4231.5272999999988</v>
      </c>
      <c r="DL151" s="58">
        <f t="shared" ref="DL151:DL155" si="1124">+DK151*3.3058</f>
        <v>13988.582948339996</v>
      </c>
      <c r="DM151" s="59">
        <f>+CA151*EN151</f>
        <v>4097.1930999999986</v>
      </c>
      <c r="DN151" s="58">
        <f t="shared" ref="DN151:DN155" si="1125">+DM151*3.3058</f>
        <v>13544.500949979996</v>
      </c>
      <c r="DO151" s="59">
        <f>+CA151*EO151</f>
        <v>3962.8588999999988</v>
      </c>
      <c r="DP151" s="58">
        <f t="shared" ref="DP151:DP155" si="1126">+DO151*3.3058</f>
        <v>13100.418951619997</v>
      </c>
      <c r="DQ151" s="54">
        <f>+CA151*EP151</f>
        <v>3828.5246999999986</v>
      </c>
      <c r="DR151" s="58">
        <f t="shared" ref="DR151:DR155" si="1127">+DQ151*3.3058</f>
        <v>12656.336953259995</v>
      </c>
      <c r="DU151" s="54">
        <v>1</v>
      </c>
      <c r="DV151" s="54">
        <v>0.97</v>
      </c>
      <c r="DW151" s="54">
        <v>0.95</v>
      </c>
      <c r="DX151" s="54">
        <v>0.93</v>
      </c>
      <c r="DY151" s="54">
        <f t="shared" si="935"/>
        <v>0.91</v>
      </c>
      <c r="DZ151" s="54">
        <f t="shared" si="935"/>
        <v>0.89</v>
      </c>
      <c r="EA151" s="54">
        <f t="shared" si="935"/>
        <v>0.87</v>
      </c>
      <c r="EB151" s="54">
        <f t="shared" si="935"/>
        <v>0.85</v>
      </c>
      <c r="EC151" s="54">
        <f t="shared" si="935"/>
        <v>0.83</v>
      </c>
      <c r="ED151" s="54">
        <f t="shared" si="935"/>
        <v>0.80999999999999994</v>
      </c>
      <c r="EE151" s="54">
        <f t="shared" si="935"/>
        <v>0.78999999999999992</v>
      </c>
      <c r="EF151" s="54">
        <f t="shared" si="935"/>
        <v>0.76999999999999991</v>
      </c>
      <c r="EG151" s="54">
        <f t="shared" si="935"/>
        <v>0.74999999999999989</v>
      </c>
      <c r="EH151" s="54">
        <f t="shared" si="935"/>
        <v>0.72999999999999987</v>
      </c>
      <c r="EI151" s="54">
        <f t="shared" si="935"/>
        <v>0.70999999999999985</v>
      </c>
      <c r="EJ151" s="54">
        <f t="shared" si="935"/>
        <v>0.68999999999999984</v>
      </c>
      <c r="EK151" s="54">
        <f t="shared" si="935"/>
        <v>0.66999999999999982</v>
      </c>
      <c r="EL151" s="54">
        <f t="shared" si="935"/>
        <v>0.6499999999999998</v>
      </c>
      <c r="EM151" s="54">
        <f t="shared" si="935"/>
        <v>0.62999999999999978</v>
      </c>
      <c r="EN151" s="54">
        <f t="shared" si="935"/>
        <v>0.60999999999999976</v>
      </c>
      <c r="EO151" s="54">
        <f t="shared" si="935"/>
        <v>0.58999999999999975</v>
      </c>
      <c r="EP151" s="54">
        <f t="shared" si="935"/>
        <v>0.56999999999999973</v>
      </c>
      <c r="ER151" s="54">
        <f t="shared" si="653"/>
        <v>6112.2061000000012</v>
      </c>
      <c r="ES151" s="54">
        <f t="shared" si="1075"/>
        <v>6112.2061000000012</v>
      </c>
      <c r="ET151" s="58">
        <f t="shared" ref="ET151:ET155" si="1128">+ES151*3.3058</f>
        <v>20205.730925380005</v>
      </c>
      <c r="EU151" s="54">
        <f t="shared" ref="EU151:EU155" si="1129">+ES151*GN151</f>
        <v>5928.8399170000012</v>
      </c>
      <c r="EV151" s="58">
        <f t="shared" ref="EV151:EV155" si="1130">+EU151*3.3058</f>
        <v>19599.558997618606</v>
      </c>
      <c r="EW151" s="54">
        <f t="shared" ref="EW151:EW155" si="1131">+ES151*GO151</f>
        <v>5806.5957950000011</v>
      </c>
      <c r="EX151" s="58">
        <f t="shared" ref="EX151:EX155" si="1132">+EW151*3.3058</f>
        <v>19195.444379111002</v>
      </c>
      <c r="EY151" s="54">
        <f>+ES151*GP151</f>
        <v>5684.351673000001</v>
      </c>
      <c r="EZ151" s="58">
        <f t="shared" ref="EZ151:EZ155" si="1133">+EY151*3.3058</f>
        <v>18791.329760603403</v>
      </c>
      <c r="FA151" s="56">
        <f>+ES151*GQ151</f>
        <v>5562.107551000001</v>
      </c>
      <c r="FB151" s="58">
        <f t="shared" ref="FB151:FB155" si="1134">+FA151*3.3058</f>
        <v>18387.215142095803</v>
      </c>
      <c r="FC151" s="54">
        <f>+ES151*GR151</f>
        <v>5439.8634290000009</v>
      </c>
      <c r="FD151" s="58">
        <f t="shared" ref="FD151:FD155" si="1135">+FC151*3.3058</f>
        <v>17983.100523588204</v>
      </c>
      <c r="FE151" s="56">
        <f>+ES151*GS151</f>
        <v>5317.6193070000008</v>
      </c>
      <c r="FF151" s="58">
        <f t="shared" ref="FF151:FF155" si="1136">+FE151*3.3058</f>
        <v>17578.985905080604</v>
      </c>
      <c r="FG151" s="59">
        <f>+ES151*GT151</f>
        <v>5195.3751850000008</v>
      </c>
      <c r="FH151" s="58">
        <f t="shared" ref="FH151:FH155" si="1137">+FG151*3.3058</f>
        <v>17174.871286573001</v>
      </c>
      <c r="FI151" s="56">
        <f>+ES151*GU151</f>
        <v>5073.1310630000007</v>
      </c>
      <c r="FJ151" s="58">
        <f t="shared" ref="FJ151:FJ155" si="1138">+FI151*3.3058</f>
        <v>16770.756668065402</v>
      </c>
      <c r="FK151" s="54">
        <f>+ES151*GV151</f>
        <v>4950.8869410000007</v>
      </c>
      <c r="FL151" s="58">
        <f t="shared" ref="FL151:FL155" si="1139">+FK151*3.3058</f>
        <v>16366.642049557802</v>
      </c>
      <c r="FM151" s="59">
        <f>+ES151*GW151</f>
        <v>4828.6428190000006</v>
      </c>
      <c r="FN151" s="58">
        <f t="shared" ref="FN151:FN155" si="1140">+FM151*3.3058</f>
        <v>15962.527431050203</v>
      </c>
      <c r="FO151" s="59">
        <f>+ES151*GX151</f>
        <v>4706.3986970000005</v>
      </c>
      <c r="FP151" s="58">
        <f t="shared" ref="FP151:FP155" si="1141">+FO151*3.3058</f>
        <v>15558.412812542601</v>
      </c>
      <c r="FQ151" s="59">
        <f>+ES151*GY151</f>
        <v>4584.1545750000005</v>
      </c>
      <c r="FR151" s="58">
        <f t="shared" ref="FR151:FR155" si="1142">+FQ151*3.3058</f>
        <v>15154.298194035002</v>
      </c>
      <c r="FS151" s="54">
        <f>+ES151*GZ151</f>
        <v>4461.9104530000004</v>
      </c>
      <c r="FT151" s="58">
        <f t="shared" ref="FT151:FT155" si="1143">+FS151*3.3058</f>
        <v>14750.183575527402</v>
      </c>
      <c r="FU151" s="59">
        <f>+ES151*HA151</f>
        <v>4339.6663310000004</v>
      </c>
      <c r="FV151" s="58">
        <f t="shared" ref="FV151:FV155" si="1144">+FU151*3.3058</f>
        <v>14346.068957019801</v>
      </c>
      <c r="FW151" s="59">
        <f>+ES151*HB151</f>
        <v>4217.4222090000003</v>
      </c>
      <c r="FX151" s="58">
        <f t="shared" ref="FX151:FX155" si="1145">+FW151*3.3058</f>
        <v>13941.954338512202</v>
      </c>
      <c r="FY151" s="59">
        <f>+ES151*HC151</f>
        <v>4095.1780869999998</v>
      </c>
      <c r="FZ151" s="58">
        <f t="shared" ref="FZ151:FZ155" si="1146">+FY151*3.3058</f>
        <v>13537.8397200046</v>
      </c>
      <c r="GA151" s="59">
        <f>+ES151*HD151</f>
        <v>3972.9339649999997</v>
      </c>
      <c r="GB151" s="58">
        <f t="shared" ref="GB151:GB155" si="1147">+GA151*3.3058</f>
        <v>13133.725101496999</v>
      </c>
      <c r="GC151" s="54">
        <f>+ES151*HE151</f>
        <v>3850.6898429999997</v>
      </c>
      <c r="GD151" s="58">
        <f t="shared" ref="GD151:GD155" si="1148">+GC151*3.3058</f>
        <v>12729.610482989399</v>
      </c>
      <c r="GE151" s="59">
        <f>+ES151*HF151</f>
        <v>3728.4457209999991</v>
      </c>
      <c r="GF151" s="58">
        <f t="shared" ref="GF151:GF155" si="1149">+GE151*3.3058</f>
        <v>12325.495864481798</v>
      </c>
      <c r="GG151" s="59">
        <f>+ES151*HG151</f>
        <v>3606.2015989999991</v>
      </c>
      <c r="GH151" s="58">
        <f t="shared" ref="GH151:GH155" si="1150">+GG151*3.3058</f>
        <v>11921.381245974197</v>
      </c>
      <c r="GI151" s="54">
        <f>+ES151*HH151</f>
        <v>3483.957476999999</v>
      </c>
      <c r="GJ151" s="58">
        <f t="shared" ref="GJ151:GJ155" si="1151">+GI151*3.3058</f>
        <v>11517.266627466597</v>
      </c>
      <c r="GK151" s="54"/>
      <c r="GL151" s="54"/>
      <c r="GM151" s="54">
        <v>1</v>
      </c>
      <c r="GN151" s="54">
        <v>0.97</v>
      </c>
      <c r="GO151" s="54">
        <v>0.95</v>
      </c>
      <c r="GP151" s="54">
        <v>0.93</v>
      </c>
      <c r="GQ151" s="54">
        <f t="shared" si="936"/>
        <v>0.91</v>
      </c>
      <c r="GR151" s="54">
        <f t="shared" si="936"/>
        <v>0.89</v>
      </c>
      <c r="GS151" s="54">
        <f t="shared" si="936"/>
        <v>0.87</v>
      </c>
      <c r="GT151" s="54">
        <f t="shared" si="936"/>
        <v>0.85</v>
      </c>
      <c r="GU151" s="54">
        <f t="shared" si="936"/>
        <v>0.83</v>
      </c>
      <c r="GV151" s="54">
        <f t="shared" si="936"/>
        <v>0.80999999999999994</v>
      </c>
      <c r="GW151" s="54">
        <f t="shared" si="936"/>
        <v>0.78999999999999992</v>
      </c>
      <c r="GX151" s="54">
        <f t="shared" si="936"/>
        <v>0.76999999999999991</v>
      </c>
      <c r="GY151" s="54">
        <f t="shared" si="936"/>
        <v>0.74999999999999989</v>
      </c>
      <c r="GZ151" s="54">
        <f t="shared" si="936"/>
        <v>0.72999999999999987</v>
      </c>
      <c r="HA151" s="54">
        <f t="shared" si="936"/>
        <v>0.70999999999999985</v>
      </c>
      <c r="HB151" s="54">
        <f t="shared" si="936"/>
        <v>0.68999999999999984</v>
      </c>
      <c r="HC151" s="54">
        <f t="shared" si="936"/>
        <v>0.66999999999999982</v>
      </c>
      <c r="HD151" s="54">
        <f t="shared" si="936"/>
        <v>0.6499999999999998</v>
      </c>
      <c r="HE151" s="54">
        <f t="shared" si="936"/>
        <v>0.62999999999999978</v>
      </c>
      <c r="HF151" s="54">
        <f t="shared" si="936"/>
        <v>0.60999999999999976</v>
      </c>
      <c r="HG151" s="54">
        <f t="shared" si="936"/>
        <v>0.58999999999999975</v>
      </c>
      <c r="HH151" s="54">
        <f t="shared" si="936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2">
        <f>TRUNC(+D152*3.3058,-1)</f>
        <v>0</v>
      </c>
      <c r="H152" s="54">
        <f t="shared" si="1070"/>
        <v>0</v>
      </c>
      <c r="I152" s="54">
        <f t="shared" si="1071"/>
        <v>0</v>
      </c>
      <c r="J152" s="58">
        <f t="shared" si="1072"/>
        <v>0</v>
      </c>
      <c r="K152" s="54">
        <f t="shared" si="1080"/>
        <v>0</v>
      </c>
      <c r="L152" s="58">
        <f t="shared" si="1081"/>
        <v>0</v>
      </c>
      <c r="M152" s="54">
        <f t="shared" si="1082"/>
        <v>0</v>
      </c>
      <c r="N152" s="58">
        <f t="shared" si="1083"/>
        <v>0</v>
      </c>
      <c r="O152" s="54">
        <f>+I152*BF152</f>
        <v>0</v>
      </c>
      <c r="P152" s="58">
        <f t="shared" si="1084"/>
        <v>0</v>
      </c>
      <c r="Q152" s="56">
        <f>+I152*BG152</f>
        <v>0</v>
      </c>
      <c r="R152" s="58">
        <f t="shared" si="1085"/>
        <v>0</v>
      </c>
      <c r="S152" s="54">
        <f>+I152*BH152</f>
        <v>0</v>
      </c>
      <c r="T152" s="58">
        <f t="shared" si="1086"/>
        <v>0</v>
      </c>
      <c r="U152" s="56">
        <f>+I152*BI152</f>
        <v>0</v>
      </c>
      <c r="V152" s="58">
        <f t="shared" si="1087"/>
        <v>0</v>
      </c>
      <c r="W152" s="59">
        <f>+I152*BJ152</f>
        <v>0</v>
      </c>
      <c r="X152" s="58">
        <f t="shared" si="1088"/>
        <v>0</v>
      </c>
      <c r="Y152" s="56">
        <f>+I152*BK152</f>
        <v>0</v>
      </c>
      <c r="Z152" s="58">
        <f t="shared" si="1089"/>
        <v>0</v>
      </c>
      <c r="AA152" s="54">
        <f>+I152*BL152</f>
        <v>0</v>
      </c>
      <c r="AB152" s="58">
        <f t="shared" si="1090"/>
        <v>0</v>
      </c>
      <c r="AC152" s="59">
        <f>+I152*BM152</f>
        <v>0</v>
      </c>
      <c r="AD152" s="58">
        <f t="shared" si="1091"/>
        <v>0</v>
      </c>
      <c r="AE152" s="59">
        <f>+I152*BN152</f>
        <v>0</v>
      </c>
      <c r="AF152" s="58">
        <f t="shared" si="1092"/>
        <v>0</v>
      </c>
      <c r="AG152" s="59">
        <f>+I152*BO152</f>
        <v>0</v>
      </c>
      <c r="AH152" s="58">
        <f t="shared" si="1093"/>
        <v>0</v>
      </c>
      <c r="AI152" s="54">
        <f>+I152*BP152</f>
        <v>0</v>
      </c>
      <c r="AJ152" s="58">
        <f t="shared" si="1094"/>
        <v>0</v>
      </c>
      <c r="AK152" s="59">
        <f>+I152*BQ152</f>
        <v>0</v>
      </c>
      <c r="AL152" s="58">
        <f t="shared" si="1095"/>
        <v>0</v>
      </c>
      <c r="AM152" s="59">
        <f>+I152*BR152</f>
        <v>0</v>
      </c>
      <c r="AN152" s="58">
        <f t="shared" si="1096"/>
        <v>0</v>
      </c>
      <c r="AO152" s="59">
        <f>+I152*BS152</f>
        <v>0</v>
      </c>
      <c r="AP152" s="58">
        <f t="shared" si="1097"/>
        <v>0</v>
      </c>
      <c r="AQ152" s="59">
        <f>+I152*BT152</f>
        <v>0</v>
      </c>
      <c r="AR152" s="58">
        <f t="shared" si="1098"/>
        <v>0</v>
      </c>
      <c r="AS152" s="54">
        <f>+I152*BU152</f>
        <v>0</v>
      </c>
      <c r="AT152" s="58">
        <f t="shared" si="1099"/>
        <v>0</v>
      </c>
      <c r="AU152" s="59">
        <f>+I152*BV152</f>
        <v>0</v>
      </c>
      <c r="AV152" s="58">
        <f t="shared" si="1100"/>
        <v>0</v>
      </c>
      <c r="AW152" s="59">
        <f>+I152*BW152</f>
        <v>0</v>
      </c>
      <c r="AX152" s="58">
        <f t="shared" si="1101"/>
        <v>0</v>
      </c>
      <c r="AY152" s="54">
        <f>+I152*BX152</f>
        <v>0</v>
      </c>
      <c r="AZ152" s="58">
        <f t="shared" si="1102"/>
        <v>0</v>
      </c>
      <c r="BC152" s="54">
        <v>1</v>
      </c>
      <c r="BD152" s="54">
        <v>0.97</v>
      </c>
      <c r="BE152" s="54">
        <v>0.95</v>
      </c>
      <c r="BF152" s="54">
        <v>0.93</v>
      </c>
      <c r="BG152" s="54">
        <f t="shared" si="1103"/>
        <v>0.91</v>
      </c>
      <c r="BH152" s="54">
        <f t="shared" si="1103"/>
        <v>0.89</v>
      </c>
      <c r="BI152" s="54">
        <f t="shared" si="1103"/>
        <v>0.87</v>
      </c>
      <c r="BJ152" s="54">
        <f t="shared" si="1103"/>
        <v>0.85</v>
      </c>
      <c r="BK152" s="54">
        <f t="shared" si="1103"/>
        <v>0.83</v>
      </c>
      <c r="BL152" s="54">
        <f t="shared" si="1103"/>
        <v>0.80999999999999994</v>
      </c>
      <c r="BM152" s="54">
        <f t="shared" si="1103"/>
        <v>0.78999999999999992</v>
      </c>
      <c r="BN152" s="54">
        <f t="shared" si="1103"/>
        <v>0.76999999999999991</v>
      </c>
      <c r="BO152" s="54">
        <f t="shared" si="1103"/>
        <v>0.74999999999999989</v>
      </c>
      <c r="BP152" s="54">
        <f t="shared" si="1103"/>
        <v>0.72999999999999987</v>
      </c>
      <c r="BQ152" s="54">
        <f t="shared" si="1103"/>
        <v>0.70999999999999985</v>
      </c>
      <c r="BR152" s="54">
        <f t="shared" si="1103"/>
        <v>0.68999999999999984</v>
      </c>
      <c r="BS152" s="54">
        <f t="shared" si="1103"/>
        <v>0.66999999999999982</v>
      </c>
      <c r="BT152" s="54">
        <f t="shared" si="1103"/>
        <v>0.6499999999999998</v>
      </c>
      <c r="BU152" s="54">
        <f t="shared" si="1103"/>
        <v>0.62999999999999978</v>
      </c>
      <c r="BV152" s="54">
        <f t="shared" si="1103"/>
        <v>0.60999999999999976</v>
      </c>
      <c r="BW152" s="54">
        <f t="shared" si="1103"/>
        <v>0.58999999999999975</v>
      </c>
      <c r="BX152" s="54">
        <f t="shared" si="1103"/>
        <v>0.56999999999999973</v>
      </c>
      <c r="BZ152" s="54">
        <f t="shared" si="1073"/>
        <v>0</v>
      </c>
      <c r="CA152" s="54">
        <f t="shared" si="1074"/>
        <v>0</v>
      </c>
      <c r="CB152" s="58">
        <f t="shared" si="1104"/>
        <v>0</v>
      </c>
      <c r="CC152" s="54">
        <f t="shared" si="1105"/>
        <v>0</v>
      </c>
      <c r="CD152" s="58">
        <f t="shared" si="1106"/>
        <v>0</v>
      </c>
      <c r="CE152" s="54">
        <f t="shared" si="1107"/>
        <v>0</v>
      </c>
      <c r="CF152" s="58">
        <f t="shared" si="1108"/>
        <v>0</v>
      </c>
      <c r="CG152" s="54">
        <f>+CA152*DX152</f>
        <v>0</v>
      </c>
      <c r="CH152" s="58">
        <f t="shared" si="1109"/>
        <v>0</v>
      </c>
      <c r="CI152" s="56">
        <f>+CA152*DY152</f>
        <v>0</v>
      </c>
      <c r="CJ152" s="58">
        <f t="shared" si="1110"/>
        <v>0</v>
      </c>
      <c r="CK152" s="54">
        <f>+CA152*DZ152</f>
        <v>0</v>
      </c>
      <c r="CL152" s="58">
        <f t="shared" si="1111"/>
        <v>0</v>
      </c>
      <c r="CM152" s="56">
        <f>+CA152*EA152</f>
        <v>0</v>
      </c>
      <c r="CN152" s="58">
        <f t="shared" si="1112"/>
        <v>0</v>
      </c>
      <c r="CO152" s="59">
        <f>+CA152*EB152</f>
        <v>0</v>
      </c>
      <c r="CP152" s="58">
        <f t="shared" si="1113"/>
        <v>0</v>
      </c>
      <c r="CQ152" s="56">
        <f>+CA152*EC152</f>
        <v>0</v>
      </c>
      <c r="CR152" s="58">
        <f t="shared" si="1114"/>
        <v>0</v>
      </c>
      <c r="CS152" s="54">
        <f>+CA152*ED152</f>
        <v>0</v>
      </c>
      <c r="CT152" s="58">
        <f t="shared" si="1115"/>
        <v>0</v>
      </c>
      <c r="CU152" s="59">
        <f>+CA152*EE152</f>
        <v>0</v>
      </c>
      <c r="CV152" s="58">
        <f t="shared" si="1116"/>
        <v>0</v>
      </c>
      <c r="CW152" s="59">
        <f>+CA152*EF152</f>
        <v>0</v>
      </c>
      <c r="CX152" s="58">
        <f t="shared" si="1117"/>
        <v>0</v>
      </c>
      <c r="CY152" s="59">
        <f>+CA152*EG152</f>
        <v>0</v>
      </c>
      <c r="CZ152" s="58">
        <f t="shared" si="1118"/>
        <v>0</v>
      </c>
      <c r="DA152" s="54">
        <f>+CA152*EH152</f>
        <v>0</v>
      </c>
      <c r="DB152" s="58">
        <f t="shared" si="1119"/>
        <v>0</v>
      </c>
      <c r="DC152" s="59">
        <f>+CA152*EI152</f>
        <v>0</v>
      </c>
      <c r="DD152" s="58">
        <f t="shared" si="1120"/>
        <v>0</v>
      </c>
      <c r="DE152" s="59">
        <f>+CA152*EJ152</f>
        <v>0</v>
      </c>
      <c r="DF152" s="58">
        <f t="shared" si="1121"/>
        <v>0</v>
      </c>
      <c r="DG152" s="59">
        <f>+CA152*EK152</f>
        <v>0</v>
      </c>
      <c r="DH152" s="58">
        <f t="shared" si="1122"/>
        <v>0</v>
      </c>
      <c r="DI152" s="59">
        <f>+CA152*EL152</f>
        <v>0</v>
      </c>
      <c r="DJ152" s="58">
        <f t="shared" si="1123"/>
        <v>0</v>
      </c>
      <c r="DK152" s="54">
        <f>+CA152*EM152</f>
        <v>0</v>
      </c>
      <c r="DL152" s="58">
        <f t="shared" si="1124"/>
        <v>0</v>
      </c>
      <c r="DM152" s="59">
        <f>+CA152*EN152</f>
        <v>0</v>
      </c>
      <c r="DN152" s="58">
        <f t="shared" si="1125"/>
        <v>0</v>
      </c>
      <c r="DO152" s="59">
        <f>+CA152*EO152</f>
        <v>0</v>
      </c>
      <c r="DP152" s="58">
        <f t="shared" si="1126"/>
        <v>0</v>
      </c>
      <c r="DQ152" s="54">
        <f>+CA152*EP152</f>
        <v>0</v>
      </c>
      <c r="DR152" s="58">
        <f t="shared" si="1127"/>
        <v>0</v>
      </c>
      <c r="DU152" s="54">
        <v>1</v>
      </c>
      <c r="DV152" s="54">
        <v>0.97</v>
      </c>
      <c r="DW152" s="54">
        <v>0.95</v>
      </c>
      <c r="DX152" s="54">
        <v>0.93</v>
      </c>
      <c r="DY152" s="54">
        <f t="shared" si="935"/>
        <v>0.91</v>
      </c>
      <c r="DZ152" s="54">
        <f t="shared" si="935"/>
        <v>0.89</v>
      </c>
      <c r="EA152" s="54">
        <f t="shared" si="935"/>
        <v>0.87</v>
      </c>
      <c r="EB152" s="54">
        <f t="shared" si="935"/>
        <v>0.85</v>
      </c>
      <c r="EC152" s="54">
        <f t="shared" si="935"/>
        <v>0.83</v>
      </c>
      <c r="ED152" s="54">
        <f t="shared" si="935"/>
        <v>0.80999999999999994</v>
      </c>
      <c r="EE152" s="54">
        <f t="shared" si="935"/>
        <v>0.78999999999999992</v>
      </c>
      <c r="EF152" s="54">
        <f t="shared" si="935"/>
        <v>0.76999999999999991</v>
      </c>
      <c r="EG152" s="54">
        <f t="shared" si="935"/>
        <v>0.74999999999999989</v>
      </c>
      <c r="EH152" s="54">
        <f t="shared" si="935"/>
        <v>0.72999999999999987</v>
      </c>
      <c r="EI152" s="54">
        <f t="shared" si="935"/>
        <v>0.70999999999999985</v>
      </c>
      <c r="EJ152" s="54">
        <f t="shared" si="935"/>
        <v>0.68999999999999984</v>
      </c>
      <c r="EK152" s="54">
        <f t="shared" si="935"/>
        <v>0.66999999999999982</v>
      </c>
      <c r="EL152" s="54">
        <f t="shared" si="935"/>
        <v>0.6499999999999998</v>
      </c>
      <c r="EM152" s="54">
        <f t="shared" si="935"/>
        <v>0.62999999999999978</v>
      </c>
      <c r="EN152" s="54">
        <f t="shared" si="935"/>
        <v>0.60999999999999976</v>
      </c>
      <c r="EO152" s="54">
        <f t="shared" si="935"/>
        <v>0.58999999999999975</v>
      </c>
      <c r="EP152" s="54">
        <f t="shared" si="935"/>
        <v>0.56999999999999973</v>
      </c>
      <c r="ER152" s="54">
        <f t="shared" si="653"/>
        <v>0</v>
      </c>
      <c r="ES152" s="54">
        <f t="shared" si="1075"/>
        <v>0</v>
      </c>
      <c r="ET152" s="58">
        <f t="shared" si="1128"/>
        <v>0</v>
      </c>
      <c r="EU152" s="54">
        <f t="shared" si="1129"/>
        <v>0</v>
      </c>
      <c r="EV152" s="58">
        <f t="shared" si="1130"/>
        <v>0</v>
      </c>
      <c r="EW152" s="54">
        <f t="shared" si="1131"/>
        <v>0</v>
      </c>
      <c r="EX152" s="58">
        <f t="shared" si="1132"/>
        <v>0</v>
      </c>
      <c r="EY152" s="54">
        <f>+ES152*GP152</f>
        <v>0</v>
      </c>
      <c r="EZ152" s="58">
        <f t="shared" si="1133"/>
        <v>0</v>
      </c>
      <c r="FA152" s="56">
        <f>+ES152*GQ152</f>
        <v>0</v>
      </c>
      <c r="FB152" s="58">
        <f t="shared" si="1134"/>
        <v>0</v>
      </c>
      <c r="FC152" s="54">
        <f>+ES152*GR152</f>
        <v>0</v>
      </c>
      <c r="FD152" s="58">
        <f t="shared" si="1135"/>
        <v>0</v>
      </c>
      <c r="FE152" s="56">
        <f>+ES152*GS152</f>
        <v>0</v>
      </c>
      <c r="FF152" s="58">
        <f t="shared" si="1136"/>
        <v>0</v>
      </c>
      <c r="FG152" s="59">
        <f>+ES152*GT152</f>
        <v>0</v>
      </c>
      <c r="FH152" s="58">
        <f t="shared" si="1137"/>
        <v>0</v>
      </c>
      <c r="FI152" s="56">
        <f>+ES152*GU152</f>
        <v>0</v>
      </c>
      <c r="FJ152" s="58">
        <f t="shared" si="1138"/>
        <v>0</v>
      </c>
      <c r="FK152" s="54">
        <f>+ES152*GV152</f>
        <v>0</v>
      </c>
      <c r="FL152" s="58">
        <f t="shared" si="1139"/>
        <v>0</v>
      </c>
      <c r="FM152" s="59">
        <f>+ES152*GW152</f>
        <v>0</v>
      </c>
      <c r="FN152" s="58">
        <f t="shared" si="1140"/>
        <v>0</v>
      </c>
      <c r="FO152" s="59">
        <f>+ES152*GX152</f>
        <v>0</v>
      </c>
      <c r="FP152" s="58">
        <f t="shared" si="1141"/>
        <v>0</v>
      </c>
      <c r="FQ152" s="59">
        <f>+ES152*GY152</f>
        <v>0</v>
      </c>
      <c r="FR152" s="58">
        <f t="shared" si="1142"/>
        <v>0</v>
      </c>
      <c r="FS152" s="54">
        <f>+ES152*GZ152</f>
        <v>0</v>
      </c>
      <c r="FT152" s="58">
        <f t="shared" si="1143"/>
        <v>0</v>
      </c>
      <c r="FU152" s="59">
        <f>+ES152*HA152</f>
        <v>0</v>
      </c>
      <c r="FV152" s="58">
        <f t="shared" si="1144"/>
        <v>0</v>
      </c>
      <c r="FW152" s="59">
        <f>+ES152*HB152</f>
        <v>0</v>
      </c>
      <c r="FX152" s="58">
        <f t="shared" si="1145"/>
        <v>0</v>
      </c>
      <c r="FY152" s="59">
        <f>+ES152*HC152</f>
        <v>0</v>
      </c>
      <c r="FZ152" s="58">
        <f t="shared" si="1146"/>
        <v>0</v>
      </c>
      <c r="GA152" s="59">
        <f>+ES152*HD152</f>
        <v>0</v>
      </c>
      <c r="GB152" s="58">
        <f t="shared" si="1147"/>
        <v>0</v>
      </c>
      <c r="GC152" s="54">
        <f>+ES152*HE152</f>
        <v>0</v>
      </c>
      <c r="GD152" s="58">
        <f t="shared" si="1148"/>
        <v>0</v>
      </c>
      <c r="GE152" s="59">
        <f>+ES152*HF152</f>
        <v>0</v>
      </c>
      <c r="GF152" s="58">
        <f t="shared" si="1149"/>
        <v>0</v>
      </c>
      <c r="GG152" s="59">
        <f>+ES152*HG152</f>
        <v>0</v>
      </c>
      <c r="GH152" s="58">
        <f t="shared" si="1150"/>
        <v>0</v>
      </c>
      <c r="GI152" s="54">
        <f>+ES152*HH152</f>
        <v>0</v>
      </c>
      <c r="GJ152" s="58">
        <f t="shared" si="1151"/>
        <v>0</v>
      </c>
      <c r="GK152" s="54"/>
      <c r="GL152" s="54"/>
      <c r="GM152" s="54">
        <v>1</v>
      </c>
      <c r="GN152" s="54">
        <v>0.97</v>
      </c>
      <c r="GO152" s="54">
        <v>0.95</v>
      </c>
      <c r="GP152" s="54">
        <v>0.93</v>
      </c>
      <c r="GQ152" s="54">
        <f t="shared" si="936"/>
        <v>0.91</v>
      </c>
      <c r="GR152" s="54">
        <f t="shared" si="936"/>
        <v>0.89</v>
      </c>
      <c r="GS152" s="54">
        <f t="shared" si="936"/>
        <v>0.87</v>
      </c>
      <c r="GT152" s="54">
        <f t="shared" si="936"/>
        <v>0.85</v>
      </c>
      <c r="GU152" s="54">
        <f t="shared" si="936"/>
        <v>0.83</v>
      </c>
      <c r="GV152" s="54">
        <f t="shared" si="936"/>
        <v>0.80999999999999994</v>
      </c>
      <c r="GW152" s="54">
        <f t="shared" si="936"/>
        <v>0.78999999999999992</v>
      </c>
      <c r="GX152" s="54">
        <f t="shared" si="936"/>
        <v>0.76999999999999991</v>
      </c>
      <c r="GY152" s="54">
        <f t="shared" si="936"/>
        <v>0.74999999999999989</v>
      </c>
      <c r="GZ152" s="54">
        <f t="shared" si="936"/>
        <v>0.72999999999999987</v>
      </c>
      <c r="HA152" s="54">
        <f t="shared" si="936"/>
        <v>0.70999999999999985</v>
      </c>
      <c r="HB152" s="54">
        <f t="shared" si="936"/>
        <v>0.68999999999999984</v>
      </c>
      <c r="HC152" s="54">
        <f t="shared" si="936"/>
        <v>0.66999999999999982</v>
      </c>
      <c r="HD152" s="54">
        <f t="shared" si="936"/>
        <v>0.6499999999999998</v>
      </c>
      <c r="HE152" s="54">
        <f t="shared" si="936"/>
        <v>0.62999999999999978</v>
      </c>
      <c r="HF152" s="54">
        <f t="shared" si="936"/>
        <v>0.60999999999999976</v>
      </c>
      <c r="HG152" s="54">
        <f t="shared" si="936"/>
        <v>0.58999999999999975</v>
      </c>
      <c r="HH152" s="54">
        <f t="shared" si="936"/>
        <v>0.56999999999999973</v>
      </c>
    </row>
    <row r="153" spans="1:216" x14ac:dyDescent="0.3">
      <c r="A153" s="2">
        <v>3</v>
      </c>
      <c r="C153" s="38" t="s">
        <v>47</v>
      </c>
      <c r="D153" s="42">
        <f>2470+2980</f>
        <v>5450</v>
      </c>
      <c r="E153" s="72">
        <f>TRUNC(+D153*3.3058,-1)</f>
        <v>18010</v>
      </c>
      <c r="F153" s="2" t="s">
        <v>321</v>
      </c>
      <c r="H153" s="54">
        <f t="shared" si="1070"/>
        <v>19811</v>
      </c>
      <c r="I153" s="54">
        <f t="shared" si="1071"/>
        <v>19811</v>
      </c>
      <c r="J153" s="58">
        <f t="shared" si="1072"/>
        <v>65491.203800000003</v>
      </c>
      <c r="K153" s="54">
        <f t="shared" si="1080"/>
        <v>19216.669999999998</v>
      </c>
      <c r="L153" s="58">
        <f t="shared" si="1081"/>
        <v>63526.467685999996</v>
      </c>
      <c r="M153" s="54">
        <f t="shared" si="1082"/>
        <v>18820.45</v>
      </c>
      <c r="N153" s="58">
        <f t="shared" si="1083"/>
        <v>62216.643610000006</v>
      </c>
      <c r="O153" s="54">
        <f>+I153*BF153</f>
        <v>18424.23</v>
      </c>
      <c r="P153" s="58">
        <f t="shared" si="1084"/>
        <v>60906.819534000002</v>
      </c>
      <c r="Q153" s="56">
        <f>+I153*BG153</f>
        <v>18028.010000000002</v>
      </c>
      <c r="R153" s="58">
        <f t="shared" si="1085"/>
        <v>59596.995458000005</v>
      </c>
      <c r="S153" s="54">
        <f>+I153*BH153</f>
        <v>17631.79</v>
      </c>
      <c r="T153" s="58">
        <f t="shared" si="1086"/>
        <v>58287.171382000008</v>
      </c>
      <c r="U153" s="56">
        <f>+I153*BI153</f>
        <v>17235.57</v>
      </c>
      <c r="V153" s="58">
        <f t="shared" si="1087"/>
        <v>56977.347306000003</v>
      </c>
      <c r="W153" s="59">
        <f>+I153*BJ153</f>
        <v>16839.349999999999</v>
      </c>
      <c r="X153" s="58">
        <f t="shared" si="1088"/>
        <v>55667.523229999999</v>
      </c>
      <c r="Y153" s="56">
        <f>+I153*BK153</f>
        <v>16443.13</v>
      </c>
      <c r="Z153" s="58">
        <f t="shared" si="1089"/>
        <v>54357.699154000002</v>
      </c>
      <c r="AA153" s="54">
        <f>+I153*BL153</f>
        <v>16046.909999999998</v>
      </c>
      <c r="AB153" s="58">
        <f t="shared" si="1090"/>
        <v>53047.875077999997</v>
      </c>
      <c r="AC153" s="59">
        <f>+I153*BM153</f>
        <v>15650.689999999999</v>
      </c>
      <c r="AD153" s="58">
        <f t="shared" si="1091"/>
        <v>51738.051002</v>
      </c>
      <c r="AE153" s="59">
        <f>+I153*BN153</f>
        <v>15254.469999999998</v>
      </c>
      <c r="AF153" s="58">
        <f t="shared" si="1092"/>
        <v>50428.226925999996</v>
      </c>
      <c r="AG153" s="59">
        <f>+I153*BO153</f>
        <v>14858.249999999998</v>
      </c>
      <c r="AH153" s="58">
        <f t="shared" si="1093"/>
        <v>49118.402849999999</v>
      </c>
      <c r="AI153" s="54">
        <f>+I153*BP153</f>
        <v>14462.029999999997</v>
      </c>
      <c r="AJ153" s="58">
        <f t="shared" si="1094"/>
        <v>47808.578773999994</v>
      </c>
      <c r="AK153" s="59">
        <f>+I153*BQ153</f>
        <v>14065.809999999998</v>
      </c>
      <c r="AL153" s="58">
        <f t="shared" si="1095"/>
        <v>46498.75469799999</v>
      </c>
      <c r="AM153" s="59">
        <f>+I153*BR153</f>
        <v>13669.589999999997</v>
      </c>
      <c r="AN153" s="58">
        <f t="shared" si="1096"/>
        <v>45188.930621999993</v>
      </c>
      <c r="AO153" s="59">
        <f>+I153*BS153</f>
        <v>13273.369999999997</v>
      </c>
      <c r="AP153" s="58">
        <f t="shared" si="1097"/>
        <v>43879.106545999988</v>
      </c>
      <c r="AQ153" s="59">
        <f>+I153*BT153</f>
        <v>12877.149999999996</v>
      </c>
      <c r="AR153" s="58">
        <f t="shared" si="1098"/>
        <v>42569.282469999991</v>
      </c>
      <c r="AS153" s="54">
        <f>+I153*BU153</f>
        <v>12480.929999999995</v>
      </c>
      <c r="AT153" s="58">
        <f t="shared" si="1099"/>
        <v>41259.458393999987</v>
      </c>
      <c r="AU153" s="59">
        <f>+I153*BV153</f>
        <v>12084.709999999995</v>
      </c>
      <c r="AV153" s="58">
        <f t="shared" si="1100"/>
        <v>39949.634317999989</v>
      </c>
      <c r="AW153" s="59">
        <f>+I153*BW153</f>
        <v>11688.489999999994</v>
      </c>
      <c r="AX153" s="58">
        <f t="shared" si="1101"/>
        <v>38639.810241999985</v>
      </c>
      <c r="AY153" s="54">
        <f>+I153*BX153</f>
        <v>11292.269999999995</v>
      </c>
      <c r="AZ153" s="58">
        <f t="shared" si="1102"/>
        <v>37329.986165999981</v>
      </c>
      <c r="BC153" s="54">
        <v>1</v>
      </c>
      <c r="BD153" s="54">
        <v>0.97</v>
      </c>
      <c r="BE153" s="54">
        <v>0.95</v>
      </c>
      <c r="BF153" s="54">
        <v>0.93</v>
      </c>
      <c r="BG153" s="54">
        <f t="shared" si="1103"/>
        <v>0.91</v>
      </c>
      <c r="BH153" s="54">
        <f t="shared" si="1103"/>
        <v>0.89</v>
      </c>
      <c r="BI153" s="54">
        <f t="shared" si="1103"/>
        <v>0.87</v>
      </c>
      <c r="BJ153" s="54">
        <f t="shared" si="1103"/>
        <v>0.85</v>
      </c>
      <c r="BK153" s="54">
        <f t="shared" si="1103"/>
        <v>0.83</v>
      </c>
      <c r="BL153" s="54">
        <f t="shared" si="1103"/>
        <v>0.80999999999999994</v>
      </c>
      <c r="BM153" s="54">
        <f t="shared" si="1103"/>
        <v>0.78999999999999992</v>
      </c>
      <c r="BN153" s="54">
        <f t="shared" si="1103"/>
        <v>0.76999999999999991</v>
      </c>
      <c r="BO153" s="54">
        <f t="shared" si="1103"/>
        <v>0.74999999999999989</v>
      </c>
      <c r="BP153" s="54">
        <f t="shared" si="1103"/>
        <v>0.72999999999999987</v>
      </c>
      <c r="BQ153" s="54">
        <f t="shared" si="1103"/>
        <v>0.70999999999999985</v>
      </c>
      <c r="BR153" s="54">
        <f t="shared" si="1103"/>
        <v>0.68999999999999984</v>
      </c>
      <c r="BS153" s="54">
        <f t="shared" si="1103"/>
        <v>0.66999999999999982</v>
      </c>
      <c r="BT153" s="54">
        <f t="shared" si="1103"/>
        <v>0.6499999999999998</v>
      </c>
      <c r="BU153" s="54">
        <f t="shared" si="1103"/>
        <v>0.62999999999999978</v>
      </c>
      <c r="BV153" s="54">
        <f t="shared" si="1103"/>
        <v>0.60999999999999976</v>
      </c>
      <c r="BW153" s="54">
        <f t="shared" si="1103"/>
        <v>0.58999999999999975</v>
      </c>
      <c r="BX153" s="54">
        <f t="shared" si="1103"/>
        <v>0.56999999999999973</v>
      </c>
      <c r="BZ153" s="54">
        <f t="shared" si="1073"/>
        <v>18028.010000000002</v>
      </c>
      <c r="CA153" s="54">
        <f t="shared" si="1074"/>
        <v>18028.010000000002</v>
      </c>
      <c r="CB153" s="58">
        <f t="shared" si="1104"/>
        <v>59596.995458000005</v>
      </c>
      <c r="CC153" s="54">
        <f t="shared" si="1105"/>
        <v>17487.169700000002</v>
      </c>
      <c r="CD153" s="58">
        <f t="shared" si="1106"/>
        <v>57809.08559426001</v>
      </c>
      <c r="CE153" s="54">
        <f t="shared" si="1107"/>
        <v>17126.609500000002</v>
      </c>
      <c r="CF153" s="58">
        <f t="shared" si="1108"/>
        <v>56617.145685100011</v>
      </c>
      <c r="CG153" s="54">
        <f>+CA153*DX153</f>
        <v>16766.049300000002</v>
      </c>
      <c r="CH153" s="58">
        <f t="shared" si="1109"/>
        <v>55425.205775940012</v>
      </c>
      <c r="CI153" s="56">
        <f>+CA153*DY153</f>
        <v>16405.489100000003</v>
      </c>
      <c r="CJ153" s="58">
        <f t="shared" si="1110"/>
        <v>54233.265866780006</v>
      </c>
      <c r="CK153" s="54">
        <f>+CA153*DZ153</f>
        <v>16044.928900000003</v>
      </c>
      <c r="CL153" s="58">
        <f t="shared" si="1111"/>
        <v>53041.325957620007</v>
      </c>
      <c r="CM153" s="56">
        <f>+CA153*EA153</f>
        <v>15684.368700000001</v>
      </c>
      <c r="CN153" s="58">
        <f t="shared" si="1112"/>
        <v>51849.386048460001</v>
      </c>
      <c r="CO153" s="59">
        <f>+CA153*EB153</f>
        <v>15323.808500000001</v>
      </c>
      <c r="CP153" s="58">
        <f t="shared" si="1113"/>
        <v>50657.446139300002</v>
      </c>
      <c r="CQ153" s="56">
        <f>+CA153*EC153</f>
        <v>14963.248300000001</v>
      </c>
      <c r="CR153" s="58">
        <f t="shared" si="1114"/>
        <v>49465.506230140003</v>
      </c>
      <c r="CS153" s="54">
        <f>+CA153*ED153</f>
        <v>14602.688100000001</v>
      </c>
      <c r="CT153" s="58">
        <f t="shared" si="1115"/>
        <v>48273.566320980004</v>
      </c>
      <c r="CU153" s="59">
        <f>+CA153*EE153</f>
        <v>14242.127899999999</v>
      </c>
      <c r="CV153" s="58">
        <f t="shared" si="1116"/>
        <v>47081.626411819998</v>
      </c>
      <c r="CW153" s="59">
        <f>+CA153*EF153</f>
        <v>13881.5677</v>
      </c>
      <c r="CX153" s="58">
        <f t="shared" si="1117"/>
        <v>45889.686502659999</v>
      </c>
      <c r="CY153" s="59">
        <f>+CA153*EG153</f>
        <v>13521.0075</v>
      </c>
      <c r="CZ153" s="58">
        <f t="shared" si="1118"/>
        <v>44697.7465935</v>
      </c>
      <c r="DA153" s="54">
        <f>+CA153*EH153</f>
        <v>13160.4473</v>
      </c>
      <c r="DB153" s="58">
        <f t="shared" si="1119"/>
        <v>43505.806684340001</v>
      </c>
      <c r="DC153" s="59">
        <f>+CA153*EI153</f>
        <v>12799.887099999998</v>
      </c>
      <c r="DD153" s="58">
        <f t="shared" si="1120"/>
        <v>42313.866775179995</v>
      </c>
      <c r="DE153" s="59">
        <f>+CA153*EJ153</f>
        <v>12439.326899999998</v>
      </c>
      <c r="DF153" s="58">
        <f t="shared" si="1121"/>
        <v>41121.926866019996</v>
      </c>
      <c r="DG153" s="59">
        <f>+CA153*EK153</f>
        <v>12078.766699999998</v>
      </c>
      <c r="DH153" s="58">
        <f t="shared" si="1122"/>
        <v>39929.986956859997</v>
      </c>
      <c r="DI153" s="59">
        <f>+CA153*EL153</f>
        <v>11718.206499999998</v>
      </c>
      <c r="DJ153" s="58">
        <f t="shared" si="1123"/>
        <v>38738.047047699998</v>
      </c>
      <c r="DK153" s="54">
        <f>+CA153*EM153</f>
        <v>11357.646299999997</v>
      </c>
      <c r="DL153" s="58">
        <f t="shared" si="1124"/>
        <v>37546.107138539992</v>
      </c>
      <c r="DM153" s="59">
        <f>+CA153*EN153</f>
        <v>10997.086099999997</v>
      </c>
      <c r="DN153" s="58">
        <f t="shared" si="1125"/>
        <v>36354.167229379993</v>
      </c>
      <c r="DO153" s="59">
        <f>+CA153*EO153</f>
        <v>10636.525899999997</v>
      </c>
      <c r="DP153" s="58">
        <f t="shared" si="1126"/>
        <v>35162.227320219994</v>
      </c>
      <c r="DQ153" s="54">
        <f>+CA153*EP153</f>
        <v>10275.965699999997</v>
      </c>
      <c r="DR153" s="58">
        <f t="shared" si="1127"/>
        <v>33970.287411059988</v>
      </c>
      <c r="DU153" s="54">
        <v>1</v>
      </c>
      <c r="DV153" s="54">
        <v>0.97</v>
      </c>
      <c r="DW153" s="54">
        <v>0.95</v>
      </c>
      <c r="DX153" s="54">
        <v>0.93</v>
      </c>
      <c r="DY153" s="54">
        <f t="shared" si="935"/>
        <v>0.91</v>
      </c>
      <c r="DZ153" s="54">
        <f t="shared" si="935"/>
        <v>0.89</v>
      </c>
      <c r="EA153" s="54">
        <f t="shared" si="935"/>
        <v>0.87</v>
      </c>
      <c r="EB153" s="54">
        <f t="shared" ref="EB153:EP153" si="1152">+EA153-0.02</f>
        <v>0.85</v>
      </c>
      <c r="EC153" s="54">
        <f t="shared" si="1152"/>
        <v>0.83</v>
      </c>
      <c r="ED153" s="54">
        <f t="shared" si="1152"/>
        <v>0.80999999999999994</v>
      </c>
      <c r="EE153" s="54">
        <f t="shared" si="1152"/>
        <v>0.78999999999999992</v>
      </c>
      <c r="EF153" s="54">
        <f t="shared" si="1152"/>
        <v>0.76999999999999991</v>
      </c>
      <c r="EG153" s="54">
        <f t="shared" si="1152"/>
        <v>0.74999999999999989</v>
      </c>
      <c r="EH153" s="54">
        <f t="shared" si="1152"/>
        <v>0.72999999999999987</v>
      </c>
      <c r="EI153" s="54">
        <f t="shared" si="1152"/>
        <v>0.70999999999999985</v>
      </c>
      <c r="EJ153" s="54">
        <f t="shared" si="1152"/>
        <v>0.68999999999999984</v>
      </c>
      <c r="EK153" s="54">
        <f t="shared" si="1152"/>
        <v>0.66999999999999982</v>
      </c>
      <c r="EL153" s="54">
        <f t="shared" si="1152"/>
        <v>0.6499999999999998</v>
      </c>
      <c r="EM153" s="54">
        <f t="shared" si="1152"/>
        <v>0.62999999999999978</v>
      </c>
      <c r="EN153" s="54">
        <f t="shared" si="1152"/>
        <v>0.60999999999999976</v>
      </c>
      <c r="EO153" s="54">
        <f t="shared" si="1152"/>
        <v>0.58999999999999975</v>
      </c>
      <c r="EP153" s="54">
        <f t="shared" si="1152"/>
        <v>0.56999999999999973</v>
      </c>
      <c r="ER153" s="54">
        <f t="shared" si="653"/>
        <v>16405.489100000003</v>
      </c>
      <c r="ES153" s="54">
        <f t="shared" si="1075"/>
        <v>16405.489100000003</v>
      </c>
      <c r="ET153" s="58">
        <f t="shared" si="1128"/>
        <v>54233.265866780006</v>
      </c>
      <c r="EU153" s="54">
        <f t="shared" si="1129"/>
        <v>15913.324427000001</v>
      </c>
      <c r="EV153" s="58">
        <f t="shared" si="1130"/>
        <v>52606.267890776602</v>
      </c>
      <c r="EW153" s="54">
        <f t="shared" si="1131"/>
        <v>15585.214645000002</v>
      </c>
      <c r="EX153" s="58">
        <f t="shared" si="1132"/>
        <v>51521.602573441007</v>
      </c>
      <c r="EY153" s="54">
        <f>+ES153*GP153</f>
        <v>15257.104863000002</v>
      </c>
      <c r="EZ153" s="58">
        <f t="shared" si="1133"/>
        <v>50436.937256105412</v>
      </c>
      <c r="FA153" s="56">
        <f>+ES153*GQ153</f>
        <v>14928.995081000003</v>
      </c>
      <c r="FB153" s="58">
        <f t="shared" si="1134"/>
        <v>49352.271938769809</v>
      </c>
      <c r="FC153" s="54">
        <f>+ES153*GR153</f>
        <v>14600.885299000003</v>
      </c>
      <c r="FD153" s="58">
        <f t="shared" si="1135"/>
        <v>48267.606621434214</v>
      </c>
      <c r="FE153" s="56">
        <f>+ES153*GS153</f>
        <v>14272.775517000002</v>
      </c>
      <c r="FF153" s="58">
        <f t="shared" si="1136"/>
        <v>47182.941304098604</v>
      </c>
      <c r="FG153" s="59">
        <f>+ES153*GT153</f>
        <v>13944.665735000002</v>
      </c>
      <c r="FH153" s="58">
        <f t="shared" si="1137"/>
        <v>46098.275986763008</v>
      </c>
      <c r="FI153" s="56">
        <f>+ES153*GU153</f>
        <v>13616.555953000001</v>
      </c>
      <c r="FJ153" s="58">
        <f t="shared" si="1138"/>
        <v>45013.610669427406</v>
      </c>
      <c r="FK153" s="54">
        <f>+ES153*GV153</f>
        <v>13288.446171000001</v>
      </c>
      <c r="FL153" s="58">
        <f t="shared" si="1139"/>
        <v>43928.945352091803</v>
      </c>
      <c r="FM153" s="59">
        <f>+ES153*GW153</f>
        <v>12960.336389</v>
      </c>
      <c r="FN153" s="58">
        <f t="shared" si="1140"/>
        <v>42844.280034756201</v>
      </c>
      <c r="FO153" s="59">
        <f>+ES153*GX153</f>
        <v>12632.226607000001</v>
      </c>
      <c r="FP153" s="58">
        <f t="shared" si="1141"/>
        <v>41759.614717420605</v>
      </c>
      <c r="FQ153" s="59">
        <f>+ES153*GY153</f>
        <v>12304.116824999999</v>
      </c>
      <c r="FR153" s="58">
        <f t="shared" si="1142"/>
        <v>40674.949400084995</v>
      </c>
      <c r="FS153" s="54">
        <f>+ES153*GZ153</f>
        <v>11976.007043</v>
      </c>
      <c r="FT153" s="58">
        <f t="shared" si="1143"/>
        <v>39590.2840827494</v>
      </c>
      <c r="FU153" s="59">
        <f>+ES153*HA153</f>
        <v>11647.897261</v>
      </c>
      <c r="FV153" s="58">
        <f t="shared" si="1144"/>
        <v>38505.618765413798</v>
      </c>
      <c r="FW153" s="59">
        <f>+ES153*HB153</f>
        <v>11319.787478999999</v>
      </c>
      <c r="FX153" s="58">
        <f t="shared" si="1145"/>
        <v>37420.953448078195</v>
      </c>
      <c r="FY153" s="59">
        <f>+ES153*HC153</f>
        <v>10991.677696999999</v>
      </c>
      <c r="FZ153" s="58">
        <f t="shared" si="1146"/>
        <v>36336.2881307426</v>
      </c>
      <c r="GA153" s="59">
        <f>+ES153*HD153</f>
        <v>10663.567914999998</v>
      </c>
      <c r="GB153" s="58">
        <f t="shared" si="1147"/>
        <v>35251.622813406997</v>
      </c>
      <c r="GC153" s="54">
        <f>+ES153*HE153</f>
        <v>10335.458132999998</v>
      </c>
      <c r="GD153" s="58">
        <f t="shared" si="1148"/>
        <v>34166.957496071394</v>
      </c>
      <c r="GE153" s="59">
        <f>+ES153*HF153</f>
        <v>10007.348350999997</v>
      </c>
      <c r="GF153" s="58">
        <f t="shared" si="1149"/>
        <v>33082.292178735792</v>
      </c>
      <c r="GG153" s="59">
        <f>+ES153*HG153</f>
        <v>9679.2385689999974</v>
      </c>
      <c r="GH153" s="58">
        <f t="shared" si="1150"/>
        <v>31997.626861400193</v>
      </c>
      <c r="GI153" s="54">
        <f>+ES153*HH153</f>
        <v>9351.1287869999978</v>
      </c>
      <c r="GJ153" s="58">
        <f t="shared" si="1151"/>
        <v>30912.961544064594</v>
      </c>
      <c r="GK153" s="54"/>
      <c r="GL153" s="54"/>
      <c r="GM153" s="54">
        <v>1</v>
      </c>
      <c r="GN153" s="54">
        <v>0.97</v>
      </c>
      <c r="GO153" s="54">
        <v>0.95</v>
      </c>
      <c r="GP153" s="54">
        <v>0.93</v>
      </c>
      <c r="GQ153" s="54">
        <f t="shared" si="936"/>
        <v>0.91</v>
      </c>
      <c r="GR153" s="54">
        <f t="shared" si="936"/>
        <v>0.89</v>
      </c>
      <c r="GS153" s="54">
        <f t="shared" si="936"/>
        <v>0.87</v>
      </c>
      <c r="GT153" s="54">
        <f t="shared" ref="GT153:HH153" si="1153">+GS153-0.02</f>
        <v>0.85</v>
      </c>
      <c r="GU153" s="54">
        <f t="shared" si="1153"/>
        <v>0.83</v>
      </c>
      <c r="GV153" s="54">
        <f t="shared" si="1153"/>
        <v>0.80999999999999994</v>
      </c>
      <c r="GW153" s="54">
        <f t="shared" si="1153"/>
        <v>0.78999999999999992</v>
      </c>
      <c r="GX153" s="54">
        <f t="shared" si="1153"/>
        <v>0.76999999999999991</v>
      </c>
      <c r="GY153" s="54">
        <f t="shared" si="1153"/>
        <v>0.74999999999999989</v>
      </c>
      <c r="GZ153" s="54">
        <f t="shared" si="1153"/>
        <v>0.72999999999999987</v>
      </c>
      <c r="HA153" s="54">
        <f t="shared" si="1153"/>
        <v>0.70999999999999985</v>
      </c>
      <c r="HB153" s="54">
        <f t="shared" si="1153"/>
        <v>0.68999999999999984</v>
      </c>
      <c r="HC153" s="54">
        <f t="shared" si="1153"/>
        <v>0.66999999999999982</v>
      </c>
      <c r="HD153" s="54">
        <f t="shared" si="1153"/>
        <v>0.6499999999999998</v>
      </c>
      <c r="HE153" s="54">
        <f t="shared" si="1153"/>
        <v>0.62999999999999978</v>
      </c>
      <c r="HF153" s="54">
        <f t="shared" si="1153"/>
        <v>0.60999999999999976</v>
      </c>
      <c r="HG153" s="54">
        <f t="shared" si="1153"/>
        <v>0.58999999999999975</v>
      </c>
      <c r="HH153" s="54">
        <f t="shared" si="1153"/>
        <v>0.56999999999999973</v>
      </c>
    </row>
    <row r="154" spans="1:216" ht="17.25" thickBot="1" x14ac:dyDescent="0.35">
      <c r="A154" s="2">
        <v>4</v>
      </c>
      <c r="C154" s="38" t="s">
        <v>149</v>
      </c>
      <c r="D154" s="43">
        <v>0</v>
      </c>
      <c r="E154" s="73">
        <f>TRUNC(+D154*3.3058,-1)</f>
        <v>0</v>
      </c>
      <c r="H154" s="54">
        <f t="shared" si="1070"/>
        <v>0</v>
      </c>
      <c r="I154" s="54">
        <f t="shared" si="1071"/>
        <v>0</v>
      </c>
      <c r="J154" s="58">
        <f t="shared" si="1072"/>
        <v>0</v>
      </c>
      <c r="K154" s="54">
        <f t="shared" si="1080"/>
        <v>0</v>
      </c>
      <c r="L154" s="58">
        <f t="shared" si="1081"/>
        <v>0</v>
      </c>
      <c r="M154" s="54">
        <f t="shared" si="1082"/>
        <v>0</v>
      </c>
      <c r="N154" s="58">
        <f t="shared" si="1083"/>
        <v>0</v>
      </c>
      <c r="O154" s="54">
        <f>+I154*BF154</f>
        <v>0</v>
      </c>
      <c r="P154" s="58">
        <f t="shared" si="1084"/>
        <v>0</v>
      </c>
      <c r="Q154" s="56">
        <f>+I154*BG154</f>
        <v>0</v>
      </c>
      <c r="R154" s="58">
        <f t="shared" si="1085"/>
        <v>0</v>
      </c>
      <c r="S154" s="54">
        <f>+I154*BH154</f>
        <v>0</v>
      </c>
      <c r="T154" s="58">
        <f t="shared" si="1086"/>
        <v>0</v>
      </c>
      <c r="U154" s="56">
        <f>+I154*BI154</f>
        <v>0</v>
      </c>
      <c r="V154" s="58">
        <f t="shared" si="1087"/>
        <v>0</v>
      </c>
      <c r="W154" s="59">
        <f>+I154*BJ154</f>
        <v>0</v>
      </c>
      <c r="X154" s="58">
        <f t="shared" si="1088"/>
        <v>0</v>
      </c>
      <c r="Y154" s="56">
        <f>+I154*BK154</f>
        <v>0</v>
      </c>
      <c r="Z154" s="58">
        <f t="shared" si="1089"/>
        <v>0</v>
      </c>
      <c r="AA154" s="54">
        <f>+I154*BL154</f>
        <v>0</v>
      </c>
      <c r="AB154" s="58">
        <f t="shared" si="1090"/>
        <v>0</v>
      </c>
      <c r="AC154" s="59">
        <f>+I154*BM154</f>
        <v>0</v>
      </c>
      <c r="AD154" s="58">
        <f t="shared" si="1091"/>
        <v>0</v>
      </c>
      <c r="AE154" s="59">
        <f>+I154*BN154</f>
        <v>0</v>
      </c>
      <c r="AF154" s="58">
        <f t="shared" si="1092"/>
        <v>0</v>
      </c>
      <c r="AG154" s="59">
        <f>+I154*BO154</f>
        <v>0</v>
      </c>
      <c r="AH154" s="58">
        <f t="shared" si="1093"/>
        <v>0</v>
      </c>
      <c r="AI154" s="54">
        <f>+I154*BP154</f>
        <v>0</v>
      </c>
      <c r="AJ154" s="58">
        <f t="shared" si="1094"/>
        <v>0</v>
      </c>
      <c r="AK154" s="59">
        <f>+I154*BQ154</f>
        <v>0</v>
      </c>
      <c r="AL154" s="58">
        <f t="shared" si="1095"/>
        <v>0</v>
      </c>
      <c r="AM154" s="59">
        <f>+I154*BR154</f>
        <v>0</v>
      </c>
      <c r="AN154" s="58">
        <f t="shared" si="1096"/>
        <v>0</v>
      </c>
      <c r="AO154" s="59">
        <f>+I154*BS154</f>
        <v>0</v>
      </c>
      <c r="AP154" s="58">
        <f t="shared" si="1097"/>
        <v>0</v>
      </c>
      <c r="AQ154" s="59">
        <f>+I154*BT154</f>
        <v>0</v>
      </c>
      <c r="AR154" s="58">
        <f t="shared" si="1098"/>
        <v>0</v>
      </c>
      <c r="AS154" s="54">
        <f>+I154*BU154</f>
        <v>0</v>
      </c>
      <c r="AT154" s="58">
        <f t="shared" si="1099"/>
        <v>0</v>
      </c>
      <c r="AU154" s="59">
        <f>+I154*BV154</f>
        <v>0</v>
      </c>
      <c r="AV154" s="58">
        <f t="shared" si="1100"/>
        <v>0</v>
      </c>
      <c r="AW154" s="59">
        <f>+I154*BW154</f>
        <v>0</v>
      </c>
      <c r="AX154" s="58">
        <f t="shared" si="1101"/>
        <v>0</v>
      </c>
      <c r="AY154" s="54">
        <f>+I154*BX154</f>
        <v>0</v>
      </c>
      <c r="AZ154" s="58">
        <f t="shared" si="1102"/>
        <v>0</v>
      </c>
      <c r="BC154" s="54">
        <v>1</v>
      </c>
      <c r="BD154" s="54">
        <v>0.97</v>
      </c>
      <c r="BE154" s="54">
        <v>0.95</v>
      </c>
      <c r="BF154" s="54">
        <v>0.93</v>
      </c>
      <c r="BG154" s="54">
        <f t="shared" si="1103"/>
        <v>0.91</v>
      </c>
      <c r="BH154" s="54">
        <f t="shared" si="1103"/>
        <v>0.89</v>
      </c>
      <c r="BI154" s="54">
        <f t="shared" si="1103"/>
        <v>0.87</v>
      </c>
      <c r="BJ154" s="54">
        <f t="shared" si="1103"/>
        <v>0.85</v>
      </c>
      <c r="BK154" s="54">
        <f t="shared" si="1103"/>
        <v>0.83</v>
      </c>
      <c r="BL154" s="54">
        <f t="shared" si="1103"/>
        <v>0.80999999999999994</v>
      </c>
      <c r="BM154" s="54">
        <f t="shared" si="1103"/>
        <v>0.78999999999999992</v>
      </c>
      <c r="BN154" s="54">
        <f t="shared" si="1103"/>
        <v>0.76999999999999991</v>
      </c>
      <c r="BO154" s="54">
        <f t="shared" si="1103"/>
        <v>0.74999999999999989</v>
      </c>
      <c r="BP154" s="54">
        <f t="shared" si="1103"/>
        <v>0.72999999999999987</v>
      </c>
      <c r="BQ154" s="54">
        <f t="shared" si="1103"/>
        <v>0.70999999999999985</v>
      </c>
      <c r="BR154" s="54">
        <f t="shared" si="1103"/>
        <v>0.68999999999999984</v>
      </c>
      <c r="BS154" s="54">
        <f t="shared" si="1103"/>
        <v>0.66999999999999982</v>
      </c>
      <c r="BT154" s="54">
        <f t="shared" si="1103"/>
        <v>0.6499999999999998</v>
      </c>
      <c r="BU154" s="54">
        <f t="shared" si="1103"/>
        <v>0.62999999999999978</v>
      </c>
      <c r="BV154" s="54">
        <f t="shared" si="1103"/>
        <v>0.60999999999999976</v>
      </c>
      <c r="BW154" s="54">
        <f t="shared" si="1103"/>
        <v>0.58999999999999975</v>
      </c>
      <c r="BX154" s="54">
        <f t="shared" si="1103"/>
        <v>0.56999999999999973</v>
      </c>
      <c r="BZ154" s="54">
        <f t="shared" si="1073"/>
        <v>0</v>
      </c>
      <c r="CA154" s="54">
        <f t="shared" si="1074"/>
        <v>0</v>
      </c>
      <c r="CB154" s="58">
        <f t="shared" si="1104"/>
        <v>0</v>
      </c>
      <c r="CC154" s="54">
        <f t="shared" si="1105"/>
        <v>0</v>
      </c>
      <c r="CD154" s="58">
        <f t="shared" si="1106"/>
        <v>0</v>
      </c>
      <c r="CE154" s="54">
        <f t="shared" si="1107"/>
        <v>0</v>
      </c>
      <c r="CF154" s="58">
        <f t="shared" si="1108"/>
        <v>0</v>
      </c>
      <c r="CG154" s="54">
        <f>+CA154*DX154</f>
        <v>0</v>
      </c>
      <c r="CH154" s="58">
        <f t="shared" si="1109"/>
        <v>0</v>
      </c>
      <c r="CI154" s="56">
        <f>+CA154*DY154</f>
        <v>0</v>
      </c>
      <c r="CJ154" s="58">
        <f t="shared" si="1110"/>
        <v>0</v>
      </c>
      <c r="CK154" s="54">
        <f>+CA154*DZ154</f>
        <v>0</v>
      </c>
      <c r="CL154" s="58">
        <f t="shared" si="1111"/>
        <v>0</v>
      </c>
      <c r="CM154" s="56">
        <f>+CA154*EA154</f>
        <v>0</v>
      </c>
      <c r="CN154" s="58">
        <f t="shared" si="1112"/>
        <v>0</v>
      </c>
      <c r="CO154" s="59">
        <f>+CA154*EB154</f>
        <v>0</v>
      </c>
      <c r="CP154" s="58">
        <f t="shared" si="1113"/>
        <v>0</v>
      </c>
      <c r="CQ154" s="56">
        <f>+CA154*EC154</f>
        <v>0</v>
      </c>
      <c r="CR154" s="58">
        <f t="shared" si="1114"/>
        <v>0</v>
      </c>
      <c r="CS154" s="54">
        <f>+CA154*ED154</f>
        <v>0</v>
      </c>
      <c r="CT154" s="58">
        <f t="shared" si="1115"/>
        <v>0</v>
      </c>
      <c r="CU154" s="59">
        <f>+CA154*EE154</f>
        <v>0</v>
      </c>
      <c r="CV154" s="58">
        <f t="shared" si="1116"/>
        <v>0</v>
      </c>
      <c r="CW154" s="59">
        <f>+CA154*EF154</f>
        <v>0</v>
      </c>
      <c r="CX154" s="58">
        <f t="shared" si="1117"/>
        <v>0</v>
      </c>
      <c r="CY154" s="59">
        <f>+CA154*EG154</f>
        <v>0</v>
      </c>
      <c r="CZ154" s="58">
        <f t="shared" si="1118"/>
        <v>0</v>
      </c>
      <c r="DA154" s="54">
        <f>+CA154*EH154</f>
        <v>0</v>
      </c>
      <c r="DB154" s="58">
        <f t="shared" si="1119"/>
        <v>0</v>
      </c>
      <c r="DC154" s="59">
        <f>+CA154*EI154</f>
        <v>0</v>
      </c>
      <c r="DD154" s="58">
        <f t="shared" si="1120"/>
        <v>0</v>
      </c>
      <c r="DE154" s="59">
        <f>+CA154*EJ154</f>
        <v>0</v>
      </c>
      <c r="DF154" s="58">
        <f t="shared" si="1121"/>
        <v>0</v>
      </c>
      <c r="DG154" s="59">
        <f>+CA154*EK154</f>
        <v>0</v>
      </c>
      <c r="DH154" s="58">
        <f t="shared" si="1122"/>
        <v>0</v>
      </c>
      <c r="DI154" s="59">
        <f>+CA154*EL154</f>
        <v>0</v>
      </c>
      <c r="DJ154" s="58">
        <f t="shared" si="1123"/>
        <v>0</v>
      </c>
      <c r="DK154" s="54">
        <f>+CA154*EM154</f>
        <v>0</v>
      </c>
      <c r="DL154" s="58">
        <f t="shared" si="1124"/>
        <v>0</v>
      </c>
      <c r="DM154" s="59">
        <f>+CA154*EN154</f>
        <v>0</v>
      </c>
      <c r="DN154" s="58">
        <f t="shared" si="1125"/>
        <v>0</v>
      </c>
      <c r="DO154" s="59">
        <f>+CA154*EO154</f>
        <v>0</v>
      </c>
      <c r="DP154" s="58">
        <f t="shared" si="1126"/>
        <v>0</v>
      </c>
      <c r="DQ154" s="54">
        <f>+CA154*EP154</f>
        <v>0</v>
      </c>
      <c r="DR154" s="58">
        <f t="shared" si="1127"/>
        <v>0</v>
      </c>
      <c r="DU154" s="54">
        <v>1</v>
      </c>
      <c r="DV154" s="54">
        <v>0.97</v>
      </c>
      <c r="DW154" s="54">
        <v>0.95</v>
      </c>
      <c r="DX154" s="54">
        <v>0.93</v>
      </c>
      <c r="DY154" s="54">
        <f t="shared" ref="DY154:EP155" si="1154">+DX154-0.02</f>
        <v>0.91</v>
      </c>
      <c r="DZ154" s="54">
        <f t="shared" si="1154"/>
        <v>0.89</v>
      </c>
      <c r="EA154" s="54">
        <f t="shared" si="1154"/>
        <v>0.87</v>
      </c>
      <c r="EB154" s="54">
        <f t="shared" si="1154"/>
        <v>0.85</v>
      </c>
      <c r="EC154" s="54">
        <f t="shared" si="1154"/>
        <v>0.83</v>
      </c>
      <c r="ED154" s="54">
        <f t="shared" si="1154"/>
        <v>0.80999999999999994</v>
      </c>
      <c r="EE154" s="54">
        <f t="shared" si="1154"/>
        <v>0.78999999999999992</v>
      </c>
      <c r="EF154" s="54">
        <f t="shared" si="1154"/>
        <v>0.76999999999999991</v>
      </c>
      <c r="EG154" s="54">
        <f t="shared" si="1154"/>
        <v>0.74999999999999989</v>
      </c>
      <c r="EH154" s="54">
        <f t="shared" si="1154"/>
        <v>0.72999999999999987</v>
      </c>
      <c r="EI154" s="54">
        <f t="shared" si="1154"/>
        <v>0.70999999999999985</v>
      </c>
      <c r="EJ154" s="54">
        <f t="shared" si="1154"/>
        <v>0.68999999999999984</v>
      </c>
      <c r="EK154" s="54">
        <f t="shared" si="1154"/>
        <v>0.66999999999999982</v>
      </c>
      <c r="EL154" s="54">
        <f t="shared" si="1154"/>
        <v>0.6499999999999998</v>
      </c>
      <c r="EM154" s="54">
        <f t="shared" si="1154"/>
        <v>0.62999999999999978</v>
      </c>
      <c r="EN154" s="54">
        <f t="shared" si="1154"/>
        <v>0.60999999999999976</v>
      </c>
      <c r="EO154" s="54">
        <f t="shared" si="1154"/>
        <v>0.58999999999999975</v>
      </c>
      <c r="EP154" s="54">
        <f t="shared" si="1154"/>
        <v>0.56999999999999973</v>
      </c>
      <c r="ER154" s="54">
        <f t="shared" si="653"/>
        <v>0</v>
      </c>
      <c r="ES154" s="54">
        <f t="shared" si="1075"/>
        <v>0</v>
      </c>
      <c r="ET154" s="58">
        <f t="shared" si="1128"/>
        <v>0</v>
      </c>
      <c r="EU154" s="54">
        <f t="shared" si="1129"/>
        <v>0</v>
      </c>
      <c r="EV154" s="58">
        <f t="shared" si="1130"/>
        <v>0</v>
      </c>
      <c r="EW154" s="54">
        <f t="shared" si="1131"/>
        <v>0</v>
      </c>
      <c r="EX154" s="58">
        <f t="shared" si="1132"/>
        <v>0</v>
      </c>
      <c r="EY154" s="54">
        <f>+ES154*GP154</f>
        <v>0</v>
      </c>
      <c r="EZ154" s="58">
        <f t="shared" si="1133"/>
        <v>0</v>
      </c>
      <c r="FA154" s="56">
        <f>+ES154*GQ154</f>
        <v>0</v>
      </c>
      <c r="FB154" s="58">
        <f t="shared" si="1134"/>
        <v>0</v>
      </c>
      <c r="FC154" s="54">
        <f>+ES154*GR154</f>
        <v>0</v>
      </c>
      <c r="FD154" s="58">
        <f t="shared" si="1135"/>
        <v>0</v>
      </c>
      <c r="FE154" s="56">
        <f>+ES154*GS154</f>
        <v>0</v>
      </c>
      <c r="FF154" s="58">
        <f t="shared" si="1136"/>
        <v>0</v>
      </c>
      <c r="FG154" s="59">
        <f>+ES154*GT154</f>
        <v>0</v>
      </c>
      <c r="FH154" s="58">
        <f t="shared" si="1137"/>
        <v>0</v>
      </c>
      <c r="FI154" s="56">
        <f>+ES154*GU154</f>
        <v>0</v>
      </c>
      <c r="FJ154" s="58">
        <f t="shared" si="1138"/>
        <v>0</v>
      </c>
      <c r="FK154" s="54">
        <f>+ES154*GV154</f>
        <v>0</v>
      </c>
      <c r="FL154" s="58">
        <f t="shared" si="1139"/>
        <v>0</v>
      </c>
      <c r="FM154" s="59">
        <f>+ES154*GW154</f>
        <v>0</v>
      </c>
      <c r="FN154" s="58">
        <f t="shared" si="1140"/>
        <v>0</v>
      </c>
      <c r="FO154" s="59">
        <f>+ES154*GX154</f>
        <v>0</v>
      </c>
      <c r="FP154" s="58">
        <f t="shared" si="1141"/>
        <v>0</v>
      </c>
      <c r="FQ154" s="59">
        <f>+ES154*GY154</f>
        <v>0</v>
      </c>
      <c r="FR154" s="58">
        <f t="shared" si="1142"/>
        <v>0</v>
      </c>
      <c r="FS154" s="54">
        <f>+ES154*GZ154</f>
        <v>0</v>
      </c>
      <c r="FT154" s="58">
        <f t="shared" si="1143"/>
        <v>0</v>
      </c>
      <c r="FU154" s="59">
        <f>+ES154*HA154</f>
        <v>0</v>
      </c>
      <c r="FV154" s="58">
        <f t="shared" si="1144"/>
        <v>0</v>
      </c>
      <c r="FW154" s="59">
        <f>+ES154*HB154</f>
        <v>0</v>
      </c>
      <c r="FX154" s="58">
        <f t="shared" si="1145"/>
        <v>0</v>
      </c>
      <c r="FY154" s="59">
        <f>+ES154*HC154</f>
        <v>0</v>
      </c>
      <c r="FZ154" s="58">
        <f t="shared" si="1146"/>
        <v>0</v>
      </c>
      <c r="GA154" s="59">
        <f>+ES154*HD154</f>
        <v>0</v>
      </c>
      <c r="GB154" s="58">
        <f t="shared" si="1147"/>
        <v>0</v>
      </c>
      <c r="GC154" s="54">
        <f>+ES154*HE154</f>
        <v>0</v>
      </c>
      <c r="GD154" s="58">
        <f t="shared" si="1148"/>
        <v>0</v>
      </c>
      <c r="GE154" s="59">
        <f>+ES154*HF154</f>
        <v>0</v>
      </c>
      <c r="GF154" s="58">
        <f t="shared" si="1149"/>
        <v>0</v>
      </c>
      <c r="GG154" s="59">
        <f>+ES154*HG154</f>
        <v>0</v>
      </c>
      <c r="GH154" s="58">
        <f t="shared" si="1150"/>
        <v>0</v>
      </c>
      <c r="GI154" s="54">
        <f>+ES154*HH154</f>
        <v>0</v>
      </c>
      <c r="GJ154" s="58">
        <f t="shared" si="1151"/>
        <v>0</v>
      </c>
      <c r="GK154" s="54"/>
      <c r="GL154" s="54"/>
      <c r="GM154" s="54">
        <v>1</v>
      </c>
      <c r="GN154" s="54">
        <v>0.97</v>
      </c>
      <c r="GO154" s="54">
        <v>0.95</v>
      </c>
      <c r="GP154" s="54">
        <v>0.93</v>
      </c>
      <c r="GQ154" s="54">
        <f t="shared" ref="GQ154:HH155" si="1155">+GP154-0.02</f>
        <v>0.91</v>
      </c>
      <c r="GR154" s="54">
        <f t="shared" si="1155"/>
        <v>0.89</v>
      </c>
      <c r="GS154" s="54">
        <f t="shared" si="1155"/>
        <v>0.87</v>
      </c>
      <c r="GT154" s="54">
        <f t="shared" si="1155"/>
        <v>0.85</v>
      </c>
      <c r="GU154" s="54">
        <f t="shared" si="1155"/>
        <v>0.83</v>
      </c>
      <c r="GV154" s="54">
        <f t="shared" si="1155"/>
        <v>0.80999999999999994</v>
      </c>
      <c r="GW154" s="54">
        <f t="shared" si="1155"/>
        <v>0.78999999999999992</v>
      </c>
      <c r="GX154" s="54">
        <f t="shared" si="1155"/>
        <v>0.76999999999999991</v>
      </c>
      <c r="GY154" s="54">
        <f t="shared" si="1155"/>
        <v>0.74999999999999989</v>
      </c>
      <c r="GZ154" s="54">
        <f t="shared" si="1155"/>
        <v>0.72999999999999987</v>
      </c>
      <c r="HA154" s="54">
        <f t="shared" si="1155"/>
        <v>0.70999999999999985</v>
      </c>
      <c r="HB154" s="54">
        <f t="shared" si="1155"/>
        <v>0.68999999999999984</v>
      </c>
      <c r="HC154" s="54">
        <f t="shared" si="1155"/>
        <v>0.66999999999999982</v>
      </c>
      <c r="HD154" s="54">
        <f t="shared" si="1155"/>
        <v>0.6499999999999998</v>
      </c>
      <c r="HE154" s="54">
        <f t="shared" si="1155"/>
        <v>0.62999999999999978</v>
      </c>
      <c r="HF154" s="54">
        <f t="shared" si="1155"/>
        <v>0.60999999999999976</v>
      </c>
      <c r="HG154" s="54">
        <f t="shared" si="1155"/>
        <v>0.58999999999999975</v>
      </c>
      <c r="HH154" s="54">
        <f t="shared" si="1155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7480</v>
      </c>
      <c r="E155" s="39">
        <f>SUM(E151:E154)</f>
        <v>24720</v>
      </c>
      <c r="H155" s="54">
        <f t="shared" si="1070"/>
        <v>27192.000000000004</v>
      </c>
      <c r="I155" s="54">
        <f t="shared" si="1071"/>
        <v>27192.000000000004</v>
      </c>
      <c r="J155" s="58">
        <f t="shared" si="1072"/>
        <v>89891.313600000009</v>
      </c>
      <c r="K155" s="54">
        <f t="shared" si="1080"/>
        <v>26376.240000000002</v>
      </c>
      <c r="L155" s="58">
        <f t="shared" si="1081"/>
        <v>87194.574192</v>
      </c>
      <c r="M155" s="54">
        <f t="shared" si="1082"/>
        <v>25832.400000000001</v>
      </c>
      <c r="N155" s="58">
        <f t="shared" si="1083"/>
        <v>85396.747920000009</v>
      </c>
      <c r="O155" s="54">
        <f>+I155*BF155</f>
        <v>25288.560000000005</v>
      </c>
      <c r="P155" s="58">
        <f t="shared" si="1084"/>
        <v>83598.921648000018</v>
      </c>
      <c r="Q155" s="56">
        <f>+I155*BG155</f>
        <v>24744.720000000005</v>
      </c>
      <c r="R155" s="58">
        <f t="shared" si="1085"/>
        <v>81801.095376000012</v>
      </c>
      <c r="S155" s="54">
        <f>+I155*BH155</f>
        <v>24200.880000000005</v>
      </c>
      <c r="T155" s="58">
        <f t="shared" si="1086"/>
        <v>80003.269104000021</v>
      </c>
      <c r="U155" s="56">
        <f>+I155*BI155</f>
        <v>23657.040000000005</v>
      </c>
      <c r="V155" s="58">
        <f t="shared" si="1087"/>
        <v>78205.442832000015</v>
      </c>
      <c r="W155" s="59">
        <f>+I155*BJ155</f>
        <v>23113.200000000001</v>
      </c>
      <c r="X155" s="58">
        <f t="shared" si="1088"/>
        <v>76407.616560000009</v>
      </c>
      <c r="Y155" s="56">
        <f>+I155*BK155</f>
        <v>22569.360000000001</v>
      </c>
      <c r="Z155" s="58">
        <f t="shared" si="1089"/>
        <v>74609.790288000004</v>
      </c>
      <c r="AA155" s="54">
        <f>+I155*BL155</f>
        <v>22025.52</v>
      </c>
      <c r="AB155" s="58">
        <f t="shared" si="1090"/>
        <v>72811.964015999998</v>
      </c>
      <c r="AC155" s="59">
        <f>+I155*BM155</f>
        <v>21481.68</v>
      </c>
      <c r="AD155" s="58">
        <f t="shared" si="1091"/>
        <v>71014.137744000007</v>
      </c>
      <c r="AE155" s="59">
        <f>+I155*BN155</f>
        <v>20937.84</v>
      </c>
      <c r="AF155" s="58">
        <f t="shared" si="1092"/>
        <v>69216.311472000001</v>
      </c>
      <c r="AG155" s="59">
        <f>+I155*BO155</f>
        <v>20394</v>
      </c>
      <c r="AH155" s="58">
        <f t="shared" si="1093"/>
        <v>67418.485199999996</v>
      </c>
      <c r="AI155" s="54">
        <f>+I155*BP155</f>
        <v>19850.16</v>
      </c>
      <c r="AJ155" s="58">
        <f t="shared" si="1094"/>
        <v>65620.658928000004</v>
      </c>
      <c r="AK155" s="59">
        <f>+I155*BQ155</f>
        <v>19306.32</v>
      </c>
      <c r="AL155" s="58">
        <f t="shared" si="1095"/>
        <v>63822.832655999999</v>
      </c>
      <c r="AM155" s="59">
        <f>+I155*BR155</f>
        <v>18762.48</v>
      </c>
      <c r="AN155" s="58">
        <f t="shared" si="1096"/>
        <v>62025.006384</v>
      </c>
      <c r="AO155" s="59">
        <f>+I155*BS155</f>
        <v>18218.639999999996</v>
      </c>
      <c r="AP155" s="58">
        <f t="shared" si="1097"/>
        <v>60227.180111999987</v>
      </c>
      <c r="AQ155" s="59">
        <f>+I155*BT155</f>
        <v>17674.799999999996</v>
      </c>
      <c r="AR155" s="58">
        <f t="shared" si="1098"/>
        <v>58429.353839999989</v>
      </c>
      <c r="AS155" s="54">
        <f>+I155*BU155</f>
        <v>17130.959999999995</v>
      </c>
      <c r="AT155" s="58">
        <f t="shared" si="1099"/>
        <v>56631.527567999983</v>
      </c>
      <c r="AU155" s="59">
        <f>+I155*BV155</f>
        <v>16587.119999999995</v>
      </c>
      <c r="AV155" s="58">
        <f t="shared" si="1100"/>
        <v>54833.701295999985</v>
      </c>
      <c r="AW155" s="59">
        <f>+I155*BW155</f>
        <v>16043.279999999995</v>
      </c>
      <c r="AX155" s="58">
        <f t="shared" si="1101"/>
        <v>53035.875023999986</v>
      </c>
      <c r="AY155" s="54">
        <f>+I155*BX155</f>
        <v>15499.439999999995</v>
      </c>
      <c r="AZ155" s="58">
        <f t="shared" si="1102"/>
        <v>51238.048751999988</v>
      </c>
      <c r="BC155" s="54">
        <v>1</v>
      </c>
      <c r="BD155" s="54">
        <v>0.97</v>
      </c>
      <c r="BE155" s="54">
        <v>0.95</v>
      </c>
      <c r="BF155" s="54">
        <v>0.93</v>
      </c>
      <c r="BG155" s="54">
        <f t="shared" si="1103"/>
        <v>0.91</v>
      </c>
      <c r="BH155" s="54">
        <f t="shared" si="1103"/>
        <v>0.89</v>
      </c>
      <c r="BI155" s="54">
        <f t="shared" si="1103"/>
        <v>0.87</v>
      </c>
      <c r="BJ155" s="54">
        <f t="shared" si="1103"/>
        <v>0.85</v>
      </c>
      <c r="BK155" s="54">
        <f t="shared" si="1103"/>
        <v>0.83</v>
      </c>
      <c r="BL155" s="54">
        <f t="shared" si="1103"/>
        <v>0.80999999999999994</v>
      </c>
      <c r="BM155" s="54">
        <f t="shared" si="1103"/>
        <v>0.78999999999999992</v>
      </c>
      <c r="BN155" s="54">
        <f t="shared" si="1103"/>
        <v>0.76999999999999991</v>
      </c>
      <c r="BO155" s="54">
        <f t="shared" si="1103"/>
        <v>0.74999999999999989</v>
      </c>
      <c r="BP155" s="54">
        <f t="shared" si="1103"/>
        <v>0.72999999999999987</v>
      </c>
      <c r="BQ155" s="54">
        <f t="shared" si="1103"/>
        <v>0.70999999999999985</v>
      </c>
      <c r="BR155" s="54">
        <f t="shared" si="1103"/>
        <v>0.68999999999999984</v>
      </c>
      <c r="BS155" s="54">
        <f t="shared" si="1103"/>
        <v>0.66999999999999982</v>
      </c>
      <c r="BT155" s="54">
        <f t="shared" si="1103"/>
        <v>0.6499999999999998</v>
      </c>
      <c r="BU155" s="54">
        <f t="shared" si="1103"/>
        <v>0.62999999999999978</v>
      </c>
      <c r="BV155" s="54">
        <f t="shared" si="1103"/>
        <v>0.60999999999999976</v>
      </c>
      <c r="BW155" s="54">
        <f t="shared" si="1103"/>
        <v>0.58999999999999975</v>
      </c>
      <c r="BX155" s="54">
        <f t="shared" si="1103"/>
        <v>0.56999999999999973</v>
      </c>
      <c r="BZ155" s="54">
        <f t="shared" si="1073"/>
        <v>24744.720000000005</v>
      </c>
      <c r="CA155" s="54">
        <f t="shared" si="1074"/>
        <v>24744.720000000005</v>
      </c>
      <c r="CB155" s="58">
        <f t="shared" si="1104"/>
        <v>81801.095376000012</v>
      </c>
      <c r="CC155" s="54">
        <f t="shared" si="1105"/>
        <v>24002.378400000005</v>
      </c>
      <c r="CD155" s="58">
        <f t="shared" si="1106"/>
        <v>79347.062514720019</v>
      </c>
      <c r="CE155" s="54">
        <f t="shared" si="1107"/>
        <v>23507.484000000004</v>
      </c>
      <c r="CF155" s="58">
        <f t="shared" si="1108"/>
        <v>77711.040607200019</v>
      </c>
      <c r="CG155" s="54">
        <f>+CA155*DX155</f>
        <v>23012.589600000007</v>
      </c>
      <c r="CH155" s="58">
        <f t="shared" si="1109"/>
        <v>76075.018699680018</v>
      </c>
      <c r="CI155" s="56">
        <f>+CA155*DY155</f>
        <v>22517.695200000006</v>
      </c>
      <c r="CJ155" s="58">
        <f t="shared" si="1110"/>
        <v>74438.996792160018</v>
      </c>
      <c r="CK155" s="54">
        <f>+CA155*DZ155</f>
        <v>22022.800800000005</v>
      </c>
      <c r="CL155" s="58">
        <f t="shared" si="1111"/>
        <v>72802.974884640018</v>
      </c>
      <c r="CM155" s="56">
        <f>+CA155*EA155</f>
        <v>21527.906400000003</v>
      </c>
      <c r="CN155" s="58">
        <f t="shared" si="1112"/>
        <v>71166.952977120018</v>
      </c>
      <c r="CO155" s="59">
        <f>+CA155*EB155</f>
        <v>21033.012000000002</v>
      </c>
      <c r="CP155" s="58">
        <f t="shared" si="1113"/>
        <v>69530.931069600003</v>
      </c>
      <c r="CQ155" s="56">
        <f>+CA155*EC155</f>
        <v>20538.117600000001</v>
      </c>
      <c r="CR155" s="58">
        <f t="shared" si="1114"/>
        <v>67894.909162080003</v>
      </c>
      <c r="CS155" s="54">
        <f>+CA155*ED155</f>
        <v>20043.223200000004</v>
      </c>
      <c r="CT155" s="58">
        <f t="shared" si="1115"/>
        <v>66258.887254560017</v>
      </c>
      <c r="CU155" s="59">
        <f>+CA155*EE155</f>
        <v>19548.328800000003</v>
      </c>
      <c r="CV155" s="58">
        <f t="shared" si="1116"/>
        <v>64622.86534704001</v>
      </c>
      <c r="CW155" s="59">
        <f>+CA155*EF155</f>
        <v>19053.434400000002</v>
      </c>
      <c r="CX155" s="58">
        <f t="shared" si="1117"/>
        <v>62986.843439520009</v>
      </c>
      <c r="CY155" s="59">
        <f>+CA155*EG155</f>
        <v>18558.54</v>
      </c>
      <c r="CZ155" s="58">
        <f t="shared" si="1118"/>
        <v>61350.821532000002</v>
      </c>
      <c r="DA155" s="54">
        <f>+CA155*EH155</f>
        <v>18063.6456</v>
      </c>
      <c r="DB155" s="58">
        <f t="shared" si="1119"/>
        <v>59714.799624480002</v>
      </c>
      <c r="DC155" s="59">
        <f>+CA155*EI155</f>
        <v>17568.751199999999</v>
      </c>
      <c r="DD155" s="58">
        <f t="shared" si="1120"/>
        <v>58078.777716959994</v>
      </c>
      <c r="DE155" s="59">
        <f>+CA155*EJ155</f>
        <v>17073.856799999998</v>
      </c>
      <c r="DF155" s="58">
        <f t="shared" si="1121"/>
        <v>56442.755809439994</v>
      </c>
      <c r="DG155" s="59">
        <f>+CA155*EK155</f>
        <v>16578.9624</v>
      </c>
      <c r="DH155" s="58">
        <f t="shared" si="1122"/>
        <v>54806.733901920001</v>
      </c>
      <c r="DI155" s="59">
        <f>+CA155*EL155</f>
        <v>16084.067999999997</v>
      </c>
      <c r="DJ155" s="58">
        <f t="shared" si="1123"/>
        <v>53170.711994399993</v>
      </c>
      <c r="DK155" s="54">
        <f>+CA155*EM155</f>
        <v>15589.173599999998</v>
      </c>
      <c r="DL155" s="58">
        <f t="shared" si="1124"/>
        <v>51534.690086879993</v>
      </c>
      <c r="DM155" s="59">
        <f>+CA155*EN155</f>
        <v>15094.279199999997</v>
      </c>
      <c r="DN155" s="58">
        <f t="shared" si="1125"/>
        <v>49898.668179359993</v>
      </c>
      <c r="DO155" s="59">
        <f>+CA155*EO155</f>
        <v>14599.384799999996</v>
      </c>
      <c r="DP155" s="58">
        <f t="shared" si="1126"/>
        <v>48262.646271839985</v>
      </c>
      <c r="DQ155" s="54">
        <f>+CA155*EP155</f>
        <v>14104.490399999995</v>
      </c>
      <c r="DR155" s="58">
        <f t="shared" si="1127"/>
        <v>46626.624364319985</v>
      </c>
      <c r="DU155" s="54">
        <v>1</v>
      </c>
      <c r="DV155" s="54">
        <v>0.97</v>
      </c>
      <c r="DW155" s="54">
        <v>0.95</v>
      </c>
      <c r="DX155" s="54">
        <v>0.93</v>
      </c>
      <c r="DY155" s="54">
        <f t="shared" si="1154"/>
        <v>0.91</v>
      </c>
      <c r="DZ155" s="54">
        <f t="shared" si="1154"/>
        <v>0.89</v>
      </c>
      <c r="EA155" s="54">
        <f t="shared" si="1154"/>
        <v>0.87</v>
      </c>
      <c r="EB155" s="54">
        <f t="shared" si="1154"/>
        <v>0.85</v>
      </c>
      <c r="EC155" s="54">
        <f t="shared" si="1154"/>
        <v>0.83</v>
      </c>
      <c r="ED155" s="54">
        <f t="shared" si="1154"/>
        <v>0.80999999999999994</v>
      </c>
      <c r="EE155" s="54">
        <f t="shared" si="1154"/>
        <v>0.78999999999999992</v>
      </c>
      <c r="EF155" s="54">
        <f t="shared" si="1154"/>
        <v>0.76999999999999991</v>
      </c>
      <c r="EG155" s="54">
        <f t="shared" si="1154"/>
        <v>0.74999999999999989</v>
      </c>
      <c r="EH155" s="54">
        <f t="shared" si="1154"/>
        <v>0.72999999999999987</v>
      </c>
      <c r="EI155" s="54">
        <f t="shared" si="1154"/>
        <v>0.70999999999999985</v>
      </c>
      <c r="EJ155" s="54">
        <f t="shared" si="1154"/>
        <v>0.68999999999999984</v>
      </c>
      <c r="EK155" s="54">
        <f t="shared" si="1154"/>
        <v>0.66999999999999982</v>
      </c>
      <c r="EL155" s="54">
        <f t="shared" si="1154"/>
        <v>0.6499999999999998</v>
      </c>
      <c r="EM155" s="54">
        <f t="shared" si="1154"/>
        <v>0.62999999999999978</v>
      </c>
      <c r="EN155" s="54">
        <f t="shared" si="1154"/>
        <v>0.60999999999999976</v>
      </c>
      <c r="EO155" s="54">
        <f t="shared" si="1154"/>
        <v>0.58999999999999975</v>
      </c>
      <c r="EP155" s="54">
        <f t="shared" si="1154"/>
        <v>0.56999999999999973</v>
      </c>
      <c r="ER155" s="54">
        <f t="shared" si="653"/>
        <v>22517.695200000006</v>
      </c>
      <c r="ES155" s="54">
        <f t="shared" si="1075"/>
        <v>22517.695200000006</v>
      </c>
      <c r="ET155" s="58">
        <f t="shared" si="1128"/>
        <v>74438.996792160018</v>
      </c>
      <c r="EU155" s="54">
        <f t="shared" si="1129"/>
        <v>21842.164344000004</v>
      </c>
      <c r="EV155" s="58">
        <f t="shared" si="1130"/>
        <v>72205.826888395211</v>
      </c>
      <c r="EW155" s="54">
        <f t="shared" si="1131"/>
        <v>21391.810440000005</v>
      </c>
      <c r="EX155" s="58">
        <f t="shared" si="1132"/>
        <v>70717.046952552017</v>
      </c>
      <c r="EY155" s="54">
        <f>+ES155*GP155</f>
        <v>20941.456536000005</v>
      </c>
      <c r="EZ155" s="58">
        <f t="shared" si="1133"/>
        <v>69228.267016708822</v>
      </c>
      <c r="FA155" s="56">
        <f>+ES155*GQ155</f>
        <v>20491.102632000006</v>
      </c>
      <c r="FB155" s="58">
        <f t="shared" si="1134"/>
        <v>67739.487080865627</v>
      </c>
      <c r="FC155" s="54">
        <f>+ES155*GR155</f>
        <v>20040.748728000006</v>
      </c>
      <c r="FD155" s="58">
        <f t="shared" si="1135"/>
        <v>66250.707145022418</v>
      </c>
      <c r="FE155" s="56">
        <f>+ES155*GS155</f>
        <v>19590.394824000006</v>
      </c>
      <c r="FF155" s="58">
        <f t="shared" si="1136"/>
        <v>64761.927209179223</v>
      </c>
      <c r="FG155" s="59">
        <f>+ES155*GT155</f>
        <v>19140.040920000003</v>
      </c>
      <c r="FH155" s="58">
        <f t="shared" si="1137"/>
        <v>63273.147273336013</v>
      </c>
      <c r="FI155" s="56">
        <f>+ES155*GU155</f>
        <v>18689.687016000003</v>
      </c>
      <c r="FJ155" s="58">
        <f t="shared" si="1138"/>
        <v>61784.367337492811</v>
      </c>
      <c r="FK155" s="54">
        <f>+ES155*GV155</f>
        <v>18239.333112000004</v>
      </c>
      <c r="FL155" s="58">
        <f t="shared" si="1139"/>
        <v>60295.587401649616</v>
      </c>
      <c r="FM155" s="59">
        <f>+ES155*GW155</f>
        <v>17788.979208000004</v>
      </c>
      <c r="FN155" s="58">
        <f t="shared" si="1140"/>
        <v>58806.807465806414</v>
      </c>
      <c r="FO155" s="59">
        <f>+ES155*GX155</f>
        <v>17338.625304000001</v>
      </c>
      <c r="FP155" s="58">
        <f t="shared" si="1141"/>
        <v>57318.027529963205</v>
      </c>
      <c r="FQ155" s="59">
        <f>+ES155*GY155</f>
        <v>16888.271400000001</v>
      </c>
      <c r="FR155" s="58">
        <f t="shared" si="1142"/>
        <v>55829.247594120003</v>
      </c>
      <c r="FS155" s="54">
        <f>+ES155*GZ155</f>
        <v>16437.917496000002</v>
      </c>
      <c r="FT155" s="58">
        <f t="shared" si="1143"/>
        <v>54340.467658276808</v>
      </c>
      <c r="FU155" s="59">
        <f>+ES155*HA155</f>
        <v>15987.563592</v>
      </c>
      <c r="FV155" s="58">
        <f t="shared" si="1144"/>
        <v>52851.687722433606</v>
      </c>
      <c r="FW155" s="59">
        <f>+ES155*HB155</f>
        <v>15537.209688000001</v>
      </c>
      <c r="FX155" s="58">
        <f t="shared" si="1145"/>
        <v>51362.907786590404</v>
      </c>
      <c r="FY155" s="59">
        <f>+ES155*HC155</f>
        <v>15086.855783999999</v>
      </c>
      <c r="FZ155" s="58">
        <f t="shared" si="1146"/>
        <v>49874.127850747202</v>
      </c>
      <c r="GA155" s="59">
        <f>+ES155*HD155</f>
        <v>14636.50188</v>
      </c>
      <c r="GB155" s="58">
        <f t="shared" si="1147"/>
        <v>48385.347914903999</v>
      </c>
      <c r="GC155" s="54">
        <f>+ES155*HE155</f>
        <v>14186.147975999998</v>
      </c>
      <c r="GD155" s="58">
        <f t="shared" si="1148"/>
        <v>46896.567979060797</v>
      </c>
      <c r="GE155" s="59">
        <f>+ES155*HF155</f>
        <v>13735.794071999999</v>
      </c>
      <c r="GF155" s="58">
        <f t="shared" si="1149"/>
        <v>45407.788043217595</v>
      </c>
      <c r="GG155" s="59">
        <f>+ES155*HG155</f>
        <v>13285.440167999997</v>
      </c>
      <c r="GH155" s="58">
        <f t="shared" si="1150"/>
        <v>43919.008107374393</v>
      </c>
      <c r="GI155" s="54">
        <f>+ES155*HH155</f>
        <v>12835.086263999998</v>
      </c>
      <c r="GJ155" s="58">
        <f t="shared" si="1151"/>
        <v>42430.228171531191</v>
      </c>
      <c r="GK155" s="54"/>
      <c r="GL155" s="54"/>
      <c r="GM155" s="54">
        <v>1</v>
      </c>
      <c r="GN155" s="54">
        <v>0.97</v>
      </c>
      <c r="GO155" s="54">
        <v>0.95</v>
      </c>
      <c r="GP155" s="54">
        <v>0.93</v>
      </c>
      <c r="GQ155" s="54">
        <f t="shared" si="1155"/>
        <v>0.91</v>
      </c>
      <c r="GR155" s="54">
        <f t="shared" si="1155"/>
        <v>0.89</v>
      </c>
      <c r="GS155" s="54">
        <f t="shared" si="1155"/>
        <v>0.87</v>
      </c>
      <c r="GT155" s="54">
        <f t="shared" si="1155"/>
        <v>0.85</v>
      </c>
      <c r="GU155" s="54">
        <f t="shared" si="1155"/>
        <v>0.83</v>
      </c>
      <c r="GV155" s="54">
        <f t="shared" si="1155"/>
        <v>0.80999999999999994</v>
      </c>
      <c r="GW155" s="54">
        <f t="shared" si="1155"/>
        <v>0.78999999999999992</v>
      </c>
      <c r="GX155" s="54">
        <f t="shared" si="1155"/>
        <v>0.76999999999999991</v>
      </c>
      <c r="GY155" s="54">
        <f t="shared" si="1155"/>
        <v>0.74999999999999989</v>
      </c>
      <c r="GZ155" s="54">
        <f t="shared" si="1155"/>
        <v>0.72999999999999987</v>
      </c>
      <c r="HA155" s="54">
        <f t="shared" si="1155"/>
        <v>0.70999999999999985</v>
      </c>
      <c r="HB155" s="54">
        <f t="shared" si="1155"/>
        <v>0.68999999999999984</v>
      </c>
      <c r="HC155" s="54">
        <f t="shared" si="1155"/>
        <v>0.66999999999999982</v>
      </c>
      <c r="HD155" s="54">
        <f t="shared" si="1155"/>
        <v>0.6499999999999998</v>
      </c>
      <c r="HE155" s="54">
        <f t="shared" si="1155"/>
        <v>0.62999999999999978</v>
      </c>
      <c r="HF155" s="54">
        <f t="shared" si="1155"/>
        <v>0.60999999999999976</v>
      </c>
      <c r="HG155" s="54">
        <f t="shared" si="1155"/>
        <v>0.58999999999999975</v>
      </c>
      <c r="HH155" s="54">
        <f t="shared" si="1155"/>
        <v>0.56999999999999973</v>
      </c>
    </row>
    <row r="156" spans="1:216" x14ac:dyDescent="0.3">
      <c r="L156" s="55"/>
      <c r="N156" s="55"/>
      <c r="P156" s="55"/>
      <c r="R156" s="55"/>
      <c r="T156" s="55"/>
      <c r="V156" s="55"/>
      <c r="W156" s="59"/>
      <c r="X156" s="55"/>
      <c r="Z156" s="55"/>
      <c r="AB156" s="55"/>
      <c r="AC156" s="59"/>
      <c r="AD156" s="55"/>
      <c r="AE156" s="59"/>
      <c r="AF156" s="55"/>
      <c r="AG156" s="59"/>
      <c r="AH156" s="55"/>
      <c r="AJ156" s="55"/>
      <c r="AK156" s="59"/>
      <c r="AL156" s="55"/>
      <c r="AM156" s="59"/>
      <c r="AN156" s="55"/>
      <c r="AO156" s="59"/>
      <c r="AP156" s="55"/>
      <c r="AQ156" s="59"/>
      <c r="AR156" s="55"/>
      <c r="AT156" s="55"/>
      <c r="AU156" s="59"/>
      <c r="AV156" s="55"/>
      <c r="AW156" s="59"/>
      <c r="AX156" s="55"/>
      <c r="AZ156" s="55"/>
      <c r="CB156" s="55"/>
      <c r="CD156" s="55"/>
      <c r="CF156" s="55"/>
      <c r="CH156" s="55"/>
      <c r="CI156" s="56"/>
      <c r="CJ156" s="55"/>
      <c r="CL156" s="55"/>
      <c r="CM156" s="56"/>
      <c r="CN156" s="55"/>
      <c r="CO156" s="59"/>
      <c r="CP156" s="55"/>
      <c r="CQ156" s="56"/>
      <c r="CR156" s="55"/>
      <c r="CT156" s="55"/>
      <c r="CU156" s="59"/>
      <c r="CV156" s="55"/>
      <c r="CW156" s="59"/>
      <c r="CX156" s="55"/>
      <c r="CY156" s="59"/>
      <c r="CZ156" s="55"/>
      <c r="DB156" s="55"/>
      <c r="DC156" s="59"/>
      <c r="DD156" s="55"/>
      <c r="DE156" s="59"/>
      <c r="DF156" s="55"/>
      <c r="DG156" s="59"/>
      <c r="DH156" s="55"/>
      <c r="DI156" s="59"/>
      <c r="DJ156" s="55"/>
      <c r="DL156" s="55"/>
      <c r="DM156" s="59"/>
      <c r="DN156" s="55"/>
      <c r="DO156" s="59"/>
      <c r="DP156" s="55"/>
      <c r="DR156" s="55"/>
      <c r="ER156" s="54"/>
      <c r="ES156" s="54"/>
      <c r="ET156" s="55"/>
      <c r="EU156" s="54"/>
      <c r="EV156" s="55"/>
      <c r="EW156" s="54"/>
      <c r="EX156" s="55"/>
      <c r="EY156" s="54"/>
      <c r="EZ156" s="55"/>
      <c r="FA156" s="56"/>
      <c r="FB156" s="55"/>
      <c r="FC156" s="54"/>
      <c r="FD156" s="55"/>
      <c r="FE156" s="56"/>
      <c r="FF156" s="55"/>
      <c r="FG156" s="59"/>
      <c r="FH156" s="55"/>
      <c r="FI156" s="56"/>
      <c r="FJ156" s="55"/>
      <c r="FK156" s="54"/>
      <c r="FL156" s="55"/>
      <c r="FM156" s="59"/>
      <c r="FN156" s="55"/>
      <c r="FO156" s="59"/>
      <c r="FP156" s="55"/>
      <c r="FQ156" s="59"/>
      <c r="FR156" s="55"/>
      <c r="FS156" s="54"/>
      <c r="FT156" s="55"/>
      <c r="FU156" s="59"/>
      <c r="FV156" s="55"/>
      <c r="FW156" s="59"/>
      <c r="FX156" s="55"/>
      <c r="FY156" s="59"/>
      <c r="FZ156" s="55"/>
      <c r="GA156" s="59"/>
      <c r="GB156" s="55"/>
      <c r="GC156" s="54"/>
      <c r="GD156" s="55"/>
      <c r="GE156" s="59"/>
      <c r="GF156" s="55"/>
      <c r="GG156" s="59"/>
      <c r="GH156" s="55"/>
      <c r="GI156" s="54"/>
      <c r="GJ156" s="55"/>
      <c r="GK156" s="54"/>
      <c r="GL156" s="54"/>
      <c r="GM156" s="54"/>
      <c r="GN156" s="54"/>
      <c r="GO156" s="54"/>
      <c r="GP156" s="54"/>
      <c r="GQ156" s="54"/>
      <c r="GR156" s="54"/>
      <c r="GS156" s="54"/>
      <c r="GT156" s="54"/>
      <c r="GU156" s="54"/>
      <c r="GV156" s="54"/>
      <c r="GW156" s="54"/>
      <c r="GX156" s="54"/>
      <c r="GY156" s="54"/>
      <c r="GZ156" s="54"/>
      <c r="HA156" s="54"/>
      <c r="HB156" s="54"/>
      <c r="HC156" s="54"/>
      <c r="HD156" s="54"/>
      <c r="HE156" s="54"/>
      <c r="HF156" s="54"/>
      <c r="HG156" s="54"/>
      <c r="HH156" s="54"/>
    </row>
    <row r="157" spans="1:216" x14ac:dyDescent="0.3">
      <c r="L157" s="55"/>
      <c r="N157" s="55"/>
      <c r="P157" s="55"/>
      <c r="R157" s="55"/>
      <c r="T157" s="55"/>
      <c r="V157" s="55"/>
      <c r="W157" s="59"/>
      <c r="X157" s="55"/>
      <c r="Z157" s="55"/>
      <c r="AB157" s="55"/>
      <c r="AC157" s="59"/>
      <c r="AD157" s="55"/>
      <c r="AE157" s="59"/>
      <c r="AF157" s="55"/>
      <c r="AG157" s="59"/>
      <c r="AH157" s="55"/>
      <c r="AJ157" s="55"/>
      <c r="AK157" s="59"/>
      <c r="AL157" s="55"/>
      <c r="AM157" s="59"/>
      <c r="AN157" s="55"/>
      <c r="AO157" s="59"/>
      <c r="AP157" s="55"/>
      <c r="AQ157" s="59"/>
      <c r="AR157" s="55"/>
      <c r="AT157" s="55"/>
      <c r="AU157" s="59"/>
      <c r="AV157" s="55"/>
      <c r="AW157" s="59"/>
      <c r="AX157" s="55"/>
      <c r="AZ157" s="55"/>
      <c r="CB157" s="55"/>
      <c r="CD157" s="55"/>
      <c r="CF157" s="55"/>
      <c r="CH157" s="55"/>
      <c r="CI157" s="56"/>
      <c r="CJ157" s="55"/>
      <c r="CL157" s="55"/>
      <c r="CM157" s="56"/>
      <c r="CN157" s="55"/>
      <c r="CO157" s="59"/>
      <c r="CP157" s="55"/>
      <c r="CQ157" s="56"/>
      <c r="CR157" s="55"/>
      <c r="CT157" s="55"/>
      <c r="CU157" s="59"/>
      <c r="CV157" s="55"/>
      <c r="CW157" s="59"/>
      <c r="CX157" s="55"/>
      <c r="CY157" s="59"/>
      <c r="CZ157" s="55"/>
      <c r="DB157" s="55"/>
      <c r="DC157" s="59"/>
      <c r="DD157" s="55"/>
      <c r="DE157" s="59"/>
      <c r="DF157" s="55"/>
      <c r="DG157" s="59"/>
      <c r="DH157" s="55"/>
      <c r="DI157" s="59"/>
      <c r="DJ157" s="55"/>
      <c r="DL157" s="55"/>
      <c r="DM157" s="59"/>
      <c r="DN157" s="55"/>
      <c r="DO157" s="59"/>
      <c r="DP157" s="55"/>
      <c r="DR157" s="55"/>
      <c r="ER157" s="54"/>
      <c r="ES157" s="54"/>
      <c r="ET157" s="55"/>
      <c r="EU157" s="54"/>
      <c r="EV157" s="55"/>
      <c r="EW157" s="54"/>
      <c r="EX157" s="55"/>
      <c r="EY157" s="54"/>
      <c r="EZ157" s="55"/>
      <c r="FA157" s="56"/>
      <c r="FB157" s="55"/>
      <c r="FC157" s="54"/>
      <c r="FD157" s="55"/>
      <c r="FE157" s="56"/>
      <c r="FF157" s="55"/>
      <c r="FG157" s="59"/>
      <c r="FH157" s="55"/>
      <c r="FI157" s="56"/>
      <c r="FJ157" s="55"/>
      <c r="FK157" s="54"/>
      <c r="FL157" s="55"/>
      <c r="FM157" s="59"/>
      <c r="FN157" s="55"/>
      <c r="FO157" s="59"/>
      <c r="FP157" s="55"/>
      <c r="FQ157" s="59"/>
      <c r="FR157" s="55"/>
      <c r="FS157" s="54"/>
      <c r="FT157" s="55"/>
      <c r="FU157" s="59"/>
      <c r="FV157" s="55"/>
      <c r="FW157" s="59"/>
      <c r="FX157" s="55"/>
      <c r="FY157" s="59"/>
      <c r="FZ157" s="55"/>
      <c r="GA157" s="59"/>
      <c r="GB157" s="55"/>
      <c r="GC157" s="54"/>
      <c r="GD157" s="55"/>
      <c r="GE157" s="59"/>
      <c r="GF157" s="55"/>
      <c r="GG157" s="59"/>
      <c r="GH157" s="55"/>
      <c r="GI157" s="54"/>
      <c r="GJ157" s="55"/>
      <c r="GK157" s="54"/>
      <c r="GL157" s="54"/>
      <c r="GM157" s="54"/>
      <c r="GN157" s="54"/>
      <c r="GO157" s="54"/>
      <c r="GP157" s="54"/>
      <c r="GQ157" s="54"/>
      <c r="GR157" s="54"/>
      <c r="GS157" s="54"/>
      <c r="GT157" s="54"/>
      <c r="GU157" s="54"/>
      <c r="GV157" s="54"/>
      <c r="GW157" s="54"/>
      <c r="GX157" s="54"/>
      <c r="GY157" s="54"/>
      <c r="GZ157" s="54"/>
      <c r="HA157" s="54"/>
      <c r="HB157" s="54"/>
      <c r="HC157" s="54"/>
      <c r="HD157" s="54"/>
      <c r="HE157" s="54"/>
      <c r="HF157" s="54"/>
      <c r="HG157" s="54"/>
      <c r="HH157" s="54"/>
    </row>
    <row r="158" spans="1:216" x14ac:dyDescent="0.3">
      <c r="L158" s="55"/>
      <c r="N158" s="55"/>
      <c r="P158" s="55"/>
      <c r="R158" s="55"/>
      <c r="T158" s="55"/>
      <c r="V158" s="55"/>
      <c r="W158" s="59"/>
      <c r="X158" s="55"/>
      <c r="Z158" s="55"/>
      <c r="AB158" s="55"/>
      <c r="AC158" s="59"/>
      <c r="AD158" s="55"/>
      <c r="AE158" s="59"/>
      <c r="AF158" s="55"/>
      <c r="AG158" s="59"/>
      <c r="AH158" s="55"/>
      <c r="AJ158" s="55"/>
      <c r="AK158" s="59"/>
      <c r="AL158" s="55"/>
      <c r="AM158" s="59"/>
      <c r="AN158" s="55"/>
      <c r="AO158" s="59"/>
      <c r="AP158" s="55"/>
      <c r="AQ158" s="59"/>
      <c r="AR158" s="55"/>
      <c r="AT158" s="55"/>
      <c r="AU158" s="59"/>
      <c r="AV158" s="55"/>
      <c r="AW158" s="59"/>
      <c r="AX158" s="55"/>
      <c r="AZ158" s="55"/>
      <c r="CB158" s="55"/>
      <c r="CD158" s="55"/>
      <c r="CF158" s="55"/>
      <c r="CH158" s="55"/>
      <c r="CI158" s="56"/>
      <c r="CJ158" s="55"/>
      <c r="CL158" s="55"/>
      <c r="CM158" s="56"/>
      <c r="CN158" s="55"/>
      <c r="CO158" s="59"/>
      <c r="CP158" s="55"/>
      <c r="CQ158" s="56"/>
      <c r="CR158" s="55"/>
      <c r="CT158" s="55"/>
      <c r="CU158" s="59"/>
      <c r="CV158" s="55"/>
      <c r="CW158" s="59"/>
      <c r="CX158" s="55"/>
      <c r="CY158" s="59"/>
      <c r="CZ158" s="55"/>
      <c r="DB158" s="55"/>
      <c r="DC158" s="59"/>
      <c r="DD158" s="55"/>
      <c r="DE158" s="59"/>
      <c r="DF158" s="55"/>
      <c r="DG158" s="59"/>
      <c r="DH158" s="55"/>
      <c r="DI158" s="59"/>
      <c r="DJ158" s="55"/>
      <c r="DL158" s="55"/>
      <c r="DM158" s="59"/>
      <c r="DN158" s="55"/>
      <c r="DO158" s="59"/>
      <c r="DP158" s="55"/>
      <c r="DR158" s="55"/>
      <c r="ER158" s="54"/>
      <c r="ES158" s="54"/>
      <c r="ET158" s="55"/>
      <c r="EU158" s="54"/>
      <c r="EV158" s="55"/>
      <c r="EW158" s="54"/>
      <c r="EX158" s="55"/>
      <c r="EY158" s="54"/>
      <c r="EZ158" s="55"/>
      <c r="FA158" s="56"/>
      <c r="FB158" s="55"/>
      <c r="FC158" s="54"/>
      <c r="FD158" s="55"/>
      <c r="FE158" s="56"/>
      <c r="FF158" s="55"/>
      <c r="FG158" s="59"/>
      <c r="FH158" s="55"/>
      <c r="FI158" s="56"/>
      <c r="FJ158" s="55"/>
      <c r="FK158" s="54"/>
      <c r="FL158" s="55"/>
      <c r="FM158" s="59"/>
      <c r="FN158" s="55"/>
      <c r="FO158" s="59"/>
      <c r="FP158" s="55"/>
      <c r="FQ158" s="59"/>
      <c r="FR158" s="55"/>
      <c r="FS158" s="54"/>
      <c r="FT158" s="55"/>
      <c r="FU158" s="59"/>
      <c r="FV158" s="55"/>
      <c r="FW158" s="59"/>
      <c r="FX158" s="55"/>
      <c r="FY158" s="59"/>
      <c r="FZ158" s="55"/>
      <c r="GA158" s="59"/>
      <c r="GB158" s="55"/>
      <c r="GC158" s="54"/>
      <c r="GD158" s="55"/>
      <c r="GE158" s="59"/>
      <c r="GF158" s="55"/>
      <c r="GG158" s="59"/>
      <c r="GH158" s="55"/>
      <c r="GI158" s="54"/>
      <c r="GJ158" s="55"/>
      <c r="GK158" s="54"/>
      <c r="GL158" s="54"/>
      <c r="GM158" s="54"/>
      <c r="GN158" s="54"/>
      <c r="GO158" s="54"/>
      <c r="GP158" s="54"/>
      <c r="GQ158" s="54"/>
      <c r="GR158" s="54"/>
      <c r="GS158" s="54"/>
      <c r="GT158" s="54"/>
      <c r="GU158" s="54"/>
      <c r="GV158" s="54"/>
      <c r="GW158" s="54"/>
      <c r="GX158" s="54"/>
      <c r="GY158" s="54"/>
      <c r="GZ158" s="54"/>
      <c r="HA158" s="54"/>
      <c r="HB158" s="54"/>
      <c r="HC158" s="54"/>
      <c r="HD158" s="54"/>
      <c r="HE158" s="54"/>
      <c r="HF158" s="54"/>
      <c r="HG158" s="54"/>
      <c r="HH158" s="54"/>
    </row>
    <row r="159" spans="1:216" x14ac:dyDescent="0.3">
      <c r="L159" s="55"/>
      <c r="N159" s="55"/>
      <c r="P159" s="55"/>
      <c r="R159" s="55"/>
      <c r="T159" s="55"/>
      <c r="V159" s="55"/>
      <c r="W159" s="59"/>
      <c r="X159" s="55"/>
      <c r="Z159" s="55"/>
      <c r="AB159" s="55"/>
      <c r="AC159" s="59"/>
      <c r="AD159" s="55"/>
      <c r="AE159" s="59"/>
      <c r="AF159" s="55"/>
      <c r="AG159" s="59"/>
      <c r="AH159" s="55"/>
      <c r="AJ159" s="55"/>
      <c r="AK159" s="59"/>
      <c r="AL159" s="55"/>
      <c r="AM159" s="59"/>
      <c r="AN159" s="55"/>
      <c r="AO159" s="59"/>
      <c r="AP159" s="55"/>
      <c r="AQ159" s="59"/>
      <c r="AR159" s="55"/>
      <c r="AT159" s="55"/>
      <c r="AU159" s="59"/>
      <c r="AV159" s="55"/>
      <c r="AW159" s="59"/>
      <c r="AX159" s="55"/>
      <c r="AZ159" s="55"/>
      <c r="CB159" s="55"/>
      <c r="CD159" s="55"/>
      <c r="CF159" s="55"/>
      <c r="CH159" s="55"/>
      <c r="CI159" s="56"/>
      <c r="CJ159" s="55"/>
      <c r="CL159" s="55"/>
      <c r="CM159" s="56"/>
      <c r="CN159" s="55"/>
      <c r="CO159" s="59"/>
      <c r="CP159" s="55"/>
      <c r="CQ159" s="56"/>
      <c r="CR159" s="55"/>
      <c r="CT159" s="55"/>
      <c r="CU159" s="59"/>
      <c r="CV159" s="55"/>
      <c r="CW159" s="59"/>
      <c r="CX159" s="55"/>
      <c r="CY159" s="59"/>
      <c r="CZ159" s="55"/>
      <c r="DB159" s="55"/>
      <c r="DC159" s="59"/>
      <c r="DD159" s="55"/>
      <c r="DE159" s="59"/>
      <c r="DF159" s="55"/>
      <c r="DG159" s="59"/>
      <c r="DH159" s="55"/>
      <c r="DI159" s="59"/>
      <c r="DJ159" s="55"/>
      <c r="DL159" s="55"/>
      <c r="DM159" s="59"/>
      <c r="DN159" s="55"/>
      <c r="DO159" s="59"/>
      <c r="DP159" s="55"/>
      <c r="DR159" s="55"/>
      <c r="ER159" s="54"/>
      <c r="ES159" s="54"/>
      <c r="ET159" s="55"/>
      <c r="EU159" s="54"/>
      <c r="EV159" s="55"/>
      <c r="EW159" s="54"/>
      <c r="EX159" s="55"/>
      <c r="EY159" s="54"/>
      <c r="EZ159" s="55"/>
      <c r="FA159" s="56"/>
      <c r="FB159" s="55"/>
      <c r="FC159" s="54"/>
      <c r="FD159" s="55"/>
      <c r="FE159" s="56"/>
      <c r="FF159" s="55"/>
      <c r="FG159" s="59"/>
      <c r="FH159" s="55"/>
      <c r="FI159" s="56"/>
      <c r="FJ159" s="55"/>
      <c r="FK159" s="54"/>
      <c r="FL159" s="55"/>
      <c r="FM159" s="59"/>
      <c r="FN159" s="55"/>
      <c r="FO159" s="59"/>
      <c r="FP159" s="55"/>
      <c r="FQ159" s="59"/>
      <c r="FR159" s="55"/>
      <c r="FS159" s="54"/>
      <c r="FT159" s="55"/>
      <c r="FU159" s="59"/>
      <c r="FV159" s="55"/>
      <c r="FW159" s="59"/>
      <c r="FX159" s="55"/>
      <c r="FY159" s="59"/>
      <c r="FZ159" s="55"/>
      <c r="GA159" s="59"/>
      <c r="GB159" s="55"/>
      <c r="GC159" s="54"/>
      <c r="GD159" s="55"/>
      <c r="GE159" s="59"/>
      <c r="GF159" s="55"/>
      <c r="GG159" s="59"/>
      <c r="GH159" s="55"/>
      <c r="GI159" s="54"/>
      <c r="GJ159" s="55"/>
      <c r="GK159" s="54"/>
      <c r="GL159" s="54"/>
      <c r="GM159" s="54"/>
      <c r="GN159" s="54"/>
      <c r="GO159" s="54"/>
      <c r="GP159" s="54"/>
      <c r="GQ159" s="54"/>
      <c r="GR159" s="54"/>
      <c r="GS159" s="54"/>
      <c r="GT159" s="54"/>
      <c r="GU159" s="54"/>
      <c r="GV159" s="54"/>
      <c r="GW159" s="54"/>
      <c r="GX159" s="54"/>
      <c r="GY159" s="54"/>
      <c r="GZ159" s="54"/>
      <c r="HA159" s="54"/>
      <c r="HB159" s="54"/>
      <c r="HC159" s="54"/>
      <c r="HD159" s="54"/>
      <c r="HE159" s="54"/>
      <c r="HF159" s="54"/>
      <c r="HG159" s="54"/>
      <c r="HH159" s="54"/>
    </row>
    <row r="160" spans="1:216" x14ac:dyDescent="0.3">
      <c r="L160" s="55"/>
      <c r="N160" s="55"/>
      <c r="P160" s="55"/>
      <c r="R160" s="55"/>
      <c r="T160" s="55"/>
      <c r="V160" s="55"/>
      <c r="W160" s="59"/>
      <c r="X160" s="55"/>
      <c r="Z160" s="55"/>
      <c r="AB160" s="55"/>
      <c r="AC160" s="59"/>
      <c r="AD160" s="55"/>
      <c r="AE160" s="59"/>
      <c r="AF160" s="55"/>
      <c r="AG160" s="59"/>
      <c r="AH160" s="55"/>
      <c r="AJ160" s="55"/>
      <c r="AK160" s="59"/>
      <c r="AL160" s="55"/>
      <c r="AM160" s="59"/>
      <c r="AN160" s="55"/>
      <c r="AO160" s="59"/>
      <c r="AP160" s="55"/>
      <c r="AQ160" s="59"/>
      <c r="AR160" s="55"/>
      <c r="AT160" s="55"/>
      <c r="AU160" s="59"/>
      <c r="AV160" s="55"/>
      <c r="AW160" s="59"/>
      <c r="AX160" s="55"/>
      <c r="AZ160" s="55"/>
      <c r="CB160" s="55"/>
      <c r="CD160" s="55"/>
      <c r="CF160" s="55"/>
      <c r="CH160" s="55"/>
      <c r="CI160" s="56"/>
      <c r="CJ160" s="55"/>
      <c r="CL160" s="55"/>
      <c r="CM160" s="56"/>
      <c r="CN160" s="55"/>
      <c r="CO160" s="59"/>
      <c r="CP160" s="55"/>
      <c r="CQ160" s="56"/>
      <c r="CR160" s="55"/>
      <c r="CT160" s="55"/>
      <c r="CU160" s="59"/>
      <c r="CV160" s="55"/>
      <c r="CW160" s="59"/>
      <c r="CX160" s="55"/>
      <c r="CY160" s="59"/>
      <c r="CZ160" s="55"/>
      <c r="DB160" s="55"/>
      <c r="DC160" s="59"/>
      <c r="DD160" s="55"/>
      <c r="DE160" s="59"/>
      <c r="DF160" s="55"/>
      <c r="DG160" s="59"/>
      <c r="DH160" s="55"/>
      <c r="DI160" s="59"/>
      <c r="DJ160" s="55"/>
      <c r="DL160" s="55"/>
      <c r="DM160" s="59"/>
      <c r="DN160" s="55"/>
      <c r="DO160" s="59"/>
      <c r="DP160" s="55"/>
      <c r="DR160" s="55"/>
      <c r="ER160" s="54"/>
      <c r="ES160" s="54"/>
      <c r="ET160" s="55"/>
      <c r="EU160" s="54"/>
      <c r="EV160" s="55"/>
      <c r="EW160" s="54"/>
      <c r="EX160" s="55"/>
      <c r="EY160" s="54"/>
      <c r="EZ160" s="55"/>
      <c r="FA160" s="56"/>
      <c r="FB160" s="55"/>
      <c r="FC160" s="54"/>
      <c r="FD160" s="55"/>
      <c r="FE160" s="56"/>
      <c r="FF160" s="55"/>
      <c r="FG160" s="59"/>
      <c r="FH160" s="55"/>
      <c r="FI160" s="56"/>
      <c r="FJ160" s="55"/>
      <c r="FK160" s="54"/>
      <c r="FL160" s="55"/>
      <c r="FM160" s="59"/>
      <c r="FN160" s="55"/>
      <c r="FO160" s="59"/>
      <c r="FP160" s="55"/>
      <c r="FQ160" s="59"/>
      <c r="FR160" s="55"/>
      <c r="FS160" s="54"/>
      <c r="FT160" s="55"/>
      <c r="FU160" s="59"/>
      <c r="FV160" s="55"/>
      <c r="FW160" s="59"/>
      <c r="FX160" s="55"/>
      <c r="FY160" s="59"/>
      <c r="FZ160" s="55"/>
      <c r="GA160" s="59"/>
      <c r="GB160" s="55"/>
      <c r="GC160" s="54"/>
      <c r="GD160" s="55"/>
      <c r="GE160" s="59"/>
      <c r="GF160" s="55"/>
      <c r="GG160" s="59"/>
      <c r="GH160" s="55"/>
      <c r="GI160" s="54"/>
      <c r="GJ160" s="55"/>
      <c r="GK160" s="54"/>
      <c r="GL160" s="54"/>
      <c r="GM160" s="54"/>
      <c r="GN160" s="54"/>
      <c r="GO160" s="54"/>
      <c r="GP160" s="54"/>
      <c r="GQ160" s="54"/>
      <c r="GR160" s="54"/>
      <c r="GS160" s="54"/>
      <c r="GT160" s="54"/>
      <c r="GU160" s="54"/>
      <c r="GV160" s="54"/>
      <c r="GW160" s="54"/>
      <c r="GX160" s="54"/>
      <c r="GY160" s="54"/>
      <c r="GZ160" s="54"/>
      <c r="HA160" s="54"/>
      <c r="HB160" s="54"/>
      <c r="HC160" s="54"/>
      <c r="HD160" s="54"/>
      <c r="HE160" s="54"/>
      <c r="HF160" s="54"/>
      <c r="HG160" s="54"/>
      <c r="HH160" s="54"/>
    </row>
    <row r="161" spans="12:216" x14ac:dyDescent="0.3">
      <c r="L161" s="55"/>
      <c r="N161" s="55"/>
      <c r="P161" s="55"/>
      <c r="R161" s="55"/>
      <c r="T161" s="55"/>
      <c r="V161" s="55"/>
      <c r="W161" s="59"/>
      <c r="X161" s="55"/>
      <c r="Z161" s="55"/>
      <c r="AB161" s="55"/>
      <c r="AC161" s="59"/>
      <c r="AD161" s="55"/>
      <c r="AE161" s="59"/>
      <c r="AF161" s="55"/>
      <c r="AG161" s="59"/>
      <c r="AH161" s="55"/>
      <c r="AJ161" s="55"/>
      <c r="AK161" s="59"/>
      <c r="AL161" s="55"/>
      <c r="AM161" s="59"/>
      <c r="AN161" s="55"/>
      <c r="AO161" s="59"/>
      <c r="AP161" s="55"/>
      <c r="AQ161" s="59"/>
      <c r="AR161" s="55"/>
      <c r="AT161" s="55"/>
      <c r="AU161" s="59"/>
      <c r="AV161" s="55"/>
      <c r="AW161" s="59"/>
      <c r="AX161" s="55"/>
      <c r="AZ161" s="55"/>
      <c r="CB161" s="55"/>
      <c r="CD161" s="55"/>
      <c r="CF161" s="55"/>
      <c r="CH161" s="55"/>
      <c r="CI161" s="56"/>
      <c r="CJ161" s="55"/>
      <c r="CL161" s="55"/>
      <c r="CM161" s="56"/>
      <c r="CN161" s="55"/>
      <c r="CO161" s="59"/>
      <c r="CP161" s="55"/>
      <c r="CQ161" s="56"/>
      <c r="CR161" s="55"/>
      <c r="CT161" s="55"/>
      <c r="CU161" s="59"/>
      <c r="CV161" s="55"/>
      <c r="CW161" s="59"/>
      <c r="CX161" s="55"/>
      <c r="CY161" s="59"/>
      <c r="CZ161" s="55"/>
      <c r="DB161" s="55"/>
      <c r="DC161" s="59"/>
      <c r="DD161" s="55"/>
      <c r="DE161" s="59"/>
      <c r="DF161" s="55"/>
      <c r="DG161" s="59"/>
      <c r="DH161" s="55"/>
      <c r="DI161" s="59"/>
      <c r="DJ161" s="55"/>
      <c r="DL161" s="55"/>
      <c r="DM161" s="59"/>
      <c r="DN161" s="55"/>
      <c r="DO161" s="59"/>
      <c r="DP161" s="55"/>
      <c r="DR161" s="55"/>
      <c r="ER161" s="54"/>
      <c r="ES161" s="54"/>
      <c r="ET161" s="55"/>
      <c r="EU161" s="54"/>
      <c r="EV161" s="55"/>
      <c r="EW161" s="54"/>
      <c r="EX161" s="55"/>
      <c r="EY161" s="54"/>
      <c r="EZ161" s="55"/>
      <c r="FA161" s="56"/>
      <c r="FB161" s="55"/>
      <c r="FC161" s="54"/>
      <c r="FD161" s="55"/>
      <c r="FE161" s="56"/>
      <c r="FF161" s="55"/>
      <c r="FG161" s="59"/>
      <c r="FH161" s="55"/>
      <c r="FI161" s="56"/>
      <c r="FJ161" s="55"/>
      <c r="FK161" s="54"/>
      <c r="FL161" s="55"/>
      <c r="FM161" s="59"/>
      <c r="FN161" s="55"/>
      <c r="FO161" s="59"/>
      <c r="FP161" s="55"/>
      <c r="FQ161" s="59"/>
      <c r="FR161" s="55"/>
      <c r="FS161" s="54"/>
      <c r="FT161" s="55"/>
      <c r="FU161" s="59"/>
      <c r="FV161" s="55"/>
      <c r="FW161" s="59"/>
      <c r="FX161" s="55"/>
      <c r="FY161" s="59"/>
      <c r="FZ161" s="55"/>
      <c r="GA161" s="59"/>
      <c r="GB161" s="55"/>
      <c r="GC161" s="54"/>
      <c r="GD161" s="55"/>
      <c r="GE161" s="59"/>
      <c r="GF161" s="55"/>
      <c r="GG161" s="59"/>
      <c r="GH161" s="55"/>
      <c r="GI161" s="54"/>
      <c r="GJ161" s="55"/>
      <c r="GK161" s="54"/>
      <c r="GL161" s="54"/>
      <c r="GM161" s="54"/>
      <c r="GN161" s="54"/>
      <c r="GO161" s="54"/>
      <c r="GP161" s="54"/>
      <c r="GQ161" s="54"/>
      <c r="GR161" s="54"/>
      <c r="GS161" s="54"/>
      <c r="GT161" s="54"/>
      <c r="GU161" s="54"/>
      <c r="GV161" s="54"/>
      <c r="GW161" s="54"/>
      <c r="GX161" s="54"/>
      <c r="GY161" s="54"/>
      <c r="GZ161" s="54"/>
      <c r="HA161" s="54"/>
      <c r="HB161" s="54"/>
      <c r="HC161" s="54"/>
      <c r="HD161" s="54"/>
      <c r="HE161" s="54"/>
      <c r="HF161" s="54"/>
      <c r="HG161" s="54"/>
      <c r="HH161" s="54"/>
    </row>
    <row r="162" spans="12:216" x14ac:dyDescent="0.3">
      <c r="L162" s="55"/>
      <c r="N162" s="55"/>
      <c r="P162" s="55"/>
      <c r="R162" s="55"/>
      <c r="T162" s="55"/>
      <c r="V162" s="55"/>
      <c r="W162" s="59"/>
      <c r="X162" s="55"/>
      <c r="Z162" s="55"/>
      <c r="AB162" s="55"/>
      <c r="AC162" s="59"/>
      <c r="AD162" s="55"/>
      <c r="AE162" s="59"/>
      <c r="AF162" s="55"/>
      <c r="AG162" s="59"/>
      <c r="AH162" s="55"/>
      <c r="AJ162" s="55"/>
      <c r="AK162" s="59"/>
      <c r="AL162" s="55"/>
      <c r="AM162" s="59"/>
      <c r="AN162" s="55"/>
      <c r="AO162" s="59"/>
      <c r="AP162" s="55"/>
      <c r="AQ162" s="59"/>
      <c r="AR162" s="55"/>
      <c r="AT162" s="55"/>
      <c r="AU162" s="59"/>
      <c r="AV162" s="55"/>
      <c r="AW162" s="59"/>
      <c r="AX162" s="55"/>
      <c r="AZ162" s="55"/>
      <c r="CB162" s="55"/>
      <c r="CD162" s="55"/>
      <c r="CF162" s="55"/>
      <c r="CH162" s="55"/>
      <c r="CI162" s="56"/>
      <c r="CJ162" s="55"/>
      <c r="CL162" s="55"/>
      <c r="CM162" s="56"/>
      <c r="CN162" s="55"/>
      <c r="CO162" s="59"/>
      <c r="CP162" s="55"/>
      <c r="CQ162" s="56"/>
      <c r="CR162" s="55"/>
      <c r="CT162" s="55"/>
      <c r="CU162" s="59"/>
      <c r="CV162" s="55"/>
      <c r="CW162" s="59"/>
      <c r="CX162" s="55"/>
      <c r="CY162" s="59"/>
      <c r="CZ162" s="55"/>
      <c r="DB162" s="55"/>
      <c r="DC162" s="59"/>
      <c r="DD162" s="55"/>
      <c r="DE162" s="59"/>
      <c r="DF162" s="55"/>
      <c r="DG162" s="59"/>
      <c r="DH162" s="55"/>
      <c r="DI162" s="59"/>
      <c r="DJ162" s="55"/>
      <c r="DL162" s="55"/>
      <c r="DM162" s="59"/>
      <c r="DN162" s="55"/>
      <c r="DO162" s="59"/>
      <c r="DP162" s="55"/>
      <c r="DR162" s="55"/>
      <c r="ER162" s="54"/>
      <c r="ES162" s="54"/>
      <c r="ET162" s="55"/>
      <c r="EU162" s="54"/>
      <c r="EV162" s="55"/>
      <c r="EW162" s="54"/>
      <c r="EX162" s="55"/>
      <c r="EY162" s="54"/>
      <c r="EZ162" s="55"/>
      <c r="FA162" s="56"/>
      <c r="FB162" s="55"/>
      <c r="FC162" s="54"/>
      <c r="FD162" s="55"/>
      <c r="FE162" s="56"/>
      <c r="FF162" s="55"/>
      <c r="FG162" s="59"/>
      <c r="FH162" s="55"/>
      <c r="FI162" s="56"/>
      <c r="FJ162" s="55"/>
      <c r="FK162" s="54"/>
      <c r="FL162" s="55"/>
      <c r="FM162" s="59"/>
      <c r="FN162" s="55"/>
      <c r="FO162" s="59"/>
      <c r="FP162" s="55"/>
      <c r="FQ162" s="59"/>
      <c r="FR162" s="55"/>
      <c r="FS162" s="54"/>
      <c r="FT162" s="55"/>
      <c r="FU162" s="59"/>
      <c r="FV162" s="55"/>
      <c r="FW162" s="59"/>
      <c r="FX162" s="55"/>
      <c r="FY162" s="59"/>
      <c r="FZ162" s="55"/>
      <c r="GA162" s="59"/>
      <c r="GB162" s="55"/>
      <c r="GC162" s="54"/>
      <c r="GD162" s="55"/>
      <c r="GE162" s="59"/>
      <c r="GF162" s="55"/>
      <c r="GG162" s="59"/>
      <c r="GH162" s="55"/>
      <c r="GI162" s="54"/>
      <c r="GJ162" s="55"/>
      <c r="GK162" s="54"/>
      <c r="GL162" s="54"/>
      <c r="GM162" s="54"/>
      <c r="GN162" s="54"/>
      <c r="GO162" s="54"/>
      <c r="GP162" s="54"/>
      <c r="GQ162" s="54"/>
      <c r="GR162" s="54"/>
      <c r="GS162" s="54"/>
      <c r="GT162" s="54"/>
      <c r="GU162" s="54"/>
      <c r="GV162" s="54"/>
      <c r="GW162" s="54"/>
      <c r="GX162" s="54"/>
      <c r="GY162" s="54"/>
      <c r="GZ162" s="54"/>
      <c r="HA162" s="54"/>
      <c r="HB162" s="54"/>
      <c r="HC162" s="54"/>
      <c r="HD162" s="54"/>
      <c r="HE162" s="54"/>
      <c r="HF162" s="54"/>
      <c r="HG162" s="54"/>
      <c r="HH162" s="54"/>
    </row>
    <row r="163" spans="12:216" x14ac:dyDescent="0.3">
      <c r="L163" s="55"/>
      <c r="N163" s="55"/>
      <c r="P163" s="55"/>
      <c r="R163" s="55"/>
      <c r="T163" s="55"/>
      <c r="V163" s="55"/>
      <c r="W163" s="59"/>
      <c r="X163" s="55"/>
      <c r="Z163" s="55"/>
      <c r="AB163" s="55"/>
      <c r="AC163" s="59"/>
      <c r="AD163" s="55"/>
      <c r="AE163" s="59"/>
      <c r="AF163" s="55"/>
      <c r="AG163" s="59"/>
      <c r="AH163" s="55"/>
      <c r="AJ163" s="55"/>
      <c r="AK163" s="59"/>
      <c r="AL163" s="55"/>
      <c r="AM163" s="59"/>
      <c r="AN163" s="55"/>
      <c r="AO163" s="59"/>
      <c r="AP163" s="55"/>
      <c r="AQ163" s="59"/>
      <c r="AR163" s="55"/>
      <c r="AT163" s="55"/>
      <c r="AU163" s="59"/>
      <c r="AV163" s="55"/>
      <c r="AW163" s="59"/>
      <c r="AX163" s="55"/>
      <c r="AZ163" s="55"/>
      <c r="CB163" s="55"/>
      <c r="CD163" s="55"/>
      <c r="CF163" s="55"/>
      <c r="CH163" s="55"/>
      <c r="CI163" s="56"/>
      <c r="CJ163" s="55"/>
      <c r="CL163" s="55"/>
      <c r="CM163" s="56"/>
      <c r="CN163" s="55"/>
      <c r="CO163" s="59"/>
      <c r="CP163" s="55"/>
      <c r="CQ163" s="56"/>
      <c r="CR163" s="55"/>
      <c r="CT163" s="55"/>
      <c r="CU163" s="59"/>
      <c r="CV163" s="55"/>
      <c r="CW163" s="59"/>
      <c r="CX163" s="55"/>
      <c r="CY163" s="59"/>
      <c r="CZ163" s="55"/>
      <c r="DB163" s="55"/>
      <c r="DC163" s="59"/>
      <c r="DD163" s="55"/>
      <c r="DE163" s="59"/>
      <c r="DF163" s="55"/>
      <c r="DG163" s="59"/>
      <c r="DH163" s="55"/>
      <c r="DI163" s="59"/>
      <c r="DJ163" s="55"/>
      <c r="DL163" s="55"/>
      <c r="DM163" s="59"/>
      <c r="DN163" s="55"/>
      <c r="DO163" s="59"/>
      <c r="DP163" s="55"/>
      <c r="DR163" s="55"/>
      <c r="ER163" s="54"/>
      <c r="ES163" s="54"/>
      <c r="ET163" s="55"/>
      <c r="EU163" s="54"/>
      <c r="EV163" s="55"/>
      <c r="EW163" s="54"/>
      <c r="EX163" s="55"/>
      <c r="EY163" s="54"/>
      <c r="EZ163" s="55"/>
      <c r="FA163" s="56"/>
      <c r="FB163" s="55"/>
      <c r="FC163" s="54"/>
      <c r="FD163" s="55"/>
      <c r="FE163" s="56"/>
      <c r="FF163" s="55"/>
      <c r="FG163" s="59"/>
      <c r="FH163" s="55"/>
      <c r="FI163" s="56"/>
      <c r="FJ163" s="55"/>
      <c r="FK163" s="54"/>
      <c r="FL163" s="55"/>
      <c r="FM163" s="59"/>
      <c r="FN163" s="55"/>
      <c r="FO163" s="59"/>
      <c r="FP163" s="55"/>
      <c r="FQ163" s="59"/>
      <c r="FR163" s="55"/>
      <c r="FS163" s="54"/>
      <c r="FT163" s="55"/>
      <c r="FU163" s="59"/>
      <c r="FV163" s="55"/>
      <c r="FW163" s="59"/>
      <c r="FX163" s="55"/>
      <c r="FY163" s="59"/>
      <c r="FZ163" s="55"/>
      <c r="GA163" s="59"/>
      <c r="GB163" s="55"/>
      <c r="GC163" s="54"/>
      <c r="GD163" s="55"/>
      <c r="GE163" s="59"/>
      <c r="GF163" s="55"/>
      <c r="GG163" s="59"/>
      <c r="GH163" s="55"/>
      <c r="GI163" s="54"/>
      <c r="GJ163" s="55"/>
      <c r="GK163" s="54"/>
      <c r="GL163" s="54"/>
      <c r="GM163" s="54"/>
      <c r="GN163" s="54"/>
      <c r="GO163" s="54"/>
      <c r="GP163" s="54"/>
      <c r="GQ163" s="54"/>
      <c r="GR163" s="54"/>
      <c r="GS163" s="54"/>
      <c r="GT163" s="54"/>
      <c r="GU163" s="54"/>
      <c r="GV163" s="54"/>
      <c r="GW163" s="54"/>
      <c r="GX163" s="54"/>
      <c r="GY163" s="54"/>
      <c r="GZ163" s="54"/>
      <c r="HA163" s="54"/>
      <c r="HB163" s="54"/>
      <c r="HC163" s="54"/>
      <c r="HD163" s="54"/>
      <c r="HE163" s="54"/>
      <c r="HF163" s="54"/>
      <c r="HG163" s="54"/>
      <c r="HH163" s="54"/>
    </row>
    <row r="164" spans="12:216" x14ac:dyDescent="0.3">
      <c r="L164" s="55"/>
      <c r="N164" s="55"/>
      <c r="P164" s="55"/>
      <c r="R164" s="55"/>
      <c r="T164" s="55"/>
      <c r="V164" s="55"/>
      <c r="W164" s="59"/>
      <c r="X164" s="55"/>
      <c r="Z164" s="55"/>
      <c r="AB164" s="55"/>
      <c r="AC164" s="59"/>
      <c r="AD164" s="55"/>
      <c r="AE164" s="59"/>
      <c r="AF164" s="55"/>
      <c r="AG164" s="59"/>
      <c r="AH164" s="55"/>
      <c r="AJ164" s="55"/>
      <c r="AK164" s="59"/>
      <c r="AL164" s="55"/>
      <c r="AM164" s="59"/>
      <c r="AN164" s="55"/>
      <c r="AO164" s="59"/>
      <c r="AP164" s="55"/>
      <c r="AQ164" s="59"/>
      <c r="AR164" s="55"/>
      <c r="AT164" s="55"/>
      <c r="AU164" s="59"/>
      <c r="AV164" s="55"/>
      <c r="AW164" s="59"/>
      <c r="AX164" s="55"/>
      <c r="AZ164" s="55"/>
      <c r="CB164" s="55"/>
      <c r="CD164" s="55"/>
      <c r="CF164" s="55"/>
      <c r="CH164" s="55"/>
      <c r="CI164" s="56"/>
      <c r="CJ164" s="55"/>
      <c r="CL164" s="55"/>
      <c r="CM164" s="56"/>
      <c r="CN164" s="55"/>
      <c r="CO164" s="59"/>
      <c r="CP164" s="55"/>
      <c r="CQ164" s="56"/>
      <c r="CR164" s="55"/>
      <c r="CT164" s="55"/>
      <c r="CU164" s="59"/>
      <c r="CV164" s="55"/>
      <c r="CW164" s="59"/>
      <c r="CX164" s="55"/>
      <c r="CY164" s="59"/>
      <c r="CZ164" s="55"/>
      <c r="DB164" s="55"/>
      <c r="DC164" s="59"/>
      <c r="DD164" s="55"/>
      <c r="DE164" s="59"/>
      <c r="DF164" s="55"/>
      <c r="DG164" s="59"/>
      <c r="DH164" s="55"/>
      <c r="DI164" s="59"/>
      <c r="DJ164" s="55"/>
      <c r="DL164" s="55"/>
      <c r="DM164" s="59"/>
      <c r="DN164" s="55"/>
      <c r="DO164" s="59"/>
      <c r="DP164" s="55"/>
      <c r="DR164" s="55"/>
      <c r="ER164" s="54"/>
      <c r="ES164" s="54"/>
      <c r="ET164" s="55"/>
      <c r="EU164" s="54"/>
      <c r="EV164" s="55"/>
      <c r="EW164" s="54"/>
      <c r="EX164" s="55"/>
      <c r="EY164" s="54"/>
      <c r="EZ164" s="55"/>
      <c r="FA164" s="56"/>
      <c r="FB164" s="55"/>
      <c r="FC164" s="54"/>
      <c r="FD164" s="55"/>
      <c r="FE164" s="56"/>
      <c r="FF164" s="55"/>
      <c r="FG164" s="59"/>
      <c r="FH164" s="55"/>
      <c r="FI164" s="56"/>
      <c r="FJ164" s="55"/>
      <c r="FK164" s="54"/>
      <c r="FL164" s="55"/>
      <c r="FM164" s="59"/>
      <c r="FN164" s="55"/>
      <c r="FO164" s="59"/>
      <c r="FP164" s="55"/>
      <c r="FQ164" s="59"/>
      <c r="FR164" s="55"/>
      <c r="FS164" s="54"/>
      <c r="FT164" s="55"/>
      <c r="FU164" s="59"/>
      <c r="FV164" s="55"/>
      <c r="FW164" s="59"/>
      <c r="FX164" s="55"/>
      <c r="FY164" s="59"/>
      <c r="FZ164" s="55"/>
      <c r="GA164" s="59"/>
      <c r="GB164" s="55"/>
      <c r="GC164" s="54"/>
      <c r="GD164" s="55"/>
      <c r="GE164" s="59"/>
      <c r="GF164" s="55"/>
      <c r="GG164" s="59"/>
      <c r="GH164" s="55"/>
      <c r="GI164" s="54"/>
      <c r="GJ164" s="55"/>
      <c r="GK164" s="54"/>
      <c r="GL164" s="54"/>
      <c r="GM164" s="54"/>
      <c r="GN164" s="54"/>
      <c r="GO164" s="54"/>
      <c r="GP164" s="54"/>
      <c r="GQ164" s="54"/>
      <c r="GR164" s="54"/>
      <c r="GS164" s="54"/>
      <c r="GT164" s="54"/>
      <c r="GU164" s="54"/>
      <c r="GV164" s="54"/>
      <c r="GW164" s="54"/>
      <c r="GX164" s="54"/>
      <c r="GY164" s="54"/>
      <c r="GZ164" s="54"/>
      <c r="HA164" s="54"/>
      <c r="HB164" s="54"/>
      <c r="HC164" s="54"/>
      <c r="HD164" s="54"/>
      <c r="HE164" s="54"/>
      <c r="HF164" s="54"/>
      <c r="HG164" s="54"/>
      <c r="HH164" s="54"/>
    </row>
    <row r="165" spans="12:216" x14ac:dyDescent="0.3">
      <c r="L165" s="55"/>
      <c r="N165" s="55"/>
      <c r="P165" s="55"/>
      <c r="R165" s="55"/>
      <c r="T165" s="55"/>
      <c r="V165" s="55"/>
      <c r="W165" s="59"/>
      <c r="X165" s="55"/>
      <c r="Z165" s="55"/>
      <c r="AB165" s="55"/>
      <c r="AC165" s="59"/>
      <c r="AD165" s="55"/>
      <c r="AE165" s="59"/>
      <c r="AF165" s="55"/>
      <c r="AG165" s="59"/>
      <c r="AH165" s="55"/>
      <c r="AJ165" s="55"/>
      <c r="AK165" s="59"/>
      <c r="AL165" s="55"/>
      <c r="AM165" s="59"/>
      <c r="AN165" s="55"/>
      <c r="AO165" s="59"/>
      <c r="AP165" s="55"/>
      <c r="AQ165" s="59"/>
      <c r="AR165" s="55"/>
      <c r="AT165" s="55"/>
      <c r="AU165" s="59"/>
      <c r="AV165" s="55"/>
      <c r="AW165" s="59"/>
      <c r="AX165" s="55"/>
      <c r="AZ165" s="55"/>
      <c r="CB165" s="55"/>
      <c r="CD165" s="55"/>
      <c r="CF165" s="55"/>
      <c r="CH165" s="55"/>
      <c r="CI165" s="56"/>
      <c r="CJ165" s="55"/>
      <c r="CL165" s="55"/>
      <c r="CM165" s="56"/>
      <c r="CN165" s="55"/>
      <c r="CO165" s="59"/>
      <c r="CP165" s="55"/>
      <c r="CQ165" s="56"/>
      <c r="CR165" s="55"/>
      <c r="CT165" s="55"/>
      <c r="CU165" s="59"/>
      <c r="CV165" s="55"/>
      <c r="CW165" s="59"/>
      <c r="CX165" s="55"/>
      <c r="CY165" s="59"/>
      <c r="CZ165" s="55"/>
      <c r="DB165" s="55"/>
      <c r="DC165" s="59"/>
      <c r="DD165" s="55"/>
      <c r="DE165" s="59"/>
      <c r="DF165" s="55"/>
      <c r="DG165" s="59"/>
      <c r="DH165" s="55"/>
      <c r="DI165" s="59"/>
      <c r="DJ165" s="55"/>
      <c r="DL165" s="55"/>
      <c r="DM165" s="59"/>
      <c r="DN165" s="55"/>
      <c r="DO165" s="59"/>
      <c r="DP165" s="55"/>
      <c r="DR165" s="55"/>
      <c r="ER165" s="54"/>
      <c r="ES165" s="54"/>
      <c r="ET165" s="55"/>
      <c r="EU165" s="54"/>
      <c r="EV165" s="55"/>
      <c r="EW165" s="54"/>
      <c r="EX165" s="55"/>
      <c r="EY165" s="54"/>
      <c r="EZ165" s="55"/>
      <c r="FA165" s="56"/>
      <c r="FB165" s="55"/>
      <c r="FC165" s="54"/>
      <c r="FD165" s="55"/>
      <c r="FE165" s="56"/>
      <c r="FF165" s="55"/>
      <c r="FG165" s="59"/>
      <c r="FH165" s="55"/>
      <c r="FI165" s="56"/>
      <c r="FJ165" s="55"/>
      <c r="FK165" s="54"/>
      <c r="FL165" s="55"/>
      <c r="FM165" s="59"/>
      <c r="FN165" s="55"/>
      <c r="FO165" s="59"/>
      <c r="FP165" s="55"/>
      <c r="FQ165" s="59"/>
      <c r="FR165" s="55"/>
      <c r="FS165" s="54"/>
      <c r="FT165" s="55"/>
      <c r="FU165" s="59"/>
      <c r="FV165" s="55"/>
      <c r="FW165" s="59"/>
      <c r="FX165" s="55"/>
      <c r="FY165" s="59"/>
      <c r="FZ165" s="55"/>
      <c r="GA165" s="59"/>
      <c r="GB165" s="55"/>
      <c r="GC165" s="54"/>
      <c r="GD165" s="55"/>
      <c r="GE165" s="59"/>
      <c r="GF165" s="55"/>
      <c r="GG165" s="59"/>
      <c r="GH165" s="55"/>
      <c r="GI165" s="54"/>
      <c r="GJ165" s="55"/>
      <c r="GK165" s="54"/>
      <c r="GL165" s="54"/>
      <c r="GM165" s="54"/>
      <c r="GN165" s="54"/>
      <c r="GO165" s="54"/>
      <c r="GP165" s="54"/>
      <c r="GQ165" s="54"/>
      <c r="GR165" s="54"/>
      <c r="GS165" s="54"/>
      <c r="GT165" s="54"/>
      <c r="GU165" s="54"/>
      <c r="GV165" s="54"/>
      <c r="GW165" s="54"/>
      <c r="GX165" s="54"/>
      <c r="GY165" s="54"/>
      <c r="GZ165" s="54"/>
      <c r="HA165" s="54"/>
      <c r="HB165" s="54"/>
      <c r="HC165" s="54"/>
      <c r="HD165" s="54"/>
      <c r="HE165" s="54"/>
      <c r="HF165" s="54"/>
      <c r="HG165" s="54"/>
      <c r="HH165" s="54"/>
    </row>
    <row r="166" spans="12:216" x14ac:dyDescent="0.3">
      <c r="L166" s="55"/>
      <c r="N166" s="55"/>
      <c r="P166" s="55"/>
      <c r="R166" s="55"/>
      <c r="T166" s="55"/>
      <c r="V166" s="55"/>
      <c r="W166" s="59"/>
      <c r="X166" s="55"/>
      <c r="Z166" s="55"/>
      <c r="AB166" s="55"/>
      <c r="AC166" s="59"/>
      <c r="AD166" s="55"/>
      <c r="AE166" s="59"/>
      <c r="AF166" s="55"/>
      <c r="AG166" s="59"/>
      <c r="AH166" s="55"/>
      <c r="AJ166" s="55"/>
      <c r="AK166" s="59"/>
      <c r="AL166" s="55"/>
      <c r="AM166" s="59"/>
      <c r="AN166" s="55"/>
      <c r="AO166" s="59"/>
      <c r="AP166" s="55"/>
      <c r="AQ166" s="59"/>
      <c r="AR166" s="55"/>
      <c r="AT166" s="55"/>
      <c r="AU166" s="59"/>
      <c r="AV166" s="55"/>
      <c r="AW166" s="59"/>
      <c r="AX166" s="55"/>
      <c r="AZ166" s="55"/>
      <c r="CB166" s="55"/>
      <c r="CD166" s="55"/>
      <c r="CF166" s="55"/>
      <c r="CH166" s="55"/>
      <c r="CI166" s="56"/>
      <c r="CJ166" s="55"/>
      <c r="CL166" s="55"/>
      <c r="CM166" s="56"/>
      <c r="CN166" s="55"/>
      <c r="CO166" s="59"/>
      <c r="CP166" s="55"/>
      <c r="CQ166" s="56"/>
      <c r="CR166" s="55"/>
      <c r="CT166" s="55"/>
      <c r="CU166" s="59"/>
      <c r="CV166" s="55"/>
      <c r="CW166" s="59"/>
      <c r="CX166" s="55"/>
      <c r="CY166" s="59"/>
      <c r="CZ166" s="55"/>
      <c r="DB166" s="55"/>
      <c r="DC166" s="59"/>
      <c r="DD166" s="55"/>
      <c r="DE166" s="59"/>
      <c r="DF166" s="55"/>
      <c r="DG166" s="59"/>
      <c r="DH166" s="55"/>
      <c r="DI166" s="59"/>
      <c r="DJ166" s="55"/>
      <c r="DL166" s="55"/>
      <c r="DM166" s="59"/>
      <c r="DN166" s="55"/>
      <c r="DO166" s="59"/>
      <c r="DP166" s="55"/>
      <c r="DR166" s="55"/>
      <c r="ER166" s="54"/>
      <c r="ES166" s="54"/>
      <c r="ET166" s="55"/>
      <c r="EU166" s="54"/>
      <c r="EV166" s="55"/>
      <c r="EW166" s="54"/>
      <c r="EX166" s="55"/>
      <c r="EY166" s="54"/>
      <c r="EZ166" s="55"/>
      <c r="FA166" s="56"/>
      <c r="FB166" s="55"/>
      <c r="FC166" s="54"/>
      <c r="FD166" s="55"/>
      <c r="FE166" s="56"/>
      <c r="FF166" s="55"/>
      <c r="FG166" s="59"/>
      <c r="FH166" s="55"/>
      <c r="FI166" s="56"/>
      <c r="FJ166" s="55"/>
      <c r="FK166" s="54"/>
      <c r="FL166" s="55"/>
      <c r="FM166" s="59"/>
      <c r="FN166" s="55"/>
      <c r="FO166" s="59"/>
      <c r="FP166" s="55"/>
      <c r="FQ166" s="59"/>
      <c r="FR166" s="55"/>
      <c r="FS166" s="54"/>
      <c r="FT166" s="55"/>
      <c r="FU166" s="59"/>
      <c r="FV166" s="55"/>
      <c r="FW166" s="59"/>
      <c r="FX166" s="55"/>
      <c r="FY166" s="59"/>
      <c r="FZ166" s="55"/>
      <c r="GA166" s="59"/>
      <c r="GB166" s="55"/>
      <c r="GC166" s="54"/>
      <c r="GD166" s="55"/>
      <c r="GE166" s="59"/>
      <c r="GF166" s="55"/>
      <c r="GG166" s="59"/>
      <c r="GH166" s="55"/>
      <c r="GI166" s="54"/>
      <c r="GJ166" s="55"/>
      <c r="GK166" s="54"/>
      <c r="GL166" s="54"/>
      <c r="GM166" s="54"/>
      <c r="GN166" s="54"/>
      <c r="GO166" s="54"/>
      <c r="GP166" s="54"/>
      <c r="GQ166" s="54"/>
      <c r="GR166" s="54"/>
      <c r="GS166" s="54"/>
      <c r="GT166" s="54"/>
      <c r="GU166" s="54"/>
      <c r="GV166" s="54"/>
      <c r="GW166" s="54"/>
      <c r="GX166" s="54"/>
      <c r="GY166" s="54"/>
      <c r="GZ166" s="54"/>
      <c r="HA166" s="54"/>
      <c r="HB166" s="54"/>
      <c r="HC166" s="54"/>
      <c r="HD166" s="54"/>
      <c r="HE166" s="54"/>
      <c r="HF166" s="54"/>
      <c r="HG166" s="54"/>
      <c r="HH166" s="54"/>
    </row>
    <row r="167" spans="12:216" x14ac:dyDescent="0.3">
      <c r="L167" s="55"/>
      <c r="N167" s="55"/>
      <c r="P167" s="55"/>
      <c r="R167" s="55"/>
      <c r="T167" s="55"/>
      <c r="V167" s="55"/>
      <c r="W167" s="59"/>
      <c r="X167" s="55"/>
      <c r="Z167" s="55"/>
      <c r="AB167" s="55"/>
      <c r="AC167" s="59"/>
      <c r="AD167" s="55"/>
      <c r="AE167" s="59"/>
      <c r="AF167" s="55"/>
      <c r="AG167" s="59"/>
      <c r="AH167" s="55"/>
      <c r="AJ167" s="55"/>
      <c r="AK167" s="59"/>
      <c r="AL167" s="55"/>
      <c r="AM167" s="59"/>
      <c r="AN167" s="55"/>
      <c r="AO167" s="59"/>
      <c r="AP167" s="55"/>
      <c r="AQ167" s="59"/>
      <c r="AR167" s="55"/>
      <c r="AT167" s="55"/>
      <c r="AU167" s="59"/>
      <c r="AV167" s="55"/>
      <c r="AW167" s="59"/>
      <c r="AX167" s="55"/>
      <c r="AZ167" s="55"/>
      <c r="CB167" s="55"/>
      <c r="CD167" s="55"/>
      <c r="CF167" s="55"/>
      <c r="CH167" s="55"/>
      <c r="CI167" s="56"/>
      <c r="CJ167" s="55"/>
      <c r="CL167" s="55"/>
      <c r="CM167" s="56"/>
      <c r="CN167" s="55"/>
      <c r="CO167" s="59"/>
      <c r="CP167" s="55"/>
      <c r="CQ167" s="56"/>
      <c r="CR167" s="55"/>
      <c r="CT167" s="55"/>
      <c r="CU167" s="59"/>
      <c r="CV167" s="55"/>
      <c r="CW167" s="59"/>
      <c r="CX167" s="55"/>
      <c r="CY167" s="59"/>
      <c r="CZ167" s="55"/>
      <c r="DB167" s="55"/>
      <c r="DC167" s="59"/>
      <c r="DD167" s="55"/>
      <c r="DE167" s="59"/>
      <c r="DF167" s="55"/>
      <c r="DG167" s="59"/>
      <c r="DH167" s="55"/>
      <c r="DI167" s="59"/>
      <c r="DJ167" s="55"/>
      <c r="DL167" s="55"/>
      <c r="DM167" s="59"/>
      <c r="DN167" s="55"/>
      <c r="DO167" s="59"/>
      <c r="DP167" s="55"/>
      <c r="DR167" s="55"/>
      <c r="ER167" s="54"/>
      <c r="ES167" s="54"/>
      <c r="ET167" s="55"/>
      <c r="EU167" s="54"/>
      <c r="EV167" s="55"/>
      <c r="EW167" s="54"/>
      <c r="EX167" s="55"/>
      <c r="EY167" s="54"/>
      <c r="EZ167" s="55"/>
      <c r="FA167" s="56"/>
      <c r="FB167" s="55"/>
      <c r="FC167" s="54"/>
      <c r="FD167" s="55"/>
      <c r="FE167" s="56"/>
      <c r="FF167" s="55"/>
      <c r="FG167" s="59"/>
      <c r="FH167" s="55"/>
      <c r="FI167" s="56"/>
      <c r="FJ167" s="55"/>
      <c r="FK167" s="54"/>
      <c r="FL167" s="55"/>
      <c r="FM167" s="59"/>
      <c r="FN167" s="55"/>
      <c r="FO167" s="59"/>
      <c r="FP167" s="55"/>
      <c r="FQ167" s="59"/>
      <c r="FR167" s="55"/>
      <c r="FS167" s="54"/>
      <c r="FT167" s="55"/>
      <c r="FU167" s="59"/>
      <c r="FV167" s="55"/>
      <c r="FW167" s="59"/>
      <c r="FX167" s="55"/>
      <c r="FY167" s="59"/>
      <c r="FZ167" s="55"/>
      <c r="GA167" s="59"/>
      <c r="GB167" s="55"/>
      <c r="GC167" s="54"/>
      <c r="GD167" s="55"/>
      <c r="GE167" s="59"/>
      <c r="GF167" s="55"/>
      <c r="GG167" s="59"/>
      <c r="GH167" s="55"/>
      <c r="GI167" s="54"/>
      <c r="GJ167" s="55"/>
      <c r="GK167" s="54"/>
      <c r="GL167" s="54"/>
      <c r="GM167" s="54"/>
      <c r="GN167" s="54"/>
      <c r="GO167" s="54"/>
      <c r="GP167" s="54"/>
      <c r="GQ167" s="54"/>
      <c r="GR167" s="54"/>
      <c r="GS167" s="54"/>
      <c r="GT167" s="54"/>
      <c r="GU167" s="54"/>
      <c r="GV167" s="54"/>
      <c r="GW167" s="54"/>
      <c r="GX167" s="54"/>
      <c r="GY167" s="54"/>
      <c r="GZ167" s="54"/>
      <c r="HA167" s="54"/>
      <c r="HB167" s="54"/>
      <c r="HC167" s="54"/>
      <c r="HD167" s="54"/>
      <c r="HE167" s="54"/>
      <c r="HF167" s="54"/>
      <c r="HG167" s="54"/>
      <c r="HH167" s="54"/>
    </row>
    <row r="168" spans="12:216" x14ac:dyDescent="0.3">
      <c r="L168" s="55"/>
      <c r="N168" s="55"/>
      <c r="P168" s="55"/>
      <c r="R168" s="55"/>
      <c r="T168" s="55"/>
      <c r="V168" s="55"/>
      <c r="W168" s="59"/>
      <c r="X168" s="55"/>
      <c r="Z168" s="55"/>
      <c r="AB168" s="55"/>
      <c r="AC168" s="59"/>
      <c r="AD168" s="55"/>
      <c r="AE168" s="59"/>
      <c r="AF168" s="55"/>
      <c r="AG168" s="59"/>
      <c r="AH168" s="55"/>
      <c r="AJ168" s="55"/>
      <c r="AL168" s="55"/>
      <c r="AM168" s="59"/>
      <c r="AN168" s="55"/>
      <c r="AO168" s="59"/>
      <c r="AP168" s="55"/>
      <c r="AQ168" s="59"/>
      <c r="AR168" s="55"/>
      <c r="AT168" s="55"/>
      <c r="AU168" s="59"/>
      <c r="AV168" s="55"/>
      <c r="AW168" s="59"/>
      <c r="AX168" s="55"/>
      <c r="AZ168" s="55"/>
      <c r="CB168" s="55"/>
      <c r="CD168" s="55"/>
      <c r="CF168" s="55"/>
      <c r="CH168" s="55"/>
      <c r="CI168" s="56"/>
      <c r="CJ168" s="55"/>
      <c r="CL168" s="55"/>
      <c r="CM168" s="56"/>
      <c r="CN168" s="55"/>
      <c r="CO168" s="59"/>
      <c r="CP168" s="55"/>
      <c r="CQ168" s="56"/>
      <c r="CR168" s="55"/>
      <c r="CT168" s="55"/>
      <c r="CU168" s="59"/>
      <c r="CV168" s="55"/>
      <c r="CW168" s="59"/>
      <c r="CX168" s="55"/>
      <c r="CY168" s="59"/>
      <c r="CZ168" s="55"/>
      <c r="DB168" s="55"/>
      <c r="DD168" s="55"/>
      <c r="DE168" s="59"/>
      <c r="DF168" s="55"/>
      <c r="DG168" s="59"/>
      <c r="DH168" s="55"/>
      <c r="DI168" s="59"/>
      <c r="DJ168" s="55"/>
      <c r="DL168" s="55"/>
      <c r="DM168" s="59"/>
      <c r="DN168" s="55"/>
      <c r="DO168" s="59"/>
      <c r="DP168" s="55"/>
      <c r="DR168" s="55"/>
      <c r="ER168" s="54"/>
      <c r="ES168" s="54"/>
      <c r="ET168" s="55"/>
      <c r="EU168" s="54"/>
      <c r="EV168" s="55"/>
      <c r="EW168" s="54"/>
      <c r="EX168" s="55"/>
      <c r="EY168" s="54"/>
      <c r="EZ168" s="55"/>
      <c r="FA168" s="56"/>
      <c r="FB168" s="55"/>
      <c r="FC168" s="54"/>
      <c r="FD168" s="55"/>
      <c r="FE168" s="56"/>
      <c r="FF168" s="55"/>
      <c r="FG168" s="59"/>
      <c r="FH168" s="55"/>
      <c r="FI168" s="56"/>
      <c r="FJ168" s="55"/>
      <c r="FK168" s="54"/>
      <c r="FL168" s="55"/>
      <c r="FM168" s="59"/>
      <c r="FN168" s="55"/>
      <c r="FO168" s="59"/>
      <c r="FP168" s="55"/>
      <c r="FQ168" s="59"/>
      <c r="FR168" s="55"/>
      <c r="FS168" s="54"/>
      <c r="FT168" s="55"/>
      <c r="FU168" s="54"/>
      <c r="FV168" s="55"/>
      <c r="FW168" s="59"/>
      <c r="FX168" s="55"/>
      <c r="FY168" s="59"/>
      <c r="FZ168" s="55"/>
      <c r="GA168" s="59"/>
      <c r="GB168" s="55"/>
      <c r="GC168" s="54"/>
      <c r="GD168" s="55"/>
      <c r="GE168" s="59"/>
      <c r="GF168" s="55"/>
      <c r="GG168" s="59"/>
      <c r="GH168" s="55"/>
      <c r="GI168" s="54"/>
      <c r="GJ168" s="55"/>
      <c r="GK168" s="54"/>
      <c r="GL168" s="54"/>
      <c r="GM168" s="54"/>
      <c r="GN168" s="54"/>
      <c r="GO168" s="54"/>
      <c r="GP168" s="54"/>
      <c r="GQ168" s="54"/>
      <c r="GR168" s="54"/>
      <c r="GS168" s="54"/>
      <c r="GT168" s="54"/>
      <c r="GU168" s="54"/>
      <c r="GV168" s="54"/>
      <c r="GW168" s="54"/>
      <c r="GX168" s="54"/>
      <c r="GY168" s="54"/>
      <c r="GZ168" s="54"/>
      <c r="HA168" s="54"/>
      <c r="HB168" s="54"/>
      <c r="HC168" s="54"/>
      <c r="HD168" s="54"/>
      <c r="HE168" s="54"/>
      <c r="HF168" s="54"/>
      <c r="HG168" s="54"/>
      <c r="HH168" s="54"/>
    </row>
    <row r="169" spans="12:216" x14ac:dyDescent="0.3">
      <c r="L169" s="55"/>
      <c r="N169" s="55"/>
      <c r="P169" s="55"/>
      <c r="R169" s="55"/>
      <c r="T169" s="55"/>
      <c r="V169" s="55"/>
      <c r="W169" s="59"/>
      <c r="X169" s="55"/>
      <c r="Z169" s="55"/>
      <c r="AB169" s="55"/>
      <c r="AC169" s="59"/>
      <c r="AD169" s="55"/>
      <c r="AE169" s="59"/>
      <c r="AF169" s="55"/>
      <c r="AG169" s="59"/>
      <c r="AH169" s="55"/>
      <c r="AJ169" s="55"/>
      <c r="AL169" s="55"/>
      <c r="AM169" s="59"/>
      <c r="AN169" s="55"/>
      <c r="AO169" s="59"/>
      <c r="AP169" s="55"/>
      <c r="AQ169" s="59"/>
      <c r="AR169" s="55"/>
      <c r="AT169" s="55"/>
      <c r="AU169" s="59"/>
      <c r="AV169" s="55"/>
      <c r="AW169" s="59"/>
      <c r="AX169" s="55"/>
      <c r="AZ169" s="55"/>
      <c r="CB169" s="55"/>
      <c r="CD169" s="55"/>
      <c r="CF169" s="55"/>
      <c r="CH169" s="55"/>
      <c r="CI169" s="56"/>
      <c r="CJ169" s="55"/>
      <c r="CL169" s="55"/>
      <c r="CM169" s="56"/>
      <c r="CN169" s="55"/>
      <c r="CO169" s="59"/>
      <c r="CP169" s="55"/>
      <c r="CQ169" s="56"/>
      <c r="CR169" s="55"/>
      <c r="CT169" s="55"/>
      <c r="CU169" s="59"/>
      <c r="CV169" s="55"/>
      <c r="CW169" s="59"/>
      <c r="CX169" s="55"/>
      <c r="CY169" s="59"/>
      <c r="CZ169" s="55"/>
      <c r="DB169" s="55"/>
      <c r="DD169" s="55"/>
      <c r="DE169" s="59"/>
      <c r="DF169" s="55"/>
      <c r="DG169" s="59"/>
      <c r="DH169" s="55"/>
      <c r="DI169" s="59"/>
      <c r="DJ169" s="55"/>
      <c r="DL169" s="55"/>
      <c r="DM169" s="59"/>
      <c r="DN169" s="55"/>
      <c r="DO169" s="59"/>
      <c r="DP169" s="55"/>
      <c r="DR169" s="55"/>
      <c r="ER169" s="54"/>
      <c r="ES169" s="54"/>
      <c r="ET169" s="55"/>
      <c r="EU169" s="54"/>
      <c r="EV169" s="55"/>
      <c r="EW169" s="54"/>
      <c r="EX169" s="55"/>
      <c r="EY169" s="54"/>
      <c r="EZ169" s="55"/>
      <c r="FA169" s="56"/>
      <c r="FB169" s="55"/>
      <c r="FC169" s="54"/>
      <c r="FD169" s="55"/>
      <c r="FE169" s="56"/>
      <c r="FF169" s="55"/>
      <c r="FG169" s="59"/>
      <c r="FH169" s="55"/>
      <c r="FI169" s="56"/>
      <c r="FJ169" s="55"/>
      <c r="FK169" s="54"/>
      <c r="FL169" s="55"/>
      <c r="FM169" s="59"/>
      <c r="FN169" s="55"/>
      <c r="FO169" s="59"/>
      <c r="FP169" s="55"/>
      <c r="FQ169" s="59"/>
      <c r="FR169" s="55"/>
      <c r="FS169" s="54"/>
      <c r="FT169" s="55"/>
      <c r="FU169" s="54"/>
      <c r="FV169" s="55"/>
      <c r="FW169" s="59"/>
      <c r="FX169" s="55"/>
      <c r="FY169" s="59"/>
      <c r="FZ169" s="55"/>
      <c r="GA169" s="59"/>
      <c r="GB169" s="55"/>
      <c r="GC169" s="54"/>
      <c r="GD169" s="55"/>
      <c r="GE169" s="59"/>
      <c r="GF169" s="55"/>
      <c r="GG169" s="59"/>
      <c r="GH169" s="55"/>
      <c r="GI169" s="54"/>
      <c r="GJ169" s="55"/>
      <c r="GK169" s="54"/>
      <c r="GL169" s="54"/>
      <c r="GM169" s="54"/>
      <c r="GN169" s="54"/>
      <c r="GO169" s="54"/>
      <c r="GP169" s="54"/>
      <c r="GQ169" s="54"/>
      <c r="GR169" s="54"/>
      <c r="GS169" s="54"/>
      <c r="GT169" s="54"/>
      <c r="GU169" s="54"/>
      <c r="GV169" s="54"/>
      <c r="GW169" s="54"/>
      <c r="GX169" s="54"/>
      <c r="GY169" s="54"/>
      <c r="GZ169" s="54"/>
      <c r="HA169" s="54"/>
      <c r="HB169" s="54"/>
      <c r="HC169" s="54"/>
      <c r="HD169" s="54"/>
      <c r="HE169" s="54"/>
      <c r="HF169" s="54"/>
      <c r="HG169" s="54"/>
      <c r="HH169" s="54"/>
    </row>
    <row r="170" spans="12:216" x14ac:dyDescent="0.3">
      <c r="L170" s="55"/>
      <c r="N170" s="55"/>
      <c r="P170" s="55"/>
      <c r="R170" s="55"/>
      <c r="T170" s="55"/>
      <c r="V170" s="55"/>
      <c r="W170" s="59"/>
      <c r="X170" s="55"/>
      <c r="Z170" s="55"/>
      <c r="AB170" s="55"/>
      <c r="AC170" s="59"/>
      <c r="AD170" s="55"/>
      <c r="AE170" s="59"/>
      <c r="AF170" s="55"/>
      <c r="AG170" s="59"/>
      <c r="AH170" s="55"/>
      <c r="AJ170" s="55"/>
      <c r="AL170" s="55"/>
      <c r="AM170" s="59"/>
      <c r="AN170" s="55"/>
      <c r="AO170" s="59"/>
      <c r="AP170" s="55"/>
      <c r="AQ170" s="59"/>
      <c r="AR170" s="55"/>
      <c r="AT170" s="55"/>
      <c r="AU170" s="59"/>
      <c r="AV170" s="55"/>
      <c r="AW170" s="59"/>
      <c r="AX170" s="55"/>
      <c r="AZ170" s="55"/>
      <c r="CB170" s="55"/>
      <c r="CD170" s="55"/>
      <c r="CF170" s="55"/>
      <c r="CH170" s="55"/>
      <c r="CI170" s="56"/>
      <c r="CJ170" s="55"/>
      <c r="CL170" s="55"/>
      <c r="CM170" s="56"/>
      <c r="CN170" s="55"/>
      <c r="CO170" s="59"/>
      <c r="CP170" s="55"/>
      <c r="CQ170" s="56"/>
      <c r="CR170" s="55"/>
      <c r="CT170" s="55"/>
      <c r="CU170" s="59"/>
      <c r="CV170" s="55"/>
      <c r="CW170" s="59"/>
      <c r="CX170" s="55"/>
      <c r="CY170" s="59"/>
      <c r="CZ170" s="55"/>
      <c r="DB170" s="55"/>
      <c r="DD170" s="55"/>
      <c r="DE170" s="59"/>
      <c r="DF170" s="55"/>
      <c r="DG170" s="59"/>
      <c r="DH170" s="55"/>
      <c r="DI170" s="59"/>
      <c r="DJ170" s="55"/>
      <c r="DL170" s="55"/>
      <c r="DM170" s="59"/>
      <c r="DN170" s="55"/>
      <c r="DO170" s="59"/>
      <c r="DP170" s="55"/>
      <c r="DR170" s="55"/>
      <c r="ER170" s="54"/>
      <c r="ES170" s="54"/>
      <c r="ET170" s="55"/>
      <c r="EU170" s="54"/>
      <c r="EV170" s="55"/>
      <c r="EW170" s="54"/>
      <c r="EX170" s="55"/>
      <c r="EY170" s="54"/>
      <c r="EZ170" s="55"/>
      <c r="FA170" s="56"/>
      <c r="FB170" s="55"/>
      <c r="FC170" s="54"/>
      <c r="FD170" s="55"/>
      <c r="FE170" s="56"/>
      <c r="FF170" s="55"/>
      <c r="FG170" s="59"/>
      <c r="FH170" s="55"/>
      <c r="FI170" s="56"/>
      <c r="FJ170" s="55"/>
      <c r="FK170" s="54"/>
      <c r="FL170" s="55"/>
      <c r="FM170" s="59"/>
      <c r="FN170" s="55"/>
      <c r="FO170" s="59"/>
      <c r="FP170" s="55"/>
      <c r="FQ170" s="59"/>
      <c r="FR170" s="55"/>
      <c r="FS170" s="54"/>
      <c r="FT170" s="55"/>
      <c r="FU170" s="54"/>
      <c r="FV170" s="55"/>
      <c r="FW170" s="59"/>
      <c r="FX170" s="55"/>
      <c r="FY170" s="59"/>
      <c r="FZ170" s="55"/>
      <c r="GA170" s="59"/>
      <c r="GB170" s="55"/>
      <c r="GC170" s="54"/>
      <c r="GD170" s="55"/>
      <c r="GE170" s="59"/>
      <c r="GF170" s="55"/>
      <c r="GG170" s="59"/>
      <c r="GH170" s="55"/>
      <c r="GI170" s="54"/>
      <c r="GJ170" s="55"/>
      <c r="GK170" s="54"/>
      <c r="GL170" s="54"/>
      <c r="GM170" s="54"/>
      <c r="GN170" s="54"/>
      <c r="GO170" s="54"/>
      <c r="GP170" s="54"/>
      <c r="GQ170" s="54"/>
      <c r="GR170" s="54"/>
      <c r="GS170" s="54"/>
      <c r="GT170" s="54"/>
      <c r="GU170" s="54"/>
      <c r="GV170" s="54"/>
      <c r="GW170" s="54"/>
      <c r="GX170" s="54"/>
      <c r="GY170" s="54"/>
      <c r="GZ170" s="54"/>
      <c r="HA170" s="54"/>
      <c r="HB170" s="54"/>
      <c r="HC170" s="54"/>
      <c r="HD170" s="54"/>
      <c r="HE170" s="54"/>
      <c r="HF170" s="54"/>
      <c r="HG170" s="54"/>
      <c r="HH170" s="54"/>
    </row>
    <row r="171" spans="12:216" x14ac:dyDescent="0.3">
      <c r="L171" s="55"/>
      <c r="N171" s="55"/>
      <c r="P171" s="55"/>
      <c r="R171" s="55"/>
      <c r="T171" s="55"/>
      <c r="V171" s="55"/>
      <c r="W171" s="59"/>
      <c r="X171" s="55"/>
      <c r="Z171" s="55"/>
      <c r="AB171" s="55"/>
      <c r="AC171" s="59"/>
      <c r="AD171" s="55"/>
      <c r="AE171" s="59"/>
      <c r="AF171" s="55"/>
      <c r="AG171" s="59"/>
      <c r="AH171" s="55"/>
      <c r="AJ171" s="55"/>
      <c r="AL171" s="55"/>
      <c r="AM171" s="59"/>
      <c r="AN171" s="55"/>
      <c r="AO171" s="59"/>
      <c r="AP171" s="55"/>
      <c r="AQ171" s="59"/>
      <c r="AR171" s="55"/>
      <c r="AT171" s="55"/>
      <c r="AU171" s="59"/>
      <c r="AV171" s="55"/>
      <c r="AW171" s="59"/>
      <c r="AX171" s="55"/>
      <c r="AZ171" s="55"/>
      <c r="CB171" s="55"/>
      <c r="CD171" s="55"/>
      <c r="CF171" s="55"/>
      <c r="CH171" s="55"/>
      <c r="CI171" s="56"/>
      <c r="CJ171" s="55"/>
      <c r="CL171" s="55"/>
      <c r="CM171" s="56"/>
      <c r="CN171" s="55"/>
      <c r="CO171" s="59"/>
      <c r="CP171" s="55"/>
      <c r="CQ171" s="56"/>
      <c r="CR171" s="55"/>
      <c r="CT171" s="55"/>
      <c r="CU171" s="59"/>
      <c r="CV171" s="55"/>
      <c r="CW171" s="59"/>
      <c r="CX171" s="55"/>
      <c r="CY171" s="59"/>
      <c r="CZ171" s="55"/>
      <c r="DB171" s="55"/>
      <c r="DD171" s="55"/>
      <c r="DE171" s="59"/>
      <c r="DF171" s="55"/>
      <c r="DG171" s="59"/>
      <c r="DH171" s="55"/>
      <c r="DI171" s="59"/>
      <c r="DJ171" s="55"/>
      <c r="DL171" s="55"/>
      <c r="DM171" s="59"/>
      <c r="DN171" s="55"/>
      <c r="DO171" s="59"/>
      <c r="DP171" s="55"/>
      <c r="DR171" s="55"/>
      <c r="ER171" s="54"/>
      <c r="ES171" s="54"/>
      <c r="ET171" s="55"/>
      <c r="EU171" s="54"/>
      <c r="EV171" s="55"/>
      <c r="EW171" s="54"/>
      <c r="EX171" s="55"/>
      <c r="EY171" s="54"/>
      <c r="EZ171" s="55"/>
      <c r="FA171" s="56"/>
      <c r="FB171" s="55"/>
      <c r="FC171" s="54"/>
      <c r="FD171" s="55"/>
      <c r="FE171" s="56"/>
      <c r="FF171" s="55"/>
      <c r="FG171" s="59"/>
      <c r="FH171" s="55"/>
      <c r="FI171" s="56"/>
      <c r="FJ171" s="55"/>
      <c r="FK171" s="54"/>
      <c r="FL171" s="55"/>
      <c r="FM171" s="59"/>
      <c r="FN171" s="55"/>
      <c r="FO171" s="59"/>
      <c r="FP171" s="55"/>
      <c r="FQ171" s="59"/>
      <c r="FR171" s="55"/>
      <c r="FS171" s="54"/>
      <c r="FT171" s="55"/>
      <c r="FU171" s="54"/>
      <c r="FV171" s="55"/>
      <c r="FW171" s="59"/>
      <c r="FX171" s="55"/>
      <c r="FY171" s="59"/>
      <c r="FZ171" s="55"/>
      <c r="GA171" s="59"/>
      <c r="GB171" s="55"/>
      <c r="GC171" s="54"/>
      <c r="GD171" s="55"/>
      <c r="GE171" s="59"/>
      <c r="GF171" s="55"/>
      <c r="GG171" s="59"/>
      <c r="GH171" s="55"/>
      <c r="GI171" s="54"/>
      <c r="GJ171" s="55"/>
      <c r="GK171" s="54"/>
      <c r="GL171" s="54"/>
      <c r="GM171" s="54"/>
      <c r="GN171" s="54"/>
      <c r="GO171" s="54"/>
      <c r="GP171" s="54"/>
      <c r="GQ171" s="54"/>
      <c r="GR171" s="54"/>
      <c r="GS171" s="54"/>
      <c r="GT171" s="54"/>
      <c r="GU171" s="54"/>
      <c r="GV171" s="54"/>
      <c r="GW171" s="54"/>
      <c r="GX171" s="54"/>
      <c r="GY171" s="54"/>
      <c r="GZ171" s="54"/>
      <c r="HA171" s="54"/>
      <c r="HB171" s="54"/>
      <c r="HC171" s="54"/>
      <c r="HD171" s="54"/>
      <c r="HE171" s="54"/>
      <c r="HF171" s="54"/>
      <c r="HG171" s="54"/>
      <c r="HH171" s="54"/>
    </row>
    <row r="172" spans="12:216" x14ac:dyDescent="0.3">
      <c r="L172" s="55"/>
      <c r="N172" s="55"/>
      <c r="P172" s="55"/>
      <c r="R172" s="55"/>
      <c r="T172" s="55"/>
      <c r="V172" s="55"/>
      <c r="W172" s="59"/>
      <c r="X172" s="55"/>
      <c r="Z172" s="55"/>
      <c r="AB172" s="55"/>
      <c r="AC172" s="59"/>
      <c r="AD172" s="55"/>
      <c r="AE172" s="59"/>
      <c r="AF172" s="55"/>
      <c r="AG172" s="59"/>
      <c r="AH172" s="55"/>
      <c r="AJ172" s="55"/>
      <c r="AL172" s="55"/>
      <c r="AM172" s="59"/>
      <c r="AN172" s="55"/>
      <c r="AO172" s="59"/>
      <c r="AP172" s="55"/>
      <c r="AQ172" s="59"/>
      <c r="AR172" s="55"/>
      <c r="AT172" s="55"/>
      <c r="AU172" s="59"/>
      <c r="AV172" s="55"/>
      <c r="AW172" s="59"/>
      <c r="AX172" s="55"/>
      <c r="AZ172" s="55"/>
      <c r="CB172" s="55"/>
      <c r="CD172" s="55"/>
      <c r="CF172" s="55"/>
      <c r="CH172" s="55"/>
      <c r="CI172" s="56"/>
      <c r="CJ172" s="55"/>
      <c r="CL172" s="55"/>
      <c r="CM172" s="56"/>
      <c r="CN172" s="55"/>
      <c r="CO172" s="59"/>
      <c r="CP172" s="55"/>
      <c r="CQ172" s="56"/>
      <c r="CR172" s="55"/>
      <c r="CT172" s="55"/>
      <c r="CU172" s="59"/>
      <c r="CV172" s="55"/>
      <c r="CW172" s="59"/>
      <c r="CX172" s="55"/>
      <c r="CY172" s="59"/>
      <c r="CZ172" s="55"/>
      <c r="DB172" s="55"/>
      <c r="DD172" s="55"/>
      <c r="DE172" s="59"/>
      <c r="DF172" s="55"/>
      <c r="DG172" s="59"/>
      <c r="DH172" s="55"/>
      <c r="DI172" s="59"/>
      <c r="DJ172" s="55"/>
      <c r="DL172" s="55"/>
      <c r="DM172" s="59"/>
      <c r="DN172" s="55"/>
      <c r="DO172" s="59"/>
      <c r="DP172" s="55"/>
      <c r="DR172" s="55"/>
      <c r="ER172" s="54"/>
      <c r="ES172" s="54"/>
      <c r="ET172" s="55"/>
      <c r="EU172" s="54"/>
      <c r="EV172" s="55"/>
      <c r="EW172" s="54"/>
      <c r="EX172" s="55"/>
      <c r="EY172" s="54"/>
      <c r="EZ172" s="55"/>
      <c r="FA172" s="56"/>
      <c r="FB172" s="55"/>
      <c r="FC172" s="54"/>
      <c r="FD172" s="55"/>
      <c r="FE172" s="56"/>
      <c r="FF172" s="55"/>
      <c r="FG172" s="59"/>
      <c r="FH172" s="55"/>
      <c r="FI172" s="56"/>
      <c r="FJ172" s="55"/>
      <c r="FK172" s="54"/>
      <c r="FL172" s="55"/>
      <c r="FM172" s="59"/>
      <c r="FN172" s="55"/>
      <c r="FO172" s="59"/>
      <c r="FP172" s="55"/>
      <c r="FQ172" s="59"/>
      <c r="FR172" s="55"/>
      <c r="FS172" s="54"/>
      <c r="FT172" s="55"/>
      <c r="FU172" s="54"/>
      <c r="FV172" s="55"/>
      <c r="FW172" s="59"/>
      <c r="FX172" s="55"/>
      <c r="FY172" s="59"/>
      <c r="FZ172" s="55"/>
      <c r="GA172" s="59"/>
      <c r="GB172" s="55"/>
      <c r="GC172" s="54"/>
      <c r="GD172" s="55"/>
      <c r="GE172" s="59"/>
      <c r="GF172" s="55"/>
      <c r="GG172" s="59"/>
      <c r="GH172" s="55"/>
      <c r="GI172" s="54"/>
      <c r="GJ172" s="55"/>
      <c r="GK172" s="54"/>
      <c r="GL172" s="54"/>
      <c r="GM172" s="54"/>
      <c r="GN172" s="54"/>
      <c r="GO172" s="54"/>
      <c r="GP172" s="54"/>
      <c r="GQ172" s="54"/>
      <c r="GR172" s="54"/>
      <c r="GS172" s="54"/>
      <c r="GT172" s="54"/>
      <c r="GU172" s="54"/>
      <c r="GV172" s="54"/>
      <c r="GW172" s="54"/>
      <c r="GX172" s="54"/>
      <c r="GY172" s="54"/>
      <c r="GZ172" s="54"/>
      <c r="HA172" s="54"/>
      <c r="HB172" s="54"/>
      <c r="HC172" s="54"/>
      <c r="HD172" s="54"/>
      <c r="HE172" s="54"/>
      <c r="HF172" s="54"/>
      <c r="HG172" s="54"/>
      <c r="HH172" s="54"/>
    </row>
    <row r="173" spans="12:216" x14ac:dyDescent="0.3">
      <c r="L173" s="55"/>
      <c r="N173" s="55"/>
      <c r="P173" s="55"/>
      <c r="R173" s="55"/>
      <c r="T173" s="55"/>
      <c r="V173" s="55"/>
      <c r="W173" s="59"/>
      <c r="X173" s="55"/>
      <c r="Z173" s="55"/>
      <c r="AB173" s="55"/>
      <c r="AC173" s="59"/>
      <c r="AD173" s="55"/>
      <c r="AE173" s="59"/>
      <c r="AF173" s="55"/>
      <c r="AG173" s="59"/>
      <c r="AH173" s="55"/>
      <c r="AJ173" s="55"/>
      <c r="AL173" s="55"/>
      <c r="AM173" s="59"/>
      <c r="AN173" s="55"/>
      <c r="AO173" s="59"/>
      <c r="AP173" s="55"/>
      <c r="AQ173" s="59"/>
      <c r="AR173" s="55"/>
      <c r="AT173" s="55"/>
      <c r="AU173" s="59"/>
      <c r="AV173" s="55"/>
      <c r="AW173" s="59"/>
      <c r="AX173" s="55"/>
      <c r="AZ173" s="55"/>
      <c r="CB173" s="55"/>
      <c r="CD173" s="55"/>
      <c r="CF173" s="55"/>
      <c r="CH173" s="55"/>
      <c r="CI173" s="56"/>
      <c r="CJ173" s="55"/>
      <c r="CL173" s="55"/>
      <c r="CM173" s="56"/>
      <c r="CN173" s="55"/>
      <c r="CO173" s="59"/>
      <c r="CP173" s="55"/>
      <c r="CQ173" s="56"/>
      <c r="CR173" s="55"/>
      <c r="CT173" s="55"/>
      <c r="CU173" s="59"/>
      <c r="CV173" s="55"/>
      <c r="CW173" s="59"/>
      <c r="CX173" s="55"/>
      <c r="CY173" s="59"/>
      <c r="CZ173" s="55"/>
      <c r="DB173" s="55"/>
      <c r="DD173" s="55"/>
      <c r="DE173" s="59"/>
      <c r="DF173" s="55"/>
      <c r="DG173" s="59"/>
      <c r="DH173" s="55"/>
      <c r="DI173" s="59"/>
      <c r="DJ173" s="55"/>
      <c r="DL173" s="55"/>
      <c r="DM173" s="59"/>
      <c r="DN173" s="55"/>
      <c r="DO173" s="59"/>
      <c r="DP173" s="55"/>
      <c r="DR173" s="55"/>
      <c r="ER173" s="54"/>
      <c r="ES173" s="54"/>
      <c r="ET173" s="55"/>
      <c r="EU173" s="54"/>
      <c r="EV173" s="55"/>
      <c r="EW173" s="54"/>
      <c r="EX173" s="55"/>
      <c r="EY173" s="54"/>
      <c r="EZ173" s="55"/>
      <c r="FA173" s="56"/>
      <c r="FB173" s="55"/>
      <c r="FC173" s="54"/>
      <c r="FD173" s="55"/>
      <c r="FE173" s="56"/>
      <c r="FF173" s="55"/>
      <c r="FG173" s="59"/>
      <c r="FH173" s="55"/>
      <c r="FI173" s="56"/>
      <c r="FJ173" s="55"/>
      <c r="FK173" s="54"/>
      <c r="FL173" s="55"/>
      <c r="FM173" s="59"/>
      <c r="FN173" s="55"/>
      <c r="FO173" s="59"/>
      <c r="FP173" s="55"/>
      <c r="FQ173" s="59"/>
      <c r="FR173" s="55"/>
      <c r="FS173" s="54"/>
      <c r="FT173" s="55"/>
      <c r="FU173" s="54"/>
      <c r="FV173" s="55"/>
      <c r="FW173" s="59"/>
      <c r="FX173" s="55"/>
      <c r="FY173" s="59"/>
      <c r="FZ173" s="55"/>
      <c r="GA173" s="59"/>
      <c r="GB173" s="55"/>
      <c r="GC173" s="54"/>
      <c r="GD173" s="55"/>
      <c r="GE173" s="59"/>
      <c r="GF173" s="55"/>
      <c r="GG173" s="59"/>
      <c r="GH173" s="55"/>
      <c r="GI173" s="54"/>
      <c r="GJ173" s="55"/>
      <c r="GK173" s="54"/>
      <c r="GL173" s="54"/>
      <c r="GM173" s="54"/>
      <c r="GN173" s="54"/>
      <c r="GO173" s="54"/>
      <c r="GP173" s="54"/>
      <c r="GQ173" s="54"/>
      <c r="GR173" s="54"/>
      <c r="GS173" s="54"/>
      <c r="GT173" s="54"/>
      <c r="GU173" s="54"/>
      <c r="GV173" s="54"/>
      <c r="GW173" s="54"/>
      <c r="GX173" s="54"/>
      <c r="GY173" s="54"/>
      <c r="GZ173" s="54"/>
      <c r="HA173" s="54"/>
      <c r="HB173" s="54"/>
      <c r="HC173" s="54"/>
      <c r="HD173" s="54"/>
      <c r="HE173" s="54"/>
      <c r="HF173" s="54"/>
      <c r="HG173" s="54"/>
      <c r="HH173" s="54"/>
    </row>
    <row r="174" spans="12:216" x14ac:dyDescent="0.3">
      <c r="L174" s="55"/>
      <c r="N174" s="55"/>
      <c r="P174" s="55"/>
      <c r="R174" s="55"/>
      <c r="T174" s="55"/>
      <c r="V174" s="55"/>
      <c r="W174" s="59"/>
      <c r="X174" s="55"/>
      <c r="Z174" s="55"/>
      <c r="AB174" s="55"/>
      <c r="AC174" s="59"/>
      <c r="AD174" s="55"/>
      <c r="AE174" s="59"/>
      <c r="AF174" s="55"/>
      <c r="AG174" s="59"/>
      <c r="AH174" s="55"/>
      <c r="AJ174" s="55"/>
      <c r="AL174" s="55"/>
      <c r="AM174" s="59"/>
      <c r="AN174" s="55"/>
      <c r="AO174" s="59"/>
      <c r="AP174" s="55"/>
      <c r="AQ174" s="59"/>
      <c r="AR174" s="55"/>
      <c r="AT174" s="55"/>
      <c r="AU174" s="59"/>
      <c r="AV174" s="55"/>
      <c r="AW174" s="59"/>
      <c r="AX174" s="55"/>
      <c r="AZ174" s="55"/>
      <c r="CB174" s="55"/>
      <c r="CD174" s="55"/>
      <c r="CF174" s="55"/>
      <c r="CH174" s="55"/>
      <c r="CI174" s="56"/>
      <c r="CJ174" s="55"/>
      <c r="CL174" s="55"/>
      <c r="CM174" s="56"/>
      <c r="CN174" s="55"/>
      <c r="CO174" s="59"/>
      <c r="CP174" s="55"/>
      <c r="CQ174" s="56"/>
      <c r="CR174" s="55"/>
      <c r="CT174" s="55"/>
      <c r="CU174" s="59"/>
      <c r="CV174" s="55"/>
      <c r="CW174" s="59"/>
      <c r="CX174" s="55"/>
      <c r="CY174" s="59"/>
      <c r="CZ174" s="55"/>
      <c r="DB174" s="55"/>
      <c r="DD174" s="55"/>
      <c r="DE174" s="59"/>
      <c r="DF174" s="55"/>
      <c r="DG174" s="59"/>
      <c r="DH174" s="55"/>
      <c r="DI174" s="59"/>
      <c r="DJ174" s="55"/>
      <c r="DL174" s="55"/>
      <c r="DM174" s="59"/>
      <c r="DN174" s="55"/>
      <c r="DO174" s="59"/>
      <c r="DP174" s="55"/>
      <c r="DR174" s="55"/>
      <c r="ER174" s="54"/>
      <c r="ES174" s="54"/>
      <c r="ET174" s="55"/>
      <c r="EU174" s="54"/>
      <c r="EV174" s="55"/>
      <c r="EW174" s="54"/>
      <c r="EX174" s="55"/>
      <c r="EY174" s="54"/>
      <c r="EZ174" s="55"/>
      <c r="FA174" s="56"/>
      <c r="FB174" s="55"/>
      <c r="FC174" s="54"/>
      <c r="FD174" s="55"/>
      <c r="FE174" s="56"/>
      <c r="FF174" s="55"/>
      <c r="FG174" s="59"/>
      <c r="FH174" s="55"/>
      <c r="FI174" s="56"/>
      <c r="FJ174" s="55"/>
      <c r="FK174" s="54"/>
      <c r="FL174" s="55"/>
      <c r="FM174" s="59"/>
      <c r="FN174" s="55"/>
      <c r="FO174" s="59"/>
      <c r="FP174" s="55"/>
      <c r="FQ174" s="59"/>
      <c r="FR174" s="55"/>
      <c r="FS174" s="54"/>
      <c r="FT174" s="55"/>
      <c r="FU174" s="54"/>
      <c r="FV174" s="55"/>
      <c r="FW174" s="59"/>
      <c r="FX174" s="55"/>
      <c r="FY174" s="59"/>
      <c r="FZ174" s="55"/>
      <c r="GA174" s="59"/>
      <c r="GB174" s="55"/>
      <c r="GC174" s="54"/>
      <c r="GD174" s="55"/>
      <c r="GE174" s="59"/>
      <c r="GF174" s="55"/>
      <c r="GG174" s="59"/>
      <c r="GH174" s="55"/>
      <c r="GI174" s="54"/>
      <c r="GJ174" s="55"/>
      <c r="GK174" s="54"/>
      <c r="GL174" s="54"/>
      <c r="GM174" s="54"/>
      <c r="GN174" s="54"/>
      <c r="GO174" s="54"/>
      <c r="GP174" s="54"/>
      <c r="GQ174" s="54"/>
      <c r="GR174" s="54"/>
      <c r="GS174" s="54"/>
      <c r="GT174" s="54"/>
      <c r="GU174" s="54"/>
      <c r="GV174" s="54"/>
      <c r="GW174" s="54"/>
      <c r="GX174" s="54"/>
      <c r="GY174" s="54"/>
      <c r="GZ174" s="54"/>
      <c r="HA174" s="54"/>
      <c r="HB174" s="54"/>
      <c r="HC174" s="54"/>
      <c r="HD174" s="54"/>
      <c r="HE174" s="54"/>
      <c r="HF174" s="54"/>
      <c r="HG174" s="54"/>
      <c r="HH174" s="54"/>
    </row>
    <row r="175" spans="12:216" x14ac:dyDescent="0.3">
      <c r="L175" s="55"/>
      <c r="N175" s="55"/>
      <c r="P175" s="55"/>
      <c r="R175" s="55"/>
      <c r="T175" s="55"/>
      <c r="V175" s="55"/>
      <c r="W175" s="59"/>
      <c r="X175" s="55"/>
      <c r="Z175" s="55"/>
      <c r="AB175" s="55"/>
      <c r="AC175" s="59"/>
      <c r="AD175" s="55"/>
      <c r="AE175" s="59"/>
      <c r="AF175" s="55"/>
      <c r="AG175" s="59"/>
      <c r="AH175" s="55"/>
      <c r="AJ175" s="55"/>
      <c r="AL175" s="55"/>
      <c r="AM175" s="59"/>
      <c r="AN175" s="55"/>
      <c r="AO175" s="59"/>
      <c r="AP175" s="55"/>
      <c r="AQ175" s="59"/>
      <c r="AR175" s="55"/>
      <c r="AT175" s="55"/>
      <c r="AU175" s="59"/>
      <c r="AV175" s="55"/>
      <c r="AW175" s="59"/>
      <c r="AX175" s="55"/>
      <c r="AZ175" s="55"/>
      <c r="CB175" s="55"/>
      <c r="CD175" s="55"/>
      <c r="CF175" s="55"/>
      <c r="CH175" s="55"/>
      <c r="CI175" s="56"/>
      <c r="CJ175" s="55"/>
      <c r="CL175" s="55"/>
      <c r="CM175" s="56"/>
      <c r="CN175" s="55"/>
      <c r="CO175" s="59"/>
      <c r="CP175" s="55"/>
      <c r="CQ175" s="56"/>
      <c r="CR175" s="55"/>
      <c r="CT175" s="55"/>
      <c r="CU175" s="59"/>
      <c r="CV175" s="55"/>
      <c r="CW175" s="59"/>
      <c r="CX175" s="55"/>
      <c r="CY175" s="59"/>
      <c r="CZ175" s="55"/>
      <c r="DB175" s="55"/>
      <c r="DD175" s="55"/>
      <c r="DE175" s="59"/>
      <c r="DF175" s="55"/>
      <c r="DG175" s="59"/>
      <c r="DH175" s="55"/>
      <c r="DI175" s="59"/>
      <c r="DJ175" s="55"/>
      <c r="DL175" s="55"/>
      <c r="DM175" s="59"/>
      <c r="DN175" s="55"/>
      <c r="DO175" s="59"/>
      <c r="DP175" s="55"/>
      <c r="DR175" s="55"/>
      <c r="ER175" s="54"/>
      <c r="ES175" s="54"/>
      <c r="ET175" s="55"/>
      <c r="EU175" s="54"/>
      <c r="EV175" s="55"/>
      <c r="EW175" s="54"/>
      <c r="EX175" s="55"/>
      <c r="EY175" s="54"/>
      <c r="EZ175" s="55"/>
      <c r="FA175" s="56"/>
      <c r="FB175" s="55"/>
      <c r="FC175" s="54"/>
      <c r="FD175" s="55"/>
      <c r="FE175" s="56"/>
      <c r="FF175" s="55"/>
      <c r="FG175" s="59"/>
      <c r="FH175" s="55"/>
      <c r="FI175" s="56"/>
      <c r="FJ175" s="55"/>
      <c r="FK175" s="54"/>
      <c r="FL175" s="55"/>
      <c r="FM175" s="59"/>
      <c r="FN175" s="55"/>
      <c r="FO175" s="59"/>
      <c r="FP175" s="55"/>
      <c r="FQ175" s="59"/>
      <c r="FR175" s="55"/>
      <c r="FS175" s="54"/>
      <c r="FT175" s="55"/>
      <c r="FU175" s="54"/>
      <c r="FV175" s="55"/>
      <c r="FW175" s="59"/>
      <c r="FX175" s="55"/>
      <c r="FY175" s="59"/>
      <c r="FZ175" s="55"/>
      <c r="GA175" s="59"/>
      <c r="GB175" s="55"/>
      <c r="GC175" s="54"/>
      <c r="GD175" s="55"/>
      <c r="GE175" s="59"/>
      <c r="GF175" s="55"/>
      <c r="GG175" s="59"/>
      <c r="GH175" s="55"/>
      <c r="GI175" s="54"/>
      <c r="GJ175" s="55"/>
      <c r="GK175" s="54"/>
      <c r="GL175" s="54"/>
      <c r="GM175" s="54"/>
      <c r="GN175" s="54"/>
      <c r="GO175" s="54"/>
      <c r="GP175" s="54"/>
      <c r="GQ175" s="54"/>
      <c r="GR175" s="54"/>
      <c r="GS175" s="54"/>
      <c r="GT175" s="54"/>
      <c r="GU175" s="54"/>
      <c r="GV175" s="54"/>
      <c r="GW175" s="54"/>
      <c r="GX175" s="54"/>
      <c r="GY175" s="54"/>
      <c r="GZ175" s="54"/>
      <c r="HA175" s="54"/>
      <c r="HB175" s="54"/>
      <c r="HC175" s="54"/>
      <c r="HD175" s="54"/>
      <c r="HE175" s="54"/>
      <c r="HF175" s="54"/>
      <c r="HG175" s="54"/>
      <c r="HH175" s="54"/>
    </row>
    <row r="176" spans="12:216" x14ac:dyDescent="0.3">
      <c r="L176" s="55"/>
      <c r="N176" s="55"/>
      <c r="P176" s="55"/>
      <c r="R176" s="55"/>
      <c r="T176" s="55"/>
      <c r="V176" s="55"/>
      <c r="W176" s="59"/>
      <c r="X176" s="55"/>
      <c r="Z176" s="55"/>
      <c r="AB176" s="55"/>
      <c r="AC176" s="59"/>
      <c r="AD176" s="55"/>
      <c r="AE176" s="59"/>
      <c r="AF176" s="55"/>
      <c r="AG176" s="59"/>
      <c r="AH176" s="55"/>
      <c r="AJ176" s="55"/>
      <c r="AL176" s="55"/>
      <c r="AM176" s="59"/>
      <c r="AN176" s="55"/>
      <c r="AO176" s="59"/>
      <c r="AP176" s="55"/>
      <c r="AQ176" s="59"/>
      <c r="AR176" s="55"/>
      <c r="AT176" s="55"/>
      <c r="AU176" s="59"/>
      <c r="AV176" s="55"/>
      <c r="AW176" s="59"/>
      <c r="AX176" s="55"/>
      <c r="AZ176" s="55"/>
      <c r="CB176" s="55"/>
      <c r="CD176" s="55"/>
      <c r="CF176" s="55"/>
      <c r="CH176" s="55"/>
      <c r="CI176" s="56"/>
      <c r="CJ176" s="55"/>
      <c r="CL176" s="55"/>
      <c r="CM176" s="56"/>
      <c r="CN176" s="55"/>
      <c r="CO176" s="59"/>
      <c r="CP176" s="55"/>
      <c r="CQ176" s="56"/>
      <c r="CR176" s="55"/>
      <c r="CT176" s="55"/>
      <c r="CU176" s="59"/>
      <c r="CV176" s="55"/>
      <c r="CW176" s="59"/>
      <c r="CX176" s="55"/>
      <c r="CY176" s="59"/>
      <c r="CZ176" s="55"/>
      <c r="DB176" s="55"/>
      <c r="DD176" s="55"/>
      <c r="DE176" s="59"/>
      <c r="DF176" s="55"/>
      <c r="DG176" s="59"/>
      <c r="DH176" s="55"/>
      <c r="DI176" s="59"/>
      <c r="DJ176" s="55"/>
      <c r="DL176" s="55"/>
      <c r="DM176" s="59"/>
      <c r="DN176" s="55"/>
      <c r="DO176" s="59"/>
      <c r="DP176" s="55"/>
      <c r="DR176" s="55"/>
      <c r="ER176" s="54"/>
      <c r="ES176" s="54"/>
      <c r="ET176" s="55"/>
      <c r="EU176" s="54"/>
      <c r="EV176" s="55"/>
      <c r="EW176" s="54"/>
      <c r="EX176" s="55"/>
      <c r="EY176" s="54"/>
      <c r="EZ176" s="55"/>
      <c r="FA176" s="56"/>
      <c r="FB176" s="55"/>
      <c r="FC176" s="54"/>
      <c r="FD176" s="55"/>
      <c r="FE176" s="56"/>
      <c r="FF176" s="55"/>
      <c r="FG176" s="59"/>
      <c r="FH176" s="55"/>
      <c r="FI176" s="56"/>
      <c r="FJ176" s="55"/>
      <c r="FK176" s="54"/>
      <c r="FL176" s="55"/>
      <c r="FM176" s="59"/>
      <c r="FN176" s="55"/>
      <c r="FO176" s="59"/>
      <c r="FP176" s="55"/>
      <c r="FQ176" s="59"/>
      <c r="FR176" s="55"/>
      <c r="FS176" s="54"/>
      <c r="FT176" s="55"/>
      <c r="FU176" s="54"/>
      <c r="FV176" s="55"/>
      <c r="FW176" s="59"/>
      <c r="FX176" s="55"/>
      <c r="FY176" s="59"/>
      <c r="FZ176" s="55"/>
      <c r="GA176" s="59"/>
      <c r="GB176" s="55"/>
      <c r="GC176" s="54"/>
      <c r="GD176" s="55"/>
      <c r="GE176" s="59"/>
      <c r="GF176" s="55"/>
      <c r="GG176" s="59"/>
      <c r="GH176" s="55"/>
      <c r="GI176" s="54"/>
      <c r="GJ176" s="55"/>
      <c r="GK176" s="54"/>
      <c r="GL176" s="54"/>
      <c r="GM176" s="54"/>
      <c r="GN176" s="54"/>
      <c r="GO176" s="54"/>
      <c r="GP176" s="54"/>
      <c r="GQ176" s="54"/>
      <c r="GR176" s="54"/>
      <c r="GS176" s="54"/>
      <c r="GT176" s="54"/>
      <c r="GU176" s="54"/>
      <c r="GV176" s="54"/>
      <c r="GW176" s="54"/>
      <c r="GX176" s="54"/>
      <c r="GY176" s="54"/>
      <c r="GZ176" s="54"/>
      <c r="HA176" s="54"/>
      <c r="HB176" s="54"/>
      <c r="HC176" s="54"/>
      <c r="HD176" s="54"/>
      <c r="HE176" s="54"/>
      <c r="HF176" s="54"/>
      <c r="HG176" s="54"/>
      <c r="HH176" s="54"/>
    </row>
    <row r="177" spans="12:216" x14ac:dyDescent="0.3">
      <c r="L177" s="55"/>
      <c r="N177" s="55"/>
      <c r="P177" s="55"/>
      <c r="R177" s="55"/>
      <c r="T177" s="55"/>
      <c r="V177" s="55"/>
      <c r="W177" s="59"/>
      <c r="X177" s="55"/>
      <c r="Z177" s="55"/>
      <c r="AB177" s="55"/>
      <c r="AC177" s="59"/>
      <c r="AD177" s="55"/>
      <c r="AE177" s="59"/>
      <c r="AF177" s="55"/>
      <c r="AG177" s="59"/>
      <c r="AH177" s="55"/>
      <c r="AJ177" s="55"/>
      <c r="AL177" s="55"/>
      <c r="AM177" s="59"/>
      <c r="AN177" s="55"/>
      <c r="AO177" s="59"/>
      <c r="AP177" s="55"/>
      <c r="AQ177" s="59"/>
      <c r="AR177" s="55"/>
      <c r="AT177" s="55"/>
      <c r="AU177" s="59"/>
      <c r="AV177" s="55"/>
      <c r="AW177" s="59"/>
      <c r="AX177" s="55"/>
      <c r="AZ177" s="55"/>
      <c r="CB177" s="55"/>
      <c r="CD177" s="55"/>
      <c r="CF177" s="55"/>
      <c r="CH177" s="55"/>
      <c r="CI177" s="56"/>
      <c r="CJ177" s="55"/>
      <c r="CL177" s="55"/>
      <c r="CM177" s="56"/>
      <c r="CN177" s="55"/>
      <c r="CO177" s="59"/>
      <c r="CP177" s="55"/>
      <c r="CQ177" s="56"/>
      <c r="CR177" s="55"/>
      <c r="CT177" s="55"/>
      <c r="CU177" s="59"/>
      <c r="CV177" s="55"/>
      <c r="CW177" s="59"/>
      <c r="CX177" s="55"/>
      <c r="CY177" s="59"/>
      <c r="CZ177" s="55"/>
      <c r="DB177" s="55"/>
      <c r="DD177" s="55"/>
      <c r="DE177" s="59"/>
      <c r="DF177" s="55"/>
      <c r="DG177" s="59"/>
      <c r="DH177" s="55"/>
      <c r="DI177" s="59"/>
      <c r="DJ177" s="55"/>
      <c r="DL177" s="55"/>
      <c r="DM177" s="59"/>
      <c r="DN177" s="55"/>
      <c r="DO177" s="59"/>
      <c r="DP177" s="55"/>
      <c r="DR177" s="55"/>
      <c r="ER177" s="54"/>
      <c r="ES177" s="54"/>
      <c r="ET177" s="55"/>
      <c r="EU177" s="54"/>
      <c r="EV177" s="55"/>
      <c r="EW177" s="54"/>
      <c r="EX177" s="55"/>
      <c r="EY177" s="54"/>
      <c r="EZ177" s="55"/>
      <c r="FA177" s="56"/>
      <c r="FB177" s="55"/>
      <c r="FC177" s="54"/>
      <c r="FD177" s="55"/>
      <c r="FE177" s="56"/>
      <c r="FF177" s="55"/>
      <c r="FG177" s="59"/>
      <c r="FH177" s="55"/>
      <c r="FI177" s="56"/>
      <c r="FJ177" s="55"/>
      <c r="FK177" s="54"/>
      <c r="FL177" s="55"/>
      <c r="FM177" s="59"/>
      <c r="FN177" s="55"/>
      <c r="FO177" s="59"/>
      <c r="FP177" s="55"/>
      <c r="FQ177" s="59"/>
      <c r="FR177" s="55"/>
      <c r="FS177" s="54"/>
      <c r="FT177" s="55"/>
      <c r="FU177" s="54"/>
      <c r="FV177" s="55"/>
      <c r="FW177" s="59"/>
      <c r="FX177" s="55"/>
      <c r="FY177" s="59"/>
      <c r="FZ177" s="55"/>
      <c r="GA177" s="59"/>
      <c r="GB177" s="55"/>
      <c r="GC177" s="54"/>
      <c r="GD177" s="55"/>
      <c r="GE177" s="59"/>
      <c r="GF177" s="55"/>
      <c r="GG177" s="59"/>
      <c r="GH177" s="55"/>
      <c r="GI177" s="54"/>
      <c r="GJ177" s="55"/>
      <c r="GK177" s="54"/>
      <c r="GL177" s="54"/>
      <c r="GM177" s="54"/>
      <c r="GN177" s="54"/>
      <c r="GO177" s="54"/>
      <c r="GP177" s="54"/>
      <c r="GQ177" s="54"/>
      <c r="GR177" s="54"/>
      <c r="GS177" s="54"/>
      <c r="GT177" s="54"/>
      <c r="GU177" s="54"/>
      <c r="GV177" s="54"/>
      <c r="GW177" s="54"/>
      <c r="GX177" s="54"/>
      <c r="GY177" s="54"/>
      <c r="GZ177" s="54"/>
      <c r="HA177" s="54"/>
      <c r="HB177" s="54"/>
      <c r="HC177" s="54"/>
      <c r="HD177" s="54"/>
      <c r="HE177" s="54"/>
      <c r="HF177" s="54"/>
      <c r="HG177" s="54"/>
      <c r="HH177" s="54"/>
    </row>
    <row r="178" spans="12:216" x14ac:dyDescent="0.3">
      <c r="L178" s="55"/>
      <c r="N178" s="55"/>
      <c r="P178" s="55"/>
      <c r="R178" s="55"/>
      <c r="T178" s="55"/>
      <c r="V178" s="55"/>
      <c r="W178" s="59"/>
      <c r="X178" s="55"/>
      <c r="Z178" s="55"/>
      <c r="AB178" s="55"/>
      <c r="AC178" s="59"/>
      <c r="AD178" s="55"/>
      <c r="AE178" s="59"/>
      <c r="AF178" s="55"/>
      <c r="AG178" s="59"/>
      <c r="AH178" s="55"/>
      <c r="AJ178" s="55"/>
      <c r="AL178" s="55"/>
      <c r="AM178" s="59"/>
      <c r="AN178" s="55"/>
      <c r="AO178" s="59"/>
      <c r="AP178" s="55"/>
      <c r="AQ178" s="59"/>
      <c r="AR178" s="55"/>
      <c r="AT178" s="55"/>
      <c r="AU178" s="59"/>
      <c r="AV178" s="55"/>
      <c r="AW178" s="59"/>
      <c r="AX178" s="55"/>
      <c r="AZ178" s="55"/>
      <c r="CB178" s="55"/>
      <c r="CD178" s="55"/>
      <c r="CF178" s="55"/>
      <c r="CH178" s="55"/>
      <c r="CI178" s="56"/>
      <c r="CJ178" s="55"/>
      <c r="CL178" s="55"/>
      <c r="CM178" s="56"/>
      <c r="CN178" s="55"/>
      <c r="CO178" s="59"/>
      <c r="CP178" s="55"/>
      <c r="CQ178" s="56"/>
      <c r="CR178" s="55"/>
      <c r="CT178" s="55"/>
      <c r="CU178" s="59"/>
      <c r="CV178" s="55"/>
      <c r="CW178" s="59"/>
      <c r="CX178" s="55"/>
      <c r="CY178" s="59"/>
      <c r="CZ178" s="55"/>
      <c r="DB178" s="55"/>
      <c r="DD178" s="55"/>
      <c r="DE178" s="59"/>
      <c r="DF178" s="55"/>
      <c r="DG178" s="59"/>
      <c r="DH178" s="55"/>
      <c r="DI178" s="59"/>
      <c r="DJ178" s="55"/>
      <c r="DL178" s="55"/>
      <c r="DM178" s="59"/>
      <c r="DN178" s="55"/>
      <c r="DO178" s="59"/>
      <c r="DP178" s="55"/>
      <c r="DR178" s="55"/>
      <c r="ER178" s="54"/>
      <c r="ES178" s="54"/>
      <c r="ET178" s="55"/>
      <c r="EU178" s="54"/>
      <c r="EV178" s="55"/>
      <c r="EW178" s="54"/>
      <c r="EX178" s="55"/>
      <c r="EY178" s="54"/>
      <c r="EZ178" s="55"/>
      <c r="FA178" s="56"/>
      <c r="FB178" s="55"/>
      <c r="FC178" s="54"/>
      <c r="FD178" s="55"/>
      <c r="FE178" s="56"/>
      <c r="FF178" s="55"/>
      <c r="FG178" s="59"/>
      <c r="FH178" s="55"/>
      <c r="FI178" s="56"/>
      <c r="FJ178" s="55"/>
      <c r="FK178" s="54"/>
      <c r="FL178" s="55"/>
      <c r="FM178" s="59"/>
      <c r="FN178" s="55"/>
      <c r="FO178" s="59"/>
      <c r="FP178" s="55"/>
      <c r="FQ178" s="59"/>
      <c r="FR178" s="55"/>
      <c r="FS178" s="54"/>
      <c r="FT178" s="55"/>
      <c r="FU178" s="54"/>
      <c r="FV178" s="55"/>
      <c r="FW178" s="59"/>
      <c r="FX178" s="55"/>
      <c r="FY178" s="59"/>
      <c r="FZ178" s="55"/>
      <c r="GA178" s="59"/>
      <c r="GB178" s="55"/>
      <c r="GC178" s="54"/>
      <c r="GD178" s="55"/>
      <c r="GE178" s="59"/>
      <c r="GF178" s="55"/>
      <c r="GG178" s="59"/>
      <c r="GH178" s="55"/>
      <c r="GI178" s="54"/>
      <c r="GJ178" s="55"/>
      <c r="GK178" s="54"/>
      <c r="GL178" s="54"/>
      <c r="GM178" s="54"/>
      <c r="GN178" s="54"/>
      <c r="GO178" s="54"/>
      <c r="GP178" s="54"/>
      <c r="GQ178" s="54"/>
      <c r="GR178" s="54"/>
      <c r="GS178" s="54"/>
      <c r="GT178" s="54"/>
      <c r="GU178" s="54"/>
      <c r="GV178" s="54"/>
      <c r="GW178" s="54"/>
      <c r="GX178" s="54"/>
      <c r="GY178" s="54"/>
      <c r="GZ178" s="54"/>
      <c r="HA178" s="54"/>
      <c r="HB178" s="54"/>
      <c r="HC178" s="54"/>
      <c r="HD178" s="54"/>
      <c r="HE178" s="54"/>
      <c r="HF178" s="54"/>
      <c r="HG178" s="54"/>
      <c r="HH178" s="54"/>
    </row>
    <row r="179" spans="12:216" x14ac:dyDescent="0.3">
      <c r="L179" s="55"/>
      <c r="N179" s="55"/>
      <c r="P179" s="55"/>
      <c r="R179" s="55"/>
      <c r="T179" s="55"/>
      <c r="V179" s="55"/>
      <c r="W179" s="59"/>
      <c r="X179" s="55"/>
      <c r="Z179" s="55"/>
      <c r="AB179" s="55"/>
      <c r="AC179" s="59"/>
      <c r="AD179" s="55"/>
      <c r="AE179" s="59"/>
      <c r="AF179" s="55"/>
      <c r="AG179" s="59"/>
      <c r="AH179" s="55"/>
      <c r="AJ179" s="55"/>
      <c r="AL179" s="55"/>
      <c r="AM179" s="59"/>
      <c r="AN179" s="55"/>
      <c r="AO179" s="59"/>
      <c r="AP179" s="55"/>
      <c r="AQ179" s="59"/>
      <c r="AR179" s="55"/>
      <c r="AT179" s="55"/>
      <c r="AU179" s="59"/>
      <c r="AV179" s="55"/>
      <c r="AW179" s="59"/>
      <c r="AX179" s="55"/>
      <c r="AZ179" s="55"/>
      <c r="CB179" s="55"/>
      <c r="CD179" s="55"/>
      <c r="CF179" s="55"/>
      <c r="CH179" s="55"/>
      <c r="CI179" s="56"/>
      <c r="CJ179" s="55"/>
      <c r="CL179" s="55"/>
      <c r="CM179" s="56"/>
      <c r="CN179" s="55"/>
      <c r="CO179" s="59"/>
      <c r="CP179" s="55"/>
      <c r="CQ179" s="56"/>
      <c r="CR179" s="55"/>
      <c r="CT179" s="55"/>
      <c r="CU179" s="59"/>
      <c r="CV179" s="55"/>
      <c r="CW179" s="59"/>
      <c r="CX179" s="55"/>
      <c r="CY179" s="59"/>
      <c r="CZ179" s="55"/>
      <c r="DB179" s="55"/>
      <c r="DD179" s="55"/>
      <c r="DE179" s="59"/>
      <c r="DF179" s="55"/>
      <c r="DG179" s="59"/>
      <c r="DH179" s="55"/>
      <c r="DI179" s="59"/>
      <c r="DJ179" s="55"/>
      <c r="DL179" s="55"/>
      <c r="DM179" s="59"/>
      <c r="DN179" s="55"/>
      <c r="DO179" s="59"/>
      <c r="DP179" s="55"/>
      <c r="DR179" s="55"/>
      <c r="ER179" s="54"/>
      <c r="ES179" s="54"/>
      <c r="ET179" s="55"/>
      <c r="EU179" s="54"/>
      <c r="EV179" s="55"/>
      <c r="EW179" s="54"/>
      <c r="EX179" s="55"/>
      <c r="EY179" s="54"/>
      <c r="EZ179" s="55"/>
      <c r="FA179" s="56"/>
      <c r="FB179" s="55"/>
      <c r="FC179" s="54"/>
      <c r="FD179" s="55"/>
      <c r="FE179" s="56"/>
      <c r="FF179" s="55"/>
      <c r="FG179" s="59"/>
      <c r="FH179" s="55"/>
      <c r="FI179" s="56"/>
      <c r="FJ179" s="55"/>
      <c r="FK179" s="54"/>
      <c r="FL179" s="55"/>
      <c r="FM179" s="59"/>
      <c r="FN179" s="55"/>
      <c r="FO179" s="59"/>
      <c r="FP179" s="55"/>
      <c r="FQ179" s="59"/>
      <c r="FR179" s="55"/>
      <c r="FS179" s="54"/>
      <c r="FT179" s="55"/>
      <c r="FU179" s="54"/>
      <c r="FV179" s="55"/>
      <c r="FW179" s="59"/>
      <c r="FX179" s="55"/>
      <c r="FY179" s="59"/>
      <c r="FZ179" s="55"/>
      <c r="GA179" s="59"/>
      <c r="GB179" s="55"/>
      <c r="GC179" s="54"/>
      <c r="GD179" s="55"/>
      <c r="GE179" s="59"/>
      <c r="GF179" s="55"/>
      <c r="GG179" s="59"/>
      <c r="GH179" s="55"/>
      <c r="GI179" s="54"/>
      <c r="GJ179" s="55"/>
      <c r="GK179" s="54"/>
      <c r="GL179" s="54"/>
      <c r="GM179" s="54"/>
      <c r="GN179" s="54"/>
      <c r="GO179" s="54"/>
      <c r="GP179" s="54"/>
      <c r="GQ179" s="54"/>
      <c r="GR179" s="54"/>
      <c r="GS179" s="54"/>
      <c r="GT179" s="54"/>
      <c r="GU179" s="54"/>
      <c r="GV179" s="54"/>
      <c r="GW179" s="54"/>
      <c r="GX179" s="54"/>
      <c r="GY179" s="54"/>
      <c r="GZ179" s="54"/>
      <c r="HA179" s="54"/>
      <c r="HB179" s="54"/>
      <c r="HC179" s="54"/>
      <c r="HD179" s="54"/>
      <c r="HE179" s="54"/>
      <c r="HF179" s="54"/>
      <c r="HG179" s="54"/>
      <c r="HH179" s="54"/>
    </row>
    <row r="180" spans="12:216" x14ac:dyDescent="0.3">
      <c r="L180" s="55"/>
      <c r="N180" s="55"/>
      <c r="P180" s="55"/>
      <c r="R180" s="55"/>
      <c r="T180" s="55"/>
      <c r="V180" s="55"/>
      <c r="W180" s="59"/>
      <c r="X180" s="55"/>
      <c r="Z180" s="55"/>
      <c r="AB180" s="55"/>
      <c r="AC180" s="59"/>
      <c r="AD180" s="55"/>
      <c r="AE180" s="59"/>
      <c r="AF180" s="55"/>
      <c r="AG180" s="59"/>
      <c r="AH180" s="55"/>
      <c r="AJ180" s="55"/>
      <c r="AL180" s="55"/>
      <c r="AM180" s="59"/>
      <c r="AN180" s="55"/>
      <c r="AO180" s="59"/>
      <c r="AP180" s="55"/>
      <c r="AQ180" s="59"/>
      <c r="AR180" s="55"/>
      <c r="AT180" s="55"/>
      <c r="AU180" s="59"/>
      <c r="AV180" s="55"/>
      <c r="AW180" s="59"/>
      <c r="AX180" s="55"/>
      <c r="AZ180" s="55"/>
      <c r="CB180" s="55"/>
      <c r="CD180" s="55"/>
      <c r="CF180" s="55"/>
      <c r="CH180" s="55"/>
      <c r="CI180" s="56"/>
      <c r="CJ180" s="55"/>
      <c r="CL180" s="55"/>
      <c r="CM180" s="56"/>
      <c r="CN180" s="55"/>
      <c r="CO180" s="59"/>
      <c r="CP180" s="55"/>
      <c r="CQ180" s="56"/>
      <c r="CR180" s="55"/>
      <c r="CT180" s="55"/>
      <c r="CU180" s="59"/>
      <c r="CV180" s="55"/>
      <c r="CW180" s="59"/>
      <c r="CX180" s="55"/>
      <c r="CY180" s="59"/>
      <c r="CZ180" s="55"/>
      <c r="DB180" s="55"/>
      <c r="DD180" s="55"/>
      <c r="DE180" s="59"/>
      <c r="DF180" s="55"/>
      <c r="DG180" s="59"/>
      <c r="DH180" s="55"/>
      <c r="DI180" s="59"/>
      <c r="DJ180" s="55"/>
      <c r="DL180" s="55"/>
      <c r="DM180" s="59"/>
      <c r="DN180" s="55"/>
      <c r="DO180" s="59"/>
      <c r="DP180" s="55"/>
      <c r="DR180" s="55"/>
      <c r="ER180" s="54"/>
      <c r="ES180" s="54"/>
      <c r="ET180" s="55"/>
      <c r="EU180" s="54"/>
      <c r="EV180" s="55"/>
      <c r="EW180" s="54"/>
      <c r="EX180" s="55"/>
      <c r="EY180" s="54"/>
      <c r="EZ180" s="55"/>
      <c r="FA180" s="56"/>
      <c r="FB180" s="55"/>
      <c r="FC180" s="54"/>
      <c r="FD180" s="55"/>
      <c r="FE180" s="56"/>
      <c r="FF180" s="55"/>
      <c r="FG180" s="59"/>
      <c r="FH180" s="55"/>
      <c r="FI180" s="56"/>
      <c r="FJ180" s="55"/>
      <c r="FK180" s="54"/>
      <c r="FL180" s="55"/>
      <c r="FM180" s="59"/>
      <c r="FN180" s="55"/>
      <c r="FO180" s="59"/>
      <c r="FP180" s="55"/>
      <c r="FQ180" s="59"/>
      <c r="FR180" s="55"/>
      <c r="FS180" s="54"/>
      <c r="FT180" s="55"/>
      <c r="FU180" s="54"/>
      <c r="FV180" s="55"/>
      <c r="FW180" s="59"/>
      <c r="FX180" s="55"/>
      <c r="FY180" s="59"/>
      <c r="FZ180" s="55"/>
      <c r="GA180" s="59"/>
      <c r="GB180" s="55"/>
      <c r="GC180" s="54"/>
      <c r="GD180" s="55"/>
      <c r="GE180" s="59"/>
      <c r="GF180" s="55"/>
      <c r="GG180" s="59"/>
      <c r="GH180" s="55"/>
      <c r="GI180" s="54"/>
      <c r="GJ180" s="55"/>
      <c r="GK180" s="54"/>
      <c r="GL180" s="54"/>
      <c r="GM180" s="54"/>
      <c r="GN180" s="54"/>
      <c r="GO180" s="54"/>
      <c r="GP180" s="54"/>
      <c r="GQ180" s="54"/>
      <c r="GR180" s="54"/>
      <c r="GS180" s="54"/>
      <c r="GT180" s="54"/>
      <c r="GU180" s="54"/>
      <c r="GV180" s="54"/>
      <c r="GW180" s="54"/>
      <c r="GX180" s="54"/>
      <c r="GY180" s="54"/>
      <c r="GZ180" s="54"/>
      <c r="HA180" s="54"/>
      <c r="HB180" s="54"/>
      <c r="HC180" s="54"/>
      <c r="HD180" s="54"/>
      <c r="HE180" s="54"/>
      <c r="HF180" s="54"/>
      <c r="HG180" s="54"/>
      <c r="HH180" s="54"/>
    </row>
    <row r="181" spans="12:216" x14ac:dyDescent="0.3">
      <c r="L181" s="55"/>
      <c r="N181" s="55"/>
      <c r="P181" s="55"/>
      <c r="R181" s="55"/>
      <c r="T181" s="55"/>
      <c r="V181" s="55"/>
      <c r="W181" s="59"/>
      <c r="X181" s="55"/>
      <c r="Z181" s="55"/>
      <c r="AB181" s="55"/>
      <c r="AC181" s="59"/>
      <c r="AD181" s="55"/>
      <c r="AE181" s="59"/>
      <c r="AF181" s="55"/>
      <c r="AG181" s="59"/>
      <c r="AH181" s="55"/>
      <c r="AJ181" s="55"/>
      <c r="AL181" s="55"/>
      <c r="AM181" s="59"/>
      <c r="AN181" s="55"/>
      <c r="AO181" s="59"/>
      <c r="AP181" s="55"/>
      <c r="AQ181" s="59"/>
      <c r="AR181" s="55"/>
      <c r="AT181" s="55"/>
      <c r="AU181" s="59"/>
      <c r="AV181" s="55"/>
      <c r="AW181" s="59"/>
      <c r="AX181" s="55"/>
      <c r="AZ181" s="55"/>
      <c r="CB181" s="55"/>
      <c r="CD181" s="55"/>
      <c r="CF181" s="55"/>
      <c r="CH181" s="55"/>
      <c r="CI181" s="56"/>
      <c r="CJ181" s="55"/>
      <c r="CL181" s="55"/>
      <c r="CM181" s="56"/>
      <c r="CN181" s="55"/>
      <c r="CO181" s="59"/>
      <c r="CP181" s="55"/>
      <c r="CQ181" s="56"/>
      <c r="CR181" s="55"/>
      <c r="CT181" s="55"/>
      <c r="CU181" s="59"/>
      <c r="CV181" s="55"/>
      <c r="CW181" s="59"/>
      <c r="CX181" s="55"/>
      <c r="CY181" s="59"/>
      <c r="CZ181" s="55"/>
      <c r="DB181" s="55"/>
      <c r="DD181" s="55"/>
      <c r="DE181" s="59"/>
      <c r="DF181" s="55"/>
      <c r="DG181" s="59"/>
      <c r="DH181" s="55"/>
      <c r="DI181" s="59"/>
      <c r="DJ181" s="55"/>
      <c r="DL181" s="55"/>
      <c r="DM181" s="59"/>
      <c r="DN181" s="55"/>
      <c r="DO181" s="59"/>
      <c r="DP181" s="55"/>
      <c r="DR181" s="55"/>
      <c r="ER181" s="54"/>
      <c r="ES181" s="54"/>
      <c r="ET181" s="55"/>
      <c r="EU181" s="54"/>
      <c r="EV181" s="55"/>
      <c r="EW181" s="54"/>
      <c r="EX181" s="55"/>
      <c r="EY181" s="54"/>
      <c r="EZ181" s="55"/>
      <c r="FA181" s="56"/>
      <c r="FB181" s="55"/>
      <c r="FC181" s="54"/>
      <c r="FD181" s="55"/>
      <c r="FE181" s="56"/>
      <c r="FF181" s="55"/>
      <c r="FG181" s="59"/>
      <c r="FH181" s="55"/>
      <c r="FI181" s="56"/>
      <c r="FJ181" s="55"/>
      <c r="FK181" s="54"/>
      <c r="FL181" s="55"/>
      <c r="FM181" s="59"/>
      <c r="FN181" s="55"/>
      <c r="FO181" s="59"/>
      <c r="FP181" s="55"/>
      <c r="FQ181" s="59"/>
      <c r="FR181" s="55"/>
      <c r="FS181" s="54"/>
      <c r="FT181" s="55"/>
      <c r="FU181" s="54"/>
      <c r="FV181" s="55"/>
      <c r="FW181" s="59"/>
      <c r="FX181" s="55"/>
      <c r="FY181" s="59"/>
      <c r="FZ181" s="55"/>
      <c r="GA181" s="59"/>
      <c r="GB181" s="55"/>
      <c r="GC181" s="54"/>
      <c r="GD181" s="55"/>
      <c r="GE181" s="59"/>
      <c r="GF181" s="55"/>
      <c r="GG181" s="59"/>
      <c r="GH181" s="55"/>
      <c r="GI181" s="54"/>
      <c r="GJ181" s="55"/>
      <c r="GK181" s="54"/>
      <c r="GL181" s="54"/>
      <c r="GM181" s="54"/>
      <c r="GN181" s="54"/>
      <c r="GO181" s="54"/>
      <c r="GP181" s="54"/>
      <c r="GQ181" s="54"/>
      <c r="GR181" s="54"/>
      <c r="GS181" s="54"/>
      <c r="GT181" s="54"/>
      <c r="GU181" s="54"/>
      <c r="GV181" s="54"/>
      <c r="GW181" s="54"/>
      <c r="GX181" s="54"/>
      <c r="GY181" s="54"/>
      <c r="GZ181" s="54"/>
      <c r="HA181" s="54"/>
      <c r="HB181" s="54"/>
      <c r="HC181" s="54"/>
      <c r="HD181" s="54"/>
      <c r="HE181" s="54"/>
      <c r="HF181" s="54"/>
      <c r="HG181" s="54"/>
      <c r="HH181" s="54"/>
    </row>
    <row r="182" spans="12:216" x14ac:dyDescent="0.3">
      <c r="L182" s="55"/>
      <c r="N182" s="55"/>
      <c r="P182" s="55"/>
      <c r="R182" s="55"/>
      <c r="T182" s="55"/>
      <c r="V182" s="55"/>
      <c r="W182" s="59"/>
      <c r="X182" s="55"/>
      <c r="Z182" s="55"/>
      <c r="AB182" s="55"/>
      <c r="AC182" s="59"/>
      <c r="AD182" s="55"/>
      <c r="AE182" s="59"/>
      <c r="AF182" s="55"/>
      <c r="AG182" s="59"/>
      <c r="AH182" s="55"/>
      <c r="AJ182" s="55"/>
      <c r="AL182" s="55"/>
      <c r="AM182" s="59"/>
      <c r="AN182" s="55"/>
      <c r="AO182" s="59"/>
      <c r="AP182" s="55"/>
      <c r="AQ182" s="59"/>
      <c r="AR182" s="55"/>
      <c r="AT182" s="55"/>
      <c r="AU182" s="59"/>
      <c r="AV182" s="55"/>
      <c r="AW182" s="59"/>
      <c r="AX182" s="55"/>
      <c r="AZ182" s="55"/>
      <c r="CB182" s="55"/>
      <c r="CD182" s="55"/>
      <c r="CF182" s="55"/>
      <c r="CH182" s="55"/>
      <c r="CI182" s="56"/>
      <c r="CJ182" s="55"/>
      <c r="CL182" s="55"/>
      <c r="CM182" s="56"/>
      <c r="CN182" s="55"/>
      <c r="CO182" s="59"/>
      <c r="CP182" s="55"/>
      <c r="CQ182" s="56"/>
      <c r="CR182" s="55"/>
      <c r="CT182" s="55"/>
      <c r="CU182" s="59"/>
      <c r="CV182" s="55"/>
      <c r="CW182" s="59"/>
      <c r="CX182" s="55"/>
      <c r="CY182" s="59"/>
      <c r="CZ182" s="55"/>
      <c r="DB182" s="55"/>
      <c r="DD182" s="55"/>
      <c r="DE182" s="59"/>
      <c r="DF182" s="55"/>
      <c r="DG182" s="59"/>
      <c r="DH182" s="55"/>
      <c r="DI182" s="59"/>
      <c r="DJ182" s="55"/>
      <c r="DL182" s="55"/>
      <c r="DM182" s="59"/>
      <c r="DN182" s="55"/>
      <c r="DO182" s="59"/>
      <c r="DP182" s="55"/>
      <c r="DR182" s="55"/>
      <c r="ER182" s="54"/>
      <c r="ES182" s="54"/>
      <c r="ET182" s="55"/>
      <c r="EU182" s="54"/>
      <c r="EV182" s="55"/>
      <c r="EW182" s="54"/>
      <c r="EX182" s="55"/>
      <c r="EY182" s="54"/>
      <c r="EZ182" s="55"/>
      <c r="FA182" s="56"/>
      <c r="FB182" s="55"/>
      <c r="FC182" s="54"/>
      <c r="FD182" s="55"/>
      <c r="FE182" s="56"/>
      <c r="FF182" s="55"/>
      <c r="FG182" s="59"/>
      <c r="FH182" s="55"/>
      <c r="FI182" s="56"/>
      <c r="FJ182" s="55"/>
      <c r="FK182" s="54"/>
      <c r="FL182" s="55"/>
      <c r="FM182" s="59"/>
      <c r="FN182" s="55"/>
      <c r="FO182" s="59"/>
      <c r="FP182" s="55"/>
      <c r="FQ182" s="59"/>
      <c r="FR182" s="55"/>
      <c r="FS182" s="54"/>
      <c r="FT182" s="55"/>
      <c r="FU182" s="54"/>
      <c r="FV182" s="55"/>
      <c r="FW182" s="59"/>
      <c r="FX182" s="55"/>
      <c r="FY182" s="59"/>
      <c r="FZ182" s="55"/>
      <c r="GA182" s="59"/>
      <c r="GB182" s="55"/>
      <c r="GC182" s="54"/>
      <c r="GD182" s="55"/>
      <c r="GE182" s="59"/>
      <c r="GF182" s="55"/>
      <c r="GG182" s="59"/>
      <c r="GH182" s="55"/>
      <c r="GI182" s="54"/>
      <c r="GJ182" s="55"/>
      <c r="GK182" s="54"/>
      <c r="GL182" s="54"/>
      <c r="GM182" s="54"/>
      <c r="GN182" s="54"/>
      <c r="GO182" s="54"/>
      <c r="GP182" s="54"/>
      <c r="GQ182" s="54"/>
      <c r="GR182" s="54"/>
      <c r="GS182" s="54"/>
      <c r="GT182" s="54"/>
      <c r="GU182" s="54"/>
      <c r="GV182" s="54"/>
      <c r="GW182" s="54"/>
      <c r="GX182" s="54"/>
      <c r="GY182" s="54"/>
      <c r="GZ182" s="54"/>
      <c r="HA182" s="54"/>
      <c r="HB182" s="54"/>
      <c r="HC182" s="54"/>
      <c r="HD182" s="54"/>
      <c r="HE182" s="54"/>
      <c r="HF182" s="54"/>
      <c r="HG182" s="54"/>
      <c r="HH182" s="54"/>
    </row>
    <row r="183" spans="12:216" x14ac:dyDescent="0.3">
      <c r="L183" s="55"/>
      <c r="N183" s="55"/>
      <c r="P183" s="55"/>
      <c r="R183" s="55"/>
      <c r="T183" s="55"/>
      <c r="V183" s="55"/>
      <c r="W183" s="59"/>
      <c r="X183" s="55"/>
      <c r="Z183" s="55"/>
      <c r="AB183" s="55"/>
      <c r="AC183" s="59"/>
      <c r="AD183" s="55"/>
      <c r="AE183" s="59"/>
      <c r="AF183" s="55"/>
      <c r="AG183" s="59"/>
      <c r="AH183" s="55"/>
      <c r="AJ183" s="55"/>
      <c r="AL183" s="55"/>
      <c r="AM183" s="59"/>
      <c r="AN183" s="55"/>
      <c r="AO183" s="59"/>
      <c r="AP183" s="55"/>
      <c r="AQ183" s="59"/>
      <c r="AR183" s="55"/>
      <c r="AT183" s="55"/>
      <c r="AU183" s="59"/>
      <c r="AV183" s="55"/>
      <c r="AW183" s="59"/>
      <c r="AX183" s="55"/>
      <c r="AZ183" s="55"/>
      <c r="CB183" s="55"/>
      <c r="CD183" s="55"/>
      <c r="CF183" s="55"/>
      <c r="CH183" s="55"/>
      <c r="CI183" s="56"/>
      <c r="CJ183" s="55"/>
      <c r="CL183" s="55"/>
      <c r="CM183" s="56"/>
      <c r="CN183" s="55"/>
      <c r="CO183" s="59"/>
      <c r="CP183" s="55"/>
      <c r="CQ183" s="56"/>
      <c r="CR183" s="55"/>
      <c r="CT183" s="55"/>
      <c r="CU183" s="59"/>
      <c r="CV183" s="55"/>
      <c r="CW183" s="59"/>
      <c r="CX183" s="55"/>
      <c r="CY183" s="59"/>
      <c r="CZ183" s="55"/>
      <c r="DB183" s="55"/>
      <c r="DD183" s="55"/>
      <c r="DE183" s="59"/>
      <c r="DF183" s="55"/>
      <c r="DG183" s="59"/>
      <c r="DH183" s="55"/>
      <c r="DI183" s="59"/>
      <c r="DJ183" s="55"/>
      <c r="DL183" s="55"/>
      <c r="DM183" s="59"/>
      <c r="DN183" s="55"/>
      <c r="DO183" s="59"/>
      <c r="DP183" s="55"/>
      <c r="DR183" s="55"/>
      <c r="ER183" s="54"/>
      <c r="ES183" s="54"/>
      <c r="ET183" s="55"/>
      <c r="EU183" s="54"/>
      <c r="EV183" s="55"/>
      <c r="EW183" s="54"/>
      <c r="EX183" s="55"/>
      <c r="EY183" s="54"/>
      <c r="EZ183" s="55"/>
      <c r="FA183" s="56"/>
      <c r="FB183" s="55"/>
      <c r="FC183" s="54"/>
      <c r="FD183" s="55"/>
      <c r="FE183" s="56"/>
      <c r="FF183" s="55"/>
      <c r="FG183" s="59"/>
      <c r="FH183" s="55"/>
      <c r="FI183" s="56"/>
      <c r="FJ183" s="55"/>
      <c r="FK183" s="54"/>
      <c r="FL183" s="55"/>
      <c r="FM183" s="59"/>
      <c r="FN183" s="55"/>
      <c r="FO183" s="59"/>
      <c r="FP183" s="55"/>
      <c r="FQ183" s="59"/>
      <c r="FR183" s="55"/>
      <c r="FS183" s="54"/>
      <c r="FT183" s="55"/>
      <c r="FU183" s="54"/>
      <c r="FV183" s="55"/>
      <c r="FW183" s="59"/>
      <c r="FX183" s="55"/>
      <c r="FY183" s="59"/>
      <c r="FZ183" s="55"/>
      <c r="GA183" s="59"/>
      <c r="GB183" s="55"/>
      <c r="GC183" s="54"/>
      <c r="GD183" s="55"/>
      <c r="GE183" s="59"/>
      <c r="GF183" s="55"/>
      <c r="GG183" s="59"/>
      <c r="GH183" s="55"/>
      <c r="GI183" s="54"/>
      <c r="GJ183" s="55"/>
      <c r="GK183" s="54"/>
      <c r="GL183" s="54"/>
      <c r="GM183" s="54"/>
      <c r="GN183" s="54"/>
      <c r="GO183" s="54"/>
      <c r="GP183" s="54"/>
      <c r="GQ183" s="54"/>
      <c r="GR183" s="54"/>
      <c r="GS183" s="54"/>
      <c r="GT183" s="54"/>
      <c r="GU183" s="54"/>
      <c r="GV183" s="54"/>
      <c r="GW183" s="54"/>
      <c r="GX183" s="54"/>
      <c r="GY183" s="54"/>
      <c r="GZ183" s="54"/>
      <c r="HA183" s="54"/>
      <c r="HB183" s="54"/>
      <c r="HC183" s="54"/>
      <c r="HD183" s="54"/>
      <c r="HE183" s="54"/>
      <c r="HF183" s="54"/>
      <c r="HG183" s="54"/>
      <c r="HH183" s="54"/>
    </row>
    <row r="184" spans="12:216" x14ac:dyDescent="0.3">
      <c r="L184" s="55"/>
      <c r="N184" s="55"/>
      <c r="P184" s="55"/>
      <c r="R184" s="55"/>
      <c r="T184" s="55"/>
      <c r="V184" s="55"/>
      <c r="W184" s="59"/>
      <c r="X184" s="55"/>
      <c r="Z184" s="55"/>
      <c r="AB184" s="55"/>
      <c r="AC184" s="59"/>
      <c r="AD184" s="55"/>
      <c r="AE184" s="59"/>
      <c r="AF184" s="55"/>
      <c r="AG184" s="59"/>
      <c r="AH184" s="55"/>
      <c r="AJ184" s="55"/>
      <c r="AL184" s="55"/>
      <c r="AM184" s="59"/>
      <c r="AN184" s="55"/>
      <c r="AO184" s="59"/>
      <c r="AP184" s="55"/>
      <c r="AQ184" s="59"/>
      <c r="AR184" s="55"/>
      <c r="AT184" s="55"/>
      <c r="AU184" s="59"/>
      <c r="AV184" s="55"/>
      <c r="AW184" s="59"/>
      <c r="AX184" s="55"/>
      <c r="AZ184" s="55"/>
      <c r="CB184" s="55"/>
      <c r="CD184" s="55"/>
      <c r="CF184" s="55"/>
      <c r="CH184" s="55"/>
      <c r="CI184" s="56"/>
      <c r="CJ184" s="55"/>
      <c r="CL184" s="55"/>
      <c r="CM184" s="56"/>
      <c r="CN184" s="55"/>
      <c r="CO184" s="59"/>
      <c r="CP184" s="55"/>
      <c r="CQ184" s="56"/>
      <c r="CR184" s="55"/>
      <c r="CT184" s="55"/>
      <c r="CU184" s="59"/>
      <c r="CV184" s="55"/>
      <c r="CW184" s="59"/>
      <c r="CX184" s="55"/>
      <c r="CY184" s="59"/>
      <c r="CZ184" s="55"/>
      <c r="DB184" s="55"/>
      <c r="DD184" s="55"/>
      <c r="DE184" s="59"/>
      <c r="DF184" s="55"/>
      <c r="DG184" s="59"/>
      <c r="DH184" s="55"/>
      <c r="DI184" s="59"/>
      <c r="DJ184" s="55"/>
      <c r="DL184" s="55"/>
      <c r="DM184" s="59"/>
      <c r="DN184" s="55"/>
      <c r="DO184" s="59"/>
      <c r="DP184" s="55"/>
      <c r="DR184" s="55"/>
      <c r="ER184" s="54"/>
      <c r="ES184" s="54"/>
      <c r="ET184" s="55"/>
      <c r="EU184" s="54"/>
      <c r="EV184" s="55"/>
      <c r="EW184" s="54"/>
      <c r="EX184" s="55"/>
      <c r="EY184" s="54"/>
      <c r="EZ184" s="55"/>
      <c r="FA184" s="56"/>
      <c r="FB184" s="55"/>
      <c r="FC184" s="54"/>
      <c r="FD184" s="55"/>
      <c r="FE184" s="56"/>
      <c r="FF184" s="55"/>
      <c r="FG184" s="59"/>
      <c r="FH184" s="55"/>
      <c r="FI184" s="56"/>
      <c r="FJ184" s="55"/>
      <c r="FK184" s="54"/>
      <c r="FL184" s="55"/>
      <c r="FM184" s="59"/>
      <c r="FN184" s="55"/>
      <c r="FO184" s="59"/>
      <c r="FP184" s="55"/>
      <c r="FQ184" s="59"/>
      <c r="FR184" s="55"/>
      <c r="FS184" s="54"/>
      <c r="FT184" s="55"/>
      <c r="FU184" s="54"/>
      <c r="FV184" s="55"/>
      <c r="FW184" s="59"/>
      <c r="FX184" s="55"/>
      <c r="FY184" s="59"/>
      <c r="FZ184" s="55"/>
      <c r="GA184" s="59"/>
      <c r="GB184" s="55"/>
      <c r="GC184" s="54"/>
      <c r="GD184" s="55"/>
      <c r="GE184" s="59"/>
      <c r="GF184" s="55"/>
      <c r="GG184" s="59"/>
      <c r="GH184" s="55"/>
      <c r="GI184" s="54"/>
      <c r="GJ184" s="55"/>
      <c r="GK184" s="54"/>
      <c r="GL184" s="54"/>
      <c r="GM184" s="54"/>
      <c r="GN184" s="54"/>
      <c r="GO184" s="54"/>
      <c r="GP184" s="54"/>
      <c r="GQ184" s="54"/>
      <c r="GR184" s="54"/>
      <c r="GS184" s="54"/>
      <c r="GT184" s="54"/>
      <c r="GU184" s="54"/>
      <c r="GV184" s="54"/>
      <c r="GW184" s="54"/>
      <c r="GX184" s="54"/>
      <c r="GY184" s="54"/>
      <c r="GZ184" s="54"/>
      <c r="HA184" s="54"/>
      <c r="HB184" s="54"/>
      <c r="HC184" s="54"/>
      <c r="HD184" s="54"/>
      <c r="HE184" s="54"/>
      <c r="HF184" s="54"/>
      <c r="HG184" s="54"/>
      <c r="HH184" s="54"/>
    </row>
    <row r="185" spans="12:216" x14ac:dyDescent="0.3">
      <c r="L185" s="55"/>
      <c r="N185" s="55"/>
      <c r="P185" s="55"/>
      <c r="R185" s="55"/>
      <c r="T185" s="55"/>
      <c r="V185" s="55"/>
      <c r="W185" s="59"/>
      <c r="X185" s="55"/>
      <c r="Z185" s="55"/>
      <c r="AB185" s="55"/>
      <c r="AC185" s="59"/>
      <c r="AD185" s="55"/>
      <c r="AE185" s="59"/>
      <c r="AF185" s="55"/>
      <c r="AG185" s="59"/>
      <c r="AH185" s="55"/>
      <c r="AJ185" s="55"/>
      <c r="AL185" s="55"/>
      <c r="AM185" s="59"/>
      <c r="AN185" s="55"/>
      <c r="AO185" s="59"/>
      <c r="AP185" s="55"/>
      <c r="AQ185" s="59"/>
      <c r="AR185" s="55"/>
      <c r="AT185" s="55"/>
      <c r="AU185" s="59"/>
      <c r="AV185" s="55"/>
      <c r="AW185" s="59"/>
      <c r="AX185" s="55"/>
      <c r="AZ185" s="55"/>
      <c r="CB185" s="55"/>
      <c r="CD185" s="55"/>
      <c r="CF185" s="55"/>
      <c r="CH185" s="55"/>
      <c r="CI185" s="56"/>
      <c r="CJ185" s="55"/>
      <c r="CL185" s="55"/>
      <c r="CM185" s="56"/>
      <c r="CN185" s="55"/>
      <c r="CO185" s="59"/>
      <c r="CP185" s="55"/>
      <c r="CQ185" s="56"/>
      <c r="CR185" s="55"/>
      <c r="CT185" s="55"/>
      <c r="CU185" s="59"/>
      <c r="CV185" s="55"/>
      <c r="CW185" s="59"/>
      <c r="CX185" s="55"/>
      <c r="CY185" s="59"/>
      <c r="CZ185" s="55"/>
      <c r="DB185" s="55"/>
      <c r="DD185" s="55"/>
      <c r="DE185" s="59"/>
      <c r="DF185" s="55"/>
      <c r="DG185" s="59"/>
      <c r="DH185" s="55"/>
      <c r="DI185" s="59"/>
      <c r="DJ185" s="55"/>
      <c r="DL185" s="55"/>
      <c r="DM185" s="59"/>
      <c r="DN185" s="55"/>
      <c r="DO185" s="59"/>
      <c r="DP185" s="55"/>
      <c r="DR185" s="55"/>
    </row>
    <row r="186" spans="12:216" x14ac:dyDescent="0.3">
      <c r="L186" s="55"/>
      <c r="N186" s="55"/>
      <c r="P186" s="55"/>
      <c r="R186" s="55"/>
      <c r="T186" s="55"/>
      <c r="V186" s="55"/>
      <c r="W186" s="59"/>
      <c r="X186" s="55"/>
      <c r="Z186" s="55"/>
      <c r="AB186" s="55"/>
      <c r="AC186" s="59"/>
      <c r="AD186" s="55"/>
      <c r="AE186" s="59"/>
      <c r="AF186" s="55"/>
      <c r="AG186" s="59"/>
      <c r="AH186" s="55"/>
      <c r="AJ186" s="55"/>
      <c r="AL186" s="55"/>
      <c r="AM186" s="59"/>
      <c r="AN186" s="55"/>
      <c r="AP186" s="55"/>
      <c r="AQ186" s="59"/>
      <c r="AR186" s="55"/>
      <c r="AT186" s="55"/>
      <c r="AU186" s="59"/>
      <c r="AV186" s="55"/>
      <c r="AW186" s="59"/>
      <c r="AX186" s="55"/>
      <c r="AZ186" s="55"/>
      <c r="CB186" s="55"/>
      <c r="CD186" s="55"/>
      <c r="CF186" s="55"/>
      <c r="CH186" s="55"/>
      <c r="CI186" s="56"/>
      <c r="CJ186" s="55"/>
      <c r="CL186" s="55"/>
      <c r="CM186" s="56"/>
      <c r="CN186" s="55"/>
      <c r="CO186" s="59"/>
      <c r="CP186" s="55"/>
      <c r="CQ186" s="56"/>
      <c r="CR186" s="55"/>
      <c r="CT186" s="55"/>
      <c r="CU186" s="59"/>
      <c r="CV186" s="55"/>
      <c r="CW186" s="59"/>
      <c r="CX186" s="55"/>
      <c r="CY186" s="59"/>
      <c r="CZ186" s="55"/>
      <c r="DB186" s="55"/>
      <c r="DD186" s="55"/>
      <c r="DE186" s="59"/>
      <c r="DF186" s="55"/>
      <c r="DH186" s="55"/>
      <c r="DI186" s="59"/>
      <c r="DJ186" s="55"/>
      <c r="DL186" s="55"/>
      <c r="DM186" s="59"/>
      <c r="DN186" s="55"/>
      <c r="DO186" s="59"/>
      <c r="DP186" s="55"/>
      <c r="DR186" s="55"/>
    </row>
    <row r="187" spans="12:216" x14ac:dyDescent="0.3">
      <c r="L187" s="55"/>
      <c r="N187" s="55"/>
      <c r="P187" s="55"/>
      <c r="R187" s="55"/>
      <c r="T187" s="55"/>
      <c r="V187" s="55"/>
      <c r="W187" s="59"/>
      <c r="X187" s="55"/>
      <c r="Z187" s="55"/>
      <c r="AB187" s="55"/>
      <c r="AC187" s="59"/>
      <c r="AD187" s="55"/>
      <c r="AE187" s="59"/>
      <c r="AF187" s="55"/>
      <c r="AG187" s="59"/>
      <c r="AH187" s="55"/>
      <c r="AJ187" s="55"/>
      <c r="AL187" s="55"/>
      <c r="AM187" s="59"/>
      <c r="AN187" s="55"/>
      <c r="AP187" s="55"/>
      <c r="AQ187" s="59"/>
      <c r="AR187" s="55"/>
      <c r="AT187" s="55"/>
      <c r="AU187" s="59"/>
      <c r="AV187" s="55"/>
      <c r="AW187" s="59"/>
      <c r="AX187" s="55"/>
      <c r="AZ187" s="55"/>
      <c r="CB187" s="55"/>
      <c r="CD187" s="55"/>
      <c r="CF187" s="55"/>
      <c r="CH187" s="55"/>
      <c r="CI187" s="56"/>
      <c r="CJ187" s="55"/>
      <c r="CL187" s="55"/>
      <c r="CM187" s="56"/>
      <c r="CN187" s="55"/>
      <c r="CO187" s="59"/>
      <c r="CP187" s="55"/>
      <c r="CQ187" s="56"/>
      <c r="CR187" s="55"/>
      <c r="CT187" s="55"/>
      <c r="CU187" s="59"/>
      <c r="CV187" s="55"/>
      <c r="CW187" s="59"/>
      <c r="CX187" s="55"/>
      <c r="CY187" s="59"/>
      <c r="CZ187" s="55"/>
      <c r="DB187" s="55"/>
      <c r="DD187" s="55"/>
      <c r="DE187" s="59"/>
      <c r="DF187" s="55"/>
      <c r="DH187" s="55"/>
      <c r="DI187" s="59"/>
      <c r="DJ187" s="55"/>
      <c r="DL187" s="55"/>
      <c r="DM187" s="59"/>
      <c r="DN187" s="55"/>
      <c r="DO187" s="59"/>
      <c r="DP187" s="55"/>
      <c r="DR187" s="55"/>
    </row>
    <row r="188" spans="12:216" x14ac:dyDescent="0.3">
      <c r="L188" s="55"/>
      <c r="N188" s="55"/>
      <c r="P188" s="55"/>
      <c r="R188" s="55"/>
      <c r="T188" s="55"/>
      <c r="V188" s="55"/>
      <c r="W188" s="59"/>
      <c r="X188" s="55"/>
      <c r="Z188" s="55"/>
      <c r="AB188" s="55"/>
      <c r="AC188" s="59"/>
      <c r="AD188" s="55"/>
      <c r="AE188" s="59"/>
      <c r="AF188" s="55"/>
      <c r="AG188" s="59"/>
      <c r="AH188" s="55"/>
      <c r="AJ188" s="55"/>
      <c r="AL188" s="55"/>
      <c r="AM188" s="59"/>
      <c r="AN188" s="55"/>
      <c r="AP188" s="55"/>
      <c r="AQ188" s="59"/>
      <c r="AR188" s="55"/>
      <c r="AT188" s="55"/>
      <c r="AU188" s="59"/>
      <c r="AV188" s="55"/>
      <c r="AW188" s="59"/>
      <c r="AX188" s="55"/>
      <c r="AZ188" s="55"/>
      <c r="CB188" s="55"/>
      <c r="CD188" s="55"/>
      <c r="CF188" s="55"/>
      <c r="CH188" s="55"/>
      <c r="CI188" s="56"/>
      <c r="CJ188" s="55"/>
      <c r="CL188" s="55"/>
      <c r="CM188" s="56"/>
      <c r="CN188" s="55"/>
      <c r="CO188" s="59"/>
      <c r="CP188" s="55"/>
      <c r="CQ188" s="56"/>
      <c r="CR188" s="55"/>
      <c r="CT188" s="55"/>
      <c r="CU188" s="59"/>
      <c r="CV188" s="55"/>
      <c r="CW188" s="59"/>
      <c r="CX188" s="55"/>
      <c r="CY188" s="59"/>
      <c r="CZ188" s="55"/>
      <c r="DB188" s="55"/>
      <c r="DD188" s="55"/>
      <c r="DE188" s="59"/>
      <c r="DF188" s="55"/>
      <c r="DH188" s="55"/>
      <c r="DI188" s="59"/>
      <c r="DJ188" s="55"/>
      <c r="DL188" s="55"/>
      <c r="DM188" s="59"/>
      <c r="DN188" s="55"/>
      <c r="DO188" s="59"/>
      <c r="DP188" s="55"/>
      <c r="DR188" s="55"/>
    </row>
    <row r="189" spans="12:216" x14ac:dyDescent="0.3">
      <c r="L189" s="55"/>
      <c r="N189" s="55"/>
      <c r="P189" s="55"/>
      <c r="R189" s="55"/>
      <c r="T189" s="55"/>
      <c r="V189" s="55"/>
      <c r="W189" s="59"/>
      <c r="X189" s="55"/>
      <c r="Z189" s="55"/>
      <c r="AB189" s="55"/>
      <c r="AC189" s="59"/>
      <c r="AD189" s="55"/>
      <c r="AE189" s="59"/>
      <c r="AF189" s="55"/>
      <c r="AG189" s="59"/>
      <c r="AH189" s="55"/>
      <c r="AJ189" s="55"/>
      <c r="AL189" s="55"/>
      <c r="AM189" s="59"/>
      <c r="AN189" s="55"/>
      <c r="AP189" s="55"/>
      <c r="AQ189" s="59"/>
      <c r="AR189" s="55"/>
      <c r="AT189" s="55"/>
      <c r="AU189" s="59"/>
      <c r="AV189" s="55"/>
      <c r="AW189" s="59"/>
      <c r="AX189" s="55"/>
      <c r="AZ189" s="55"/>
      <c r="CB189" s="55"/>
      <c r="CD189" s="55"/>
      <c r="CF189" s="55"/>
      <c r="CH189" s="55"/>
      <c r="CJ189" s="55"/>
      <c r="CL189" s="55"/>
      <c r="CN189" s="55"/>
      <c r="CP189" s="55"/>
      <c r="CR189" s="55"/>
      <c r="CT189" s="55"/>
      <c r="CV189" s="55"/>
      <c r="CX189" s="55"/>
      <c r="CZ189" s="55"/>
      <c r="DB189" s="55"/>
      <c r="DD189" s="55"/>
      <c r="DF189" s="55"/>
      <c r="DH189" s="55"/>
      <c r="DJ189" s="55"/>
      <c r="DL189" s="55"/>
      <c r="DN189" s="55"/>
      <c r="DP189" s="55"/>
      <c r="DR189" s="55"/>
    </row>
    <row r="190" spans="12:216" x14ac:dyDescent="0.3">
      <c r="L190" s="55"/>
      <c r="N190" s="55"/>
      <c r="P190" s="55"/>
      <c r="R190" s="55"/>
      <c r="T190" s="55"/>
      <c r="V190" s="55"/>
      <c r="W190" s="59"/>
      <c r="X190" s="55"/>
      <c r="Z190" s="55"/>
      <c r="AB190" s="55"/>
      <c r="AC190" s="59"/>
      <c r="AD190" s="55"/>
      <c r="AE190" s="59"/>
      <c r="AF190" s="55"/>
      <c r="AH190" s="55"/>
      <c r="AJ190" s="55"/>
      <c r="AL190" s="55"/>
      <c r="AM190" s="59"/>
      <c r="AN190" s="55"/>
      <c r="AP190" s="55"/>
      <c r="AQ190" s="59"/>
      <c r="AR190" s="55"/>
      <c r="AT190" s="55"/>
      <c r="AU190" s="59"/>
      <c r="AV190" s="55"/>
      <c r="AW190" s="59"/>
      <c r="AX190" s="55"/>
      <c r="AZ190" s="55"/>
      <c r="CB190" s="55"/>
      <c r="CD190" s="55"/>
      <c r="CF190" s="55"/>
      <c r="CH190" s="55"/>
      <c r="CJ190" s="55"/>
      <c r="CL190" s="55"/>
      <c r="CN190" s="55"/>
      <c r="CP190" s="55"/>
      <c r="CR190" s="55"/>
      <c r="CT190" s="55"/>
      <c r="CV190" s="55"/>
      <c r="CX190" s="55"/>
      <c r="CZ190" s="55"/>
      <c r="DB190" s="55"/>
      <c r="DD190" s="55"/>
      <c r="DF190" s="55"/>
      <c r="DH190" s="55"/>
      <c r="DJ190" s="55"/>
      <c r="DL190" s="55"/>
      <c r="DN190" s="55"/>
      <c r="DP190" s="55"/>
      <c r="DR190" s="55"/>
    </row>
    <row r="191" spans="12:216" x14ac:dyDescent="0.3">
      <c r="L191" s="55"/>
      <c r="N191" s="55"/>
      <c r="P191" s="55"/>
      <c r="R191" s="55"/>
      <c r="T191" s="55"/>
      <c r="V191" s="55"/>
      <c r="W191" s="59"/>
      <c r="X191" s="55"/>
      <c r="Z191" s="55"/>
      <c r="AB191" s="55"/>
      <c r="AC191" s="59"/>
      <c r="AD191" s="55"/>
      <c r="AE191" s="59"/>
      <c r="AF191" s="55"/>
      <c r="AH191" s="55"/>
      <c r="AJ191" s="55"/>
      <c r="AL191" s="55"/>
      <c r="AM191" s="59"/>
      <c r="AN191" s="55"/>
      <c r="AP191" s="55"/>
      <c r="AQ191" s="59"/>
      <c r="AR191" s="55"/>
      <c r="AT191" s="55"/>
      <c r="AU191" s="59"/>
      <c r="AV191" s="55"/>
      <c r="AW191" s="59"/>
      <c r="AX191" s="55"/>
      <c r="AZ191" s="55"/>
      <c r="CB191" s="55"/>
      <c r="CD191" s="55"/>
      <c r="CF191" s="55"/>
      <c r="CH191" s="55"/>
      <c r="CJ191" s="55"/>
      <c r="CL191" s="55"/>
      <c r="CN191" s="55"/>
      <c r="CP191" s="55"/>
      <c r="CR191" s="55"/>
      <c r="CT191" s="55"/>
      <c r="CV191" s="55"/>
      <c r="CX191" s="55"/>
      <c r="CZ191" s="55"/>
      <c r="DB191" s="55"/>
      <c r="DD191" s="55"/>
      <c r="DF191" s="55"/>
      <c r="DH191" s="55"/>
      <c r="DJ191" s="55"/>
      <c r="DL191" s="55"/>
      <c r="DN191" s="55"/>
      <c r="DP191" s="55"/>
      <c r="DR191" s="55"/>
    </row>
    <row r="192" spans="12:216" x14ac:dyDescent="0.3">
      <c r="L192" s="55"/>
      <c r="N192" s="55"/>
      <c r="P192" s="55"/>
      <c r="R192" s="55"/>
      <c r="T192" s="55"/>
      <c r="V192" s="55"/>
      <c r="W192" s="59"/>
      <c r="X192" s="55"/>
      <c r="Z192" s="55"/>
      <c r="AB192" s="55"/>
      <c r="AC192" s="59"/>
      <c r="AD192" s="55"/>
      <c r="AE192" s="59"/>
      <c r="AF192" s="55"/>
      <c r="AH192" s="55"/>
      <c r="AJ192" s="55"/>
      <c r="AL192" s="55"/>
      <c r="AM192" s="59"/>
      <c r="AN192" s="55"/>
      <c r="AP192" s="55"/>
      <c r="AQ192" s="59"/>
      <c r="AR192" s="55"/>
      <c r="AT192" s="55"/>
      <c r="AU192" s="59"/>
      <c r="AV192" s="55"/>
      <c r="AW192" s="59"/>
      <c r="AX192" s="55"/>
      <c r="AZ192" s="55"/>
      <c r="CB192" s="55"/>
      <c r="CD192" s="55"/>
      <c r="CF192" s="55"/>
      <c r="CH192" s="55"/>
      <c r="CJ192" s="55"/>
      <c r="CL192" s="55"/>
      <c r="CN192" s="55"/>
      <c r="CP192" s="55"/>
      <c r="CR192" s="55"/>
      <c r="CT192" s="55"/>
      <c r="CV192" s="55"/>
      <c r="CX192" s="55"/>
      <c r="CZ192" s="55"/>
      <c r="DB192" s="55"/>
      <c r="DD192" s="55"/>
      <c r="DF192" s="55"/>
      <c r="DH192" s="55"/>
      <c r="DJ192" s="55"/>
      <c r="DL192" s="55"/>
      <c r="DN192" s="55"/>
      <c r="DP192" s="55"/>
      <c r="DR192" s="55"/>
    </row>
    <row r="193" spans="12:122" x14ac:dyDescent="0.3">
      <c r="L193" s="55"/>
      <c r="N193" s="55"/>
      <c r="P193" s="55"/>
      <c r="R193" s="55"/>
      <c r="T193" s="55"/>
      <c r="V193" s="55"/>
      <c r="W193" s="59"/>
      <c r="X193" s="55"/>
      <c r="Z193" s="55"/>
      <c r="AB193" s="55"/>
      <c r="AC193" s="59"/>
      <c r="AD193" s="55"/>
      <c r="AE193" s="59"/>
      <c r="AF193" s="55"/>
      <c r="AH193" s="55"/>
      <c r="AJ193" s="55"/>
      <c r="AL193" s="55"/>
      <c r="AM193" s="59"/>
      <c r="AN193" s="55"/>
      <c r="AP193" s="55"/>
      <c r="AQ193" s="59"/>
      <c r="AR193" s="55"/>
      <c r="AT193" s="55"/>
      <c r="AU193" s="59"/>
      <c r="AV193" s="55"/>
      <c r="AW193" s="59"/>
      <c r="AX193" s="55"/>
      <c r="AZ193" s="55"/>
      <c r="CB193" s="55"/>
      <c r="CD193" s="55"/>
      <c r="CF193" s="55"/>
      <c r="CH193" s="55"/>
      <c r="CJ193" s="55"/>
      <c r="CL193" s="55"/>
      <c r="CN193" s="55"/>
      <c r="CP193" s="55"/>
      <c r="CR193" s="55"/>
      <c r="CT193" s="55"/>
      <c r="CV193" s="55"/>
      <c r="CX193" s="55"/>
      <c r="CZ193" s="55"/>
      <c r="DB193" s="55"/>
      <c r="DD193" s="55"/>
      <c r="DF193" s="55"/>
      <c r="DH193" s="55"/>
      <c r="DJ193" s="55"/>
      <c r="DL193" s="55"/>
      <c r="DN193" s="55"/>
      <c r="DP193" s="55"/>
      <c r="DR193" s="55"/>
    </row>
    <row r="194" spans="12:122" x14ac:dyDescent="0.3">
      <c r="L194" s="55"/>
      <c r="N194" s="55"/>
      <c r="P194" s="55"/>
      <c r="R194" s="55"/>
      <c r="T194" s="55"/>
      <c r="V194" s="55"/>
      <c r="W194" s="59"/>
      <c r="X194" s="55"/>
      <c r="Z194" s="55"/>
      <c r="AB194" s="55"/>
      <c r="AC194" s="59"/>
      <c r="AD194" s="55"/>
      <c r="AE194" s="59"/>
      <c r="AF194" s="55"/>
      <c r="AH194" s="55"/>
      <c r="AJ194" s="55"/>
      <c r="AL194" s="55"/>
      <c r="AM194" s="59"/>
      <c r="AN194" s="55"/>
      <c r="AP194" s="55"/>
      <c r="AQ194" s="59"/>
      <c r="AR194" s="55"/>
      <c r="AT194" s="55"/>
      <c r="AU194" s="59"/>
      <c r="AV194" s="55"/>
      <c r="AW194" s="59"/>
      <c r="AX194" s="55"/>
      <c r="AZ194" s="55"/>
      <c r="CB194" s="55"/>
      <c r="CD194" s="55"/>
      <c r="CF194" s="55"/>
      <c r="CH194" s="55"/>
      <c r="CJ194" s="55"/>
      <c r="CL194" s="55"/>
      <c r="CN194" s="55"/>
      <c r="CP194" s="55"/>
      <c r="CR194" s="55"/>
      <c r="CT194" s="55"/>
      <c r="CV194" s="55"/>
      <c r="CX194" s="55"/>
      <c r="CZ194" s="55"/>
      <c r="DB194" s="55"/>
      <c r="DD194" s="55"/>
      <c r="DF194" s="55"/>
      <c r="DH194" s="55"/>
      <c r="DJ194" s="55"/>
      <c r="DL194" s="55"/>
      <c r="DN194" s="55"/>
      <c r="DP194" s="55"/>
      <c r="DR194" s="55"/>
    </row>
    <row r="195" spans="12:122" x14ac:dyDescent="0.3">
      <c r="L195" s="55"/>
      <c r="N195" s="55"/>
      <c r="P195" s="55"/>
      <c r="R195" s="55"/>
      <c r="T195" s="55"/>
      <c r="V195" s="55"/>
      <c r="W195" s="59"/>
      <c r="X195" s="55"/>
      <c r="Z195" s="55"/>
      <c r="AB195" s="55"/>
      <c r="AC195" s="59"/>
      <c r="AD195" s="55"/>
      <c r="AE195" s="59"/>
      <c r="AF195" s="55"/>
      <c r="AH195" s="55"/>
      <c r="AJ195" s="55"/>
      <c r="AL195" s="55"/>
      <c r="AM195" s="59"/>
      <c r="AN195" s="55"/>
      <c r="AP195" s="55"/>
      <c r="AQ195" s="59"/>
      <c r="AR195" s="55"/>
      <c r="AT195" s="55"/>
      <c r="AU195" s="59"/>
      <c r="AV195" s="55"/>
      <c r="AW195" s="59"/>
      <c r="AX195" s="55"/>
      <c r="AZ195" s="55"/>
      <c r="CB195" s="55"/>
      <c r="CD195" s="55"/>
      <c r="CF195" s="55"/>
      <c r="CH195" s="55"/>
      <c r="CJ195" s="55"/>
      <c r="CL195" s="55"/>
      <c r="CN195" s="55"/>
      <c r="CP195" s="55"/>
      <c r="CR195" s="55"/>
      <c r="CT195" s="55"/>
      <c r="CV195" s="55"/>
      <c r="CX195" s="55"/>
      <c r="CZ195" s="55"/>
      <c r="DB195" s="55"/>
      <c r="DD195" s="55"/>
      <c r="DF195" s="55"/>
      <c r="DH195" s="55"/>
      <c r="DJ195" s="55"/>
      <c r="DL195" s="55"/>
      <c r="DN195" s="55"/>
      <c r="DP195" s="55"/>
      <c r="DR195" s="55"/>
    </row>
    <row r="196" spans="12:122" x14ac:dyDescent="0.3">
      <c r="L196" s="55"/>
      <c r="N196" s="55"/>
      <c r="P196" s="55"/>
      <c r="R196" s="55"/>
      <c r="T196" s="55"/>
      <c r="V196" s="55"/>
      <c r="W196" s="59"/>
      <c r="X196" s="55"/>
      <c r="Z196" s="55"/>
      <c r="AB196" s="55"/>
      <c r="AC196" s="59"/>
      <c r="AD196" s="55"/>
      <c r="AE196" s="59"/>
      <c r="AF196" s="55"/>
      <c r="AH196" s="55"/>
      <c r="AJ196" s="55"/>
      <c r="AL196" s="55"/>
      <c r="AN196" s="55"/>
      <c r="AP196" s="55"/>
      <c r="AQ196" s="59"/>
      <c r="AR196" s="55"/>
      <c r="AT196" s="55"/>
      <c r="AU196" s="59"/>
      <c r="AV196" s="55"/>
      <c r="AW196" s="59"/>
      <c r="AX196" s="55"/>
      <c r="AZ196" s="55"/>
      <c r="CB196" s="55"/>
      <c r="CD196" s="55"/>
      <c r="CF196" s="55"/>
      <c r="CH196" s="55"/>
      <c r="CJ196" s="55"/>
      <c r="CL196" s="55"/>
      <c r="CN196" s="55"/>
      <c r="CP196" s="55"/>
      <c r="CR196" s="55"/>
      <c r="CT196" s="55"/>
      <c r="CV196" s="55"/>
      <c r="CX196" s="55"/>
      <c r="CZ196" s="55"/>
      <c r="DB196" s="55"/>
      <c r="DD196" s="55"/>
      <c r="DF196" s="55"/>
      <c r="DH196" s="55"/>
      <c r="DJ196" s="55"/>
      <c r="DL196" s="55"/>
      <c r="DN196" s="55"/>
      <c r="DP196" s="55"/>
      <c r="DR196" s="55"/>
    </row>
    <row r="197" spans="12:122" x14ac:dyDescent="0.3">
      <c r="L197" s="55"/>
      <c r="N197" s="55"/>
      <c r="P197" s="55"/>
      <c r="R197" s="55"/>
      <c r="T197" s="55"/>
      <c r="V197" s="55"/>
      <c r="W197" s="59"/>
      <c r="X197" s="55"/>
      <c r="Z197" s="55"/>
      <c r="AB197" s="55"/>
      <c r="AC197" s="59"/>
      <c r="AD197" s="55"/>
      <c r="AE197" s="59"/>
      <c r="AF197" s="55"/>
      <c r="AH197" s="55"/>
      <c r="AJ197" s="55"/>
      <c r="AL197" s="55"/>
      <c r="AN197" s="55"/>
      <c r="AP197" s="55"/>
      <c r="AQ197" s="59"/>
      <c r="AR197" s="55"/>
      <c r="AT197" s="55"/>
      <c r="AU197" s="59"/>
      <c r="AV197" s="55"/>
      <c r="AW197" s="59"/>
      <c r="AX197" s="55"/>
      <c r="AZ197" s="55"/>
      <c r="CB197" s="55"/>
      <c r="CD197" s="55"/>
      <c r="CF197" s="55"/>
      <c r="CH197" s="55"/>
      <c r="CJ197" s="55"/>
      <c r="CL197" s="55"/>
      <c r="CN197" s="55"/>
      <c r="CP197" s="55"/>
      <c r="CR197" s="55"/>
      <c r="CT197" s="55"/>
      <c r="CV197" s="55"/>
      <c r="CX197" s="55"/>
      <c r="CZ197" s="55"/>
      <c r="DB197" s="55"/>
      <c r="DD197" s="55"/>
      <c r="DF197" s="55"/>
      <c r="DH197" s="55"/>
      <c r="DJ197" s="55"/>
      <c r="DL197" s="55"/>
      <c r="DN197" s="55"/>
      <c r="DP197" s="55"/>
      <c r="DR197" s="55"/>
    </row>
    <row r="198" spans="12:122" x14ac:dyDescent="0.3">
      <c r="L198" s="55"/>
      <c r="N198" s="55"/>
      <c r="P198" s="55"/>
      <c r="R198" s="55"/>
      <c r="T198" s="55"/>
      <c r="V198" s="55"/>
      <c r="W198" s="59"/>
      <c r="X198" s="55"/>
      <c r="Z198" s="55"/>
      <c r="AB198" s="55"/>
      <c r="AC198" s="59"/>
      <c r="AD198" s="55"/>
      <c r="AE198" s="59"/>
      <c r="AF198" s="55"/>
      <c r="AH198" s="55"/>
      <c r="AJ198" s="55"/>
      <c r="AL198" s="55"/>
      <c r="AN198" s="55"/>
      <c r="AP198" s="55"/>
      <c r="AQ198" s="59"/>
      <c r="AR198" s="55"/>
      <c r="AT198" s="55"/>
      <c r="AU198" s="59"/>
      <c r="AV198" s="55"/>
      <c r="AW198" s="59"/>
      <c r="AX198" s="55"/>
      <c r="AZ198" s="55"/>
      <c r="CB198" s="55"/>
      <c r="CD198" s="55"/>
      <c r="CF198" s="55"/>
      <c r="CH198" s="55"/>
      <c r="CJ198" s="55"/>
      <c r="CL198" s="55"/>
      <c r="CN198" s="55"/>
      <c r="CP198" s="55"/>
      <c r="CR198" s="55"/>
      <c r="CT198" s="55"/>
      <c r="CV198" s="55"/>
      <c r="CX198" s="55"/>
      <c r="CZ198" s="55"/>
      <c r="DB198" s="55"/>
      <c r="DD198" s="55"/>
      <c r="DF198" s="55"/>
      <c r="DH198" s="55"/>
      <c r="DJ198" s="55"/>
      <c r="DL198" s="55"/>
      <c r="DN198" s="55"/>
      <c r="DP198" s="55"/>
      <c r="DR198" s="55"/>
    </row>
    <row r="199" spans="12:122" x14ac:dyDescent="0.3">
      <c r="L199" s="55"/>
      <c r="N199" s="55"/>
      <c r="P199" s="55"/>
      <c r="R199" s="55"/>
      <c r="T199" s="55"/>
      <c r="V199" s="55"/>
      <c r="W199" s="59"/>
      <c r="X199" s="55"/>
      <c r="Z199" s="55"/>
      <c r="AB199" s="55"/>
      <c r="AC199" s="59"/>
      <c r="AD199" s="55"/>
      <c r="AE199" s="59"/>
      <c r="AF199" s="55"/>
      <c r="AH199" s="55"/>
      <c r="AJ199" s="55"/>
      <c r="AL199" s="55"/>
      <c r="AN199" s="55"/>
      <c r="AP199" s="55"/>
      <c r="AQ199" s="59"/>
      <c r="AR199" s="55"/>
      <c r="AT199" s="55"/>
      <c r="AU199" s="59"/>
      <c r="AV199" s="55"/>
      <c r="AW199" s="59"/>
      <c r="AX199" s="55"/>
      <c r="AZ199" s="55"/>
    </row>
    <row r="200" spans="12:122" x14ac:dyDescent="0.3">
      <c r="L200" s="55"/>
      <c r="N200" s="55"/>
      <c r="P200" s="55"/>
      <c r="R200" s="55"/>
      <c r="T200" s="55"/>
      <c r="V200" s="55"/>
      <c r="W200" s="59"/>
      <c r="X200" s="55"/>
      <c r="Z200" s="55"/>
      <c r="AB200" s="55"/>
      <c r="AC200" s="59"/>
      <c r="AD200" s="55"/>
      <c r="AE200" s="59"/>
      <c r="AF200" s="55"/>
      <c r="AH200" s="55"/>
      <c r="AJ200" s="55"/>
      <c r="AL200" s="55"/>
      <c r="AN200" s="55"/>
      <c r="AP200" s="55"/>
      <c r="AQ200" s="59"/>
      <c r="AR200" s="55"/>
      <c r="AT200" s="55"/>
      <c r="AU200" s="59"/>
      <c r="AV200" s="55"/>
      <c r="AW200" s="59"/>
      <c r="AX200" s="55"/>
      <c r="AZ200" s="55"/>
    </row>
    <row r="201" spans="12:122" x14ac:dyDescent="0.3">
      <c r="L201" s="55"/>
      <c r="N201" s="55"/>
      <c r="P201" s="55"/>
      <c r="R201" s="55"/>
      <c r="T201" s="55"/>
      <c r="V201" s="55"/>
      <c r="W201" s="59"/>
      <c r="X201" s="55"/>
      <c r="Z201" s="55"/>
      <c r="AB201" s="55"/>
      <c r="AC201" s="59"/>
      <c r="AD201" s="55"/>
      <c r="AE201" s="59"/>
      <c r="AF201" s="55"/>
      <c r="AH201" s="55"/>
      <c r="AJ201" s="55"/>
      <c r="AL201" s="55"/>
      <c r="AN201" s="55"/>
      <c r="AP201" s="55"/>
      <c r="AQ201" s="59"/>
      <c r="AR201" s="55"/>
      <c r="AT201" s="55"/>
      <c r="AU201" s="59"/>
      <c r="AV201" s="55"/>
      <c r="AW201" s="59"/>
      <c r="AX201" s="55"/>
      <c r="AZ201" s="55"/>
    </row>
    <row r="202" spans="12:122" x14ac:dyDescent="0.3">
      <c r="L202" s="55"/>
      <c r="N202" s="55"/>
      <c r="P202" s="55"/>
      <c r="R202" s="55"/>
      <c r="T202" s="55"/>
      <c r="V202" s="55"/>
      <c r="W202" s="59"/>
      <c r="X202" s="55"/>
      <c r="Z202" s="55"/>
      <c r="AB202" s="55"/>
      <c r="AC202" s="59"/>
      <c r="AD202" s="55"/>
      <c r="AE202" s="59"/>
      <c r="AF202" s="55"/>
      <c r="AH202" s="55"/>
      <c r="AJ202" s="55"/>
      <c r="AL202" s="55"/>
      <c r="AN202" s="55"/>
      <c r="AP202" s="55"/>
      <c r="AQ202" s="59"/>
      <c r="AR202" s="55"/>
      <c r="AT202" s="55"/>
      <c r="AU202" s="59"/>
      <c r="AV202" s="55"/>
      <c r="AW202" s="59"/>
      <c r="AX202" s="55"/>
      <c r="AZ202" s="55"/>
    </row>
    <row r="203" spans="12:122" x14ac:dyDescent="0.3">
      <c r="L203" s="55"/>
      <c r="N203" s="55"/>
      <c r="P203" s="55"/>
      <c r="R203" s="55"/>
      <c r="T203" s="55"/>
      <c r="V203" s="55"/>
      <c r="W203" s="59"/>
      <c r="X203" s="55"/>
      <c r="Z203" s="55"/>
      <c r="AB203" s="55"/>
      <c r="AC203" s="59"/>
      <c r="AD203" s="55"/>
      <c r="AE203" s="59"/>
      <c r="AF203" s="55"/>
      <c r="AH203" s="55"/>
      <c r="AJ203" s="55"/>
      <c r="AL203" s="55"/>
      <c r="AN203" s="55"/>
      <c r="AP203" s="55"/>
      <c r="AQ203" s="59"/>
      <c r="AR203" s="55"/>
      <c r="AT203" s="55"/>
      <c r="AU203" s="59"/>
      <c r="AV203" s="55"/>
      <c r="AW203" s="59"/>
      <c r="AX203" s="55"/>
      <c r="AZ203" s="55"/>
    </row>
    <row r="204" spans="12:122" x14ac:dyDescent="0.3">
      <c r="L204" s="55"/>
      <c r="N204" s="55"/>
      <c r="P204" s="55"/>
      <c r="R204" s="55"/>
      <c r="T204" s="55"/>
      <c r="V204" s="55"/>
      <c r="W204" s="59"/>
      <c r="X204" s="55"/>
      <c r="Z204" s="55"/>
      <c r="AB204" s="55"/>
      <c r="AC204" s="59"/>
      <c r="AD204" s="55"/>
      <c r="AE204" s="59"/>
      <c r="AF204" s="55"/>
      <c r="AH204" s="55"/>
      <c r="AJ204" s="55"/>
      <c r="AL204" s="55"/>
      <c r="AN204" s="55"/>
      <c r="AP204" s="55"/>
      <c r="AQ204" s="59"/>
      <c r="AR204" s="55"/>
      <c r="AT204" s="55"/>
      <c r="AU204" s="59"/>
      <c r="AV204" s="55"/>
      <c r="AW204" s="59"/>
      <c r="AX204" s="55"/>
      <c r="AZ204" s="55"/>
    </row>
    <row r="205" spans="12:122" x14ac:dyDescent="0.3">
      <c r="L205" s="55"/>
      <c r="N205" s="55"/>
      <c r="P205" s="55"/>
      <c r="R205" s="55"/>
      <c r="T205" s="55"/>
      <c r="V205" s="55"/>
      <c r="W205" s="59"/>
      <c r="X205" s="55"/>
      <c r="Z205" s="55"/>
      <c r="AB205" s="55"/>
      <c r="AC205" s="59"/>
      <c r="AD205" s="55"/>
      <c r="AE205" s="59"/>
      <c r="AF205" s="55"/>
      <c r="AH205" s="55"/>
      <c r="AJ205" s="55"/>
      <c r="AL205" s="55"/>
      <c r="AN205" s="55"/>
      <c r="AP205" s="55"/>
      <c r="AQ205" s="59"/>
      <c r="AR205" s="55"/>
      <c r="AT205" s="55"/>
      <c r="AU205" s="59"/>
      <c r="AV205" s="55"/>
      <c r="AW205" s="59"/>
      <c r="AX205" s="55"/>
      <c r="AZ205" s="55"/>
    </row>
    <row r="206" spans="12:122" x14ac:dyDescent="0.3">
      <c r="L206" s="55"/>
      <c r="N206" s="55"/>
      <c r="P206" s="55"/>
      <c r="R206" s="55"/>
      <c r="T206" s="55"/>
      <c r="V206" s="55"/>
      <c r="W206" s="59"/>
      <c r="X206" s="55"/>
      <c r="Z206" s="55"/>
      <c r="AB206" s="55"/>
      <c r="AC206" s="59"/>
      <c r="AD206" s="55"/>
      <c r="AE206" s="59"/>
      <c r="AF206" s="55"/>
      <c r="AH206" s="55"/>
      <c r="AJ206" s="55"/>
      <c r="AL206" s="55"/>
      <c r="AN206" s="55"/>
      <c r="AP206" s="55"/>
      <c r="AQ206" s="59"/>
      <c r="AR206" s="55"/>
      <c r="AT206" s="55"/>
      <c r="AU206" s="59"/>
      <c r="AV206" s="55"/>
      <c r="AW206" s="59"/>
      <c r="AX206" s="55"/>
      <c r="AZ206" s="55"/>
    </row>
    <row r="207" spans="12:122" x14ac:dyDescent="0.3">
      <c r="L207" s="55"/>
      <c r="N207" s="55"/>
      <c r="P207" s="55"/>
      <c r="R207" s="55"/>
      <c r="T207" s="55"/>
      <c r="V207" s="55"/>
      <c r="W207" s="59"/>
      <c r="X207" s="55"/>
      <c r="Z207" s="55"/>
      <c r="AB207" s="55"/>
      <c r="AC207" s="59"/>
      <c r="AD207" s="55"/>
      <c r="AE207" s="59"/>
      <c r="AF207" s="55"/>
      <c r="AH207" s="55"/>
      <c r="AJ207" s="55"/>
      <c r="AL207" s="55"/>
      <c r="AN207" s="55"/>
      <c r="AP207" s="55"/>
      <c r="AQ207" s="59"/>
      <c r="AR207" s="55"/>
      <c r="AT207" s="55"/>
      <c r="AU207" s="59"/>
      <c r="AV207" s="55"/>
      <c r="AW207" s="59"/>
      <c r="AX207" s="55"/>
      <c r="AZ207" s="55"/>
    </row>
    <row r="208" spans="12:122" x14ac:dyDescent="0.3">
      <c r="L208" s="55"/>
      <c r="N208" s="55"/>
      <c r="P208" s="55"/>
      <c r="R208" s="55"/>
      <c r="T208" s="55"/>
      <c r="V208" s="55"/>
      <c r="W208" s="59"/>
      <c r="X208" s="55"/>
      <c r="Z208" s="55"/>
      <c r="AB208" s="55"/>
      <c r="AC208" s="59"/>
      <c r="AD208" s="55"/>
      <c r="AE208" s="59"/>
      <c r="AF208" s="55"/>
      <c r="AH208" s="55"/>
      <c r="AJ208" s="55"/>
      <c r="AL208" s="55"/>
      <c r="AN208" s="55"/>
      <c r="AP208" s="55"/>
      <c r="AQ208" s="59"/>
      <c r="AR208" s="55"/>
      <c r="AT208" s="55"/>
      <c r="AU208" s="59"/>
      <c r="AV208" s="55"/>
      <c r="AW208" s="59"/>
      <c r="AX208" s="55"/>
      <c r="AZ208" s="55"/>
    </row>
    <row r="209" spans="12:52" x14ac:dyDescent="0.3">
      <c r="L209" s="55"/>
      <c r="N209" s="55"/>
      <c r="P209" s="55"/>
      <c r="R209" s="55"/>
      <c r="T209" s="55"/>
      <c r="V209" s="55"/>
      <c r="W209" s="59"/>
      <c r="X209" s="55"/>
      <c r="Z209" s="55"/>
      <c r="AB209" s="55"/>
      <c r="AC209" s="59"/>
      <c r="AD209" s="55"/>
      <c r="AE209" s="59"/>
      <c r="AF209" s="55"/>
      <c r="AH209" s="55"/>
      <c r="AJ209" s="55"/>
      <c r="AL209" s="55"/>
      <c r="AN209" s="55"/>
      <c r="AP209" s="55"/>
      <c r="AQ209" s="59"/>
      <c r="AR209" s="55"/>
      <c r="AT209" s="55"/>
      <c r="AU209" s="59"/>
      <c r="AV209" s="55"/>
      <c r="AW209" s="59"/>
      <c r="AX209" s="55"/>
      <c r="AZ209" s="55"/>
    </row>
    <row r="210" spans="12:52" x14ac:dyDescent="0.3">
      <c r="L210" s="55"/>
      <c r="N210" s="55"/>
      <c r="P210" s="55"/>
      <c r="R210" s="55"/>
      <c r="T210" s="55"/>
      <c r="V210" s="55"/>
      <c r="W210" s="59"/>
      <c r="X210" s="55"/>
      <c r="Z210" s="55"/>
      <c r="AB210" s="55"/>
      <c r="AC210" s="59"/>
      <c r="AD210" s="55"/>
      <c r="AE210" s="59"/>
      <c r="AF210" s="55"/>
      <c r="AH210" s="55"/>
      <c r="AJ210" s="55"/>
      <c r="AL210" s="55"/>
      <c r="AN210" s="55"/>
      <c r="AP210" s="55"/>
      <c r="AQ210" s="59"/>
      <c r="AR210" s="55"/>
      <c r="AT210" s="55"/>
      <c r="AU210" s="59"/>
      <c r="AV210" s="55"/>
      <c r="AW210" s="59"/>
      <c r="AX210" s="55"/>
      <c r="AZ210" s="55"/>
    </row>
    <row r="211" spans="12:52" x14ac:dyDescent="0.3">
      <c r="L211" s="55"/>
      <c r="N211" s="55"/>
      <c r="P211" s="55"/>
      <c r="R211" s="55"/>
      <c r="T211" s="55"/>
      <c r="V211" s="55"/>
      <c r="W211" s="59"/>
      <c r="X211" s="55"/>
      <c r="Z211" s="55"/>
      <c r="AB211" s="55"/>
      <c r="AC211" s="59"/>
      <c r="AD211" s="55"/>
      <c r="AE211" s="59"/>
      <c r="AF211" s="55"/>
      <c r="AH211" s="55"/>
      <c r="AJ211" s="55"/>
      <c r="AL211" s="55"/>
      <c r="AN211" s="55"/>
      <c r="AP211" s="55"/>
      <c r="AQ211" s="59"/>
      <c r="AR211" s="55"/>
      <c r="AT211" s="55"/>
      <c r="AU211" s="59"/>
      <c r="AV211" s="55"/>
      <c r="AW211" s="59"/>
      <c r="AX211" s="55"/>
      <c r="AZ211" s="55"/>
    </row>
    <row r="212" spans="12:52" x14ac:dyDescent="0.3">
      <c r="L212" s="55"/>
      <c r="N212" s="55"/>
      <c r="P212" s="55"/>
      <c r="R212" s="55"/>
      <c r="T212" s="55"/>
      <c r="V212" s="55"/>
      <c r="W212" s="59"/>
      <c r="X212" s="55"/>
      <c r="Z212" s="55"/>
      <c r="AB212" s="55"/>
      <c r="AC212" s="59"/>
      <c r="AD212" s="55"/>
      <c r="AE212" s="59"/>
      <c r="AF212" s="55"/>
      <c r="AH212" s="55"/>
      <c r="AJ212" s="55"/>
      <c r="AL212" s="55"/>
      <c r="AN212" s="55"/>
      <c r="AP212" s="55"/>
      <c r="AQ212" s="59"/>
      <c r="AR212" s="55"/>
      <c r="AT212" s="55"/>
      <c r="AU212" s="59"/>
      <c r="AV212" s="55"/>
      <c r="AW212" s="59"/>
      <c r="AX212" s="55"/>
      <c r="AZ212" s="55"/>
    </row>
    <row r="213" spans="12:52" x14ac:dyDescent="0.3">
      <c r="L213" s="55"/>
      <c r="N213" s="55"/>
      <c r="P213" s="55"/>
      <c r="R213" s="55"/>
      <c r="T213" s="55"/>
      <c r="V213" s="55"/>
      <c r="W213" s="59"/>
      <c r="X213" s="55"/>
      <c r="Z213" s="55"/>
      <c r="AB213" s="55"/>
      <c r="AC213" s="59"/>
      <c r="AD213" s="55"/>
      <c r="AE213" s="59"/>
      <c r="AF213" s="55"/>
      <c r="AH213" s="55"/>
      <c r="AJ213" s="55"/>
      <c r="AL213" s="55"/>
      <c r="AN213" s="55"/>
      <c r="AP213" s="55"/>
      <c r="AQ213" s="59"/>
      <c r="AR213" s="55"/>
      <c r="AT213" s="55"/>
      <c r="AU213" s="59"/>
      <c r="AV213" s="55"/>
      <c r="AW213" s="59"/>
      <c r="AX213" s="55"/>
      <c r="AZ213" s="55"/>
    </row>
    <row r="214" spans="12:52" x14ac:dyDescent="0.3">
      <c r="L214" s="55"/>
      <c r="N214" s="55"/>
      <c r="P214" s="55"/>
      <c r="R214" s="55"/>
      <c r="T214" s="55"/>
      <c r="V214" s="55"/>
      <c r="W214" s="59"/>
      <c r="X214" s="55"/>
      <c r="Z214" s="55"/>
      <c r="AB214" s="55"/>
      <c r="AC214" s="59"/>
      <c r="AD214" s="55"/>
      <c r="AE214" s="59"/>
      <c r="AF214" s="55"/>
      <c r="AH214" s="55"/>
      <c r="AJ214" s="55"/>
      <c r="AL214" s="55"/>
      <c r="AN214" s="55"/>
      <c r="AP214" s="55"/>
      <c r="AQ214" s="59"/>
      <c r="AR214" s="55"/>
      <c r="AT214" s="55"/>
      <c r="AU214" s="59"/>
      <c r="AV214" s="55"/>
      <c r="AW214" s="59"/>
      <c r="AX214" s="55"/>
      <c r="AZ214" s="55"/>
    </row>
    <row r="215" spans="12:52" x14ac:dyDescent="0.3">
      <c r="L215" s="55"/>
      <c r="N215" s="55"/>
      <c r="P215" s="55"/>
      <c r="R215" s="55"/>
      <c r="T215" s="55"/>
      <c r="V215" s="55"/>
      <c r="W215" s="59"/>
      <c r="X215" s="55"/>
      <c r="Z215" s="55"/>
      <c r="AB215" s="55"/>
      <c r="AC215" s="59"/>
      <c r="AD215" s="55"/>
      <c r="AE215" s="59"/>
      <c r="AF215" s="55"/>
      <c r="AH215" s="55"/>
      <c r="AJ215" s="55"/>
      <c r="AL215" s="55"/>
      <c r="AN215" s="55"/>
      <c r="AP215" s="55"/>
      <c r="AQ215" s="59"/>
      <c r="AR215" s="55"/>
      <c r="AT215" s="55"/>
      <c r="AU215" s="59"/>
      <c r="AV215" s="55"/>
      <c r="AW215" s="59"/>
      <c r="AX215" s="55"/>
      <c r="AZ215" s="55"/>
    </row>
    <row r="216" spans="12:52" x14ac:dyDescent="0.3">
      <c r="L216" s="55"/>
      <c r="N216" s="55"/>
      <c r="P216" s="55"/>
      <c r="R216" s="55"/>
      <c r="T216" s="55"/>
      <c r="V216" s="55"/>
      <c r="W216" s="59"/>
      <c r="X216" s="55"/>
      <c r="Z216" s="55"/>
      <c r="AB216" s="55"/>
      <c r="AC216" s="59"/>
      <c r="AD216" s="55"/>
      <c r="AE216" s="59"/>
      <c r="AF216" s="55"/>
      <c r="AH216" s="55"/>
      <c r="AJ216" s="55"/>
      <c r="AL216" s="55"/>
      <c r="AN216" s="55"/>
      <c r="AP216" s="55"/>
      <c r="AQ216" s="59"/>
      <c r="AR216" s="55"/>
      <c r="AT216" s="55"/>
      <c r="AU216" s="59"/>
      <c r="AV216" s="55"/>
      <c r="AW216" s="59"/>
      <c r="AX216" s="55"/>
      <c r="AZ216" s="55"/>
    </row>
    <row r="217" spans="12:52" x14ac:dyDescent="0.3">
      <c r="L217" s="55"/>
      <c r="N217" s="55"/>
      <c r="P217" s="55"/>
      <c r="R217" s="55"/>
      <c r="T217" s="55"/>
      <c r="V217" s="55"/>
      <c r="W217" s="59"/>
      <c r="X217" s="55"/>
      <c r="Z217" s="55"/>
      <c r="AB217" s="55"/>
      <c r="AC217" s="59"/>
      <c r="AD217" s="55"/>
      <c r="AE217" s="59"/>
      <c r="AF217" s="55"/>
      <c r="AH217" s="55"/>
      <c r="AJ217" s="55"/>
      <c r="AL217" s="55"/>
      <c r="AN217" s="55"/>
      <c r="AP217" s="55"/>
      <c r="AQ217" s="59"/>
      <c r="AR217" s="55"/>
      <c r="AT217" s="55"/>
      <c r="AU217" s="59"/>
      <c r="AV217" s="55"/>
      <c r="AW217" s="59"/>
      <c r="AX217" s="55"/>
      <c r="AZ217" s="55"/>
    </row>
    <row r="218" spans="12:52" x14ac:dyDescent="0.3">
      <c r="L218" s="55"/>
      <c r="N218" s="55"/>
      <c r="P218" s="55"/>
      <c r="R218" s="55"/>
      <c r="T218" s="55"/>
      <c r="V218" s="55"/>
      <c r="W218" s="59"/>
      <c r="X218" s="55"/>
      <c r="Z218" s="55"/>
      <c r="AB218" s="55"/>
      <c r="AC218" s="59"/>
      <c r="AD218" s="55"/>
      <c r="AE218" s="59"/>
      <c r="AF218" s="55"/>
      <c r="AH218" s="55"/>
      <c r="AJ218" s="55"/>
      <c r="AL218" s="55"/>
      <c r="AN218" s="55"/>
      <c r="AP218" s="55"/>
      <c r="AQ218" s="59"/>
      <c r="AR218" s="55"/>
      <c r="AT218" s="55"/>
      <c r="AU218" s="59"/>
      <c r="AV218" s="55"/>
      <c r="AW218" s="59"/>
      <c r="AX218" s="55"/>
      <c r="AZ218" s="55"/>
    </row>
    <row r="219" spans="12:52" x14ac:dyDescent="0.3">
      <c r="L219" s="55"/>
      <c r="N219" s="55"/>
      <c r="P219" s="55"/>
      <c r="R219" s="55"/>
      <c r="T219" s="55"/>
      <c r="V219" s="55"/>
      <c r="W219" s="59"/>
      <c r="X219" s="55"/>
      <c r="Z219" s="55"/>
      <c r="AB219" s="55"/>
      <c r="AC219" s="59"/>
      <c r="AD219" s="55"/>
      <c r="AE219" s="59"/>
      <c r="AF219" s="55"/>
      <c r="AH219" s="55"/>
      <c r="AJ219" s="55"/>
      <c r="AL219" s="55"/>
      <c r="AN219" s="55"/>
      <c r="AP219" s="55"/>
      <c r="AQ219" s="59"/>
      <c r="AR219" s="55"/>
      <c r="AT219" s="55"/>
      <c r="AU219" s="59"/>
      <c r="AV219" s="55"/>
      <c r="AW219" s="59"/>
      <c r="AX219" s="55"/>
      <c r="AZ219" s="55"/>
    </row>
    <row r="220" spans="12:52" x14ac:dyDescent="0.3">
      <c r="L220" s="55"/>
      <c r="N220" s="55"/>
      <c r="P220" s="55"/>
      <c r="R220" s="55"/>
      <c r="T220" s="55"/>
      <c r="V220" s="55"/>
      <c r="W220" s="59"/>
      <c r="X220" s="55"/>
      <c r="Z220" s="55"/>
      <c r="AB220" s="55"/>
      <c r="AC220" s="59"/>
      <c r="AD220" s="55"/>
      <c r="AE220" s="59"/>
      <c r="AF220" s="55"/>
      <c r="AH220" s="55"/>
      <c r="AJ220" s="55"/>
      <c r="AL220" s="55"/>
      <c r="AN220" s="55"/>
      <c r="AP220" s="55"/>
      <c r="AQ220" s="59"/>
      <c r="AR220" s="55"/>
      <c r="AT220" s="55"/>
      <c r="AU220" s="59"/>
      <c r="AV220" s="55"/>
      <c r="AW220" s="59"/>
      <c r="AX220" s="55"/>
      <c r="AZ220" s="55"/>
    </row>
    <row r="221" spans="12:52" x14ac:dyDescent="0.3">
      <c r="L221" s="55"/>
      <c r="N221" s="55"/>
      <c r="P221" s="55"/>
      <c r="R221" s="55"/>
      <c r="T221" s="55"/>
      <c r="V221" s="55"/>
      <c r="W221" s="59"/>
      <c r="X221" s="55"/>
      <c r="Z221" s="55"/>
      <c r="AB221" s="55"/>
      <c r="AC221" s="59"/>
      <c r="AD221" s="55"/>
      <c r="AE221" s="59"/>
      <c r="AF221" s="55"/>
      <c r="AH221" s="55"/>
      <c r="AJ221" s="55"/>
      <c r="AL221" s="55"/>
      <c r="AN221" s="55"/>
      <c r="AP221" s="55"/>
      <c r="AQ221" s="59"/>
      <c r="AR221" s="55"/>
      <c r="AT221" s="55"/>
      <c r="AU221" s="59"/>
      <c r="AV221" s="55"/>
      <c r="AW221" s="59"/>
      <c r="AX221" s="55"/>
      <c r="AZ221" s="55"/>
    </row>
    <row r="222" spans="12:52" x14ac:dyDescent="0.3">
      <c r="L222" s="55"/>
      <c r="N222" s="55"/>
      <c r="P222" s="55"/>
      <c r="R222" s="55"/>
      <c r="T222" s="55"/>
      <c r="V222" s="55"/>
      <c r="W222" s="59"/>
      <c r="X222" s="55"/>
      <c r="Z222" s="55"/>
      <c r="AB222" s="55"/>
      <c r="AC222" s="59"/>
      <c r="AD222" s="55"/>
      <c r="AE222" s="59"/>
      <c r="AF222" s="55"/>
      <c r="AH222" s="55"/>
      <c r="AJ222" s="55"/>
      <c r="AL222" s="55"/>
      <c r="AN222" s="55"/>
      <c r="AP222" s="55"/>
      <c r="AQ222" s="59"/>
      <c r="AR222" s="55"/>
      <c r="AT222" s="55"/>
      <c r="AU222" s="59"/>
      <c r="AV222" s="55"/>
      <c r="AW222" s="59"/>
      <c r="AX222" s="55"/>
      <c r="AZ222" s="55"/>
    </row>
    <row r="223" spans="12:52" x14ac:dyDescent="0.3">
      <c r="L223" s="55"/>
      <c r="N223" s="55"/>
      <c r="P223" s="55"/>
      <c r="R223" s="55"/>
      <c r="T223" s="55"/>
      <c r="V223" s="55"/>
      <c r="W223" s="59"/>
      <c r="X223" s="55"/>
      <c r="Z223" s="55"/>
      <c r="AB223" s="55"/>
      <c r="AC223" s="59"/>
      <c r="AD223" s="55"/>
      <c r="AE223" s="59"/>
      <c r="AF223" s="55"/>
      <c r="AH223" s="55"/>
      <c r="AJ223" s="55"/>
      <c r="AL223" s="55"/>
      <c r="AN223" s="55"/>
      <c r="AP223" s="55"/>
      <c r="AQ223" s="59"/>
      <c r="AR223" s="55"/>
      <c r="AT223" s="55"/>
      <c r="AU223" s="59"/>
      <c r="AV223" s="55"/>
      <c r="AW223" s="59"/>
      <c r="AX223" s="55"/>
      <c r="AZ223" s="55"/>
    </row>
    <row r="224" spans="12:52" x14ac:dyDescent="0.3">
      <c r="L224" s="55"/>
      <c r="N224" s="55"/>
      <c r="P224" s="55"/>
      <c r="R224" s="55"/>
      <c r="T224" s="55"/>
      <c r="V224" s="55"/>
      <c r="W224" s="59"/>
      <c r="X224" s="55"/>
      <c r="Z224" s="55"/>
      <c r="AB224" s="55"/>
      <c r="AC224" s="59"/>
      <c r="AD224" s="55"/>
      <c r="AE224" s="59"/>
      <c r="AF224" s="55"/>
      <c r="AH224" s="55"/>
      <c r="AJ224" s="55"/>
      <c r="AL224" s="55"/>
      <c r="AN224" s="55"/>
      <c r="AP224" s="55"/>
      <c r="AQ224" s="59"/>
      <c r="AR224" s="55"/>
      <c r="AT224" s="55"/>
      <c r="AU224" s="59"/>
      <c r="AV224" s="55"/>
      <c r="AW224" s="59"/>
      <c r="AX224" s="55"/>
      <c r="AZ224" s="55"/>
    </row>
    <row r="225" spans="12:52" x14ac:dyDescent="0.3">
      <c r="L225" s="55"/>
      <c r="N225" s="55"/>
      <c r="P225" s="55"/>
      <c r="R225" s="55"/>
      <c r="T225" s="55"/>
      <c r="V225" s="55"/>
      <c r="W225" s="59"/>
      <c r="X225" s="55"/>
      <c r="Z225" s="55"/>
      <c r="AB225" s="55"/>
      <c r="AC225" s="59"/>
      <c r="AD225" s="55"/>
      <c r="AE225" s="59"/>
      <c r="AF225" s="55"/>
      <c r="AH225" s="55"/>
      <c r="AJ225" s="55"/>
      <c r="AL225" s="55"/>
      <c r="AN225" s="55"/>
      <c r="AP225" s="55"/>
      <c r="AQ225" s="59"/>
      <c r="AR225" s="55"/>
      <c r="AT225" s="55"/>
      <c r="AU225" s="59"/>
      <c r="AV225" s="55"/>
      <c r="AW225" s="59"/>
      <c r="AX225" s="55"/>
      <c r="AZ225" s="55"/>
    </row>
    <row r="226" spans="12:52" x14ac:dyDescent="0.3">
      <c r="L226" s="55"/>
      <c r="N226" s="55"/>
      <c r="P226" s="55"/>
      <c r="R226" s="55"/>
      <c r="T226" s="55"/>
      <c r="V226" s="55"/>
      <c r="W226" s="59"/>
      <c r="X226" s="55"/>
      <c r="Z226" s="55"/>
      <c r="AB226" s="55"/>
      <c r="AC226" s="59"/>
      <c r="AD226" s="55"/>
      <c r="AE226" s="59"/>
      <c r="AF226" s="55"/>
      <c r="AH226" s="55"/>
      <c r="AJ226" s="55"/>
      <c r="AL226" s="55"/>
      <c r="AN226" s="55"/>
      <c r="AP226" s="55"/>
      <c r="AQ226" s="59"/>
      <c r="AR226" s="55"/>
      <c r="AT226" s="55"/>
      <c r="AU226" s="59"/>
      <c r="AV226" s="55"/>
      <c r="AW226" s="59"/>
      <c r="AX226" s="55"/>
      <c r="AZ226" s="55"/>
    </row>
    <row r="227" spans="12:52" x14ac:dyDescent="0.3">
      <c r="L227" s="55"/>
      <c r="N227" s="55"/>
      <c r="P227" s="55"/>
      <c r="R227" s="55"/>
      <c r="T227" s="55"/>
      <c r="V227" s="55"/>
      <c r="W227" s="59"/>
      <c r="X227" s="55"/>
      <c r="Z227" s="55"/>
      <c r="AB227" s="55"/>
      <c r="AC227" s="59"/>
      <c r="AD227" s="55"/>
      <c r="AE227" s="59"/>
      <c r="AF227" s="55"/>
      <c r="AH227" s="55"/>
      <c r="AJ227" s="55"/>
      <c r="AL227" s="55"/>
      <c r="AN227" s="55"/>
      <c r="AP227" s="55"/>
      <c r="AQ227" s="59"/>
      <c r="AR227" s="55"/>
      <c r="AT227" s="55"/>
      <c r="AU227" s="59"/>
      <c r="AV227" s="55"/>
      <c r="AW227" s="59"/>
      <c r="AX227" s="55"/>
      <c r="AZ227" s="55"/>
    </row>
    <row r="228" spans="12:52" x14ac:dyDescent="0.3">
      <c r="L228" s="55"/>
      <c r="N228" s="55"/>
      <c r="P228" s="55"/>
      <c r="R228" s="55"/>
      <c r="T228" s="55"/>
      <c r="V228" s="55"/>
      <c r="W228" s="59"/>
      <c r="X228" s="55"/>
      <c r="Z228" s="55"/>
      <c r="AB228" s="55"/>
      <c r="AC228" s="59"/>
      <c r="AD228" s="55"/>
      <c r="AE228" s="59"/>
      <c r="AF228" s="55"/>
      <c r="AH228" s="55"/>
      <c r="AJ228" s="55"/>
      <c r="AL228" s="55"/>
      <c r="AN228" s="55"/>
      <c r="AP228" s="55"/>
      <c r="AQ228" s="59"/>
      <c r="AR228" s="55"/>
      <c r="AT228" s="55"/>
      <c r="AU228" s="59"/>
      <c r="AV228" s="55"/>
      <c r="AW228" s="59"/>
      <c r="AX228" s="55"/>
      <c r="AZ228" s="55"/>
    </row>
    <row r="229" spans="12:52" x14ac:dyDescent="0.3">
      <c r="L229" s="55"/>
      <c r="N229" s="55"/>
      <c r="P229" s="55"/>
      <c r="R229" s="55"/>
      <c r="T229" s="55"/>
      <c r="V229" s="55"/>
      <c r="W229" s="59"/>
      <c r="X229" s="55"/>
      <c r="Z229" s="55"/>
      <c r="AB229" s="55"/>
      <c r="AC229" s="59"/>
      <c r="AD229" s="55"/>
      <c r="AE229" s="59"/>
      <c r="AF229" s="55"/>
      <c r="AH229" s="55"/>
      <c r="AJ229" s="55"/>
      <c r="AL229" s="55"/>
      <c r="AN229" s="55"/>
      <c r="AP229" s="55"/>
      <c r="AQ229" s="59"/>
      <c r="AR229" s="55"/>
      <c r="AT229" s="55"/>
      <c r="AU229" s="59"/>
      <c r="AV229" s="55"/>
      <c r="AW229" s="59"/>
      <c r="AX229" s="55"/>
      <c r="AZ229" s="55"/>
    </row>
    <row r="230" spans="12:52" x14ac:dyDescent="0.3">
      <c r="L230" s="55"/>
      <c r="N230" s="55"/>
      <c r="P230" s="55"/>
      <c r="R230" s="55"/>
      <c r="T230" s="55"/>
      <c r="V230" s="55"/>
      <c r="W230" s="59"/>
      <c r="X230" s="55"/>
      <c r="Z230" s="55"/>
      <c r="AB230" s="55"/>
      <c r="AC230" s="59"/>
      <c r="AD230" s="55"/>
      <c r="AE230" s="59"/>
      <c r="AF230" s="55"/>
      <c r="AH230" s="55"/>
      <c r="AJ230" s="55"/>
      <c r="AL230" s="55"/>
      <c r="AN230" s="55"/>
      <c r="AP230" s="55"/>
      <c r="AQ230" s="59"/>
      <c r="AR230" s="55"/>
      <c r="AT230" s="55"/>
      <c r="AU230" s="59"/>
      <c r="AV230" s="55"/>
      <c r="AW230" s="59"/>
      <c r="AX230" s="55"/>
      <c r="AZ230" s="55"/>
    </row>
    <row r="231" spans="12:52" x14ac:dyDescent="0.3">
      <c r="L231" s="55"/>
      <c r="N231" s="55"/>
      <c r="P231" s="55"/>
      <c r="R231" s="55"/>
      <c r="T231" s="55"/>
      <c r="V231" s="55"/>
      <c r="W231" s="59"/>
      <c r="X231" s="55"/>
      <c r="Z231" s="55"/>
      <c r="AB231" s="55"/>
      <c r="AC231" s="59"/>
      <c r="AD231" s="55"/>
      <c r="AE231" s="59"/>
      <c r="AF231" s="55"/>
      <c r="AH231" s="55"/>
      <c r="AJ231" s="55"/>
      <c r="AL231" s="55"/>
      <c r="AN231" s="55"/>
      <c r="AP231" s="55"/>
      <c r="AQ231" s="59"/>
      <c r="AR231" s="55"/>
      <c r="AT231" s="55"/>
      <c r="AU231" s="59"/>
      <c r="AV231" s="55"/>
      <c r="AW231" s="59"/>
      <c r="AX231" s="55"/>
      <c r="AZ231" s="55"/>
    </row>
    <row r="232" spans="12:52" x14ac:dyDescent="0.3">
      <c r="L232" s="55"/>
      <c r="N232" s="55"/>
      <c r="P232" s="55"/>
      <c r="R232" s="55"/>
      <c r="T232" s="55"/>
      <c r="V232" s="55"/>
      <c r="W232" s="59"/>
      <c r="X232" s="55"/>
      <c r="Z232" s="55"/>
      <c r="AB232" s="55"/>
      <c r="AC232" s="59"/>
      <c r="AD232" s="55"/>
      <c r="AE232" s="59"/>
      <c r="AF232" s="55"/>
      <c r="AH232" s="55"/>
      <c r="AJ232" s="55"/>
      <c r="AL232" s="55"/>
      <c r="AN232" s="55"/>
      <c r="AP232" s="55"/>
      <c r="AQ232" s="59"/>
      <c r="AR232" s="55"/>
      <c r="AT232" s="55"/>
      <c r="AU232" s="59"/>
      <c r="AV232" s="55"/>
      <c r="AW232" s="59"/>
      <c r="AX232" s="55"/>
      <c r="AZ232" s="55"/>
    </row>
    <row r="233" spans="12:52" x14ac:dyDescent="0.3">
      <c r="L233" s="55"/>
      <c r="N233" s="55"/>
      <c r="P233" s="55"/>
      <c r="R233" s="55"/>
      <c r="T233" s="55"/>
      <c r="V233" s="55"/>
      <c r="W233" s="59"/>
      <c r="X233" s="55"/>
      <c r="Z233" s="55"/>
      <c r="AB233" s="55"/>
      <c r="AC233" s="59"/>
      <c r="AD233" s="55"/>
      <c r="AE233" s="59"/>
      <c r="AF233" s="55"/>
      <c r="AH233" s="55"/>
      <c r="AJ233" s="55"/>
      <c r="AL233" s="55"/>
      <c r="AN233" s="55"/>
      <c r="AP233" s="55"/>
      <c r="AQ233" s="59"/>
      <c r="AR233" s="55"/>
      <c r="AT233" s="55"/>
      <c r="AU233" s="59"/>
      <c r="AV233" s="55"/>
      <c r="AW233" s="59"/>
      <c r="AX233" s="55"/>
      <c r="AZ233" s="55"/>
    </row>
    <row r="234" spans="12:52" x14ac:dyDescent="0.3">
      <c r="L234" s="55"/>
      <c r="N234" s="55"/>
      <c r="P234" s="55"/>
      <c r="R234" s="55"/>
      <c r="T234" s="55"/>
      <c r="V234" s="55"/>
      <c r="W234" s="59"/>
      <c r="X234" s="55"/>
      <c r="Z234" s="55"/>
      <c r="AB234" s="55"/>
      <c r="AC234" s="59"/>
      <c r="AD234" s="55"/>
      <c r="AE234" s="59"/>
      <c r="AF234" s="55"/>
      <c r="AH234" s="55"/>
      <c r="AJ234" s="55"/>
      <c r="AL234" s="55"/>
      <c r="AN234" s="55"/>
      <c r="AP234" s="55"/>
      <c r="AQ234" s="59"/>
      <c r="AR234" s="55"/>
      <c r="AT234" s="55"/>
      <c r="AU234" s="59"/>
      <c r="AV234" s="55"/>
      <c r="AW234" s="59"/>
      <c r="AX234" s="55"/>
      <c r="AZ234" s="55"/>
    </row>
    <row r="235" spans="12:52" x14ac:dyDescent="0.3">
      <c r="L235" s="55"/>
      <c r="N235" s="55"/>
      <c r="P235" s="55"/>
      <c r="R235" s="55"/>
      <c r="T235" s="55"/>
      <c r="V235" s="55"/>
      <c r="W235" s="59"/>
      <c r="X235" s="55"/>
      <c r="Z235" s="55"/>
      <c r="AB235" s="55"/>
      <c r="AC235" s="59"/>
      <c r="AD235" s="55"/>
      <c r="AE235" s="59"/>
      <c r="AF235" s="55"/>
      <c r="AH235" s="55"/>
      <c r="AJ235" s="55"/>
      <c r="AL235" s="55"/>
      <c r="AN235" s="55"/>
      <c r="AP235" s="55"/>
      <c r="AQ235" s="59"/>
      <c r="AR235" s="55"/>
      <c r="AT235" s="55"/>
      <c r="AU235" s="59"/>
      <c r="AV235" s="55"/>
      <c r="AW235" s="59"/>
      <c r="AX235" s="55"/>
      <c r="AZ235" s="55"/>
    </row>
    <row r="236" spans="12:52" x14ac:dyDescent="0.3">
      <c r="L236" s="55"/>
      <c r="N236" s="55"/>
      <c r="P236" s="55"/>
      <c r="R236" s="55"/>
      <c r="T236" s="55"/>
      <c r="V236" s="55"/>
      <c r="W236" s="59"/>
      <c r="X236" s="55"/>
      <c r="Z236" s="55"/>
      <c r="AB236" s="55"/>
      <c r="AC236" s="59"/>
      <c r="AD236" s="55"/>
      <c r="AE236" s="59"/>
      <c r="AF236" s="55"/>
      <c r="AH236" s="55"/>
      <c r="AJ236" s="55"/>
      <c r="AL236" s="55"/>
      <c r="AN236" s="55"/>
      <c r="AP236" s="55"/>
      <c r="AQ236" s="59"/>
      <c r="AR236" s="55"/>
      <c r="AT236" s="55"/>
      <c r="AU236" s="59"/>
      <c r="AV236" s="55"/>
      <c r="AW236" s="59"/>
      <c r="AX236" s="55"/>
      <c r="AZ236" s="55"/>
    </row>
    <row r="237" spans="12:52" x14ac:dyDescent="0.3">
      <c r="L237" s="55"/>
      <c r="N237" s="55"/>
      <c r="P237" s="55"/>
      <c r="R237" s="55"/>
      <c r="T237" s="55"/>
      <c r="V237" s="55"/>
      <c r="W237" s="59"/>
      <c r="X237" s="55"/>
      <c r="Z237" s="55"/>
      <c r="AB237" s="55"/>
      <c r="AC237" s="59"/>
      <c r="AD237" s="55"/>
      <c r="AE237" s="59"/>
      <c r="AF237" s="55"/>
      <c r="AH237" s="55"/>
      <c r="AJ237" s="55"/>
      <c r="AL237" s="55"/>
      <c r="AN237" s="55"/>
      <c r="AP237" s="55"/>
      <c r="AQ237" s="59"/>
      <c r="AR237" s="55"/>
      <c r="AT237" s="55"/>
      <c r="AU237" s="59"/>
      <c r="AV237" s="55"/>
      <c r="AW237" s="59"/>
      <c r="AX237" s="55"/>
      <c r="AZ237" s="55"/>
    </row>
    <row r="238" spans="12:52" x14ac:dyDescent="0.3">
      <c r="L238" s="55"/>
      <c r="N238" s="55"/>
      <c r="P238" s="55"/>
      <c r="R238" s="55"/>
      <c r="T238" s="55"/>
      <c r="V238" s="55"/>
      <c r="W238" s="59"/>
      <c r="X238" s="55"/>
      <c r="Z238" s="55"/>
      <c r="AB238" s="55"/>
      <c r="AC238" s="59"/>
      <c r="AD238" s="55"/>
      <c r="AE238" s="59"/>
      <c r="AF238" s="55"/>
      <c r="AH238" s="55"/>
      <c r="AJ238" s="55"/>
      <c r="AL238" s="55"/>
      <c r="AN238" s="55"/>
      <c r="AP238" s="55"/>
      <c r="AQ238" s="59"/>
      <c r="AR238" s="55"/>
      <c r="AT238" s="55"/>
      <c r="AU238" s="59"/>
      <c r="AV238" s="55"/>
      <c r="AW238" s="59"/>
      <c r="AX238" s="55"/>
      <c r="AZ238" s="55"/>
    </row>
    <row r="239" spans="12:52" x14ac:dyDescent="0.3">
      <c r="L239" s="55"/>
      <c r="N239" s="55"/>
      <c r="P239" s="55"/>
      <c r="R239" s="55"/>
      <c r="T239" s="55"/>
      <c r="V239" s="55"/>
      <c r="W239" s="59"/>
      <c r="X239" s="55"/>
      <c r="Z239" s="55"/>
      <c r="AB239" s="55"/>
      <c r="AC239" s="59"/>
      <c r="AD239" s="55"/>
      <c r="AE239" s="59"/>
      <c r="AF239" s="55"/>
      <c r="AH239" s="55"/>
      <c r="AJ239" s="55"/>
      <c r="AL239" s="55"/>
      <c r="AN239" s="55"/>
      <c r="AP239" s="55"/>
      <c r="AQ239" s="59"/>
      <c r="AR239" s="55"/>
      <c r="AT239" s="55"/>
      <c r="AU239" s="59"/>
      <c r="AV239" s="55"/>
      <c r="AW239" s="59"/>
      <c r="AX239" s="55"/>
      <c r="AZ239" s="55"/>
    </row>
    <row r="240" spans="12:52" x14ac:dyDescent="0.3">
      <c r="L240" s="55"/>
      <c r="N240" s="55"/>
      <c r="P240" s="55"/>
      <c r="R240" s="55"/>
      <c r="T240" s="55"/>
      <c r="V240" s="55"/>
      <c r="W240" s="59"/>
      <c r="X240" s="55"/>
      <c r="Z240" s="55"/>
      <c r="AB240" s="55"/>
      <c r="AC240" s="59"/>
      <c r="AD240" s="55"/>
      <c r="AE240" s="59"/>
      <c r="AF240" s="55"/>
      <c r="AH240" s="55"/>
      <c r="AJ240" s="55"/>
      <c r="AL240" s="55"/>
      <c r="AN240" s="55"/>
      <c r="AP240" s="55"/>
      <c r="AQ240" s="59"/>
      <c r="AR240" s="55"/>
      <c r="AT240" s="55"/>
      <c r="AU240" s="59"/>
      <c r="AV240" s="55"/>
      <c r="AW240" s="59"/>
      <c r="AX240" s="55"/>
      <c r="AZ240" s="55"/>
    </row>
    <row r="241" spans="12:52" x14ac:dyDescent="0.3">
      <c r="L241" s="55"/>
      <c r="N241" s="55"/>
      <c r="P241" s="55"/>
      <c r="R241" s="55"/>
      <c r="T241" s="55"/>
      <c r="V241" s="55"/>
      <c r="W241" s="59"/>
      <c r="X241" s="55"/>
      <c r="Z241" s="55"/>
      <c r="AB241" s="55"/>
      <c r="AC241" s="59"/>
      <c r="AD241" s="55"/>
      <c r="AE241" s="59"/>
      <c r="AF241" s="55"/>
      <c r="AH241" s="55"/>
      <c r="AJ241" s="55"/>
      <c r="AL241" s="55"/>
      <c r="AN241" s="55"/>
      <c r="AP241" s="55"/>
      <c r="AQ241" s="59"/>
      <c r="AR241" s="55"/>
      <c r="AT241" s="55"/>
      <c r="AU241" s="59"/>
      <c r="AV241" s="55"/>
      <c r="AW241" s="59"/>
      <c r="AX241" s="55"/>
      <c r="AZ241" s="55"/>
    </row>
    <row r="242" spans="12:52" x14ac:dyDescent="0.3">
      <c r="L242" s="55"/>
      <c r="N242" s="55"/>
      <c r="P242" s="55"/>
      <c r="R242" s="55"/>
      <c r="T242" s="55"/>
      <c r="V242" s="55"/>
      <c r="W242" s="59"/>
      <c r="X242" s="55"/>
      <c r="Z242" s="55"/>
      <c r="AB242" s="55"/>
      <c r="AC242" s="59"/>
      <c r="AD242" s="55"/>
      <c r="AE242" s="59"/>
      <c r="AF242" s="55"/>
      <c r="AH242" s="55"/>
      <c r="AJ242" s="55"/>
      <c r="AL242" s="55"/>
      <c r="AN242" s="55"/>
      <c r="AP242" s="55"/>
      <c r="AQ242" s="59"/>
      <c r="AR242" s="55"/>
      <c r="AT242" s="55"/>
      <c r="AU242" s="59"/>
      <c r="AV242" s="55"/>
      <c r="AW242" s="59"/>
      <c r="AX242" s="55"/>
      <c r="AZ242" s="55"/>
    </row>
    <row r="243" spans="12:52" x14ac:dyDescent="0.3">
      <c r="L243" s="55"/>
      <c r="N243" s="55"/>
      <c r="P243" s="55"/>
      <c r="R243" s="55"/>
      <c r="T243" s="55"/>
      <c r="V243" s="55"/>
      <c r="W243" s="59"/>
      <c r="X243" s="55"/>
      <c r="Z243" s="55"/>
      <c r="AB243" s="55"/>
      <c r="AC243" s="59"/>
      <c r="AD243" s="55"/>
      <c r="AE243" s="59"/>
      <c r="AF243" s="55"/>
      <c r="AH243" s="55"/>
      <c r="AJ243" s="55"/>
      <c r="AL243" s="55"/>
      <c r="AN243" s="55"/>
      <c r="AP243" s="55"/>
      <c r="AQ243" s="59"/>
      <c r="AR243" s="55"/>
      <c r="AT243" s="55"/>
      <c r="AU243" s="59"/>
      <c r="AV243" s="55"/>
      <c r="AW243" s="59"/>
      <c r="AX243" s="55"/>
      <c r="AZ243" s="55"/>
    </row>
    <row r="244" spans="12:52" x14ac:dyDescent="0.3">
      <c r="L244" s="55"/>
      <c r="N244" s="55"/>
      <c r="P244" s="55"/>
      <c r="R244" s="55"/>
      <c r="T244" s="55"/>
      <c r="V244" s="55"/>
      <c r="W244" s="59"/>
      <c r="X244" s="55"/>
      <c r="Z244" s="55"/>
      <c r="AB244" s="55"/>
      <c r="AC244" s="59"/>
      <c r="AD244" s="55"/>
      <c r="AE244" s="59"/>
      <c r="AF244" s="55"/>
      <c r="AH244" s="55"/>
      <c r="AJ244" s="55"/>
      <c r="AL244" s="55"/>
      <c r="AN244" s="55"/>
      <c r="AP244" s="55"/>
      <c r="AQ244" s="59"/>
      <c r="AR244" s="55"/>
      <c r="AT244" s="55"/>
      <c r="AU244" s="59"/>
      <c r="AV244" s="55"/>
      <c r="AW244" s="59"/>
      <c r="AX244" s="55"/>
      <c r="AZ244" s="55"/>
    </row>
    <row r="245" spans="12:52" x14ac:dyDescent="0.3">
      <c r="L245" s="55"/>
      <c r="N245" s="55"/>
      <c r="P245" s="55"/>
      <c r="R245" s="55"/>
      <c r="T245" s="55"/>
      <c r="V245" s="55"/>
      <c r="W245" s="59"/>
      <c r="X245" s="55"/>
      <c r="Z245" s="55"/>
      <c r="AB245" s="55"/>
      <c r="AC245" s="59"/>
      <c r="AD245" s="55"/>
      <c r="AE245" s="59"/>
      <c r="AF245" s="55"/>
      <c r="AH245" s="55"/>
      <c r="AJ245" s="55"/>
      <c r="AL245" s="55"/>
      <c r="AN245" s="55"/>
      <c r="AP245" s="55"/>
      <c r="AQ245" s="59"/>
      <c r="AR245" s="55"/>
      <c r="AT245" s="55"/>
      <c r="AU245" s="59"/>
      <c r="AV245" s="55"/>
      <c r="AW245" s="59"/>
      <c r="AX245" s="55"/>
      <c r="AZ245" s="55"/>
    </row>
    <row r="246" spans="12:52" x14ac:dyDescent="0.3">
      <c r="L246" s="55"/>
      <c r="N246" s="55"/>
      <c r="P246" s="55"/>
      <c r="R246" s="55"/>
      <c r="T246" s="55"/>
      <c r="V246" s="55"/>
      <c r="W246" s="59"/>
      <c r="X246" s="55"/>
      <c r="Z246" s="55"/>
      <c r="AB246" s="55"/>
      <c r="AC246" s="59"/>
      <c r="AD246" s="55"/>
      <c r="AE246" s="59"/>
      <c r="AF246" s="55"/>
      <c r="AH246" s="55"/>
      <c r="AJ246" s="55"/>
      <c r="AL246" s="55"/>
      <c r="AN246" s="55"/>
      <c r="AP246" s="55"/>
      <c r="AQ246" s="59"/>
      <c r="AR246" s="55"/>
      <c r="AT246" s="55"/>
      <c r="AU246" s="59"/>
      <c r="AV246" s="55"/>
      <c r="AW246" s="59"/>
      <c r="AX246" s="55"/>
      <c r="AZ246" s="55"/>
    </row>
    <row r="247" spans="12:52" x14ac:dyDescent="0.3">
      <c r="L247" s="55"/>
      <c r="N247" s="55"/>
      <c r="P247" s="55"/>
      <c r="R247" s="55"/>
      <c r="T247" s="55"/>
      <c r="V247" s="55"/>
      <c r="W247" s="59"/>
      <c r="X247" s="55"/>
      <c r="Z247" s="55"/>
      <c r="AB247" s="55"/>
      <c r="AC247" s="59"/>
      <c r="AD247" s="55"/>
      <c r="AE247" s="59"/>
      <c r="AF247" s="55"/>
      <c r="AH247" s="55"/>
      <c r="AJ247" s="55"/>
      <c r="AL247" s="55"/>
      <c r="AN247" s="55"/>
      <c r="AP247" s="55"/>
      <c r="AQ247" s="59"/>
      <c r="AR247" s="55"/>
      <c r="AT247" s="55"/>
      <c r="AU247" s="59"/>
      <c r="AV247" s="55"/>
      <c r="AW247" s="59"/>
      <c r="AX247" s="55"/>
      <c r="AZ247" s="55"/>
    </row>
    <row r="248" spans="12:52" x14ac:dyDescent="0.3">
      <c r="L248" s="55"/>
      <c r="N248" s="55"/>
      <c r="P248" s="55"/>
      <c r="R248" s="55"/>
      <c r="T248" s="55"/>
      <c r="V248" s="55"/>
      <c r="W248" s="59"/>
      <c r="X248" s="55"/>
      <c r="Z248" s="55"/>
      <c r="AB248" s="55"/>
      <c r="AC248" s="59"/>
      <c r="AD248" s="55"/>
      <c r="AE248" s="59"/>
      <c r="AF248" s="55"/>
      <c r="AH248" s="55"/>
      <c r="AJ248" s="55"/>
      <c r="AL248" s="55"/>
      <c r="AN248" s="55"/>
      <c r="AP248" s="55"/>
      <c r="AQ248" s="59"/>
      <c r="AR248" s="55"/>
      <c r="AT248" s="55"/>
      <c r="AU248" s="59"/>
      <c r="AV248" s="55"/>
      <c r="AW248" s="59"/>
      <c r="AX248" s="55"/>
      <c r="AZ248" s="55"/>
    </row>
    <row r="249" spans="12:52" x14ac:dyDescent="0.3">
      <c r="L249" s="55"/>
      <c r="N249" s="55"/>
      <c r="P249" s="55"/>
      <c r="R249" s="55"/>
      <c r="T249" s="55"/>
      <c r="V249" s="55"/>
      <c r="W249" s="59"/>
      <c r="X249" s="55"/>
      <c r="Z249" s="55"/>
      <c r="AB249" s="55"/>
      <c r="AC249" s="59"/>
      <c r="AD249" s="55"/>
      <c r="AE249" s="59"/>
      <c r="AF249" s="55"/>
      <c r="AH249" s="55"/>
      <c r="AJ249" s="55"/>
      <c r="AL249" s="55"/>
      <c r="AN249" s="55"/>
      <c r="AP249" s="55"/>
      <c r="AQ249" s="59"/>
      <c r="AR249" s="55"/>
      <c r="AT249" s="55"/>
      <c r="AU249" s="59"/>
      <c r="AV249" s="55"/>
      <c r="AW249" s="59"/>
      <c r="AX249" s="55"/>
      <c r="AZ249" s="55"/>
    </row>
    <row r="250" spans="12:52" x14ac:dyDescent="0.3">
      <c r="L250" s="55"/>
      <c r="N250" s="55"/>
      <c r="P250" s="55"/>
      <c r="R250" s="55"/>
      <c r="T250" s="55"/>
      <c r="V250" s="55"/>
      <c r="W250" s="59"/>
      <c r="X250" s="55"/>
      <c r="Z250" s="55"/>
      <c r="AB250" s="55"/>
      <c r="AC250" s="59"/>
      <c r="AD250" s="55"/>
      <c r="AE250" s="59"/>
      <c r="AF250" s="55"/>
      <c r="AH250" s="55"/>
      <c r="AJ250" s="55"/>
      <c r="AL250" s="55"/>
      <c r="AN250" s="55"/>
      <c r="AP250" s="55"/>
      <c r="AQ250" s="59"/>
      <c r="AR250" s="55"/>
      <c r="AT250" s="55"/>
      <c r="AU250" s="59"/>
      <c r="AV250" s="55"/>
      <c r="AW250" s="59"/>
      <c r="AX250" s="55"/>
      <c r="AZ250" s="55"/>
    </row>
    <row r="251" spans="12:52" x14ac:dyDescent="0.3">
      <c r="L251" s="55"/>
      <c r="N251" s="55"/>
      <c r="P251" s="55"/>
      <c r="R251" s="55"/>
      <c r="T251" s="55"/>
      <c r="V251" s="55"/>
      <c r="W251" s="59"/>
      <c r="X251" s="55"/>
      <c r="Z251" s="55"/>
      <c r="AB251" s="55"/>
      <c r="AC251" s="59"/>
      <c r="AD251" s="55"/>
      <c r="AE251" s="59"/>
      <c r="AF251" s="55"/>
      <c r="AH251" s="55"/>
      <c r="AJ251" s="55"/>
      <c r="AL251" s="55"/>
      <c r="AN251" s="55"/>
      <c r="AP251" s="55"/>
      <c r="AQ251" s="59"/>
      <c r="AR251" s="55"/>
      <c r="AT251" s="55"/>
      <c r="AU251" s="59"/>
      <c r="AV251" s="55"/>
      <c r="AW251" s="59"/>
      <c r="AX251" s="55"/>
      <c r="AZ251" s="55"/>
    </row>
    <row r="252" spans="12:52" x14ac:dyDescent="0.3">
      <c r="L252" s="55"/>
      <c r="N252" s="55"/>
      <c r="P252" s="55"/>
      <c r="R252" s="55"/>
      <c r="T252" s="55"/>
      <c r="V252" s="55"/>
      <c r="W252" s="59"/>
      <c r="X252" s="55"/>
      <c r="Z252" s="55"/>
      <c r="AB252" s="55"/>
      <c r="AC252" s="59"/>
      <c r="AD252" s="55"/>
      <c r="AE252" s="59"/>
      <c r="AF252" s="55"/>
      <c r="AH252" s="55"/>
      <c r="AJ252" s="55"/>
      <c r="AL252" s="55"/>
      <c r="AN252" s="55"/>
      <c r="AP252" s="55"/>
      <c r="AQ252" s="59"/>
      <c r="AR252" s="55"/>
      <c r="AT252" s="55"/>
      <c r="AU252" s="59"/>
      <c r="AV252" s="55"/>
      <c r="AW252" s="59"/>
      <c r="AX252" s="55"/>
      <c r="AZ252" s="55"/>
    </row>
    <row r="253" spans="12:52" x14ac:dyDescent="0.3">
      <c r="L253" s="55"/>
      <c r="N253" s="55"/>
      <c r="P253" s="55"/>
      <c r="R253" s="55"/>
      <c r="T253" s="55"/>
      <c r="V253" s="55"/>
      <c r="W253" s="59"/>
      <c r="X253" s="55"/>
      <c r="Z253" s="55"/>
      <c r="AB253" s="55"/>
      <c r="AC253" s="59"/>
      <c r="AD253" s="55"/>
      <c r="AE253" s="59"/>
      <c r="AF253" s="55"/>
      <c r="AH253" s="55"/>
      <c r="AJ253" s="55"/>
      <c r="AL253" s="55"/>
      <c r="AN253" s="55"/>
      <c r="AP253" s="55"/>
      <c r="AQ253" s="59"/>
      <c r="AR253" s="55"/>
      <c r="AT253" s="55"/>
      <c r="AU253" s="59"/>
      <c r="AV253" s="55"/>
      <c r="AW253" s="59"/>
      <c r="AX253" s="55"/>
      <c r="AZ253" s="55"/>
    </row>
    <row r="254" spans="12:52" x14ac:dyDescent="0.3">
      <c r="L254" s="55"/>
      <c r="N254" s="55"/>
      <c r="P254" s="55"/>
      <c r="R254" s="55"/>
      <c r="T254" s="55"/>
      <c r="V254" s="55"/>
      <c r="W254" s="59"/>
      <c r="X254" s="55"/>
      <c r="Z254" s="55"/>
      <c r="AB254" s="55"/>
      <c r="AC254" s="59"/>
      <c r="AD254" s="55"/>
      <c r="AE254" s="59"/>
      <c r="AF254" s="55"/>
      <c r="AH254" s="55"/>
      <c r="AJ254" s="55"/>
      <c r="AL254" s="55"/>
      <c r="AN254" s="55"/>
      <c r="AP254" s="55"/>
      <c r="AQ254" s="59"/>
      <c r="AR254" s="55"/>
      <c r="AT254" s="55"/>
      <c r="AU254" s="59"/>
      <c r="AV254" s="55"/>
      <c r="AW254" s="59"/>
      <c r="AX254" s="55"/>
      <c r="AZ254" s="55"/>
    </row>
    <row r="255" spans="12:52" x14ac:dyDescent="0.3">
      <c r="L255" s="55"/>
      <c r="N255" s="55"/>
      <c r="P255" s="55"/>
      <c r="R255" s="55"/>
      <c r="T255" s="55"/>
      <c r="V255" s="55"/>
      <c r="W255" s="59"/>
      <c r="X255" s="55"/>
      <c r="Z255" s="55"/>
      <c r="AB255" s="55"/>
      <c r="AC255" s="59"/>
      <c r="AD255" s="55"/>
      <c r="AE255" s="59"/>
      <c r="AF255" s="55"/>
      <c r="AH255" s="55"/>
      <c r="AJ255" s="55"/>
      <c r="AL255" s="55"/>
      <c r="AN255" s="55"/>
      <c r="AP255" s="55"/>
      <c r="AQ255" s="59"/>
      <c r="AR255" s="55"/>
      <c r="AT255" s="55"/>
      <c r="AU255" s="59"/>
      <c r="AV255" s="55"/>
      <c r="AW255" s="59"/>
      <c r="AX255" s="55"/>
      <c r="AZ255" s="55"/>
    </row>
    <row r="256" spans="12:52" x14ac:dyDescent="0.3">
      <c r="L256" s="55"/>
      <c r="N256" s="55"/>
      <c r="P256" s="55"/>
      <c r="R256" s="55"/>
      <c r="T256" s="55"/>
      <c r="V256" s="55"/>
      <c r="W256" s="59"/>
      <c r="X256" s="55"/>
      <c r="Z256" s="55"/>
      <c r="AB256" s="55"/>
      <c r="AC256" s="59"/>
      <c r="AD256" s="55"/>
      <c r="AE256" s="59"/>
      <c r="AF256" s="55"/>
      <c r="AH256" s="55"/>
      <c r="AJ256" s="55"/>
      <c r="AL256" s="55"/>
      <c r="AN256" s="55"/>
      <c r="AP256" s="55"/>
      <c r="AQ256" s="59"/>
      <c r="AR256" s="55"/>
      <c r="AT256" s="55"/>
      <c r="AU256" s="59"/>
      <c r="AV256" s="55"/>
      <c r="AW256" s="59"/>
      <c r="AX256" s="55"/>
      <c r="AZ256" s="55"/>
    </row>
    <row r="257" spans="12:52" x14ac:dyDescent="0.3">
      <c r="L257" s="55"/>
      <c r="N257" s="55"/>
      <c r="P257" s="55"/>
      <c r="R257" s="55"/>
      <c r="T257" s="55"/>
      <c r="V257" s="55"/>
      <c r="W257" s="59"/>
      <c r="X257" s="55"/>
      <c r="Z257" s="55"/>
      <c r="AB257" s="55"/>
      <c r="AC257" s="59"/>
      <c r="AD257" s="55"/>
      <c r="AE257" s="59"/>
      <c r="AF257" s="55"/>
      <c r="AH257" s="55"/>
      <c r="AJ257" s="55"/>
      <c r="AL257" s="55"/>
      <c r="AN257" s="55"/>
      <c r="AP257" s="55"/>
      <c r="AQ257" s="59"/>
      <c r="AR257" s="55"/>
      <c r="AT257" s="55"/>
      <c r="AU257" s="59"/>
      <c r="AV257" s="55"/>
      <c r="AW257" s="59"/>
      <c r="AX257" s="55"/>
      <c r="AZ257" s="55"/>
    </row>
    <row r="258" spans="12:52" x14ac:dyDescent="0.3">
      <c r="L258" s="55"/>
      <c r="N258" s="55"/>
      <c r="P258" s="55"/>
      <c r="R258" s="55"/>
      <c r="T258" s="55"/>
      <c r="V258" s="55"/>
      <c r="W258" s="59"/>
      <c r="X258" s="55"/>
      <c r="Z258" s="55"/>
      <c r="AB258" s="55"/>
      <c r="AC258" s="59"/>
      <c r="AD258" s="55"/>
      <c r="AE258" s="59"/>
      <c r="AF258" s="55"/>
      <c r="AH258" s="55"/>
      <c r="AJ258" s="55"/>
      <c r="AL258" s="55"/>
      <c r="AN258" s="55"/>
      <c r="AP258" s="55"/>
      <c r="AQ258" s="59"/>
      <c r="AR258" s="55"/>
      <c r="AT258" s="55"/>
      <c r="AU258" s="59"/>
      <c r="AV258" s="55"/>
      <c r="AW258" s="59"/>
      <c r="AX258" s="55"/>
      <c r="AZ258" s="55"/>
    </row>
    <row r="259" spans="12:52" x14ac:dyDescent="0.3">
      <c r="L259" s="55"/>
      <c r="N259" s="55"/>
      <c r="P259" s="55"/>
      <c r="R259" s="55"/>
      <c r="T259" s="55"/>
      <c r="V259" s="55"/>
      <c r="W259" s="59"/>
      <c r="X259" s="55"/>
      <c r="Z259" s="55"/>
      <c r="AB259" s="55"/>
      <c r="AC259" s="59"/>
      <c r="AD259" s="55"/>
      <c r="AE259" s="59"/>
      <c r="AF259" s="55"/>
      <c r="AH259" s="55"/>
      <c r="AJ259" s="55"/>
      <c r="AL259" s="55"/>
      <c r="AN259" s="55"/>
      <c r="AP259" s="55"/>
      <c r="AQ259" s="59"/>
      <c r="AR259" s="55"/>
      <c r="AT259" s="55"/>
      <c r="AU259" s="59"/>
      <c r="AV259" s="55"/>
      <c r="AW259" s="59"/>
      <c r="AX259" s="55"/>
      <c r="AZ259" s="55"/>
    </row>
    <row r="260" spans="12:52" x14ac:dyDescent="0.3">
      <c r="L260" s="55"/>
      <c r="N260" s="55"/>
      <c r="P260" s="55"/>
      <c r="R260" s="55"/>
      <c r="T260" s="55"/>
      <c r="V260" s="55"/>
      <c r="W260" s="59"/>
      <c r="X260" s="55"/>
      <c r="Z260" s="55"/>
      <c r="AB260" s="55"/>
      <c r="AC260" s="59"/>
      <c r="AD260" s="55"/>
      <c r="AE260" s="59"/>
      <c r="AF260" s="55"/>
      <c r="AH260" s="55"/>
      <c r="AJ260" s="55"/>
      <c r="AL260" s="55"/>
      <c r="AN260" s="55"/>
      <c r="AP260" s="55"/>
      <c r="AQ260" s="59"/>
      <c r="AR260" s="55"/>
      <c r="AT260" s="55"/>
      <c r="AU260" s="59"/>
      <c r="AV260" s="55"/>
      <c r="AW260" s="59"/>
      <c r="AX260" s="55"/>
      <c r="AZ260" s="55"/>
    </row>
    <row r="261" spans="12:52" x14ac:dyDescent="0.3">
      <c r="L261" s="55"/>
      <c r="N261" s="55"/>
      <c r="P261" s="55"/>
      <c r="R261" s="55"/>
      <c r="T261" s="55"/>
      <c r="V261" s="55"/>
      <c r="W261" s="59"/>
      <c r="X261" s="55"/>
      <c r="Z261" s="55"/>
      <c r="AB261" s="55"/>
      <c r="AC261" s="59"/>
      <c r="AD261" s="55"/>
      <c r="AE261" s="59"/>
      <c r="AF261" s="55"/>
      <c r="AH261" s="55"/>
      <c r="AJ261" s="55"/>
      <c r="AL261" s="55"/>
      <c r="AN261" s="55"/>
      <c r="AP261" s="55"/>
      <c r="AQ261" s="59"/>
      <c r="AR261" s="55"/>
      <c r="AT261" s="55"/>
      <c r="AU261" s="59"/>
      <c r="AV261" s="55"/>
      <c r="AW261" s="59"/>
      <c r="AX261" s="55"/>
      <c r="AZ261" s="55"/>
    </row>
    <row r="262" spans="12:52" x14ac:dyDescent="0.3">
      <c r="L262" s="55"/>
      <c r="N262" s="55"/>
      <c r="P262" s="55"/>
      <c r="R262" s="55"/>
      <c r="T262" s="55"/>
      <c r="V262" s="55"/>
      <c r="W262" s="59"/>
      <c r="X262" s="55"/>
      <c r="Z262" s="55"/>
      <c r="AB262" s="55"/>
      <c r="AC262" s="59"/>
      <c r="AD262" s="55"/>
      <c r="AE262" s="59"/>
      <c r="AF262" s="55"/>
      <c r="AH262" s="55"/>
      <c r="AJ262" s="55"/>
      <c r="AL262" s="55"/>
      <c r="AN262" s="55"/>
      <c r="AP262" s="55"/>
      <c r="AQ262" s="59"/>
      <c r="AR262" s="55"/>
      <c r="AT262" s="55"/>
      <c r="AU262" s="59"/>
      <c r="AV262" s="55"/>
      <c r="AW262" s="59"/>
      <c r="AX262" s="55"/>
      <c r="AZ262" s="55"/>
    </row>
    <row r="263" spans="12:52" x14ac:dyDescent="0.3">
      <c r="L263" s="55"/>
      <c r="N263" s="55"/>
      <c r="P263" s="55"/>
      <c r="R263" s="55"/>
      <c r="T263" s="55"/>
      <c r="V263" s="55"/>
      <c r="W263" s="59"/>
      <c r="X263" s="55"/>
      <c r="Z263" s="55"/>
      <c r="AB263" s="55"/>
      <c r="AC263" s="59"/>
      <c r="AD263" s="55"/>
      <c r="AE263" s="59"/>
      <c r="AF263" s="55"/>
      <c r="AH263" s="55"/>
      <c r="AJ263" s="55"/>
      <c r="AL263" s="55"/>
      <c r="AN263" s="55"/>
      <c r="AP263" s="55"/>
      <c r="AQ263" s="59"/>
      <c r="AR263" s="55"/>
      <c r="AT263" s="55"/>
      <c r="AU263" s="59"/>
      <c r="AV263" s="55"/>
      <c r="AW263" s="59"/>
      <c r="AX263" s="55"/>
      <c r="AZ263" s="55"/>
    </row>
    <row r="264" spans="12:52" x14ac:dyDescent="0.3">
      <c r="L264" s="55"/>
      <c r="N264" s="55"/>
      <c r="P264" s="55"/>
      <c r="R264" s="55"/>
      <c r="T264" s="55"/>
      <c r="V264" s="55"/>
      <c r="W264" s="59"/>
      <c r="X264" s="55"/>
      <c r="Z264" s="55"/>
      <c r="AB264" s="55"/>
      <c r="AC264" s="59"/>
      <c r="AD264" s="55"/>
      <c r="AE264" s="59"/>
      <c r="AF264" s="55"/>
      <c r="AH264" s="55"/>
      <c r="AJ264" s="55"/>
      <c r="AL264" s="55"/>
      <c r="AN264" s="55"/>
      <c r="AP264" s="55"/>
      <c r="AQ264" s="59"/>
      <c r="AR264" s="55"/>
      <c r="AT264" s="55"/>
      <c r="AU264" s="59"/>
      <c r="AV264" s="55"/>
      <c r="AW264" s="59"/>
      <c r="AX264" s="55"/>
      <c r="AZ264" s="55"/>
    </row>
    <row r="265" spans="12:52" x14ac:dyDescent="0.3">
      <c r="L265" s="55"/>
      <c r="N265" s="55"/>
      <c r="P265" s="55"/>
      <c r="R265" s="55"/>
      <c r="T265" s="55"/>
      <c r="V265" s="55"/>
      <c r="W265" s="59"/>
      <c r="X265" s="55"/>
      <c r="Z265" s="55"/>
      <c r="AB265" s="55"/>
      <c r="AC265" s="59"/>
      <c r="AD265" s="55"/>
      <c r="AE265" s="59"/>
      <c r="AF265" s="55"/>
      <c r="AH265" s="55"/>
      <c r="AJ265" s="55"/>
      <c r="AL265" s="55"/>
      <c r="AN265" s="55"/>
      <c r="AP265" s="55"/>
      <c r="AQ265" s="59"/>
      <c r="AR265" s="55"/>
      <c r="AT265" s="55"/>
      <c r="AU265" s="59"/>
      <c r="AV265" s="55"/>
      <c r="AW265" s="59"/>
      <c r="AX265" s="55"/>
      <c r="AZ265" s="55"/>
    </row>
    <row r="266" spans="12:52" x14ac:dyDescent="0.3">
      <c r="L266" s="55"/>
      <c r="N266" s="55"/>
      <c r="P266" s="55"/>
      <c r="R266" s="55"/>
      <c r="T266" s="55"/>
      <c r="V266" s="55"/>
      <c r="W266" s="59"/>
      <c r="X266" s="55"/>
      <c r="Z266" s="55"/>
      <c r="AB266" s="55"/>
      <c r="AC266" s="59"/>
      <c r="AD266" s="55"/>
      <c r="AE266" s="59"/>
      <c r="AF266" s="55"/>
      <c r="AH266" s="55"/>
      <c r="AJ266" s="55"/>
      <c r="AL266" s="55"/>
      <c r="AN266" s="55"/>
      <c r="AP266" s="55"/>
      <c r="AQ266" s="59"/>
      <c r="AR266" s="55"/>
      <c r="AT266" s="55"/>
      <c r="AU266" s="59"/>
      <c r="AV266" s="55"/>
      <c r="AW266" s="59"/>
      <c r="AX266" s="55"/>
      <c r="AZ266" s="55"/>
    </row>
    <row r="267" spans="12:52" x14ac:dyDescent="0.3">
      <c r="L267" s="55"/>
      <c r="N267" s="55"/>
      <c r="P267" s="55"/>
      <c r="R267" s="55"/>
      <c r="T267" s="55"/>
      <c r="V267" s="55"/>
      <c r="W267" s="59"/>
      <c r="X267" s="55"/>
      <c r="Z267" s="55"/>
      <c r="AB267" s="55"/>
      <c r="AC267" s="59"/>
      <c r="AD267" s="55"/>
      <c r="AE267" s="59"/>
      <c r="AF267" s="55"/>
      <c r="AH267" s="55"/>
      <c r="AJ267" s="55"/>
      <c r="AL267" s="55"/>
      <c r="AN267" s="55"/>
      <c r="AP267" s="55"/>
      <c r="AQ267" s="59"/>
      <c r="AR267" s="55"/>
      <c r="AT267" s="55"/>
      <c r="AU267" s="59"/>
      <c r="AV267" s="55"/>
      <c r="AW267" s="59"/>
      <c r="AX267" s="55"/>
      <c r="AZ267" s="55"/>
    </row>
    <row r="268" spans="12:52" x14ac:dyDescent="0.3">
      <c r="L268" s="55"/>
      <c r="N268" s="55"/>
      <c r="P268" s="55"/>
      <c r="R268" s="55"/>
      <c r="T268" s="55"/>
      <c r="V268" s="55"/>
      <c r="W268" s="59"/>
      <c r="X268" s="55"/>
      <c r="Z268" s="55"/>
      <c r="AB268" s="55"/>
      <c r="AC268" s="59"/>
      <c r="AD268" s="55"/>
      <c r="AE268" s="59"/>
      <c r="AF268" s="55"/>
      <c r="AH268" s="55"/>
      <c r="AJ268" s="55"/>
      <c r="AL268" s="55"/>
      <c r="AN268" s="55"/>
      <c r="AP268" s="55"/>
      <c r="AQ268" s="59"/>
      <c r="AR268" s="55"/>
      <c r="AT268" s="55"/>
      <c r="AU268" s="59"/>
      <c r="AV268" s="55"/>
      <c r="AW268" s="59"/>
      <c r="AX268" s="55"/>
      <c r="AZ268" s="55"/>
    </row>
    <row r="269" spans="12:52" x14ac:dyDescent="0.3">
      <c r="L269" s="55"/>
      <c r="N269" s="55"/>
      <c r="P269" s="55"/>
      <c r="R269" s="55"/>
      <c r="T269" s="55"/>
      <c r="V269" s="55"/>
      <c r="W269" s="59"/>
      <c r="X269" s="55"/>
      <c r="Z269" s="55"/>
      <c r="AB269" s="55"/>
      <c r="AC269" s="59"/>
      <c r="AD269" s="55"/>
      <c r="AE269" s="59"/>
      <c r="AF269" s="55"/>
      <c r="AH269" s="55"/>
      <c r="AJ269" s="55"/>
      <c r="AL269" s="55"/>
      <c r="AN269" s="55"/>
      <c r="AP269" s="55"/>
      <c r="AQ269" s="59"/>
      <c r="AR269" s="55"/>
      <c r="AT269" s="55"/>
      <c r="AU269" s="59"/>
      <c r="AV269" s="55"/>
      <c r="AW269" s="59"/>
      <c r="AX269" s="55"/>
      <c r="AZ269" s="55"/>
    </row>
    <row r="270" spans="12:52" x14ac:dyDescent="0.3">
      <c r="L270" s="55"/>
      <c r="N270" s="55"/>
      <c r="P270" s="55"/>
      <c r="R270" s="55"/>
      <c r="T270" s="55"/>
      <c r="V270" s="55"/>
      <c r="W270" s="59"/>
      <c r="X270" s="55"/>
      <c r="Z270" s="55"/>
      <c r="AB270" s="55"/>
      <c r="AC270" s="59"/>
      <c r="AD270" s="55"/>
      <c r="AE270" s="59"/>
      <c r="AF270" s="55"/>
      <c r="AH270" s="55"/>
      <c r="AJ270" s="55"/>
      <c r="AL270" s="55"/>
      <c r="AN270" s="55"/>
      <c r="AP270" s="55"/>
      <c r="AQ270" s="59"/>
      <c r="AR270" s="55"/>
      <c r="AT270" s="55"/>
      <c r="AU270" s="59"/>
      <c r="AV270" s="55"/>
      <c r="AW270" s="59"/>
      <c r="AX270" s="55"/>
      <c r="AZ270" s="55"/>
    </row>
    <row r="271" spans="12:52" x14ac:dyDescent="0.3">
      <c r="L271" s="55"/>
      <c r="N271" s="55"/>
      <c r="P271" s="55"/>
      <c r="R271" s="55"/>
      <c r="T271" s="55"/>
      <c r="V271" s="55"/>
      <c r="W271" s="59"/>
      <c r="X271" s="55"/>
      <c r="Z271" s="55"/>
      <c r="AB271" s="55"/>
      <c r="AC271" s="59"/>
      <c r="AD271" s="55"/>
      <c r="AE271" s="59"/>
      <c r="AF271" s="55"/>
      <c r="AH271" s="55"/>
      <c r="AJ271" s="55"/>
      <c r="AL271" s="55"/>
      <c r="AN271" s="55"/>
      <c r="AP271" s="55"/>
      <c r="AQ271" s="59"/>
      <c r="AR271" s="55"/>
      <c r="AT271" s="55"/>
      <c r="AU271" s="59"/>
      <c r="AV271" s="55"/>
      <c r="AW271" s="59"/>
      <c r="AX271" s="55"/>
      <c r="AZ271" s="55"/>
    </row>
    <row r="272" spans="12:52" x14ac:dyDescent="0.3">
      <c r="L272" s="55"/>
      <c r="N272" s="55"/>
      <c r="P272" s="55"/>
      <c r="R272" s="55"/>
      <c r="T272" s="55"/>
      <c r="V272" s="55"/>
      <c r="W272" s="59"/>
      <c r="X272" s="55"/>
      <c r="Z272" s="55"/>
      <c r="AB272" s="55"/>
      <c r="AC272" s="59"/>
      <c r="AD272" s="55"/>
      <c r="AE272" s="59"/>
      <c r="AF272" s="55"/>
      <c r="AH272" s="55"/>
      <c r="AJ272" s="55"/>
      <c r="AL272" s="55"/>
      <c r="AN272" s="55"/>
      <c r="AP272" s="55"/>
      <c r="AQ272" s="59"/>
      <c r="AR272" s="55"/>
      <c r="AT272" s="55"/>
      <c r="AU272" s="59"/>
      <c r="AV272" s="55"/>
      <c r="AW272" s="59"/>
      <c r="AX272" s="55"/>
      <c r="AZ272" s="55"/>
    </row>
    <row r="273" spans="12:52" x14ac:dyDescent="0.3">
      <c r="L273" s="55"/>
      <c r="N273" s="55"/>
      <c r="P273" s="55"/>
      <c r="R273" s="55"/>
      <c r="T273" s="55"/>
      <c r="V273" s="55"/>
      <c r="W273" s="59"/>
      <c r="X273" s="55"/>
      <c r="Z273" s="55"/>
      <c r="AB273" s="55"/>
      <c r="AC273" s="59"/>
      <c r="AD273" s="55"/>
      <c r="AE273" s="59"/>
      <c r="AF273" s="55"/>
      <c r="AH273" s="55"/>
      <c r="AJ273" s="55"/>
      <c r="AL273" s="55"/>
      <c r="AN273" s="55"/>
      <c r="AP273" s="55"/>
      <c r="AQ273" s="59"/>
      <c r="AR273" s="55"/>
      <c r="AT273" s="55"/>
      <c r="AU273" s="59"/>
      <c r="AV273" s="55"/>
      <c r="AW273" s="59"/>
      <c r="AX273" s="55"/>
      <c r="AZ273" s="55"/>
    </row>
    <row r="274" spans="12:52" x14ac:dyDescent="0.3">
      <c r="L274" s="55"/>
      <c r="N274" s="55"/>
      <c r="P274" s="55"/>
      <c r="R274" s="55"/>
      <c r="T274" s="55"/>
      <c r="V274" s="55"/>
      <c r="W274" s="59"/>
      <c r="X274" s="55"/>
      <c r="Z274" s="55"/>
      <c r="AB274" s="55"/>
      <c r="AC274" s="59"/>
      <c r="AD274" s="55"/>
      <c r="AE274" s="59"/>
      <c r="AF274" s="55"/>
      <c r="AH274" s="55"/>
      <c r="AJ274" s="55"/>
      <c r="AL274" s="55"/>
      <c r="AN274" s="55"/>
      <c r="AP274" s="55"/>
      <c r="AQ274" s="59"/>
      <c r="AR274" s="55"/>
      <c r="AT274" s="55"/>
      <c r="AU274" s="59"/>
      <c r="AV274" s="55"/>
      <c r="AW274" s="59"/>
      <c r="AX274" s="55"/>
      <c r="AZ274" s="55"/>
    </row>
    <row r="275" spans="12:52" x14ac:dyDescent="0.3">
      <c r="L275" s="55"/>
      <c r="N275" s="55"/>
      <c r="P275" s="55"/>
      <c r="R275" s="55"/>
      <c r="T275" s="55"/>
      <c r="V275" s="55"/>
      <c r="W275" s="59"/>
      <c r="X275" s="55"/>
      <c r="Z275" s="55"/>
      <c r="AB275" s="55"/>
      <c r="AC275" s="59"/>
      <c r="AD275" s="55"/>
      <c r="AE275" s="59"/>
      <c r="AF275" s="55"/>
      <c r="AH275" s="55"/>
      <c r="AJ275" s="55"/>
      <c r="AL275" s="55"/>
      <c r="AN275" s="55"/>
      <c r="AP275" s="55"/>
      <c r="AQ275" s="59"/>
      <c r="AR275" s="55"/>
      <c r="AT275" s="55"/>
      <c r="AU275" s="59"/>
      <c r="AV275" s="55"/>
      <c r="AW275" s="59"/>
      <c r="AX275" s="55"/>
      <c r="AZ275" s="55"/>
    </row>
    <row r="276" spans="12:52" x14ac:dyDescent="0.3">
      <c r="L276" s="55"/>
      <c r="N276" s="55"/>
      <c r="P276" s="55"/>
      <c r="R276" s="55"/>
      <c r="T276" s="55"/>
      <c r="V276" s="55"/>
      <c r="W276" s="59"/>
      <c r="X276" s="55"/>
      <c r="Z276" s="55"/>
      <c r="AB276" s="55"/>
      <c r="AC276" s="59"/>
      <c r="AD276" s="55"/>
      <c r="AE276" s="59"/>
      <c r="AF276" s="55"/>
      <c r="AH276" s="55"/>
      <c r="AJ276" s="55"/>
      <c r="AL276" s="55"/>
      <c r="AN276" s="55"/>
      <c r="AP276" s="55"/>
      <c r="AQ276" s="59"/>
      <c r="AR276" s="55"/>
      <c r="AT276" s="55"/>
      <c r="AU276" s="59"/>
      <c r="AV276" s="55"/>
      <c r="AW276" s="59"/>
      <c r="AX276" s="55"/>
      <c r="AZ276" s="55"/>
    </row>
    <row r="277" spans="12:52" x14ac:dyDescent="0.3">
      <c r="L277" s="55"/>
      <c r="N277" s="55"/>
      <c r="P277" s="55"/>
      <c r="R277" s="55"/>
      <c r="T277" s="55"/>
      <c r="V277" s="55"/>
      <c r="W277" s="59"/>
      <c r="X277" s="55"/>
      <c r="Z277" s="55"/>
      <c r="AB277" s="55"/>
      <c r="AC277" s="59"/>
      <c r="AD277" s="55"/>
      <c r="AE277" s="59"/>
      <c r="AF277" s="55"/>
      <c r="AH277" s="55"/>
      <c r="AJ277" s="55"/>
      <c r="AL277" s="55"/>
      <c r="AN277" s="55"/>
      <c r="AP277" s="55"/>
      <c r="AQ277" s="59"/>
      <c r="AR277" s="55"/>
      <c r="AT277" s="55"/>
      <c r="AU277" s="59"/>
      <c r="AV277" s="55"/>
      <c r="AW277" s="59"/>
      <c r="AX277" s="55"/>
      <c r="AZ277" s="55"/>
    </row>
    <row r="278" spans="12:52" x14ac:dyDescent="0.3">
      <c r="L278" s="55"/>
      <c r="N278" s="55"/>
      <c r="P278" s="55"/>
      <c r="R278" s="55"/>
      <c r="T278" s="55"/>
      <c r="V278" s="55"/>
      <c r="W278" s="59"/>
      <c r="X278" s="55"/>
      <c r="Z278" s="55"/>
      <c r="AB278" s="55"/>
      <c r="AC278" s="59"/>
      <c r="AD278" s="55"/>
      <c r="AE278" s="59"/>
      <c r="AF278" s="55"/>
      <c r="AH278" s="55"/>
      <c r="AJ278" s="55"/>
      <c r="AL278" s="55"/>
      <c r="AN278" s="55"/>
      <c r="AP278" s="55"/>
      <c r="AQ278" s="59"/>
      <c r="AR278" s="55"/>
      <c r="AT278" s="55"/>
      <c r="AU278" s="59"/>
      <c r="AV278" s="55"/>
      <c r="AW278" s="59"/>
      <c r="AX278" s="55"/>
      <c r="AZ278" s="55"/>
    </row>
    <row r="279" spans="12:52" x14ac:dyDescent="0.3">
      <c r="L279" s="55"/>
      <c r="N279" s="55"/>
      <c r="P279" s="55"/>
      <c r="R279" s="55"/>
      <c r="T279" s="55"/>
      <c r="V279" s="55"/>
      <c r="W279" s="59"/>
      <c r="X279" s="55"/>
      <c r="Z279" s="55"/>
      <c r="AB279" s="55"/>
      <c r="AC279" s="59"/>
      <c r="AD279" s="55"/>
      <c r="AE279" s="59"/>
      <c r="AF279" s="55"/>
      <c r="AH279" s="55"/>
      <c r="AJ279" s="55"/>
      <c r="AL279" s="55"/>
      <c r="AN279" s="55"/>
      <c r="AP279" s="55"/>
      <c r="AQ279" s="59"/>
      <c r="AR279" s="55"/>
      <c r="AT279" s="55"/>
      <c r="AU279" s="59"/>
      <c r="AV279" s="55"/>
      <c r="AW279" s="59"/>
      <c r="AX279" s="55"/>
      <c r="AZ279" s="55"/>
    </row>
    <row r="280" spans="12:52" x14ac:dyDescent="0.3">
      <c r="L280" s="55"/>
      <c r="N280" s="55"/>
      <c r="P280" s="55"/>
      <c r="R280" s="55"/>
      <c r="T280" s="55"/>
      <c r="V280" s="55"/>
      <c r="W280" s="59"/>
      <c r="X280" s="55"/>
      <c r="Z280" s="55"/>
      <c r="AB280" s="55"/>
      <c r="AC280" s="59"/>
      <c r="AD280" s="55"/>
      <c r="AE280" s="59"/>
      <c r="AF280" s="55"/>
      <c r="AH280" s="55"/>
      <c r="AJ280" s="55"/>
      <c r="AL280" s="55"/>
      <c r="AN280" s="55"/>
      <c r="AP280" s="55"/>
      <c r="AQ280" s="59"/>
      <c r="AR280" s="55"/>
      <c r="AT280" s="55"/>
      <c r="AU280" s="59"/>
      <c r="AV280" s="55"/>
      <c r="AW280" s="59"/>
      <c r="AX280" s="55"/>
      <c r="AZ280" s="55"/>
    </row>
    <row r="281" spans="12:52" x14ac:dyDescent="0.3">
      <c r="L281" s="55"/>
      <c r="N281" s="55"/>
      <c r="P281" s="55"/>
      <c r="R281" s="55"/>
      <c r="T281" s="55"/>
      <c r="V281" s="55"/>
      <c r="W281" s="59"/>
      <c r="X281" s="55"/>
      <c r="Z281" s="55"/>
      <c r="AB281" s="55"/>
      <c r="AC281" s="59"/>
      <c r="AD281" s="55"/>
      <c r="AE281" s="59"/>
      <c r="AF281" s="55"/>
      <c r="AH281" s="55"/>
      <c r="AJ281" s="55"/>
      <c r="AL281" s="55"/>
      <c r="AN281" s="55"/>
      <c r="AP281" s="55"/>
      <c r="AQ281" s="59"/>
      <c r="AR281" s="55"/>
      <c r="AT281" s="55"/>
      <c r="AU281" s="59"/>
      <c r="AV281" s="55"/>
      <c r="AW281" s="59"/>
      <c r="AX281" s="55"/>
      <c r="AZ281" s="55"/>
    </row>
    <row r="282" spans="12:52" x14ac:dyDescent="0.3">
      <c r="L282" s="55"/>
      <c r="N282" s="55"/>
      <c r="P282" s="55"/>
      <c r="R282" s="55"/>
      <c r="T282" s="55"/>
      <c r="V282" s="55"/>
      <c r="W282" s="59"/>
      <c r="X282" s="55"/>
      <c r="Z282" s="55"/>
      <c r="AB282" s="55"/>
      <c r="AC282" s="59"/>
      <c r="AD282" s="55"/>
      <c r="AE282" s="59"/>
      <c r="AF282" s="55"/>
      <c r="AH282" s="55"/>
      <c r="AJ282" s="55"/>
      <c r="AL282" s="55"/>
      <c r="AN282" s="55"/>
      <c r="AP282" s="55"/>
      <c r="AQ282" s="59"/>
      <c r="AR282" s="55"/>
      <c r="AT282" s="55"/>
      <c r="AU282" s="59"/>
      <c r="AV282" s="55"/>
      <c r="AW282" s="59"/>
      <c r="AX282" s="55"/>
      <c r="AZ282" s="55"/>
    </row>
    <row r="283" spans="12:52" x14ac:dyDescent="0.3">
      <c r="L283" s="55"/>
      <c r="N283" s="55"/>
      <c r="P283" s="55"/>
      <c r="R283" s="55"/>
      <c r="T283" s="55"/>
      <c r="V283" s="55"/>
      <c r="W283" s="59"/>
      <c r="X283" s="55"/>
      <c r="Z283" s="55"/>
      <c r="AB283" s="55"/>
      <c r="AC283" s="59"/>
      <c r="AE283" s="59"/>
      <c r="AQ283" s="59"/>
      <c r="AU283" s="59"/>
      <c r="AW283" s="59"/>
    </row>
    <row r="284" spans="12:52" x14ac:dyDescent="0.3">
      <c r="L284" s="55"/>
      <c r="N284" s="55"/>
      <c r="P284" s="55"/>
      <c r="R284" s="55"/>
      <c r="T284" s="55"/>
      <c r="V284" s="55"/>
      <c r="W284" s="59"/>
      <c r="X284" s="55"/>
      <c r="Z284" s="55"/>
      <c r="AB284" s="55"/>
      <c r="AC284" s="59"/>
      <c r="AE284" s="59"/>
      <c r="AQ284" s="59"/>
      <c r="AU284" s="59"/>
      <c r="AW284" s="59"/>
    </row>
    <row r="285" spans="12:52" x14ac:dyDescent="0.3">
      <c r="L285" s="55"/>
      <c r="N285" s="55"/>
      <c r="P285" s="55"/>
      <c r="R285" s="55"/>
      <c r="T285" s="55"/>
      <c r="V285" s="55"/>
      <c r="W285" s="59"/>
      <c r="X285" s="55"/>
      <c r="Z285" s="55"/>
      <c r="AB285" s="55"/>
      <c r="AC285" s="59"/>
      <c r="AE285" s="59"/>
      <c r="AQ285" s="59"/>
      <c r="AU285" s="59"/>
      <c r="AW285" s="59"/>
    </row>
    <row r="286" spans="12:52" x14ac:dyDescent="0.3">
      <c r="L286" s="55"/>
      <c r="N286" s="55"/>
      <c r="P286" s="55"/>
      <c r="R286" s="55"/>
      <c r="T286" s="55"/>
      <c r="V286" s="55"/>
      <c r="W286" s="59"/>
      <c r="X286" s="55"/>
      <c r="Z286" s="55"/>
      <c r="AB286" s="55"/>
      <c r="AC286" s="59"/>
      <c r="AE286" s="59"/>
      <c r="AQ286" s="59"/>
      <c r="AU286" s="59"/>
      <c r="AW286" s="59"/>
    </row>
    <row r="287" spans="12:52" x14ac:dyDescent="0.3">
      <c r="L287" s="55"/>
      <c r="N287" s="55"/>
      <c r="P287" s="55"/>
      <c r="R287" s="55"/>
      <c r="T287" s="55"/>
      <c r="V287" s="55"/>
      <c r="W287" s="59"/>
      <c r="X287" s="55"/>
      <c r="Z287" s="55"/>
      <c r="AB287" s="55"/>
      <c r="AC287" s="59"/>
      <c r="AE287" s="59"/>
      <c r="AQ287" s="59"/>
      <c r="AU287" s="59"/>
      <c r="AW287" s="59"/>
    </row>
    <row r="288" spans="12:52" x14ac:dyDescent="0.3">
      <c r="L288" s="55"/>
      <c r="N288" s="55"/>
      <c r="P288" s="55"/>
      <c r="R288" s="55"/>
      <c r="T288" s="55"/>
      <c r="V288" s="55"/>
      <c r="W288" s="59"/>
      <c r="X288" s="55"/>
      <c r="Z288" s="55"/>
      <c r="AB288" s="55"/>
      <c r="AC288" s="59"/>
      <c r="AE288" s="59"/>
      <c r="AU288" s="59"/>
      <c r="AW288" s="59"/>
    </row>
    <row r="289" spans="12:49" x14ac:dyDescent="0.3">
      <c r="L289" s="55"/>
      <c r="N289" s="55"/>
      <c r="P289" s="55"/>
      <c r="R289" s="55"/>
      <c r="T289" s="55"/>
      <c r="V289" s="55"/>
      <c r="W289" s="59"/>
      <c r="X289" s="55"/>
      <c r="Z289" s="55"/>
      <c r="AB289" s="55"/>
      <c r="AC289" s="59"/>
      <c r="AE289" s="59"/>
      <c r="AW289" s="59"/>
    </row>
    <row r="290" spans="12:49" x14ac:dyDescent="0.3">
      <c r="L290" s="55"/>
      <c r="N290" s="55"/>
      <c r="P290" s="55"/>
      <c r="R290" s="55"/>
      <c r="T290" s="55"/>
      <c r="V290" s="55"/>
      <c r="W290" s="59"/>
      <c r="X290" s="55"/>
      <c r="Z290" s="55"/>
      <c r="AB290" s="55"/>
      <c r="AC290" s="59"/>
      <c r="AE290" s="59"/>
      <c r="AW290" s="59"/>
    </row>
    <row r="291" spans="12:49" x14ac:dyDescent="0.3">
      <c r="L291" s="55"/>
      <c r="N291" s="55"/>
      <c r="P291" s="55"/>
      <c r="R291" s="55"/>
      <c r="T291" s="55"/>
      <c r="V291" s="55"/>
      <c r="W291" s="59"/>
      <c r="X291" s="55"/>
      <c r="Z291" s="55"/>
      <c r="AB291" s="55"/>
      <c r="AC291" s="59"/>
      <c r="AE291" s="59"/>
      <c r="AW291" s="59"/>
    </row>
    <row r="292" spans="12:49" x14ac:dyDescent="0.3">
      <c r="L292" s="55"/>
      <c r="N292" s="55"/>
      <c r="P292" s="55"/>
      <c r="R292" s="55"/>
      <c r="T292" s="55"/>
      <c r="V292" s="55"/>
      <c r="X292" s="55"/>
      <c r="Z292" s="55"/>
      <c r="AB292" s="55"/>
      <c r="AC292" s="59"/>
      <c r="AE292" s="59"/>
      <c r="AW292" s="59"/>
    </row>
    <row r="293" spans="12:49" x14ac:dyDescent="0.3">
      <c r="L293" s="55"/>
      <c r="N293" s="55"/>
      <c r="P293" s="55"/>
      <c r="R293" s="55"/>
      <c r="T293" s="55"/>
      <c r="V293" s="55"/>
      <c r="X293" s="55"/>
      <c r="Z293" s="55"/>
      <c r="AB293" s="55"/>
      <c r="AC293" s="59"/>
      <c r="AE293" s="59"/>
      <c r="AW293" s="59"/>
    </row>
    <row r="294" spans="12:49" x14ac:dyDescent="0.3">
      <c r="L294" s="55"/>
      <c r="N294" s="55"/>
      <c r="P294" s="55"/>
      <c r="R294" s="55"/>
      <c r="T294" s="55"/>
      <c r="V294" s="55"/>
      <c r="X294" s="55"/>
      <c r="Z294" s="55"/>
      <c r="AB294" s="55"/>
      <c r="AC294" s="59"/>
      <c r="AE294" s="59"/>
    </row>
    <row r="295" spans="12:49" x14ac:dyDescent="0.3">
      <c r="L295" s="55"/>
      <c r="N295" s="55"/>
      <c r="P295" s="55"/>
      <c r="R295" s="55"/>
      <c r="T295" s="55"/>
      <c r="V295" s="55"/>
      <c r="X295" s="55"/>
      <c r="Z295" s="55"/>
      <c r="AB295" s="55"/>
      <c r="AC295" s="59"/>
      <c r="AE295" s="59"/>
    </row>
    <row r="296" spans="12:49" x14ac:dyDescent="0.3">
      <c r="L296" s="55"/>
      <c r="N296" s="55"/>
      <c r="P296" s="55"/>
      <c r="R296" s="55"/>
      <c r="T296" s="55"/>
      <c r="V296" s="55"/>
      <c r="X296" s="55"/>
      <c r="Z296" s="55"/>
      <c r="AB296" s="55"/>
      <c r="AE296" s="59"/>
    </row>
    <row r="297" spans="12:49" x14ac:dyDescent="0.3">
      <c r="L297" s="55"/>
      <c r="N297" s="55"/>
      <c r="P297" s="55"/>
      <c r="R297" s="55"/>
      <c r="T297" s="55"/>
      <c r="V297" s="55"/>
      <c r="X297" s="55"/>
      <c r="Z297" s="55"/>
      <c r="AB297" s="55"/>
      <c r="AE297" s="59"/>
    </row>
    <row r="298" spans="12:49" x14ac:dyDescent="0.3">
      <c r="L298" s="55"/>
      <c r="N298" s="55"/>
      <c r="P298" s="55"/>
      <c r="R298" s="55"/>
      <c r="T298" s="55"/>
      <c r="V298" s="55"/>
      <c r="X298" s="55"/>
      <c r="Z298" s="55"/>
      <c r="AB298" s="55"/>
    </row>
    <row r="299" spans="12:49" x14ac:dyDescent="0.3">
      <c r="L299" s="55"/>
      <c r="N299" s="55"/>
      <c r="P299" s="55"/>
      <c r="R299" s="55"/>
      <c r="T299" s="55"/>
      <c r="V299" s="55"/>
      <c r="X299" s="55"/>
      <c r="Z299" s="55"/>
      <c r="AB299" s="55"/>
    </row>
    <row r="300" spans="12:49" x14ac:dyDescent="0.3">
      <c r="L300" s="55"/>
      <c r="N300" s="55"/>
      <c r="P300" s="55"/>
      <c r="R300" s="55"/>
      <c r="T300" s="55"/>
      <c r="V300" s="55"/>
      <c r="X300" s="55"/>
      <c r="Z300" s="55"/>
      <c r="AB300" s="55"/>
    </row>
    <row r="301" spans="12:49" x14ac:dyDescent="0.3">
      <c r="L301" s="55"/>
      <c r="N301" s="55"/>
      <c r="P301" s="55"/>
      <c r="R301" s="55"/>
      <c r="T301" s="55"/>
      <c r="V301" s="55"/>
      <c r="X301" s="55"/>
      <c r="Z301" s="55"/>
      <c r="AB301" s="55"/>
    </row>
    <row r="302" spans="12:49" x14ac:dyDescent="0.3">
      <c r="L302" s="55"/>
      <c r="N302" s="55"/>
      <c r="P302" s="55"/>
      <c r="R302" s="55"/>
      <c r="T302" s="55"/>
      <c r="V302" s="55"/>
      <c r="X302" s="55"/>
      <c r="Z302" s="55"/>
      <c r="AB302" s="55"/>
    </row>
  </sheetData>
  <sortState xmlns:xlrd2="http://schemas.microsoft.com/office/spreadsheetml/2017/richdata2"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검색조건!$M$5:$M$7</xm:f>
          </x14:formula1>
          <xm:sqref>C13</xm:sqref>
        </x14:dataValidation>
        <x14:dataValidation type="list" allowBlank="1" showInputMessage="1" showErrorMessage="1" xr:uid="{00000000-0002-0000-0100-000001000000}">
          <x14:formula1>
            <xm:f>검색조건!$O$5:$O$7</xm:f>
          </x14:formula1>
          <xm:sqref>C15</xm:sqref>
        </x14:dataValidation>
        <x14:dataValidation type="list" allowBlank="1" showInputMessage="1" showErrorMessage="1" xr:uid="{00000000-0002-0000-0100-000002000000}">
          <x14:formula1>
            <xm:f>검색조건!$C$5:$C$21</xm:f>
          </x14:formula1>
          <xm:sqref>C4</xm:sqref>
        </x14:dataValidation>
        <x14:dataValidation type="list" allowBlank="1" showInputMessage="1" showErrorMessage="1" xr:uid="{00000000-0002-0000-0100-000003000000}">
          <x14:formula1>
            <xm:f>검색조건!$I$5:$I$18</xm:f>
          </x14:formula1>
          <xm:sqref>C9</xm:sqref>
        </x14:dataValidation>
        <x14:dataValidation type="list" allowBlank="1" showInputMessage="1" showErrorMessage="1" xr:uid="{00000000-0002-0000-0100-000004000000}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2020-07-06T23:05:32Z</dcterms:modified>
</cp:coreProperties>
</file>