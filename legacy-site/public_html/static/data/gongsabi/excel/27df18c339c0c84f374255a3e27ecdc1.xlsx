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E68" i="4" l="1"/>
  <c r="D88" i="4"/>
  <c r="E44" i="4"/>
  <c r="E63" i="4" l="1"/>
  <c r="E59" i="4"/>
  <c r="E53" i="4" l="1"/>
  <c r="D89" i="4"/>
  <c r="D21" i="4" s="1"/>
  <c r="E21" i="4" s="1"/>
  <c r="E34" i="4"/>
  <c r="E35" i="4"/>
  <c r="E52" i="4"/>
  <c r="E151" i="4"/>
  <c r="E152" i="4"/>
  <c r="E153" i="4"/>
  <c r="E154" i="4"/>
  <c r="E143" i="4"/>
  <c r="E148" i="4" s="1"/>
  <c r="E144" i="4"/>
  <c r="E145" i="4"/>
  <c r="E146" i="4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4" i="4"/>
  <c r="E65" i="4"/>
  <c r="E66" i="4"/>
  <c r="E67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60" i="4" s="1"/>
  <c r="E58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31" i="4"/>
  <c r="D54" i="4"/>
  <c r="D19" i="4" s="1"/>
  <c r="D60" i="4"/>
  <c r="D20" i="4" s="1"/>
  <c r="E20" i="4" s="1"/>
  <c r="D113" i="4"/>
  <c r="D22" i="4" s="1"/>
  <c r="E22" i="4" s="1"/>
  <c r="D127" i="4"/>
  <c r="D23" i="4" s="1"/>
  <c r="E23" i="4" s="1"/>
  <c r="D140" i="4"/>
  <c r="D24" i="4"/>
  <c r="E24" i="4" s="1"/>
  <c r="D18" i="4"/>
  <c r="E18" i="4" s="1"/>
  <c r="D155" i="4"/>
  <c r="D26" i="4" s="1"/>
  <c r="E26" i="4" s="1"/>
  <c r="D148" i="4"/>
  <c r="D7" i="4"/>
  <c r="D25" i="4"/>
  <c r="E25" i="4" s="1"/>
  <c r="V34" i="4"/>
  <c r="V63" i="4"/>
  <c r="T34" i="4"/>
  <c r="T63" i="4"/>
  <c r="I5" i="4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M31" i="1"/>
  <c r="E140" i="4" l="1"/>
  <c r="E155" i="4"/>
  <c r="E127" i="4"/>
  <c r="E89" i="4"/>
  <c r="D27" i="4"/>
  <c r="E27" i="4" s="1"/>
  <c r="E113" i="4"/>
  <c r="E19" i="4"/>
  <c r="E54" i="4"/>
  <c r="D28" i="4" l="1"/>
  <c r="E28" i="4"/>
</calcChain>
</file>

<file path=xl/sharedStrings.xml><?xml version="1.0" encoding="utf-8"?>
<sst xmlns="http://schemas.openxmlformats.org/spreadsheetml/2006/main" count="587" uniqueCount="227">
  <si>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</si>
  <si>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</si>
  <si>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</si>
  <si>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</si>
  <si>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</si>
  <si>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</si>
  <si>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</si>
  <si>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</si>
  <si>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</si>
  <si>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</si>
  <si>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</si>
  <si>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</si>
  <si>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</si>
  <si>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</si>
  <si>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</si>
  <si>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</si>
  <si>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</si>
  <si>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</si>
  <si>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</si>
  <si>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</si>
  <si>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</si>
  <si>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</si>
  <si>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</si>
  <si>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</si>
  <si>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</si>
  <si>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</si>
  <si>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</si>
  <si>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</si>
  <si>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</si>
  <si>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</si>
  <si>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</si>
  <si>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</si>
  <si>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</si>
  <si>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</si>
  <si>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</si>
  <si>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</si>
  <si>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</si>
  <si>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</si>
  <si>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</si>
  <si>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</si>
  <si>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</si>
  <si>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</si>
  <si>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</si>
  <si>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</si>
  <si>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</si>
  <si>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</si>
  <si>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</si>
  <si>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</si>
  <si>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</si>
  <si>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</si>
  <si>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</si>
  <si>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</si>
  <si>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</si>
  <si>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</si>
  <si>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</si>
  <si>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</si>
  <si>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</si>
  <si>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</si>
  <si>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</si>
  <si>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</si>
  <si>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</si>
  <si>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</si>
  <si>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</si>
  <si>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</si>
  <si>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</si>
  <si>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</si>
  <si>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</si>
  <si>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</si>
  <si>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</si>
  <si>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</si>
  <si>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</si>
  <si>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</si>
  <si>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</si>
  <si>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</si>
  <si>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</si>
  <si>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</si>
  <si>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</si>
  <si>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</si>
  <si>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</si>
  <si>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</si>
  <si>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</si>
  <si>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</si>
  <si>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</si>
  <si>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</si>
  <si>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</si>
  <si>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</si>
  <si>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</si>
  <si>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</si>
  <si>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</si>
  <si>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</si>
  <si>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</si>
  <si>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</si>
  <si>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</si>
  <si>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</si>
  <si>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</si>
  <si>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</si>
  <si>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</si>
  <si>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</si>
  <si>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</si>
  <si>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</si>
  <si>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</si>
  <si>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</si>
  <si>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</si>
  <si>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</si>
  <si>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</si>
  <si>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</si>
  <si>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</si>
  <si>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</si>
  <si>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</si>
  <si>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</si>
  <si>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</si>
  <si>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</si>
  <si>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</si>
  <si>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</si>
  <si>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</si>
  <si>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</si>
  <si>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</si>
  <si>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</si>
  <si>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</si>
  <si>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</si>
  <si>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</si>
  <si>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</si>
  <si>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</si>
  <si>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</si>
  <si>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</si>
  <si>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</si>
  <si>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</si>
  <si>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</si>
  <si>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</si>
  <si>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</si>
  <si>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</si>
  <si>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</si>
  <si>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</si>
  <si>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</si>
  <si>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</si>
  <si>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</si>
  <si>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</si>
  <si>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</si>
  <si>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</si>
  <si>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</si>
  <si>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</si>
  <si>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</si>
  <si>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</si>
  <si>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</si>
  <si>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</si>
  <si>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</si>
  <si>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</si>
  <si>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</si>
  <si>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</si>
  <si>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</si>
  <si>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</si>
  <si>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</si>
  <si>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</si>
  <si>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</si>
  <si>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</si>
  <si>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</si>
  <si>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</si>
  <si>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</si>
  <si>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</si>
  <si>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</si>
  <si>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</si>
  <si>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</si>
  <si>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</si>
  <si>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</si>
  <si>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</si>
  <si>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</si>
  <si>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</si>
  <si>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</si>
  <si>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</si>
  <si>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</si>
  <si>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</si>
  <si>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</si>
  <si>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</si>
  <si>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</si>
  <si>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</si>
  <si>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</si>
  <si>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</si>
  <si>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</si>
  <si>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</si>
  <si>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</si>
  <si>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</si>
  <si>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</si>
  <si>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</si>
  <si>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</si>
  <si>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</si>
  <si>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</si>
  <si>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</si>
  <si>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</si>
  <si>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</si>
  <si>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</si>
  <si>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</si>
  <si>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</si>
  <si>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</si>
  <si>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</si>
  <si>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업무</t>
  </si>
  <si>
    <t>경찰서1</t>
    <phoneticPr fontId="2" type="noConversion"/>
  </si>
  <si>
    <t>인천시</t>
  </si>
  <si>
    <t>마감공사</t>
    <phoneticPr fontId="2" type="noConversion"/>
  </si>
  <si>
    <t>제경비(VAT 별도)</t>
    <phoneticPr fontId="2" type="noConversion"/>
  </si>
  <si>
    <t>전기소방</t>
    <phoneticPr fontId="2" type="noConversion"/>
  </si>
  <si>
    <t>창호</t>
    <phoneticPr fontId="2" type="noConversion"/>
  </si>
  <si>
    <t>2000년</t>
    <phoneticPr fontId="2" type="noConversion"/>
  </si>
  <si>
    <t>2001년</t>
    <phoneticPr fontId="2" type="noConversion"/>
  </si>
  <si>
    <t>2002년</t>
    <phoneticPr fontId="2" type="noConversion"/>
  </si>
  <si>
    <t>2003년</t>
    <phoneticPr fontId="2" type="noConversion"/>
  </si>
  <si>
    <t>2004년</t>
  </si>
  <si>
    <t>2004년</t>
    <phoneticPr fontId="2" type="noConversion"/>
  </si>
  <si>
    <t>2005년</t>
  </si>
  <si>
    <t>2006년</t>
  </si>
  <si>
    <t>2007년</t>
  </si>
  <si>
    <t>2008년</t>
  </si>
  <si>
    <t>2009년</t>
  </si>
  <si>
    <t>2010년</t>
  </si>
  <si>
    <t>2011년</t>
  </si>
  <si>
    <t>2012년</t>
  </si>
  <si>
    <t>2013년</t>
  </si>
  <si>
    <t>2014년</t>
  </si>
  <si>
    <t>2015년</t>
  </si>
  <si>
    <t>2016년</t>
  </si>
  <si>
    <t>2017년</t>
  </si>
  <si>
    <t>2018년</t>
  </si>
  <si>
    <t>2019년</t>
  </si>
  <si>
    <t>2020년</t>
  </si>
  <si>
    <t>가스설비</t>
    <phoneticPr fontId="2" type="noConversion"/>
  </si>
  <si>
    <t>기타설비</t>
    <phoneticPr fontId="2" type="noConversion"/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</si>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</sst>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topLeftCell="A5"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4" t="s">
        <v>0</v>
      </c>
      <c r="B2" s="77" t="s">
        <v>1</v>
      </c>
      <c r="C2" s="78"/>
      <c r="D2" s="77" t="s">
        <v>2</v>
      </c>
      <c r="E2" s="78"/>
      <c r="F2" s="77" t="s">
        <v>123</v>
      </c>
      <c r="G2" s="78"/>
      <c r="H2" s="77" t="s">
        <v>3</v>
      </c>
      <c r="I2" s="78"/>
      <c r="J2" s="77" t="s">
        <v>4</v>
      </c>
      <c r="K2" s="78"/>
      <c r="L2" s="77" t="s">
        <v>5</v>
      </c>
      <c r="M2" s="78"/>
      <c r="N2" s="77" t="s">
        <v>70</v>
      </c>
      <c r="O2" s="78"/>
      <c r="P2" s="77" t="s">
        <v>9</v>
      </c>
      <c r="Q2" s="78"/>
      <c r="R2" s="71" t="s">
        <v>124</v>
      </c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3"/>
    </row>
    <row r="3" spans="1:33" x14ac:dyDescent="0.3">
      <c r="A3" s="75"/>
      <c r="B3" s="79"/>
      <c r="C3" s="80"/>
      <c r="D3" s="79"/>
      <c r="E3" s="80"/>
      <c r="F3" s="79"/>
      <c r="G3" s="80"/>
      <c r="H3" s="79"/>
      <c r="I3" s="80"/>
      <c r="J3" s="79"/>
      <c r="K3" s="80"/>
      <c r="L3" s="79"/>
      <c r="M3" s="80"/>
      <c r="N3" s="79"/>
      <c r="O3" s="80"/>
      <c r="P3" s="79"/>
      <c r="Q3" s="80"/>
      <c r="R3" s="61" t="s">
        <v>10</v>
      </c>
      <c r="S3" s="62"/>
      <c r="T3" s="61" t="s">
        <v>125</v>
      </c>
      <c r="U3" s="62"/>
      <c r="V3" s="61" t="s">
        <v>126</v>
      </c>
      <c r="W3" s="62"/>
      <c r="X3" s="61" t="s">
        <v>127</v>
      </c>
      <c r="Y3" s="62"/>
      <c r="Z3" s="61" t="s">
        <v>128</v>
      </c>
      <c r="AA3" s="62"/>
      <c r="AB3" s="61" t="s">
        <v>129</v>
      </c>
      <c r="AC3" s="62"/>
      <c r="AD3" s="61" t="s">
        <v>130</v>
      </c>
      <c r="AE3" s="62"/>
      <c r="AF3" s="61" t="s">
        <v>131</v>
      </c>
      <c r="AG3" s="62"/>
    </row>
    <row r="4" spans="1:33" x14ac:dyDescent="0.3">
      <c r="A4" s="76"/>
      <c r="B4" s="81"/>
      <c r="C4" s="82"/>
      <c r="D4" s="81"/>
      <c r="E4" s="82"/>
      <c r="F4" s="81"/>
      <c r="G4" s="82"/>
      <c r="H4" s="81"/>
      <c r="I4" s="82"/>
      <c r="J4" s="81"/>
      <c r="K4" s="82"/>
      <c r="L4" s="81"/>
      <c r="M4" s="82"/>
      <c r="N4" s="81"/>
      <c r="O4" s="82"/>
      <c r="P4" s="81"/>
      <c r="Q4" s="82"/>
      <c r="R4" s="63"/>
      <c r="S4" s="64"/>
      <c r="T4" s="63"/>
      <c r="U4" s="64"/>
      <c r="V4" s="63"/>
      <c r="W4" s="64"/>
      <c r="X4" s="63"/>
      <c r="Y4" s="64"/>
      <c r="Z4" s="63"/>
      <c r="AA4" s="64"/>
      <c r="AB4" s="63"/>
      <c r="AC4" s="64"/>
      <c r="AD4" s="63"/>
      <c r="AE4" s="64"/>
      <c r="AF4" s="63"/>
      <c r="AG4" s="64"/>
    </row>
    <row r="5" spans="1:33" x14ac:dyDescent="0.3">
      <c r="A5" s="4">
        <v>1</v>
      </c>
      <c r="B5" s="5">
        <v>1</v>
      </c>
      <c r="C5" s="17" t="s">
        <v>74</v>
      </c>
      <c r="D5" s="5">
        <v>1</v>
      </c>
      <c r="E5" s="1" t="s">
        <v>121</v>
      </c>
      <c r="F5" s="5">
        <v>1</v>
      </c>
      <c r="G5" s="17" t="s">
        <v>113</v>
      </c>
      <c r="H5" s="5">
        <v>1</v>
      </c>
      <c r="I5" s="1" t="s">
        <v>104</v>
      </c>
      <c r="J5" s="19">
        <v>1</v>
      </c>
      <c r="K5" s="1" t="s">
        <v>89</v>
      </c>
      <c r="L5" s="5">
        <v>1</v>
      </c>
      <c r="M5" s="6" t="s">
        <v>6</v>
      </c>
      <c r="N5" s="5">
        <v>1</v>
      </c>
      <c r="O5" s="6" t="s">
        <v>71</v>
      </c>
      <c r="P5" s="5">
        <v>1</v>
      </c>
      <c r="Q5" s="1" t="s">
        <v>18</v>
      </c>
      <c r="R5" s="32">
        <v>1</v>
      </c>
      <c r="S5" s="33" t="s">
        <v>21</v>
      </c>
      <c r="T5" s="32">
        <v>1</v>
      </c>
      <c r="U5" s="33" t="s">
        <v>33</v>
      </c>
      <c r="V5" s="32">
        <v>1</v>
      </c>
      <c r="W5" s="33" t="s">
        <v>36</v>
      </c>
      <c r="X5" s="32">
        <v>1</v>
      </c>
      <c r="Y5" s="33" t="s">
        <v>45</v>
      </c>
      <c r="Z5" s="32">
        <v>1</v>
      </c>
      <c r="AA5" s="33" t="s">
        <v>61</v>
      </c>
      <c r="AB5" s="32">
        <v>1</v>
      </c>
      <c r="AC5" s="33" t="s">
        <v>170</v>
      </c>
      <c r="AD5" s="32">
        <v>1</v>
      </c>
      <c r="AE5" s="33" t="s">
        <v>54</v>
      </c>
      <c r="AF5" s="32">
        <v>1</v>
      </c>
      <c r="AG5" s="46" t="s">
        <v>57</v>
      </c>
    </row>
    <row r="6" spans="1:33" x14ac:dyDescent="0.3">
      <c r="A6" s="4">
        <f>+A5+1</f>
        <v>2</v>
      </c>
      <c r="B6" s="5">
        <f>+B5+1</f>
        <v>2</v>
      </c>
      <c r="C6" s="17" t="s">
        <v>75</v>
      </c>
      <c r="D6" s="5">
        <v>2</v>
      </c>
      <c r="E6" s="1" t="s">
        <v>122</v>
      </c>
      <c r="F6" s="5">
        <v>2</v>
      </c>
      <c r="G6" s="17" t="s">
        <v>114</v>
      </c>
      <c r="H6" s="5">
        <v>2</v>
      </c>
      <c r="I6" s="1" t="s">
        <v>91</v>
      </c>
      <c r="J6" s="19">
        <v>2</v>
      </c>
      <c r="K6" s="1" t="s">
        <v>201</v>
      </c>
      <c r="L6" s="5">
        <v>2</v>
      </c>
      <c r="M6" s="6" t="s">
        <v>7</v>
      </c>
      <c r="N6" s="5">
        <v>2</v>
      </c>
      <c r="O6" s="6" t="s">
        <v>72</v>
      </c>
      <c r="P6" s="5">
        <v>2</v>
      </c>
      <c r="Q6" s="1" t="s">
        <v>10</v>
      </c>
      <c r="R6" s="32">
        <v>2</v>
      </c>
      <c r="S6" s="33" t="s">
        <v>19</v>
      </c>
      <c r="T6" s="32">
        <v>2</v>
      </c>
      <c r="U6" s="33" t="s">
        <v>35</v>
      </c>
      <c r="V6" s="32">
        <v>2</v>
      </c>
      <c r="W6" s="33" t="s">
        <v>37</v>
      </c>
      <c r="X6" s="32">
        <v>2</v>
      </c>
      <c r="Y6" s="33" t="s">
        <v>46</v>
      </c>
      <c r="Z6" s="32">
        <v>2</v>
      </c>
      <c r="AA6" s="33" t="s">
        <v>163</v>
      </c>
      <c r="AB6" s="32">
        <v>2</v>
      </c>
      <c r="AC6" s="33" t="s">
        <v>53</v>
      </c>
      <c r="AD6" s="32">
        <v>2</v>
      </c>
      <c r="AE6" s="33" t="s">
        <v>55</v>
      </c>
      <c r="AF6" s="32">
        <v>2</v>
      </c>
      <c r="AG6" s="46" t="s">
        <v>58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76</v>
      </c>
      <c r="D7" s="5">
        <v>3</v>
      </c>
      <c r="E7" s="1" t="s">
        <v>105</v>
      </c>
      <c r="F7" s="5">
        <v>3</v>
      </c>
      <c r="G7" s="17" t="s">
        <v>115</v>
      </c>
      <c r="H7" s="5">
        <v>3</v>
      </c>
      <c r="I7" s="1" t="s">
        <v>92</v>
      </c>
      <c r="J7" s="19">
        <v>3</v>
      </c>
      <c r="K7" s="1" t="s">
        <v>202</v>
      </c>
      <c r="L7" s="5">
        <v>3</v>
      </c>
      <c r="M7" s="6" t="s">
        <v>8</v>
      </c>
      <c r="N7" s="5">
        <v>3</v>
      </c>
      <c r="O7" s="6" t="s">
        <v>73</v>
      </c>
      <c r="P7" s="5">
        <v>3</v>
      </c>
      <c r="Q7" s="1" t="s">
        <v>11</v>
      </c>
      <c r="R7" s="32">
        <v>3</v>
      </c>
      <c r="S7" s="33" t="s">
        <v>20</v>
      </c>
      <c r="T7" s="32">
        <v>3</v>
      </c>
      <c r="U7" s="33" t="s">
        <v>34</v>
      </c>
      <c r="V7" s="32">
        <v>3</v>
      </c>
      <c r="W7" s="33" t="s">
        <v>38</v>
      </c>
      <c r="X7" s="32">
        <v>3</v>
      </c>
      <c r="Y7" s="33" t="s">
        <v>47</v>
      </c>
      <c r="Z7" s="32">
        <v>3</v>
      </c>
      <c r="AA7" s="33" t="s">
        <v>191</v>
      </c>
      <c r="AB7" s="32">
        <v>3</v>
      </c>
      <c r="AC7" s="33" t="s">
        <v>66</v>
      </c>
      <c r="AD7" s="32">
        <v>3</v>
      </c>
      <c r="AE7" s="33" t="s">
        <v>56</v>
      </c>
      <c r="AF7" s="32">
        <v>3</v>
      </c>
      <c r="AG7" s="46" t="s">
        <v>53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90</v>
      </c>
      <c r="D8" s="5">
        <v>4</v>
      </c>
      <c r="E8" s="1" t="s">
        <v>106</v>
      </c>
      <c r="F8" s="5">
        <v>4</v>
      </c>
      <c r="G8" s="17" t="s">
        <v>116</v>
      </c>
      <c r="H8" s="5">
        <v>4</v>
      </c>
      <c r="I8" s="1" t="s">
        <v>93</v>
      </c>
      <c r="J8" s="19">
        <v>4</v>
      </c>
      <c r="K8" s="1" t="s">
        <v>203</v>
      </c>
      <c r="L8" s="5"/>
      <c r="M8" s="6"/>
      <c r="N8" s="5"/>
      <c r="O8" s="6"/>
      <c r="P8" s="5">
        <v>4</v>
      </c>
      <c r="Q8" s="1" t="s">
        <v>12</v>
      </c>
      <c r="R8" s="32">
        <v>4</v>
      </c>
      <c r="S8" s="33" t="s">
        <v>22</v>
      </c>
      <c r="T8" s="32"/>
      <c r="U8" s="33"/>
      <c r="V8" s="32">
        <v>4</v>
      </c>
      <c r="W8" s="33" t="s">
        <v>39</v>
      </c>
      <c r="X8" s="32">
        <v>4</v>
      </c>
      <c r="Y8" s="33" t="s">
        <v>48</v>
      </c>
      <c r="Z8" s="32">
        <v>4</v>
      </c>
      <c r="AA8" s="33" t="s">
        <v>177</v>
      </c>
      <c r="AB8" s="32">
        <v>4</v>
      </c>
      <c r="AC8" s="33" t="s">
        <v>67</v>
      </c>
      <c r="AD8" s="32">
        <v>4</v>
      </c>
      <c r="AE8" s="33" t="s">
        <v>53</v>
      </c>
      <c r="AF8" s="32">
        <v>4</v>
      </c>
      <c r="AG8" s="46" t="s">
        <v>188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88</v>
      </c>
      <c r="D9" s="5">
        <v>5</v>
      </c>
      <c r="E9" s="1" t="s">
        <v>107</v>
      </c>
      <c r="F9" s="5">
        <v>5</v>
      </c>
      <c r="G9" s="17" t="s">
        <v>117</v>
      </c>
      <c r="H9" s="5">
        <v>5</v>
      </c>
      <c r="I9" s="1" t="s">
        <v>94</v>
      </c>
      <c r="J9" s="19">
        <v>5</v>
      </c>
      <c r="K9" s="1" t="s">
        <v>204</v>
      </c>
      <c r="L9" s="5"/>
      <c r="M9" s="6"/>
      <c r="N9" s="5"/>
      <c r="O9" s="6"/>
      <c r="P9" s="5">
        <v>5</v>
      </c>
      <c r="Q9" s="1" t="s">
        <v>13</v>
      </c>
      <c r="R9" s="32">
        <v>5</v>
      </c>
      <c r="S9" s="33" t="s">
        <v>23</v>
      </c>
      <c r="T9" s="32"/>
      <c r="U9" s="33"/>
      <c r="V9" s="32">
        <v>5</v>
      </c>
      <c r="W9" s="33" t="s">
        <v>40</v>
      </c>
      <c r="X9" s="32">
        <v>5</v>
      </c>
      <c r="Y9" s="33" t="s">
        <v>49</v>
      </c>
      <c r="Z9" s="32">
        <v>5</v>
      </c>
      <c r="AA9" s="33" t="s">
        <v>59</v>
      </c>
      <c r="AB9" s="32">
        <v>5</v>
      </c>
      <c r="AC9" s="33" t="s">
        <v>63</v>
      </c>
      <c r="AD9" s="32">
        <v>5</v>
      </c>
      <c r="AE9" s="33" t="s">
        <v>188</v>
      </c>
      <c r="AF9" s="32"/>
      <c r="AG9" s="33"/>
    </row>
    <row r="10" spans="1:33" x14ac:dyDescent="0.3">
      <c r="A10" s="4">
        <f t="shared" si="0"/>
        <v>6</v>
      </c>
      <c r="B10" s="5">
        <f t="shared" si="0"/>
        <v>6</v>
      </c>
      <c r="C10" s="17" t="s">
        <v>78</v>
      </c>
      <c r="D10" s="5">
        <v>6</v>
      </c>
      <c r="E10" s="1" t="s">
        <v>108</v>
      </c>
      <c r="F10" s="5">
        <v>6</v>
      </c>
      <c r="G10" s="17" t="s">
        <v>118</v>
      </c>
      <c r="H10" s="5">
        <v>6</v>
      </c>
      <c r="I10" s="1" t="s">
        <v>95</v>
      </c>
      <c r="J10" s="19">
        <v>6</v>
      </c>
      <c r="K10" s="1" t="s">
        <v>206</v>
      </c>
      <c r="L10" s="5"/>
      <c r="M10" s="6"/>
      <c r="N10" s="5"/>
      <c r="O10" s="6"/>
      <c r="P10" s="5">
        <v>6</v>
      </c>
      <c r="Q10" s="1" t="s">
        <v>14</v>
      </c>
      <c r="R10" s="32">
        <v>6</v>
      </c>
      <c r="S10" s="33" t="s">
        <v>24</v>
      </c>
      <c r="T10" s="32"/>
      <c r="U10" s="33"/>
      <c r="V10" s="32">
        <v>6</v>
      </c>
      <c r="W10" s="33" t="s">
        <v>223</v>
      </c>
      <c r="X10" s="32">
        <v>6</v>
      </c>
      <c r="Y10" s="33" t="s">
        <v>50</v>
      </c>
      <c r="Z10" s="32">
        <v>6</v>
      </c>
      <c r="AA10" s="33" t="s">
        <v>62</v>
      </c>
      <c r="AB10" s="32">
        <v>6</v>
      </c>
      <c r="AC10" s="33" t="s">
        <v>65</v>
      </c>
      <c r="AD10" s="32"/>
      <c r="AE10" s="33"/>
      <c r="AF10" s="32"/>
      <c r="AG10" s="33"/>
    </row>
    <row r="11" spans="1:33" x14ac:dyDescent="0.3">
      <c r="A11" s="4">
        <f t="shared" si="0"/>
        <v>7</v>
      </c>
      <c r="B11" s="5">
        <f t="shared" si="0"/>
        <v>7</v>
      </c>
      <c r="C11" s="17" t="s">
        <v>79</v>
      </c>
      <c r="D11" s="5">
        <v>7</v>
      </c>
      <c r="E11" s="1" t="s">
        <v>109</v>
      </c>
      <c r="F11" s="5">
        <v>7</v>
      </c>
      <c r="G11" s="17" t="s">
        <v>119</v>
      </c>
      <c r="H11" s="5">
        <v>7</v>
      </c>
      <c r="I11" s="1" t="s">
        <v>96</v>
      </c>
      <c r="J11" s="19">
        <v>7</v>
      </c>
      <c r="K11" s="1" t="s">
        <v>207</v>
      </c>
      <c r="L11" s="5"/>
      <c r="M11" s="6"/>
      <c r="N11" s="5"/>
      <c r="O11" s="6"/>
      <c r="P11" s="5">
        <v>7</v>
      </c>
      <c r="Q11" s="1" t="s">
        <v>15</v>
      </c>
      <c r="R11" s="32">
        <v>7</v>
      </c>
      <c r="S11" s="33" t="s">
        <v>25</v>
      </c>
      <c r="T11" s="32"/>
      <c r="U11" s="33"/>
      <c r="V11" s="32">
        <v>7</v>
      </c>
      <c r="W11" s="33" t="s">
        <v>179</v>
      </c>
      <c r="X11" s="32">
        <v>7</v>
      </c>
      <c r="Y11" s="33" t="s">
        <v>51</v>
      </c>
      <c r="Z11" s="32">
        <v>7</v>
      </c>
      <c r="AA11" s="33" t="s">
        <v>52</v>
      </c>
      <c r="AB11" s="32">
        <v>7</v>
      </c>
      <c r="AC11" s="33" t="s">
        <v>64</v>
      </c>
      <c r="AD11" s="32"/>
      <c r="AE11" s="33"/>
      <c r="AF11" s="32"/>
      <c r="AG11" s="33"/>
    </row>
    <row r="12" spans="1:33" x14ac:dyDescent="0.3">
      <c r="A12" s="4">
        <f t="shared" si="0"/>
        <v>8</v>
      </c>
      <c r="B12" s="5">
        <f t="shared" si="0"/>
        <v>8</v>
      </c>
      <c r="C12" s="17" t="s">
        <v>77</v>
      </c>
      <c r="D12" s="5">
        <v>8</v>
      </c>
      <c r="E12" s="1" t="s">
        <v>110</v>
      </c>
      <c r="F12" s="5">
        <v>8</v>
      </c>
      <c r="G12" s="17" t="s">
        <v>120</v>
      </c>
      <c r="H12" s="5">
        <v>8</v>
      </c>
      <c r="I12" s="1" t="s">
        <v>97</v>
      </c>
      <c r="J12" s="19">
        <v>8</v>
      </c>
      <c r="K12" s="1" t="s">
        <v>208</v>
      </c>
      <c r="L12" s="5"/>
      <c r="M12" s="6"/>
      <c r="N12" s="5"/>
      <c r="O12" s="6"/>
      <c r="P12" s="5">
        <v>8</v>
      </c>
      <c r="Q12" s="1" t="s">
        <v>16</v>
      </c>
      <c r="R12" s="32">
        <v>8</v>
      </c>
      <c r="S12" s="33" t="s">
        <v>26</v>
      </c>
      <c r="T12" s="32"/>
      <c r="U12" s="33"/>
      <c r="V12" s="32">
        <v>8</v>
      </c>
      <c r="W12" s="33" t="s">
        <v>158</v>
      </c>
      <c r="X12" s="32">
        <v>8</v>
      </c>
      <c r="Y12" s="33" t="s">
        <v>52</v>
      </c>
      <c r="Z12" s="32">
        <v>8</v>
      </c>
      <c r="AA12" s="33" t="s">
        <v>165</v>
      </c>
      <c r="AB12" s="32">
        <v>8</v>
      </c>
      <c r="AC12" s="33" t="s">
        <v>68</v>
      </c>
      <c r="AD12" s="32"/>
      <c r="AE12" s="33"/>
      <c r="AF12" s="32"/>
      <c r="AG12" s="33"/>
    </row>
    <row r="13" spans="1:33" x14ac:dyDescent="0.3">
      <c r="A13" s="4">
        <f t="shared" si="0"/>
        <v>9</v>
      </c>
      <c r="B13" s="5">
        <f t="shared" si="0"/>
        <v>9</v>
      </c>
      <c r="C13" s="17" t="s">
        <v>80</v>
      </c>
      <c r="D13" s="5">
        <v>9</v>
      </c>
      <c r="E13" s="1" t="s">
        <v>111</v>
      </c>
      <c r="F13" s="5"/>
      <c r="G13" s="17"/>
      <c r="H13" s="5">
        <v>9</v>
      </c>
      <c r="I13" s="1" t="s">
        <v>98</v>
      </c>
      <c r="J13" s="19">
        <v>9</v>
      </c>
      <c r="K13" s="1" t="s">
        <v>209</v>
      </c>
      <c r="L13" s="5"/>
      <c r="M13" s="6"/>
      <c r="N13" s="5"/>
      <c r="O13" s="6"/>
      <c r="P13" s="5">
        <v>9</v>
      </c>
      <c r="Q13" s="1" t="s">
        <v>17</v>
      </c>
      <c r="R13" s="32">
        <v>9</v>
      </c>
      <c r="S13" s="33" t="s">
        <v>27</v>
      </c>
      <c r="T13" s="32"/>
      <c r="U13" s="33"/>
      <c r="V13" s="32">
        <v>9</v>
      </c>
      <c r="W13" s="33" t="s">
        <v>192</v>
      </c>
      <c r="X13" s="32">
        <v>9</v>
      </c>
      <c r="Y13" s="33" t="s">
        <v>174</v>
      </c>
      <c r="Z13" s="32">
        <v>9</v>
      </c>
      <c r="AA13" s="33" t="s">
        <v>60</v>
      </c>
      <c r="AB13" s="32">
        <v>9</v>
      </c>
      <c r="AC13" s="33" t="s">
        <v>69</v>
      </c>
      <c r="AD13" s="32"/>
      <c r="AE13" s="33"/>
      <c r="AF13" s="32"/>
      <c r="AG13" s="33"/>
    </row>
    <row r="14" spans="1:33" x14ac:dyDescent="0.3">
      <c r="A14" s="4">
        <f t="shared" si="0"/>
        <v>10</v>
      </c>
      <c r="B14" s="5">
        <f t="shared" si="0"/>
        <v>10</v>
      </c>
      <c r="C14" s="17" t="s">
        <v>81</v>
      </c>
      <c r="D14" s="5">
        <v>10</v>
      </c>
      <c r="E14" s="1" t="s">
        <v>112</v>
      </c>
      <c r="F14" s="5"/>
      <c r="G14" s="17"/>
      <c r="H14" s="5">
        <v>10</v>
      </c>
      <c r="I14" s="1" t="s">
        <v>99</v>
      </c>
      <c r="J14" s="19">
        <v>10</v>
      </c>
      <c r="K14" s="1" t="s">
        <v>210</v>
      </c>
      <c r="L14" s="5"/>
      <c r="M14" s="6"/>
      <c r="N14" s="5"/>
      <c r="O14" s="6"/>
      <c r="P14" s="5"/>
      <c r="Q14" s="1"/>
      <c r="R14" s="32">
        <v>10</v>
      </c>
      <c r="S14" s="33" t="s">
        <v>28</v>
      </c>
      <c r="T14" s="32"/>
      <c r="U14" s="33"/>
      <c r="V14" s="32">
        <v>10</v>
      </c>
      <c r="W14" s="33" t="s">
        <v>176</v>
      </c>
      <c r="X14" s="32">
        <v>10</v>
      </c>
      <c r="Y14" s="33" t="s">
        <v>156</v>
      </c>
      <c r="Z14" s="32">
        <v>10</v>
      </c>
      <c r="AA14" s="33" t="s">
        <v>188</v>
      </c>
      <c r="AB14" s="32">
        <v>10</v>
      </c>
      <c r="AC14" s="33" t="s">
        <v>188</v>
      </c>
      <c r="AD14" s="32"/>
      <c r="AE14" s="33"/>
      <c r="AF14" s="32"/>
      <c r="AG14" s="33"/>
    </row>
    <row r="15" spans="1:33" x14ac:dyDescent="0.3">
      <c r="A15" s="4">
        <f t="shared" si="0"/>
        <v>11</v>
      </c>
      <c r="B15" s="5">
        <f t="shared" si="0"/>
        <v>11</v>
      </c>
      <c r="C15" s="17" t="s">
        <v>82</v>
      </c>
      <c r="D15" s="5"/>
      <c r="E15" s="1"/>
      <c r="F15" s="17"/>
      <c r="G15" s="17"/>
      <c r="H15" s="5">
        <v>11</v>
      </c>
      <c r="I15" s="1" t="s">
        <v>100</v>
      </c>
      <c r="J15" s="19">
        <v>11</v>
      </c>
      <c r="K15" s="1" t="s">
        <v>211</v>
      </c>
      <c r="L15" s="5"/>
      <c r="M15" s="6"/>
      <c r="N15" s="5"/>
      <c r="O15" s="6"/>
      <c r="P15" s="5"/>
      <c r="Q15" s="1"/>
      <c r="R15" s="32">
        <v>11</v>
      </c>
      <c r="S15" s="33" t="s">
        <v>200</v>
      </c>
      <c r="T15" s="32"/>
      <c r="U15" s="33"/>
      <c r="V15" s="32">
        <v>11</v>
      </c>
      <c r="W15" s="33" t="s">
        <v>172</v>
      </c>
      <c r="X15" s="32">
        <v>11</v>
      </c>
      <c r="Y15" s="33" t="s">
        <v>159</v>
      </c>
      <c r="Z15" s="32">
        <v>11</v>
      </c>
      <c r="AA15" s="33" t="s">
        <v>53</v>
      </c>
      <c r="AB15" s="32"/>
      <c r="AC15" s="33"/>
      <c r="AD15" s="32"/>
      <c r="AE15" s="33"/>
      <c r="AF15" s="32"/>
      <c r="AG15" s="33"/>
    </row>
    <row r="16" spans="1:33" x14ac:dyDescent="0.3">
      <c r="A16" s="4">
        <f t="shared" si="0"/>
        <v>12</v>
      </c>
      <c r="B16" s="5">
        <f t="shared" si="0"/>
        <v>12</v>
      </c>
      <c r="C16" s="17" t="s">
        <v>83</v>
      </c>
      <c r="D16" s="5"/>
      <c r="E16" s="1"/>
      <c r="F16" s="17"/>
      <c r="G16" s="22"/>
      <c r="H16" s="5">
        <v>12</v>
      </c>
      <c r="I16" s="1" t="s">
        <v>101</v>
      </c>
      <c r="J16" s="19">
        <v>12</v>
      </c>
      <c r="K16" s="1" t="s">
        <v>212</v>
      </c>
      <c r="L16" s="5"/>
      <c r="M16" s="6"/>
      <c r="N16" s="5"/>
      <c r="O16" s="6"/>
      <c r="P16" s="5"/>
      <c r="Q16" s="1"/>
      <c r="R16" s="32">
        <v>12</v>
      </c>
      <c r="S16" s="33" t="s">
        <v>29</v>
      </c>
      <c r="T16" s="32"/>
      <c r="U16" s="33"/>
      <c r="V16" s="32">
        <v>12</v>
      </c>
      <c r="W16" s="33" t="s">
        <v>167</v>
      </c>
      <c r="X16" s="32">
        <v>12</v>
      </c>
      <c r="Y16" s="33" t="s">
        <v>164</v>
      </c>
      <c r="Z16" s="32"/>
      <c r="AA16" s="33"/>
      <c r="AB16" s="32"/>
      <c r="AC16" s="33"/>
      <c r="AD16" s="32"/>
      <c r="AE16" s="33"/>
      <c r="AF16" s="32"/>
      <c r="AG16" s="33"/>
    </row>
    <row r="17" spans="1:33" x14ac:dyDescent="0.3">
      <c r="A17" s="4">
        <f t="shared" si="0"/>
        <v>13</v>
      </c>
      <c r="B17" s="5">
        <f t="shared" si="0"/>
        <v>13</v>
      </c>
      <c r="C17" s="17" t="s">
        <v>84</v>
      </c>
      <c r="D17" s="5"/>
      <c r="E17" s="1"/>
      <c r="F17" s="17"/>
      <c r="G17" s="17"/>
      <c r="H17" s="5">
        <v>13</v>
      </c>
      <c r="I17" s="1" t="s">
        <v>102</v>
      </c>
      <c r="J17" s="19">
        <v>13</v>
      </c>
      <c r="K17" s="1" t="s">
        <v>213</v>
      </c>
      <c r="L17" s="5"/>
      <c r="M17" s="6"/>
      <c r="N17" s="5"/>
      <c r="O17" s="6"/>
      <c r="P17" s="5"/>
      <c r="Q17" s="1"/>
      <c r="R17" s="32">
        <v>13</v>
      </c>
      <c r="S17" s="33" t="s">
        <v>30</v>
      </c>
      <c r="T17" s="32"/>
      <c r="U17" s="33"/>
      <c r="V17" s="32">
        <v>13</v>
      </c>
      <c r="W17" s="33" t="s">
        <v>160</v>
      </c>
      <c r="X17" s="32">
        <v>13</v>
      </c>
      <c r="Y17" s="33" t="s">
        <v>166</v>
      </c>
      <c r="Z17" s="32"/>
      <c r="AA17" s="33"/>
      <c r="AB17" s="32"/>
      <c r="AC17" s="33"/>
      <c r="AD17" s="32"/>
      <c r="AE17" s="33"/>
      <c r="AF17" s="32"/>
      <c r="AG17" s="33"/>
    </row>
    <row r="18" spans="1:33" x14ac:dyDescent="0.3">
      <c r="A18" s="4">
        <f t="shared" si="0"/>
        <v>14</v>
      </c>
      <c r="B18" s="5">
        <f t="shared" si="0"/>
        <v>14</v>
      </c>
      <c r="C18" s="17" t="s">
        <v>85</v>
      </c>
      <c r="D18" s="17"/>
      <c r="E18" s="1"/>
      <c r="F18" s="17"/>
      <c r="G18" s="23"/>
      <c r="H18" s="5">
        <v>14</v>
      </c>
      <c r="I18" s="1" t="s">
        <v>103</v>
      </c>
      <c r="J18" s="19">
        <v>14</v>
      </c>
      <c r="K18" s="1" t="s">
        <v>214</v>
      </c>
      <c r="L18" s="5"/>
      <c r="M18" s="6"/>
      <c r="N18" s="5"/>
      <c r="O18" s="6"/>
      <c r="P18" s="5"/>
      <c r="Q18" s="1"/>
      <c r="R18" s="32">
        <v>14</v>
      </c>
      <c r="S18" s="33" t="s">
        <v>31</v>
      </c>
      <c r="T18" s="32"/>
      <c r="U18" s="33"/>
      <c r="V18" s="32">
        <v>14</v>
      </c>
      <c r="W18" s="33" t="s">
        <v>173</v>
      </c>
      <c r="X18" s="32">
        <v>14</v>
      </c>
      <c r="Y18" s="33" t="s">
        <v>168</v>
      </c>
      <c r="Z18" s="32"/>
      <c r="AA18" s="33"/>
      <c r="AB18" s="32"/>
      <c r="AC18" s="33"/>
      <c r="AD18" s="32"/>
      <c r="AE18" s="33"/>
      <c r="AF18" s="32"/>
      <c r="AG18" s="33"/>
    </row>
    <row r="19" spans="1:33" x14ac:dyDescent="0.3">
      <c r="A19" s="4">
        <f t="shared" si="0"/>
        <v>15</v>
      </c>
      <c r="B19" s="5">
        <f t="shared" si="0"/>
        <v>15</v>
      </c>
      <c r="C19" s="17" t="s">
        <v>86</v>
      </c>
      <c r="D19" s="5"/>
      <c r="E19" s="1"/>
      <c r="F19" s="17"/>
      <c r="G19" s="17"/>
      <c r="H19" s="5"/>
      <c r="I19" s="1"/>
      <c r="J19" s="19">
        <v>15</v>
      </c>
      <c r="K19" s="1" t="s">
        <v>215</v>
      </c>
      <c r="L19" s="5"/>
      <c r="M19" s="6"/>
      <c r="N19" s="5"/>
      <c r="O19" s="6"/>
      <c r="P19" s="5"/>
      <c r="Q19" s="1"/>
      <c r="R19" s="32">
        <v>15</v>
      </c>
      <c r="S19" s="33" t="s">
        <v>187</v>
      </c>
      <c r="T19" s="32"/>
      <c r="U19" s="33"/>
      <c r="V19" s="32">
        <v>15</v>
      </c>
      <c r="W19" s="33" t="s">
        <v>175</v>
      </c>
      <c r="X19" s="32">
        <v>15</v>
      </c>
      <c r="Y19" s="33" t="s">
        <v>171</v>
      </c>
      <c r="Z19" s="32"/>
      <c r="AA19" s="33"/>
      <c r="AB19" s="32"/>
      <c r="AC19" s="33"/>
      <c r="AD19" s="32"/>
      <c r="AE19" s="33"/>
      <c r="AF19" s="32"/>
      <c r="AG19" s="33"/>
    </row>
    <row r="20" spans="1:33" x14ac:dyDescent="0.3">
      <c r="A20" s="4">
        <f t="shared" si="0"/>
        <v>16</v>
      </c>
      <c r="B20" s="5">
        <f t="shared" si="0"/>
        <v>16</v>
      </c>
      <c r="C20" s="17" t="s">
        <v>87</v>
      </c>
      <c r="D20" s="5"/>
      <c r="E20" s="1"/>
      <c r="F20" s="17"/>
      <c r="G20" s="17"/>
      <c r="H20" s="5"/>
      <c r="I20" s="1"/>
      <c r="J20" s="19">
        <v>16</v>
      </c>
      <c r="K20" s="1" t="s">
        <v>216</v>
      </c>
      <c r="L20" s="5"/>
      <c r="M20" s="6"/>
      <c r="N20" s="5"/>
      <c r="O20" s="6"/>
      <c r="P20" s="5"/>
      <c r="Q20" s="1"/>
      <c r="R20" s="32">
        <v>16</v>
      </c>
      <c r="S20" s="33" t="s">
        <v>184</v>
      </c>
      <c r="T20" s="32"/>
      <c r="U20" s="33"/>
      <c r="V20" s="32">
        <v>16</v>
      </c>
      <c r="W20" s="33" t="s">
        <v>161</v>
      </c>
      <c r="X20" s="32">
        <v>16</v>
      </c>
      <c r="Y20" s="33" t="s">
        <v>157</v>
      </c>
      <c r="Z20" s="32"/>
      <c r="AA20" s="33"/>
      <c r="AB20" s="32"/>
      <c r="AC20" s="33"/>
      <c r="AD20" s="32"/>
      <c r="AE20" s="33"/>
      <c r="AF20" s="32"/>
      <c r="AG20" s="33"/>
    </row>
    <row r="21" spans="1:33" x14ac:dyDescent="0.3">
      <c r="A21" s="4">
        <f t="shared" si="0"/>
        <v>17</v>
      </c>
      <c r="B21" s="5">
        <f t="shared" si="0"/>
        <v>17</v>
      </c>
      <c r="C21" s="17" t="s">
        <v>53</v>
      </c>
      <c r="D21" s="5"/>
      <c r="E21" s="1"/>
      <c r="F21" s="17"/>
      <c r="G21" s="17"/>
      <c r="H21" s="5"/>
      <c r="I21" s="1"/>
      <c r="J21" s="19">
        <v>17</v>
      </c>
      <c r="K21" s="1" t="s">
        <v>217</v>
      </c>
      <c r="L21" s="5"/>
      <c r="M21" s="6"/>
      <c r="N21" s="5"/>
      <c r="O21" s="6"/>
      <c r="P21" s="5"/>
      <c r="Q21" s="1"/>
      <c r="R21" s="32">
        <v>17</v>
      </c>
      <c r="S21" s="33" t="s">
        <v>185</v>
      </c>
      <c r="T21" s="32"/>
      <c r="U21" s="33"/>
      <c r="V21" s="32">
        <v>17</v>
      </c>
      <c r="W21" s="33" t="s">
        <v>162</v>
      </c>
      <c r="X21" s="32">
        <v>17</v>
      </c>
      <c r="Y21" s="33" t="s">
        <v>169</v>
      </c>
      <c r="Z21" s="32"/>
      <c r="AA21" s="33"/>
      <c r="AB21" s="32"/>
      <c r="AC21" s="33"/>
      <c r="AD21" s="32"/>
      <c r="AE21" s="33"/>
      <c r="AF21" s="32"/>
      <c r="AG21" s="33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218</v>
      </c>
      <c r="L22" s="5"/>
      <c r="M22" s="6"/>
      <c r="N22" s="5"/>
      <c r="O22" s="6"/>
      <c r="P22" s="5"/>
      <c r="Q22" s="1"/>
      <c r="R22" s="32">
        <v>18</v>
      </c>
      <c r="S22" s="33" t="s">
        <v>186</v>
      </c>
      <c r="T22" s="32"/>
      <c r="U22" s="33"/>
      <c r="V22" s="32">
        <v>18</v>
      </c>
      <c r="W22" s="33" t="s">
        <v>180</v>
      </c>
      <c r="X22" s="32">
        <v>18</v>
      </c>
      <c r="Y22" s="33" t="s">
        <v>155</v>
      </c>
      <c r="Z22" s="32"/>
      <c r="AA22" s="33"/>
      <c r="AB22" s="32"/>
      <c r="AC22" s="33"/>
      <c r="AD22" s="32"/>
      <c r="AE22" s="33"/>
      <c r="AF22" s="32"/>
      <c r="AG22" s="33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219</v>
      </c>
      <c r="L23" s="5"/>
      <c r="M23" s="6"/>
      <c r="N23" s="5"/>
      <c r="O23" s="6"/>
      <c r="P23" s="5"/>
      <c r="Q23" s="1"/>
      <c r="R23" s="32">
        <v>19</v>
      </c>
      <c r="S23" s="33" t="s">
        <v>32</v>
      </c>
      <c r="T23" s="32"/>
      <c r="U23" s="33"/>
      <c r="V23" s="32">
        <v>19</v>
      </c>
      <c r="W23" s="33" t="s">
        <v>178</v>
      </c>
      <c r="X23" s="32">
        <v>19</v>
      </c>
      <c r="Y23" s="33" t="s">
        <v>154</v>
      </c>
      <c r="Z23" s="32"/>
      <c r="AA23" s="33"/>
      <c r="AB23" s="32"/>
      <c r="AC23" s="33"/>
      <c r="AD23" s="32"/>
      <c r="AE23" s="33"/>
      <c r="AF23" s="32"/>
      <c r="AG23" s="33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220</v>
      </c>
      <c r="L24" s="5"/>
      <c r="M24" s="6"/>
      <c r="N24" s="5"/>
      <c r="O24" s="6"/>
      <c r="P24" s="5"/>
      <c r="Q24" s="1"/>
      <c r="R24" s="32">
        <v>20</v>
      </c>
      <c r="S24" s="33" t="s">
        <v>188</v>
      </c>
      <c r="T24" s="32"/>
      <c r="U24" s="33"/>
      <c r="V24" s="32">
        <v>20</v>
      </c>
      <c r="W24" s="33" t="s">
        <v>181</v>
      </c>
      <c r="X24" s="32">
        <v>20</v>
      </c>
      <c r="Y24" s="33" t="s">
        <v>188</v>
      </c>
      <c r="Z24" s="32"/>
      <c r="AA24" s="33"/>
      <c r="AB24" s="32"/>
      <c r="AC24" s="33"/>
      <c r="AD24" s="32"/>
      <c r="AE24" s="33"/>
      <c r="AF24" s="32"/>
      <c r="AG24" s="33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221</v>
      </c>
      <c r="L25" s="7"/>
      <c r="M25" s="6"/>
      <c r="N25" s="7"/>
      <c r="O25" s="6"/>
      <c r="P25" s="8"/>
      <c r="Q25" s="1"/>
      <c r="R25" s="34"/>
      <c r="S25" s="33"/>
      <c r="T25" s="65"/>
      <c r="U25" s="33"/>
      <c r="V25" s="32">
        <v>21</v>
      </c>
      <c r="W25" s="33" t="s">
        <v>41</v>
      </c>
      <c r="X25" s="32">
        <v>21</v>
      </c>
      <c r="Y25" s="33" t="s">
        <v>53</v>
      </c>
      <c r="Z25" s="65"/>
      <c r="AA25" s="33"/>
      <c r="AB25" s="34"/>
      <c r="AC25" s="33"/>
      <c r="AD25" s="34"/>
      <c r="AE25" s="33"/>
      <c r="AF25" s="34"/>
      <c r="AG25" s="33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222</v>
      </c>
      <c r="L26" s="7"/>
      <c r="M26" s="9"/>
      <c r="N26" s="7"/>
      <c r="O26" s="9"/>
      <c r="P26" s="10"/>
      <c r="Q26" s="1"/>
      <c r="R26" s="35"/>
      <c r="S26" s="33"/>
      <c r="T26" s="66"/>
      <c r="U26" s="33"/>
      <c r="V26" s="32">
        <v>22</v>
      </c>
      <c r="W26" s="33" t="s">
        <v>42</v>
      </c>
      <c r="X26" s="66"/>
      <c r="Y26" s="33"/>
      <c r="Z26" s="66"/>
      <c r="AA26" s="33"/>
      <c r="AB26" s="35"/>
      <c r="AC26" s="33"/>
      <c r="AD26" s="35"/>
      <c r="AE26" s="33"/>
      <c r="AF26" s="35"/>
      <c r="AG26" s="33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5"/>
      <c r="S27" s="33"/>
      <c r="T27" s="66"/>
      <c r="U27" s="33"/>
      <c r="V27" s="32">
        <v>23</v>
      </c>
      <c r="W27" s="33" t="s">
        <v>43</v>
      </c>
      <c r="X27" s="66"/>
      <c r="Y27" s="33"/>
      <c r="Z27" s="66"/>
      <c r="AA27" s="33"/>
      <c r="AB27" s="35"/>
      <c r="AC27" s="33"/>
      <c r="AD27" s="35"/>
      <c r="AE27" s="33"/>
      <c r="AF27" s="35"/>
      <c r="AG27" s="33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5"/>
      <c r="S28" s="33"/>
      <c r="T28" s="35"/>
      <c r="U28" s="33"/>
      <c r="V28" s="32">
        <v>24</v>
      </c>
      <c r="W28" s="33" t="s">
        <v>44</v>
      </c>
      <c r="X28" s="66"/>
      <c r="Y28" s="33"/>
      <c r="Z28" s="66"/>
      <c r="AA28" s="33"/>
      <c r="AB28" s="35"/>
      <c r="AC28" s="33"/>
      <c r="AD28" s="35"/>
      <c r="AE28" s="33"/>
      <c r="AF28" s="35"/>
      <c r="AG28" s="33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4"/>
      <c r="S29" s="36"/>
      <c r="T29" s="34"/>
      <c r="U29" s="36"/>
      <c r="V29" s="32">
        <v>25</v>
      </c>
      <c r="W29" s="33" t="s">
        <v>188</v>
      </c>
      <c r="X29" s="65"/>
      <c r="Y29" s="36"/>
      <c r="Z29" s="34"/>
      <c r="AA29" s="36"/>
      <c r="AB29" s="34"/>
      <c r="AC29" s="36"/>
      <c r="AD29" s="34"/>
      <c r="AE29" s="36"/>
      <c r="AF29" s="34"/>
      <c r="AG29" s="36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7"/>
      <c r="S30" s="38"/>
      <c r="T30" s="37"/>
      <c r="U30" s="38"/>
      <c r="V30" s="37">
        <v>26</v>
      </c>
      <c r="W30" s="37" t="s">
        <v>53</v>
      </c>
      <c r="X30" s="38"/>
      <c r="Y30" s="38"/>
      <c r="Z30" s="37"/>
      <c r="AA30" s="38"/>
      <c r="AB30" s="37"/>
      <c r="AC30" s="38"/>
      <c r="AD30" s="37"/>
      <c r="AE30" s="38"/>
      <c r="AF30" s="37"/>
      <c r="AG30" s="38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9" bestFit="1" customWidth="1"/>
    <col min="4" max="4" width="12.625" style="2" customWidth="1"/>
    <col min="5" max="5" width="11.875" style="39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25" width="8.75" style="2" customWidth="1"/>
    <col min="26" max="26" width="13" style="2" bestFit="1" customWidth="1"/>
    <col min="27" max="27" width="8.75" style="2" customWidth="1"/>
    <col min="28" max="28" width="13" style="2" bestFit="1" customWidth="1"/>
    <col min="29" max="29" width="8.75" style="2" customWidth="1"/>
    <col min="30" max="30" width="19.75" style="2" bestFit="1" customWidth="1"/>
    <col min="31" max="31" width="8.75" style="2" customWidth="1"/>
    <col min="32" max="32" width="26.25" style="2" bestFit="1" customWidth="1"/>
    <col min="33" max="33" width="8.75" style="2" customWidth="1"/>
    <col min="34" max="34" width="30" style="2" bestFit="1" customWidth="1"/>
    <col min="35" max="35" width="8.75" style="2" customWidth="1"/>
    <col min="36" max="36" width="13" style="2" bestFit="1" customWidth="1"/>
    <col min="37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4" t="s">
        <v>0</v>
      </c>
      <c r="I1" s="77" t="s">
        <v>1</v>
      </c>
      <c r="J1" s="78"/>
      <c r="K1" s="77" t="s">
        <v>2</v>
      </c>
      <c r="L1" s="78"/>
      <c r="M1" s="77" t="s">
        <v>123</v>
      </c>
      <c r="N1" s="78"/>
      <c r="O1" s="77" t="s">
        <v>3</v>
      </c>
      <c r="P1" s="78"/>
      <c r="Q1" s="77" t="s">
        <v>4</v>
      </c>
      <c r="R1" s="78"/>
      <c r="S1" s="77" t="s">
        <v>5</v>
      </c>
      <c r="T1" s="78"/>
      <c r="U1" s="77" t="s">
        <v>70</v>
      </c>
      <c r="V1" s="78"/>
      <c r="W1" s="77" t="s">
        <v>9</v>
      </c>
      <c r="X1" s="78"/>
      <c r="Y1" s="71" t="s">
        <v>124</v>
      </c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3"/>
    </row>
    <row r="2" spans="1:40" ht="17.25" thickBot="1" x14ac:dyDescent="0.35">
      <c r="A2" s="2">
        <v>1</v>
      </c>
      <c r="B2" s="2" t="s">
        <v>132</v>
      </c>
      <c r="C2" s="40" t="s">
        <v>195</v>
      </c>
      <c r="H2" s="75"/>
      <c r="I2" s="79"/>
      <c r="J2" s="80"/>
      <c r="K2" s="79"/>
      <c r="L2" s="80"/>
      <c r="M2" s="79"/>
      <c r="N2" s="80"/>
      <c r="O2" s="79"/>
      <c r="P2" s="80"/>
      <c r="Q2" s="79"/>
      <c r="R2" s="80"/>
      <c r="S2" s="79"/>
      <c r="T2" s="80"/>
      <c r="U2" s="79"/>
      <c r="V2" s="80"/>
      <c r="W2" s="79"/>
      <c r="X2" s="80"/>
      <c r="Y2" s="28" t="s">
        <v>10</v>
      </c>
      <c r="Z2" s="29"/>
      <c r="AA2" s="28" t="s">
        <v>125</v>
      </c>
      <c r="AB2" s="29"/>
      <c r="AC2" s="28" t="s">
        <v>126</v>
      </c>
      <c r="AD2" s="29"/>
      <c r="AE2" s="28" t="s">
        <v>127</v>
      </c>
      <c r="AF2" s="29"/>
      <c r="AG2" s="28" t="s">
        <v>128</v>
      </c>
      <c r="AH2" s="29"/>
      <c r="AI2" s="28" t="s">
        <v>129</v>
      </c>
      <c r="AJ2" s="29"/>
      <c r="AK2" s="28" t="s">
        <v>130</v>
      </c>
      <c r="AL2" s="29"/>
      <c r="AM2" s="28" t="s">
        <v>131</v>
      </c>
      <c r="AN2" s="29"/>
    </row>
    <row r="3" spans="1:40" ht="17.25" thickBot="1" x14ac:dyDescent="0.35">
      <c r="H3" s="76"/>
      <c r="I3" s="81"/>
      <c r="J3" s="82"/>
      <c r="K3" s="81"/>
      <c r="L3" s="82"/>
      <c r="M3" s="81"/>
      <c r="N3" s="82"/>
      <c r="O3" s="81"/>
      <c r="P3" s="82"/>
      <c r="Q3" s="81"/>
      <c r="R3" s="82"/>
      <c r="S3" s="81"/>
      <c r="T3" s="82"/>
      <c r="U3" s="81"/>
      <c r="V3" s="82"/>
      <c r="W3" s="81"/>
      <c r="X3" s="82"/>
      <c r="Y3" s="30"/>
      <c r="Z3" s="31"/>
      <c r="AA3" s="30"/>
      <c r="AB3" s="31"/>
      <c r="AC3" s="30"/>
      <c r="AD3" s="31"/>
      <c r="AE3" s="30"/>
      <c r="AF3" s="31"/>
      <c r="AG3" s="30"/>
      <c r="AH3" s="31"/>
      <c r="AI3" s="30"/>
      <c r="AJ3" s="31"/>
      <c r="AK3" s="30"/>
      <c r="AL3" s="31"/>
      <c r="AM3" s="30"/>
      <c r="AN3" s="31"/>
    </row>
    <row r="4" spans="1:40" ht="17.25" thickBot="1" x14ac:dyDescent="0.35">
      <c r="A4" s="2">
        <v>2</v>
      </c>
      <c r="B4" s="2" t="s">
        <v>133</v>
      </c>
      <c r="C4" s="40" t="s">
        <v>194</v>
      </c>
      <c r="H4" s="4">
        <v>1</v>
      </c>
      <c r="I4" s="5">
        <v>1</v>
      </c>
      <c r="J4" s="17" t="s">
        <v>74</v>
      </c>
      <c r="K4" s="5">
        <v>1</v>
      </c>
      <c r="L4" s="1" t="s">
        <v>121</v>
      </c>
      <c r="M4" s="5">
        <v>1</v>
      </c>
      <c r="N4" s="17" t="s">
        <v>113</v>
      </c>
      <c r="O4" s="5">
        <v>1</v>
      </c>
      <c r="P4" s="1" t="s">
        <v>104</v>
      </c>
      <c r="Q4" s="19">
        <v>1</v>
      </c>
      <c r="R4" s="1" t="s">
        <v>89</v>
      </c>
      <c r="S4" s="5">
        <v>1</v>
      </c>
      <c r="T4" s="6" t="s">
        <v>6</v>
      </c>
      <c r="U4" s="5">
        <v>1</v>
      </c>
      <c r="V4" s="6" t="s">
        <v>71</v>
      </c>
      <c r="W4" s="5">
        <v>1</v>
      </c>
      <c r="X4" s="1" t="s">
        <v>18</v>
      </c>
      <c r="Y4" s="32">
        <v>1</v>
      </c>
      <c r="Z4" s="33" t="s">
        <v>21</v>
      </c>
      <c r="AA4" s="32">
        <v>1</v>
      </c>
      <c r="AB4" s="33" t="s">
        <v>33</v>
      </c>
      <c r="AC4" s="32">
        <v>1</v>
      </c>
      <c r="AD4" s="33" t="s">
        <v>36</v>
      </c>
      <c r="AE4" s="32">
        <v>1</v>
      </c>
      <c r="AF4" s="33" t="s">
        <v>45</v>
      </c>
      <c r="AG4" s="32">
        <v>1</v>
      </c>
      <c r="AH4" s="33" t="s">
        <v>61</v>
      </c>
      <c r="AI4" s="32">
        <v>1</v>
      </c>
      <c r="AJ4" s="33" t="s">
        <v>170</v>
      </c>
      <c r="AK4" s="32">
        <v>1</v>
      </c>
      <c r="AL4" s="33" t="s">
        <v>54</v>
      </c>
      <c r="AM4" s="32">
        <v>1</v>
      </c>
      <c r="AN4" s="46" t="s">
        <v>57</v>
      </c>
    </row>
    <row r="5" spans="1:40" x14ac:dyDescent="0.3">
      <c r="H5" s="4">
        <f>+H4+1</f>
        <v>2</v>
      </c>
      <c r="I5" s="5">
        <f>+I4+1</f>
        <v>2</v>
      </c>
      <c r="J5" s="17" t="s">
        <v>75</v>
      </c>
      <c r="K5" s="5">
        <v>2</v>
      </c>
      <c r="L5" s="1" t="s">
        <v>122</v>
      </c>
      <c r="M5" s="5">
        <v>2</v>
      </c>
      <c r="N5" s="17" t="s">
        <v>114</v>
      </c>
      <c r="O5" s="5">
        <v>2</v>
      </c>
      <c r="P5" s="1" t="s">
        <v>91</v>
      </c>
      <c r="Q5" s="19">
        <v>2</v>
      </c>
      <c r="R5" s="1" t="s">
        <v>201</v>
      </c>
      <c r="S5" s="5">
        <v>2</v>
      </c>
      <c r="T5" s="6" t="s">
        <v>7</v>
      </c>
      <c r="U5" s="5">
        <v>2</v>
      </c>
      <c r="V5" s="6" t="s">
        <v>72</v>
      </c>
      <c r="W5" s="5">
        <v>2</v>
      </c>
      <c r="X5" s="1" t="s">
        <v>10</v>
      </c>
      <c r="Y5" s="32">
        <v>2</v>
      </c>
      <c r="Z5" s="33" t="s">
        <v>19</v>
      </c>
      <c r="AA5" s="32">
        <v>2</v>
      </c>
      <c r="AB5" s="33" t="s">
        <v>35</v>
      </c>
      <c r="AC5" s="32">
        <v>2</v>
      </c>
      <c r="AD5" s="33" t="s">
        <v>37</v>
      </c>
      <c r="AE5" s="32">
        <v>2</v>
      </c>
      <c r="AF5" s="33" t="s">
        <v>46</v>
      </c>
      <c r="AG5" s="32">
        <v>2</v>
      </c>
      <c r="AH5" s="33" t="s">
        <v>163</v>
      </c>
      <c r="AI5" s="32">
        <v>2</v>
      </c>
      <c r="AJ5" s="33" t="s">
        <v>53</v>
      </c>
      <c r="AK5" s="32">
        <v>2</v>
      </c>
      <c r="AL5" s="33" t="s">
        <v>55</v>
      </c>
      <c r="AM5" s="32">
        <v>2</v>
      </c>
      <c r="AN5" s="46" t="s">
        <v>58</v>
      </c>
    </row>
    <row r="6" spans="1:40" ht="17.25" thickBot="1" x14ac:dyDescent="0.35">
      <c r="A6" s="2">
        <v>3</v>
      </c>
      <c r="B6" s="2" t="s">
        <v>190</v>
      </c>
      <c r="C6" s="2" t="s">
        <v>134</v>
      </c>
      <c r="D6" s="39" t="s">
        <v>225</v>
      </c>
      <c r="H6" s="4">
        <f t="shared" ref="H6:I20" si="0">+H5+1</f>
        <v>3</v>
      </c>
      <c r="I6" s="5">
        <f t="shared" si="0"/>
        <v>3</v>
      </c>
      <c r="J6" s="17" t="s">
        <v>76</v>
      </c>
      <c r="K6" s="5">
        <v>3</v>
      </c>
      <c r="L6" s="1" t="s">
        <v>105</v>
      </c>
      <c r="M6" s="5">
        <v>3</v>
      </c>
      <c r="N6" s="17" t="s">
        <v>115</v>
      </c>
      <c r="O6" s="5">
        <v>3</v>
      </c>
      <c r="P6" s="1" t="s">
        <v>92</v>
      </c>
      <c r="Q6" s="19">
        <v>3</v>
      </c>
      <c r="R6" s="1" t="s">
        <v>202</v>
      </c>
      <c r="S6" s="5">
        <v>3</v>
      </c>
      <c r="T6" s="6" t="s">
        <v>8</v>
      </c>
      <c r="U6" s="5">
        <v>3</v>
      </c>
      <c r="V6" s="6" t="s">
        <v>73</v>
      </c>
      <c r="W6" s="5">
        <v>3</v>
      </c>
      <c r="X6" s="1" t="s">
        <v>11</v>
      </c>
      <c r="Y6" s="32">
        <v>3</v>
      </c>
      <c r="Z6" s="33" t="s">
        <v>20</v>
      </c>
      <c r="AA6" s="32">
        <v>3</v>
      </c>
      <c r="AB6" s="33" t="s">
        <v>34</v>
      </c>
      <c r="AC6" s="32">
        <v>3</v>
      </c>
      <c r="AD6" s="33" t="s">
        <v>38</v>
      </c>
      <c r="AE6" s="32">
        <v>3</v>
      </c>
      <c r="AF6" s="33" t="s">
        <v>47</v>
      </c>
      <c r="AG6" s="32">
        <v>3</v>
      </c>
      <c r="AH6" s="33" t="s">
        <v>191</v>
      </c>
      <c r="AI6" s="32">
        <v>3</v>
      </c>
      <c r="AJ6" s="33" t="s">
        <v>66</v>
      </c>
      <c r="AK6" s="32">
        <v>3</v>
      </c>
      <c r="AL6" s="33" t="s">
        <v>56</v>
      </c>
      <c r="AM6" s="32">
        <v>3</v>
      </c>
      <c r="AN6" s="46" t="s">
        <v>53</v>
      </c>
    </row>
    <row r="7" spans="1:40" ht="17.25" thickBot="1" x14ac:dyDescent="0.35">
      <c r="C7" s="45">
        <v>5538</v>
      </c>
      <c r="D7" s="40">
        <f>+C7/3.3058</f>
        <v>1675.2374614314235</v>
      </c>
      <c r="H7" s="4">
        <f t="shared" si="0"/>
        <v>4</v>
      </c>
      <c r="I7" s="5">
        <f t="shared" si="0"/>
        <v>4</v>
      </c>
      <c r="J7" s="17" t="s">
        <v>90</v>
      </c>
      <c r="K7" s="5">
        <v>4</v>
      </c>
      <c r="L7" s="1" t="s">
        <v>106</v>
      </c>
      <c r="M7" s="5">
        <v>4</v>
      </c>
      <c r="N7" s="17" t="s">
        <v>116</v>
      </c>
      <c r="O7" s="5">
        <v>4</v>
      </c>
      <c r="P7" s="1" t="s">
        <v>93</v>
      </c>
      <c r="Q7" s="19">
        <v>4</v>
      </c>
      <c r="R7" s="1" t="s">
        <v>203</v>
      </c>
      <c r="S7" s="5"/>
      <c r="T7" s="6"/>
      <c r="U7" s="5"/>
      <c r="V7" s="6"/>
      <c r="W7" s="5">
        <v>4</v>
      </c>
      <c r="X7" s="1" t="s">
        <v>12</v>
      </c>
      <c r="Y7" s="32">
        <v>4</v>
      </c>
      <c r="Z7" s="33" t="s">
        <v>22</v>
      </c>
      <c r="AA7" s="32"/>
      <c r="AB7" s="33"/>
      <c r="AC7" s="32">
        <v>4</v>
      </c>
      <c r="AD7" s="33" t="s">
        <v>39</v>
      </c>
      <c r="AE7" s="32">
        <v>4</v>
      </c>
      <c r="AF7" s="33" t="s">
        <v>48</v>
      </c>
      <c r="AG7" s="32">
        <v>4</v>
      </c>
      <c r="AH7" s="33" t="s">
        <v>177</v>
      </c>
      <c r="AI7" s="32">
        <v>4</v>
      </c>
      <c r="AJ7" s="33" t="s">
        <v>67</v>
      </c>
      <c r="AK7" s="32">
        <v>4</v>
      </c>
      <c r="AL7" s="33" t="s">
        <v>53</v>
      </c>
      <c r="AM7" s="32">
        <v>4</v>
      </c>
      <c r="AN7" s="46" t="s">
        <v>188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88</v>
      </c>
      <c r="K8" s="5">
        <v>5</v>
      </c>
      <c r="L8" s="1" t="s">
        <v>107</v>
      </c>
      <c r="M8" s="5">
        <v>5</v>
      </c>
      <c r="N8" s="17" t="s">
        <v>117</v>
      </c>
      <c r="O8" s="5">
        <v>5</v>
      </c>
      <c r="P8" s="1" t="s">
        <v>94</v>
      </c>
      <c r="Q8" s="19">
        <v>5</v>
      </c>
      <c r="R8" s="1" t="s">
        <v>204</v>
      </c>
      <c r="S8" s="5"/>
      <c r="T8" s="6"/>
      <c r="U8" s="5"/>
      <c r="V8" s="6"/>
      <c r="W8" s="5">
        <v>5</v>
      </c>
      <c r="X8" s="1" t="s">
        <v>13</v>
      </c>
      <c r="Y8" s="32">
        <v>5</v>
      </c>
      <c r="Z8" s="33" t="s">
        <v>23</v>
      </c>
      <c r="AA8" s="32"/>
      <c r="AB8" s="33"/>
      <c r="AC8" s="32">
        <v>5</v>
      </c>
      <c r="AD8" s="33" t="s">
        <v>40</v>
      </c>
      <c r="AE8" s="32">
        <v>5</v>
      </c>
      <c r="AF8" s="33" t="s">
        <v>49</v>
      </c>
      <c r="AG8" s="32">
        <v>5</v>
      </c>
      <c r="AH8" s="33" t="s">
        <v>59</v>
      </c>
      <c r="AI8" s="32">
        <v>5</v>
      </c>
      <c r="AJ8" s="33" t="s">
        <v>63</v>
      </c>
      <c r="AK8" s="32">
        <v>5</v>
      </c>
      <c r="AL8" s="33" t="s">
        <v>188</v>
      </c>
      <c r="AM8" s="32"/>
      <c r="AN8" s="33"/>
    </row>
    <row r="9" spans="1:40" ht="17.25" thickBot="1" x14ac:dyDescent="0.35">
      <c r="A9" s="2">
        <v>4</v>
      </c>
      <c r="B9" s="2" t="s">
        <v>135</v>
      </c>
      <c r="C9" s="40" t="s">
        <v>196</v>
      </c>
      <c r="H9" s="4">
        <f t="shared" si="0"/>
        <v>6</v>
      </c>
      <c r="I9" s="5">
        <f t="shared" si="0"/>
        <v>6</v>
      </c>
      <c r="J9" s="17" t="s">
        <v>78</v>
      </c>
      <c r="K9" s="5">
        <v>6</v>
      </c>
      <c r="L9" s="1" t="s">
        <v>108</v>
      </c>
      <c r="M9" s="5">
        <v>6</v>
      </c>
      <c r="N9" s="17" t="s">
        <v>118</v>
      </c>
      <c r="O9" s="5">
        <v>6</v>
      </c>
      <c r="P9" s="1" t="s">
        <v>95</v>
      </c>
      <c r="Q9" s="19">
        <v>6</v>
      </c>
      <c r="R9" s="1" t="s">
        <v>206</v>
      </c>
      <c r="S9" s="5"/>
      <c r="T9" s="6"/>
      <c r="U9" s="5"/>
      <c r="V9" s="6"/>
      <c r="W9" s="5">
        <v>6</v>
      </c>
      <c r="X9" s="1" t="s">
        <v>14</v>
      </c>
      <c r="Y9" s="32">
        <v>6</v>
      </c>
      <c r="Z9" s="33" t="s">
        <v>24</v>
      </c>
      <c r="AA9" s="32"/>
      <c r="AB9" s="33"/>
      <c r="AC9" s="32">
        <v>6</v>
      </c>
      <c r="AD9" s="33" t="s">
        <v>223</v>
      </c>
      <c r="AE9" s="32">
        <v>6</v>
      </c>
      <c r="AF9" s="33" t="s">
        <v>50</v>
      </c>
      <c r="AG9" s="32">
        <v>6</v>
      </c>
      <c r="AH9" s="33" t="s">
        <v>62</v>
      </c>
      <c r="AI9" s="32">
        <v>6</v>
      </c>
      <c r="AJ9" s="33" t="s">
        <v>65</v>
      </c>
      <c r="AK9" s="32"/>
      <c r="AL9" s="33"/>
      <c r="AM9" s="32"/>
      <c r="AN9" s="33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79</v>
      </c>
      <c r="K10" s="5">
        <v>7</v>
      </c>
      <c r="L10" s="1" t="s">
        <v>109</v>
      </c>
      <c r="M10" s="5">
        <v>7</v>
      </c>
      <c r="N10" s="17" t="s">
        <v>119</v>
      </c>
      <c r="O10" s="5">
        <v>7</v>
      </c>
      <c r="P10" s="1" t="s">
        <v>96</v>
      </c>
      <c r="Q10" s="19">
        <v>7</v>
      </c>
      <c r="R10" s="1" t="s">
        <v>207</v>
      </c>
      <c r="S10" s="5"/>
      <c r="T10" s="6"/>
      <c r="U10" s="5"/>
      <c r="V10" s="6"/>
      <c r="W10" s="5">
        <v>7</v>
      </c>
      <c r="X10" s="1" t="s">
        <v>15</v>
      </c>
      <c r="Y10" s="32">
        <v>7</v>
      </c>
      <c r="Z10" s="33" t="s">
        <v>25</v>
      </c>
      <c r="AA10" s="32"/>
      <c r="AB10" s="33"/>
      <c r="AC10" s="32">
        <v>7</v>
      </c>
      <c r="AD10" s="33" t="s">
        <v>179</v>
      </c>
      <c r="AE10" s="32">
        <v>7</v>
      </c>
      <c r="AF10" s="33" t="s">
        <v>51</v>
      </c>
      <c r="AG10" s="32">
        <v>7</v>
      </c>
      <c r="AH10" s="33" t="s">
        <v>52</v>
      </c>
      <c r="AI10" s="32">
        <v>7</v>
      </c>
      <c r="AJ10" s="33" t="s">
        <v>64</v>
      </c>
      <c r="AK10" s="32"/>
      <c r="AL10" s="33"/>
      <c r="AM10" s="32"/>
      <c r="AN10" s="33"/>
    </row>
    <row r="11" spans="1:40" ht="17.25" thickBot="1" x14ac:dyDescent="0.35">
      <c r="A11" s="2">
        <v>5</v>
      </c>
      <c r="B11" s="2" t="s">
        <v>136</v>
      </c>
      <c r="C11" s="40" t="s">
        <v>205</v>
      </c>
      <c r="H11" s="4">
        <f t="shared" si="0"/>
        <v>8</v>
      </c>
      <c r="I11" s="5">
        <f t="shared" si="0"/>
        <v>8</v>
      </c>
      <c r="J11" s="17" t="s">
        <v>77</v>
      </c>
      <c r="K11" s="5">
        <v>8</v>
      </c>
      <c r="L11" s="1" t="s">
        <v>110</v>
      </c>
      <c r="M11" s="5">
        <v>8</v>
      </c>
      <c r="N11" s="17" t="s">
        <v>120</v>
      </c>
      <c r="O11" s="5">
        <v>8</v>
      </c>
      <c r="P11" s="1" t="s">
        <v>97</v>
      </c>
      <c r="Q11" s="19">
        <v>8</v>
      </c>
      <c r="R11" s="1" t="s">
        <v>208</v>
      </c>
      <c r="S11" s="5"/>
      <c r="T11" s="6"/>
      <c r="U11" s="5"/>
      <c r="V11" s="6"/>
      <c r="W11" s="5">
        <v>8</v>
      </c>
      <c r="X11" s="1" t="s">
        <v>16</v>
      </c>
      <c r="Y11" s="32">
        <v>8</v>
      </c>
      <c r="Z11" s="33" t="s">
        <v>26</v>
      </c>
      <c r="AA11" s="32"/>
      <c r="AB11" s="33"/>
      <c r="AC11" s="32">
        <v>8</v>
      </c>
      <c r="AD11" s="33" t="s">
        <v>158</v>
      </c>
      <c r="AE11" s="32">
        <v>8</v>
      </c>
      <c r="AF11" s="33" t="s">
        <v>52</v>
      </c>
      <c r="AG11" s="32">
        <v>8</v>
      </c>
      <c r="AH11" s="33" t="s">
        <v>165</v>
      </c>
      <c r="AI11" s="32">
        <v>8</v>
      </c>
      <c r="AJ11" s="33" t="s">
        <v>68</v>
      </c>
      <c r="AK11" s="32"/>
      <c r="AL11" s="33"/>
      <c r="AM11" s="32"/>
      <c r="AN11" s="33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80</v>
      </c>
      <c r="K12" s="5">
        <v>9</v>
      </c>
      <c r="L12" s="1" t="s">
        <v>111</v>
      </c>
      <c r="M12" s="5"/>
      <c r="N12" s="17"/>
      <c r="O12" s="5">
        <v>9</v>
      </c>
      <c r="P12" s="1" t="s">
        <v>98</v>
      </c>
      <c r="Q12" s="19">
        <v>9</v>
      </c>
      <c r="R12" s="1" t="s">
        <v>209</v>
      </c>
      <c r="S12" s="5"/>
      <c r="T12" s="6"/>
      <c r="U12" s="5"/>
      <c r="V12" s="6"/>
      <c r="W12" s="5">
        <v>9</v>
      </c>
      <c r="X12" s="1" t="s">
        <v>17</v>
      </c>
      <c r="Y12" s="32">
        <v>9</v>
      </c>
      <c r="Z12" s="33" t="s">
        <v>27</v>
      </c>
      <c r="AA12" s="32"/>
      <c r="AB12" s="33"/>
      <c r="AC12" s="32">
        <v>9</v>
      </c>
      <c r="AD12" s="33" t="s">
        <v>192</v>
      </c>
      <c r="AE12" s="32">
        <v>9</v>
      </c>
      <c r="AF12" s="33" t="s">
        <v>174</v>
      </c>
      <c r="AG12" s="32">
        <v>9</v>
      </c>
      <c r="AH12" s="33" t="s">
        <v>60</v>
      </c>
      <c r="AI12" s="32">
        <v>9</v>
      </c>
      <c r="AJ12" s="33" t="s">
        <v>69</v>
      </c>
      <c r="AK12" s="32"/>
      <c r="AL12" s="33"/>
      <c r="AM12" s="32"/>
      <c r="AN12" s="33"/>
    </row>
    <row r="13" spans="1:40" ht="17.25" thickBot="1" x14ac:dyDescent="0.35">
      <c r="A13" s="2">
        <v>6</v>
      </c>
      <c r="B13" s="2" t="s">
        <v>137</v>
      </c>
      <c r="C13" s="40" t="s">
        <v>153</v>
      </c>
      <c r="H13" s="4">
        <f t="shared" si="0"/>
        <v>10</v>
      </c>
      <c r="I13" s="5">
        <f t="shared" si="0"/>
        <v>10</v>
      </c>
      <c r="J13" s="17" t="s">
        <v>81</v>
      </c>
      <c r="K13" s="5">
        <v>10</v>
      </c>
      <c r="L13" s="1" t="s">
        <v>112</v>
      </c>
      <c r="M13" s="5"/>
      <c r="N13" s="17"/>
      <c r="O13" s="5">
        <v>10</v>
      </c>
      <c r="P13" s="1" t="s">
        <v>99</v>
      </c>
      <c r="Q13" s="19">
        <v>10</v>
      </c>
      <c r="R13" s="1" t="s">
        <v>210</v>
      </c>
      <c r="S13" s="5"/>
      <c r="T13" s="6"/>
      <c r="U13" s="5"/>
      <c r="V13" s="6"/>
      <c r="W13" s="5"/>
      <c r="X13" s="1"/>
      <c r="Y13" s="32">
        <v>10</v>
      </c>
      <c r="Z13" s="33" t="s">
        <v>28</v>
      </c>
      <c r="AA13" s="32"/>
      <c r="AB13" s="33"/>
      <c r="AC13" s="32">
        <v>10</v>
      </c>
      <c r="AD13" s="33" t="s">
        <v>176</v>
      </c>
      <c r="AE13" s="32">
        <v>10</v>
      </c>
      <c r="AF13" s="33" t="s">
        <v>156</v>
      </c>
      <c r="AG13" s="32">
        <v>10</v>
      </c>
      <c r="AH13" s="33" t="s">
        <v>188</v>
      </c>
      <c r="AI13" s="32">
        <v>10</v>
      </c>
      <c r="AJ13" s="33" t="s">
        <v>188</v>
      </c>
      <c r="AK13" s="32"/>
      <c r="AL13" s="33"/>
      <c r="AM13" s="32"/>
      <c r="AN13" s="33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82</v>
      </c>
      <c r="K14" s="5"/>
      <c r="L14" s="1"/>
      <c r="M14" s="17"/>
      <c r="N14" s="17"/>
      <c r="O14" s="5">
        <v>11</v>
      </c>
      <c r="P14" s="1" t="s">
        <v>100</v>
      </c>
      <c r="Q14" s="19">
        <v>11</v>
      </c>
      <c r="R14" s="1" t="s">
        <v>211</v>
      </c>
      <c r="S14" s="5"/>
      <c r="T14" s="6"/>
      <c r="U14" s="5"/>
      <c r="V14" s="6"/>
      <c r="W14" s="5"/>
      <c r="X14" s="1"/>
      <c r="Y14" s="32">
        <v>11</v>
      </c>
      <c r="Z14" s="33" t="s">
        <v>200</v>
      </c>
      <c r="AA14" s="32"/>
      <c r="AB14" s="33"/>
      <c r="AC14" s="32">
        <v>11</v>
      </c>
      <c r="AD14" s="33" t="s">
        <v>172</v>
      </c>
      <c r="AE14" s="32">
        <v>11</v>
      </c>
      <c r="AF14" s="33" t="s">
        <v>159</v>
      </c>
      <c r="AG14" s="32">
        <v>11</v>
      </c>
      <c r="AH14" s="33" t="s">
        <v>53</v>
      </c>
      <c r="AI14" s="32"/>
      <c r="AJ14" s="33"/>
      <c r="AK14" s="32"/>
      <c r="AL14" s="33"/>
      <c r="AM14" s="32"/>
      <c r="AN14" s="33"/>
    </row>
    <row r="15" spans="1:40" ht="17.25" thickBot="1" x14ac:dyDescent="0.35">
      <c r="A15" s="2">
        <v>7</v>
      </c>
      <c r="B15" s="2" t="s">
        <v>138</v>
      </c>
      <c r="C15" s="40" t="s">
        <v>189</v>
      </c>
      <c r="H15" s="4">
        <f t="shared" si="0"/>
        <v>12</v>
      </c>
      <c r="I15" s="5">
        <f t="shared" si="0"/>
        <v>12</v>
      </c>
      <c r="J15" s="17" t="s">
        <v>83</v>
      </c>
      <c r="K15" s="5"/>
      <c r="L15" s="1"/>
      <c r="M15" s="17"/>
      <c r="N15" s="22"/>
      <c r="O15" s="5">
        <v>12</v>
      </c>
      <c r="P15" s="1" t="s">
        <v>101</v>
      </c>
      <c r="Q15" s="19">
        <v>12</v>
      </c>
      <c r="R15" s="1" t="s">
        <v>212</v>
      </c>
      <c r="S15" s="5"/>
      <c r="T15" s="6"/>
      <c r="U15" s="5"/>
      <c r="V15" s="6"/>
      <c r="W15" s="5"/>
      <c r="X15" s="1"/>
      <c r="Y15" s="32">
        <v>12</v>
      </c>
      <c r="Z15" s="33" t="s">
        <v>29</v>
      </c>
      <c r="AA15" s="32"/>
      <c r="AB15" s="33"/>
      <c r="AC15" s="32">
        <v>12</v>
      </c>
      <c r="AD15" s="33" t="s">
        <v>167</v>
      </c>
      <c r="AE15" s="32">
        <v>12</v>
      </c>
      <c r="AF15" s="33" t="s">
        <v>164</v>
      </c>
      <c r="AG15" s="32"/>
      <c r="AH15" s="33"/>
      <c r="AI15" s="32"/>
      <c r="AJ15" s="33"/>
      <c r="AK15" s="32"/>
      <c r="AL15" s="33"/>
      <c r="AM15" s="32"/>
      <c r="AN15" s="33"/>
    </row>
    <row r="16" spans="1:40" x14ac:dyDescent="0.3">
      <c r="H16" s="4">
        <f t="shared" si="0"/>
        <v>13</v>
      </c>
      <c r="I16" s="5">
        <f t="shared" si="0"/>
        <v>13</v>
      </c>
      <c r="J16" s="17" t="s">
        <v>84</v>
      </c>
      <c r="K16" s="5"/>
      <c r="L16" s="1"/>
      <c r="M16" s="17"/>
      <c r="N16" s="17"/>
      <c r="O16" s="5">
        <v>13</v>
      </c>
      <c r="P16" s="1" t="s">
        <v>102</v>
      </c>
      <c r="Q16" s="19">
        <v>13</v>
      </c>
      <c r="R16" s="1" t="s">
        <v>213</v>
      </c>
      <c r="S16" s="5"/>
      <c r="T16" s="6"/>
      <c r="U16" s="5"/>
      <c r="V16" s="6"/>
      <c r="W16" s="5"/>
      <c r="X16" s="1"/>
      <c r="Y16" s="32">
        <v>13</v>
      </c>
      <c r="Z16" s="33" t="s">
        <v>30</v>
      </c>
      <c r="AA16" s="32"/>
      <c r="AB16" s="33"/>
      <c r="AC16" s="32">
        <v>13</v>
      </c>
      <c r="AD16" s="33" t="s">
        <v>160</v>
      </c>
      <c r="AE16" s="32">
        <v>13</v>
      </c>
      <c r="AF16" s="33" t="s">
        <v>166</v>
      </c>
      <c r="AG16" s="32"/>
      <c r="AH16" s="33"/>
      <c r="AI16" s="32"/>
      <c r="AJ16" s="33"/>
      <c r="AK16" s="32"/>
      <c r="AL16" s="33"/>
      <c r="AM16" s="32"/>
      <c r="AN16" s="33"/>
    </row>
    <row r="17" spans="1:40" x14ac:dyDescent="0.3">
      <c r="A17" s="2">
        <v>8</v>
      </c>
      <c r="B17" s="2" t="s">
        <v>139</v>
      </c>
      <c r="C17" s="2" t="s">
        <v>143</v>
      </c>
      <c r="D17" s="2" t="s">
        <v>226</v>
      </c>
      <c r="E17" s="39" t="s">
        <v>145</v>
      </c>
      <c r="H17" s="4">
        <f t="shared" si="0"/>
        <v>14</v>
      </c>
      <c r="I17" s="5">
        <f t="shared" si="0"/>
        <v>14</v>
      </c>
      <c r="J17" s="17" t="s">
        <v>85</v>
      </c>
      <c r="K17" s="17"/>
      <c r="L17" s="1"/>
      <c r="M17" s="17"/>
      <c r="N17" s="23"/>
      <c r="O17" s="5">
        <v>14</v>
      </c>
      <c r="P17" s="1" t="s">
        <v>103</v>
      </c>
      <c r="Q17" s="19">
        <v>14</v>
      </c>
      <c r="R17" s="1" t="s">
        <v>214</v>
      </c>
      <c r="S17" s="5"/>
      <c r="T17" s="6"/>
      <c r="U17" s="5"/>
      <c r="V17" s="6"/>
      <c r="W17" s="5"/>
      <c r="X17" s="1"/>
      <c r="Y17" s="32">
        <v>14</v>
      </c>
      <c r="Z17" s="33" t="s">
        <v>31</v>
      </c>
      <c r="AA17" s="32"/>
      <c r="AB17" s="33"/>
      <c r="AC17" s="32">
        <v>14</v>
      </c>
      <c r="AD17" s="33" t="s">
        <v>173</v>
      </c>
      <c r="AE17" s="32">
        <v>14</v>
      </c>
      <c r="AF17" s="33" t="s">
        <v>168</v>
      </c>
      <c r="AG17" s="32"/>
      <c r="AH17" s="33"/>
      <c r="AI17" s="32"/>
      <c r="AJ17" s="33"/>
      <c r="AK17" s="32"/>
      <c r="AL17" s="33"/>
      <c r="AM17" s="32"/>
      <c r="AN17" s="33"/>
    </row>
    <row r="18" spans="1:40" x14ac:dyDescent="0.3">
      <c r="B18" s="2">
        <v>1</v>
      </c>
      <c r="C18" s="39" t="s">
        <v>140</v>
      </c>
      <c r="D18" s="58">
        <f>D31</f>
        <v>0</v>
      </c>
      <c r="E18" s="55">
        <f>+D18*3.3058</f>
        <v>0</v>
      </c>
      <c r="H18" s="4">
        <f t="shared" si="0"/>
        <v>15</v>
      </c>
      <c r="I18" s="5">
        <f t="shared" si="0"/>
        <v>15</v>
      </c>
      <c r="J18" s="17" t="s">
        <v>86</v>
      </c>
      <c r="K18" s="5"/>
      <c r="L18" s="1"/>
      <c r="M18" s="17"/>
      <c r="N18" s="17"/>
      <c r="O18" s="5"/>
      <c r="P18" s="1"/>
      <c r="Q18" s="19">
        <v>15</v>
      </c>
      <c r="R18" s="1" t="s">
        <v>215</v>
      </c>
      <c r="S18" s="5"/>
      <c r="T18" s="6"/>
      <c r="U18" s="5"/>
      <c r="V18" s="6"/>
      <c r="W18" s="5"/>
      <c r="X18" s="1"/>
      <c r="Y18" s="32">
        <v>15</v>
      </c>
      <c r="Z18" s="33" t="s">
        <v>187</v>
      </c>
      <c r="AA18" s="32"/>
      <c r="AB18" s="33"/>
      <c r="AC18" s="32">
        <v>15</v>
      </c>
      <c r="AD18" s="33" t="s">
        <v>175</v>
      </c>
      <c r="AE18" s="32">
        <v>15</v>
      </c>
      <c r="AF18" s="33" t="s">
        <v>171</v>
      </c>
      <c r="AG18" s="32"/>
      <c r="AH18" s="33"/>
      <c r="AI18" s="32"/>
      <c r="AJ18" s="33"/>
      <c r="AK18" s="32"/>
      <c r="AL18" s="33"/>
      <c r="AM18" s="32"/>
      <c r="AN18" s="33"/>
    </row>
    <row r="19" spans="1:40" x14ac:dyDescent="0.3">
      <c r="B19" s="2">
        <v>2</v>
      </c>
      <c r="C19" s="39" t="s">
        <v>141</v>
      </c>
      <c r="D19" s="59">
        <f>+D54</f>
        <v>512700</v>
      </c>
      <c r="E19" s="56">
        <f>+D19*3.3058</f>
        <v>1694883.6600000001</v>
      </c>
      <c r="H19" s="4">
        <f t="shared" si="0"/>
        <v>16</v>
      </c>
      <c r="I19" s="5">
        <f t="shared" si="0"/>
        <v>16</v>
      </c>
      <c r="J19" s="17" t="s">
        <v>87</v>
      </c>
      <c r="K19" s="5"/>
      <c r="L19" s="1"/>
      <c r="M19" s="17"/>
      <c r="N19" s="17"/>
      <c r="O19" s="5"/>
      <c r="P19" s="1"/>
      <c r="Q19" s="19">
        <v>16</v>
      </c>
      <c r="R19" s="1" t="s">
        <v>216</v>
      </c>
      <c r="S19" s="5"/>
      <c r="T19" s="6"/>
      <c r="U19" s="5"/>
      <c r="V19" s="6"/>
      <c r="W19" s="5"/>
      <c r="X19" s="1"/>
      <c r="Y19" s="32">
        <v>16</v>
      </c>
      <c r="Z19" s="33" t="s">
        <v>184</v>
      </c>
      <c r="AA19" s="32"/>
      <c r="AB19" s="33"/>
      <c r="AC19" s="32">
        <v>16</v>
      </c>
      <c r="AD19" s="33" t="s">
        <v>161</v>
      </c>
      <c r="AE19" s="32">
        <v>16</v>
      </c>
      <c r="AF19" s="33" t="s">
        <v>157</v>
      </c>
      <c r="AG19" s="32"/>
      <c r="AH19" s="33"/>
      <c r="AI19" s="32"/>
      <c r="AJ19" s="33"/>
      <c r="AK19" s="32"/>
      <c r="AL19" s="33"/>
      <c r="AM19" s="32"/>
      <c r="AN19" s="33"/>
    </row>
    <row r="20" spans="1:40" x14ac:dyDescent="0.3">
      <c r="B20" s="2">
        <v>3</v>
      </c>
      <c r="C20" s="39" t="s">
        <v>125</v>
      </c>
      <c r="D20" s="59">
        <f>+D60</f>
        <v>16770</v>
      </c>
      <c r="E20" s="56">
        <f t="shared" ref="E20:E24" si="1">+D20*3.3058</f>
        <v>55438.266000000003</v>
      </c>
      <c r="H20" s="4">
        <f t="shared" si="0"/>
        <v>17</v>
      </c>
      <c r="I20" s="5">
        <f t="shared" si="0"/>
        <v>17</v>
      </c>
      <c r="J20" s="17" t="s">
        <v>53</v>
      </c>
      <c r="K20" s="5"/>
      <c r="L20" s="1"/>
      <c r="M20" s="17"/>
      <c r="N20" s="17"/>
      <c r="O20" s="5"/>
      <c r="P20" s="1"/>
      <c r="Q20" s="19">
        <v>17</v>
      </c>
      <c r="R20" s="1" t="s">
        <v>217</v>
      </c>
      <c r="S20" s="5"/>
      <c r="T20" s="6"/>
      <c r="U20" s="5"/>
      <c r="V20" s="6"/>
      <c r="W20" s="5"/>
      <c r="X20" s="1"/>
      <c r="Y20" s="32">
        <v>17</v>
      </c>
      <c r="Z20" s="33" t="s">
        <v>185</v>
      </c>
      <c r="AA20" s="32"/>
      <c r="AB20" s="33"/>
      <c r="AC20" s="32">
        <v>17</v>
      </c>
      <c r="AD20" s="33" t="s">
        <v>162</v>
      </c>
      <c r="AE20" s="32">
        <v>17</v>
      </c>
      <c r="AF20" s="33" t="s">
        <v>169</v>
      </c>
      <c r="AG20" s="32"/>
      <c r="AH20" s="33"/>
      <c r="AI20" s="32"/>
      <c r="AJ20" s="33"/>
      <c r="AK20" s="32"/>
      <c r="AL20" s="33"/>
      <c r="AM20" s="32"/>
      <c r="AN20" s="33"/>
    </row>
    <row r="21" spans="1:40" x14ac:dyDescent="0.3">
      <c r="B21" s="2">
        <v>4</v>
      </c>
      <c r="C21" s="39" t="s">
        <v>126</v>
      </c>
      <c r="D21" s="59">
        <f>+D89</f>
        <v>249930</v>
      </c>
      <c r="E21" s="56">
        <f t="shared" si="1"/>
        <v>826218.59400000004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218</v>
      </c>
      <c r="S21" s="5"/>
      <c r="T21" s="6"/>
      <c r="U21" s="5"/>
      <c r="V21" s="6"/>
      <c r="W21" s="5"/>
      <c r="X21" s="1"/>
      <c r="Y21" s="32">
        <v>18</v>
      </c>
      <c r="Z21" s="33" t="s">
        <v>186</v>
      </c>
      <c r="AA21" s="32"/>
      <c r="AB21" s="33"/>
      <c r="AC21" s="32">
        <v>18</v>
      </c>
      <c r="AD21" s="33" t="s">
        <v>180</v>
      </c>
      <c r="AE21" s="32">
        <v>18</v>
      </c>
      <c r="AF21" s="33" t="s">
        <v>155</v>
      </c>
      <c r="AG21" s="32"/>
      <c r="AH21" s="33"/>
      <c r="AI21" s="32"/>
      <c r="AJ21" s="33"/>
      <c r="AK21" s="32"/>
      <c r="AL21" s="33"/>
      <c r="AM21" s="32"/>
      <c r="AN21" s="33"/>
    </row>
    <row r="22" spans="1:40" x14ac:dyDescent="0.3">
      <c r="B22" s="2">
        <v>5</v>
      </c>
      <c r="C22" s="39" t="s">
        <v>127</v>
      </c>
      <c r="D22" s="59">
        <f>+D113</f>
        <v>39530</v>
      </c>
      <c r="E22" s="56">
        <f t="shared" si="1"/>
        <v>130678.274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219</v>
      </c>
      <c r="S22" s="5"/>
      <c r="T22" s="6"/>
      <c r="U22" s="5"/>
      <c r="V22" s="6"/>
      <c r="W22" s="5"/>
      <c r="X22" s="1"/>
      <c r="Y22" s="32">
        <v>19</v>
      </c>
      <c r="Z22" s="33" t="s">
        <v>32</v>
      </c>
      <c r="AA22" s="32"/>
      <c r="AB22" s="33"/>
      <c r="AC22" s="32">
        <v>19</v>
      </c>
      <c r="AD22" s="33" t="s">
        <v>178</v>
      </c>
      <c r="AE22" s="32">
        <v>19</v>
      </c>
      <c r="AF22" s="33" t="s">
        <v>154</v>
      </c>
      <c r="AG22" s="32"/>
      <c r="AH22" s="33"/>
      <c r="AI22" s="32"/>
      <c r="AJ22" s="33"/>
      <c r="AK22" s="32"/>
      <c r="AL22" s="33"/>
      <c r="AM22" s="32"/>
      <c r="AN22" s="33"/>
    </row>
    <row r="23" spans="1:40" x14ac:dyDescent="0.3">
      <c r="B23" s="2">
        <v>6</v>
      </c>
      <c r="C23" s="39" t="s">
        <v>128</v>
      </c>
      <c r="D23" s="59">
        <f>+D127</f>
        <v>52500</v>
      </c>
      <c r="E23" s="56">
        <f t="shared" si="1"/>
        <v>173554.5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220</v>
      </c>
      <c r="S23" s="5"/>
      <c r="T23" s="6"/>
      <c r="U23" s="5"/>
      <c r="V23" s="6"/>
      <c r="W23" s="5"/>
      <c r="X23" s="1"/>
      <c r="Y23" s="32">
        <v>20</v>
      </c>
      <c r="Z23" s="33" t="s">
        <v>188</v>
      </c>
      <c r="AA23" s="32"/>
      <c r="AB23" s="33"/>
      <c r="AC23" s="32">
        <v>20</v>
      </c>
      <c r="AD23" s="33" t="s">
        <v>181</v>
      </c>
      <c r="AE23" s="32">
        <v>20</v>
      </c>
      <c r="AF23" s="33" t="s">
        <v>188</v>
      </c>
      <c r="AG23" s="32"/>
      <c r="AH23" s="33"/>
      <c r="AI23" s="32"/>
      <c r="AJ23" s="33"/>
      <c r="AK23" s="32"/>
      <c r="AL23" s="33"/>
      <c r="AM23" s="32"/>
      <c r="AN23" s="33"/>
    </row>
    <row r="24" spans="1:40" x14ac:dyDescent="0.3">
      <c r="B24" s="2">
        <v>7</v>
      </c>
      <c r="C24" s="39" t="s">
        <v>129</v>
      </c>
      <c r="D24" s="59">
        <f>+D140</f>
        <v>22790</v>
      </c>
      <c r="E24" s="56">
        <f t="shared" si="1"/>
        <v>75339.182000000001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221</v>
      </c>
      <c r="S24" s="7"/>
      <c r="T24" s="6"/>
      <c r="U24" s="7"/>
      <c r="V24" s="6"/>
      <c r="W24" s="8"/>
      <c r="X24" s="1"/>
      <c r="Y24" s="34"/>
      <c r="Z24" s="33"/>
      <c r="AA24" s="65"/>
      <c r="AB24" s="33"/>
      <c r="AC24" s="32">
        <v>21</v>
      </c>
      <c r="AD24" s="33" t="s">
        <v>41</v>
      </c>
      <c r="AE24" s="32">
        <v>21</v>
      </c>
      <c r="AF24" s="33" t="s">
        <v>53</v>
      </c>
      <c r="AG24" s="65"/>
      <c r="AH24" s="33"/>
      <c r="AI24" s="34"/>
      <c r="AJ24" s="33"/>
      <c r="AK24" s="34"/>
      <c r="AL24" s="33"/>
      <c r="AM24" s="34"/>
      <c r="AN24" s="33"/>
    </row>
    <row r="25" spans="1:40" x14ac:dyDescent="0.3">
      <c r="B25" s="2">
        <v>8</v>
      </c>
      <c r="C25" s="39" t="s">
        <v>130</v>
      </c>
      <c r="D25" s="59">
        <f>+D148</f>
        <v>0</v>
      </c>
      <c r="E25" s="56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222</v>
      </c>
      <c r="S25" s="7"/>
      <c r="T25" s="9"/>
      <c r="U25" s="7"/>
      <c r="V25" s="9"/>
      <c r="W25" s="10"/>
      <c r="X25" s="1"/>
      <c r="Y25" s="35"/>
      <c r="Z25" s="33"/>
      <c r="AA25" s="66"/>
      <c r="AB25" s="33"/>
      <c r="AC25" s="32">
        <v>22</v>
      </c>
      <c r="AD25" s="33" t="s">
        <v>42</v>
      </c>
      <c r="AE25" s="66"/>
      <c r="AF25" s="33"/>
      <c r="AG25" s="66"/>
      <c r="AH25" s="33"/>
      <c r="AI25" s="35"/>
      <c r="AJ25" s="33"/>
      <c r="AK25" s="35"/>
      <c r="AL25" s="33"/>
      <c r="AM25" s="35"/>
      <c r="AN25" s="33"/>
    </row>
    <row r="26" spans="1:40" x14ac:dyDescent="0.3">
      <c r="B26" s="2">
        <v>9</v>
      </c>
      <c r="C26" s="39" t="s">
        <v>131</v>
      </c>
      <c r="D26" s="59">
        <f>+D155</f>
        <v>0</v>
      </c>
      <c r="E26" s="56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5"/>
      <c r="Z26" s="33"/>
      <c r="AA26" s="66"/>
      <c r="AB26" s="33"/>
      <c r="AC26" s="32">
        <v>23</v>
      </c>
      <c r="AD26" s="33" t="s">
        <v>43</v>
      </c>
      <c r="AE26" s="66"/>
      <c r="AF26" s="33"/>
      <c r="AG26" s="66"/>
      <c r="AH26" s="33"/>
      <c r="AI26" s="35"/>
      <c r="AJ26" s="33"/>
      <c r="AK26" s="35"/>
      <c r="AL26" s="33"/>
      <c r="AM26" s="35"/>
      <c r="AN26" s="33"/>
    </row>
    <row r="27" spans="1:40" x14ac:dyDescent="0.3">
      <c r="B27" s="2">
        <v>10</v>
      </c>
      <c r="C27" s="39" t="s">
        <v>198</v>
      </c>
      <c r="D27" s="70">
        <f>TRUNC(SUM(D18:D26)*0.275,-1)</f>
        <v>245910</v>
      </c>
      <c r="E27" s="57">
        <f>+D27*3.3058</f>
        <v>812929.27800000005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5"/>
      <c r="Z27" s="33"/>
      <c r="AA27" s="35"/>
      <c r="AB27" s="33"/>
      <c r="AC27" s="32">
        <v>24</v>
      </c>
      <c r="AD27" s="33" t="s">
        <v>44</v>
      </c>
      <c r="AE27" s="66"/>
      <c r="AF27" s="33"/>
      <c r="AG27" s="66"/>
      <c r="AH27" s="33"/>
      <c r="AI27" s="35"/>
      <c r="AJ27" s="33"/>
      <c r="AK27" s="35"/>
      <c r="AL27" s="33"/>
      <c r="AM27" s="35"/>
      <c r="AN27" s="33"/>
    </row>
    <row r="28" spans="1:40" x14ac:dyDescent="0.3">
      <c r="C28" s="39" t="s">
        <v>142</v>
      </c>
      <c r="D28" s="60">
        <f>SUM(D18:D27)</f>
        <v>1140130</v>
      </c>
      <c r="E28" s="39">
        <f>SUM(E18:E27)</f>
        <v>3769041.7540000007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4"/>
      <c r="Z28" s="36"/>
      <c r="AA28" s="34"/>
      <c r="AB28" s="36"/>
      <c r="AC28" s="32">
        <v>25</v>
      </c>
      <c r="AD28" s="33" t="s">
        <v>188</v>
      </c>
      <c r="AE28" s="65"/>
      <c r="AF28" s="36"/>
      <c r="AG28" s="34"/>
      <c r="AH28" s="36"/>
      <c r="AI28" s="34"/>
      <c r="AJ28" s="36"/>
      <c r="AK28" s="34"/>
      <c r="AL28" s="36"/>
      <c r="AM28" s="34"/>
      <c r="AN28" s="36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7"/>
      <c r="Z29" s="38"/>
      <c r="AA29" s="37"/>
      <c r="AB29" s="38"/>
      <c r="AC29" s="37">
        <v>26</v>
      </c>
      <c r="AD29" s="37" t="s">
        <v>53</v>
      </c>
      <c r="AE29" s="38"/>
      <c r="AF29" s="38"/>
      <c r="AG29" s="37"/>
      <c r="AH29" s="38"/>
      <c r="AI29" s="37"/>
      <c r="AJ29" s="38"/>
      <c r="AK29" s="37"/>
      <c r="AL29" s="38"/>
      <c r="AM29" s="37"/>
      <c r="AN29" s="38"/>
    </row>
    <row r="30" spans="1:40" ht="17.25" thickBot="1" x14ac:dyDescent="0.35">
      <c r="B30" s="2" t="s">
        <v>182</v>
      </c>
      <c r="C30" s="2" t="s">
        <v>143</v>
      </c>
      <c r="D30" s="2" t="s">
        <v>226</v>
      </c>
      <c r="E30" s="39" t="s">
        <v>145</v>
      </c>
      <c r="H30" s="41"/>
      <c r="I30" s="41"/>
      <c r="J30" s="41"/>
      <c r="K30" s="41"/>
      <c r="L30" s="42"/>
      <c r="M30" s="42"/>
      <c r="N30" s="42"/>
      <c r="O30" s="42"/>
      <c r="P30" s="42"/>
      <c r="Q30" s="43"/>
      <c r="R30" s="41"/>
      <c r="S30" s="41"/>
      <c r="T30" s="41"/>
      <c r="U30" s="41"/>
      <c r="V30" s="41"/>
      <c r="W30" s="41"/>
      <c r="X30" s="41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</row>
    <row r="31" spans="1:40" ht="17.25" thickBot="1" x14ac:dyDescent="0.35">
      <c r="C31" s="46" t="s">
        <v>182</v>
      </c>
      <c r="D31" s="67">
        <v>0</v>
      </c>
      <c r="E31" s="47">
        <f>+D31*3.3058</f>
        <v>0</v>
      </c>
      <c r="H31" s="41"/>
      <c r="I31" s="41"/>
      <c r="J31" s="41"/>
      <c r="K31" s="41"/>
      <c r="L31" s="42"/>
      <c r="M31" s="42"/>
      <c r="N31" s="42"/>
      <c r="O31" s="42"/>
      <c r="P31" s="42"/>
      <c r="Q31" s="43"/>
      <c r="R31" s="41"/>
      <c r="S31" s="41"/>
      <c r="T31" s="41"/>
      <c r="U31" s="41"/>
      <c r="V31" s="41"/>
      <c r="W31" s="41"/>
      <c r="X31" s="41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</row>
    <row r="32" spans="1:40" x14ac:dyDescent="0.3">
      <c r="H32" s="41"/>
      <c r="I32" s="41"/>
      <c r="J32" s="41"/>
      <c r="K32" s="41"/>
      <c r="L32" s="42"/>
      <c r="M32" s="42"/>
      <c r="N32" s="42"/>
      <c r="O32" s="42"/>
      <c r="P32" s="42"/>
      <c r="Q32" s="43"/>
      <c r="R32" s="41"/>
      <c r="S32" s="41"/>
      <c r="T32" s="41"/>
      <c r="U32" s="41"/>
      <c r="V32" s="41"/>
      <c r="W32" s="41"/>
      <c r="X32" s="41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</row>
    <row r="33" spans="1:31" ht="17.25" thickBot="1" x14ac:dyDescent="0.35">
      <c r="B33" s="2" t="s">
        <v>183</v>
      </c>
      <c r="C33" s="2" t="s">
        <v>143</v>
      </c>
      <c r="D33" s="2" t="s">
        <v>226</v>
      </c>
      <c r="E33" s="39" t="s">
        <v>145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6" t="s">
        <v>21</v>
      </c>
      <c r="D34" s="50">
        <v>41170</v>
      </c>
      <c r="E34" s="51">
        <f>+D34*3.3058</f>
        <v>136099.78599999999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6" t="s">
        <v>19</v>
      </c>
      <c r="D35" s="68">
        <v>215430</v>
      </c>
      <c r="E35" s="52">
        <f>+D35*3.3058</f>
        <v>712168.49400000006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6" t="s">
        <v>20</v>
      </c>
      <c r="D36" s="68">
        <v>0</v>
      </c>
      <c r="E36" s="52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6" t="s">
        <v>22</v>
      </c>
      <c r="D37" s="68">
        <v>0</v>
      </c>
      <c r="E37" s="52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6" t="s">
        <v>23</v>
      </c>
      <c r="D38" s="68">
        <v>0</v>
      </c>
      <c r="E38" s="52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6" t="s">
        <v>24</v>
      </c>
      <c r="D39" s="68">
        <v>0</v>
      </c>
      <c r="E39" s="52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6" t="s">
        <v>25</v>
      </c>
      <c r="D40" s="68">
        <v>0</v>
      </c>
      <c r="E40" s="52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6" t="s">
        <v>26</v>
      </c>
      <c r="D41" s="68">
        <v>0</v>
      </c>
      <c r="E41" s="52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6" t="s">
        <v>27</v>
      </c>
      <c r="D42" s="68">
        <v>0</v>
      </c>
      <c r="E42" s="52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6" t="s">
        <v>28</v>
      </c>
      <c r="D43" s="68">
        <v>0</v>
      </c>
      <c r="E43" s="52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6" t="s">
        <v>200</v>
      </c>
      <c r="D44" s="68">
        <v>0</v>
      </c>
      <c r="E44" s="52">
        <f>+D44*3.3058</f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6" t="s">
        <v>29</v>
      </c>
      <c r="D45" s="68">
        <v>0</v>
      </c>
      <c r="E45" s="52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6" t="s">
        <v>30</v>
      </c>
      <c r="D46" s="68">
        <v>0</v>
      </c>
      <c r="E46" s="52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6" t="s">
        <v>31</v>
      </c>
      <c r="D47" s="68">
        <v>0</v>
      </c>
      <c r="E47" s="52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6" t="s">
        <v>187</v>
      </c>
      <c r="D48" s="68">
        <v>0</v>
      </c>
      <c r="E48" s="52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6" t="s">
        <v>184</v>
      </c>
      <c r="D49" s="68">
        <v>0</v>
      </c>
      <c r="E49" s="52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6" t="s">
        <v>185</v>
      </c>
      <c r="D50" s="68">
        <v>0</v>
      </c>
      <c r="E50" s="52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6" t="s">
        <v>186</v>
      </c>
      <c r="D51" s="68">
        <v>0</v>
      </c>
      <c r="E51" s="52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6" t="s">
        <v>32</v>
      </c>
      <c r="D52" s="68">
        <v>256100</v>
      </c>
      <c r="E52" s="52">
        <f t="shared" si="2"/>
        <v>846615.38</v>
      </c>
      <c r="F52" s="2" t="s">
        <v>197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6" t="s">
        <v>188</v>
      </c>
      <c r="D53" s="69">
        <v>0</v>
      </c>
      <c r="E53" s="53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142</v>
      </c>
      <c r="D54" s="48">
        <f>SUM(D34:D53)</f>
        <v>512700</v>
      </c>
      <c r="E54" s="49">
        <f>SUM(E34:E53)</f>
        <v>1694883.6600000001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146</v>
      </c>
      <c r="C56" s="2" t="s">
        <v>143</v>
      </c>
      <c r="D56" s="2" t="s">
        <v>144</v>
      </c>
      <c r="E56" s="39" t="s">
        <v>145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6" t="s">
        <v>33</v>
      </c>
      <c r="D57" s="50">
        <v>16770</v>
      </c>
      <c r="E57" s="51">
        <f>+D57*3.3058</f>
        <v>55438.266000000003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6" t="s">
        <v>35</v>
      </c>
      <c r="D58" s="68">
        <v>0</v>
      </c>
      <c r="E58" s="52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6" t="s">
        <v>34</v>
      </c>
      <c r="D59" s="69">
        <v>0</v>
      </c>
      <c r="E59" s="53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142</v>
      </c>
      <c r="D60" s="54">
        <f>SUM(D57:D59)</f>
        <v>16770</v>
      </c>
      <c r="E60" s="49">
        <f>SUM(E57:E59)</f>
        <v>55438.266000000003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147</v>
      </c>
      <c r="C62" s="2" t="s">
        <v>143</v>
      </c>
      <c r="D62" s="2" t="s">
        <v>144</v>
      </c>
      <c r="E62" s="39" t="s">
        <v>145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6" t="s">
        <v>36</v>
      </c>
      <c r="D63" s="50">
        <v>0</v>
      </c>
      <c r="E63" s="51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6" t="s">
        <v>37</v>
      </c>
      <c r="D64" s="68">
        <v>0</v>
      </c>
      <c r="E64" s="52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6" t="s">
        <v>38</v>
      </c>
      <c r="D65" s="68">
        <v>0</v>
      </c>
      <c r="E65" s="52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6" t="s">
        <v>39</v>
      </c>
      <c r="D66" s="68">
        <v>0</v>
      </c>
      <c r="E66" s="52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6" t="s">
        <v>40</v>
      </c>
      <c r="D67" s="68">
        <v>0</v>
      </c>
      <c r="E67" s="52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6" t="s">
        <v>223</v>
      </c>
      <c r="D68" s="68">
        <v>10870</v>
      </c>
      <c r="E68" s="52">
        <f>+D68*3.3058</f>
        <v>35934.046000000002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6" t="s">
        <v>179</v>
      </c>
      <c r="D69" s="68">
        <v>0</v>
      </c>
      <c r="E69" s="52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6" t="s">
        <v>158</v>
      </c>
      <c r="D70" s="68">
        <v>0</v>
      </c>
      <c r="E70" s="52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6" t="s">
        <v>192</v>
      </c>
      <c r="D71" s="68">
        <v>0</v>
      </c>
      <c r="E71" s="52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6" t="s">
        <v>176</v>
      </c>
      <c r="D72" s="68">
        <v>0</v>
      </c>
      <c r="E72" s="52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6" t="s">
        <v>172</v>
      </c>
      <c r="D73" s="68">
        <v>0</v>
      </c>
      <c r="E73" s="52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6" t="s">
        <v>167</v>
      </c>
      <c r="D74" s="68">
        <v>0</v>
      </c>
      <c r="E74" s="52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6" t="s">
        <v>160</v>
      </c>
      <c r="D75" s="68">
        <v>0</v>
      </c>
      <c r="E75" s="52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6" t="s">
        <v>173</v>
      </c>
      <c r="D76" s="68">
        <v>0</v>
      </c>
      <c r="E76" s="52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6" t="s">
        <v>175</v>
      </c>
      <c r="D77" s="68">
        <v>0</v>
      </c>
      <c r="E77" s="52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6" t="s">
        <v>161</v>
      </c>
      <c r="D78" s="68">
        <v>34460</v>
      </c>
      <c r="E78" s="52">
        <f t="shared" si="3"/>
        <v>113917.868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6" t="s">
        <v>162</v>
      </c>
      <c r="D79" s="68">
        <v>0</v>
      </c>
      <c r="E79" s="52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6" t="s">
        <v>180</v>
      </c>
      <c r="D80" s="68">
        <v>0</v>
      </c>
      <c r="E80" s="52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6" t="s">
        <v>178</v>
      </c>
      <c r="D81" s="68">
        <v>0</v>
      </c>
      <c r="E81" s="52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6" t="s">
        <v>181</v>
      </c>
      <c r="D82" s="68">
        <v>0</v>
      </c>
      <c r="E82" s="52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6" t="s">
        <v>41</v>
      </c>
      <c r="D83" s="68">
        <v>0</v>
      </c>
      <c r="E83" s="52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6" t="s">
        <v>42</v>
      </c>
      <c r="D84" s="68">
        <v>2460</v>
      </c>
      <c r="E84" s="52">
        <f t="shared" si="3"/>
        <v>8132.268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6" t="s">
        <v>43</v>
      </c>
      <c r="D85" s="68">
        <v>3240</v>
      </c>
      <c r="E85" s="52">
        <f t="shared" si="3"/>
        <v>10710.791999999999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6" t="s">
        <v>44</v>
      </c>
      <c r="D86" s="68">
        <v>20800</v>
      </c>
      <c r="E86" s="52">
        <f t="shared" si="3"/>
        <v>68760.639999999999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6" t="s">
        <v>188</v>
      </c>
      <c r="D87" s="68">
        <v>153590</v>
      </c>
      <c r="E87" s="52">
        <f>+D87*3.3058</f>
        <v>507737.82199999999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6" t="s">
        <v>53</v>
      </c>
      <c r="D88" s="69">
        <f>24510</f>
        <v>24510</v>
      </c>
      <c r="E88" s="53">
        <f>+D88*3.3058</f>
        <v>81025.157999999996</v>
      </c>
      <c r="F88" s="2" t="s">
        <v>224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142</v>
      </c>
      <c r="D89" s="48">
        <f>SUM(D63:D88)</f>
        <v>249930</v>
      </c>
      <c r="E89" s="49">
        <f>SUM(E63:E88)</f>
        <v>826218.59400000004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148</v>
      </c>
      <c r="C91" s="2" t="s">
        <v>143</v>
      </c>
      <c r="D91" s="2" t="s">
        <v>144</v>
      </c>
      <c r="E91" s="39" t="s">
        <v>145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6" t="s">
        <v>45</v>
      </c>
      <c r="D92" s="50">
        <v>0</v>
      </c>
      <c r="E92" s="51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6" t="s">
        <v>46</v>
      </c>
      <c r="D93" s="68">
        <v>0</v>
      </c>
      <c r="E93" s="52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6" t="s">
        <v>47</v>
      </c>
      <c r="D94" s="68">
        <v>19730</v>
      </c>
      <c r="E94" s="52">
        <f t="shared" ref="E94:E111" si="4">+D94*3.3058</f>
        <v>65223.434000000001</v>
      </c>
      <c r="F94" s="2" t="s">
        <v>193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6" t="s">
        <v>48</v>
      </c>
      <c r="D95" s="68">
        <v>0</v>
      </c>
      <c r="E95" s="52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6" t="s">
        <v>49</v>
      </c>
      <c r="D96" s="68">
        <v>0</v>
      </c>
      <c r="E96" s="52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6" t="s">
        <v>50</v>
      </c>
      <c r="D97" s="68">
        <v>0</v>
      </c>
      <c r="E97" s="52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6" t="s">
        <v>51</v>
      </c>
      <c r="D98" s="68">
        <v>0</v>
      </c>
      <c r="E98" s="52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6" t="s">
        <v>52</v>
      </c>
      <c r="D99" s="68">
        <v>0</v>
      </c>
      <c r="E99" s="52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6" t="s">
        <v>174</v>
      </c>
      <c r="D100" s="68">
        <v>0</v>
      </c>
      <c r="E100" s="52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6" t="s">
        <v>156</v>
      </c>
      <c r="D101" s="68">
        <v>0</v>
      </c>
      <c r="E101" s="52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6" t="s">
        <v>159</v>
      </c>
      <c r="D102" s="68">
        <v>0</v>
      </c>
      <c r="E102" s="52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6" t="s">
        <v>164</v>
      </c>
      <c r="D103" s="68">
        <v>0</v>
      </c>
      <c r="E103" s="52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6" t="s">
        <v>166</v>
      </c>
      <c r="D104" s="68">
        <v>0</v>
      </c>
      <c r="E104" s="52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6" t="s">
        <v>168</v>
      </c>
      <c r="D105" s="68">
        <v>0</v>
      </c>
      <c r="E105" s="52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6" t="s">
        <v>171</v>
      </c>
      <c r="D106" s="68">
        <v>0</v>
      </c>
      <c r="E106" s="52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6" t="s">
        <v>157</v>
      </c>
      <c r="D107" s="68">
        <v>0</v>
      </c>
      <c r="E107" s="52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6" t="s">
        <v>169</v>
      </c>
      <c r="D108" s="68">
        <v>0</v>
      </c>
      <c r="E108" s="52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6" t="s">
        <v>155</v>
      </c>
      <c r="D109" s="68">
        <v>0</v>
      </c>
      <c r="E109" s="52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6" t="s">
        <v>154</v>
      </c>
      <c r="D110" s="68">
        <v>19800</v>
      </c>
      <c r="E110" s="52">
        <f t="shared" si="4"/>
        <v>65454.840000000004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6" t="s">
        <v>188</v>
      </c>
      <c r="D111" s="68">
        <v>0</v>
      </c>
      <c r="E111" s="52">
        <f t="shared" si="4"/>
        <v>0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6" t="s">
        <v>53</v>
      </c>
      <c r="D112" s="69"/>
      <c r="E112" s="53">
        <f>+D112*3.3058</f>
        <v>0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142</v>
      </c>
      <c r="D113" s="48">
        <f>SUM(D92:D112)</f>
        <v>39530</v>
      </c>
      <c r="E113" s="49">
        <f>SUM(E92:E112)</f>
        <v>130678.274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149</v>
      </c>
      <c r="C115" s="2" t="s">
        <v>143</v>
      </c>
      <c r="D115" s="2" t="s">
        <v>144</v>
      </c>
      <c r="E115" s="39" t="s">
        <v>145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6" t="s">
        <v>61</v>
      </c>
      <c r="D116" s="50">
        <v>0</v>
      </c>
      <c r="E116" s="51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6" t="s">
        <v>163</v>
      </c>
      <c r="D117" s="68">
        <v>0</v>
      </c>
      <c r="E117" s="52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6" t="s">
        <v>191</v>
      </c>
      <c r="D118" s="68">
        <v>0</v>
      </c>
      <c r="E118" s="52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6" t="s">
        <v>177</v>
      </c>
      <c r="D119" s="68">
        <v>5160</v>
      </c>
      <c r="E119" s="52">
        <f t="shared" si="5"/>
        <v>17057.928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6" t="s">
        <v>59</v>
      </c>
      <c r="D120" s="68">
        <v>0</v>
      </c>
      <c r="E120" s="52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6" t="s">
        <v>62</v>
      </c>
      <c r="D121" s="68">
        <v>0</v>
      </c>
      <c r="E121" s="52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6" t="s">
        <v>52</v>
      </c>
      <c r="D122" s="68">
        <v>0</v>
      </c>
      <c r="E122" s="52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6" t="s">
        <v>165</v>
      </c>
      <c r="D123" s="68">
        <v>0</v>
      </c>
      <c r="E123" s="52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6" t="s">
        <v>60</v>
      </c>
      <c r="D124" s="68">
        <v>17120</v>
      </c>
      <c r="E124" s="52">
        <f t="shared" si="5"/>
        <v>56595.296000000002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6" t="s">
        <v>188</v>
      </c>
      <c r="D125" s="68">
        <v>27080</v>
      </c>
      <c r="E125" s="52">
        <f t="shared" si="5"/>
        <v>89521.063999999998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6" t="s">
        <v>53</v>
      </c>
      <c r="D126" s="69">
        <v>3140</v>
      </c>
      <c r="E126" s="53">
        <f>+D126*3.3058</f>
        <v>10380.212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142</v>
      </c>
      <c r="D127" s="48">
        <f>SUM(D116:D126)</f>
        <v>52500</v>
      </c>
      <c r="E127" s="49">
        <f>SUM(E116:E126)</f>
        <v>173554.5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150</v>
      </c>
      <c r="C129" s="2" t="s">
        <v>143</v>
      </c>
      <c r="D129" s="2" t="s">
        <v>144</v>
      </c>
      <c r="E129" s="39" t="s">
        <v>145</v>
      </c>
    </row>
    <row r="130" spans="1:23" x14ac:dyDescent="0.3">
      <c r="A130" s="2">
        <v>1</v>
      </c>
      <c r="C130" s="46" t="s">
        <v>170</v>
      </c>
      <c r="D130" s="50">
        <v>15340</v>
      </c>
      <c r="E130" s="51">
        <f>+D130*3.3058</f>
        <v>50710.972000000002</v>
      </c>
    </row>
    <row r="131" spans="1:23" x14ac:dyDescent="0.3">
      <c r="A131" s="2">
        <v>2</v>
      </c>
      <c r="C131" s="46" t="s">
        <v>53</v>
      </c>
      <c r="D131" s="68">
        <v>7450</v>
      </c>
      <c r="E131" s="52">
        <f>+D131*3.3058</f>
        <v>24628.21</v>
      </c>
      <c r="F131" s="2" t="s">
        <v>199</v>
      </c>
    </row>
    <row r="132" spans="1:23" x14ac:dyDescent="0.3">
      <c r="A132" s="2">
        <v>3</v>
      </c>
      <c r="C132" s="46" t="s">
        <v>66</v>
      </c>
      <c r="D132" s="68">
        <v>0</v>
      </c>
      <c r="E132" s="52">
        <f t="shared" ref="E132:E138" si="6">+D132*3.3058</f>
        <v>0</v>
      </c>
    </row>
    <row r="133" spans="1:23" x14ac:dyDescent="0.3">
      <c r="A133" s="2">
        <v>4</v>
      </c>
      <c r="C133" s="46" t="s">
        <v>67</v>
      </c>
      <c r="D133" s="68">
        <v>0</v>
      </c>
      <c r="E133" s="52">
        <f t="shared" si="6"/>
        <v>0</v>
      </c>
    </row>
    <row r="134" spans="1:23" x14ac:dyDescent="0.3">
      <c r="A134" s="2">
        <v>5</v>
      </c>
      <c r="C134" s="46" t="s">
        <v>63</v>
      </c>
      <c r="D134" s="68">
        <v>0</v>
      </c>
      <c r="E134" s="52">
        <f t="shared" si="6"/>
        <v>0</v>
      </c>
    </row>
    <row r="135" spans="1:23" x14ac:dyDescent="0.3">
      <c r="A135" s="2">
        <v>6</v>
      </c>
      <c r="C135" s="46" t="s">
        <v>65</v>
      </c>
      <c r="D135" s="68">
        <v>0</v>
      </c>
      <c r="E135" s="52">
        <f t="shared" si="6"/>
        <v>0</v>
      </c>
    </row>
    <row r="136" spans="1:23" x14ac:dyDescent="0.3">
      <c r="A136" s="2">
        <v>7</v>
      </c>
      <c r="C136" s="46" t="s">
        <v>64</v>
      </c>
      <c r="D136" s="68">
        <v>0</v>
      </c>
      <c r="E136" s="52">
        <f t="shared" si="6"/>
        <v>0</v>
      </c>
    </row>
    <row r="137" spans="1:23" x14ac:dyDescent="0.3">
      <c r="A137" s="2">
        <v>8</v>
      </c>
      <c r="C137" s="46" t="s">
        <v>68</v>
      </c>
      <c r="D137" s="68">
        <v>0</v>
      </c>
      <c r="E137" s="52">
        <f t="shared" si="6"/>
        <v>0</v>
      </c>
    </row>
    <row r="138" spans="1:23" x14ac:dyDescent="0.3">
      <c r="A138" s="2">
        <v>9</v>
      </c>
      <c r="C138" s="46" t="s">
        <v>69</v>
      </c>
      <c r="D138" s="68">
        <v>0</v>
      </c>
      <c r="E138" s="52">
        <f t="shared" si="6"/>
        <v>0</v>
      </c>
    </row>
    <row r="139" spans="1:23" ht="17.25" thickBot="1" x14ac:dyDescent="0.35">
      <c r="A139" s="2">
        <v>10</v>
      </c>
      <c r="C139" s="46" t="s">
        <v>188</v>
      </c>
      <c r="D139" s="69">
        <v>0</v>
      </c>
      <c r="E139" s="53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142</v>
      </c>
      <c r="D140" s="48">
        <f>SUM(D130:D139)</f>
        <v>22790</v>
      </c>
      <c r="E140" s="49">
        <f>SUM(E130:E139)</f>
        <v>75339.182000000001</v>
      </c>
    </row>
    <row r="142" spans="1:23" ht="17.25" thickBot="1" x14ac:dyDescent="0.35">
      <c r="B142" s="2" t="s">
        <v>151</v>
      </c>
      <c r="C142" s="2" t="s">
        <v>143</v>
      </c>
      <c r="D142" s="2" t="s">
        <v>144</v>
      </c>
      <c r="E142" s="39" t="s">
        <v>145</v>
      </c>
    </row>
    <row r="143" spans="1:23" x14ac:dyDescent="0.3">
      <c r="A143" s="2">
        <v>1</v>
      </c>
      <c r="C143" s="46" t="s">
        <v>54</v>
      </c>
      <c r="D143" s="50">
        <v>0</v>
      </c>
      <c r="E143" s="51">
        <f>+D143*3.3058</f>
        <v>0</v>
      </c>
    </row>
    <row r="144" spans="1:23" x14ac:dyDescent="0.3">
      <c r="A144" s="2">
        <v>2</v>
      </c>
      <c r="C144" s="46" t="s">
        <v>55</v>
      </c>
      <c r="D144" s="68">
        <v>0</v>
      </c>
      <c r="E144" s="52">
        <f>+D144*3.3058</f>
        <v>0</v>
      </c>
    </row>
    <row r="145" spans="1:23" x14ac:dyDescent="0.3">
      <c r="A145" s="2">
        <v>3</v>
      </c>
      <c r="C145" s="46" t="s">
        <v>56</v>
      </c>
      <c r="D145" s="68">
        <v>0</v>
      </c>
      <c r="E145" s="52">
        <f t="shared" ref="E145:E146" si="7">+D145*3.3058</f>
        <v>0</v>
      </c>
    </row>
    <row r="146" spans="1:23" x14ac:dyDescent="0.3">
      <c r="A146" s="2">
        <v>4</v>
      </c>
      <c r="C146" s="46" t="s">
        <v>53</v>
      </c>
      <c r="D146" s="68">
        <v>0</v>
      </c>
      <c r="E146" s="52">
        <f t="shared" si="7"/>
        <v>0</v>
      </c>
    </row>
    <row r="147" spans="1:23" ht="17.25" thickBot="1" x14ac:dyDescent="0.35">
      <c r="A147" s="2">
        <v>5</v>
      </c>
      <c r="C147" s="46" t="s">
        <v>188</v>
      </c>
      <c r="D147" s="69">
        <v>0</v>
      </c>
      <c r="E147" s="53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142</v>
      </c>
      <c r="D148" s="48">
        <f>SUM(D143:D147)</f>
        <v>0</v>
      </c>
      <c r="E148" s="49">
        <f>SUM(E143:E147)</f>
        <v>0</v>
      </c>
    </row>
    <row r="150" spans="1:23" ht="17.25" thickBot="1" x14ac:dyDescent="0.35">
      <c r="B150" s="2" t="s">
        <v>152</v>
      </c>
      <c r="C150" s="2" t="s">
        <v>143</v>
      </c>
      <c r="D150" s="2" t="s">
        <v>144</v>
      </c>
      <c r="E150" s="39" t="s">
        <v>145</v>
      </c>
    </row>
    <row r="151" spans="1:23" x14ac:dyDescent="0.3">
      <c r="A151" s="2">
        <v>1</v>
      </c>
      <c r="C151" s="46" t="s">
        <v>57</v>
      </c>
      <c r="D151" s="50">
        <v>0</v>
      </c>
      <c r="E151" s="51">
        <f>+D151*3.3058</f>
        <v>0</v>
      </c>
    </row>
    <row r="152" spans="1:23" x14ac:dyDescent="0.3">
      <c r="A152" s="2">
        <v>2</v>
      </c>
      <c r="C152" s="46" t="s">
        <v>58</v>
      </c>
      <c r="D152" s="68">
        <v>0</v>
      </c>
      <c r="E152" s="52">
        <f>+D152*3.3058</f>
        <v>0</v>
      </c>
    </row>
    <row r="153" spans="1:23" x14ac:dyDescent="0.3">
      <c r="A153" s="2">
        <v>3</v>
      </c>
      <c r="C153" s="46" t="s">
        <v>53</v>
      </c>
      <c r="D153" s="68">
        <v>0</v>
      </c>
      <c r="E153" s="52">
        <f>+D153*3.3058</f>
        <v>0</v>
      </c>
    </row>
    <row r="154" spans="1:23" ht="17.25" thickBot="1" x14ac:dyDescent="0.35">
      <c r="A154" s="2">
        <v>4</v>
      </c>
      <c r="C154" s="46" t="s">
        <v>188</v>
      </c>
      <c r="D154" s="69">
        <v>0</v>
      </c>
      <c r="E154" s="53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142</v>
      </c>
      <c r="D155" s="48">
        <f>SUM(D151:D154)</f>
        <v>0</v>
      </c>
      <c r="E155" s="49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2020-04-28T02:31:48Z</dcterms:modified>
</cp:coreProperties>
</file>