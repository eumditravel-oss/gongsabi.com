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D126" i="4" l="1"/>
  <c r="E59" i="4" l="1"/>
  <c r="D127" i="4" l="1"/>
  <c r="D23" i="4" s="1"/>
  <c r="E23" i="4" s="1"/>
  <c r="D140" i="4"/>
  <c r="D24" i="4" s="1"/>
  <c r="E24" i="4" s="1"/>
  <c r="D54" i="4"/>
  <c r="D19" i="4" s="1"/>
  <c r="D89" i="4"/>
  <c r="D21" i="4" s="1"/>
  <c r="E21" i="4" s="1"/>
  <c r="D60" i="4"/>
  <c r="D20" i="4" s="1"/>
  <c r="E20" i="4" s="1"/>
  <c r="D113" i="4"/>
  <c r="D22" i="4" s="1"/>
  <c r="E22" i="4" s="1"/>
  <c r="E151" i="4"/>
  <c r="E152" i="4"/>
  <c r="E153" i="4"/>
  <c r="E154" i="4"/>
  <c r="E143" i="4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E18" i="4"/>
  <c r="D18" i="4"/>
  <c r="D155" i="4"/>
  <c r="D26" i="4" s="1"/>
  <c r="E26" i="4" s="1"/>
  <c r="D148" i="4"/>
  <c r="D25" i="4" s="1"/>
  <c r="E25" i="4" s="1"/>
  <c r="D7" i="4"/>
  <c r="V34" i="4"/>
  <c r="V63" i="4"/>
  <c r="T34" i="4"/>
  <c r="T63" i="4"/>
  <c r="O31" i="1"/>
  <c r="M31" i="1"/>
  <c r="E155" i="4" l="1"/>
  <c r="E148" i="4"/>
  <c r="E60" i="4"/>
  <c r="D27" i="4"/>
  <c r="E27" i="4" s="1"/>
  <c r="E140" i="4"/>
  <c r="E127" i="4"/>
  <c r="E113" i="4"/>
  <c r="E89" i="4"/>
  <c r="D28" i="4"/>
  <c r="E54" i="4"/>
  <c r="E19" i="4"/>
  <c r="E28" i="4" l="1"/>
</calcChain>
</file>

<file path=xl/sharedStrings.xml><?xml version="1.0" encoding="utf-8"?>
<sst xmlns="http://schemas.openxmlformats.org/spreadsheetml/2006/main" count="589" uniqueCount="442">
  <si>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</si>
  <si>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</si>
  <si>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</si>
  <si>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</si>
  <si>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</si>
  <si>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</si>
  <si>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</si>
  <si>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</si>
  <si>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</si>
  <si>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</si>
  <si>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</si>
  <si>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</si>
  <si>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</si>
  <si>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</si>
  <si>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</si>
  <si>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</si>
  <si>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</si>
  <si>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</si>
  <si>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</si>
  <si>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</si>
  <si>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</si>
  <si>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</si>
  <si>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</si>
  <si>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</si>
  <si>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</si>
  <si>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</si>
  <si>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</si>
  <si>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</si>
  <si>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</si>
  <si>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</si>
  <si>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</si>
  <si>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</si>
  <si>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</si>
  <si>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</si>
  <si>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</si>
  <si>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</si>
  <si>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</si>
  <si>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</si>
  <si>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</si>
  <si>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</si>
  <si>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</si>
  <si>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</si>
  <si>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</si>
  <si>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</si>
  <si>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</si>
  <si>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</si>
  <si>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</si>
  <si>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</si>
  <si>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</si>
  <si>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</si>
  <si>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</si>
  <si>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</si>
  <si>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</si>
  <si>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</si>
  <si>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</si>
  <si>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</si>
  <si>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</si>
  <si>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</si>
  <si>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</si>
  <si>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</si>
  <si>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</si>
  <si>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</si>
  <si>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</si>
  <si>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</si>
  <si>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</si>
  <si>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주상복합</t>
    <phoneticPr fontId="2" type="noConversion"/>
  </si>
  <si>
    <t>1999년 이전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</si>
  <si>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</si>
  <si>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</si>
  <si>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</si>
  <si>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</si>
  <si>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</si>
  <si>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</si>
  <si>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</si>
  <si>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</si>
  <si>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</si>
  <si>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</si>
  <si>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</si>
  <si>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</si>
  <si>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</si>
  <si>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</si>
  <si>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</si>
  <si>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</si>
  <si>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</si>
  <si>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</si>
  <si>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</si>
  <si>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</si>
  <si>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</si>
  <si>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</si>
  <si>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</si>
  <si>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</si>
  <si>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</si>
  <si>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</si>
  <si>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</si>
  <si>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</si>
  <si>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</si>
  <si>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</si>
  <si>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</si>
  <si>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</si>
  <si>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</si>
  <si>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</si>
  <si>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</si>
  <si>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</si>
  <si>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</si>
  <si>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</si>
  <si>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</si>
  <si>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</si>
  <si>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</si>
  <si>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</si>
  <si>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</si>
  <si>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</si>
  <si>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</si>
  <si>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</si>
  <si>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</si>
  <si>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</si>
  <si>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</si>
  <si>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</si>
  <si>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</si>
  <si>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</si>
  <si>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</si>
  <si>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</si>
  <si>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</si>
  <si>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</si>
  <si>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</si>
  <si>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</si>
  <si>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</si>
  <si>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</si>
  <si>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</si>
  <si>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</si>
  <si>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</si>
  <si>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</si>
  <si>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</si>
  <si>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</si>
  <si>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</si>
  <si>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</si>
  <si>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업무</t>
  </si>
  <si>
    <t>마감공사</t>
    <phoneticPr fontId="2" type="noConversion"/>
  </si>
  <si>
    <t>경찰서2</t>
    <phoneticPr fontId="2" type="noConversion"/>
  </si>
  <si>
    <t>대구시</t>
  </si>
  <si>
    <t>기타설비</t>
    <phoneticPr fontId="2" type="noConversion"/>
  </si>
  <si>
    <t>옥외인입공사,기타설비</t>
    <phoneticPr fontId="2" type="noConversion"/>
  </si>
  <si>
    <t>제경비(VAT 별도)</t>
    <phoneticPr fontId="2" type="noConversion"/>
  </si>
  <si>
    <t>원 /평</t>
    <phoneticPr fontId="2" type="noConversion"/>
  </si>
  <si>
    <t>기타설비</t>
    <phoneticPr fontId="2" type="noConversion"/>
  </si>
  <si>
    <t>전기소방</t>
    <phoneticPr fontId="2" type="noConversion"/>
  </si>
  <si>
    <t>NO</t>
    <phoneticPr fontId="2" type="noConversion"/>
  </si>
  <si>
    <t>면적(M2)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</si>
  <si>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</si>
  <si>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</si>
  <si>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</si>
  <si>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</si>
  <si>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</si>
  <si>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</si>
  <si>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</si>
  <si>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</si>
  <si>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</si>
  <si>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</si>
  <si>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</si>
  <si>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</si>
  <si>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</si>
  <si>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300~1000</t>
    <phoneticPr fontId="2" type="noConversion"/>
  </si>
  <si>
    <t>~ 5,000 미만</t>
    <phoneticPr fontId="2" type="noConversion"/>
  </si>
  <si>
    <t>~ 5,000 미만</t>
    <phoneticPr fontId="2" type="noConversion"/>
  </si>
  <si>
    <t>경기도</t>
    <phoneticPr fontId="2" type="noConversion"/>
  </si>
  <si>
    <t>경기도</t>
    <phoneticPr fontId="2" type="noConversion"/>
  </si>
  <si>
    <t>2000년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</si>
  <si>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</si>
  <si>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</si>
  <si>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</si>
  <si>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</si>
  <si>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</si>
  <si>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</si>
  <si>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</si>
  <si>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</si>
  <si>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</si>
  <si>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</si>
  <si>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</si>
  <si>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</si>
  <si>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</si>
  <si>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</si>
  <si>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</si>
  <si>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</si>
  <si>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</si>
  <si>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</si>
  <si>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</si>
  <si>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</si>
  <si>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</si>
  <si>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</si>
  <si>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</si>
  <si>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</si>
  <si>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</si>
  <si>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</si>
  <si>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</si>
  <si>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</si>
  <si>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</si>
  <si>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</si>
  <si>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</si>
  <si>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</si>
  <si>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</si>
  <si>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</si>
  <si>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</si>
  <si>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</si>
  <si>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</si>
  <si>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</si>
  <si>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</si>
  <si>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</si>
  <si>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</si>
  <si>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</si>
  <si>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</si>
  <si>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</si>
  <si>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</si>
  <si>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</si>
  <si>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</si>
  <si>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</si>
  <si>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</si>
  <si>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</si>
  <si>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</si>
  <si>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</si>
  <si>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</si>
  <si>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</si>
  <si>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</si>
  <si>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</si>
  <si>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</si>
  <si>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</si>
  <si>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</si>
  <si>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</si>
  <si>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</si>
  <si>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</si>
  <si>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</si>
  <si>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</si>
  <si>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</si>
  <si>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</si>
  <si>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</si>
  <si>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</si>
  <si>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</si>
  <si>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</si>
  <si>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</si>
  <si>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</si>
  <si>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</si>
  <si>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</si>
  <si>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</si>
  <si>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</si>
  <si>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</si>
  <si>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</si>
  <si>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</si>
  <si>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</si>
  <si>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</si>
  <si>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</si>
  <si>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</si>
  <si>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</si>
  <si>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</si>
  <si>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</si>
  <si>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</si>
  <si>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</si>
  <si>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</si>
  <si>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</si>
  <si>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</si>
  <si>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</si>
  <si>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</si>
  <si>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</si>
  <si>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</si>
  <si>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</si>
  <si>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</si>
  <si>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</si>
  <si>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</si>
  <si>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</si>
  <si>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</si>
  <si>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</si>
  <si>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</si>
  <si>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</si>
  <si>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</si>
  <si>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</si>
  <si>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</si>
  <si>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</si>
  <si>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</si>
  <si>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</si>
  <si>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</si>
  <si>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</si>
  <si>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</si>
  <si>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</si>
  <si>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</si>
  <si>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</si>
  <si>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</si>
  <si>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</si>
  <si>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</si>
  <si>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</si>
  <si>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</si>
  <si>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</si>
  <si>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</si>
  <si>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</si>
  <si>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</si>
  <si>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</si>
  <si>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</si>
  <si>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</si>
  <si>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</si>
  <si>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</si>
  <si>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</si>
  <si>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</si>
  <si>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</si>
  <si>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</si>
  <si>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</si>
  <si>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</si>
  <si>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</si>
  <si>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</si>
  <si>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</si>
  <si>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</si>
  <si>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</si>
  <si>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</si>
  <si>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</si>
  <si>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</si>
  <si>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</si>
  <si>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</si>
  <si>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</si>
  <si>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</si>
  <si>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</si>
  <si>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</si>
  <si>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</si>
  <si>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</si>
  <si>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</si>
  <si>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</si>
  <si>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</si>
  <si>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</si>
  <si>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</si>
  <si>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</si>
  <si>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</si>
  <si>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</si>
  <si>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</si>
  <si>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</si>
  <si>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기타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</si>
  <si>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</si>
  <si>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</si>
  <si>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</si>
  <si>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</si>
  <si>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</si>
  <si>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</si>
  <si>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</si>
  <si>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</si>
  <si>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</si>
  <si>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</si>
  <si>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</si>
  <si>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</si>
  <si>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</si>
  <si>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</si>
  <si>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</si>
  <si>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</si>
  <si>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</si>
  <si>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</si>
  <si>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</si>
  <si>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</si>
  <si>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</si>
  <si>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</si>
  <si>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</si>
  <si>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</si>
  <si>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</si>
  <si>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</si>
  <si>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</si>
  <si>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</si>
  <si>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</si>
  <si>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</si>
  <si>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</si>
  <si>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</si>
  <si>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</si>
  <si>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</si>
  <si>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</si>
  <si>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</si>
  <si>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</si>
  <si>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</si>
  <si>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</si>
  <si>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</si>
  <si>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</si>
  <si>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</si>
  <si>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</si>
  <si>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</si>
  <si>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</si>
  <si>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</si>
  <si>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</si>
  <si>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</si>
  <si>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</si>
  <si>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</si>
  <si>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</si>
  <si>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</si>
  <si>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</si>
  <si>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</si>
  <si>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</si>
  <si>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</si>
  <si>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</si>
  <si>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</si>
  <si>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</si>
  <si>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</si>
  <si>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</si>
  <si>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</si>
  <si>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</si>
  <si>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</si>
  <si>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</si>
  <si>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</si>
  <si>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</si>
  <si>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</si>
  <si>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</si>
  <si>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</si>
  <si>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</si>
  <si>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</si>
  <si>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</si>
  <si>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</si>
  <si>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</si>
  <si>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</si>
  <si>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</si>
  <si>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</si>
  <si>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</si>
  <si>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</si>
  <si>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</si>
  <si>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</si>
  <si>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</si>
  <si>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</si>
  <si>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</si>
  <si>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</si>
  <si>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</si>
  <si>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</si>
  <si>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</si>
  <si>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</si>
  <si>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</si>
  <si>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</si>
  <si>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</si>
  <si>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</si>
  <si>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</si>
  <si>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</si>
  <si>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</si>
  <si>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</si>
  <si>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</si>
  <si>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</si>
  <si>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</si>
  <si>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</si>
  <si>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</si>
  <si>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</si>
  <si>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</si>
  <si>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</si>
  <si>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</si>
  <si>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</si>
  <si>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</si>
  <si>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</si>
  <si>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</si>
  <si>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창호</t>
    <phoneticPr fontId="2" type="noConversion"/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</si>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</sst>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0</v>
      </c>
      <c r="B2" s="73" t="s">
        <v>1</v>
      </c>
      <c r="C2" s="74"/>
      <c r="D2" s="73" t="s">
        <v>2</v>
      </c>
      <c r="E2" s="74"/>
      <c r="F2" s="73" t="s">
        <v>146</v>
      </c>
      <c r="G2" s="74"/>
      <c r="H2" s="73" t="s">
        <v>3</v>
      </c>
      <c r="I2" s="74"/>
      <c r="J2" s="73" t="s">
        <v>4</v>
      </c>
      <c r="K2" s="74"/>
      <c r="L2" s="73" t="s">
        <v>5</v>
      </c>
      <c r="M2" s="74"/>
      <c r="N2" s="73" t="s">
        <v>62</v>
      </c>
      <c r="O2" s="74"/>
      <c r="P2" s="73" t="s">
        <v>8</v>
      </c>
      <c r="Q2" s="74"/>
      <c r="R2" s="67" t="s">
        <v>151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9</v>
      </c>
      <c r="S3" s="57"/>
      <c r="T3" s="56" t="s">
        <v>67</v>
      </c>
      <c r="U3" s="57"/>
      <c r="V3" s="56" t="s">
        <v>68</v>
      </c>
      <c r="W3" s="57"/>
      <c r="X3" s="56" t="s">
        <v>69</v>
      </c>
      <c r="Y3" s="57"/>
      <c r="Z3" s="56" t="s">
        <v>70</v>
      </c>
      <c r="AA3" s="57"/>
      <c r="AB3" s="56" t="s">
        <v>71</v>
      </c>
      <c r="AC3" s="57"/>
      <c r="AD3" s="56" t="s">
        <v>72</v>
      </c>
      <c r="AE3" s="57"/>
      <c r="AF3" s="56" t="s">
        <v>73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64</v>
      </c>
      <c r="D5" s="5">
        <v>1</v>
      </c>
      <c r="E5" s="1" t="s">
        <v>153</v>
      </c>
      <c r="F5" s="5">
        <v>1</v>
      </c>
      <c r="G5" s="17" t="s">
        <v>154</v>
      </c>
      <c r="H5" s="5">
        <v>1</v>
      </c>
      <c r="I5" s="1" t="s">
        <v>155</v>
      </c>
      <c r="J5" s="19">
        <v>1</v>
      </c>
      <c r="K5" s="1" t="s">
        <v>66</v>
      </c>
      <c r="L5" s="5">
        <v>1</v>
      </c>
      <c r="M5" s="6" t="s">
        <v>6</v>
      </c>
      <c r="N5" s="5">
        <v>1</v>
      </c>
      <c r="O5" s="6" t="s">
        <v>63</v>
      </c>
      <c r="P5" s="5">
        <v>1</v>
      </c>
      <c r="Q5" s="1" t="s">
        <v>10</v>
      </c>
      <c r="R5" s="28">
        <v>1</v>
      </c>
      <c r="S5" s="29" t="s">
        <v>156</v>
      </c>
      <c r="T5" s="28">
        <v>1</v>
      </c>
      <c r="U5" s="29" t="s">
        <v>25</v>
      </c>
      <c r="V5" s="28">
        <v>1</v>
      </c>
      <c r="W5" s="29" t="s">
        <v>28</v>
      </c>
      <c r="X5" s="28">
        <v>1</v>
      </c>
      <c r="Y5" s="29" t="s">
        <v>37</v>
      </c>
      <c r="Z5" s="28">
        <v>1</v>
      </c>
      <c r="AA5" s="29" t="s">
        <v>53</v>
      </c>
      <c r="AB5" s="28">
        <v>1</v>
      </c>
      <c r="AC5" s="29" t="s">
        <v>111</v>
      </c>
      <c r="AD5" s="28">
        <v>1</v>
      </c>
      <c r="AE5" s="29" t="s">
        <v>46</v>
      </c>
      <c r="AF5" s="28">
        <v>1</v>
      </c>
      <c r="AG5" s="42" t="s">
        <v>157</v>
      </c>
    </row>
    <row r="6" spans="1:33" x14ac:dyDescent="0.3">
      <c r="A6" s="4">
        <f>+A5+1</f>
        <v>2</v>
      </c>
      <c r="B6" s="5">
        <f>+B5+1</f>
        <v>2</v>
      </c>
      <c r="C6" s="17" t="s">
        <v>65</v>
      </c>
      <c r="D6" s="5">
        <v>2</v>
      </c>
      <c r="E6" s="1" t="s">
        <v>159</v>
      </c>
      <c r="F6" s="5">
        <v>2</v>
      </c>
      <c r="G6" s="17" t="s">
        <v>161</v>
      </c>
      <c r="H6" s="5">
        <v>2</v>
      </c>
      <c r="I6" s="1" t="s">
        <v>163</v>
      </c>
      <c r="J6" s="19">
        <v>2</v>
      </c>
      <c r="K6" s="1" t="s">
        <v>165</v>
      </c>
      <c r="L6" s="5">
        <v>2</v>
      </c>
      <c r="M6" s="6" t="s">
        <v>7</v>
      </c>
      <c r="N6" s="5">
        <v>2</v>
      </c>
      <c r="O6" s="6" t="s">
        <v>168</v>
      </c>
      <c r="P6" s="5">
        <v>2</v>
      </c>
      <c r="Q6" s="1" t="s">
        <v>9</v>
      </c>
      <c r="R6" s="28">
        <v>2</v>
      </c>
      <c r="S6" s="29" t="s">
        <v>171</v>
      </c>
      <c r="T6" s="28">
        <v>2</v>
      </c>
      <c r="U6" s="29" t="s">
        <v>27</v>
      </c>
      <c r="V6" s="28">
        <v>2</v>
      </c>
      <c r="W6" s="29" t="s">
        <v>29</v>
      </c>
      <c r="X6" s="28">
        <v>2</v>
      </c>
      <c r="Y6" s="29" t="s">
        <v>38</v>
      </c>
      <c r="Z6" s="28">
        <v>2</v>
      </c>
      <c r="AA6" s="29" t="s">
        <v>176</v>
      </c>
      <c r="AB6" s="28">
        <v>2</v>
      </c>
      <c r="AC6" s="29" t="s">
        <v>45</v>
      </c>
      <c r="AD6" s="28">
        <v>2</v>
      </c>
      <c r="AE6" s="29" t="s">
        <v>47</v>
      </c>
      <c r="AF6" s="28">
        <v>2</v>
      </c>
      <c r="AG6" s="42" t="s">
        <v>50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323</v>
      </c>
      <c r="X7" s="28">
        <v>3</v>
      </c>
      <c r="Y7" s="29" t="s">
        <v>324</v>
      </c>
      <c r="Z7" s="28">
        <v>3</v>
      </c>
      <c r="AA7" s="29" t="s">
        <v>325</v>
      </c>
      <c r="AB7" s="28">
        <v>3</v>
      </c>
      <c r="AC7" s="29" t="s">
        <v>326</v>
      </c>
      <c r="AD7" s="28">
        <v>3</v>
      </c>
      <c r="AE7" s="29" t="s">
        <v>327</v>
      </c>
      <c r="AF7" s="28">
        <v>3</v>
      </c>
      <c r="AG7" s="42" t="s">
        <v>328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329</v>
      </c>
      <c r="D8" s="5">
        <v>4</v>
      </c>
      <c r="E8" s="1" t="s">
        <v>330</v>
      </c>
      <c r="F8" s="5">
        <v>4</v>
      </c>
      <c r="G8" s="17" t="s">
        <v>331</v>
      </c>
      <c r="H8" s="5">
        <v>4</v>
      </c>
      <c r="I8" s="1" t="s">
        <v>332</v>
      </c>
      <c r="J8" s="19">
        <v>4</v>
      </c>
      <c r="K8" s="1" t="s">
        <v>333</v>
      </c>
      <c r="L8" s="5"/>
      <c r="M8" s="6"/>
      <c r="N8" s="5"/>
      <c r="O8" s="6"/>
      <c r="P8" s="5">
        <v>4</v>
      </c>
      <c r="Q8" s="1" t="s">
        <v>334</v>
      </c>
      <c r="R8" s="28">
        <v>4</v>
      </c>
      <c r="S8" s="29" t="s">
        <v>335</v>
      </c>
      <c r="T8" s="28"/>
      <c r="U8" s="29"/>
      <c r="V8" s="28">
        <v>4</v>
      </c>
      <c r="W8" s="29" t="s">
        <v>336</v>
      </c>
      <c r="X8" s="28">
        <v>4</v>
      </c>
      <c r="Y8" s="29" t="s">
        <v>337</v>
      </c>
      <c r="Z8" s="28">
        <v>4</v>
      </c>
      <c r="AA8" s="29" t="s">
        <v>338</v>
      </c>
      <c r="AB8" s="28">
        <v>4</v>
      </c>
      <c r="AC8" s="29" t="s">
        <v>339</v>
      </c>
      <c r="AD8" s="28">
        <v>4</v>
      </c>
      <c r="AE8" s="29" t="s">
        <v>328</v>
      </c>
      <c r="AF8" s="28">
        <v>4</v>
      </c>
      <c r="AG8" s="42" t="s">
        <v>340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341</v>
      </c>
      <c r="D9" s="5">
        <v>5</v>
      </c>
      <c r="E9" s="1" t="s">
        <v>342</v>
      </c>
      <c r="F9" s="5">
        <v>5</v>
      </c>
      <c r="G9" s="17" t="s">
        <v>343</v>
      </c>
      <c r="H9" s="5">
        <v>5</v>
      </c>
      <c r="I9" s="1" t="s">
        <v>344</v>
      </c>
      <c r="J9" s="19">
        <v>5</v>
      </c>
      <c r="K9" s="1" t="s">
        <v>345</v>
      </c>
      <c r="L9" s="5"/>
      <c r="M9" s="6"/>
      <c r="N9" s="5"/>
      <c r="O9" s="6"/>
      <c r="P9" s="5">
        <v>5</v>
      </c>
      <c r="Q9" s="1" t="s">
        <v>346</v>
      </c>
      <c r="R9" s="28">
        <v>5</v>
      </c>
      <c r="S9" s="29" t="s">
        <v>347</v>
      </c>
      <c r="T9" s="28"/>
      <c r="U9" s="29"/>
      <c r="V9" s="28">
        <v>5</v>
      </c>
      <c r="W9" s="29" t="s">
        <v>348</v>
      </c>
      <c r="X9" s="28">
        <v>5</v>
      </c>
      <c r="Y9" s="29" t="s">
        <v>349</v>
      </c>
      <c r="Z9" s="28">
        <v>5</v>
      </c>
      <c r="AA9" s="29" t="s">
        <v>350</v>
      </c>
      <c r="AB9" s="28">
        <v>5</v>
      </c>
      <c r="AC9" s="29" t="s">
        <v>351</v>
      </c>
      <c r="AD9" s="28">
        <v>5</v>
      </c>
      <c r="AE9" s="29" t="s">
        <v>340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352</v>
      </c>
      <c r="D10" s="5">
        <v>6</v>
      </c>
      <c r="E10" s="1" t="s">
        <v>353</v>
      </c>
      <c r="F10" s="5">
        <v>6</v>
      </c>
      <c r="G10" s="17" t="s">
        <v>354</v>
      </c>
      <c r="H10" s="5">
        <v>6</v>
      </c>
      <c r="I10" s="1" t="s">
        <v>355</v>
      </c>
      <c r="J10" s="19">
        <v>6</v>
      </c>
      <c r="K10" s="1" t="s">
        <v>356</v>
      </c>
      <c r="L10" s="5"/>
      <c r="M10" s="6"/>
      <c r="N10" s="5"/>
      <c r="O10" s="6"/>
      <c r="P10" s="5">
        <v>6</v>
      </c>
      <c r="Q10" s="1" t="s">
        <v>357</v>
      </c>
      <c r="R10" s="28">
        <v>6</v>
      </c>
      <c r="S10" s="29" t="s">
        <v>358</v>
      </c>
      <c r="T10" s="28"/>
      <c r="U10" s="29"/>
      <c r="V10" s="28">
        <v>6</v>
      </c>
      <c r="W10" s="29" t="s">
        <v>359</v>
      </c>
      <c r="X10" s="28">
        <v>6</v>
      </c>
      <c r="Y10" s="29" t="s">
        <v>360</v>
      </c>
      <c r="Z10" s="28">
        <v>6</v>
      </c>
      <c r="AA10" s="29" t="s">
        <v>361</v>
      </c>
      <c r="AB10" s="28">
        <v>6</v>
      </c>
      <c r="AC10" s="29" t="s">
        <v>362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363</v>
      </c>
      <c r="D11" s="5">
        <v>7</v>
      </c>
      <c r="E11" s="1" t="s">
        <v>364</v>
      </c>
      <c r="F11" s="5">
        <v>7</v>
      </c>
      <c r="G11" s="17" t="s">
        <v>365</v>
      </c>
      <c r="H11" s="5">
        <v>7</v>
      </c>
      <c r="I11" s="1" t="s">
        <v>366</v>
      </c>
      <c r="J11" s="19">
        <v>7</v>
      </c>
      <c r="K11" s="1" t="s">
        <v>235</v>
      </c>
      <c r="L11" s="5"/>
      <c r="M11" s="6"/>
      <c r="N11" s="5"/>
      <c r="O11" s="6"/>
      <c r="P11" s="5">
        <v>7</v>
      </c>
      <c r="Q11" s="1" t="s">
        <v>367</v>
      </c>
      <c r="R11" s="28">
        <v>7</v>
      </c>
      <c r="S11" s="29" t="s">
        <v>368</v>
      </c>
      <c r="T11" s="28"/>
      <c r="U11" s="29"/>
      <c r="V11" s="28">
        <v>7</v>
      </c>
      <c r="W11" s="29" t="s">
        <v>369</v>
      </c>
      <c r="X11" s="28">
        <v>7</v>
      </c>
      <c r="Y11" s="29" t="s">
        <v>370</v>
      </c>
      <c r="Z11" s="28">
        <v>7</v>
      </c>
      <c r="AA11" s="29" t="s">
        <v>371</v>
      </c>
      <c r="AB11" s="28">
        <v>7</v>
      </c>
      <c r="AC11" s="29" t="s">
        <v>372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373</v>
      </c>
      <c r="D12" s="5">
        <v>8</v>
      </c>
      <c r="E12" s="1" t="s">
        <v>374</v>
      </c>
      <c r="F12" s="5">
        <v>8</v>
      </c>
      <c r="G12" s="17" t="s">
        <v>375</v>
      </c>
      <c r="H12" s="5">
        <v>8</v>
      </c>
      <c r="I12" s="1" t="s">
        <v>376</v>
      </c>
      <c r="J12" s="19">
        <v>8</v>
      </c>
      <c r="K12" s="1" t="s">
        <v>246</v>
      </c>
      <c r="L12" s="5"/>
      <c r="M12" s="6"/>
      <c r="N12" s="5"/>
      <c r="O12" s="6"/>
      <c r="P12" s="5">
        <v>8</v>
      </c>
      <c r="Q12" s="1" t="s">
        <v>377</v>
      </c>
      <c r="R12" s="28">
        <v>8</v>
      </c>
      <c r="S12" s="29" t="s">
        <v>378</v>
      </c>
      <c r="T12" s="28"/>
      <c r="U12" s="29"/>
      <c r="V12" s="28">
        <v>8</v>
      </c>
      <c r="W12" s="29" t="s">
        <v>379</v>
      </c>
      <c r="X12" s="28">
        <v>8</v>
      </c>
      <c r="Y12" s="29" t="s">
        <v>371</v>
      </c>
      <c r="Z12" s="28">
        <v>8</v>
      </c>
      <c r="AA12" s="29" t="s">
        <v>380</v>
      </c>
      <c r="AB12" s="28">
        <v>8</v>
      </c>
      <c r="AC12" s="29" t="s">
        <v>381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382</v>
      </c>
      <c r="D13" s="5">
        <v>9</v>
      </c>
      <c r="E13" s="1" t="s">
        <v>383</v>
      </c>
      <c r="F13" s="5"/>
      <c r="G13" s="17"/>
      <c r="H13" s="5">
        <v>9</v>
      </c>
      <c r="I13" s="1" t="s">
        <v>384</v>
      </c>
      <c r="J13" s="19">
        <v>9</v>
      </c>
      <c r="K13" s="1" t="s">
        <v>255</v>
      </c>
      <c r="L13" s="5"/>
      <c r="M13" s="6"/>
      <c r="N13" s="5"/>
      <c r="O13" s="6"/>
      <c r="P13" s="5">
        <v>9</v>
      </c>
      <c r="Q13" s="1" t="s">
        <v>385</v>
      </c>
      <c r="R13" s="28">
        <v>9</v>
      </c>
      <c r="S13" s="29" t="s">
        <v>386</v>
      </c>
      <c r="T13" s="28"/>
      <c r="U13" s="29"/>
      <c r="V13" s="28">
        <v>9</v>
      </c>
      <c r="W13" s="29" t="s">
        <v>387</v>
      </c>
      <c r="X13" s="28">
        <v>9</v>
      </c>
      <c r="Y13" s="29" t="s">
        <v>388</v>
      </c>
      <c r="Z13" s="28">
        <v>9</v>
      </c>
      <c r="AA13" s="29" t="s">
        <v>389</v>
      </c>
      <c r="AB13" s="28">
        <v>9</v>
      </c>
      <c r="AC13" s="29" t="s">
        <v>390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391</v>
      </c>
      <c r="D14" s="5">
        <v>10</v>
      </c>
      <c r="E14" s="1" t="s">
        <v>392</v>
      </c>
      <c r="F14" s="5"/>
      <c r="G14" s="17"/>
      <c r="H14" s="5">
        <v>10</v>
      </c>
      <c r="I14" s="1" t="s">
        <v>393</v>
      </c>
      <c r="J14" s="19">
        <v>10</v>
      </c>
      <c r="K14" s="1" t="s">
        <v>265</v>
      </c>
      <c r="L14" s="5"/>
      <c r="M14" s="6"/>
      <c r="N14" s="5"/>
      <c r="O14" s="6"/>
      <c r="P14" s="5"/>
      <c r="Q14" s="1"/>
      <c r="R14" s="28">
        <v>10</v>
      </c>
      <c r="S14" s="29" t="s">
        <v>394</v>
      </c>
      <c r="T14" s="28"/>
      <c r="U14" s="29"/>
      <c r="V14" s="28">
        <v>10</v>
      </c>
      <c r="W14" s="29" t="s">
        <v>395</v>
      </c>
      <c r="X14" s="28">
        <v>10</v>
      </c>
      <c r="Y14" s="29" t="s">
        <v>396</v>
      </c>
      <c r="Z14" s="28">
        <v>10</v>
      </c>
      <c r="AA14" s="29" t="s">
        <v>340</v>
      </c>
      <c r="AB14" s="28">
        <v>10</v>
      </c>
      <c r="AC14" s="29" t="s">
        <v>340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397</v>
      </c>
      <c r="D15" s="5"/>
      <c r="E15" s="1"/>
      <c r="F15" s="17"/>
      <c r="G15" s="17"/>
      <c r="H15" s="5">
        <v>11</v>
      </c>
      <c r="I15" s="1" t="s">
        <v>398</v>
      </c>
      <c r="J15" s="19">
        <v>11</v>
      </c>
      <c r="K15" s="1" t="s">
        <v>271</v>
      </c>
      <c r="L15" s="5"/>
      <c r="M15" s="6"/>
      <c r="N15" s="5"/>
      <c r="O15" s="6"/>
      <c r="P15" s="5"/>
      <c r="Q15" s="1"/>
      <c r="R15" s="28">
        <v>11</v>
      </c>
      <c r="S15" s="29" t="s">
        <v>399</v>
      </c>
      <c r="T15" s="28"/>
      <c r="U15" s="29"/>
      <c r="V15" s="28">
        <v>11</v>
      </c>
      <c r="W15" s="29" t="s">
        <v>400</v>
      </c>
      <c r="X15" s="28">
        <v>11</v>
      </c>
      <c r="Y15" s="29" t="s">
        <v>401</v>
      </c>
      <c r="Z15" s="28">
        <v>11</v>
      </c>
      <c r="AA15" s="29" t="s">
        <v>328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402</v>
      </c>
      <c r="D16" s="5"/>
      <c r="E16" s="1"/>
      <c r="F16" s="17"/>
      <c r="G16" s="22"/>
      <c r="H16" s="5">
        <v>12</v>
      </c>
      <c r="I16" s="1" t="s">
        <v>403</v>
      </c>
      <c r="J16" s="19">
        <v>12</v>
      </c>
      <c r="K16" s="1" t="s">
        <v>277</v>
      </c>
      <c r="L16" s="5"/>
      <c r="M16" s="6"/>
      <c r="N16" s="5"/>
      <c r="O16" s="6"/>
      <c r="P16" s="5"/>
      <c r="Q16" s="1"/>
      <c r="R16" s="28">
        <v>12</v>
      </c>
      <c r="S16" s="29" t="s">
        <v>404</v>
      </c>
      <c r="T16" s="28"/>
      <c r="U16" s="29"/>
      <c r="V16" s="28">
        <v>12</v>
      </c>
      <c r="W16" s="29" t="s">
        <v>405</v>
      </c>
      <c r="X16" s="28">
        <v>12</v>
      </c>
      <c r="Y16" s="29" t="s">
        <v>406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407</v>
      </c>
      <c r="D17" s="5"/>
      <c r="E17" s="1"/>
      <c r="F17" s="17"/>
      <c r="G17" s="17"/>
      <c r="H17" s="5">
        <v>13</v>
      </c>
      <c r="I17" s="1" t="s">
        <v>408</v>
      </c>
      <c r="J17" s="19">
        <v>13</v>
      </c>
      <c r="K17" s="1" t="s">
        <v>283</v>
      </c>
      <c r="L17" s="5"/>
      <c r="M17" s="6"/>
      <c r="N17" s="5"/>
      <c r="O17" s="6"/>
      <c r="P17" s="5"/>
      <c r="Q17" s="1"/>
      <c r="R17" s="28">
        <v>13</v>
      </c>
      <c r="S17" s="29" t="s">
        <v>409</v>
      </c>
      <c r="T17" s="28"/>
      <c r="U17" s="29"/>
      <c r="V17" s="28">
        <v>13</v>
      </c>
      <c r="W17" s="29" t="s">
        <v>410</v>
      </c>
      <c r="X17" s="28">
        <v>13</v>
      </c>
      <c r="Y17" s="29" t="s">
        <v>411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412</v>
      </c>
      <c r="D18" s="17"/>
      <c r="E18" s="1"/>
      <c r="F18" s="17"/>
      <c r="G18" s="23"/>
      <c r="H18" s="5">
        <v>14</v>
      </c>
      <c r="I18" s="1" t="s">
        <v>413</v>
      </c>
      <c r="J18" s="19">
        <v>14</v>
      </c>
      <c r="K18" s="1" t="s">
        <v>289</v>
      </c>
      <c r="L18" s="5"/>
      <c r="M18" s="6"/>
      <c r="N18" s="5"/>
      <c r="O18" s="6"/>
      <c r="P18" s="5"/>
      <c r="Q18" s="1"/>
      <c r="R18" s="28">
        <v>14</v>
      </c>
      <c r="S18" s="29" t="s">
        <v>414</v>
      </c>
      <c r="T18" s="28"/>
      <c r="U18" s="29"/>
      <c r="V18" s="28">
        <v>14</v>
      </c>
      <c r="W18" s="29" t="s">
        <v>415</v>
      </c>
      <c r="X18" s="28">
        <v>14</v>
      </c>
      <c r="Y18" s="29" t="s">
        <v>416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417</v>
      </c>
      <c r="D19" s="5"/>
      <c r="E19" s="1"/>
      <c r="F19" s="17"/>
      <c r="G19" s="17"/>
      <c r="H19" s="5"/>
      <c r="I19" s="1"/>
      <c r="J19" s="19">
        <v>15</v>
      </c>
      <c r="K19" s="1" t="s">
        <v>294</v>
      </c>
      <c r="L19" s="5"/>
      <c r="M19" s="6"/>
      <c r="N19" s="5"/>
      <c r="O19" s="6"/>
      <c r="P19" s="5"/>
      <c r="Q19" s="1"/>
      <c r="R19" s="28">
        <v>15</v>
      </c>
      <c r="S19" s="29" t="s">
        <v>418</v>
      </c>
      <c r="T19" s="28"/>
      <c r="U19" s="29"/>
      <c r="V19" s="28">
        <v>15</v>
      </c>
      <c r="W19" s="29" t="s">
        <v>419</v>
      </c>
      <c r="X19" s="28">
        <v>15</v>
      </c>
      <c r="Y19" s="29" t="s">
        <v>420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421</v>
      </c>
      <c r="D20" s="5"/>
      <c r="E20" s="1"/>
      <c r="F20" s="17"/>
      <c r="G20" s="17"/>
      <c r="H20" s="5"/>
      <c r="I20" s="1"/>
      <c r="J20" s="19">
        <v>16</v>
      </c>
      <c r="K20" s="1" t="s">
        <v>299</v>
      </c>
      <c r="L20" s="5"/>
      <c r="M20" s="6"/>
      <c r="N20" s="5"/>
      <c r="O20" s="6"/>
      <c r="P20" s="5"/>
      <c r="Q20" s="1"/>
      <c r="R20" s="28">
        <v>16</v>
      </c>
      <c r="S20" s="29" t="s">
        <v>422</v>
      </c>
      <c r="T20" s="28"/>
      <c r="U20" s="29"/>
      <c r="V20" s="28">
        <v>16</v>
      </c>
      <c r="W20" s="29" t="s">
        <v>423</v>
      </c>
      <c r="X20" s="28">
        <v>16</v>
      </c>
      <c r="Y20" s="29" t="s">
        <v>424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328</v>
      </c>
      <c r="D21" s="5"/>
      <c r="E21" s="1"/>
      <c r="F21" s="17"/>
      <c r="G21" s="17"/>
      <c r="H21" s="5"/>
      <c r="I21" s="1"/>
      <c r="J21" s="19">
        <v>17</v>
      </c>
      <c r="K21" s="1" t="s">
        <v>303</v>
      </c>
      <c r="L21" s="5"/>
      <c r="M21" s="6"/>
      <c r="N21" s="5"/>
      <c r="O21" s="6"/>
      <c r="P21" s="5"/>
      <c r="Q21" s="1"/>
      <c r="R21" s="28">
        <v>17</v>
      </c>
      <c r="S21" s="29" t="s">
        <v>425</v>
      </c>
      <c r="T21" s="28"/>
      <c r="U21" s="29"/>
      <c r="V21" s="28">
        <v>17</v>
      </c>
      <c r="W21" s="29" t="s">
        <v>426</v>
      </c>
      <c r="X21" s="28">
        <v>17</v>
      </c>
      <c r="Y21" s="29" t="s">
        <v>427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307</v>
      </c>
      <c r="L22" s="5"/>
      <c r="M22" s="6"/>
      <c r="N22" s="5"/>
      <c r="O22" s="6"/>
      <c r="P22" s="5"/>
      <c r="Q22" s="1"/>
      <c r="R22" s="28">
        <v>18</v>
      </c>
      <c r="S22" s="29" t="s">
        <v>428</v>
      </c>
      <c r="T22" s="28"/>
      <c r="U22" s="29"/>
      <c r="V22" s="28">
        <v>18</v>
      </c>
      <c r="W22" s="29" t="s">
        <v>429</v>
      </c>
      <c r="X22" s="28">
        <v>18</v>
      </c>
      <c r="Y22" s="29" t="s">
        <v>430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311</v>
      </c>
      <c r="L23" s="5"/>
      <c r="M23" s="6"/>
      <c r="N23" s="5"/>
      <c r="O23" s="6"/>
      <c r="P23" s="5"/>
      <c r="Q23" s="1"/>
      <c r="R23" s="28">
        <v>19</v>
      </c>
      <c r="S23" s="29" t="s">
        <v>431</v>
      </c>
      <c r="T23" s="28"/>
      <c r="U23" s="29"/>
      <c r="V23" s="28">
        <v>19</v>
      </c>
      <c r="W23" s="29" t="s">
        <v>432</v>
      </c>
      <c r="X23" s="28">
        <v>19</v>
      </c>
      <c r="Y23" s="29" t="s">
        <v>433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315</v>
      </c>
      <c r="L24" s="5"/>
      <c r="M24" s="6"/>
      <c r="N24" s="5"/>
      <c r="O24" s="6"/>
      <c r="P24" s="5"/>
      <c r="Q24" s="1"/>
      <c r="R24" s="28">
        <v>20</v>
      </c>
      <c r="S24" s="29" t="s">
        <v>340</v>
      </c>
      <c r="T24" s="28"/>
      <c r="U24" s="29"/>
      <c r="V24" s="28">
        <v>20</v>
      </c>
      <c r="W24" s="29" t="s">
        <v>434</v>
      </c>
      <c r="X24" s="28">
        <v>20</v>
      </c>
      <c r="Y24" s="29" t="s">
        <v>340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317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435</v>
      </c>
      <c r="X25" s="28">
        <v>21</v>
      </c>
      <c r="Y25" s="29" t="s">
        <v>328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319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436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437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438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340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328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145</v>
      </c>
      <c r="I1" s="73" t="s">
        <v>1</v>
      </c>
      <c r="J1" s="74"/>
      <c r="K1" s="73" t="s">
        <v>2</v>
      </c>
      <c r="L1" s="74"/>
      <c r="M1" s="73" t="s">
        <v>147</v>
      </c>
      <c r="N1" s="74"/>
      <c r="O1" s="73" t="s">
        <v>3</v>
      </c>
      <c r="P1" s="74"/>
      <c r="Q1" s="73" t="s">
        <v>4</v>
      </c>
      <c r="R1" s="74"/>
      <c r="S1" s="73" t="s">
        <v>148</v>
      </c>
      <c r="T1" s="74"/>
      <c r="U1" s="73" t="s">
        <v>149</v>
      </c>
      <c r="V1" s="74"/>
      <c r="W1" s="73" t="s">
        <v>150</v>
      </c>
      <c r="X1" s="74"/>
      <c r="Y1" s="67" t="s">
        <v>152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74</v>
      </c>
      <c r="C2" s="36" t="s">
        <v>137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9</v>
      </c>
      <c r="Z2" s="57"/>
      <c r="AA2" s="56" t="s">
        <v>67</v>
      </c>
      <c r="AB2" s="57"/>
      <c r="AC2" s="56" t="s">
        <v>68</v>
      </c>
      <c r="AD2" s="57"/>
      <c r="AE2" s="56" t="s">
        <v>69</v>
      </c>
      <c r="AF2" s="57"/>
      <c r="AG2" s="56" t="s">
        <v>70</v>
      </c>
      <c r="AH2" s="57"/>
      <c r="AI2" s="56" t="s">
        <v>71</v>
      </c>
      <c r="AJ2" s="57"/>
      <c r="AK2" s="56" t="s">
        <v>72</v>
      </c>
      <c r="AL2" s="57"/>
      <c r="AM2" s="56" t="s">
        <v>73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75</v>
      </c>
      <c r="C4" s="36" t="s">
        <v>135</v>
      </c>
      <c r="H4" s="4">
        <v>1</v>
      </c>
      <c r="I4" s="5">
        <v>1</v>
      </c>
      <c r="J4" s="17" t="s">
        <v>64</v>
      </c>
      <c r="K4" s="5">
        <v>1</v>
      </c>
      <c r="L4" s="1" t="s">
        <v>153</v>
      </c>
      <c r="M4" s="5">
        <v>1</v>
      </c>
      <c r="N4" s="17" t="s">
        <v>154</v>
      </c>
      <c r="O4" s="5">
        <v>1</v>
      </c>
      <c r="P4" s="1" t="s">
        <v>155</v>
      </c>
      <c r="Q4" s="19">
        <v>1</v>
      </c>
      <c r="R4" s="1" t="s">
        <v>66</v>
      </c>
      <c r="S4" s="5">
        <v>1</v>
      </c>
      <c r="T4" s="6" t="s">
        <v>6</v>
      </c>
      <c r="U4" s="5">
        <v>1</v>
      </c>
      <c r="V4" s="6" t="s">
        <v>63</v>
      </c>
      <c r="W4" s="5">
        <v>1</v>
      </c>
      <c r="X4" s="1" t="s">
        <v>10</v>
      </c>
      <c r="Y4" s="28">
        <v>1</v>
      </c>
      <c r="Z4" s="29" t="s">
        <v>156</v>
      </c>
      <c r="AA4" s="28">
        <v>1</v>
      </c>
      <c r="AB4" s="29" t="s">
        <v>25</v>
      </c>
      <c r="AC4" s="28">
        <v>1</v>
      </c>
      <c r="AD4" s="29" t="s">
        <v>28</v>
      </c>
      <c r="AE4" s="28">
        <v>1</v>
      </c>
      <c r="AF4" s="29" t="s">
        <v>37</v>
      </c>
      <c r="AG4" s="28">
        <v>1</v>
      </c>
      <c r="AH4" s="29" t="s">
        <v>53</v>
      </c>
      <c r="AI4" s="28">
        <v>1</v>
      </c>
      <c r="AJ4" s="29" t="s">
        <v>111</v>
      </c>
      <c r="AK4" s="28">
        <v>1</v>
      </c>
      <c r="AL4" s="29" t="s">
        <v>46</v>
      </c>
      <c r="AM4" s="28">
        <v>1</v>
      </c>
      <c r="AN4" s="42" t="s">
        <v>157</v>
      </c>
    </row>
    <row r="5" spans="1:40" x14ac:dyDescent="0.3">
      <c r="H5" s="4">
        <f>+H4+1</f>
        <v>2</v>
      </c>
      <c r="I5" s="5">
        <f>+I4+1</f>
        <v>2</v>
      </c>
      <c r="J5" s="17" t="s">
        <v>158</v>
      </c>
      <c r="K5" s="5">
        <v>2</v>
      </c>
      <c r="L5" s="1" t="s">
        <v>160</v>
      </c>
      <c r="M5" s="5">
        <v>2</v>
      </c>
      <c r="N5" s="17" t="s">
        <v>162</v>
      </c>
      <c r="O5" s="5">
        <v>2</v>
      </c>
      <c r="P5" s="1" t="s">
        <v>164</v>
      </c>
      <c r="Q5" s="19">
        <v>2</v>
      </c>
      <c r="R5" s="1" t="s">
        <v>166</v>
      </c>
      <c r="S5" s="5">
        <v>2</v>
      </c>
      <c r="T5" s="6" t="s">
        <v>167</v>
      </c>
      <c r="U5" s="5">
        <v>2</v>
      </c>
      <c r="V5" s="6" t="s">
        <v>169</v>
      </c>
      <c r="W5" s="5">
        <v>2</v>
      </c>
      <c r="X5" s="1" t="s">
        <v>170</v>
      </c>
      <c r="Y5" s="28">
        <v>2</v>
      </c>
      <c r="Z5" s="29" t="s">
        <v>172</v>
      </c>
      <c r="AA5" s="28">
        <v>2</v>
      </c>
      <c r="AB5" s="29" t="s">
        <v>173</v>
      </c>
      <c r="AC5" s="28">
        <v>2</v>
      </c>
      <c r="AD5" s="29" t="s">
        <v>174</v>
      </c>
      <c r="AE5" s="28">
        <v>2</v>
      </c>
      <c r="AF5" s="29" t="s">
        <v>175</v>
      </c>
      <c r="AG5" s="28">
        <v>2</v>
      </c>
      <c r="AH5" s="29" t="s">
        <v>177</v>
      </c>
      <c r="AI5" s="28">
        <v>2</v>
      </c>
      <c r="AJ5" s="29" t="s">
        <v>178</v>
      </c>
      <c r="AK5" s="28">
        <v>2</v>
      </c>
      <c r="AL5" s="29" t="s">
        <v>179</v>
      </c>
      <c r="AM5" s="28">
        <v>2</v>
      </c>
      <c r="AN5" s="42" t="s">
        <v>180</v>
      </c>
    </row>
    <row r="6" spans="1:40" ht="17.25" thickBot="1" x14ac:dyDescent="0.35">
      <c r="A6" s="2">
        <v>3</v>
      </c>
      <c r="B6" s="2" t="s">
        <v>131</v>
      </c>
      <c r="C6" s="2" t="s">
        <v>76</v>
      </c>
      <c r="D6" s="35" t="s">
        <v>441</v>
      </c>
      <c r="H6" s="4">
        <f t="shared" ref="H6:I20" si="0">+H5+1</f>
        <v>3</v>
      </c>
      <c r="I6" s="5">
        <f t="shared" si="0"/>
        <v>3</v>
      </c>
      <c r="J6" s="17" t="s">
        <v>181</v>
      </c>
      <c r="K6" s="5">
        <v>3</v>
      </c>
      <c r="L6" s="1" t="s">
        <v>182</v>
      </c>
      <c r="M6" s="5">
        <v>3</v>
      </c>
      <c r="N6" s="17" t="s">
        <v>183</v>
      </c>
      <c r="O6" s="5">
        <v>3</v>
      </c>
      <c r="P6" s="1" t="s">
        <v>184</v>
      </c>
      <c r="Q6" s="19">
        <v>3</v>
      </c>
      <c r="R6" s="1" t="s">
        <v>185</v>
      </c>
      <c r="S6" s="5">
        <v>3</v>
      </c>
      <c r="T6" s="6" t="s">
        <v>186</v>
      </c>
      <c r="U6" s="5">
        <v>3</v>
      </c>
      <c r="V6" s="6" t="s">
        <v>187</v>
      </c>
      <c r="W6" s="5">
        <v>3</v>
      </c>
      <c r="X6" s="1" t="s">
        <v>188</v>
      </c>
      <c r="Y6" s="28">
        <v>3</v>
      </c>
      <c r="Z6" s="29" t="s">
        <v>189</v>
      </c>
      <c r="AA6" s="28">
        <v>3</v>
      </c>
      <c r="AB6" s="29" t="s">
        <v>190</v>
      </c>
      <c r="AC6" s="28">
        <v>3</v>
      </c>
      <c r="AD6" s="29" t="s">
        <v>191</v>
      </c>
      <c r="AE6" s="28">
        <v>3</v>
      </c>
      <c r="AF6" s="29" t="s">
        <v>192</v>
      </c>
      <c r="AG6" s="28">
        <v>3</v>
      </c>
      <c r="AH6" s="29" t="s">
        <v>193</v>
      </c>
      <c r="AI6" s="28">
        <v>3</v>
      </c>
      <c r="AJ6" s="29" t="s">
        <v>194</v>
      </c>
      <c r="AK6" s="28">
        <v>3</v>
      </c>
      <c r="AL6" s="29" t="s">
        <v>195</v>
      </c>
      <c r="AM6" s="28">
        <v>3</v>
      </c>
      <c r="AN6" s="42" t="s">
        <v>178</v>
      </c>
    </row>
    <row r="7" spans="1:40" ht="17.25" thickBot="1" x14ac:dyDescent="0.35">
      <c r="C7" s="41">
        <v>6493</v>
      </c>
      <c r="D7" s="36">
        <f>+C7/3.3058</f>
        <v>1964.1236614435234</v>
      </c>
      <c r="H7" s="4">
        <f t="shared" si="0"/>
        <v>4</v>
      </c>
      <c r="I7" s="5">
        <f t="shared" si="0"/>
        <v>4</v>
      </c>
      <c r="J7" s="17" t="s">
        <v>196</v>
      </c>
      <c r="K7" s="5">
        <v>4</v>
      </c>
      <c r="L7" s="1" t="s">
        <v>197</v>
      </c>
      <c r="M7" s="5">
        <v>4</v>
      </c>
      <c r="N7" s="17" t="s">
        <v>198</v>
      </c>
      <c r="O7" s="5">
        <v>4</v>
      </c>
      <c r="P7" s="1" t="s">
        <v>199</v>
      </c>
      <c r="Q7" s="19">
        <v>4</v>
      </c>
      <c r="R7" s="1" t="s">
        <v>200</v>
      </c>
      <c r="S7" s="5"/>
      <c r="T7" s="6"/>
      <c r="U7" s="5"/>
      <c r="V7" s="6"/>
      <c r="W7" s="5">
        <v>4</v>
      </c>
      <c r="X7" s="1" t="s">
        <v>201</v>
      </c>
      <c r="Y7" s="28">
        <v>4</v>
      </c>
      <c r="Z7" s="29" t="s">
        <v>202</v>
      </c>
      <c r="AA7" s="28"/>
      <c r="AB7" s="29"/>
      <c r="AC7" s="28">
        <v>4</v>
      </c>
      <c r="AD7" s="29" t="s">
        <v>203</v>
      </c>
      <c r="AE7" s="28">
        <v>4</v>
      </c>
      <c r="AF7" s="29" t="s">
        <v>204</v>
      </c>
      <c r="AG7" s="28">
        <v>4</v>
      </c>
      <c r="AH7" s="29" t="s">
        <v>205</v>
      </c>
      <c r="AI7" s="28">
        <v>4</v>
      </c>
      <c r="AJ7" s="29" t="s">
        <v>206</v>
      </c>
      <c r="AK7" s="28">
        <v>4</v>
      </c>
      <c r="AL7" s="29" t="s">
        <v>178</v>
      </c>
      <c r="AM7" s="28">
        <v>4</v>
      </c>
      <c r="AN7" s="42" t="s">
        <v>207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208</v>
      </c>
      <c r="K8" s="5">
        <v>5</v>
      </c>
      <c r="L8" s="1" t="s">
        <v>209</v>
      </c>
      <c r="M8" s="5">
        <v>5</v>
      </c>
      <c r="N8" s="17" t="s">
        <v>210</v>
      </c>
      <c r="O8" s="5">
        <v>5</v>
      </c>
      <c r="P8" s="1" t="s">
        <v>211</v>
      </c>
      <c r="Q8" s="19">
        <v>5</v>
      </c>
      <c r="R8" s="1" t="s">
        <v>212</v>
      </c>
      <c r="S8" s="5"/>
      <c r="T8" s="6"/>
      <c r="U8" s="5"/>
      <c r="V8" s="6"/>
      <c r="W8" s="5">
        <v>5</v>
      </c>
      <c r="X8" s="1" t="s">
        <v>213</v>
      </c>
      <c r="Y8" s="28">
        <v>5</v>
      </c>
      <c r="Z8" s="29" t="s">
        <v>214</v>
      </c>
      <c r="AA8" s="28"/>
      <c r="AB8" s="29"/>
      <c r="AC8" s="28">
        <v>5</v>
      </c>
      <c r="AD8" s="29" t="s">
        <v>215</v>
      </c>
      <c r="AE8" s="28">
        <v>5</v>
      </c>
      <c r="AF8" s="29" t="s">
        <v>216</v>
      </c>
      <c r="AG8" s="28">
        <v>5</v>
      </c>
      <c r="AH8" s="29" t="s">
        <v>217</v>
      </c>
      <c r="AI8" s="28">
        <v>5</v>
      </c>
      <c r="AJ8" s="29" t="s">
        <v>218</v>
      </c>
      <c r="AK8" s="28">
        <v>5</v>
      </c>
      <c r="AL8" s="29" t="s">
        <v>207</v>
      </c>
      <c r="AM8" s="28"/>
      <c r="AN8" s="29"/>
    </row>
    <row r="9" spans="1:40" ht="17.25" thickBot="1" x14ac:dyDescent="0.35">
      <c r="A9" s="2">
        <v>4</v>
      </c>
      <c r="B9" s="2" t="s">
        <v>77</v>
      </c>
      <c r="C9" s="36" t="s">
        <v>138</v>
      </c>
      <c r="H9" s="4">
        <f t="shared" si="0"/>
        <v>6</v>
      </c>
      <c r="I9" s="5">
        <f t="shared" si="0"/>
        <v>6</v>
      </c>
      <c r="J9" s="17" t="s">
        <v>219</v>
      </c>
      <c r="K9" s="5">
        <v>6</v>
      </c>
      <c r="L9" s="1" t="s">
        <v>220</v>
      </c>
      <c r="M9" s="5">
        <v>6</v>
      </c>
      <c r="N9" s="17" t="s">
        <v>221</v>
      </c>
      <c r="O9" s="5">
        <v>6</v>
      </c>
      <c r="P9" s="1" t="s">
        <v>222</v>
      </c>
      <c r="Q9" s="19">
        <v>6</v>
      </c>
      <c r="R9" s="1" t="s">
        <v>223</v>
      </c>
      <c r="S9" s="5"/>
      <c r="T9" s="6"/>
      <c r="U9" s="5"/>
      <c r="V9" s="6"/>
      <c r="W9" s="5">
        <v>6</v>
      </c>
      <c r="X9" s="1" t="s">
        <v>224</v>
      </c>
      <c r="Y9" s="28">
        <v>6</v>
      </c>
      <c r="Z9" s="29" t="s">
        <v>225</v>
      </c>
      <c r="AA9" s="28"/>
      <c r="AB9" s="29"/>
      <c r="AC9" s="28">
        <v>6</v>
      </c>
      <c r="AD9" s="29" t="s">
        <v>227</v>
      </c>
      <c r="AE9" s="28">
        <v>6</v>
      </c>
      <c r="AF9" s="29" t="s">
        <v>228</v>
      </c>
      <c r="AG9" s="28">
        <v>6</v>
      </c>
      <c r="AH9" s="29" t="s">
        <v>229</v>
      </c>
      <c r="AI9" s="28">
        <v>6</v>
      </c>
      <c r="AJ9" s="29" t="s">
        <v>230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231</v>
      </c>
      <c r="K10" s="5">
        <v>7</v>
      </c>
      <c r="L10" s="1" t="s">
        <v>232</v>
      </c>
      <c r="M10" s="5">
        <v>7</v>
      </c>
      <c r="N10" s="17" t="s">
        <v>233</v>
      </c>
      <c r="O10" s="5">
        <v>7</v>
      </c>
      <c r="P10" s="1" t="s">
        <v>234</v>
      </c>
      <c r="Q10" s="19">
        <v>7</v>
      </c>
      <c r="R10" s="1" t="s">
        <v>235</v>
      </c>
      <c r="S10" s="5"/>
      <c r="T10" s="6"/>
      <c r="U10" s="5"/>
      <c r="V10" s="6"/>
      <c r="W10" s="5">
        <v>7</v>
      </c>
      <c r="X10" s="1" t="s">
        <v>236</v>
      </c>
      <c r="Y10" s="28">
        <v>7</v>
      </c>
      <c r="Z10" s="29" t="s">
        <v>237</v>
      </c>
      <c r="AA10" s="28"/>
      <c r="AB10" s="29"/>
      <c r="AC10" s="28">
        <v>7</v>
      </c>
      <c r="AD10" s="29" t="s">
        <v>238</v>
      </c>
      <c r="AE10" s="28">
        <v>7</v>
      </c>
      <c r="AF10" s="29" t="s">
        <v>239</v>
      </c>
      <c r="AG10" s="28">
        <v>7</v>
      </c>
      <c r="AH10" s="29" t="s">
        <v>240</v>
      </c>
      <c r="AI10" s="28">
        <v>7</v>
      </c>
      <c r="AJ10" s="29" t="s">
        <v>241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78</v>
      </c>
      <c r="C11" s="36" t="s">
        <v>439</v>
      </c>
      <c r="H11" s="4">
        <f t="shared" si="0"/>
        <v>8</v>
      </c>
      <c r="I11" s="5">
        <f t="shared" si="0"/>
        <v>8</v>
      </c>
      <c r="J11" s="17" t="s">
        <v>242</v>
      </c>
      <c r="K11" s="5">
        <v>8</v>
      </c>
      <c r="L11" s="1" t="s">
        <v>243</v>
      </c>
      <c r="M11" s="5">
        <v>8</v>
      </c>
      <c r="N11" s="17" t="s">
        <v>244</v>
      </c>
      <c r="O11" s="5">
        <v>8</v>
      </c>
      <c r="P11" s="1" t="s">
        <v>245</v>
      </c>
      <c r="Q11" s="19">
        <v>8</v>
      </c>
      <c r="R11" s="1" t="s">
        <v>246</v>
      </c>
      <c r="S11" s="5"/>
      <c r="T11" s="6"/>
      <c r="U11" s="5"/>
      <c r="V11" s="6"/>
      <c r="W11" s="5">
        <v>8</v>
      </c>
      <c r="X11" s="1" t="s">
        <v>247</v>
      </c>
      <c r="Y11" s="28">
        <v>8</v>
      </c>
      <c r="Z11" s="29" t="s">
        <v>248</v>
      </c>
      <c r="AA11" s="28"/>
      <c r="AB11" s="29"/>
      <c r="AC11" s="28">
        <v>8</v>
      </c>
      <c r="AD11" s="29" t="s">
        <v>249</v>
      </c>
      <c r="AE11" s="28">
        <v>8</v>
      </c>
      <c r="AF11" s="29" t="s">
        <v>240</v>
      </c>
      <c r="AG11" s="28">
        <v>8</v>
      </c>
      <c r="AH11" s="29" t="s">
        <v>250</v>
      </c>
      <c r="AI11" s="28">
        <v>8</v>
      </c>
      <c r="AJ11" s="29" t="s">
        <v>251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252</v>
      </c>
      <c r="K12" s="5">
        <v>9</v>
      </c>
      <c r="L12" s="1" t="s">
        <v>253</v>
      </c>
      <c r="M12" s="5"/>
      <c r="N12" s="17"/>
      <c r="O12" s="5">
        <v>9</v>
      </c>
      <c r="P12" s="1" t="s">
        <v>254</v>
      </c>
      <c r="Q12" s="19">
        <v>9</v>
      </c>
      <c r="R12" s="1" t="s">
        <v>255</v>
      </c>
      <c r="S12" s="5"/>
      <c r="T12" s="6"/>
      <c r="U12" s="5"/>
      <c r="V12" s="6"/>
      <c r="W12" s="5">
        <v>9</v>
      </c>
      <c r="X12" s="1" t="s">
        <v>256</v>
      </c>
      <c r="Y12" s="28">
        <v>9</v>
      </c>
      <c r="Z12" s="29" t="s">
        <v>257</v>
      </c>
      <c r="AA12" s="28"/>
      <c r="AB12" s="29"/>
      <c r="AC12" s="28">
        <v>9</v>
      </c>
      <c r="AD12" s="29" t="s">
        <v>258</v>
      </c>
      <c r="AE12" s="28">
        <v>9</v>
      </c>
      <c r="AF12" s="29" t="s">
        <v>259</v>
      </c>
      <c r="AG12" s="28">
        <v>9</v>
      </c>
      <c r="AH12" s="29" t="s">
        <v>260</v>
      </c>
      <c r="AI12" s="28">
        <v>9</v>
      </c>
      <c r="AJ12" s="29" t="s">
        <v>261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79</v>
      </c>
      <c r="C13" s="36" t="s">
        <v>94</v>
      </c>
      <c r="H13" s="4">
        <f t="shared" si="0"/>
        <v>10</v>
      </c>
      <c r="I13" s="5">
        <f t="shared" si="0"/>
        <v>10</v>
      </c>
      <c r="J13" s="17" t="s">
        <v>262</v>
      </c>
      <c r="K13" s="5">
        <v>10</v>
      </c>
      <c r="L13" s="1" t="s">
        <v>263</v>
      </c>
      <c r="M13" s="5"/>
      <c r="N13" s="17"/>
      <c r="O13" s="5">
        <v>10</v>
      </c>
      <c r="P13" s="1" t="s">
        <v>264</v>
      </c>
      <c r="Q13" s="19">
        <v>10</v>
      </c>
      <c r="R13" s="1" t="s">
        <v>265</v>
      </c>
      <c r="S13" s="5"/>
      <c r="T13" s="6"/>
      <c r="U13" s="5"/>
      <c r="V13" s="6"/>
      <c r="W13" s="5"/>
      <c r="X13" s="1"/>
      <c r="Y13" s="28">
        <v>10</v>
      </c>
      <c r="Z13" s="29" t="s">
        <v>266</v>
      </c>
      <c r="AA13" s="28"/>
      <c r="AB13" s="29"/>
      <c r="AC13" s="28">
        <v>10</v>
      </c>
      <c r="AD13" s="29" t="s">
        <v>267</v>
      </c>
      <c r="AE13" s="28">
        <v>10</v>
      </c>
      <c r="AF13" s="29" t="s">
        <v>268</v>
      </c>
      <c r="AG13" s="28">
        <v>10</v>
      </c>
      <c r="AH13" s="29" t="s">
        <v>207</v>
      </c>
      <c r="AI13" s="28">
        <v>10</v>
      </c>
      <c r="AJ13" s="29" t="s">
        <v>207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269</v>
      </c>
      <c r="K14" s="5"/>
      <c r="L14" s="1"/>
      <c r="M14" s="17"/>
      <c r="N14" s="17"/>
      <c r="O14" s="5">
        <v>11</v>
      </c>
      <c r="P14" s="1" t="s">
        <v>270</v>
      </c>
      <c r="Q14" s="19">
        <v>11</v>
      </c>
      <c r="R14" s="1" t="s">
        <v>271</v>
      </c>
      <c r="S14" s="5"/>
      <c r="T14" s="6"/>
      <c r="U14" s="5"/>
      <c r="V14" s="6"/>
      <c r="W14" s="5"/>
      <c r="X14" s="1"/>
      <c r="Y14" s="28">
        <v>11</v>
      </c>
      <c r="Z14" s="29" t="s">
        <v>272</v>
      </c>
      <c r="AA14" s="28"/>
      <c r="AB14" s="29"/>
      <c r="AC14" s="28">
        <v>11</v>
      </c>
      <c r="AD14" s="29" t="s">
        <v>273</v>
      </c>
      <c r="AE14" s="28">
        <v>11</v>
      </c>
      <c r="AF14" s="29" t="s">
        <v>274</v>
      </c>
      <c r="AG14" s="28">
        <v>11</v>
      </c>
      <c r="AH14" s="29" t="s">
        <v>178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80</v>
      </c>
      <c r="C15" s="36" t="s">
        <v>130</v>
      </c>
      <c r="H15" s="4">
        <f t="shared" si="0"/>
        <v>12</v>
      </c>
      <c r="I15" s="5">
        <f t="shared" si="0"/>
        <v>12</v>
      </c>
      <c r="J15" s="17" t="s">
        <v>275</v>
      </c>
      <c r="K15" s="5"/>
      <c r="L15" s="1"/>
      <c r="M15" s="17"/>
      <c r="N15" s="22"/>
      <c r="O15" s="5">
        <v>12</v>
      </c>
      <c r="P15" s="1" t="s">
        <v>276</v>
      </c>
      <c r="Q15" s="19">
        <v>12</v>
      </c>
      <c r="R15" s="1" t="s">
        <v>277</v>
      </c>
      <c r="S15" s="5"/>
      <c r="T15" s="6"/>
      <c r="U15" s="5"/>
      <c r="V15" s="6"/>
      <c r="W15" s="5"/>
      <c r="X15" s="1"/>
      <c r="Y15" s="28">
        <v>12</v>
      </c>
      <c r="Z15" s="29" t="s">
        <v>278</v>
      </c>
      <c r="AA15" s="28"/>
      <c r="AB15" s="29"/>
      <c r="AC15" s="28">
        <v>12</v>
      </c>
      <c r="AD15" s="29" t="s">
        <v>279</v>
      </c>
      <c r="AE15" s="28">
        <v>12</v>
      </c>
      <c r="AF15" s="29" t="s">
        <v>280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281</v>
      </c>
      <c r="K16" s="5"/>
      <c r="L16" s="1"/>
      <c r="M16" s="17"/>
      <c r="N16" s="17"/>
      <c r="O16" s="5">
        <v>13</v>
      </c>
      <c r="P16" s="1" t="s">
        <v>282</v>
      </c>
      <c r="Q16" s="19">
        <v>13</v>
      </c>
      <c r="R16" s="1" t="s">
        <v>283</v>
      </c>
      <c r="S16" s="5"/>
      <c r="T16" s="6"/>
      <c r="U16" s="5"/>
      <c r="V16" s="6"/>
      <c r="W16" s="5"/>
      <c r="X16" s="1"/>
      <c r="Y16" s="28">
        <v>13</v>
      </c>
      <c r="Z16" s="29" t="s">
        <v>284</v>
      </c>
      <c r="AA16" s="28"/>
      <c r="AB16" s="29"/>
      <c r="AC16" s="28">
        <v>13</v>
      </c>
      <c r="AD16" s="29" t="s">
        <v>285</v>
      </c>
      <c r="AE16" s="28">
        <v>13</v>
      </c>
      <c r="AF16" s="29" t="s">
        <v>286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81</v>
      </c>
      <c r="C17" s="2" t="s">
        <v>85</v>
      </c>
      <c r="D17" s="2" t="s">
        <v>86</v>
      </c>
      <c r="E17" s="35" t="s">
        <v>142</v>
      </c>
      <c r="H17" s="4">
        <f t="shared" si="0"/>
        <v>14</v>
      </c>
      <c r="I17" s="5">
        <f t="shared" si="0"/>
        <v>14</v>
      </c>
      <c r="J17" s="17" t="s">
        <v>287</v>
      </c>
      <c r="K17" s="17"/>
      <c r="L17" s="1"/>
      <c r="M17" s="17"/>
      <c r="N17" s="23"/>
      <c r="O17" s="5">
        <v>14</v>
      </c>
      <c r="P17" s="1" t="s">
        <v>288</v>
      </c>
      <c r="Q17" s="19">
        <v>14</v>
      </c>
      <c r="R17" s="1" t="s">
        <v>289</v>
      </c>
      <c r="S17" s="5"/>
      <c r="T17" s="6"/>
      <c r="U17" s="5"/>
      <c r="V17" s="6"/>
      <c r="W17" s="5"/>
      <c r="X17" s="1"/>
      <c r="Y17" s="28">
        <v>14</v>
      </c>
      <c r="Z17" s="29" t="s">
        <v>290</v>
      </c>
      <c r="AA17" s="28"/>
      <c r="AB17" s="29"/>
      <c r="AC17" s="28">
        <v>14</v>
      </c>
      <c r="AD17" s="29" t="s">
        <v>291</v>
      </c>
      <c r="AE17" s="28">
        <v>14</v>
      </c>
      <c r="AF17" s="29" t="s">
        <v>292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82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293</v>
      </c>
      <c r="K18" s="5"/>
      <c r="L18" s="1"/>
      <c r="M18" s="17"/>
      <c r="N18" s="17"/>
      <c r="O18" s="5"/>
      <c r="P18" s="1"/>
      <c r="Q18" s="19">
        <v>15</v>
      </c>
      <c r="R18" s="1" t="s">
        <v>294</v>
      </c>
      <c r="S18" s="5"/>
      <c r="T18" s="6"/>
      <c r="U18" s="5"/>
      <c r="V18" s="6"/>
      <c r="W18" s="5"/>
      <c r="X18" s="1"/>
      <c r="Y18" s="28">
        <v>15</v>
      </c>
      <c r="Z18" s="29" t="s">
        <v>295</v>
      </c>
      <c r="AA18" s="28"/>
      <c r="AB18" s="29"/>
      <c r="AC18" s="28">
        <v>15</v>
      </c>
      <c r="AD18" s="29" t="s">
        <v>296</v>
      </c>
      <c r="AE18" s="28">
        <v>15</v>
      </c>
      <c r="AF18" s="29" t="s">
        <v>297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83</v>
      </c>
      <c r="D19" s="62">
        <f>+D54</f>
        <v>426540</v>
      </c>
      <c r="E19" s="52">
        <f>+D19*3.3058</f>
        <v>1410055.932</v>
      </c>
      <c r="H19" s="4">
        <f t="shared" si="0"/>
        <v>16</v>
      </c>
      <c r="I19" s="5">
        <f t="shared" si="0"/>
        <v>16</v>
      </c>
      <c r="J19" s="17" t="s">
        <v>298</v>
      </c>
      <c r="K19" s="5"/>
      <c r="L19" s="1"/>
      <c r="M19" s="17"/>
      <c r="N19" s="17"/>
      <c r="O19" s="5"/>
      <c r="P19" s="1"/>
      <c r="Q19" s="19">
        <v>16</v>
      </c>
      <c r="R19" s="1" t="s">
        <v>299</v>
      </c>
      <c r="S19" s="5"/>
      <c r="T19" s="6"/>
      <c r="U19" s="5"/>
      <c r="V19" s="6"/>
      <c r="W19" s="5"/>
      <c r="X19" s="1"/>
      <c r="Y19" s="28">
        <v>16</v>
      </c>
      <c r="Z19" s="29" t="s">
        <v>300</v>
      </c>
      <c r="AA19" s="28"/>
      <c r="AB19" s="29"/>
      <c r="AC19" s="28">
        <v>16</v>
      </c>
      <c r="AD19" s="29" t="s">
        <v>301</v>
      </c>
      <c r="AE19" s="28">
        <v>16</v>
      </c>
      <c r="AF19" s="29" t="s">
        <v>302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67</v>
      </c>
      <c r="D20" s="62">
        <f>+D60</f>
        <v>17550</v>
      </c>
      <c r="E20" s="52">
        <f t="shared" ref="E20:E24" si="1">+D20*3.3058</f>
        <v>58016.79</v>
      </c>
      <c r="H20" s="4">
        <f t="shared" si="0"/>
        <v>17</v>
      </c>
      <c r="I20" s="5">
        <f t="shared" si="0"/>
        <v>17</v>
      </c>
      <c r="J20" s="17" t="s">
        <v>178</v>
      </c>
      <c r="K20" s="5"/>
      <c r="L20" s="1"/>
      <c r="M20" s="17"/>
      <c r="N20" s="17"/>
      <c r="O20" s="5"/>
      <c r="P20" s="1"/>
      <c r="Q20" s="19">
        <v>17</v>
      </c>
      <c r="R20" s="1" t="s">
        <v>303</v>
      </c>
      <c r="S20" s="5"/>
      <c r="T20" s="6"/>
      <c r="U20" s="5"/>
      <c r="V20" s="6"/>
      <c r="W20" s="5"/>
      <c r="X20" s="1"/>
      <c r="Y20" s="28">
        <v>17</v>
      </c>
      <c r="Z20" s="29" t="s">
        <v>304</v>
      </c>
      <c r="AA20" s="28"/>
      <c r="AB20" s="29"/>
      <c r="AC20" s="28">
        <v>17</v>
      </c>
      <c r="AD20" s="29" t="s">
        <v>305</v>
      </c>
      <c r="AE20" s="28">
        <v>17</v>
      </c>
      <c r="AF20" s="29" t="s">
        <v>306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68</v>
      </c>
      <c r="D21" s="62">
        <f>+D89</f>
        <v>171490</v>
      </c>
      <c r="E21" s="52">
        <f t="shared" si="1"/>
        <v>566911.64199999999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307</v>
      </c>
      <c r="S21" s="5"/>
      <c r="T21" s="6"/>
      <c r="U21" s="5"/>
      <c r="V21" s="6"/>
      <c r="W21" s="5"/>
      <c r="X21" s="1"/>
      <c r="Y21" s="28">
        <v>18</v>
      </c>
      <c r="Z21" s="29" t="s">
        <v>308</v>
      </c>
      <c r="AA21" s="28"/>
      <c r="AB21" s="29"/>
      <c r="AC21" s="28">
        <v>18</v>
      </c>
      <c r="AD21" s="29" t="s">
        <v>309</v>
      </c>
      <c r="AE21" s="28">
        <v>18</v>
      </c>
      <c r="AF21" s="29" t="s">
        <v>310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69</v>
      </c>
      <c r="D22" s="62">
        <f>+D113</f>
        <v>105730</v>
      </c>
      <c r="E22" s="52">
        <f t="shared" si="1"/>
        <v>349522.234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311</v>
      </c>
      <c r="S22" s="5"/>
      <c r="T22" s="6"/>
      <c r="U22" s="5"/>
      <c r="V22" s="6"/>
      <c r="W22" s="5"/>
      <c r="X22" s="1"/>
      <c r="Y22" s="28">
        <v>19</v>
      </c>
      <c r="Z22" s="29" t="s">
        <v>312</v>
      </c>
      <c r="AA22" s="28"/>
      <c r="AB22" s="29"/>
      <c r="AC22" s="28">
        <v>19</v>
      </c>
      <c r="AD22" s="29" t="s">
        <v>313</v>
      </c>
      <c r="AE22" s="28">
        <v>19</v>
      </c>
      <c r="AF22" s="29" t="s">
        <v>314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70</v>
      </c>
      <c r="D23" s="62">
        <f>+D127</f>
        <v>181370</v>
      </c>
      <c r="E23" s="52">
        <f t="shared" si="1"/>
        <v>599572.946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315</v>
      </c>
      <c r="S23" s="5"/>
      <c r="T23" s="6"/>
      <c r="U23" s="5"/>
      <c r="V23" s="6"/>
      <c r="W23" s="5"/>
      <c r="X23" s="1"/>
      <c r="Y23" s="28">
        <v>20</v>
      </c>
      <c r="Z23" s="29" t="s">
        <v>207</v>
      </c>
      <c r="AA23" s="28"/>
      <c r="AB23" s="29"/>
      <c r="AC23" s="28">
        <v>20</v>
      </c>
      <c r="AD23" s="29" t="s">
        <v>316</v>
      </c>
      <c r="AE23" s="28">
        <v>20</v>
      </c>
      <c r="AF23" s="29" t="s">
        <v>207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71</v>
      </c>
      <c r="D24" s="62">
        <f>+D140</f>
        <v>8120</v>
      </c>
      <c r="E24" s="52">
        <f t="shared" si="1"/>
        <v>26843.096000000001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317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318</v>
      </c>
      <c r="AE24" s="28">
        <v>21</v>
      </c>
      <c r="AF24" s="29" t="s">
        <v>178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72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319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320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73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321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141</v>
      </c>
      <c r="D27" s="63">
        <f>TRUNC(SUM(D18:D26)*0.275,-1)</f>
        <v>250470</v>
      </c>
      <c r="E27" s="53">
        <f>+D27*3.3058</f>
        <v>828003.72600000002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322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84</v>
      </c>
      <c r="D28" s="55">
        <f>SUM(D18:D27)</f>
        <v>1161270</v>
      </c>
      <c r="E28" s="35">
        <f>SUM(E18:E27)</f>
        <v>3838926.3660000004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207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178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123</v>
      </c>
      <c r="C30" s="2" t="s">
        <v>85</v>
      </c>
      <c r="D30" s="2" t="s">
        <v>86</v>
      </c>
      <c r="E30" s="35" t="s">
        <v>142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123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124</v>
      </c>
      <c r="C33" s="2" t="s">
        <v>85</v>
      </c>
      <c r="D33" s="2" t="s">
        <v>86</v>
      </c>
      <c r="E33" s="35" t="s">
        <v>142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13</v>
      </c>
      <c r="D34" s="46">
        <v>32060</v>
      </c>
      <c r="E34" s="47">
        <f>+D34*3.3058</f>
        <v>105983.948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11</v>
      </c>
      <c r="D35" s="65">
        <v>166540</v>
      </c>
      <c r="E35" s="48">
        <f>+D35*3.3058</f>
        <v>550547.93200000003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12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14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15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16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17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18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19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20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440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21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22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23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128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125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126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127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24</v>
      </c>
      <c r="D52" s="65">
        <v>227940</v>
      </c>
      <c r="E52" s="48">
        <f t="shared" si="2"/>
        <v>753524.05200000003</v>
      </c>
      <c r="F52" s="2" t="s">
        <v>136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129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84</v>
      </c>
      <c r="D54" s="44">
        <f>SUM(D34:D53)</f>
        <v>426540</v>
      </c>
      <c r="E54" s="44">
        <f>SUM(E34:E53)</f>
        <v>1410055.932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87</v>
      </c>
      <c r="C56" s="2" t="s">
        <v>85</v>
      </c>
      <c r="D56" s="2" t="s">
        <v>86</v>
      </c>
      <c r="E56" s="35" t="s">
        <v>142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25</v>
      </c>
      <c r="D57" s="46">
        <v>17550</v>
      </c>
      <c r="E57" s="47">
        <f>+D57*3.3058</f>
        <v>58016.79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27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26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84</v>
      </c>
      <c r="D60" s="50">
        <f>SUM(D57:D59)</f>
        <v>17550</v>
      </c>
      <c r="E60" s="45">
        <f>SUM(E57:E59)</f>
        <v>58016.79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88</v>
      </c>
      <c r="C62" s="2" t="s">
        <v>85</v>
      </c>
      <c r="D62" s="2" t="s">
        <v>86</v>
      </c>
      <c r="E62" s="35" t="s">
        <v>142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28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29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30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31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32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226</v>
      </c>
      <c r="D68" s="6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120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99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133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117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113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108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101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114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116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102</v>
      </c>
      <c r="D78" s="65">
        <v>24680</v>
      </c>
      <c r="E78" s="48">
        <f t="shared" si="3"/>
        <v>81587.144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103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121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119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122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33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34</v>
      </c>
      <c r="D84" s="65">
        <v>10880</v>
      </c>
      <c r="E84" s="48">
        <f t="shared" si="3"/>
        <v>35967.103999999999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35</v>
      </c>
      <c r="D85" s="65">
        <v>6520</v>
      </c>
      <c r="E85" s="48">
        <f t="shared" si="3"/>
        <v>21553.815999999999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36</v>
      </c>
      <c r="D86" s="65">
        <v>7850</v>
      </c>
      <c r="E86" s="48">
        <f t="shared" si="3"/>
        <v>25950.53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129</v>
      </c>
      <c r="D87" s="65">
        <v>104820</v>
      </c>
      <c r="E87" s="48">
        <f>+D87*3.3058</f>
        <v>346513.95600000001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45</v>
      </c>
      <c r="D88" s="66">
        <v>16740</v>
      </c>
      <c r="E88" s="49">
        <f>+D88*3.3058</f>
        <v>55339.092000000004</v>
      </c>
      <c r="F88" s="2" t="s">
        <v>139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84</v>
      </c>
      <c r="D89" s="44">
        <f>SUM(D63:D88)</f>
        <v>171490</v>
      </c>
      <c r="E89" s="45">
        <f>SUM(E63:E88)</f>
        <v>566911.64199999999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89</v>
      </c>
      <c r="C91" s="2" t="s">
        <v>85</v>
      </c>
      <c r="D91" s="2" t="s">
        <v>86</v>
      </c>
      <c r="E91" s="35" t="s">
        <v>142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37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38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39</v>
      </c>
      <c r="D94" s="65">
        <v>33090</v>
      </c>
      <c r="E94" s="48">
        <f t="shared" ref="E94:E111" si="4">+D94*3.3058</f>
        <v>109388.92200000001</v>
      </c>
      <c r="F94" s="2" t="s">
        <v>134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40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41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42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43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44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115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97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100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105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107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109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112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98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110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96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95</v>
      </c>
      <c r="D110" s="65">
        <v>20740</v>
      </c>
      <c r="E110" s="48">
        <f t="shared" si="4"/>
        <v>68562.292000000001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129</v>
      </c>
      <c r="D111" s="65">
        <v>50330</v>
      </c>
      <c r="E111" s="48">
        <f t="shared" si="4"/>
        <v>166380.91399999999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45</v>
      </c>
      <c r="D112" s="66">
        <v>1570</v>
      </c>
      <c r="E112" s="49">
        <f>+D112*3.3058</f>
        <v>5190.1059999999998</v>
      </c>
      <c r="F112" s="2" t="s">
        <v>143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84</v>
      </c>
      <c r="D113" s="44">
        <f>SUM(D92:D112)</f>
        <v>105730</v>
      </c>
      <c r="E113" s="45">
        <f>SUM(E92:E112)</f>
        <v>349522.23400000005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90</v>
      </c>
      <c r="C115" s="2" t="s">
        <v>85</v>
      </c>
      <c r="D115" s="2" t="s">
        <v>86</v>
      </c>
      <c r="E115" s="35" t="s">
        <v>142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53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104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132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118</v>
      </c>
      <c r="D119" s="65">
        <v>7400</v>
      </c>
      <c r="E119" s="48">
        <f t="shared" si="5"/>
        <v>24462.920000000002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51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54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44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106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52</v>
      </c>
      <c r="D124" s="65">
        <v>9320</v>
      </c>
      <c r="E124" s="48">
        <f t="shared" si="5"/>
        <v>30810.056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129</v>
      </c>
      <c r="D125" s="65">
        <v>128370</v>
      </c>
      <c r="E125" s="48">
        <f t="shared" si="5"/>
        <v>424365.54600000003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45</v>
      </c>
      <c r="D126" s="66">
        <f>36280</f>
        <v>36280</v>
      </c>
      <c r="E126" s="49">
        <f>+D126*3.3058</f>
        <v>119934.424</v>
      </c>
      <c r="F126" s="2" t="s">
        <v>140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84</v>
      </c>
      <c r="D127" s="44">
        <f>SUM(D116:D126)</f>
        <v>181370</v>
      </c>
      <c r="E127" s="45">
        <f>SUM(E116:E126)</f>
        <v>599572.946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91</v>
      </c>
      <c r="C129" s="2" t="s">
        <v>85</v>
      </c>
      <c r="D129" s="2" t="s">
        <v>86</v>
      </c>
      <c r="E129" s="35" t="s">
        <v>142</v>
      </c>
    </row>
    <row r="130" spans="1:23" x14ac:dyDescent="0.3">
      <c r="A130" s="2">
        <v>1</v>
      </c>
      <c r="C130" s="42" t="s">
        <v>111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45</v>
      </c>
      <c r="D131" s="65">
        <v>8120</v>
      </c>
      <c r="E131" s="48">
        <f>+D131*3.3058</f>
        <v>26843.096000000001</v>
      </c>
      <c r="F131" s="2" t="s">
        <v>144</v>
      </c>
    </row>
    <row r="132" spans="1:23" x14ac:dyDescent="0.3">
      <c r="A132" s="2">
        <v>3</v>
      </c>
      <c r="C132" s="42" t="s">
        <v>58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59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55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57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56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60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61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129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84</v>
      </c>
      <c r="D140" s="44">
        <f>SUM(D130:D139)</f>
        <v>8120</v>
      </c>
      <c r="E140" s="45">
        <f>SUM(E130:E139)</f>
        <v>26843.096000000001</v>
      </c>
    </row>
    <row r="142" spans="1:23" ht="17.25" thickBot="1" x14ac:dyDescent="0.35">
      <c r="B142" s="2" t="s">
        <v>92</v>
      </c>
      <c r="C142" s="2" t="s">
        <v>85</v>
      </c>
      <c r="D142" s="2" t="s">
        <v>86</v>
      </c>
      <c r="E142" s="35" t="s">
        <v>142</v>
      </c>
    </row>
    <row r="143" spans="1:23" x14ac:dyDescent="0.3">
      <c r="A143" s="2">
        <v>1</v>
      </c>
      <c r="C143" s="42" t="s">
        <v>46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47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48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45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129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84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93</v>
      </c>
      <c r="C150" s="2" t="s">
        <v>85</v>
      </c>
      <c r="D150" s="2" t="s">
        <v>86</v>
      </c>
      <c r="E150" s="35" t="s">
        <v>142</v>
      </c>
    </row>
    <row r="151" spans="1:23" x14ac:dyDescent="0.3">
      <c r="A151" s="2">
        <v>1</v>
      </c>
      <c r="C151" s="42" t="s">
        <v>49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50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45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129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84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2020-04-28T02:31:36Z</dcterms:modified>
</cp:coreProperties>
</file>