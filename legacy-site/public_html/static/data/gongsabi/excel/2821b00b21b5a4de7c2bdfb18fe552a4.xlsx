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8" i="4" l="1"/>
  <c r="D78" i="4"/>
  <c r="E154" i="4" l="1"/>
  <c r="E153" i="4"/>
  <c r="E152" i="4"/>
  <c r="E151" i="4"/>
  <c r="E155" i="4" s="1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40" i="4" s="1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27" i="4" s="1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113" i="4" s="1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0" i="4"/>
  <c r="E59" i="4"/>
  <c r="E58" i="4"/>
  <c r="E57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6" i="4"/>
  <c r="E25" i="4"/>
  <c r="E24" i="4"/>
  <c r="E23" i="4"/>
  <c r="E22" i="4"/>
  <c r="E20" i="4"/>
  <c r="E19" i="4"/>
  <c r="E18" i="4"/>
  <c r="E89" i="4" l="1"/>
  <c r="D130" i="4"/>
  <c r="D40" i="4" l="1"/>
  <c r="D52" i="4"/>
  <c r="D53" i="4" l="1"/>
  <c r="D48" i="4"/>
  <c r="D49" i="4"/>
  <c r="D46" i="4"/>
  <c r="D45" i="4"/>
  <c r="D44" i="4"/>
  <c r="D47" i="4"/>
  <c r="D42" i="4"/>
  <c r="D41" i="4"/>
  <c r="D39" i="4"/>
  <c r="D38" i="4"/>
  <c r="D43" i="4"/>
  <c r="D37" i="4"/>
  <c r="D36" i="4"/>
  <c r="D35" i="4"/>
  <c r="D34" i="4"/>
  <c r="D31" i="4"/>
  <c r="D146" i="4"/>
  <c r="D143" i="4"/>
  <c r="D57" i="4"/>
  <c r="D153" i="4"/>
  <c r="D152" i="4"/>
  <c r="D151" i="4"/>
  <c r="D66" i="4"/>
  <c r="D85" i="4"/>
  <c r="D65" i="4"/>
  <c r="D64" i="4"/>
  <c r="D63" i="4"/>
  <c r="D87" i="4"/>
  <c r="D99" i="4"/>
  <c r="D112" i="4"/>
  <c r="D94" i="4"/>
  <c r="D96" i="4"/>
  <c r="D93" i="4"/>
  <c r="D92" i="4"/>
  <c r="D111" i="4"/>
  <c r="D126" i="4"/>
  <c r="D119" i="4"/>
  <c r="D117" i="4"/>
  <c r="D122" i="4"/>
  <c r="D125" i="4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18" i="4"/>
  <c r="D54" i="4"/>
  <c r="D19" i="4" s="1"/>
  <c r="D60" i="4"/>
  <c r="D89" i="4"/>
  <c r="G89" i="4" s="1"/>
  <c r="H89" i="4" s="1"/>
  <c r="D127" i="4"/>
  <c r="D23" i="4" s="1"/>
  <c r="D155" i="4"/>
  <c r="D26" i="4" s="1"/>
  <c r="D7" i="4"/>
  <c r="GP44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G44" i="4"/>
  <c r="BY44" i="4" s="1"/>
  <c r="DX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BF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GP155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GP154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G154" i="4"/>
  <c r="BY154" i="4" s="1"/>
  <c r="GP153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G153" i="4"/>
  <c r="BY153" i="4"/>
  <c r="EQ153" i="4" s="1"/>
  <c r="ER153" i="4" s="1"/>
  <c r="GP152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G152" i="4"/>
  <c r="BY152" i="4"/>
  <c r="BZ152" i="4" s="1"/>
  <c r="GP151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G151" i="4"/>
  <c r="BY151" i="4" s="1"/>
  <c r="GP150" i="4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GP148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GP147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GP146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GP145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GP144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G144" i="4"/>
  <c r="H144" i="4" s="1"/>
  <c r="GP143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G143" i="4"/>
  <c r="BY143" i="4" s="1"/>
  <c r="EQ143" i="4" s="1"/>
  <c r="ER143" i="4" s="1"/>
  <c r="FZ143" i="4" s="1"/>
  <c r="GA143" i="4" s="1"/>
  <c r="GH143" i="4"/>
  <c r="GI143" i="4" s="1"/>
  <c r="FV143" i="4"/>
  <c r="FW143" i="4" s="1"/>
  <c r="FR143" i="4"/>
  <c r="FS143" i="4" s="1"/>
  <c r="FF143" i="4"/>
  <c r="FG143" i="4" s="1"/>
  <c r="FB143" i="4"/>
  <c r="FC143" i="4" s="1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GP140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GP139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G139" i="4"/>
  <c r="BY139" i="4"/>
  <c r="EQ139" i="4" s="1"/>
  <c r="ER139" i="4" s="1"/>
  <c r="GP138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GP137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GP136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GP135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GP134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GP133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GP132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G132" i="4"/>
  <c r="BY132" i="4" s="1"/>
  <c r="EQ132" i="4" s="1"/>
  <c r="ER132" i="4" s="1"/>
  <c r="GP131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G131" i="4"/>
  <c r="BY131" i="4" s="1"/>
  <c r="GP130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G130" i="4"/>
  <c r="H130" i="4" s="1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GP127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GP126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G126" i="4"/>
  <c r="BY126" i="4" s="1"/>
  <c r="EQ126" i="4" s="1"/>
  <c r="ER126" i="4" s="1"/>
  <c r="GP125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G125" i="4"/>
  <c r="BY125" i="4" s="1"/>
  <c r="EQ125" i="4" s="1"/>
  <c r="ER125" i="4" s="1"/>
  <c r="EV125" i="4" s="1"/>
  <c r="EW125" i="4" s="1"/>
  <c r="GP124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G124" i="4"/>
  <c r="BY124" i="4"/>
  <c r="EQ124" i="4" s="1"/>
  <c r="ER124" i="4" s="1"/>
  <c r="GP123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G123" i="4"/>
  <c r="BY123" i="4" s="1"/>
  <c r="EQ123" i="4" s="1"/>
  <c r="ER123" i="4" s="1"/>
  <c r="GH123" i="4" s="1"/>
  <c r="GI123" i="4" s="1"/>
  <c r="FV123" i="4"/>
  <c r="FW123" i="4" s="1"/>
  <c r="FR123" i="4"/>
  <c r="FS123" i="4" s="1"/>
  <c r="FN123" i="4"/>
  <c r="FO123" i="4" s="1"/>
  <c r="FJ123" i="4"/>
  <c r="FK123" i="4" s="1"/>
  <c r="FF123" i="4"/>
  <c r="FG123" i="4" s="1"/>
  <c r="FB123" i="4"/>
  <c r="FC123" i="4" s="1"/>
  <c r="EX123" i="4"/>
  <c r="EY123" i="4" s="1"/>
  <c r="ET123" i="4"/>
  <c r="EU123" i="4" s="1"/>
  <c r="GP122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G122" i="4"/>
  <c r="BY122" i="4" s="1"/>
  <c r="GP121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G121" i="4"/>
  <c r="BY121" i="4" s="1"/>
  <c r="EQ121" i="4" s="1"/>
  <c r="ER121" i="4" s="1"/>
  <c r="GP120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G120" i="4"/>
  <c r="BY120" i="4"/>
  <c r="EQ120" i="4" s="1"/>
  <c r="ER120" i="4" s="1"/>
  <c r="FZ120" i="4" s="1"/>
  <c r="GA120" i="4" s="1"/>
  <c r="EX120" i="4"/>
  <c r="EY120" i="4" s="1"/>
  <c r="GP119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G119" i="4"/>
  <c r="BY119" i="4" s="1"/>
  <c r="EQ119" i="4" s="1"/>
  <c r="ER119" i="4" s="1"/>
  <c r="GP118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G118" i="4"/>
  <c r="BY118" i="4" s="1"/>
  <c r="EQ118" i="4"/>
  <c r="ER118" i="4" s="1"/>
  <c r="GB118" i="4" s="1"/>
  <c r="GC118" i="4" s="1"/>
  <c r="FD118" i="4"/>
  <c r="FE118" i="4" s="1"/>
  <c r="EZ118" i="4"/>
  <c r="FA118" i="4" s="1"/>
  <c r="GP117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G117" i="4"/>
  <c r="BY117" i="4" s="1"/>
  <c r="GP116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G116" i="4"/>
  <c r="BY116" i="4" s="1"/>
  <c r="EQ116" i="4" s="1"/>
  <c r="ER116" i="4" s="1"/>
  <c r="FF116" i="4" s="1"/>
  <c r="FG116" i="4" s="1"/>
  <c r="FV116" i="4"/>
  <c r="FW116" i="4" s="1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GP113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GP112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GP111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GP110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GP109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GP108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GP107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GP106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GP105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GP104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GP103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GP102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GP101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GP100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GP99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GP98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GP97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GP96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GP95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GP94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GP93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G93" i="4"/>
  <c r="BY93" i="4"/>
  <c r="EQ93" i="4" s="1"/>
  <c r="ER93" i="4" s="1"/>
  <c r="FJ93" i="4" s="1"/>
  <c r="FK93" i="4" s="1"/>
  <c r="GP92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G92" i="4"/>
  <c r="BY92" i="4" s="1"/>
  <c r="EQ92" i="4" s="1"/>
  <c r="ER92" i="4" s="1"/>
  <c r="GF92" i="4" s="1"/>
  <c r="GG92" i="4" s="1"/>
  <c r="FP92" i="4"/>
  <c r="FQ92" i="4" s="1"/>
  <c r="EZ92" i="4"/>
  <c r="FA92" i="4" s="1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GP89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GP88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G88" i="4"/>
  <c r="BY88" i="4" s="1"/>
  <c r="EQ88" i="4" s="1"/>
  <c r="ER88" i="4" s="1"/>
  <c r="GH88" i="4" s="1"/>
  <c r="GI88" i="4" s="1"/>
  <c r="GP87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G87" i="4"/>
  <c r="BY87" i="4" s="1"/>
  <c r="EQ87" i="4" s="1"/>
  <c r="ER87" i="4" s="1"/>
  <c r="GP86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G86" i="4"/>
  <c r="BY86" i="4" s="1"/>
  <c r="EQ86" i="4" s="1"/>
  <c r="ER86" i="4" s="1"/>
  <c r="FX86" i="4"/>
  <c r="FY86" i="4" s="1"/>
  <c r="ES86" i="4"/>
  <c r="GP85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G85" i="4"/>
  <c r="BY85" i="4" s="1"/>
  <c r="GP84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G84" i="4"/>
  <c r="BY84" i="4" s="1"/>
  <c r="EQ84" i="4" s="1"/>
  <c r="ER84" i="4" s="1"/>
  <c r="FB84" i="4" s="1"/>
  <c r="FC84" i="4" s="1"/>
  <c r="GH84" i="4"/>
  <c r="GI84" i="4" s="1"/>
  <c r="FJ84" i="4"/>
  <c r="FK84" i="4" s="1"/>
  <c r="GP83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G83" i="4"/>
  <c r="BY83" i="4" s="1"/>
  <c r="EQ83" i="4" s="1"/>
  <c r="ER83" i="4" s="1"/>
  <c r="GP82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G82" i="4"/>
  <c r="GP81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G81" i="4"/>
  <c r="BY81" i="4"/>
  <c r="EQ81" i="4" s="1"/>
  <c r="ER81" i="4" s="1"/>
  <c r="GP80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G80" i="4"/>
  <c r="BY80" i="4" s="1"/>
  <c r="EQ80" i="4" s="1"/>
  <c r="ER80" i="4" s="1"/>
  <c r="GH80" i="4"/>
  <c r="GI80" i="4" s="1"/>
  <c r="GF80" i="4"/>
  <c r="GG80" i="4" s="1"/>
  <c r="GD80" i="4"/>
  <c r="GE80" i="4" s="1"/>
  <c r="GB80" i="4"/>
  <c r="GC80" i="4" s="1"/>
  <c r="FZ80" i="4"/>
  <c r="GA80" i="4" s="1"/>
  <c r="FX80" i="4"/>
  <c r="FY80" i="4" s="1"/>
  <c r="FV80" i="4"/>
  <c r="FW80" i="4" s="1"/>
  <c r="FT80" i="4"/>
  <c r="FU80" i="4" s="1"/>
  <c r="FR80" i="4"/>
  <c r="FS80" i="4" s="1"/>
  <c r="FP80" i="4"/>
  <c r="FQ80" i="4" s="1"/>
  <c r="FN80" i="4"/>
  <c r="FO80" i="4" s="1"/>
  <c r="FL80" i="4"/>
  <c r="FM80" i="4" s="1"/>
  <c r="FJ80" i="4"/>
  <c r="FK80" i="4" s="1"/>
  <c r="FH80" i="4"/>
  <c r="FI80" i="4" s="1"/>
  <c r="FF80" i="4"/>
  <c r="FG80" i="4" s="1"/>
  <c r="FD80" i="4"/>
  <c r="FE80" i="4" s="1"/>
  <c r="FB80" i="4"/>
  <c r="FC80" i="4" s="1"/>
  <c r="EZ80" i="4"/>
  <c r="FA80" i="4" s="1"/>
  <c r="EX80" i="4"/>
  <c r="EY80" i="4" s="1"/>
  <c r="EV80" i="4"/>
  <c r="EW80" i="4" s="1"/>
  <c r="ET80" i="4"/>
  <c r="EU80" i="4" s="1"/>
  <c r="ES80" i="4"/>
  <c r="GP79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G79" i="4"/>
  <c r="BY79" i="4"/>
  <c r="EQ79" i="4" s="1"/>
  <c r="ER79" i="4" s="1"/>
  <c r="FH79" i="4" s="1"/>
  <c r="FI79" i="4" s="1"/>
  <c r="GP78" i="4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G78" i="4"/>
  <c r="BY78" i="4" s="1"/>
  <c r="GP77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G77" i="4"/>
  <c r="BY77" i="4" s="1"/>
  <c r="EQ77" i="4" s="1"/>
  <c r="ER77" i="4" s="1"/>
  <c r="GD77" i="4" s="1"/>
  <c r="GE77" i="4" s="1"/>
  <c r="FV77" i="4"/>
  <c r="FW77" i="4" s="1"/>
  <c r="FR77" i="4"/>
  <c r="FS77" i="4" s="1"/>
  <c r="FB77" i="4"/>
  <c r="FC77" i="4" s="1"/>
  <c r="ET77" i="4"/>
  <c r="EU77" i="4" s="1"/>
  <c r="GP76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G76" i="4"/>
  <c r="GP75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G75" i="4"/>
  <c r="BY75" i="4" s="1"/>
  <c r="EQ75" i="4" s="1"/>
  <c r="ER75" i="4" s="1"/>
  <c r="FH75" i="4"/>
  <c r="FI75" i="4" s="1"/>
  <c r="GP74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G74" i="4"/>
  <c r="BY74" i="4" s="1"/>
  <c r="GP73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G73" i="4"/>
  <c r="BY73" i="4" s="1"/>
  <c r="EQ73" i="4" s="1"/>
  <c r="ER73" i="4" s="1"/>
  <c r="FV73" i="4" s="1"/>
  <c r="FW73" i="4" s="1"/>
  <c r="FL73" i="4"/>
  <c r="FM73" i="4" s="1"/>
  <c r="GP72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G72" i="4"/>
  <c r="BY72" i="4" s="1"/>
  <c r="EQ72" i="4"/>
  <c r="ER72" i="4" s="1"/>
  <c r="FP72" i="4"/>
  <c r="FQ72" i="4" s="1"/>
  <c r="ES72" i="4"/>
  <c r="GP71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G71" i="4"/>
  <c r="BY71" i="4"/>
  <c r="GP70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G70" i="4"/>
  <c r="BY70" i="4" s="1"/>
  <c r="EQ70" i="4"/>
  <c r="ER70" i="4" s="1"/>
  <c r="GP69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G69" i="4"/>
  <c r="BY69" i="4" s="1"/>
  <c r="GP68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G68" i="4"/>
  <c r="BY68" i="4" s="1"/>
  <c r="EQ68" i="4"/>
  <c r="ER68" i="4" s="1"/>
  <c r="GB68" i="4" s="1"/>
  <c r="GC68" i="4" s="1"/>
  <c r="GF68" i="4"/>
  <c r="GG68" i="4" s="1"/>
  <c r="FX68" i="4"/>
  <c r="FY68" i="4" s="1"/>
  <c r="FT68" i="4"/>
  <c r="FU68" i="4" s="1"/>
  <c r="FP68" i="4"/>
  <c r="FQ68" i="4" s="1"/>
  <c r="FH68" i="4"/>
  <c r="FI68" i="4" s="1"/>
  <c r="FD68" i="4"/>
  <c r="FE68" i="4" s="1"/>
  <c r="EZ68" i="4"/>
  <c r="FA68" i="4" s="1"/>
  <c r="ES68" i="4"/>
  <c r="GP67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G67" i="4"/>
  <c r="BY67" i="4"/>
  <c r="GP66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G66" i="4"/>
  <c r="BY66" i="4" s="1"/>
  <c r="EQ66" i="4" s="1"/>
  <c r="ER66" i="4" s="1"/>
  <c r="EZ66" i="4" s="1"/>
  <c r="FA66" i="4" s="1"/>
  <c r="GP65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G65" i="4"/>
  <c r="BY65" i="4" s="1"/>
  <c r="GP64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G64" i="4"/>
  <c r="BY64" i="4" s="1"/>
  <c r="BZ64" i="4" s="1"/>
  <c r="GP63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G63" i="4"/>
  <c r="BY63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GP60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GP59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G59" i="4"/>
  <c r="BY59" i="4" s="1"/>
  <c r="BZ59" i="4" s="1"/>
  <c r="EQ59" i="4"/>
  <c r="ER59" i="4" s="1"/>
  <c r="GF59" i="4"/>
  <c r="GG59" i="4" s="1"/>
  <c r="GB59" i="4"/>
  <c r="GC59" i="4" s="1"/>
  <c r="FT59" i="4"/>
  <c r="FU59" i="4" s="1"/>
  <c r="FP59" i="4"/>
  <c r="FQ59" i="4" s="1"/>
  <c r="FL59" i="4"/>
  <c r="FM59" i="4" s="1"/>
  <c r="FD59" i="4"/>
  <c r="FE59" i="4" s="1"/>
  <c r="EZ59" i="4"/>
  <c r="FA59" i="4" s="1"/>
  <c r="EV59" i="4"/>
  <c r="EW59" i="4" s="1"/>
  <c r="GP58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G58" i="4"/>
  <c r="BY58" i="4"/>
  <c r="EQ58" i="4" s="1"/>
  <c r="ER58" i="4" s="1"/>
  <c r="GP57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G57" i="4"/>
  <c r="H57" i="4" s="1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GP54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GP53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G53" i="4"/>
  <c r="BY53" i="4" s="1"/>
  <c r="GP52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G52" i="4"/>
  <c r="BY52" i="4"/>
  <c r="EQ52" i="4" s="1"/>
  <c r="ER52" i="4" s="1"/>
  <c r="GP51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G51" i="4"/>
  <c r="BY51" i="4" s="1"/>
  <c r="EQ51" i="4" s="1"/>
  <c r="ER51" i="4" s="1"/>
  <c r="GD51" i="4" s="1"/>
  <c r="GE51" i="4" s="1"/>
  <c r="GH51" i="4"/>
  <c r="GI51" i="4" s="1"/>
  <c r="FV51" i="4"/>
  <c r="FW51" i="4" s="1"/>
  <c r="FR51" i="4"/>
  <c r="FS51" i="4" s="1"/>
  <c r="FF51" i="4"/>
  <c r="FG51" i="4" s="1"/>
  <c r="FB51" i="4"/>
  <c r="FC51" i="4" s="1"/>
  <c r="GP50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G50" i="4"/>
  <c r="BY50" i="4" s="1"/>
  <c r="EQ50" i="4" s="1"/>
  <c r="ER50" i="4" s="1"/>
  <c r="GP49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G49" i="4"/>
  <c r="BY49" i="4" s="1"/>
  <c r="EQ49" i="4"/>
  <c r="ER49" i="4" s="1"/>
  <c r="FD49" i="4" s="1"/>
  <c r="FE49" i="4" s="1"/>
  <c r="GP48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G48" i="4"/>
  <c r="BY48" i="4"/>
  <c r="EQ48" i="4" s="1"/>
  <c r="ER48" i="4" s="1"/>
  <c r="GP47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G47" i="4"/>
  <c r="BY47" i="4" s="1"/>
  <c r="EQ47" i="4" s="1"/>
  <c r="ER47" i="4" s="1"/>
  <c r="GD47" i="4" s="1"/>
  <c r="GE47" i="4" s="1"/>
  <c r="FZ47" i="4"/>
  <c r="GA47" i="4" s="1"/>
  <c r="FP47" i="4"/>
  <c r="FQ47" i="4" s="1"/>
  <c r="FN47" i="4"/>
  <c r="FO47" i="4" s="1"/>
  <c r="FJ47" i="4"/>
  <c r="FK47" i="4" s="1"/>
  <c r="FH47" i="4"/>
  <c r="FI47" i="4" s="1"/>
  <c r="FF47" i="4"/>
  <c r="FG47" i="4" s="1"/>
  <c r="FD47" i="4"/>
  <c r="FE47" i="4"/>
  <c r="FB47" i="4"/>
  <c r="FC47" i="4" s="1"/>
  <c r="EZ47" i="4"/>
  <c r="FA47" i="4" s="1"/>
  <c r="EX47" i="4"/>
  <c r="EY47" i="4" s="1"/>
  <c r="EV47" i="4"/>
  <c r="EW47" i="4" s="1"/>
  <c r="ET47" i="4"/>
  <c r="EU47" i="4" s="1"/>
  <c r="ES47" i="4"/>
  <c r="GP46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G46" i="4"/>
  <c r="BY46" i="4" s="1"/>
  <c r="GP45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G45" i="4"/>
  <c r="H45" i="4" s="1"/>
  <c r="GP43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G43" i="4"/>
  <c r="BY43" i="4" s="1"/>
  <c r="EQ43" i="4" s="1"/>
  <c r="ER43" i="4" s="1"/>
  <c r="GP42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G42" i="4"/>
  <c r="BY42" i="4" s="1"/>
  <c r="EQ42" i="4" s="1"/>
  <c r="ER42" i="4" s="1"/>
  <c r="GP41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G41" i="4"/>
  <c r="BY41" i="4"/>
  <c r="EQ41" i="4" s="1"/>
  <c r="ER41" i="4" s="1"/>
  <c r="GP40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G40" i="4"/>
  <c r="BY40" i="4"/>
  <c r="EQ40" i="4" s="1"/>
  <c r="ER40" i="4" s="1"/>
  <c r="GP39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G39" i="4"/>
  <c r="BY39" i="4" s="1"/>
  <c r="GP38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G38" i="4"/>
  <c r="BY38" i="4" s="1"/>
  <c r="GP37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G37" i="4"/>
  <c r="BY37" i="4" s="1"/>
  <c r="EQ37" i="4" s="1"/>
  <c r="ER37" i="4" s="1"/>
  <c r="GD37" i="4" s="1"/>
  <c r="GE37" i="4" s="1"/>
  <c r="FV37" i="4"/>
  <c r="FW37" i="4" s="1"/>
  <c r="FF37" i="4"/>
  <c r="FG37" i="4" s="1"/>
  <c r="GP36" i="4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G36" i="4"/>
  <c r="BY36" i="4" s="1"/>
  <c r="GP35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G35" i="4"/>
  <c r="H35" i="4" s="1"/>
  <c r="BY35" i="4"/>
  <c r="EQ35" i="4" s="1"/>
  <c r="ER35" i="4" s="1"/>
  <c r="GP34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G34" i="4"/>
  <c r="BY34" i="4" s="1"/>
  <c r="EQ34" i="4" s="1"/>
  <c r="ER34" i="4" s="1"/>
  <c r="GP33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BY33" i="4"/>
  <c r="EQ33" i="4"/>
  <c r="GP32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BY32" i="4"/>
  <c r="EQ32" i="4"/>
  <c r="GP31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G31" i="4"/>
  <c r="BY31" i="4" s="1"/>
  <c r="GP30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BY30" i="4"/>
  <c r="EQ30" i="4"/>
  <c r="GP29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BY29" i="4"/>
  <c r="EQ29" i="4"/>
  <c r="GP28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G18" i="4"/>
  <c r="BY18" i="4" s="1"/>
  <c r="BZ18" i="4" s="1"/>
  <c r="G23" i="4"/>
  <c r="BY23" i="4" s="1"/>
  <c r="EQ23" i="4" s="1"/>
  <c r="ER23" i="4" s="1"/>
  <c r="GP27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GP26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GP25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GP24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GP23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GP22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GP21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GP20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GP19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GP18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DX155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DX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BZ153" i="4"/>
  <c r="DP153" i="4" s="1"/>
  <c r="DQ153" i="4" s="1"/>
  <c r="DX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DX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DX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DX148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DX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DX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DX145" i="4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DX144" i="4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BZ143" i="4"/>
  <c r="DP143" i="4" s="1"/>
  <c r="DQ143" i="4" s="1"/>
  <c r="DX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DN143" i="4"/>
  <c r="DO143" i="4" s="1"/>
  <c r="DF143" i="4"/>
  <c r="DG143" i="4" s="1"/>
  <c r="DB143" i="4"/>
  <c r="DC143" i="4" s="1"/>
  <c r="CZ143" i="4"/>
  <c r="DA143" i="4" s="1"/>
  <c r="CX143" i="4"/>
  <c r="CY143" i="4" s="1"/>
  <c r="CV143" i="4"/>
  <c r="CW143" i="4" s="1"/>
  <c r="CT143" i="4"/>
  <c r="CU143" i="4" s="1"/>
  <c r="CR143" i="4"/>
  <c r="CS143" i="4" s="1"/>
  <c r="CP143" i="4"/>
  <c r="CQ143" i="4" s="1"/>
  <c r="CN143" i="4"/>
  <c r="CO143" i="4" s="1"/>
  <c r="CL143" i="4"/>
  <c r="CM143" i="4" s="1"/>
  <c r="CJ143" i="4"/>
  <c r="CK143" i="4" s="1"/>
  <c r="CH143" i="4"/>
  <c r="CI143" i="4" s="1"/>
  <c r="CF143" i="4"/>
  <c r="CG143" i="4" s="1"/>
  <c r="CD143" i="4"/>
  <c r="CE143" i="4" s="1"/>
  <c r="CB143" i="4"/>
  <c r="CC143" i="4" s="1"/>
  <c r="CA143" i="4"/>
  <c r="DX140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DX139" i="4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DX138" i="4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DX137" i="4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DX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DX135" i="4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DX134" i="4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DX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DX132" i="4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DX131" i="4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DX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DX127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BZ126" i="4"/>
  <c r="DP126" i="4" s="1"/>
  <c r="DQ126" i="4" s="1"/>
  <c r="DX126" i="4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CX126" i="4"/>
  <c r="CY126" i="4" s="1"/>
  <c r="BZ125" i="4"/>
  <c r="DX125" i="4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DP125" i="4"/>
  <c r="DQ125" i="4" s="1"/>
  <c r="DN125" i="4"/>
  <c r="DO125" i="4" s="1"/>
  <c r="DL125" i="4"/>
  <c r="DM125" i="4" s="1"/>
  <c r="DJ125" i="4"/>
  <c r="DK125" i="4" s="1"/>
  <c r="DH125" i="4"/>
  <c r="DI125" i="4" s="1"/>
  <c r="DF125" i="4"/>
  <c r="DG125" i="4" s="1"/>
  <c r="DD125" i="4"/>
  <c r="DE125" i="4" s="1"/>
  <c r="DB125" i="4"/>
  <c r="DC125" i="4" s="1"/>
  <c r="CZ125" i="4"/>
  <c r="DA125" i="4" s="1"/>
  <c r="CX125" i="4"/>
  <c r="CY125" i="4" s="1"/>
  <c r="CV125" i="4"/>
  <c r="CW125" i="4" s="1"/>
  <c r="CT125" i="4"/>
  <c r="CU125" i="4" s="1"/>
  <c r="CR125" i="4"/>
  <c r="CS125" i="4" s="1"/>
  <c r="CP125" i="4"/>
  <c r="CQ125" i="4" s="1"/>
  <c r="CN125" i="4"/>
  <c r="CO125" i="4" s="1"/>
  <c r="CL125" i="4"/>
  <c r="CM125" i="4" s="1"/>
  <c r="CJ125" i="4"/>
  <c r="CK125" i="4" s="1"/>
  <c r="CH125" i="4"/>
  <c r="CI125" i="4" s="1"/>
  <c r="CF125" i="4"/>
  <c r="CG125" i="4" s="1"/>
  <c r="CD125" i="4"/>
  <c r="CE125" i="4" s="1"/>
  <c r="CB125" i="4"/>
  <c r="CC125" i="4" s="1"/>
  <c r="CA125" i="4"/>
  <c r="BZ124" i="4"/>
  <c r="DL124" i="4" s="1"/>
  <c r="DM124" i="4" s="1"/>
  <c r="DX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DP124" i="4"/>
  <c r="DQ124" i="4" s="1"/>
  <c r="DN124" i="4"/>
  <c r="DO124" i="4" s="1"/>
  <c r="DJ124" i="4"/>
  <c r="DK124" i="4" s="1"/>
  <c r="DH124" i="4"/>
  <c r="DI124" i="4" s="1"/>
  <c r="DF124" i="4"/>
  <c r="DG124" i="4" s="1"/>
  <c r="DD124" i="4"/>
  <c r="DE124" i="4" s="1"/>
  <c r="DB124" i="4"/>
  <c r="DC124" i="4" s="1"/>
  <c r="CZ124" i="4"/>
  <c r="DA124" i="4" s="1"/>
  <c r="CX124" i="4"/>
  <c r="CY124" i="4" s="1"/>
  <c r="CV124" i="4"/>
  <c r="CW124" i="4" s="1"/>
  <c r="CT124" i="4"/>
  <c r="CU124" i="4" s="1"/>
  <c r="CR124" i="4"/>
  <c r="CS124" i="4" s="1"/>
  <c r="CP124" i="4"/>
  <c r="CQ124" i="4" s="1"/>
  <c r="CN124" i="4"/>
  <c r="CO124" i="4" s="1"/>
  <c r="CL124" i="4"/>
  <c r="CM124" i="4" s="1"/>
  <c r="CJ124" i="4"/>
  <c r="CK124" i="4" s="1"/>
  <c r="CH124" i="4"/>
  <c r="CI124" i="4" s="1"/>
  <c r="CF124" i="4"/>
  <c r="CG124" i="4" s="1"/>
  <c r="CD124" i="4"/>
  <c r="CE124" i="4" s="1"/>
  <c r="CB124" i="4"/>
  <c r="CC124" i="4" s="1"/>
  <c r="CA124" i="4"/>
  <c r="BZ123" i="4"/>
  <c r="DX123" i="4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DX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BZ121" i="4"/>
  <c r="DX121" i="4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BZ120" i="4"/>
  <c r="DP120" i="4" s="1"/>
  <c r="DQ120" i="4" s="1"/>
  <c r="DX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DN120" i="4"/>
  <c r="DO120" i="4"/>
  <c r="DJ120" i="4"/>
  <c r="DK120" i="4" s="1"/>
  <c r="DF120" i="4"/>
  <c r="DG120" i="4"/>
  <c r="DB120" i="4"/>
  <c r="DC120" i="4" s="1"/>
  <c r="CX120" i="4"/>
  <c r="CY120" i="4"/>
  <c r="CT120" i="4"/>
  <c r="CU120" i="4" s="1"/>
  <c r="CP120" i="4"/>
  <c r="CQ120" i="4"/>
  <c r="CN120" i="4"/>
  <c r="CO120" i="4" s="1"/>
  <c r="CL120" i="4"/>
  <c r="CM120" i="4"/>
  <c r="CJ120" i="4"/>
  <c r="CK120" i="4" s="1"/>
  <c r="CH120" i="4"/>
  <c r="CI120" i="4"/>
  <c r="CF120" i="4"/>
  <c r="CG120" i="4" s="1"/>
  <c r="CD120" i="4"/>
  <c r="CE120" i="4"/>
  <c r="CB120" i="4"/>
  <c r="CC120" i="4" s="1"/>
  <c r="CA120" i="4"/>
  <c r="BZ119" i="4"/>
  <c r="DX119" i="4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BZ118" i="4"/>
  <c r="DP118" i="4" s="1"/>
  <c r="DQ118" i="4" s="1"/>
  <c r="DX118" i="4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DN118" i="4"/>
  <c r="DO118" i="4"/>
  <c r="DJ118" i="4"/>
  <c r="DK118" i="4" s="1"/>
  <c r="DF118" i="4"/>
  <c r="DG118" i="4"/>
  <c r="DB118" i="4"/>
  <c r="DC118" i="4" s="1"/>
  <c r="CX118" i="4"/>
  <c r="CY118" i="4"/>
  <c r="CT118" i="4"/>
  <c r="CU118" i="4"/>
  <c r="CP118" i="4"/>
  <c r="CQ118" i="4"/>
  <c r="CL118" i="4"/>
  <c r="CM118" i="4"/>
  <c r="CH118" i="4"/>
  <c r="CI118" i="4"/>
  <c r="CD118" i="4"/>
  <c r="CE118" i="4"/>
  <c r="CA118" i="4"/>
  <c r="DX117" i="4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BZ116" i="4"/>
  <c r="DP116" i="4" s="1"/>
  <c r="DQ116" i="4" s="1"/>
  <c r="DX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DN116" i="4"/>
  <c r="DO116" i="4" s="1"/>
  <c r="DJ116" i="4"/>
  <c r="DK116" i="4" s="1"/>
  <c r="DF116" i="4"/>
  <c r="DG116" i="4" s="1"/>
  <c r="DB116" i="4"/>
  <c r="DC116" i="4" s="1"/>
  <c r="CX116" i="4"/>
  <c r="CY116" i="4"/>
  <c r="CT116" i="4"/>
  <c r="CU116" i="4" s="1"/>
  <c r="CP116" i="4"/>
  <c r="CQ116" i="4"/>
  <c r="CL116" i="4"/>
  <c r="CM116" i="4" s="1"/>
  <c r="CH116" i="4"/>
  <c r="CI116" i="4"/>
  <c r="CD116" i="4"/>
  <c r="CE116" i="4" s="1"/>
  <c r="CA116" i="4"/>
  <c r="DX113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DX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DX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DX110" i="4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DX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DX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DX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DX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DX105" i="4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DX104" i="4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DX103" i="4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DX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DX101" i="4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DX100" i="4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DX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DX98" i="4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DX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DX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DX95" i="4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DX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DX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BZ92" i="4"/>
  <c r="DJ92" i="4" s="1"/>
  <c r="DK92" i="4" s="1"/>
  <c r="DX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CX92" i="4"/>
  <c r="CY92" i="4" s="1"/>
  <c r="CP92" i="4"/>
  <c r="CQ92" i="4" s="1"/>
  <c r="CH92" i="4"/>
  <c r="CI92" i="4" s="1"/>
  <c r="CA92" i="4"/>
  <c r="DX89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BZ88" i="4"/>
  <c r="DX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CJ88" i="4"/>
  <c r="CK88" i="4" s="1"/>
  <c r="BZ87" i="4"/>
  <c r="DX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BZ86" i="4"/>
  <c r="DX86" i="4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DX85" i="4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BZ84" i="4"/>
  <c r="DX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BZ83" i="4"/>
  <c r="DX83" i="4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DX82" i="4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BZ81" i="4"/>
  <c r="DX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BZ80" i="4"/>
  <c r="DX80" i="4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BZ79" i="4"/>
  <c r="DX79" i="4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CF79" i="4"/>
  <c r="CG79" i="4" s="1"/>
  <c r="DX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BZ77" i="4"/>
  <c r="DX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DL77" i="4"/>
  <c r="DM77" i="4" s="1"/>
  <c r="CV77" i="4"/>
  <c r="CW77" i="4" s="1"/>
  <c r="CN77" i="4"/>
  <c r="CO77" i="4" s="1"/>
  <c r="CF77" i="4"/>
  <c r="CG77" i="4" s="1"/>
  <c r="DX76" i="4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BZ75" i="4"/>
  <c r="DX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DX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BZ73" i="4"/>
  <c r="DX73" i="4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DL73" i="4"/>
  <c r="DM73" i="4" s="1"/>
  <c r="CN73" i="4"/>
  <c r="CO73" i="4" s="1"/>
  <c r="CF73" i="4"/>
  <c r="CG73" i="4" s="1"/>
  <c r="BZ72" i="4"/>
  <c r="DF72" i="4" s="1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DN72" i="4"/>
  <c r="DO72" i="4"/>
  <c r="DJ72" i="4"/>
  <c r="DK72" i="4" s="1"/>
  <c r="DG72" i="4"/>
  <c r="DB72" i="4"/>
  <c r="DC72" i="4" s="1"/>
  <c r="CX72" i="4"/>
  <c r="CY72" i="4"/>
  <c r="CT72" i="4"/>
  <c r="CU72" i="4" s="1"/>
  <c r="CR72" i="4"/>
  <c r="CS72" i="4" s="1"/>
  <c r="CP72" i="4"/>
  <c r="CQ72" i="4" s="1"/>
  <c r="CN72" i="4"/>
  <c r="CO72" i="4" s="1"/>
  <c r="CL72" i="4"/>
  <c r="CM72" i="4" s="1"/>
  <c r="CJ72" i="4"/>
  <c r="CK72" i="4" s="1"/>
  <c r="CH72" i="4"/>
  <c r="CI72" i="4" s="1"/>
  <c r="CF72" i="4"/>
  <c r="CG72" i="4" s="1"/>
  <c r="CD72" i="4"/>
  <c r="CE72" i="4" s="1"/>
  <c r="CB72" i="4"/>
  <c r="CC72" i="4" s="1"/>
  <c r="CA72" i="4"/>
  <c r="DX71" i="4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BZ70" i="4"/>
  <c r="DX70" i="4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DP70" i="4"/>
  <c r="DQ70" i="4" s="1"/>
  <c r="DN70" i="4"/>
  <c r="DO70" i="4" s="1"/>
  <c r="DL70" i="4"/>
  <c r="DM70" i="4" s="1"/>
  <c r="DJ70" i="4"/>
  <c r="DK70" i="4" s="1"/>
  <c r="DH70" i="4"/>
  <c r="DI70" i="4" s="1"/>
  <c r="DF70" i="4"/>
  <c r="DG70" i="4" s="1"/>
  <c r="DD70" i="4"/>
  <c r="DE70" i="4" s="1"/>
  <c r="DB70" i="4"/>
  <c r="DC70" i="4" s="1"/>
  <c r="CZ70" i="4"/>
  <c r="DA70" i="4" s="1"/>
  <c r="CX70" i="4"/>
  <c r="CY70" i="4" s="1"/>
  <c r="CV70" i="4"/>
  <c r="CW70" i="4" s="1"/>
  <c r="CT70" i="4"/>
  <c r="CU70" i="4" s="1"/>
  <c r="CR70" i="4"/>
  <c r="CS70" i="4" s="1"/>
  <c r="CP70" i="4"/>
  <c r="CQ70" i="4" s="1"/>
  <c r="CN70" i="4"/>
  <c r="CO70" i="4" s="1"/>
  <c r="CL70" i="4"/>
  <c r="CM70" i="4" s="1"/>
  <c r="CJ70" i="4"/>
  <c r="CK70" i="4" s="1"/>
  <c r="CH70" i="4"/>
  <c r="CI70" i="4" s="1"/>
  <c r="CF70" i="4"/>
  <c r="CG70" i="4" s="1"/>
  <c r="CD70" i="4"/>
  <c r="CE70" i="4" s="1"/>
  <c r="CB70" i="4"/>
  <c r="CC70" i="4" s="1"/>
  <c r="CA70" i="4"/>
  <c r="DX69" i="4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BZ68" i="4"/>
  <c r="DJ68" i="4" s="1"/>
  <c r="DK68" i="4" s="1"/>
  <c r="DX68" i="4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DP68" i="4"/>
  <c r="DQ68" i="4" s="1"/>
  <c r="DN68" i="4"/>
  <c r="DO68" i="4" s="1"/>
  <c r="DL68" i="4"/>
  <c r="DM68" i="4" s="1"/>
  <c r="DH68" i="4"/>
  <c r="DI68" i="4" s="1"/>
  <c r="DF68" i="4"/>
  <c r="DG68" i="4" s="1"/>
  <c r="DD68" i="4"/>
  <c r="DE68" i="4" s="1"/>
  <c r="DB68" i="4"/>
  <c r="DC68" i="4" s="1"/>
  <c r="CZ68" i="4"/>
  <c r="DA68" i="4" s="1"/>
  <c r="CX68" i="4"/>
  <c r="CY68" i="4" s="1"/>
  <c r="CV68" i="4"/>
  <c r="CW68" i="4" s="1"/>
  <c r="CT68" i="4"/>
  <c r="CU68" i="4" s="1"/>
  <c r="CR68" i="4"/>
  <c r="CS68" i="4" s="1"/>
  <c r="CP68" i="4"/>
  <c r="CQ68" i="4" s="1"/>
  <c r="CN68" i="4"/>
  <c r="CO68" i="4" s="1"/>
  <c r="CL68" i="4"/>
  <c r="CM68" i="4" s="1"/>
  <c r="CJ68" i="4"/>
  <c r="CK68" i="4" s="1"/>
  <c r="CH68" i="4"/>
  <c r="CI68" i="4" s="1"/>
  <c r="CF68" i="4"/>
  <c r="CG68" i="4" s="1"/>
  <c r="CD68" i="4"/>
  <c r="CE68" i="4" s="1"/>
  <c r="CB68" i="4"/>
  <c r="CC68" i="4" s="1"/>
  <c r="CA68" i="4"/>
  <c r="DX67" i="4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BZ66" i="4"/>
  <c r="DX66" i="4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DF66" i="4"/>
  <c r="DG66" i="4" s="1"/>
  <c r="CX66" i="4"/>
  <c r="CY66" i="4" s="1"/>
  <c r="CP66" i="4"/>
  <c r="CQ66" i="4" s="1"/>
  <c r="CA66" i="4"/>
  <c r="DX65" i="4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DX64" i="4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DX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DX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DX59" i="4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DP59" i="4"/>
  <c r="DQ59" i="4" s="1"/>
  <c r="DL59" i="4"/>
  <c r="DM59" i="4" s="1"/>
  <c r="DH59" i="4"/>
  <c r="DI59" i="4" s="1"/>
  <c r="DD59" i="4"/>
  <c r="DE59" i="4" s="1"/>
  <c r="CZ59" i="4"/>
  <c r="DA59" i="4" s="1"/>
  <c r="CV59" i="4"/>
  <c r="CW59" i="4" s="1"/>
  <c r="CR59" i="4"/>
  <c r="CS59" i="4" s="1"/>
  <c r="CN59" i="4"/>
  <c r="CO59" i="4" s="1"/>
  <c r="CJ59" i="4"/>
  <c r="CK59" i="4" s="1"/>
  <c r="CF59" i="4"/>
  <c r="CG59" i="4" s="1"/>
  <c r="CB59" i="4"/>
  <c r="CC59" i="4" s="1"/>
  <c r="DX58" i="4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DX57" i="4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DX54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DX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DX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BZ51" i="4"/>
  <c r="DX51" i="4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DP51" i="4"/>
  <c r="DQ51" i="4" s="1"/>
  <c r="DN51" i="4"/>
  <c r="DO51" i="4" s="1"/>
  <c r="DL51" i="4"/>
  <c r="DM51" i="4" s="1"/>
  <c r="DJ51" i="4"/>
  <c r="DK51" i="4" s="1"/>
  <c r="DH51" i="4"/>
  <c r="DI51" i="4" s="1"/>
  <c r="DF51" i="4"/>
  <c r="DG51" i="4" s="1"/>
  <c r="DD51" i="4"/>
  <c r="DE51" i="4" s="1"/>
  <c r="DB51" i="4"/>
  <c r="DC51" i="4" s="1"/>
  <c r="CZ51" i="4"/>
  <c r="DA51" i="4" s="1"/>
  <c r="CX51" i="4"/>
  <c r="CY51" i="4" s="1"/>
  <c r="CV51" i="4"/>
  <c r="CW51" i="4" s="1"/>
  <c r="CT51" i="4"/>
  <c r="CU51" i="4" s="1"/>
  <c r="CR51" i="4"/>
  <c r="CS51" i="4" s="1"/>
  <c r="CP51" i="4"/>
  <c r="CQ51" i="4" s="1"/>
  <c r="CN51" i="4"/>
  <c r="CO51" i="4" s="1"/>
  <c r="CL51" i="4"/>
  <c r="CM51" i="4" s="1"/>
  <c r="CJ51" i="4"/>
  <c r="CK51" i="4" s="1"/>
  <c r="CH51" i="4"/>
  <c r="CI51" i="4" s="1"/>
  <c r="CF51" i="4"/>
  <c r="CG51" i="4" s="1"/>
  <c r="CD51" i="4"/>
  <c r="CE51" i="4" s="1"/>
  <c r="CB51" i="4"/>
  <c r="CC51" i="4" s="1"/>
  <c r="CA51" i="4"/>
  <c r="BZ50" i="4"/>
  <c r="DX50" i="4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DP50" i="4"/>
  <c r="DQ50" i="4" s="1"/>
  <c r="DN50" i="4"/>
  <c r="DO50" i="4" s="1"/>
  <c r="DL50" i="4"/>
  <c r="DM50" i="4" s="1"/>
  <c r="DJ50" i="4"/>
  <c r="DK50" i="4" s="1"/>
  <c r="DH50" i="4"/>
  <c r="DI50" i="4" s="1"/>
  <c r="DF50" i="4"/>
  <c r="DG50" i="4" s="1"/>
  <c r="DD50" i="4"/>
  <c r="DE50" i="4" s="1"/>
  <c r="DB50" i="4"/>
  <c r="DC50" i="4" s="1"/>
  <c r="CZ50" i="4"/>
  <c r="DA50" i="4" s="1"/>
  <c r="CX50" i="4"/>
  <c r="CY50" i="4" s="1"/>
  <c r="CV50" i="4"/>
  <c r="CW50" i="4" s="1"/>
  <c r="CT50" i="4"/>
  <c r="CU50" i="4" s="1"/>
  <c r="CR50" i="4"/>
  <c r="CS50" i="4" s="1"/>
  <c r="CP50" i="4"/>
  <c r="CQ50" i="4" s="1"/>
  <c r="CN50" i="4"/>
  <c r="CO50" i="4" s="1"/>
  <c r="CL50" i="4"/>
  <c r="CM50" i="4" s="1"/>
  <c r="CJ50" i="4"/>
  <c r="CK50" i="4" s="1"/>
  <c r="CH50" i="4"/>
  <c r="CI50" i="4" s="1"/>
  <c r="CF50" i="4"/>
  <c r="CG50" i="4" s="1"/>
  <c r="CD50" i="4"/>
  <c r="CE50" i="4" s="1"/>
  <c r="CB50" i="4"/>
  <c r="CC50" i="4" s="1"/>
  <c r="CA50" i="4"/>
  <c r="BZ49" i="4"/>
  <c r="DJ49" i="4" s="1"/>
  <c r="DK49" i="4" s="1"/>
  <c r="DX49" i="4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DF49" i="4"/>
  <c r="DG49" i="4" s="1"/>
  <c r="CX49" i="4"/>
  <c r="CY49" i="4" s="1"/>
  <c r="CP49" i="4"/>
  <c r="CQ49" i="4" s="1"/>
  <c r="CH49" i="4"/>
  <c r="CI49" i="4" s="1"/>
  <c r="CA49" i="4"/>
  <c r="DX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BZ47" i="4"/>
  <c r="DJ47" i="4" s="1"/>
  <c r="DK47" i="4" s="1"/>
  <c r="DX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DN47" i="4"/>
  <c r="DO47" i="4" s="1"/>
  <c r="DF47" i="4"/>
  <c r="DG47" i="4" s="1"/>
  <c r="CX47" i="4"/>
  <c r="CY47" i="4" s="1"/>
  <c r="CP47" i="4"/>
  <c r="CQ47" i="4" s="1"/>
  <c r="CH47" i="4"/>
  <c r="CI47" i="4" s="1"/>
  <c r="CA47" i="4"/>
  <c r="DX46" i="4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DX45" i="4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BZ43" i="4"/>
  <c r="DX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DP43" i="4"/>
  <c r="DQ43" i="4" s="1"/>
  <c r="DN43" i="4"/>
  <c r="DO43" i="4" s="1"/>
  <c r="DL43" i="4"/>
  <c r="DM43" i="4" s="1"/>
  <c r="DJ43" i="4"/>
  <c r="DK43" i="4" s="1"/>
  <c r="DH43" i="4"/>
  <c r="DI43" i="4" s="1"/>
  <c r="DF43" i="4"/>
  <c r="DG43" i="4" s="1"/>
  <c r="DD43" i="4"/>
  <c r="DE43" i="4" s="1"/>
  <c r="DB43" i="4"/>
  <c r="DC43" i="4" s="1"/>
  <c r="CZ43" i="4"/>
  <c r="DA43" i="4" s="1"/>
  <c r="CX43" i="4"/>
  <c r="CY43" i="4" s="1"/>
  <c r="CV43" i="4"/>
  <c r="CW43" i="4" s="1"/>
  <c r="CT43" i="4"/>
  <c r="CU43" i="4" s="1"/>
  <c r="CR43" i="4"/>
  <c r="CS43" i="4" s="1"/>
  <c r="CP43" i="4"/>
  <c r="CQ43" i="4" s="1"/>
  <c r="CN43" i="4"/>
  <c r="CO43" i="4" s="1"/>
  <c r="CL43" i="4"/>
  <c r="CM43" i="4" s="1"/>
  <c r="CJ43" i="4"/>
  <c r="CK43" i="4" s="1"/>
  <c r="CH43" i="4"/>
  <c r="CI43" i="4" s="1"/>
  <c r="CF43" i="4"/>
  <c r="CG43" i="4" s="1"/>
  <c r="CD43" i="4"/>
  <c r="CE43" i="4" s="1"/>
  <c r="CB43" i="4"/>
  <c r="CC43" i="4" s="1"/>
  <c r="CA43" i="4"/>
  <c r="BZ42" i="4"/>
  <c r="DJ42" i="4" s="1"/>
  <c r="DK42" i="4" s="1"/>
  <c r="DX42" i="4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CX42" i="4"/>
  <c r="CY42" i="4" s="1"/>
  <c r="CP42" i="4"/>
  <c r="CQ42" i="4" s="1"/>
  <c r="CH42" i="4"/>
  <c r="CI42" i="4" s="1"/>
  <c r="CA42" i="4"/>
  <c r="BZ41" i="4"/>
  <c r="DX41" i="4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DP41" i="4"/>
  <c r="DQ41" i="4" s="1"/>
  <c r="DN41" i="4"/>
  <c r="DO41" i="4" s="1"/>
  <c r="DL41" i="4"/>
  <c r="DM41" i="4" s="1"/>
  <c r="DJ41" i="4"/>
  <c r="DK41" i="4" s="1"/>
  <c r="DH41" i="4"/>
  <c r="DI41" i="4" s="1"/>
  <c r="DF41" i="4"/>
  <c r="DG41" i="4" s="1"/>
  <c r="DD41" i="4"/>
  <c r="DE41" i="4" s="1"/>
  <c r="DB41" i="4"/>
  <c r="DC41" i="4" s="1"/>
  <c r="CZ41" i="4"/>
  <c r="DA41" i="4" s="1"/>
  <c r="CX41" i="4"/>
  <c r="CY41" i="4" s="1"/>
  <c r="CV41" i="4"/>
  <c r="CW41" i="4" s="1"/>
  <c r="CT41" i="4"/>
  <c r="CU41" i="4" s="1"/>
  <c r="CR41" i="4"/>
  <c r="CS41" i="4" s="1"/>
  <c r="CP41" i="4"/>
  <c r="CQ41" i="4" s="1"/>
  <c r="CN41" i="4"/>
  <c r="CO41" i="4" s="1"/>
  <c r="CL41" i="4"/>
  <c r="CM41" i="4" s="1"/>
  <c r="CJ41" i="4"/>
  <c r="CK41" i="4" s="1"/>
  <c r="CH41" i="4"/>
  <c r="CI41" i="4" s="1"/>
  <c r="CF41" i="4"/>
  <c r="CG41" i="4" s="1"/>
  <c r="CD41" i="4"/>
  <c r="CE41" i="4" s="1"/>
  <c r="CB41" i="4"/>
  <c r="CC41" i="4" s="1"/>
  <c r="CA41" i="4"/>
  <c r="BZ40" i="4"/>
  <c r="DL40" i="4" s="1"/>
  <c r="DM40" i="4" s="1"/>
  <c r="DX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DN40" i="4"/>
  <c r="DO40" i="4" s="1"/>
  <c r="DF40" i="4"/>
  <c r="DG40" i="4" s="1"/>
  <c r="CX40" i="4"/>
  <c r="CY40" i="4" s="1"/>
  <c r="CP40" i="4"/>
  <c r="CQ40" i="4" s="1"/>
  <c r="CH40" i="4"/>
  <c r="CI40" i="4" s="1"/>
  <c r="CA40" i="4"/>
  <c r="DX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DX38" i="4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BZ37" i="4"/>
  <c r="DN37" i="4" s="1"/>
  <c r="DO37" i="4" s="1"/>
  <c r="DX37" i="4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DP37" i="4"/>
  <c r="DQ37" i="4" s="1"/>
  <c r="DL37" i="4"/>
  <c r="DM37" i="4" s="1"/>
  <c r="DH37" i="4"/>
  <c r="DI37" i="4" s="1"/>
  <c r="DD37" i="4"/>
  <c r="DE37" i="4" s="1"/>
  <c r="CZ37" i="4"/>
  <c r="DA37" i="4" s="1"/>
  <c r="CX37" i="4"/>
  <c r="CY37" i="4" s="1"/>
  <c r="CV37" i="4"/>
  <c r="CW37" i="4" s="1"/>
  <c r="CT37" i="4"/>
  <c r="CU37" i="4" s="1"/>
  <c r="CR37" i="4"/>
  <c r="CS37" i="4" s="1"/>
  <c r="CP37" i="4"/>
  <c r="CQ37" i="4" s="1"/>
  <c r="CN37" i="4"/>
  <c r="CO37" i="4" s="1"/>
  <c r="CL37" i="4"/>
  <c r="CM37" i="4" s="1"/>
  <c r="CJ37" i="4"/>
  <c r="CK37" i="4" s="1"/>
  <c r="CH37" i="4"/>
  <c r="CI37" i="4" s="1"/>
  <c r="CF37" i="4"/>
  <c r="CG37" i="4" s="1"/>
  <c r="CD37" i="4"/>
  <c r="CE37" i="4" s="1"/>
  <c r="CB37" i="4"/>
  <c r="CC37" i="4" s="1"/>
  <c r="CA37" i="4"/>
  <c r="DX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DX35" i="4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BZ34" i="4"/>
  <c r="DX34" i="4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DX31" i="4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DX28" i="4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DX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DX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DX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DX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DX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DX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DX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DX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DX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BF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H154" i="4"/>
  <c r="AV154" i="4" s="1"/>
  <c r="BF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H153" i="4"/>
  <c r="BF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AX153" i="4"/>
  <c r="AY153" i="4" s="1"/>
  <c r="H152" i="4"/>
  <c r="AX152" i="4" s="1"/>
  <c r="AY152" i="4" s="1"/>
  <c r="BF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H151" i="4"/>
  <c r="BF151" i="4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F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F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F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F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F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H143" i="4"/>
  <c r="BF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AX143" i="4"/>
  <c r="AY143" i="4" s="1"/>
  <c r="BF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H139" i="4"/>
  <c r="AX139" i="4" s="1"/>
  <c r="AY139" i="4" s="1"/>
  <c r="BF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F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F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F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F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F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F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H132" i="4"/>
  <c r="AX132" i="4" s="1"/>
  <c r="AY132" i="4" s="1"/>
  <c r="BF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H131" i="4"/>
  <c r="BF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AX131" i="4"/>
  <c r="AY131" i="4" s="1"/>
  <c r="BF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F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F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H125" i="4"/>
  <c r="BF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H124" i="4"/>
  <c r="BF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H123" i="4"/>
  <c r="BF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H122" i="4"/>
  <c r="AL122" i="4" s="1"/>
  <c r="AM122" i="4" s="1"/>
  <c r="BF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H121" i="4"/>
  <c r="BF121" i="4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H120" i="4"/>
  <c r="BF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H119" i="4"/>
  <c r="BF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H118" i="4"/>
  <c r="BF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H117" i="4"/>
  <c r="AR117" i="4" s="1"/>
  <c r="AS117" i="4" s="1"/>
  <c r="BF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H116" i="4"/>
  <c r="BF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F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F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F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F110" i="4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F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F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F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F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F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F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F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F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F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F100" i="4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F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F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F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F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F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F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H93" i="4"/>
  <c r="BF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AX93" i="4"/>
  <c r="AY93" i="4" s="1"/>
  <c r="H92" i="4"/>
  <c r="BF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AX92" i="4"/>
  <c r="BF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H88" i="4"/>
  <c r="AB88" i="4" s="1"/>
  <c r="AC88" i="4" s="1"/>
  <c r="BF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H87" i="4"/>
  <c r="BF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H86" i="4"/>
  <c r="BF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H85" i="4"/>
  <c r="AP85" i="4" s="1"/>
  <c r="AQ85" i="4" s="1"/>
  <c r="BF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H84" i="4"/>
  <c r="AV84" i="4" s="1"/>
  <c r="AW84" i="4" s="1"/>
  <c r="BF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H83" i="4"/>
  <c r="BF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F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H81" i="4"/>
  <c r="BF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H80" i="4"/>
  <c r="T80" i="4" s="1"/>
  <c r="U80" i="4" s="1"/>
  <c r="BF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H79" i="4"/>
  <c r="BF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H78" i="4"/>
  <c r="L78" i="4" s="1"/>
  <c r="M78" i="4" s="1"/>
  <c r="BF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H77" i="4"/>
  <c r="BF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H75" i="4"/>
  <c r="BF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H74" i="4"/>
  <c r="BF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H73" i="4"/>
  <c r="BF73" i="4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H72" i="4"/>
  <c r="AT72" i="4" s="1"/>
  <c r="AU72" i="4" s="1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H71" i="4"/>
  <c r="BF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H70" i="4"/>
  <c r="BF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H69" i="4"/>
  <c r="BF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H68" i="4"/>
  <c r="T68" i="4" s="1"/>
  <c r="U68" i="4" s="1"/>
  <c r="BF68" i="4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H67" i="4"/>
  <c r="BF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H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H65" i="4"/>
  <c r="BF65" i="4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F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H63" i="4"/>
  <c r="AN63" i="4" s="1"/>
  <c r="AO63" i="4" s="1"/>
  <c r="BF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F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H59" i="4"/>
  <c r="AX59" i="4" s="1"/>
  <c r="AY59" i="4" s="1"/>
  <c r="BF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H58" i="4"/>
  <c r="BF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AX58" i="4"/>
  <c r="AY58" i="4" s="1"/>
  <c r="BF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F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H53" i="4"/>
  <c r="AR53" i="4" s="1"/>
  <c r="AS53" i="4" s="1"/>
  <c r="BF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H52" i="4"/>
  <c r="AV52" i="4" s="1"/>
  <c r="AW52" i="4" s="1"/>
  <c r="BF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H51" i="4"/>
  <c r="BF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AX51" i="4"/>
  <c r="H50" i="4"/>
  <c r="BF50" i="4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AX50" i="4"/>
  <c r="H49" i="4"/>
  <c r="AN49" i="4" s="1"/>
  <c r="AO49" i="4" s="1"/>
  <c r="BF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H48" i="4"/>
  <c r="V48" i="4" s="1"/>
  <c r="W48" i="4" s="1"/>
  <c r="BF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H47" i="4"/>
  <c r="AR47" i="4" s="1"/>
  <c r="AS47" i="4" s="1"/>
  <c r="BF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H46" i="4"/>
  <c r="BF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AX46" i="4"/>
  <c r="BF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H43" i="4"/>
  <c r="BF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AX43" i="4"/>
  <c r="AY43" i="4" s="1"/>
  <c r="H42" i="4"/>
  <c r="AX42" i="4" s="1"/>
  <c r="AY42" i="4" s="1"/>
  <c r="BF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H41" i="4"/>
  <c r="AX41" i="4" s="1"/>
  <c r="AY41" i="4" s="1"/>
  <c r="BF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H40" i="4"/>
  <c r="BF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AX40" i="4"/>
  <c r="H39" i="4"/>
  <c r="AX39" i="4" s="1"/>
  <c r="AY39" i="4" s="1"/>
  <c r="BF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H38" i="4"/>
  <c r="AL38" i="4" s="1"/>
  <c r="AM38" i="4" s="1"/>
  <c r="BF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H37" i="4"/>
  <c r="AD37" i="4" s="1"/>
  <c r="AE37" i="4" s="1"/>
  <c r="BF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H36" i="4"/>
  <c r="BF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AX36" i="4"/>
  <c r="AY36" i="4" s="1"/>
  <c r="BF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H34" i="4"/>
  <c r="AX34" i="4" s="1"/>
  <c r="AY34" i="4" s="1"/>
  <c r="BF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H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H18" i="4"/>
  <c r="AN18" i="4" s="1"/>
  <c r="AO18" i="4" s="1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AV153" i="4"/>
  <c r="AV152" i="4"/>
  <c r="AV143" i="4"/>
  <c r="AW143" i="4" s="1"/>
  <c r="AV139" i="4"/>
  <c r="AV131" i="4"/>
  <c r="AV123" i="4"/>
  <c r="AW123" i="4" s="1"/>
  <c r="AV119" i="4"/>
  <c r="AW119" i="4" s="1"/>
  <c r="AV93" i="4"/>
  <c r="AV92" i="4"/>
  <c r="AV72" i="4"/>
  <c r="AV66" i="4"/>
  <c r="AV59" i="4"/>
  <c r="AV58" i="4"/>
  <c r="AV51" i="4"/>
  <c r="AV50" i="4"/>
  <c r="AV49" i="4"/>
  <c r="AV46" i="4"/>
  <c r="AW46" i="4" s="1"/>
  <c r="AV43" i="4"/>
  <c r="AV42" i="4"/>
  <c r="AW42" i="4" s="1"/>
  <c r="AV41" i="4"/>
  <c r="AW41" i="4" s="1"/>
  <c r="AV40" i="4"/>
  <c r="AV39" i="4"/>
  <c r="AV36" i="4"/>
  <c r="AV34" i="4"/>
  <c r="AV31" i="4"/>
  <c r="AW31" i="4" s="1"/>
  <c r="AT153" i="4"/>
  <c r="AT152" i="4"/>
  <c r="AU152" i="4" s="1"/>
  <c r="AT143" i="4"/>
  <c r="AT139" i="4"/>
  <c r="AT131" i="4"/>
  <c r="AT122" i="4"/>
  <c r="AU122" i="4" s="1"/>
  <c r="AT118" i="4"/>
  <c r="AT93" i="4"/>
  <c r="AT92" i="4"/>
  <c r="AU92" i="4" s="1"/>
  <c r="AT86" i="4"/>
  <c r="AU86" i="4" s="1"/>
  <c r="AT80" i="4"/>
  <c r="AU80" i="4" s="1"/>
  <c r="AT70" i="4"/>
  <c r="AU70" i="4" s="1"/>
  <c r="AT59" i="4"/>
  <c r="AT58" i="4"/>
  <c r="AU58" i="4" s="1"/>
  <c r="AT51" i="4"/>
  <c r="AT50" i="4"/>
  <c r="AU50" i="4" s="1"/>
  <c r="AT49" i="4"/>
  <c r="AU49" i="4" s="1"/>
  <c r="AT46" i="4"/>
  <c r="AU46" i="4" s="1"/>
  <c r="AT43" i="4"/>
  <c r="AT42" i="4"/>
  <c r="AT40" i="4"/>
  <c r="AT39" i="4"/>
  <c r="AU39" i="4" s="1"/>
  <c r="AT38" i="4"/>
  <c r="AU38" i="4" s="1"/>
  <c r="AT36" i="4"/>
  <c r="AT34" i="4"/>
  <c r="AR154" i="4"/>
  <c r="AS154" i="4" s="1"/>
  <c r="AR153" i="4"/>
  <c r="AR152" i="4"/>
  <c r="AR143" i="4"/>
  <c r="AS143" i="4" s="1"/>
  <c r="AR139" i="4"/>
  <c r="AS139" i="4" s="1"/>
  <c r="AR131" i="4"/>
  <c r="AR93" i="4"/>
  <c r="AR92" i="4"/>
  <c r="AR87" i="4"/>
  <c r="AS87" i="4" s="1"/>
  <c r="AR81" i="4"/>
  <c r="AR79" i="4"/>
  <c r="AS79" i="4" s="1"/>
  <c r="AR77" i="4"/>
  <c r="AS77" i="4" s="1"/>
  <c r="AR73" i="4"/>
  <c r="AR71" i="4"/>
  <c r="AR69" i="4"/>
  <c r="AS69" i="4" s="1"/>
  <c r="AR65" i="4"/>
  <c r="AS65" i="4" s="1"/>
  <c r="AR63" i="4"/>
  <c r="AS63" i="4" s="1"/>
  <c r="AR59" i="4"/>
  <c r="AR58" i="4"/>
  <c r="AR52" i="4"/>
  <c r="AR51" i="4"/>
  <c r="AS51" i="4" s="1"/>
  <c r="AR50" i="4"/>
  <c r="AR46" i="4"/>
  <c r="AR43" i="4"/>
  <c r="AS43" i="4" s="1"/>
  <c r="AR42" i="4"/>
  <c r="AS42" i="4" s="1"/>
  <c r="AR40" i="4"/>
  <c r="AS40" i="4" s="1"/>
  <c r="AR39" i="4"/>
  <c r="AS39" i="4" s="1"/>
  <c r="AR38" i="4"/>
  <c r="AS38" i="4" s="1"/>
  <c r="AR37" i="4"/>
  <c r="AS37" i="4" s="1"/>
  <c r="AR36" i="4"/>
  <c r="AR34" i="4"/>
  <c r="AS34" i="4" s="1"/>
  <c r="AR31" i="4"/>
  <c r="AS31" i="4" s="1"/>
  <c r="AP153" i="4"/>
  <c r="AP152" i="4"/>
  <c r="AP143" i="4"/>
  <c r="AP139" i="4"/>
  <c r="AP131" i="4"/>
  <c r="AP124" i="4"/>
  <c r="AQ124" i="4" s="1"/>
  <c r="AP120" i="4"/>
  <c r="AQ120" i="4" s="1"/>
  <c r="AP116" i="4"/>
  <c r="AQ116" i="4" s="1"/>
  <c r="AP93" i="4"/>
  <c r="AQ93" i="4" s="1"/>
  <c r="AP92" i="4"/>
  <c r="AP81" i="4"/>
  <c r="AQ81" i="4" s="1"/>
  <c r="AP77" i="4"/>
  <c r="AP73" i="4"/>
  <c r="AP69" i="4"/>
  <c r="AP65" i="4"/>
  <c r="AP59" i="4"/>
  <c r="AP58" i="4"/>
  <c r="AP51" i="4"/>
  <c r="AP50" i="4"/>
  <c r="AP48" i="4"/>
  <c r="AQ48" i="4" s="1"/>
  <c r="AP47" i="4"/>
  <c r="AP46" i="4"/>
  <c r="AP43" i="4"/>
  <c r="AQ43" i="4" s="1"/>
  <c r="AP42" i="4"/>
  <c r="AP40" i="4"/>
  <c r="AP39" i="4"/>
  <c r="AQ39" i="4" s="1"/>
  <c r="AP36" i="4"/>
  <c r="AP34" i="4"/>
  <c r="AQ34" i="4" s="1"/>
  <c r="AN153" i="4"/>
  <c r="AO153" i="4" s="1"/>
  <c r="AN152" i="4"/>
  <c r="AO152" i="4" s="1"/>
  <c r="AN143" i="4"/>
  <c r="AO143" i="4" s="1"/>
  <c r="AN139" i="4"/>
  <c r="AN131" i="4"/>
  <c r="AN123" i="4"/>
  <c r="AO123" i="4" s="1"/>
  <c r="AN119" i="4"/>
  <c r="AO119" i="4" s="1"/>
  <c r="AN93" i="4"/>
  <c r="AN92" i="4"/>
  <c r="AO92" i="4" s="1"/>
  <c r="AN83" i="4"/>
  <c r="AO83" i="4" s="1"/>
  <c r="AN81" i="4"/>
  <c r="AN77" i="4"/>
  <c r="AO77" i="4" s="1"/>
  <c r="AN75" i="4"/>
  <c r="AO75" i="4" s="1"/>
  <c r="AN73" i="4"/>
  <c r="AN69" i="4"/>
  <c r="AO69" i="4" s="1"/>
  <c r="AN67" i="4"/>
  <c r="AO67" i="4" s="1"/>
  <c r="AN65" i="4"/>
  <c r="AN59" i="4"/>
  <c r="AN58" i="4"/>
  <c r="AN52" i="4"/>
  <c r="AN51" i="4"/>
  <c r="AO51" i="4" s="1"/>
  <c r="AN50" i="4"/>
  <c r="AN48" i="4"/>
  <c r="AO48" i="4" s="1"/>
  <c r="AN46" i="4"/>
  <c r="AN43" i="4"/>
  <c r="AN42" i="4"/>
  <c r="AO42" i="4" s="1"/>
  <c r="AN41" i="4"/>
  <c r="AO41" i="4" s="1"/>
  <c r="AN40" i="4"/>
  <c r="AO40" i="4" s="1"/>
  <c r="AN39" i="4"/>
  <c r="AN37" i="4"/>
  <c r="AN36" i="4"/>
  <c r="AN34" i="4"/>
  <c r="AL154" i="4"/>
  <c r="AM154" i="4" s="1"/>
  <c r="AL153" i="4"/>
  <c r="AL152" i="4"/>
  <c r="AL143" i="4"/>
  <c r="AM143" i="4" s="1"/>
  <c r="AL139" i="4"/>
  <c r="AM139" i="4" s="1"/>
  <c r="AL132" i="4"/>
  <c r="AM132" i="4" s="1"/>
  <c r="AL131" i="4"/>
  <c r="AM131" i="4" s="1"/>
  <c r="AL118" i="4"/>
  <c r="AL93" i="4"/>
  <c r="AL92" i="4"/>
  <c r="AM92" i="4" s="1"/>
  <c r="AL81" i="4"/>
  <c r="AL77" i="4"/>
  <c r="AM77" i="4" s="1"/>
  <c r="AL73" i="4"/>
  <c r="AL69" i="4"/>
  <c r="AL65" i="4"/>
  <c r="AL59" i="4"/>
  <c r="AL58" i="4"/>
  <c r="AM58" i="4" s="1"/>
  <c r="AL52" i="4"/>
  <c r="AM52" i="4" s="1"/>
  <c r="AL51" i="4"/>
  <c r="AL50" i="4"/>
  <c r="AL47" i="4"/>
  <c r="AM47" i="4" s="1"/>
  <c r="AL46" i="4"/>
  <c r="AL43" i="4"/>
  <c r="AL42" i="4"/>
  <c r="AL40" i="4"/>
  <c r="AL39" i="4"/>
  <c r="AL36" i="4"/>
  <c r="AL34" i="4"/>
  <c r="AL31" i="4"/>
  <c r="AM31" i="4" s="1"/>
  <c r="AJ153" i="4"/>
  <c r="AJ152" i="4"/>
  <c r="AJ143" i="4"/>
  <c r="AK143" i="4" s="1"/>
  <c r="AJ139" i="4"/>
  <c r="AK139" i="4" s="1"/>
  <c r="AJ132" i="4"/>
  <c r="AK132" i="4" s="1"/>
  <c r="AJ131" i="4"/>
  <c r="AJ121" i="4"/>
  <c r="AK121" i="4" s="1"/>
  <c r="AJ93" i="4"/>
  <c r="AK93" i="4" s="1"/>
  <c r="AJ92" i="4"/>
  <c r="AJ83" i="4"/>
  <c r="AK83" i="4" s="1"/>
  <c r="AJ81" i="4"/>
  <c r="AK81" i="4" s="1"/>
  <c r="AJ77" i="4"/>
  <c r="AJ75" i="4"/>
  <c r="AK75" i="4" s="1"/>
  <c r="AJ73" i="4"/>
  <c r="AK73" i="4" s="1"/>
  <c r="AJ69" i="4"/>
  <c r="AJ65" i="4"/>
  <c r="AK65" i="4" s="1"/>
  <c r="AJ59" i="4"/>
  <c r="AJ58" i="4"/>
  <c r="AJ52" i="4"/>
  <c r="AJ51" i="4"/>
  <c r="AJ50" i="4"/>
  <c r="AJ46" i="4"/>
  <c r="AJ43" i="4"/>
  <c r="AK43" i="4" s="1"/>
  <c r="AJ42" i="4"/>
  <c r="AJ40" i="4"/>
  <c r="AK40" i="4" s="1"/>
  <c r="AJ39" i="4"/>
  <c r="AK39" i="4" s="1"/>
  <c r="AJ37" i="4"/>
  <c r="AK37" i="4" s="1"/>
  <c r="AJ36" i="4"/>
  <c r="AJ34" i="4"/>
  <c r="AK34" i="4" s="1"/>
  <c r="AH153" i="4"/>
  <c r="AI153" i="4" s="1"/>
  <c r="AH152" i="4"/>
  <c r="AH143" i="4"/>
  <c r="AH139" i="4"/>
  <c r="AI139" i="4" s="1"/>
  <c r="AH132" i="4"/>
  <c r="AH131" i="4"/>
  <c r="AI131" i="4" s="1"/>
  <c r="AH124" i="4"/>
  <c r="AI124" i="4" s="1"/>
  <c r="AH120" i="4"/>
  <c r="AI120" i="4" s="1"/>
  <c r="AH116" i="4"/>
  <c r="AH93" i="4"/>
  <c r="AI93" i="4" s="1"/>
  <c r="AH92" i="4"/>
  <c r="AH81" i="4"/>
  <c r="AH77" i="4"/>
  <c r="AI77" i="4" s="1"/>
  <c r="AH73" i="4"/>
  <c r="AH69" i="4"/>
  <c r="AH65" i="4"/>
  <c r="AH59" i="4"/>
  <c r="AH58" i="4"/>
  <c r="AI58" i="4" s="1"/>
  <c r="AH52" i="4"/>
  <c r="AH51" i="4"/>
  <c r="AH50" i="4"/>
  <c r="AH49" i="4"/>
  <c r="AI49" i="4" s="1"/>
  <c r="AH48" i="4"/>
  <c r="AI48" i="4" s="1"/>
  <c r="AH46" i="4"/>
  <c r="AI46" i="4" s="1"/>
  <c r="AH43" i="4"/>
  <c r="AI43" i="4" s="1"/>
  <c r="AH42" i="4"/>
  <c r="AH40" i="4"/>
  <c r="AH39" i="4"/>
  <c r="AI39" i="4" s="1"/>
  <c r="AH36" i="4"/>
  <c r="AH34" i="4"/>
  <c r="AI34" i="4" s="1"/>
  <c r="AF153" i="4"/>
  <c r="AF152" i="4"/>
  <c r="AG152" i="4" s="1"/>
  <c r="AF143" i="4"/>
  <c r="AF139" i="4"/>
  <c r="AF131" i="4"/>
  <c r="AF123" i="4"/>
  <c r="AG123" i="4" s="1"/>
  <c r="AF119" i="4"/>
  <c r="AG119" i="4" s="1"/>
  <c r="AF93" i="4"/>
  <c r="AG93" i="4" s="1"/>
  <c r="AF92" i="4"/>
  <c r="AF87" i="4"/>
  <c r="AG87" i="4" s="1"/>
  <c r="AF85" i="4"/>
  <c r="AG85" i="4" s="1"/>
  <c r="AF81" i="4"/>
  <c r="AG81" i="4" s="1"/>
  <c r="AF79" i="4"/>
  <c r="AG79" i="4" s="1"/>
  <c r="AF77" i="4"/>
  <c r="AF73" i="4"/>
  <c r="AG73" i="4" s="1"/>
  <c r="AF69" i="4"/>
  <c r="AF65" i="4"/>
  <c r="AG65" i="4" s="1"/>
  <c r="AF63" i="4"/>
  <c r="AG63" i="4" s="1"/>
  <c r="AF59" i="4"/>
  <c r="AG59" i="4" s="1"/>
  <c r="AF58" i="4"/>
  <c r="AF52" i="4"/>
  <c r="AF51" i="4"/>
  <c r="AG51" i="4" s="1"/>
  <c r="AF50" i="4"/>
  <c r="AF48" i="4"/>
  <c r="AG48" i="4" s="1"/>
  <c r="AF47" i="4"/>
  <c r="AG47" i="4" s="1"/>
  <c r="AF46" i="4"/>
  <c r="AF43" i="4"/>
  <c r="AF42" i="4"/>
  <c r="AG42" i="4" s="1"/>
  <c r="AF40" i="4"/>
  <c r="AF39" i="4"/>
  <c r="AF38" i="4"/>
  <c r="AG38" i="4" s="1"/>
  <c r="AF36" i="4"/>
  <c r="AF34" i="4"/>
  <c r="AF31" i="4"/>
  <c r="AG31" i="4" s="1"/>
  <c r="AD154" i="4"/>
  <c r="AE154" i="4" s="1"/>
  <c r="AD153" i="4"/>
  <c r="AD152" i="4"/>
  <c r="AD143" i="4"/>
  <c r="AE143" i="4" s="1"/>
  <c r="AD139" i="4"/>
  <c r="AD132" i="4"/>
  <c r="AE132" i="4" s="1"/>
  <c r="AD131" i="4"/>
  <c r="AE131" i="4" s="1"/>
  <c r="AD118" i="4"/>
  <c r="AD93" i="4"/>
  <c r="AD92" i="4"/>
  <c r="AD85" i="4"/>
  <c r="AE85" i="4" s="1"/>
  <c r="AD83" i="4"/>
  <c r="AE83" i="4" s="1"/>
  <c r="AD81" i="4"/>
  <c r="AD77" i="4"/>
  <c r="AD75" i="4"/>
  <c r="AD73" i="4"/>
  <c r="AD69" i="4"/>
  <c r="AD65" i="4"/>
  <c r="AD59" i="4"/>
  <c r="AD58" i="4"/>
  <c r="AD52" i="4"/>
  <c r="AD51" i="4"/>
  <c r="AD50" i="4"/>
  <c r="AE50" i="4" s="1"/>
  <c r="AD46" i="4"/>
  <c r="AE46" i="4" s="1"/>
  <c r="AD43" i="4"/>
  <c r="AD42" i="4"/>
  <c r="AE42" i="4" s="1"/>
  <c r="AD40" i="4"/>
  <c r="AD39" i="4"/>
  <c r="AD36" i="4"/>
  <c r="AD34" i="4"/>
  <c r="AB153" i="4"/>
  <c r="AC153" i="4" s="1"/>
  <c r="AB152" i="4"/>
  <c r="AB143" i="4"/>
  <c r="AB139" i="4"/>
  <c r="AB131" i="4"/>
  <c r="AB93" i="4"/>
  <c r="AB92" i="4"/>
  <c r="AB84" i="4"/>
  <c r="AB81" i="4"/>
  <c r="AC81" i="4" s="1"/>
  <c r="AB78" i="4"/>
  <c r="AC78" i="4" s="1"/>
  <c r="AB77" i="4"/>
  <c r="AB73" i="4"/>
  <c r="AC73" i="4" s="1"/>
  <c r="AB70" i="4"/>
  <c r="AC70" i="4" s="1"/>
  <c r="AB69" i="4"/>
  <c r="AB65" i="4"/>
  <c r="AC65" i="4" s="1"/>
  <c r="AB59" i="4"/>
  <c r="AB58" i="4"/>
  <c r="AB52" i="4"/>
  <c r="AC52" i="4" s="1"/>
  <c r="AB51" i="4"/>
  <c r="AB50" i="4"/>
  <c r="AB48" i="4"/>
  <c r="AC48" i="4" s="1"/>
  <c r="AB46" i="4"/>
  <c r="AB43" i="4"/>
  <c r="AC43" i="4" s="1"/>
  <c r="AB42" i="4"/>
  <c r="AC42" i="4" s="1"/>
  <c r="AB41" i="4"/>
  <c r="AC41" i="4" s="1"/>
  <c r="AB40" i="4"/>
  <c r="AC40" i="4" s="1"/>
  <c r="AB39" i="4"/>
  <c r="AB38" i="4"/>
  <c r="AB36" i="4"/>
  <c r="AC36" i="4" s="1"/>
  <c r="AB34" i="4"/>
  <c r="Z154" i="4"/>
  <c r="AA154" i="4" s="1"/>
  <c r="Z153" i="4"/>
  <c r="Z152" i="4"/>
  <c r="Z143" i="4"/>
  <c r="AA143" i="4" s="1"/>
  <c r="Z139" i="4"/>
  <c r="Z131" i="4"/>
  <c r="Z124" i="4"/>
  <c r="AA124" i="4" s="1"/>
  <c r="Z120" i="4"/>
  <c r="AA120" i="4" s="1"/>
  <c r="Z116" i="4"/>
  <c r="Z93" i="4"/>
  <c r="Z92" i="4"/>
  <c r="Z86" i="4"/>
  <c r="AA86" i="4" s="1"/>
  <c r="Z83" i="4"/>
  <c r="AA83" i="4" s="1"/>
  <c r="Z81" i="4"/>
  <c r="Z77" i="4"/>
  <c r="Z73" i="4"/>
  <c r="Z70" i="4"/>
  <c r="AA70" i="4" s="1"/>
  <c r="Z69" i="4"/>
  <c r="Z65" i="4"/>
  <c r="Z63" i="4"/>
  <c r="AA63" i="4" s="1"/>
  <c r="Z59" i="4"/>
  <c r="Z58" i="4"/>
  <c r="Z52" i="4"/>
  <c r="Z51" i="4"/>
  <c r="Z50" i="4"/>
  <c r="AA50" i="4" s="1"/>
  <c r="Z49" i="4"/>
  <c r="AA49" i="4" s="1"/>
  <c r="Z47" i="4"/>
  <c r="AA47" i="4" s="1"/>
  <c r="Z46" i="4"/>
  <c r="AA46" i="4" s="1"/>
  <c r="Z43" i="4"/>
  <c r="Z42" i="4"/>
  <c r="Z40" i="4"/>
  <c r="AA40" i="4" s="1"/>
  <c r="Z39" i="4"/>
  <c r="Z36" i="4"/>
  <c r="Z34" i="4"/>
  <c r="X154" i="4"/>
  <c r="Y154" i="4" s="1"/>
  <c r="X153" i="4"/>
  <c r="X152" i="4"/>
  <c r="X143" i="4"/>
  <c r="Y143" i="4" s="1"/>
  <c r="X139" i="4"/>
  <c r="X131" i="4"/>
  <c r="X123" i="4"/>
  <c r="Y123" i="4" s="1"/>
  <c r="X119" i="4"/>
  <c r="Y119" i="4" s="1"/>
  <c r="X93" i="4"/>
  <c r="Y93" i="4" s="1"/>
  <c r="X92" i="4"/>
  <c r="X86" i="4"/>
  <c r="X81" i="4"/>
  <c r="Y81" i="4" s="1"/>
  <c r="X77" i="4"/>
  <c r="X73" i="4"/>
  <c r="Y73" i="4" s="1"/>
  <c r="X70" i="4"/>
  <c r="X69" i="4"/>
  <c r="X65" i="4"/>
  <c r="Y65" i="4" s="1"/>
  <c r="X59" i="4"/>
  <c r="X58" i="4"/>
  <c r="X52" i="4"/>
  <c r="Y52" i="4" s="1"/>
  <c r="X51" i="4"/>
  <c r="X50" i="4"/>
  <c r="X46" i="4"/>
  <c r="X43" i="4"/>
  <c r="X42" i="4"/>
  <c r="X40" i="4"/>
  <c r="Y40" i="4" s="1"/>
  <c r="X39" i="4"/>
  <c r="Y39" i="4" s="1"/>
  <c r="X36" i="4"/>
  <c r="Y36" i="4" s="1"/>
  <c r="X34" i="4"/>
  <c r="Y34" i="4" s="1"/>
  <c r="V153" i="4"/>
  <c r="W153" i="4" s="1"/>
  <c r="V152" i="4"/>
  <c r="V143" i="4"/>
  <c r="V139" i="4"/>
  <c r="V131" i="4"/>
  <c r="V118" i="4"/>
  <c r="V93" i="4"/>
  <c r="W93" i="4" s="1"/>
  <c r="V92" i="4"/>
  <c r="V85" i="4"/>
  <c r="W85" i="4" s="1"/>
  <c r="V83" i="4"/>
  <c r="W83" i="4" s="1"/>
  <c r="V81" i="4"/>
  <c r="V77" i="4"/>
  <c r="V73" i="4"/>
  <c r="V69" i="4"/>
  <c r="V65" i="4"/>
  <c r="V59" i="4"/>
  <c r="V58" i="4"/>
  <c r="W58" i="4" s="1"/>
  <c r="V52" i="4"/>
  <c r="V51" i="4"/>
  <c r="V50" i="4"/>
  <c r="W50" i="4" s="1"/>
  <c r="V46" i="4"/>
  <c r="W46" i="4" s="1"/>
  <c r="V43" i="4"/>
  <c r="V42" i="4"/>
  <c r="V40" i="4"/>
  <c r="V39" i="4"/>
  <c r="V36" i="4"/>
  <c r="V34" i="4"/>
  <c r="V18" i="4"/>
  <c r="W18" i="4" s="1"/>
  <c r="T153" i="4"/>
  <c r="T152" i="4"/>
  <c r="U152" i="4" s="1"/>
  <c r="T143" i="4"/>
  <c r="T139" i="4"/>
  <c r="T131" i="4"/>
  <c r="T121" i="4"/>
  <c r="U121" i="4" s="1"/>
  <c r="T93" i="4"/>
  <c r="T92" i="4"/>
  <c r="U92" i="4" s="1"/>
  <c r="T81" i="4"/>
  <c r="U81" i="4" s="1"/>
  <c r="T77" i="4"/>
  <c r="U77" i="4" s="1"/>
  <c r="T73" i="4"/>
  <c r="U73" i="4" s="1"/>
  <c r="T69" i="4"/>
  <c r="U69" i="4" s="1"/>
  <c r="T65" i="4"/>
  <c r="U65" i="4" s="1"/>
  <c r="T59" i="4"/>
  <c r="T58" i="4"/>
  <c r="T52" i="4"/>
  <c r="U52" i="4" s="1"/>
  <c r="T51" i="4"/>
  <c r="T50" i="4"/>
  <c r="T49" i="4"/>
  <c r="U49" i="4" s="1"/>
  <c r="T46" i="4"/>
  <c r="U46" i="4" s="1"/>
  <c r="T43" i="4"/>
  <c r="T42" i="4"/>
  <c r="U42" i="4" s="1"/>
  <c r="T40" i="4"/>
  <c r="U40" i="4" s="1"/>
  <c r="T39" i="4"/>
  <c r="T36" i="4"/>
  <c r="U36" i="4" s="1"/>
  <c r="T34" i="4"/>
  <c r="U34" i="4" s="1"/>
  <c r="R154" i="4"/>
  <c r="S154" i="4" s="1"/>
  <c r="R153" i="4"/>
  <c r="R152" i="4"/>
  <c r="R143" i="4"/>
  <c r="S143" i="4" s="1"/>
  <c r="R139" i="4"/>
  <c r="R131" i="4"/>
  <c r="R124" i="4"/>
  <c r="S124" i="4" s="1"/>
  <c r="R120" i="4"/>
  <c r="S120" i="4" s="1"/>
  <c r="R116" i="4"/>
  <c r="S116" i="4" s="1"/>
  <c r="R93" i="4"/>
  <c r="R92" i="4"/>
  <c r="R83" i="4"/>
  <c r="S83" i="4" s="1"/>
  <c r="R81" i="4"/>
  <c r="R77" i="4"/>
  <c r="R73" i="4"/>
  <c r="R69" i="4"/>
  <c r="R67" i="4"/>
  <c r="R65" i="4"/>
  <c r="R59" i="4"/>
  <c r="R58" i="4"/>
  <c r="S58" i="4" s="1"/>
  <c r="R52" i="4"/>
  <c r="S52" i="4" s="1"/>
  <c r="R51" i="4"/>
  <c r="S51" i="4" s="1"/>
  <c r="R50" i="4"/>
  <c r="R47" i="4"/>
  <c r="S47" i="4" s="1"/>
  <c r="R46" i="4"/>
  <c r="R43" i="4"/>
  <c r="R42" i="4"/>
  <c r="S42" i="4" s="1"/>
  <c r="R40" i="4"/>
  <c r="R39" i="4"/>
  <c r="R36" i="4"/>
  <c r="R34" i="4"/>
  <c r="P153" i="4"/>
  <c r="P152" i="4"/>
  <c r="P143" i="4"/>
  <c r="P139" i="4"/>
  <c r="P131" i="4"/>
  <c r="P123" i="4"/>
  <c r="Q123" i="4" s="1"/>
  <c r="P119" i="4"/>
  <c r="Q119" i="4" s="1"/>
  <c r="P93" i="4"/>
  <c r="P92" i="4"/>
  <c r="Q92" i="4" s="1"/>
  <c r="P81" i="4"/>
  <c r="Q81" i="4" s="1"/>
  <c r="P77" i="4"/>
  <c r="Q77" i="4" s="1"/>
  <c r="P73" i="4"/>
  <c r="Q73" i="4" s="1"/>
  <c r="P69" i="4"/>
  <c r="Q69" i="4" s="1"/>
  <c r="P65" i="4"/>
  <c r="Q65" i="4" s="1"/>
  <c r="P63" i="4"/>
  <c r="Q63" i="4" s="1"/>
  <c r="P59" i="4"/>
  <c r="Q59" i="4" s="1"/>
  <c r="P58" i="4"/>
  <c r="P52" i="4"/>
  <c r="P51" i="4"/>
  <c r="P50" i="4"/>
  <c r="P49" i="4"/>
  <c r="Q49" i="4" s="1"/>
  <c r="P47" i="4"/>
  <c r="Q47" i="4" s="1"/>
  <c r="P46" i="4"/>
  <c r="P43" i="4"/>
  <c r="P42" i="4"/>
  <c r="P41" i="4"/>
  <c r="Q41" i="4" s="1"/>
  <c r="P40" i="4"/>
  <c r="P39" i="4"/>
  <c r="P37" i="4"/>
  <c r="Q37" i="4" s="1"/>
  <c r="P36" i="4"/>
  <c r="P34" i="4"/>
  <c r="N153" i="4"/>
  <c r="N152" i="4"/>
  <c r="O152" i="4" s="1"/>
  <c r="N143" i="4"/>
  <c r="O143" i="4" s="1"/>
  <c r="N139" i="4"/>
  <c r="N131" i="4"/>
  <c r="N122" i="4"/>
  <c r="O122" i="4" s="1"/>
  <c r="N118" i="4"/>
  <c r="N93" i="4"/>
  <c r="O93" i="4" s="1"/>
  <c r="N92" i="4"/>
  <c r="N81" i="4"/>
  <c r="O81" i="4" s="1"/>
  <c r="N77" i="4"/>
  <c r="N73" i="4"/>
  <c r="N69" i="4"/>
  <c r="N65" i="4"/>
  <c r="O65" i="4" s="1"/>
  <c r="N59" i="4"/>
  <c r="N58" i="4"/>
  <c r="N52" i="4"/>
  <c r="O52" i="4" s="1"/>
  <c r="N51" i="4"/>
  <c r="N50" i="4"/>
  <c r="N49" i="4"/>
  <c r="O49" i="4" s="1"/>
  <c r="N46" i="4"/>
  <c r="O46" i="4" s="1"/>
  <c r="N43" i="4"/>
  <c r="O43" i="4" s="1"/>
  <c r="N42" i="4"/>
  <c r="N40" i="4"/>
  <c r="N39" i="4"/>
  <c r="O39" i="4" s="1"/>
  <c r="N36" i="4"/>
  <c r="O36" i="4" s="1"/>
  <c r="N34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X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DX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DX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DX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BF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F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AW154" i="4"/>
  <c r="J154" i="4"/>
  <c r="K154" i="4" s="1"/>
  <c r="AW153" i="4"/>
  <c r="AU153" i="4"/>
  <c r="AS153" i="4"/>
  <c r="AQ153" i="4"/>
  <c r="AM153" i="4"/>
  <c r="AK153" i="4"/>
  <c r="AG153" i="4"/>
  <c r="AE153" i="4"/>
  <c r="AA153" i="4"/>
  <c r="Y153" i="4"/>
  <c r="U153" i="4"/>
  <c r="S153" i="4"/>
  <c r="Q153" i="4"/>
  <c r="O153" i="4"/>
  <c r="L153" i="4"/>
  <c r="M153" i="4" s="1"/>
  <c r="J153" i="4"/>
  <c r="K153" i="4" s="1"/>
  <c r="AW152" i="4"/>
  <c r="AS152" i="4"/>
  <c r="AQ152" i="4"/>
  <c r="AM152" i="4"/>
  <c r="AK152" i="4"/>
  <c r="AI152" i="4"/>
  <c r="AE152" i="4"/>
  <c r="AC152" i="4"/>
  <c r="AA152" i="4"/>
  <c r="Y152" i="4"/>
  <c r="W152" i="4"/>
  <c r="S152" i="4"/>
  <c r="Q152" i="4"/>
  <c r="L152" i="4"/>
  <c r="M152" i="4" s="1"/>
  <c r="J152" i="4"/>
  <c r="K152" i="4" s="1"/>
  <c r="AU143" i="4"/>
  <c r="AQ143" i="4"/>
  <c r="AI143" i="4"/>
  <c r="AG143" i="4"/>
  <c r="AC143" i="4"/>
  <c r="W143" i="4"/>
  <c r="U143" i="4"/>
  <c r="Q143" i="4"/>
  <c r="L143" i="4"/>
  <c r="M143" i="4" s="1"/>
  <c r="J143" i="4"/>
  <c r="K143" i="4" s="1"/>
  <c r="AW139" i="4"/>
  <c r="AU139" i="4"/>
  <c r="AQ139" i="4"/>
  <c r="AO139" i="4"/>
  <c r="AG139" i="4"/>
  <c r="AE139" i="4"/>
  <c r="AC139" i="4"/>
  <c r="AA139" i="4"/>
  <c r="Y139" i="4"/>
  <c r="W139" i="4"/>
  <c r="U139" i="4"/>
  <c r="S139" i="4"/>
  <c r="Q139" i="4"/>
  <c r="O139" i="4"/>
  <c r="L139" i="4"/>
  <c r="M139" i="4" s="1"/>
  <c r="J139" i="4"/>
  <c r="K139" i="4" s="1"/>
  <c r="AI132" i="4"/>
  <c r="J132" i="4"/>
  <c r="K132" i="4" s="1"/>
  <c r="AW131" i="4"/>
  <c r="AU131" i="4"/>
  <c r="AS131" i="4"/>
  <c r="AQ131" i="4"/>
  <c r="AO131" i="4"/>
  <c r="AK131" i="4"/>
  <c r="AG131" i="4"/>
  <c r="AC131" i="4"/>
  <c r="AA131" i="4"/>
  <c r="Y131" i="4"/>
  <c r="W131" i="4"/>
  <c r="U131" i="4"/>
  <c r="S131" i="4"/>
  <c r="Q131" i="4"/>
  <c r="O131" i="4"/>
  <c r="L131" i="4"/>
  <c r="M131" i="4" s="1"/>
  <c r="J131" i="4"/>
  <c r="K131" i="4" s="1"/>
  <c r="J124" i="4"/>
  <c r="K124" i="4" s="1"/>
  <c r="L120" i="4"/>
  <c r="M120" i="4" s="1"/>
  <c r="J120" i="4"/>
  <c r="K120" i="4"/>
  <c r="L119" i="4"/>
  <c r="M119" i="4" s="1"/>
  <c r="J119" i="4"/>
  <c r="K119" i="4" s="1"/>
  <c r="AU118" i="4"/>
  <c r="AM118" i="4"/>
  <c r="AE118" i="4"/>
  <c r="W118" i="4"/>
  <c r="O118" i="4"/>
  <c r="L118" i="4"/>
  <c r="M118" i="4" s="1"/>
  <c r="J118" i="4"/>
  <c r="K118" i="4" s="1"/>
  <c r="L117" i="4"/>
  <c r="M117" i="4" s="1"/>
  <c r="AI116" i="4"/>
  <c r="AA116" i="4"/>
  <c r="L116" i="4"/>
  <c r="M116" i="4"/>
  <c r="J116" i="4"/>
  <c r="K116" i="4" s="1"/>
  <c r="AW93" i="4"/>
  <c r="AU93" i="4"/>
  <c r="AS93" i="4"/>
  <c r="AO93" i="4"/>
  <c r="AM93" i="4"/>
  <c r="AE93" i="4"/>
  <c r="AC93" i="4"/>
  <c r="AA93" i="4"/>
  <c r="U93" i="4"/>
  <c r="S93" i="4"/>
  <c r="Q93" i="4"/>
  <c r="L93" i="4"/>
  <c r="M93" i="4" s="1"/>
  <c r="J93" i="4"/>
  <c r="K93" i="4" s="1"/>
  <c r="AY92" i="4"/>
  <c r="AW92" i="4"/>
  <c r="AS92" i="4"/>
  <c r="AQ92" i="4"/>
  <c r="AK92" i="4"/>
  <c r="AI92" i="4"/>
  <c r="AG92" i="4"/>
  <c r="AE92" i="4"/>
  <c r="AC92" i="4"/>
  <c r="AA92" i="4"/>
  <c r="Y92" i="4"/>
  <c r="W92" i="4"/>
  <c r="S92" i="4"/>
  <c r="O92" i="4"/>
  <c r="L92" i="4"/>
  <c r="M92" i="4"/>
  <c r="J92" i="4"/>
  <c r="K92" i="4" s="1"/>
  <c r="J88" i="4"/>
  <c r="K88" i="4" s="1"/>
  <c r="J87" i="4"/>
  <c r="K87" i="4" s="1"/>
  <c r="Y86" i="4"/>
  <c r="L86" i="4"/>
  <c r="M86" i="4" s="1"/>
  <c r="J86" i="4"/>
  <c r="K86" i="4" s="1"/>
  <c r="L85" i="4"/>
  <c r="M85" i="4" s="1"/>
  <c r="AC84" i="4"/>
  <c r="L84" i="4"/>
  <c r="M84" i="4" s="1"/>
  <c r="J84" i="4"/>
  <c r="K84" i="4" s="1"/>
  <c r="AS81" i="4"/>
  <c r="AO81" i="4"/>
  <c r="AM81" i="4"/>
  <c r="AI81" i="4"/>
  <c r="AE81" i="4"/>
  <c r="AA81" i="4"/>
  <c r="W81" i="4"/>
  <c r="S81" i="4"/>
  <c r="L81" i="4"/>
  <c r="M81" i="4" s="1"/>
  <c r="J81" i="4"/>
  <c r="K81" i="4" s="1"/>
  <c r="L80" i="4"/>
  <c r="M80" i="4" s="1"/>
  <c r="J80" i="4"/>
  <c r="K80" i="4" s="1"/>
  <c r="L79" i="4"/>
  <c r="M79" i="4" s="1"/>
  <c r="J79" i="4"/>
  <c r="K79" i="4" s="1"/>
  <c r="J78" i="4"/>
  <c r="K78" i="4" s="1"/>
  <c r="AQ77" i="4"/>
  <c r="AK77" i="4"/>
  <c r="AG77" i="4"/>
  <c r="AE77" i="4"/>
  <c r="AC77" i="4"/>
  <c r="AA77" i="4"/>
  <c r="Y77" i="4"/>
  <c r="W77" i="4"/>
  <c r="S77" i="4"/>
  <c r="O77" i="4"/>
  <c r="L77" i="4"/>
  <c r="M77" i="4"/>
  <c r="J77" i="4"/>
  <c r="K77" i="4" s="1"/>
  <c r="AE75" i="4"/>
  <c r="L75" i="4"/>
  <c r="M75" i="4" s="1"/>
  <c r="L74" i="4"/>
  <c r="M74" i="4" s="1"/>
  <c r="J74" i="4"/>
  <c r="K74" i="4" s="1"/>
  <c r="AS73" i="4"/>
  <c r="AQ73" i="4"/>
  <c r="AO73" i="4"/>
  <c r="AM73" i="4"/>
  <c r="AI73" i="4"/>
  <c r="AE73" i="4"/>
  <c r="AA73" i="4"/>
  <c r="W73" i="4"/>
  <c r="S73" i="4"/>
  <c r="O73" i="4"/>
  <c r="L73" i="4"/>
  <c r="M73" i="4" s="1"/>
  <c r="J73" i="4"/>
  <c r="K73" i="4"/>
  <c r="AW72" i="4"/>
  <c r="L72" i="4"/>
  <c r="M72" i="4" s="1"/>
  <c r="J72" i="4"/>
  <c r="K72" i="4" s="1"/>
  <c r="AS71" i="4"/>
  <c r="J71" i="4"/>
  <c r="K71" i="4" s="1"/>
  <c r="Y70" i="4"/>
  <c r="L70" i="4"/>
  <c r="M70" i="4" s="1"/>
  <c r="J70" i="4"/>
  <c r="K70" i="4" s="1"/>
  <c r="AQ69" i="4"/>
  <c r="AM69" i="4"/>
  <c r="AK69" i="4"/>
  <c r="AI69" i="4"/>
  <c r="AG69" i="4"/>
  <c r="AE69" i="4"/>
  <c r="AC69" i="4"/>
  <c r="AA69" i="4"/>
  <c r="Y69" i="4"/>
  <c r="W69" i="4"/>
  <c r="S69" i="4"/>
  <c r="O69" i="4"/>
  <c r="L69" i="4"/>
  <c r="M69" i="4"/>
  <c r="J69" i="4"/>
  <c r="K69" i="4" s="1"/>
  <c r="L68" i="4"/>
  <c r="M68" i="4" s="1"/>
  <c r="J68" i="4"/>
  <c r="K68" i="4" s="1"/>
  <c r="S67" i="4"/>
  <c r="J67" i="4"/>
  <c r="K67" i="4" s="1"/>
  <c r="AW66" i="4"/>
  <c r="L66" i="4"/>
  <c r="M66" i="4" s="1"/>
  <c r="J66" i="4"/>
  <c r="K66" i="4" s="1"/>
  <c r="AQ65" i="4"/>
  <c r="AO65" i="4"/>
  <c r="AM65" i="4"/>
  <c r="AI65" i="4"/>
  <c r="AE65" i="4"/>
  <c r="AA65" i="4"/>
  <c r="W65" i="4"/>
  <c r="S65" i="4"/>
  <c r="L65" i="4"/>
  <c r="M65" i="4" s="1"/>
  <c r="J65" i="4"/>
  <c r="K65" i="4" s="1"/>
  <c r="AW59" i="4"/>
  <c r="AU59" i="4"/>
  <c r="AS59" i="4"/>
  <c r="AQ59" i="4"/>
  <c r="AO59" i="4"/>
  <c r="AM59" i="4"/>
  <c r="AK59" i="4"/>
  <c r="AI59" i="4"/>
  <c r="AE59" i="4"/>
  <c r="AC59" i="4"/>
  <c r="AA59" i="4"/>
  <c r="Y59" i="4"/>
  <c r="W59" i="4"/>
  <c r="U59" i="4"/>
  <c r="S59" i="4"/>
  <c r="O59" i="4"/>
  <c r="L59" i="4"/>
  <c r="M59" i="4" s="1"/>
  <c r="J59" i="4"/>
  <c r="K59" i="4"/>
  <c r="AW58" i="4"/>
  <c r="AS58" i="4"/>
  <c r="AQ58" i="4"/>
  <c r="AO58" i="4"/>
  <c r="AK58" i="4"/>
  <c r="AG58" i="4"/>
  <c r="AE58" i="4"/>
  <c r="AC58" i="4"/>
  <c r="AA58" i="4"/>
  <c r="Y58" i="4"/>
  <c r="U58" i="4"/>
  <c r="Q58" i="4"/>
  <c r="O58" i="4"/>
  <c r="L58" i="4"/>
  <c r="M58" i="4" s="1"/>
  <c r="J58" i="4"/>
  <c r="K58" i="4" s="1"/>
  <c r="AS52" i="4"/>
  <c r="AO52" i="4"/>
  <c r="AK52" i="4"/>
  <c r="AI52" i="4"/>
  <c r="AG52" i="4"/>
  <c r="AE52" i="4"/>
  <c r="AA52" i="4"/>
  <c r="W52" i="4"/>
  <c r="Q52" i="4"/>
  <c r="L52" i="4"/>
  <c r="M52" i="4" s="1"/>
  <c r="J52" i="4"/>
  <c r="K52" i="4" s="1"/>
  <c r="AY51" i="4"/>
  <c r="AW51" i="4"/>
  <c r="AU51" i="4"/>
  <c r="AQ51" i="4"/>
  <c r="AM51" i="4"/>
  <c r="AK51" i="4"/>
  <c r="AI51" i="4"/>
  <c r="AE51" i="4"/>
  <c r="AC51" i="4"/>
  <c r="AA51" i="4"/>
  <c r="Y51" i="4"/>
  <c r="W51" i="4"/>
  <c r="U51" i="4"/>
  <c r="Q51" i="4"/>
  <c r="O51" i="4"/>
  <c r="L51" i="4"/>
  <c r="M51" i="4" s="1"/>
  <c r="J51" i="4"/>
  <c r="K51" i="4"/>
  <c r="AY50" i="4"/>
  <c r="AW50" i="4"/>
  <c r="AS50" i="4"/>
  <c r="AQ50" i="4"/>
  <c r="AO50" i="4"/>
  <c r="AM50" i="4"/>
  <c r="AK50" i="4"/>
  <c r="AI50" i="4"/>
  <c r="AG50" i="4"/>
  <c r="AC50" i="4"/>
  <c r="Y50" i="4"/>
  <c r="U50" i="4"/>
  <c r="S50" i="4"/>
  <c r="Q50" i="4"/>
  <c r="O50" i="4"/>
  <c r="L50" i="4"/>
  <c r="M50" i="4" s="1"/>
  <c r="J50" i="4"/>
  <c r="K50" i="4" s="1"/>
  <c r="AW49" i="4"/>
  <c r="L48" i="4"/>
  <c r="M48" i="4" s="1"/>
  <c r="AQ47" i="4"/>
  <c r="L47" i="4"/>
  <c r="M47" i="4" s="1"/>
  <c r="AY46" i="4"/>
  <c r="AS46" i="4"/>
  <c r="AQ46" i="4"/>
  <c r="AO46" i="4"/>
  <c r="AM46" i="4"/>
  <c r="AK46" i="4"/>
  <c r="AG46" i="4"/>
  <c r="AC46" i="4"/>
  <c r="Y46" i="4"/>
  <c r="S46" i="4"/>
  <c r="Q46" i="4"/>
  <c r="L46" i="4"/>
  <c r="M46" i="4" s="1"/>
  <c r="J46" i="4"/>
  <c r="K46" i="4" s="1"/>
  <c r="AW43" i="4"/>
  <c r="AU43" i="4"/>
  <c r="AO43" i="4"/>
  <c r="AM43" i="4"/>
  <c r="AG43" i="4"/>
  <c r="AE43" i="4"/>
  <c r="AA43" i="4"/>
  <c r="Y43" i="4"/>
  <c r="W43" i="4"/>
  <c r="U43" i="4"/>
  <c r="S43" i="4"/>
  <c r="Q43" i="4"/>
  <c r="L43" i="4"/>
  <c r="M43" i="4" s="1"/>
  <c r="J43" i="4"/>
  <c r="K43" i="4" s="1"/>
  <c r="AU42" i="4"/>
  <c r="AQ42" i="4"/>
  <c r="AM42" i="4"/>
  <c r="AK42" i="4"/>
  <c r="AI42" i="4"/>
  <c r="AA42" i="4"/>
  <c r="Y42" i="4"/>
  <c r="W42" i="4"/>
  <c r="Q42" i="4"/>
  <c r="O42" i="4"/>
  <c r="L42" i="4"/>
  <c r="M42" i="4" s="1"/>
  <c r="J42" i="4"/>
  <c r="K42" i="4"/>
  <c r="AY40" i="4"/>
  <c r="AW40" i="4"/>
  <c r="AU40" i="4"/>
  <c r="AQ40" i="4"/>
  <c r="AM40" i="4"/>
  <c r="AI40" i="4"/>
  <c r="AG40" i="4"/>
  <c r="AE40" i="4"/>
  <c r="W40" i="4"/>
  <c r="S40" i="4"/>
  <c r="Q40" i="4"/>
  <c r="O40" i="4"/>
  <c r="L40" i="4"/>
  <c r="M40" i="4" s="1"/>
  <c r="J40" i="4"/>
  <c r="K40" i="4"/>
  <c r="AW39" i="4"/>
  <c r="AO39" i="4"/>
  <c r="AM39" i="4"/>
  <c r="AG39" i="4"/>
  <c r="AE39" i="4"/>
  <c r="AC39" i="4"/>
  <c r="AA39" i="4"/>
  <c r="W39" i="4"/>
  <c r="U39" i="4"/>
  <c r="S39" i="4"/>
  <c r="Q39" i="4"/>
  <c r="L39" i="4"/>
  <c r="M39" i="4" s="1"/>
  <c r="J39" i="4"/>
  <c r="K39" i="4" s="1"/>
  <c r="AC38" i="4"/>
  <c r="J38" i="4"/>
  <c r="K38" i="4" s="1"/>
  <c r="AO37" i="4"/>
  <c r="J37" i="4"/>
  <c r="K37" i="4" s="1"/>
  <c r="AW36" i="4"/>
  <c r="AU36" i="4"/>
  <c r="AS36" i="4"/>
  <c r="AQ36" i="4"/>
  <c r="AO36" i="4"/>
  <c r="AM36" i="4"/>
  <c r="AK36" i="4"/>
  <c r="AI36" i="4"/>
  <c r="AG36" i="4"/>
  <c r="AE36" i="4"/>
  <c r="AA36" i="4"/>
  <c r="W36" i="4"/>
  <c r="S36" i="4"/>
  <c r="Q36" i="4"/>
  <c r="L36" i="4"/>
  <c r="M36" i="4" s="1"/>
  <c r="J36" i="4"/>
  <c r="K36" i="4" s="1"/>
  <c r="AW34" i="4"/>
  <c r="AU34" i="4"/>
  <c r="AO34" i="4"/>
  <c r="AM34" i="4"/>
  <c r="AG34" i="4"/>
  <c r="AE34" i="4"/>
  <c r="AC34" i="4"/>
  <c r="AA34" i="4"/>
  <c r="W34" i="4"/>
  <c r="S34" i="4"/>
  <c r="Q34" i="4"/>
  <c r="O34" i="4"/>
  <c r="L34" i="4"/>
  <c r="M34" i="4" s="1"/>
  <c r="J34" i="4"/>
  <c r="K34" i="4"/>
  <c r="I153" i="4"/>
  <c r="I152" i="4"/>
  <c r="I143" i="4"/>
  <c r="I139" i="4"/>
  <c r="I131" i="4"/>
  <c r="I124" i="4"/>
  <c r="I123" i="4"/>
  <c r="I122" i="4"/>
  <c r="I120" i="4"/>
  <c r="I119" i="4"/>
  <c r="I118" i="4"/>
  <c r="I116" i="4"/>
  <c r="I93" i="4"/>
  <c r="I92" i="4"/>
  <c r="I87" i="4"/>
  <c r="I85" i="4"/>
  <c r="I83" i="4"/>
  <c r="I81" i="4"/>
  <c r="I79" i="4"/>
  <c r="I77" i="4"/>
  <c r="I75" i="4"/>
  <c r="I73" i="4"/>
  <c r="I69" i="4"/>
  <c r="I67" i="4"/>
  <c r="I65" i="4"/>
  <c r="I59" i="4"/>
  <c r="I58" i="4"/>
  <c r="I52" i="4"/>
  <c r="I51" i="4"/>
  <c r="I50" i="4"/>
  <c r="I46" i="4"/>
  <c r="I43" i="4"/>
  <c r="I42" i="4"/>
  <c r="I40" i="4"/>
  <c r="I39" i="4"/>
  <c r="I38" i="4"/>
  <c r="I36" i="4"/>
  <c r="I34" i="4"/>
  <c r="O31" i="1"/>
  <c r="M31" i="1"/>
  <c r="AV130" i="4" l="1"/>
  <c r="AW130" i="4" s="1"/>
  <c r="AH130" i="4"/>
  <c r="AI130" i="4" s="1"/>
  <c r="AB130" i="4"/>
  <c r="AC130" i="4" s="1"/>
  <c r="Z130" i="4"/>
  <c r="AA130" i="4" s="1"/>
  <c r="V130" i="4"/>
  <c r="W130" i="4" s="1"/>
  <c r="P130" i="4"/>
  <c r="Q130" i="4" s="1"/>
  <c r="N130" i="4"/>
  <c r="O130" i="4" s="1"/>
  <c r="AT130" i="4"/>
  <c r="AU130" i="4" s="1"/>
  <c r="AJ130" i="4"/>
  <c r="AK130" i="4" s="1"/>
  <c r="AF130" i="4"/>
  <c r="AG130" i="4" s="1"/>
  <c r="J130" i="4"/>
  <c r="K130" i="4" s="1"/>
  <c r="AR130" i="4"/>
  <c r="AS130" i="4" s="1"/>
  <c r="AP130" i="4"/>
  <c r="AQ130" i="4" s="1"/>
  <c r="AL130" i="4"/>
  <c r="AM130" i="4" s="1"/>
  <c r="T130" i="4"/>
  <c r="U130" i="4" s="1"/>
  <c r="R130" i="4"/>
  <c r="S130" i="4" s="1"/>
  <c r="L130" i="4"/>
  <c r="M130" i="4" s="1"/>
  <c r="AN130" i="4"/>
  <c r="AO130" i="4" s="1"/>
  <c r="AX130" i="4"/>
  <c r="AY130" i="4" s="1"/>
  <c r="AD130" i="4"/>
  <c r="AE130" i="4" s="1"/>
  <c r="X130" i="4"/>
  <c r="Y130" i="4" s="1"/>
  <c r="I130" i="4"/>
  <c r="BY130" i="4"/>
  <c r="AV88" i="4"/>
  <c r="AW88" i="4" s="1"/>
  <c r="D21" i="4"/>
  <c r="E21" i="4" s="1"/>
  <c r="L88" i="4"/>
  <c r="M88" i="4" s="1"/>
  <c r="CB40" i="4"/>
  <c r="CC40" i="4" s="1"/>
  <c r="CJ40" i="4"/>
  <c r="CK40" i="4" s="1"/>
  <c r="CR40" i="4"/>
  <c r="CS40" i="4" s="1"/>
  <c r="CZ40" i="4"/>
  <c r="DA40" i="4" s="1"/>
  <c r="DH40" i="4"/>
  <c r="DI40" i="4" s="1"/>
  <c r="DP40" i="4"/>
  <c r="DQ40" i="4" s="1"/>
  <c r="CD40" i="4"/>
  <c r="CE40" i="4" s="1"/>
  <c r="CL40" i="4"/>
  <c r="CM40" i="4" s="1"/>
  <c r="CT40" i="4"/>
  <c r="CU40" i="4" s="1"/>
  <c r="DB40" i="4"/>
  <c r="DC40" i="4" s="1"/>
  <c r="DJ40" i="4"/>
  <c r="DK40" i="4" s="1"/>
  <c r="CF40" i="4"/>
  <c r="CG40" i="4" s="1"/>
  <c r="CN40" i="4"/>
  <c r="CO40" i="4" s="1"/>
  <c r="CV40" i="4"/>
  <c r="CW40" i="4" s="1"/>
  <c r="DD40" i="4"/>
  <c r="DE40" i="4" s="1"/>
  <c r="AH53" i="4"/>
  <c r="AI53" i="4" s="1"/>
  <c r="J48" i="4"/>
  <c r="K48" i="4" s="1"/>
  <c r="X48" i="4"/>
  <c r="Y48" i="4" s="1"/>
  <c r="Z48" i="4"/>
  <c r="AA48" i="4" s="1"/>
  <c r="AR48" i="4"/>
  <c r="AS48" i="4" s="1"/>
  <c r="AT48" i="4"/>
  <c r="AU48" i="4" s="1"/>
  <c r="AV48" i="4"/>
  <c r="AW48" i="4" s="1"/>
  <c r="I48" i="4"/>
  <c r="R48" i="4"/>
  <c r="S48" i="4" s="1"/>
  <c r="T48" i="4"/>
  <c r="U48" i="4" s="1"/>
  <c r="AD48" i="4"/>
  <c r="AE48" i="4" s="1"/>
  <c r="AJ48" i="4"/>
  <c r="AK48" i="4" s="1"/>
  <c r="AL48" i="4"/>
  <c r="AM48" i="4" s="1"/>
  <c r="AX48" i="4"/>
  <c r="AY48" i="4" s="1"/>
  <c r="N48" i="4"/>
  <c r="O48" i="4" s="1"/>
  <c r="P48" i="4"/>
  <c r="Q48" i="4" s="1"/>
  <c r="BZ48" i="4"/>
  <c r="I49" i="4"/>
  <c r="J49" i="4"/>
  <c r="K49" i="4" s="1"/>
  <c r="R49" i="4"/>
  <c r="S49" i="4" s="1"/>
  <c r="X49" i="4"/>
  <c r="Y49" i="4" s="1"/>
  <c r="AD49" i="4"/>
  <c r="AE49" i="4" s="1"/>
  <c r="AF49" i="4"/>
  <c r="AG49" i="4" s="1"/>
  <c r="AP49" i="4"/>
  <c r="AQ49" i="4" s="1"/>
  <c r="AR49" i="4"/>
  <c r="AS49" i="4" s="1"/>
  <c r="CF49" i="4"/>
  <c r="CG49" i="4" s="1"/>
  <c r="CN49" i="4"/>
  <c r="CO49" i="4" s="1"/>
  <c r="CV49" i="4"/>
  <c r="CW49" i="4" s="1"/>
  <c r="DD49" i="4"/>
  <c r="DE49" i="4" s="1"/>
  <c r="DL49" i="4"/>
  <c r="DM49" i="4" s="1"/>
  <c r="FT49" i="4"/>
  <c r="FU49" i="4" s="1"/>
  <c r="DN49" i="4"/>
  <c r="DO49" i="4" s="1"/>
  <c r="L49" i="4"/>
  <c r="M49" i="4" s="1"/>
  <c r="V49" i="4"/>
  <c r="W49" i="4" s="1"/>
  <c r="AB49" i="4"/>
  <c r="AC49" i="4" s="1"/>
  <c r="AJ49" i="4"/>
  <c r="AK49" i="4" s="1"/>
  <c r="AX49" i="4"/>
  <c r="AY49" i="4" s="1"/>
  <c r="CB49" i="4"/>
  <c r="CC49" i="4" s="1"/>
  <c r="CJ49" i="4"/>
  <c r="CK49" i="4" s="1"/>
  <c r="CR49" i="4"/>
  <c r="CS49" i="4" s="1"/>
  <c r="CZ49" i="4"/>
  <c r="DA49" i="4" s="1"/>
  <c r="DH49" i="4"/>
  <c r="DI49" i="4" s="1"/>
  <c r="DP49" i="4"/>
  <c r="DQ49" i="4" s="1"/>
  <c r="AL49" i="4"/>
  <c r="AM49" i="4" s="1"/>
  <c r="CD49" i="4"/>
  <c r="CE49" i="4" s="1"/>
  <c r="CL49" i="4"/>
  <c r="CM49" i="4" s="1"/>
  <c r="CT49" i="4"/>
  <c r="CU49" i="4" s="1"/>
  <c r="DB49" i="4"/>
  <c r="DC49" i="4" s="1"/>
  <c r="BZ46" i="4"/>
  <c r="EQ46" i="4"/>
  <c r="ER46" i="4" s="1"/>
  <c r="AN45" i="4"/>
  <c r="AO45" i="4" s="1"/>
  <c r="AF45" i="4"/>
  <c r="AG45" i="4" s="1"/>
  <c r="AD45" i="4"/>
  <c r="AE45" i="4" s="1"/>
  <c r="T45" i="4"/>
  <c r="U45" i="4" s="1"/>
  <c r="L45" i="4"/>
  <c r="M45" i="4" s="1"/>
  <c r="AV45" i="4"/>
  <c r="AW45" i="4" s="1"/>
  <c r="V45" i="4"/>
  <c r="W45" i="4" s="1"/>
  <c r="J45" i="4"/>
  <c r="K45" i="4" s="1"/>
  <c r="AR45" i="4"/>
  <c r="AS45" i="4" s="1"/>
  <c r="AH45" i="4"/>
  <c r="AI45" i="4" s="1"/>
  <c r="I45" i="4"/>
  <c r="AL45" i="4"/>
  <c r="AM45" i="4" s="1"/>
  <c r="Z45" i="4"/>
  <c r="AA45" i="4" s="1"/>
  <c r="AX45" i="4"/>
  <c r="AY45" i="4" s="1"/>
  <c r="AT45" i="4"/>
  <c r="AU45" i="4" s="1"/>
  <c r="AP45" i="4"/>
  <c r="AQ45" i="4" s="1"/>
  <c r="AJ45" i="4"/>
  <c r="AK45" i="4" s="1"/>
  <c r="AB45" i="4"/>
  <c r="AC45" i="4" s="1"/>
  <c r="X45" i="4"/>
  <c r="Y45" i="4" s="1"/>
  <c r="R45" i="4"/>
  <c r="S45" i="4" s="1"/>
  <c r="P45" i="4"/>
  <c r="Q45" i="4" s="1"/>
  <c r="N45" i="4"/>
  <c r="O45" i="4" s="1"/>
  <c r="BY45" i="4"/>
  <c r="H44" i="4"/>
  <c r="I47" i="4"/>
  <c r="N47" i="4"/>
  <c r="O47" i="4" s="1"/>
  <c r="T47" i="4"/>
  <c r="U47" i="4" s="1"/>
  <c r="AB47" i="4"/>
  <c r="AC47" i="4" s="1"/>
  <c r="AD47" i="4"/>
  <c r="AE47" i="4" s="1"/>
  <c r="AH47" i="4"/>
  <c r="AI47" i="4" s="1"/>
  <c r="AV47" i="4"/>
  <c r="AW47" i="4" s="1"/>
  <c r="CF47" i="4"/>
  <c r="CG47" i="4" s="1"/>
  <c r="CN47" i="4"/>
  <c r="CO47" i="4" s="1"/>
  <c r="CV47" i="4"/>
  <c r="CW47" i="4" s="1"/>
  <c r="DD47" i="4"/>
  <c r="DE47" i="4" s="1"/>
  <c r="DL47" i="4"/>
  <c r="DM47" i="4" s="1"/>
  <c r="FL47" i="4"/>
  <c r="FM47" i="4" s="1"/>
  <c r="FV47" i="4"/>
  <c r="FW47" i="4" s="1"/>
  <c r="AT47" i="4"/>
  <c r="AU47" i="4" s="1"/>
  <c r="AX47" i="4"/>
  <c r="AY47" i="4" s="1"/>
  <c r="CB47" i="4"/>
  <c r="CC47" i="4" s="1"/>
  <c r="CJ47" i="4"/>
  <c r="CK47" i="4" s="1"/>
  <c r="CR47" i="4"/>
  <c r="CS47" i="4" s="1"/>
  <c r="CZ47" i="4"/>
  <c r="DA47" i="4" s="1"/>
  <c r="DH47" i="4"/>
  <c r="DI47" i="4" s="1"/>
  <c r="DP47" i="4"/>
  <c r="DQ47" i="4" s="1"/>
  <c r="J47" i="4"/>
  <c r="K47" i="4" s="1"/>
  <c r="V47" i="4"/>
  <c r="W47" i="4" s="1"/>
  <c r="X47" i="4"/>
  <c r="Y47" i="4" s="1"/>
  <c r="AJ47" i="4"/>
  <c r="AK47" i="4" s="1"/>
  <c r="AN47" i="4"/>
  <c r="AO47" i="4" s="1"/>
  <c r="CD47" i="4"/>
  <c r="CE47" i="4" s="1"/>
  <c r="CL47" i="4"/>
  <c r="CM47" i="4" s="1"/>
  <c r="CT47" i="4"/>
  <c r="CU47" i="4" s="1"/>
  <c r="DB47" i="4"/>
  <c r="DC47" i="4" s="1"/>
  <c r="CF42" i="4"/>
  <c r="CG42" i="4" s="1"/>
  <c r="CN42" i="4"/>
  <c r="CO42" i="4" s="1"/>
  <c r="CV42" i="4"/>
  <c r="CW42" i="4" s="1"/>
  <c r="DD42" i="4"/>
  <c r="DE42" i="4" s="1"/>
  <c r="DL42" i="4"/>
  <c r="DM42" i="4" s="1"/>
  <c r="DF42" i="4"/>
  <c r="DG42" i="4" s="1"/>
  <c r="CB42" i="4"/>
  <c r="CC42" i="4" s="1"/>
  <c r="CJ42" i="4"/>
  <c r="CK42" i="4" s="1"/>
  <c r="CR42" i="4"/>
  <c r="CS42" i="4" s="1"/>
  <c r="CZ42" i="4"/>
  <c r="DA42" i="4" s="1"/>
  <c r="DH42" i="4"/>
  <c r="DI42" i="4" s="1"/>
  <c r="DP42" i="4"/>
  <c r="DQ42" i="4" s="1"/>
  <c r="DN42" i="4"/>
  <c r="DO42" i="4" s="1"/>
  <c r="CD42" i="4"/>
  <c r="CE42" i="4" s="1"/>
  <c r="CL42" i="4"/>
  <c r="CM42" i="4" s="1"/>
  <c r="CT42" i="4"/>
  <c r="CU42" i="4" s="1"/>
  <c r="DB42" i="4"/>
  <c r="DC42" i="4" s="1"/>
  <c r="FT41" i="4"/>
  <c r="FU41" i="4" s="1"/>
  <c r="EV41" i="4"/>
  <c r="EW41" i="4" s="1"/>
  <c r="GB41" i="4"/>
  <c r="GC41" i="4" s="1"/>
  <c r="FL41" i="4"/>
  <c r="FM41" i="4" s="1"/>
  <c r="FD41" i="4"/>
  <c r="FE41" i="4" s="1"/>
  <c r="J41" i="4"/>
  <c r="K41" i="4" s="1"/>
  <c r="X41" i="4"/>
  <c r="Y41" i="4" s="1"/>
  <c r="AL41" i="4"/>
  <c r="AM41" i="4" s="1"/>
  <c r="AR41" i="4"/>
  <c r="AS41" i="4" s="1"/>
  <c r="AT41" i="4"/>
  <c r="AU41" i="4" s="1"/>
  <c r="I41" i="4"/>
  <c r="L41" i="4"/>
  <c r="M41" i="4" s="1"/>
  <c r="N41" i="4"/>
  <c r="O41" i="4" s="1"/>
  <c r="AF41" i="4"/>
  <c r="AG41" i="4" s="1"/>
  <c r="AH41" i="4"/>
  <c r="AI41" i="4" s="1"/>
  <c r="AJ41" i="4"/>
  <c r="AK41" i="4" s="1"/>
  <c r="AP41" i="4"/>
  <c r="AQ41" i="4" s="1"/>
  <c r="R41" i="4"/>
  <c r="S41" i="4" s="1"/>
  <c r="T41" i="4"/>
  <c r="U41" i="4" s="1"/>
  <c r="V41" i="4"/>
  <c r="W41" i="4" s="1"/>
  <c r="Z41" i="4"/>
  <c r="AA41" i="4" s="1"/>
  <c r="AD41" i="4"/>
  <c r="AE41" i="4" s="1"/>
  <c r="EQ38" i="4"/>
  <c r="ER38" i="4" s="1"/>
  <c r="BZ38" i="4"/>
  <c r="P38" i="4"/>
  <c r="Q38" i="4" s="1"/>
  <c r="V38" i="4"/>
  <c r="W38" i="4" s="1"/>
  <c r="AV38" i="4"/>
  <c r="AW38" i="4" s="1"/>
  <c r="L38" i="4"/>
  <c r="M38" i="4" s="1"/>
  <c r="N38" i="4"/>
  <c r="O38" i="4" s="1"/>
  <c r="R38" i="4"/>
  <c r="S38" i="4" s="1"/>
  <c r="X38" i="4"/>
  <c r="Y38" i="4" s="1"/>
  <c r="Z38" i="4"/>
  <c r="AA38" i="4" s="1"/>
  <c r="AH38" i="4"/>
  <c r="AI38" i="4" s="1"/>
  <c r="AN38" i="4"/>
  <c r="AO38" i="4" s="1"/>
  <c r="AP38" i="4"/>
  <c r="AQ38" i="4" s="1"/>
  <c r="AX38" i="4"/>
  <c r="AY38" i="4" s="1"/>
  <c r="T38" i="4"/>
  <c r="U38" i="4" s="1"/>
  <c r="AD38" i="4"/>
  <c r="AE38" i="4" s="1"/>
  <c r="AJ38" i="4"/>
  <c r="AK38" i="4" s="1"/>
  <c r="R37" i="4"/>
  <c r="S37" i="4" s="1"/>
  <c r="V37" i="4"/>
  <c r="W37" i="4" s="1"/>
  <c r="Z37" i="4"/>
  <c r="AA37" i="4" s="1"/>
  <c r="AB37" i="4"/>
  <c r="AC37" i="4" s="1"/>
  <c r="AH37" i="4"/>
  <c r="AI37" i="4" s="1"/>
  <c r="FN37" i="4"/>
  <c r="FO37" i="4" s="1"/>
  <c r="L37" i="4"/>
  <c r="M37" i="4" s="1"/>
  <c r="T37" i="4"/>
  <c r="U37" i="4" s="1"/>
  <c r="AF37" i="4"/>
  <c r="AG37" i="4" s="1"/>
  <c r="AL37" i="4"/>
  <c r="AM37" i="4" s="1"/>
  <c r="AP37" i="4"/>
  <c r="AQ37" i="4" s="1"/>
  <c r="AT37" i="4"/>
  <c r="AU37" i="4" s="1"/>
  <c r="AV37" i="4"/>
  <c r="AW37" i="4" s="1"/>
  <c r="AX37" i="4"/>
  <c r="AY37" i="4" s="1"/>
  <c r="EX37" i="4"/>
  <c r="EY37" i="4" s="1"/>
  <c r="I37" i="4"/>
  <c r="N37" i="4"/>
  <c r="O37" i="4" s="1"/>
  <c r="X37" i="4"/>
  <c r="Y37" i="4" s="1"/>
  <c r="EQ36" i="4"/>
  <c r="ER36" i="4" s="1"/>
  <c r="BZ36" i="4"/>
  <c r="T35" i="4"/>
  <c r="U35" i="4" s="1"/>
  <c r="L35" i="4"/>
  <c r="M35" i="4" s="1"/>
  <c r="AX35" i="4"/>
  <c r="AY35" i="4" s="1"/>
  <c r="AV35" i="4"/>
  <c r="AW35" i="4" s="1"/>
  <c r="AF35" i="4"/>
  <c r="AG35" i="4" s="1"/>
  <c r="AD35" i="4"/>
  <c r="AE35" i="4" s="1"/>
  <c r="AB35" i="4"/>
  <c r="AC35" i="4" s="1"/>
  <c r="N35" i="4"/>
  <c r="O35" i="4" s="1"/>
  <c r="AR35" i="4"/>
  <c r="AS35" i="4" s="1"/>
  <c r="AP35" i="4"/>
  <c r="AQ35" i="4" s="1"/>
  <c r="AJ35" i="4"/>
  <c r="AK35" i="4" s="1"/>
  <c r="X35" i="4"/>
  <c r="Y35" i="4" s="1"/>
  <c r="V35" i="4"/>
  <c r="W35" i="4" s="1"/>
  <c r="J35" i="4"/>
  <c r="K35" i="4" s="1"/>
  <c r="I35" i="4"/>
  <c r="AT35" i="4"/>
  <c r="AU35" i="4" s="1"/>
  <c r="AN35" i="4"/>
  <c r="AO35" i="4" s="1"/>
  <c r="AL35" i="4"/>
  <c r="AM35" i="4" s="1"/>
  <c r="AH35" i="4"/>
  <c r="AI35" i="4" s="1"/>
  <c r="Z35" i="4"/>
  <c r="AA35" i="4" s="1"/>
  <c r="R35" i="4"/>
  <c r="S35" i="4" s="1"/>
  <c r="P35" i="4"/>
  <c r="Q35" i="4" s="1"/>
  <c r="CT18" i="4"/>
  <c r="CU18" i="4" s="1"/>
  <c r="CD18" i="4"/>
  <c r="CE18" i="4" s="1"/>
  <c r="CL18" i="4"/>
  <c r="CM18" i="4" s="1"/>
  <c r="CP18" i="4"/>
  <c r="CQ18" i="4" s="1"/>
  <c r="CA18" i="4"/>
  <c r="CX18" i="4"/>
  <c r="CY18" i="4" s="1"/>
  <c r="CH18" i="4"/>
  <c r="CI18" i="4" s="1"/>
  <c r="DB18" i="4"/>
  <c r="DC18" i="4" s="1"/>
  <c r="EX143" i="4"/>
  <c r="EY143" i="4" s="1"/>
  <c r="FN143" i="4"/>
  <c r="FO143" i="4" s="1"/>
  <c r="GD143" i="4"/>
  <c r="GE143" i="4" s="1"/>
  <c r="DJ143" i="4"/>
  <c r="DK143" i="4" s="1"/>
  <c r="ET143" i="4"/>
  <c r="EU143" i="4" s="1"/>
  <c r="FJ143" i="4"/>
  <c r="FK143" i="4" s="1"/>
  <c r="G155" i="4"/>
  <c r="BY155" i="4" s="1"/>
  <c r="FJ88" i="4"/>
  <c r="FK88" i="4" s="1"/>
  <c r="X78" i="4"/>
  <c r="Y78" i="4" s="1"/>
  <c r="Z78" i="4"/>
  <c r="AA78" i="4" s="1"/>
  <c r="R85" i="4"/>
  <c r="S85" i="4" s="1"/>
  <c r="X85" i="4"/>
  <c r="Y85" i="4" s="1"/>
  <c r="J85" i="4"/>
  <c r="K85" i="4" s="1"/>
  <c r="P85" i="4"/>
  <c r="Q85" i="4" s="1"/>
  <c r="T85" i="4"/>
  <c r="U85" i="4" s="1"/>
  <c r="Z85" i="4"/>
  <c r="AA85" i="4" s="1"/>
  <c r="AL85" i="4"/>
  <c r="AM85" i="4" s="1"/>
  <c r="AN85" i="4"/>
  <c r="AO85" i="4" s="1"/>
  <c r="AR85" i="4"/>
  <c r="AS85" i="4" s="1"/>
  <c r="N85" i="4"/>
  <c r="O85" i="4" s="1"/>
  <c r="AH85" i="4"/>
  <c r="AI85" i="4" s="1"/>
  <c r="AJ85" i="4"/>
  <c r="AK85" i="4" s="1"/>
  <c r="DN92" i="4"/>
  <c r="DO92" i="4" s="1"/>
  <c r="CF92" i="4"/>
  <c r="CG92" i="4" s="1"/>
  <c r="CN92" i="4"/>
  <c r="CO92" i="4" s="1"/>
  <c r="CV92" i="4"/>
  <c r="CW92" i="4" s="1"/>
  <c r="DD92" i="4"/>
  <c r="DE92" i="4" s="1"/>
  <c r="DL92" i="4"/>
  <c r="DM92" i="4" s="1"/>
  <c r="FF92" i="4"/>
  <c r="FG92" i="4" s="1"/>
  <c r="DF92" i="4"/>
  <c r="DG92" i="4" s="1"/>
  <c r="CB92" i="4"/>
  <c r="CC92" i="4" s="1"/>
  <c r="CJ92" i="4"/>
  <c r="CK92" i="4" s="1"/>
  <c r="CR92" i="4"/>
  <c r="CS92" i="4" s="1"/>
  <c r="CZ92" i="4"/>
  <c r="DA92" i="4" s="1"/>
  <c r="DH92" i="4"/>
  <c r="DI92" i="4" s="1"/>
  <c r="DP92" i="4"/>
  <c r="DQ92" i="4" s="1"/>
  <c r="FV92" i="4"/>
  <c r="FW92" i="4" s="1"/>
  <c r="CD92" i="4"/>
  <c r="CE92" i="4" s="1"/>
  <c r="CL92" i="4"/>
  <c r="CM92" i="4" s="1"/>
  <c r="CT92" i="4"/>
  <c r="CU92" i="4" s="1"/>
  <c r="DB92" i="4"/>
  <c r="DC92" i="4" s="1"/>
  <c r="CP126" i="4"/>
  <c r="CQ126" i="4" s="1"/>
  <c r="CA126" i="4"/>
  <c r="DF126" i="4"/>
  <c r="DG126" i="4" s="1"/>
  <c r="CH126" i="4"/>
  <c r="CI126" i="4" s="1"/>
  <c r="L122" i="4"/>
  <c r="M122" i="4" s="1"/>
  <c r="V122" i="4"/>
  <c r="W122" i="4" s="1"/>
  <c r="AD122" i="4"/>
  <c r="AE122" i="4" s="1"/>
  <c r="GB125" i="4"/>
  <c r="GC125" i="4" s="1"/>
  <c r="X53" i="4"/>
  <c r="Y53" i="4" s="1"/>
  <c r="AD53" i="4"/>
  <c r="AE53" i="4" s="1"/>
  <c r="V53" i="4"/>
  <c r="W53" i="4" s="1"/>
  <c r="EQ53" i="4"/>
  <c r="ER53" i="4" s="1"/>
  <c r="GF53" i="4" s="1"/>
  <c r="GG53" i="4" s="1"/>
  <c r="BZ53" i="4"/>
  <c r="DN53" i="4" s="1"/>
  <c r="DO53" i="4" s="1"/>
  <c r="G26" i="4"/>
  <c r="BZ154" i="4"/>
  <c r="EQ154" i="4"/>
  <c r="ER154" i="4" s="1"/>
  <c r="I154" i="4"/>
  <c r="AX154" i="4"/>
  <c r="AY154" i="4" s="1"/>
  <c r="L154" i="4"/>
  <c r="M154" i="4" s="1"/>
  <c r="P154" i="4"/>
  <c r="Q154" i="4" s="1"/>
  <c r="V154" i="4"/>
  <c r="W154" i="4" s="1"/>
  <c r="AB154" i="4"/>
  <c r="AC154" i="4" s="1"/>
  <c r="AF154" i="4"/>
  <c r="AG154" i="4" s="1"/>
  <c r="T154" i="4"/>
  <c r="U154" i="4" s="1"/>
  <c r="AN154" i="4"/>
  <c r="AO154" i="4" s="1"/>
  <c r="N154" i="4"/>
  <c r="O154" i="4" s="1"/>
  <c r="AH154" i="4"/>
  <c r="AI154" i="4" s="1"/>
  <c r="AJ154" i="4"/>
  <c r="AK154" i="4" s="1"/>
  <c r="AP154" i="4"/>
  <c r="AQ154" i="4" s="1"/>
  <c r="AT154" i="4"/>
  <c r="AU154" i="4" s="1"/>
  <c r="GH153" i="4"/>
  <c r="GI153" i="4" s="1"/>
  <c r="GD153" i="4"/>
  <c r="GE153" i="4" s="1"/>
  <c r="FZ153" i="4"/>
  <c r="GA153" i="4" s="1"/>
  <c r="FV153" i="4"/>
  <c r="FW153" i="4" s="1"/>
  <c r="FR153" i="4"/>
  <c r="FS153" i="4" s="1"/>
  <c r="FN153" i="4"/>
  <c r="FO153" i="4" s="1"/>
  <c r="FJ153" i="4"/>
  <c r="FK153" i="4" s="1"/>
  <c r="FF153" i="4"/>
  <c r="FG153" i="4" s="1"/>
  <c r="FB153" i="4"/>
  <c r="FC153" i="4" s="1"/>
  <c r="EX153" i="4"/>
  <c r="EY153" i="4" s="1"/>
  <c r="ET153" i="4"/>
  <c r="EU153" i="4" s="1"/>
  <c r="GB153" i="4"/>
  <c r="GC153" i="4" s="1"/>
  <c r="FX153" i="4"/>
  <c r="FY153" i="4" s="1"/>
  <c r="FL153" i="4"/>
  <c r="FM153" i="4" s="1"/>
  <c r="EZ153" i="4"/>
  <c r="FA153" i="4" s="1"/>
  <c r="GF153" i="4"/>
  <c r="GG153" i="4" s="1"/>
  <c r="FT153" i="4"/>
  <c r="FU153" i="4" s="1"/>
  <c r="FH153" i="4"/>
  <c r="FI153" i="4" s="1"/>
  <c r="EV153" i="4"/>
  <c r="EW153" i="4" s="1"/>
  <c r="FP153" i="4"/>
  <c r="FQ153" i="4" s="1"/>
  <c r="FD153" i="4"/>
  <c r="FE153" i="4" s="1"/>
  <c r="ES153" i="4"/>
  <c r="CA153" i="4"/>
  <c r="CD153" i="4"/>
  <c r="CE153" i="4" s="1"/>
  <c r="CH153" i="4"/>
  <c r="CI153" i="4" s="1"/>
  <c r="CL153" i="4"/>
  <c r="CM153" i="4" s="1"/>
  <c r="CP153" i="4"/>
  <c r="CQ153" i="4" s="1"/>
  <c r="CT153" i="4"/>
  <c r="CU153" i="4" s="1"/>
  <c r="CX153" i="4"/>
  <c r="CY153" i="4" s="1"/>
  <c r="DB153" i="4"/>
  <c r="DC153" i="4" s="1"/>
  <c r="DF153" i="4"/>
  <c r="DG153" i="4" s="1"/>
  <c r="DJ153" i="4"/>
  <c r="DK153" i="4" s="1"/>
  <c r="DN153" i="4"/>
  <c r="DO153" i="4" s="1"/>
  <c r="CB153" i="4"/>
  <c r="CC153" i="4" s="1"/>
  <c r="CF153" i="4"/>
  <c r="CG153" i="4" s="1"/>
  <c r="CJ153" i="4"/>
  <c r="CK153" i="4" s="1"/>
  <c r="CN153" i="4"/>
  <c r="CO153" i="4" s="1"/>
  <c r="CR153" i="4"/>
  <c r="CS153" i="4" s="1"/>
  <c r="CV153" i="4"/>
  <c r="CW153" i="4" s="1"/>
  <c r="CZ153" i="4"/>
  <c r="DA153" i="4" s="1"/>
  <c r="DD153" i="4"/>
  <c r="DE153" i="4" s="1"/>
  <c r="DH153" i="4"/>
  <c r="DI153" i="4" s="1"/>
  <c r="DL153" i="4"/>
  <c r="DM153" i="4" s="1"/>
  <c r="DP152" i="4"/>
  <c r="DQ152" i="4" s="1"/>
  <c r="DL152" i="4"/>
  <c r="DM152" i="4" s="1"/>
  <c r="DH152" i="4"/>
  <c r="DI152" i="4" s="1"/>
  <c r="DD152" i="4"/>
  <c r="DE152" i="4" s="1"/>
  <c r="CZ152" i="4"/>
  <c r="DA152" i="4" s="1"/>
  <c r="CV152" i="4"/>
  <c r="CW152" i="4" s="1"/>
  <c r="CR152" i="4"/>
  <c r="CS152" i="4" s="1"/>
  <c r="CN152" i="4"/>
  <c r="CO152" i="4" s="1"/>
  <c r="CJ152" i="4"/>
  <c r="CK152" i="4" s="1"/>
  <c r="CF152" i="4"/>
  <c r="CG152" i="4" s="1"/>
  <c r="CB152" i="4"/>
  <c r="CC152" i="4" s="1"/>
  <c r="DJ152" i="4"/>
  <c r="DK152" i="4" s="1"/>
  <c r="CX152" i="4"/>
  <c r="CY152" i="4" s="1"/>
  <c r="CL152" i="4"/>
  <c r="CM152" i="4" s="1"/>
  <c r="CA152" i="4"/>
  <c r="DN152" i="4"/>
  <c r="DO152" i="4" s="1"/>
  <c r="CT152" i="4"/>
  <c r="CU152" i="4" s="1"/>
  <c r="CH152" i="4"/>
  <c r="CI152" i="4" s="1"/>
  <c r="DF152" i="4"/>
  <c r="DG152" i="4" s="1"/>
  <c r="DB152" i="4"/>
  <c r="DC152" i="4" s="1"/>
  <c r="CP152" i="4"/>
  <c r="CQ152" i="4" s="1"/>
  <c r="CD152" i="4"/>
  <c r="CE152" i="4" s="1"/>
  <c r="EQ152" i="4"/>
  <c r="ER152" i="4" s="1"/>
  <c r="AL151" i="4"/>
  <c r="AM151" i="4" s="1"/>
  <c r="AH151" i="4"/>
  <c r="AI151" i="4" s="1"/>
  <c r="T151" i="4"/>
  <c r="U151" i="4" s="1"/>
  <c r="AX151" i="4"/>
  <c r="AY151" i="4" s="1"/>
  <c r="AV151" i="4"/>
  <c r="AW151" i="4" s="1"/>
  <c r="AP151" i="4"/>
  <c r="AQ151" i="4" s="1"/>
  <c r="AN151" i="4"/>
  <c r="AO151" i="4" s="1"/>
  <c r="X151" i="4"/>
  <c r="Y151" i="4" s="1"/>
  <c r="V151" i="4"/>
  <c r="W151" i="4" s="1"/>
  <c r="AF151" i="4"/>
  <c r="AG151" i="4" s="1"/>
  <c r="AD151" i="4"/>
  <c r="AE151" i="4" s="1"/>
  <c r="AB151" i="4"/>
  <c r="AC151" i="4" s="1"/>
  <c r="Z151" i="4"/>
  <c r="AA151" i="4" s="1"/>
  <c r="R151" i="4"/>
  <c r="S151" i="4" s="1"/>
  <c r="N151" i="4"/>
  <c r="O151" i="4" s="1"/>
  <c r="I151" i="4"/>
  <c r="J151" i="4"/>
  <c r="K151" i="4" s="1"/>
  <c r="AJ151" i="4"/>
  <c r="AK151" i="4" s="1"/>
  <c r="BZ151" i="4"/>
  <c r="EQ151" i="4"/>
  <c r="ER151" i="4" s="1"/>
  <c r="L151" i="4"/>
  <c r="M151" i="4" s="1"/>
  <c r="P151" i="4"/>
  <c r="Q151" i="4" s="1"/>
  <c r="AR151" i="4"/>
  <c r="AS151" i="4" s="1"/>
  <c r="AT151" i="4"/>
  <c r="AU151" i="4" s="1"/>
  <c r="BZ155" i="4"/>
  <c r="EQ155" i="4"/>
  <c r="ER155" i="4" s="1"/>
  <c r="AT144" i="4"/>
  <c r="AU144" i="4" s="1"/>
  <c r="AH144" i="4"/>
  <c r="AI144" i="4" s="1"/>
  <c r="AF144" i="4"/>
  <c r="AG144" i="4" s="1"/>
  <c r="AL144" i="4"/>
  <c r="AM144" i="4" s="1"/>
  <c r="AR144" i="4"/>
  <c r="AS144" i="4" s="1"/>
  <c r="AP144" i="4"/>
  <c r="AQ144" i="4" s="1"/>
  <c r="AJ144" i="4"/>
  <c r="AK144" i="4" s="1"/>
  <c r="AD144" i="4"/>
  <c r="AE144" i="4" s="1"/>
  <c r="N144" i="4"/>
  <c r="O144" i="4" s="1"/>
  <c r="AN144" i="4"/>
  <c r="AO144" i="4" s="1"/>
  <c r="AB144" i="4"/>
  <c r="AC144" i="4" s="1"/>
  <c r="L144" i="4"/>
  <c r="M144" i="4" s="1"/>
  <c r="AX144" i="4"/>
  <c r="AY144" i="4" s="1"/>
  <c r="Z144" i="4"/>
  <c r="AA144" i="4" s="1"/>
  <c r="V144" i="4"/>
  <c r="W144" i="4" s="1"/>
  <c r="T144" i="4"/>
  <c r="U144" i="4" s="1"/>
  <c r="R144" i="4"/>
  <c r="S144" i="4" s="1"/>
  <c r="P144" i="4"/>
  <c r="Q144" i="4" s="1"/>
  <c r="J144" i="4"/>
  <c r="K144" i="4" s="1"/>
  <c r="I144" i="4"/>
  <c r="AV144" i="4"/>
  <c r="AW144" i="4" s="1"/>
  <c r="X144" i="4"/>
  <c r="Y144" i="4" s="1"/>
  <c r="BY144" i="4"/>
  <c r="DD143" i="4"/>
  <c r="DE143" i="4" s="1"/>
  <c r="DH143" i="4"/>
  <c r="DI143" i="4" s="1"/>
  <c r="DL143" i="4"/>
  <c r="DM143" i="4" s="1"/>
  <c r="GF143" i="4"/>
  <c r="GG143" i="4" s="1"/>
  <c r="GB143" i="4"/>
  <c r="GC143" i="4" s="1"/>
  <c r="FX143" i="4"/>
  <c r="FY143" i="4" s="1"/>
  <c r="FT143" i="4"/>
  <c r="FU143" i="4" s="1"/>
  <c r="FP143" i="4"/>
  <c r="FQ143" i="4" s="1"/>
  <c r="FL143" i="4"/>
  <c r="FM143" i="4" s="1"/>
  <c r="FH143" i="4"/>
  <c r="FI143" i="4" s="1"/>
  <c r="FD143" i="4"/>
  <c r="FE143" i="4" s="1"/>
  <c r="EZ143" i="4"/>
  <c r="FA143" i="4" s="1"/>
  <c r="EV143" i="4"/>
  <c r="EW143" i="4" s="1"/>
  <c r="ES143" i="4"/>
  <c r="GF139" i="4"/>
  <c r="GG139" i="4" s="1"/>
  <c r="GB139" i="4"/>
  <c r="GC139" i="4" s="1"/>
  <c r="FX139" i="4"/>
  <c r="FY139" i="4" s="1"/>
  <c r="FT139" i="4"/>
  <c r="FU139" i="4" s="1"/>
  <c r="FP139" i="4"/>
  <c r="FQ139" i="4" s="1"/>
  <c r="FL139" i="4"/>
  <c r="FM139" i="4" s="1"/>
  <c r="FH139" i="4"/>
  <c r="FI139" i="4" s="1"/>
  <c r="FD139" i="4"/>
  <c r="FE139" i="4" s="1"/>
  <c r="EZ139" i="4"/>
  <c r="FA139" i="4" s="1"/>
  <c r="EV139" i="4"/>
  <c r="EW139" i="4" s="1"/>
  <c r="ES139" i="4"/>
  <c r="GH139" i="4"/>
  <c r="GI139" i="4" s="1"/>
  <c r="GD139" i="4"/>
  <c r="GE139" i="4" s="1"/>
  <c r="FZ139" i="4"/>
  <c r="GA139" i="4" s="1"/>
  <c r="FV139" i="4"/>
  <c r="FW139" i="4" s="1"/>
  <c r="FR139" i="4"/>
  <c r="FS139" i="4" s="1"/>
  <c r="FN139" i="4"/>
  <c r="FO139" i="4" s="1"/>
  <c r="FJ139" i="4"/>
  <c r="FK139" i="4" s="1"/>
  <c r="FF139" i="4"/>
  <c r="FG139" i="4" s="1"/>
  <c r="FB139" i="4"/>
  <c r="FC139" i="4" s="1"/>
  <c r="EX139" i="4"/>
  <c r="EY139" i="4" s="1"/>
  <c r="ET139" i="4"/>
  <c r="EU139" i="4" s="1"/>
  <c r="BZ139" i="4"/>
  <c r="I132" i="4"/>
  <c r="T132" i="4"/>
  <c r="U132" i="4" s="1"/>
  <c r="R132" i="4"/>
  <c r="S132" i="4" s="1"/>
  <c r="V132" i="4"/>
  <c r="W132" i="4" s="1"/>
  <c r="Z132" i="4"/>
  <c r="AA132" i="4" s="1"/>
  <c r="AF132" i="4"/>
  <c r="AG132" i="4" s="1"/>
  <c r="AR132" i="4"/>
  <c r="AS132" i="4" s="1"/>
  <c r="L132" i="4"/>
  <c r="M132" i="4" s="1"/>
  <c r="N132" i="4"/>
  <c r="O132" i="4" s="1"/>
  <c r="P132" i="4"/>
  <c r="Q132" i="4" s="1"/>
  <c r="AP132" i="4"/>
  <c r="AQ132" i="4" s="1"/>
  <c r="X132" i="4"/>
  <c r="Y132" i="4" s="1"/>
  <c r="AB132" i="4"/>
  <c r="AC132" i="4" s="1"/>
  <c r="AN132" i="4"/>
  <c r="AO132" i="4" s="1"/>
  <c r="AT132" i="4"/>
  <c r="AU132" i="4" s="1"/>
  <c r="AV132" i="4"/>
  <c r="AW132" i="4" s="1"/>
  <c r="EQ131" i="4"/>
  <c r="ER131" i="4" s="1"/>
  <c r="BZ131" i="4"/>
  <c r="BZ132" i="4"/>
  <c r="DB132" i="4" s="1"/>
  <c r="DC132" i="4" s="1"/>
  <c r="CD131" i="4"/>
  <c r="CE131" i="4" s="1"/>
  <c r="CT131" i="4"/>
  <c r="CU131" i="4" s="1"/>
  <c r="DJ131" i="4"/>
  <c r="DK131" i="4" s="1"/>
  <c r="CV132" i="4"/>
  <c r="CW132" i="4" s="1"/>
  <c r="CL131" i="4"/>
  <c r="CM131" i="4" s="1"/>
  <c r="DF132" i="4"/>
  <c r="DG132" i="4" s="1"/>
  <c r="CP132" i="4"/>
  <c r="CQ132" i="4" s="1"/>
  <c r="CA132" i="4"/>
  <c r="DP131" i="4"/>
  <c r="DQ131" i="4" s="1"/>
  <c r="DL131" i="4"/>
  <c r="DM131" i="4" s="1"/>
  <c r="DH131" i="4"/>
  <c r="DI131" i="4" s="1"/>
  <c r="DD131" i="4"/>
  <c r="DE131" i="4" s="1"/>
  <c r="CZ131" i="4"/>
  <c r="DA131" i="4" s="1"/>
  <c r="CV131" i="4"/>
  <c r="CW131" i="4" s="1"/>
  <c r="CR131" i="4"/>
  <c r="CS131" i="4" s="1"/>
  <c r="CN131" i="4"/>
  <c r="CO131" i="4" s="1"/>
  <c r="CJ131" i="4"/>
  <c r="CK131" i="4" s="1"/>
  <c r="CF131" i="4"/>
  <c r="CG131" i="4" s="1"/>
  <c r="CB131" i="4"/>
  <c r="CC131" i="4" s="1"/>
  <c r="GH131" i="4"/>
  <c r="GI131" i="4" s="1"/>
  <c r="GD131" i="4"/>
  <c r="GE131" i="4" s="1"/>
  <c r="FZ131" i="4"/>
  <c r="GA131" i="4" s="1"/>
  <c r="FV131" i="4"/>
  <c r="FW131" i="4" s="1"/>
  <c r="FR131" i="4"/>
  <c r="FS131" i="4" s="1"/>
  <c r="FN131" i="4"/>
  <c r="FO131" i="4" s="1"/>
  <c r="FJ131" i="4"/>
  <c r="FK131" i="4" s="1"/>
  <c r="FF131" i="4"/>
  <c r="FG131" i="4" s="1"/>
  <c r="FB131" i="4"/>
  <c r="FC131" i="4" s="1"/>
  <c r="EX131" i="4"/>
  <c r="EY131" i="4" s="1"/>
  <c r="ET131" i="4"/>
  <c r="EU131" i="4" s="1"/>
  <c r="GF131" i="4"/>
  <c r="GG131" i="4" s="1"/>
  <c r="FP131" i="4"/>
  <c r="FQ131" i="4" s="1"/>
  <c r="EZ131" i="4"/>
  <c r="FA131" i="4" s="1"/>
  <c r="GB131" i="4"/>
  <c r="GC131" i="4" s="1"/>
  <c r="FL131" i="4"/>
  <c r="FM131" i="4" s="1"/>
  <c r="EV131" i="4"/>
  <c r="EW131" i="4" s="1"/>
  <c r="FX131" i="4"/>
  <c r="FY131" i="4" s="1"/>
  <c r="FH131" i="4"/>
  <c r="FI131" i="4" s="1"/>
  <c r="ES131" i="4"/>
  <c r="GF132" i="4"/>
  <c r="GG132" i="4" s="1"/>
  <c r="GB132" i="4"/>
  <c r="GC132" i="4" s="1"/>
  <c r="FX132" i="4"/>
  <c r="FY132" i="4" s="1"/>
  <c r="FT132" i="4"/>
  <c r="FU132" i="4" s="1"/>
  <c r="FP132" i="4"/>
  <c r="FQ132" i="4" s="1"/>
  <c r="FL132" i="4"/>
  <c r="FM132" i="4" s="1"/>
  <c r="FH132" i="4"/>
  <c r="FI132" i="4" s="1"/>
  <c r="FD132" i="4"/>
  <c r="FE132" i="4" s="1"/>
  <c r="EZ132" i="4"/>
  <c r="FA132" i="4" s="1"/>
  <c r="EV132" i="4"/>
  <c r="EW132" i="4" s="1"/>
  <c r="ES132" i="4"/>
  <c r="GH132" i="4"/>
  <c r="GI132" i="4" s="1"/>
  <c r="GD132" i="4"/>
  <c r="GE132" i="4" s="1"/>
  <c r="FZ132" i="4"/>
  <c r="GA132" i="4" s="1"/>
  <c r="FV132" i="4"/>
  <c r="FW132" i="4" s="1"/>
  <c r="FR132" i="4"/>
  <c r="FS132" i="4" s="1"/>
  <c r="FN132" i="4"/>
  <c r="FO132" i="4" s="1"/>
  <c r="FJ132" i="4"/>
  <c r="FK132" i="4" s="1"/>
  <c r="FF132" i="4"/>
  <c r="FG132" i="4" s="1"/>
  <c r="FB132" i="4"/>
  <c r="FC132" i="4" s="1"/>
  <c r="EX132" i="4"/>
  <c r="EY132" i="4" s="1"/>
  <c r="ET132" i="4"/>
  <c r="EU132" i="4" s="1"/>
  <c r="H126" i="4"/>
  <c r="CD126" i="4"/>
  <c r="CE126" i="4" s="1"/>
  <c r="CL126" i="4"/>
  <c r="CM126" i="4" s="1"/>
  <c r="CT126" i="4"/>
  <c r="CU126" i="4" s="1"/>
  <c r="DB126" i="4"/>
  <c r="DC126" i="4" s="1"/>
  <c r="DJ126" i="4"/>
  <c r="DK126" i="4" s="1"/>
  <c r="CF126" i="4"/>
  <c r="CG126" i="4" s="1"/>
  <c r="CN126" i="4"/>
  <c r="CO126" i="4" s="1"/>
  <c r="CV126" i="4"/>
  <c r="CW126" i="4" s="1"/>
  <c r="DD126" i="4"/>
  <c r="DE126" i="4" s="1"/>
  <c r="DL126" i="4"/>
  <c r="DM126" i="4" s="1"/>
  <c r="G127" i="4"/>
  <c r="BY127" i="4" s="1"/>
  <c r="EQ127" i="4" s="1"/>
  <c r="ER127" i="4" s="1"/>
  <c r="GH127" i="4" s="1"/>
  <c r="GI127" i="4" s="1"/>
  <c r="DN126" i="4"/>
  <c r="DO126" i="4" s="1"/>
  <c r="CB126" i="4"/>
  <c r="CC126" i="4" s="1"/>
  <c r="CJ126" i="4"/>
  <c r="CK126" i="4" s="1"/>
  <c r="CR126" i="4"/>
  <c r="CS126" i="4" s="1"/>
  <c r="CZ126" i="4"/>
  <c r="DA126" i="4" s="1"/>
  <c r="DH126" i="4"/>
  <c r="DI126" i="4" s="1"/>
  <c r="EQ122" i="4"/>
  <c r="ER122" i="4" s="1"/>
  <c r="FV122" i="4" s="1"/>
  <c r="FW122" i="4" s="1"/>
  <c r="BZ122" i="4"/>
  <c r="FP118" i="4"/>
  <c r="FQ118" i="4" s="1"/>
  <c r="FN120" i="4"/>
  <c r="FO120" i="4" s="1"/>
  <c r="FL125" i="4"/>
  <c r="FM125" i="4" s="1"/>
  <c r="FT118" i="4"/>
  <c r="FU118" i="4" s="1"/>
  <c r="FR120" i="4"/>
  <c r="FS120" i="4" s="1"/>
  <c r="FZ123" i="4"/>
  <c r="GA123" i="4" s="1"/>
  <c r="GF118" i="4"/>
  <c r="GG118" i="4" s="1"/>
  <c r="GD123" i="4"/>
  <c r="GE123" i="4" s="1"/>
  <c r="FB120" i="4"/>
  <c r="FC120" i="4" s="1"/>
  <c r="EQ117" i="4"/>
  <c r="ER117" i="4" s="1"/>
  <c r="BZ117" i="4"/>
  <c r="DP117" i="4" s="1"/>
  <c r="DQ117" i="4" s="1"/>
  <c r="H23" i="4"/>
  <c r="BZ23" i="4"/>
  <c r="FZ93" i="4"/>
  <c r="GA93" i="4" s="1"/>
  <c r="ET93" i="4"/>
  <c r="EU93" i="4" s="1"/>
  <c r="BZ93" i="4"/>
  <c r="GF93" i="4"/>
  <c r="GG93" i="4" s="1"/>
  <c r="GB93" i="4"/>
  <c r="GC93" i="4" s="1"/>
  <c r="FX93" i="4"/>
  <c r="FY93" i="4" s="1"/>
  <c r="FT93" i="4"/>
  <c r="FU93" i="4" s="1"/>
  <c r="FP93" i="4"/>
  <c r="FQ93" i="4" s="1"/>
  <c r="FL93" i="4"/>
  <c r="FM93" i="4" s="1"/>
  <c r="FH93" i="4"/>
  <c r="FI93" i="4" s="1"/>
  <c r="FD93" i="4"/>
  <c r="FE93" i="4" s="1"/>
  <c r="EZ93" i="4"/>
  <c r="FA93" i="4" s="1"/>
  <c r="EV93" i="4"/>
  <c r="EW93" i="4" s="1"/>
  <c r="ES93" i="4"/>
  <c r="GH93" i="4"/>
  <c r="GI93" i="4" s="1"/>
  <c r="FR93" i="4"/>
  <c r="FS93" i="4" s="1"/>
  <c r="FB93" i="4"/>
  <c r="FC93" i="4" s="1"/>
  <c r="FV93" i="4"/>
  <c r="FW93" i="4" s="1"/>
  <c r="FF93" i="4"/>
  <c r="FG93" i="4" s="1"/>
  <c r="GD93" i="4"/>
  <c r="GE93" i="4" s="1"/>
  <c r="FN93" i="4"/>
  <c r="FO93" i="4" s="1"/>
  <c r="EX93" i="4"/>
  <c r="EY93" i="4" s="1"/>
  <c r="GD92" i="4"/>
  <c r="GE92" i="4" s="1"/>
  <c r="FX92" i="4"/>
  <c r="FY92" i="4" s="1"/>
  <c r="FN92" i="4"/>
  <c r="FO92" i="4" s="1"/>
  <c r="FH92" i="4"/>
  <c r="FI92" i="4" s="1"/>
  <c r="EX92" i="4"/>
  <c r="EY92" i="4" s="1"/>
  <c r="ES92" i="4"/>
  <c r="GH92" i="4"/>
  <c r="GI92" i="4" s="1"/>
  <c r="GB92" i="4"/>
  <c r="GC92" i="4" s="1"/>
  <c r="FR92" i="4"/>
  <c r="FS92" i="4" s="1"/>
  <c r="FL92" i="4"/>
  <c r="FM92" i="4" s="1"/>
  <c r="FB92" i="4"/>
  <c r="FC92" i="4" s="1"/>
  <c r="EV92" i="4"/>
  <c r="EW92" i="4" s="1"/>
  <c r="FZ92" i="4"/>
  <c r="GA92" i="4" s="1"/>
  <c r="FT92" i="4"/>
  <c r="FU92" i="4" s="1"/>
  <c r="FJ92" i="4"/>
  <c r="FK92" i="4" s="1"/>
  <c r="FD92" i="4"/>
  <c r="FE92" i="4" s="1"/>
  <c r="ET92" i="4"/>
  <c r="EU92" i="4" s="1"/>
  <c r="FT53" i="4"/>
  <c r="FU53" i="4" s="1"/>
  <c r="FD53" i="4"/>
  <c r="FE53" i="4" s="1"/>
  <c r="GH53" i="4"/>
  <c r="GI53" i="4" s="1"/>
  <c r="FR53" i="4"/>
  <c r="FS53" i="4" s="1"/>
  <c r="FB53" i="4"/>
  <c r="FC53" i="4" s="1"/>
  <c r="I53" i="4"/>
  <c r="J53" i="4"/>
  <c r="K53" i="4" s="1"/>
  <c r="P53" i="4"/>
  <c r="Q53" i="4" s="1"/>
  <c r="R53" i="4"/>
  <c r="S53" i="4" s="1"/>
  <c r="AX53" i="4"/>
  <c r="AY53" i="4" s="1"/>
  <c r="CJ53" i="4"/>
  <c r="CK53" i="4" s="1"/>
  <c r="CZ53" i="4"/>
  <c r="DA53" i="4" s="1"/>
  <c r="DP53" i="4"/>
  <c r="DQ53" i="4" s="1"/>
  <c r="N53" i="4"/>
  <c r="O53" i="4" s="1"/>
  <c r="T53" i="4"/>
  <c r="U53" i="4" s="1"/>
  <c r="Z53" i="4"/>
  <c r="AA53" i="4" s="1"/>
  <c r="AB53" i="4"/>
  <c r="AC53" i="4" s="1"/>
  <c r="AF53" i="4"/>
  <c r="AG53" i="4" s="1"/>
  <c r="AN53" i="4"/>
  <c r="AO53" i="4" s="1"/>
  <c r="AT53" i="4"/>
  <c r="AU53" i="4" s="1"/>
  <c r="AV53" i="4"/>
  <c r="AW53" i="4" s="1"/>
  <c r="L53" i="4"/>
  <c r="M53" i="4" s="1"/>
  <c r="AJ53" i="4"/>
  <c r="AK53" i="4" s="1"/>
  <c r="AL53" i="4"/>
  <c r="AM53" i="4" s="1"/>
  <c r="AP53" i="4"/>
  <c r="AQ53" i="4" s="1"/>
  <c r="CL53" i="4"/>
  <c r="CM53" i="4" s="1"/>
  <c r="DB53" i="4"/>
  <c r="DC53" i="4" s="1"/>
  <c r="GH52" i="4"/>
  <c r="GI52" i="4" s="1"/>
  <c r="GD52" i="4"/>
  <c r="GE52" i="4" s="1"/>
  <c r="FZ52" i="4"/>
  <c r="GA52" i="4" s="1"/>
  <c r="FV52" i="4"/>
  <c r="FW52" i="4" s="1"/>
  <c r="FR52" i="4"/>
  <c r="FS52" i="4" s="1"/>
  <c r="FN52" i="4"/>
  <c r="FO52" i="4" s="1"/>
  <c r="FJ52" i="4"/>
  <c r="FK52" i="4" s="1"/>
  <c r="FF52" i="4"/>
  <c r="FG52" i="4" s="1"/>
  <c r="FB52" i="4"/>
  <c r="FC52" i="4" s="1"/>
  <c r="EX52" i="4"/>
  <c r="EY52" i="4" s="1"/>
  <c r="ET52" i="4"/>
  <c r="EU52" i="4" s="1"/>
  <c r="GF52" i="4"/>
  <c r="GG52" i="4" s="1"/>
  <c r="GB52" i="4"/>
  <c r="GC52" i="4" s="1"/>
  <c r="FX52" i="4"/>
  <c r="FY52" i="4" s="1"/>
  <c r="FT52" i="4"/>
  <c r="FU52" i="4" s="1"/>
  <c r="FP52" i="4"/>
  <c r="FQ52" i="4" s="1"/>
  <c r="FL52" i="4"/>
  <c r="FM52" i="4" s="1"/>
  <c r="FH52" i="4"/>
  <c r="FI52" i="4" s="1"/>
  <c r="FD52" i="4"/>
  <c r="FE52" i="4" s="1"/>
  <c r="EZ52" i="4"/>
  <c r="FA52" i="4" s="1"/>
  <c r="EV52" i="4"/>
  <c r="EW52" i="4" s="1"/>
  <c r="ES52" i="4"/>
  <c r="BZ52" i="4"/>
  <c r="AT52" i="4"/>
  <c r="AU52" i="4" s="1"/>
  <c r="AX52" i="4"/>
  <c r="AY52" i="4" s="1"/>
  <c r="AP52" i="4"/>
  <c r="AQ52" i="4" s="1"/>
  <c r="G54" i="4"/>
  <c r="GB37" i="4"/>
  <c r="GC37" i="4" s="1"/>
  <c r="FT37" i="4"/>
  <c r="FU37" i="4" s="1"/>
  <c r="FL37" i="4"/>
  <c r="FM37" i="4" s="1"/>
  <c r="FD37" i="4"/>
  <c r="FE37" i="4" s="1"/>
  <c r="EV37" i="4"/>
  <c r="EW37" i="4" s="1"/>
  <c r="GH37" i="4"/>
  <c r="GI37" i="4" s="1"/>
  <c r="FZ37" i="4"/>
  <c r="GA37" i="4" s="1"/>
  <c r="FR37" i="4"/>
  <c r="FS37" i="4" s="1"/>
  <c r="FJ37" i="4"/>
  <c r="FK37" i="4" s="1"/>
  <c r="FB37" i="4"/>
  <c r="FC37" i="4" s="1"/>
  <c r="ET37" i="4"/>
  <c r="EU37" i="4" s="1"/>
  <c r="GF37" i="4"/>
  <c r="GG37" i="4" s="1"/>
  <c r="FX37" i="4"/>
  <c r="FY37" i="4" s="1"/>
  <c r="FP37" i="4"/>
  <c r="FQ37" i="4" s="1"/>
  <c r="FH37" i="4"/>
  <c r="FI37" i="4" s="1"/>
  <c r="EZ37" i="4"/>
  <c r="FA37" i="4" s="1"/>
  <c r="ES37" i="4"/>
  <c r="GF38" i="4"/>
  <c r="GG38" i="4" s="1"/>
  <c r="GB38" i="4"/>
  <c r="GC38" i="4" s="1"/>
  <c r="FX38" i="4"/>
  <c r="FY38" i="4" s="1"/>
  <c r="FT38" i="4"/>
  <c r="FU38" i="4" s="1"/>
  <c r="FP38" i="4"/>
  <c r="FQ38" i="4" s="1"/>
  <c r="FL38" i="4"/>
  <c r="FM38" i="4" s="1"/>
  <c r="FH38" i="4"/>
  <c r="FI38" i="4" s="1"/>
  <c r="FD38" i="4"/>
  <c r="FE38" i="4" s="1"/>
  <c r="EZ38" i="4"/>
  <c r="FA38" i="4" s="1"/>
  <c r="EV38" i="4"/>
  <c r="EW38" i="4" s="1"/>
  <c r="ES38" i="4"/>
  <c r="GH38" i="4"/>
  <c r="GI38" i="4" s="1"/>
  <c r="GD38" i="4"/>
  <c r="GE38" i="4" s="1"/>
  <c r="FZ38" i="4"/>
  <c r="GA38" i="4" s="1"/>
  <c r="FV38" i="4"/>
  <c r="FW38" i="4" s="1"/>
  <c r="FR38" i="4"/>
  <c r="FS38" i="4" s="1"/>
  <c r="FN38" i="4"/>
  <c r="FO38" i="4" s="1"/>
  <c r="FJ38" i="4"/>
  <c r="FK38" i="4" s="1"/>
  <c r="FF38" i="4"/>
  <c r="FG38" i="4" s="1"/>
  <c r="FB38" i="4"/>
  <c r="FC38" i="4" s="1"/>
  <c r="EX38" i="4"/>
  <c r="EY38" i="4" s="1"/>
  <c r="ET38" i="4"/>
  <c r="EU38" i="4" s="1"/>
  <c r="DB37" i="4"/>
  <c r="DC37" i="4" s="1"/>
  <c r="DF37" i="4"/>
  <c r="DG37" i="4" s="1"/>
  <c r="DJ37" i="4"/>
  <c r="DK37" i="4" s="1"/>
  <c r="GH40" i="4"/>
  <c r="GI40" i="4" s="1"/>
  <c r="GD40" i="4"/>
  <c r="GE40" i="4" s="1"/>
  <c r="FZ40" i="4"/>
  <c r="GA40" i="4" s="1"/>
  <c r="FV40" i="4"/>
  <c r="FW40" i="4" s="1"/>
  <c r="FR40" i="4"/>
  <c r="FS40" i="4" s="1"/>
  <c r="FN40" i="4"/>
  <c r="FO40" i="4" s="1"/>
  <c r="FJ40" i="4"/>
  <c r="FK40" i="4" s="1"/>
  <c r="FF40" i="4"/>
  <c r="FG40" i="4" s="1"/>
  <c r="FB40" i="4"/>
  <c r="FC40" i="4" s="1"/>
  <c r="EX40" i="4"/>
  <c r="EY40" i="4" s="1"/>
  <c r="ET40" i="4"/>
  <c r="EU40" i="4" s="1"/>
  <c r="GF40" i="4"/>
  <c r="GG40" i="4" s="1"/>
  <c r="GB40" i="4"/>
  <c r="GC40" i="4" s="1"/>
  <c r="FX40" i="4"/>
  <c r="FY40" i="4" s="1"/>
  <c r="FT40" i="4"/>
  <c r="FU40" i="4" s="1"/>
  <c r="FP40" i="4"/>
  <c r="FQ40" i="4" s="1"/>
  <c r="FL40" i="4"/>
  <c r="FM40" i="4" s="1"/>
  <c r="FH40" i="4"/>
  <c r="FI40" i="4" s="1"/>
  <c r="FD40" i="4"/>
  <c r="FE40" i="4" s="1"/>
  <c r="EZ40" i="4"/>
  <c r="FA40" i="4" s="1"/>
  <c r="EV40" i="4"/>
  <c r="EW40" i="4" s="1"/>
  <c r="ES40" i="4"/>
  <c r="GH36" i="4"/>
  <c r="GI36" i="4" s="1"/>
  <c r="GD36" i="4"/>
  <c r="GE36" i="4" s="1"/>
  <c r="FZ36" i="4"/>
  <c r="GA36" i="4" s="1"/>
  <c r="FV36" i="4"/>
  <c r="FW36" i="4" s="1"/>
  <c r="FR36" i="4"/>
  <c r="FS36" i="4" s="1"/>
  <c r="FN36" i="4"/>
  <c r="FO36" i="4" s="1"/>
  <c r="FJ36" i="4"/>
  <c r="FK36" i="4" s="1"/>
  <c r="FF36" i="4"/>
  <c r="FG36" i="4" s="1"/>
  <c r="FB36" i="4"/>
  <c r="FC36" i="4" s="1"/>
  <c r="EX36" i="4"/>
  <c r="EY36" i="4" s="1"/>
  <c r="ET36" i="4"/>
  <c r="EU36" i="4" s="1"/>
  <c r="GF36" i="4"/>
  <c r="GG36" i="4" s="1"/>
  <c r="GB36" i="4"/>
  <c r="GC36" i="4" s="1"/>
  <c r="FX36" i="4"/>
  <c r="FY36" i="4" s="1"/>
  <c r="FT36" i="4"/>
  <c r="FU36" i="4" s="1"/>
  <c r="FP36" i="4"/>
  <c r="FQ36" i="4" s="1"/>
  <c r="FL36" i="4"/>
  <c r="FM36" i="4" s="1"/>
  <c r="FH36" i="4"/>
  <c r="FI36" i="4" s="1"/>
  <c r="FD36" i="4"/>
  <c r="FE36" i="4" s="1"/>
  <c r="EZ36" i="4"/>
  <c r="FA36" i="4" s="1"/>
  <c r="EV36" i="4"/>
  <c r="EW36" i="4" s="1"/>
  <c r="ES36" i="4"/>
  <c r="EQ39" i="4"/>
  <c r="ER39" i="4" s="1"/>
  <c r="BZ39" i="4"/>
  <c r="GH42" i="4"/>
  <c r="GI42" i="4" s="1"/>
  <c r="GD42" i="4"/>
  <c r="GE42" i="4" s="1"/>
  <c r="FZ42" i="4"/>
  <c r="GA42" i="4" s="1"/>
  <c r="FV42" i="4"/>
  <c r="FW42" i="4" s="1"/>
  <c r="FR42" i="4"/>
  <c r="FS42" i="4" s="1"/>
  <c r="FN42" i="4"/>
  <c r="FO42" i="4" s="1"/>
  <c r="FJ42" i="4"/>
  <c r="FK42" i="4" s="1"/>
  <c r="FF42" i="4"/>
  <c r="FG42" i="4" s="1"/>
  <c r="FB42" i="4"/>
  <c r="FC42" i="4" s="1"/>
  <c r="EX42" i="4"/>
  <c r="EY42" i="4" s="1"/>
  <c r="ET42" i="4"/>
  <c r="EU42" i="4" s="1"/>
  <c r="GB42" i="4"/>
  <c r="GC42" i="4" s="1"/>
  <c r="FT42" i="4"/>
  <c r="FU42" i="4" s="1"/>
  <c r="FL42" i="4"/>
  <c r="FM42" i="4" s="1"/>
  <c r="FD42" i="4"/>
  <c r="FE42" i="4" s="1"/>
  <c r="EV42" i="4"/>
  <c r="EW42" i="4" s="1"/>
  <c r="GF42" i="4"/>
  <c r="GG42" i="4" s="1"/>
  <c r="FX42" i="4"/>
  <c r="FY42" i="4" s="1"/>
  <c r="FP42" i="4"/>
  <c r="FQ42" i="4" s="1"/>
  <c r="FH42" i="4"/>
  <c r="FI42" i="4" s="1"/>
  <c r="EZ42" i="4"/>
  <c r="FA42" i="4" s="1"/>
  <c r="ES42" i="4"/>
  <c r="GF43" i="4"/>
  <c r="GG43" i="4" s="1"/>
  <c r="GB43" i="4"/>
  <c r="GC43" i="4" s="1"/>
  <c r="FX43" i="4"/>
  <c r="FY43" i="4" s="1"/>
  <c r="FT43" i="4"/>
  <c r="FU43" i="4" s="1"/>
  <c r="FP43" i="4"/>
  <c r="FQ43" i="4" s="1"/>
  <c r="FL43" i="4"/>
  <c r="FM43" i="4" s="1"/>
  <c r="FH43" i="4"/>
  <c r="FI43" i="4" s="1"/>
  <c r="FD43" i="4"/>
  <c r="FE43" i="4" s="1"/>
  <c r="EZ43" i="4"/>
  <c r="FA43" i="4" s="1"/>
  <c r="EV43" i="4"/>
  <c r="EW43" i="4" s="1"/>
  <c r="ES43" i="4"/>
  <c r="GH43" i="4"/>
  <c r="GI43" i="4" s="1"/>
  <c r="FZ43" i="4"/>
  <c r="GA43" i="4" s="1"/>
  <c r="FR43" i="4"/>
  <c r="FS43" i="4" s="1"/>
  <c r="FJ43" i="4"/>
  <c r="FK43" i="4" s="1"/>
  <c r="FB43" i="4"/>
  <c r="FC43" i="4" s="1"/>
  <c r="ET43" i="4"/>
  <c r="EU43" i="4" s="1"/>
  <c r="GD43" i="4"/>
  <c r="GE43" i="4" s="1"/>
  <c r="FV43" i="4"/>
  <c r="FW43" i="4" s="1"/>
  <c r="FN43" i="4"/>
  <c r="FO43" i="4" s="1"/>
  <c r="FF43" i="4"/>
  <c r="FG43" i="4" s="1"/>
  <c r="EX43" i="4"/>
  <c r="EY43" i="4" s="1"/>
  <c r="GH46" i="4"/>
  <c r="GI46" i="4" s="1"/>
  <c r="GD46" i="4"/>
  <c r="GE46" i="4" s="1"/>
  <c r="FZ46" i="4"/>
  <c r="GA46" i="4" s="1"/>
  <c r="FV46" i="4"/>
  <c r="FW46" i="4" s="1"/>
  <c r="FR46" i="4"/>
  <c r="FS46" i="4" s="1"/>
  <c r="FN46" i="4"/>
  <c r="FO46" i="4" s="1"/>
  <c r="FJ46" i="4"/>
  <c r="FK46" i="4" s="1"/>
  <c r="FF46" i="4"/>
  <c r="FG46" i="4" s="1"/>
  <c r="FB46" i="4"/>
  <c r="FC46" i="4" s="1"/>
  <c r="EX46" i="4"/>
  <c r="EY46" i="4" s="1"/>
  <c r="ET46" i="4"/>
  <c r="EU46" i="4" s="1"/>
  <c r="GF46" i="4"/>
  <c r="GG46" i="4" s="1"/>
  <c r="FP46" i="4"/>
  <c r="FQ46" i="4" s="1"/>
  <c r="GB46" i="4"/>
  <c r="GC46" i="4" s="1"/>
  <c r="FL46" i="4"/>
  <c r="FM46" i="4" s="1"/>
  <c r="EZ46" i="4"/>
  <c r="FA46" i="4" s="1"/>
  <c r="ES46" i="4"/>
  <c r="FX46" i="4"/>
  <c r="FY46" i="4" s="1"/>
  <c r="FH46" i="4"/>
  <c r="FI46" i="4" s="1"/>
  <c r="GH41" i="4"/>
  <c r="GI41" i="4" s="1"/>
  <c r="GD41" i="4"/>
  <c r="GE41" i="4" s="1"/>
  <c r="FZ41" i="4"/>
  <c r="GA41" i="4" s="1"/>
  <c r="FV41" i="4"/>
  <c r="FW41" i="4" s="1"/>
  <c r="FR41" i="4"/>
  <c r="FS41" i="4" s="1"/>
  <c r="FN41" i="4"/>
  <c r="FO41" i="4" s="1"/>
  <c r="FJ41" i="4"/>
  <c r="FK41" i="4" s="1"/>
  <c r="FF41" i="4"/>
  <c r="FG41" i="4" s="1"/>
  <c r="FB41" i="4"/>
  <c r="FC41" i="4" s="1"/>
  <c r="EX41" i="4"/>
  <c r="EY41" i="4" s="1"/>
  <c r="ET41" i="4"/>
  <c r="EU41" i="4" s="1"/>
  <c r="GF41" i="4"/>
  <c r="GG41" i="4" s="1"/>
  <c r="FX41" i="4"/>
  <c r="FY41" i="4" s="1"/>
  <c r="FP41" i="4"/>
  <c r="FQ41" i="4" s="1"/>
  <c r="FH41" i="4"/>
  <c r="FI41" i="4" s="1"/>
  <c r="EZ41" i="4"/>
  <c r="FA41" i="4" s="1"/>
  <c r="ES41" i="4"/>
  <c r="EV46" i="4"/>
  <c r="EW46" i="4" s="1"/>
  <c r="AV44" i="4"/>
  <c r="AW44" i="4" s="1"/>
  <c r="AR44" i="4"/>
  <c r="AS44" i="4" s="1"/>
  <c r="AN44" i="4"/>
  <c r="AO44" i="4" s="1"/>
  <c r="AJ44" i="4"/>
  <c r="AK44" i="4" s="1"/>
  <c r="AF44" i="4"/>
  <c r="AG44" i="4" s="1"/>
  <c r="AB44" i="4"/>
  <c r="AC44" i="4" s="1"/>
  <c r="X44" i="4"/>
  <c r="Y44" i="4" s="1"/>
  <c r="T44" i="4"/>
  <c r="U44" i="4" s="1"/>
  <c r="P44" i="4"/>
  <c r="Q44" i="4" s="1"/>
  <c r="L44" i="4"/>
  <c r="M44" i="4" s="1"/>
  <c r="I44" i="4"/>
  <c r="AX44" i="4"/>
  <c r="AY44" i="4" s="1"/>
  <c r="AT44" i="4"/>
  <c r="AU44" i="4" s="1"/>
  <c r="AP44" i="4"/>
  <c r="AQ44" i="4" s="1"/>
  <c r="AL44" i="4"/>
  <c r="AM44" i="4" s="1"/>
  <c r="AH44" i="4"/>
  <c r="AI44" i="4" s="1"/>
  <c r="AD44" i="4"/>
  <c r="AE44" i="4" s="1"/>
  <c r="Z44" i="4"/>
  <c r="AA44" i="4" s="1"/>
  <c r="V44" i="4"/>
  <c r="W44" i="4" s="1"/>
  <c r="R44" i="4"/>
  <c r="S44" i="4" s="1"/>
  <c r="N44" i="4"/>
  <c r="O44" i="4" s="1"/>
  <c r="J44" i="4"/>
  <c r="K44" i="4" s="1"/>
  <c r="GF50" i="4"/>
  <c r="GG50" i="4" s="1"/>
  <c r="GB50" i="4"/>
  <c r="GC50" i="4" s="1"/>
  <c r="FX50" i="4"/>
  <c r="FY50" i="4" s="1"/>
  <c r="FT50" i="4"/>
  <c r="FU50" i="4" s="1"/>
  <c r="FP50" i="4"/>
  <c r="FQ50" i="4" s="1"/>
  <c r="FL50" i="4"/>
  <c r="FM50" i="4" s="1"/>
  <c r="FH50" i="4"/>
  <c r="FI50" i="4" s="1"/>
  <c r="FD50" i="4"/>
  <c r="FE50" i="4" s="1"/>
  <c r="EZ50" i="4"/>
  <c r="FA50" i="4" s="1"/>
  <c r="EV50" i="4"/>
  <c r="EW50" i="4" s="1"/>
  <c r="ES50" i="4"/>
  <c r="GH50" i="4"/>
  <c r="GI50" i="4" s="1"/>
  <c r="GD50" i="4"/>
  <c r="GE50" i="4" s="1"/>
  <c r="FZ50" i="4"/>
  <c r="GA50" i="4" s="1"/>
  <c r="FV50" i="4"/>
  <c r="FW50" i="4" s="1"/>
  <c r="FR50" i="4"/>
  <c r="FS50" i="4" s="1"/>
  <c r="FN50" i="4"/>
  <c r="FO50" i="4" s="1"/>
  <c r="FJ50" i="4"/>
  <c r="FK50" i="4" s="1"/>
  <c r="FF50" i="4"/>
  <c r="FG50" i="4" s="1"/>
  <c r="FB50" i="4"/>
  <c r="FC50" i="4" s="1"/>
  <c r="EX50" i="4"/>
  <c r="EY50" i="4" s="1"/>
  <c r="ET50" i="4"/>
  <c r="EU50" i="4" s="1"/>
  <c r="GH49" i="4"/>
  <c r="GI49" i="4" s="1"/>
  <c r="GD49" i="4"/>
  <c r="GE49" i="4" s="1"/>
  <c r="FZ49" i="4"/>
  <c r="GA49" i="4" s="1"/>
  <c r="FV49" i="4"/>
  <c r="FW49" i="4" s="1"/>
  <c r="FR49" i="4"/>
  <c r="FS49" i="4" s="1"/>
  <c r="FN49" i="4"/>
  <c r="FO49" i="4" s="1"/>
  <c r="FJ49" i="4"/>
  <c r="FK49" i="4" s="1"/>
  <c r="FF49" i="4"/>
  <c r="FG49" i="4" s="1"/>
  <c r="FB49" i="4"/>
  <c r="FC49" i="4" s="1"/>
  <c r="EX49" i="4"/>
  <c r="EY49" i="4" s="1"/>
  <c r="ET49" i="4"/>
  <c r="EU49" i="4" s="1"/>
  <c r="GB49" i="4"/>
  <c r="GC49" i="4" s="1"/>
  <c r="FL49" i="4"/>
  <c r="FM49" i="4" s="1"/>
  <c r="EV49" i="4"/>
  <c r="EW49" i="4" s="1"/>
  <c r="FX49" i="4"/>
  <c r="FY49" i="4" s="1"/>
  <c r="FH49" i="4"/>
  <c r="FI49" i="4" s="1"/>
  <c r="ES49" i="4"/>
  <c r="GF49" i="4"/>
  <c r="GG49" i="4" s="1"/>
  <c r="FP49" i="4"/>
  <c r="FQ49" i="4" s="1"/>
  <c r="EZ49" i="4"/>
  <c r="FA49" i="4" s="1"/>
  <c r="GF47" i="4"/>
  <c r="GG47" i="4" s="1"/>
  <c r="GB47" i="4"/>
  <c r="GC47" i="4" s="1"/>
  <c r="FX47" i="4"/>
  <c r="FY47" i="4" s="1"/>
  <c r="FT47" i="4"/>
  <c r="FU47" i="4" s="1"/>
  <c r="EX51" i="4"/>
  <c r="EY51" i="4" s="1"/>
  <c r="FN51" i="4"/>
  <c r="FO51" i="4" s="1"/>
  <c r="BZ44" i="4"/>
  <c r="EQ44" i="4"/>
  <c r="ER44" i="4" s="1"/>
  <c r="GH48" i="4"/>
  <c r="GI48" i="4" s="1"/>
  <c r="GD48" i="4"/>
  <c r="GE48" i="4" s="1"/>
  <c r="FZ48" i="4"/>
  <c r="GA48" i="4" s="1"/>
  <c r="FV48" i="4"/>
  <c r="FW48" i="4" s="1"/>
  <c r="FR48" i="4"/>
  <c r="FS48" i="4" s="1"/>
  <c r="FN48" i="4"/>
  <c r="FO48" i="4" s="1"/>
  <c r="FJ48" i="4"/>
  <c r="FK48" i="4" s="1"/>
  <c r="FF48" i="4"/>
  <c r="FG48" i="4" s="1"/>
  <c r="FB48" i="4"/>
  <c r="FC48" i="4" s="1"/>
  <c r="EX48" i="4"/>
  <c r="EY48" i="4" s="1"/>
  <c r="ET48" i="4"/>
  <c r="EU48" i="4" s="1"/>
  <c r="GF48" i="4"/>
  <c r="GG48" i="4" s="1"/>
  <c r="GB48" i="4"/>
  <c r="GC48" i="4" s="1"/>
  <c r="FX48" i="4"/>
  <c r="FY48" i="4" s="1"/>
  <c r="FT48" i="4"/>
  <c r="FU48" i="4" s="1"/>
  <c r="FP48" i="4"/>
  <c r="FQ48" i="4" s="1"/>
  <c r="FL48" i="4"/>
  <c r="FM48" i="4" s="1"/>
  <c r="FH48" i="4"/>
  <c r="FI48" i="4" s="1"/>
  <c r="FD48" i="4"/>
  <c r="FE48" i="4" s="1"/>
  <c r="EZ48" i="4"/>
  <c r="FA48" i="4" s="1"/>
  <c r="EV48" i="4"/>
  <c r="EW48" i="4" s="1"/>
  <c r="ES48" i="4"/>
  <c r="GF51" i="4"/>
  <c r="GG51" i="4" s="1"/>
  <c r="GB51" i="4"/>
  <c r="GC51" i="4" s="1"/>
  <c r="FX51" i="4"/>
  <c r="FY51" i="4" s="1"/>
  <c r="FT51" i="4"/>
  <c r="FU51" i="4" s="1"/>
  <c r="FP51" i="4"/>
  <c r="FQ51" i="4" s="1"/>
  <c r="FL51" i="4"/>
  <c r="FM51" i="4" s="1"/>
  <c r="FH51" i="4"/>
  <c r="FI51" i="4" s="1"/>
  <c r="FD51" i="4"/>
  <c r="FE51" i="4" s="1"/>
  <c r="EZ51" i="4"/>
  <c r="FA51" i="4" s="1"/>
  <c r="EV51" i="4"/>
  <c r="EW51" i="4" s="1"/>
  <c r="ES51" i="4"/>
  <c r="FR47" i="4"/>
  <c r="FS47" i="4" s="1"/>
  <c r="GH47" i="4"/>
  <c r="GI47" i="4" s="1"/>
  <c r="ET51" i="4"/>
  <c r="EU51" i="4" s="1"/>
  <c r="FJ51" i="4"/>
  <c r="FK51" i="4" s="1"/>
  <c r="FZ51" i="4"/>
  <c r="GA51" i="4" s="1"/>
  <c r="GH35" i="4"/>
  <c r="GI35" i="4" s="1"/>
  <c r="GD35" i="4"/>
  <c r="GE35" i="4" s="1"/>
  <c r="FZ35" i="4"/>
  <c r="GA35" i="4" s="1"/>
  <c r="FV35" i="4"/>
  <c r="FW35" i="4" s="1"/>
  <c r="FR35" i="4"/>
  <c r="FS35" i="4" s="1"/>
  <c r="FN35" i="4"/>
  <c r="FO35" i="4" s="1"/>
  <c r="FJ35" i="4"/>
  <c r="FK35" i="4" s="1"/>
  <c r="FF35" i="4"/>
  <c r="FG35" i="4" s="1"/>
  <c r="FB35" i="4"/>
  <c r="FC35" i="4" s="1"/>
  <c r="EX35" i="4"/>
  <c r="EY35" i="4" s="1"/>
  <c r="ET35" i="4"/>
  <c r="EU35" i="4" s="1"/>
  <c r="GF35" i="4"/>
  <c r="GG35" i="4" s="1"/>
  <c r="GB35" i="4"/>
  <c r="GC35" i="4" s="1"/>
  <c r="FX35" i="4"/>
  <c r="FY35" i="4" s="1"/>
  <c r="FT35" i="4"/>
  <c r="FU35" i="4" s="1"/>
  <c r="FP35" i="4"/>
  <c r="FQ35" i="4" s="1"/>
  <c r="FL35" i="4"/>
  <c r="FM35" i="4" s="1"/>
  <c r="FH35" i="4"/>
  <c r="FI35" i="4" s="1"/>
  <c r="FD35" i="4"/>
  <c r="FE35" i="4" s="1"/>
  <c r="EZ35" i="4"/>
  <c r="FA35" i="4" s="1"/>
  <c r="EV35" i="4"/>
  <c r="EW35" i="4" s="1"/>
  <c r="ES35" i="4"/>
  <c r="G19" i="4"/>
  <c r="BZ35" i="4"/>
  <c r="X18" i="4"/>
  <c r="Y18" i="4" s="1"/>
  <c r="AH31" i="4"/>
  <c r="AI31" i="4" s="1"/>
  <c r="T31" i="4"/>
  <c r="U31" i="4" s="1"/>
  <c r="N31" i="4"/>
  <c r="O31" i="4" s="1"/>
  <c r="AX31" i="4"/>
  <c r="AY31" i="4" s="1"/>
  <c r="AP31" i="4"/>
  <c r="AQ31" i="4" s="1"/>
  <c r="AJ31" i="4"/>
  <c r="AK31" i="4" s="1"/>
  <c r="AB31" i="4"/>
  <c r="AC31" i="4" s="1"/>
  <c r="Z31" i="4"/>
  <c r="AA31" i="4" s="1"/>
  <c r="R31" i="4"/>
  <c r="S31" i="4" s="1"/>
  <c r="P31" i="4"/>
  <c r="Q31" i="4" s="1"/>
  <c r="L31" i="4"/>
  <c r="M31" i="4" s="1"/>
  <c r="I31" i="4"/>
  <c r="AN31" i="4"/>
  <c r="AO31" i="4" s="1"/>
  <c r="AD31" i="4"/>
  <c r="AE31" i="4" s="1"/>
  <c r="X31" i="4"/>
  <c r="Y31" i="4" s="1"/>
  <c r="V31" i="4"/>
  <c r="W31" i="4" s="1"/>
  <c r="J31" i="4"/>
  <c r="K31" i="4" s="1"/>
  <c r="AP18" i="4"/>
  <c r="AQ18" i="4" s="1"/>
  <c r="AJ18" i="4"/>
  <c r="AK18" i="4" s="1"/>
  <c r="AB18" i="4"/>
  <c r="AC18" i="4" s="1"/>
  <c r="Z18" i="4"/>
  <c r="AA18" i="4" s="1"/>
  <c r="R18" i="4"/>
  <c r="S18" i="4" s="1"/>
  <c r="P18" i="4"/>
  <c r="Q18" i="4" s="1"/>
  <c r="L18" i="4"/>
  <c r="M18" i="4" s="1"/>
  <c r="AX18" i="4"/>
  <c r="AY18" i="4" s="1"/>
  <c r="AV18" i="4"/>
  <c r="AW18" i="4" s="1"/>
  <c r="AT18" i="4"/>
  <c r="AU18" i="4" s="1"/>
  <c r="AR18" i="4"/>
  <c r="AS18" i="4" s="1"/>
  <c r="AL18" i="4"/>
  <c r="AM18" i="4" s="1"/>
  <c r="AF18" i="4"/>
  <c r="AG18" i="4" s="1"/>
  <c r="J18" i="4"/>
  <c r="K18" i="4" s="1"/>
  <c r="AH18" i="4"/>
  <c r="AI18" i="4" s="1"/>
  <c r="T18" i="4"/>
  <c r="U18" i="4" s="1"/>
  <c r="N18" i="4"/>
  <c r="O18" i="4" s="1"/>
  <c r="I18" i="4"/>
  <c r="AD18" i="4"/>
  <c r="AE18" i="4" s="1"/>
  <c r="AT31" i="4"/>
  <c r="AU31" i="4" s="1"/>
  <c r="DP18" i="4"/>
  <c r="DQ18" i="4" s="1"/>
  <c r="DL18" i="4"/>
  <c r="DM18" i="4" s="1"/>
  <c r="DH18" i="4"/>
  <c r="DI18" i="4" s="1"/>
  <c r="DD18" i="4"/>
  <c r="DE18" i="4" s="1"/>
  <c r="CZ18" i="4"/>
  <c r="DA18" i="4" s="1"/>
  <c r="CV18" i="4"/>
  <c r="CW18" i="4" s="1"/>
  <c r="CR18" i="4"/>
  <c r="CS18" i="4" s="1"/>
  <c r="CN18" i="4"/>
  <c r="CO18" i="4" s="1"/>
  <c r="CJ18" i="4"/>
  <c r="CK18" i="4" s="1"/>
  <c r="CF18" i="4"/>
  <c r="CG18" i="4" s="1"/>
  <c r="CB18" i="4"/>
  <c r="CC18" i="4" s="1"/>
  <c r="DF18" i="4"/>
  <c r="DG18" i="4" s="1"/>
  <c r="DJ18" i="4"/>
  <c r="DK18" i="4" s="1"/>
  <c r="DN18" i="4"/>
  <c r="DO18" i="4" s="1"/>
  <c r="EQ31" i="4"/>
  <c r="ER31" i="4" s="1"/>
  <c r="BZ31" i="4"/>
  <c r="EQ18" i="4"/>
  <c r="ER18" i="4" s="1"/>
  <c r="DP34" i="4"/>
  <c r="DQ34" i="4" s="1"/>
  <c r="DL34" i="4"/>
  <c r="DM34" i="4" s="1"/>
  <c r="DH34" i="4"/>
  <c r="DI34" i="4" s="1"/>
  <c r="DD34" i="4"/>
  <c r="DE34" i="4" s="1"/>
  <c r="CZ34" i="4"/>
  <c r="DA34" i="4" s="1"/>
  <c r="CV34" i="4"/>
  <c r="CW34" i="4" s="1"/>
  <c r="CR34" i="4"/>
  <c r="CS34" i="4" s="1"/>
  <c r="CN34" i="4"/>
  <c r="CO34" i="4" s="1"/>
  <c r="CJ34" i="4"/>
  <c r="CK34" i="4" s="1"/>
  <c r="CF34" i="4"/>
  <c r="CG34" i="4" s="1"/>
  <c r="CB34" i="4"/>
  <c r="CC34" i="4" s="1"/>
  <c r="DN34" i="4"/>
  <c r="DO34" i="4" s="1"/>
  <c r="DJ34" i="4"/>
  <c r="DK34" i="4" s="1"/>
  <c r="DF34" i="4"/>
  <c r="DG34" i="4" s="1"/>
  <c r="DB34" i="4"/>
  <c r="DC34" i="4" s="1"/>
  <c r="CX34" i="4"/>
  <c r="CY34" i="4" s="1"/>
  <c r="CT34" i="4"/>
  <c r="CU34" i="4" s="1"/>
  <c r="CP34" i="4"/>
  <c r="CQ34" i="4" s="1"/>
  <c r="CL34" i="4"/>
  <c r="CM34" i="4" s="1"/>
  <c r="CH34" i="4"/>
  <c r="CI34" i="4" s="1"/>
  <c r="CD34" i="4"/>
  <c r="CE34" i="4" s="1"/>
  <c r="CA34" i="4"/>
  <c r="FT34" i="4"/>
  <c r="FU34" i="4" s="1"/>
  <c r="FL34" i="4"/>
  <c r="FM34" i="4" s="1"/>
  <c r="EZ34" i="4"/>
  <c r="FA34" i="4" s="1"/>
  <c r="GF34" i="4"/>
  <c r="GG34" i="4" s="1"/>
  <c r="FX34" i="4"/>
  <c r="FY34" i="4" s="1"/>
  <c r="FH34" i="4"/>
  <c r="FI34" i="4" s="1"/>
  <c r="EV34" i="4"/>
  <c r="EW34" i="4" s="1"/>
  <c r="GH34" i="4"/>
  <c r="GI34" i="4" s="1"/>
  <c r="GD34" i="4"/>
  <c r="GE34" i="4" s="1"/>
  <c r="FZ34" i="4"/>
  <c r="GA34" i="4" s="1"/>
  <c r="FV34" i="4"/>
  <c r="FW34" i="4" s="1"/>
  <c r="FR34" i="4"/>
  <c r="FS34" i="4" s="1"/>
  <c r="FN34" i="4"/>
  <c r="FO34" i="4" s="1"/>
  <c r="FJ34" i="4"/>
  <c r="FK34" i="4" s="1"/>
  <c r="FF34" i="4"/>
  <c r="FG34" i="4" s="1"/>
  <c r="FB34" i="4"/>
  <c r="FC34" i="4" s="1"/>
  <c r="EX34" i="4"/>
  <c r="EY34" i="4" s="1"/>
  <c r="ET34" i="4"/>
  <c r="EU34" i="4" s="1"/>
  <c r="GB34" i="4"/>
  <c r="GC34" i="4" s="1"/>
  <c r="FP34" i="4"/>
  <c r="FQ34" i="4" s="1"/>
  <c r="FD34" i="4"/>
  <c r="FE34" i="4" s="1"/>
  <c r="ES34" i="4"/>
  <c r="FB88" i="4"/>
  <c r="FC88" i="4" s="1"/>
  <c r="AR67" i="4"/>
  <c r="AS67" i="4" s="1"/>
  <c r="AP67" i="4"/>
  <c r="AQ67" i="4" s="1"/>
  <c r="X67" i="4"/>
  <c r="Y67" i="4" s="1"/>
  <c r="T67" i="4"/>
  <c r="U67" i="4" s="1"/>
  <c r="N67" i="4"/>
  <c r="O67" i="4" s="1"/>
  <c r="AL67" i="4"/>
  <c r="AM67" i="4" s="1"/>
  <c r="AH67" i="4"/>
  <c r="AI67" i="4" s="1"/>
  <c r="P67" i="4"/>
  <c r="Q67" i="4" s="1"/>
  <c r="AF67" i="4"/>
  <c r="AG67" i="4" s="1"/>
  <c r="AB67" i="4"/>
  <c r="AC67" i="4" s="1"/>
  <c r="Z67" i="4"/>
  <c r="AA67" i="4" s="1"/>
  <c r="AL71" i="4"/>
  <c r="AM71" i="4" s="1"/>
  <c r="AH71" i="4"/>
  <c r="AI71" i="4" s="1"/>
  <c r="AB71" i="4"/>
  <c r="AC71" i="4" s="1"/>
  <c r="Z71" i="4"/>
  <c r="AA71" i="4" s="1"/>
  <c r="P71" i="4"/>
  <c r="Q71" i="4" s="1"/>
  <c r="AP71" i="4"/>
  <c r="AQ71" i="4" s="1"/>
  <c r="T71" i="4"/>
  <c r="U71" i="4" s="1"/>
  <c r="N71" i="4"/>
  <c r="O71" i="4" s="1"/>
  <c r="AN71" i="4"/>
  <c r="AO71" i="4" s="1"/>
  <c r="AJ71" i="4"/>
  <c r="AK71" i="4" s="1"/>
  <c r="AD71" i="4"/>
  <c r="AE71" i="4" s="1"/>
  <c r="V71" i="4"/>
  <c r="W71" i="4" s="1"/>
  <c r="R71" i="4"/>
  <c r="S71" i="4" s="1"/>
  <c r="AP75" i="4"/>
  <c r="AQ75" i="4" s="1"/>
  <c r="T75" i="4"/>
  <c r="U75" i="4" s="1"/>
  <c r="N75" i="4"/>
  <c r="O75" i="4" s="1"/>
  <c r="AL75" i="4"/>
  <c r="AM75" i="4" s="1"/>
  <c r="AH75" i="4"/>
  <c r="AI75" i="4" s="1"/>
  <c r="AB75" i="4"/>
  <c r="AC75" i="4" s="1"/>
  <c r="Z75" i="4"/>
  <c r="AA75" i="4" s="1"/>
  <c r="P75" i="4"/>
  <c r="Q75" i="4" s="1"/>
  <c r="AR75" i="4"/>
  <c r="AS75" i="4" s="1"/>
  <c r="AF75" i="4"/>
  <c r="AG75" i="4" s="1"/>
  <c r="X75" i="4"/>
  <c r="Y75" i="4" s="1"/>
  <c r="FT66" i="4"/>
  <c r="FU66" i="4" s="1"/>
  <c r="FD66" i="4"/>
  <c r="FE66" i="4" s="1"/>
  <c r="GB66" i="4"/>
  <c r="GC66" i="4" s="1"/>
  <c r="FL66" i="4"/>
  <c r="FM66" i="4" s="1"/>
  <c r="EV66" i="4"/>
  <c r="EW66" i="4" s="1"/>
  <c r="FX66" i="4"/>
  <c r="FY66" i="4" s="1"/>
  <c r="FH66" i="4"/>
  <c r="FI66" i="4" s="1"/>
  <c r="ES66" i="4"/>
  <c r="FX70" i="4"/>
  <c r="FY70" i="4" s="1"/>
  <c r="FH70" i="4"/>
  <c r="FI70" i="4" s="1"/>
  <c r="ES70" i="4"/>
  <c r="GF70" i="4"/>
  <c r="GG70" i="4" s="1"/>
  <c r="FP70" i="4"/>
  <c r="FQ70" i="4" s="1"/>
  <c r="EZ70" i="4"/>
  <c r="FA70" i="4" s="1"/>
  <c r="GB70" i="4"/>
  <c r="GC70" i="4" s="1"/>
  <c r="FL70" i="4"/>
  <c r="FM70" i="4" s="1"/>
  <c r="EV70" i="4"/>
  <c r="EW70" i="4" s="1"/>
  <c r="EQ85" i="4"/>
  <c r="ER85" i="4" s="1"/>
  <c r="BZ85" i="4"/>
  <c r="DH85" i="4" s="1"/>
  <c r="DI85" i="4" s="1"/>
  <c r="BY76" i="4"/>
  <c r="H76" i="4"/>
  <c r="BY82" i="4"/>
  <c r="H82" i="4"/>
  <c r="L67" i="4"/>
  <c r="M67" i="4" s="1"/>
  <c r="J75" i="4"/>
  <c r="K75" i="4" s="1"/>
  <c r="V75" i="4"/>
  <c r="W75" i="4" s="1"/>
  <c r="AD67" i="4"/>
  <c r="AE67" i="4" s="1"/>
  <c r="AF71" i="4"/>
  <c r="AG71" i="4" s="1"/>
  <c r="AJ67" i="4"/>
  <c r="AK67" i="4" s="1"/>
  <c r="AP83" i="4"/>
  <c r="AQ83" i="4" s="1"/>
  <c r="T83" i="4"/>
  <c r="U83" i="4" s="1"/>
  <c r="N83" i="4"/>
  <c r="O83" i="4" s="1"/>
  <c r="L83" i="4"/>
  <c r="M83" i="4" s="1"/>
  <c r="AL83" i="4"/>
  <c r="AM83" i="4" s="1"/>
  <c r="AH83" i="4"/>
  <c r="AI83" i="4" s="1"/>
  <c r="X83" i="4"/>
  <c r="Y83" i="4" s="1"/>
  <c r="P83" i="4"/>
  <c r="Q83" i="4" s="1"/>
  <c r="J83" i="4"/>
  <c r="K83" i="4" s="1"/>
  <c r="AR83" i="4"/>
  <c r="AS83" i="4" s="1"/>
  <c r="AF83" i="4"/>
  <c r="AG83" i="4" s="1"/>
  <c r="AL87" i="4"/>
  <c r="AM87" i="4" s="1"/>
  <c r="AH87" i="4"/>
  <c r="AI87" i="4" s="1"/>
  <c r="P87" i="4"/>
  <c r="Q87" i="4" s="1"/>
  <c r="AP87" i="4"/>
  <c r="AQ87" i="4" s="1"/>
  <c r="Z87" i="4"/>
  <c r="AA87" i="4" s="1"/>
  <c r="T87" i="4"/>
  <c r="U87" i="4" s="1"/>
  <c r="N87" i="4"/>
  <c r="O87" i="4" s="1"/>
  <c r="AN87" i="4"/>
  <c r="AO87" i="4" s="1"/>
  <c r="AJ87" i="4"/>
  <c r="AK87" i="4" s="1"/>
  <c r="AD87" i="4"/>
  <c r="AE87" i="4" s="1"/>
  <c r="X87" i="4"/>
  <c r="Y87" i="4" s="1"/>
  <c r="V87" i="4"/>
  <c r="W87" i="4" s="1"/>
  <c r="R87" i="4"/>
  <c r="S87" i="4" s="1"/>
  <c r="L87" i="4"/>
  <c r="M87" i="4" s="1"/>
  <c r="DP66" i="4"/>
  <c r="DQ66" i="4" s="1"/>
  <c r="DH66" i="4"/>
  <c r="DI66" i="4" s="1"/>
  <c r="CZ66" i="4"/>
  <c r="DA66" i="4" s="1"/>
  <c r="CR66" i="4"/>
  <c r="CS66" i="4" s="1"/>
  <c r="CJ66" i="4"/>
  <c r="CK66" i="4" s="1"/>
  <c r="CB66" i="4"/>
  <c r="CC66" i="4" s="1"/>
  <c r="DL66" i="4"/>
  <c r="DM66" i="4" s="1"/>
  <c r="DD66" i="4"/>
  <c r="DE66" i="4" s="1"/>
  <c r="CV66" i="4"/>
  <c r="CW66" i="4" s="1"/>
  <c r="CN66" i="4"/>
  <c r="CO66" i="4" s="1"/>
  <c r="CF66" i="4"/>
  <c r="CG66" i="4" s="1"/>
  <c r="DJ66" i="4"/>
  <c r="DK66" i="4" s="1"/>
  <c r="DB66" i="4"/>
  <c r="DC66" i="4" s="1"/>
  <c r="CT66" i="4"/>
  <c r="CU66" i="4" s="1"/>
  <c r="CL66" i="4"/>
  <c r="CM66" i="4" s="1"/>
  <c r="CD66" i="4"/>
  <c r="CE66" i="4" s="1"/>
  <c r="DL75" i="4"/>
  <c r="DM75" i="4" s="1"/>
  <c r="CF75" i="4"/>
  <c r="CG75" i="4" s="1"/>
  <c r="DD79" i="4"/>
  <c r="DE79" i="4" s="1"/>
  <c r="CR79" i="4"/>
  <c r="CS79" i="4" s="1"/>
  <c r="CN79" i="4"/>
  <c r="CO79" i="4" s="1"/>
  <c r="CB79" i="4"/>
  <c r="CC79" i="4" s="1"/>
  <c r="CV79" i="4"/>
  <c r="CW79" i="4" s="1"/>
  <c r="CJ79" i="4"/>
  <c r="CK79" i="4" s="1"/>
  <c r="FP66" i="4"/>
  <c r="FQ66" i="4" s="1"/>
  <c r="FD70" i="4"/>
  <c r="FE70" i="4" s="1"/>
  <c r="GB72" i="4"/>
  <c r="GC72" i="4" s="1"/>
  <c r="FT72" i="4"/>
  <c r="FU72" i="4" s="1"/>
  <c r="EZ72" i="4"/>
  <c r="FA72" i="4" s="1"/>
  <c r="GF72" i="4"/>
  <c r="GG72" i="4" s="1"/>
  <c r="FH72" i="4"/>
  <c r="FI72" i="4" s="1"/>
  <c r="FX72" i="4"/>
  <c r="FY72" i="4" s="1"/>
  <c r="FD72" i="4"/>
  <c r="FE72" i="4" s="1"/>
  <c r="EQ74" i="4"/>
  <c r="ER74" i="4" s="1"/>
  <c r="FX74" i="4" s="1"/>
  <c r="FY74" i="4" s="1"/>
  <c r="BZ74" i="4"/>
  <c r="FP75" i="4"/>
  <c r="FQ75" i="4" s="1"/>
  <c r="GF75" i="4"/>
  <c r="GG75" i="4" s="1"/>
  <c r="EZ75" i="4"/>
  <c r="FA75" i="4" s="1"/>
  <c r="FX75" i="4"/>
  <c r="FY75" i="4" s="1"/>
  <c r="ES75" i="4"/>
  <c r="GF86" i="4"/>
  <c r="GG86" i="4" s="1"/>
  <c r="EZ86" i="4"/>
  <c r="FA86" i="4" s="1"/>
  <c r="FP86" i="4"/>
  <c r="FQ86" i="4" s="1"/>
  <c r="FH86" i="4"/>
  <c r="FI86" i="4" s="1"/>
  <c r="I71" i="4"/>
  <c r="L71" i="4"/>
  <c r="M71" i="4" s="1"/>
  <c r="R75" i="4"/>
  <c r="S75" i="4" s="1"/>
  <c r="V67" i="4"/>
  <c r="W67" i="4" s="1"/>
  <c r="X71" i="4"/>
  <c r="Y71" i="4" s="1"/>
  <c r="AL79" i="4"/>
  <c r="AM79" i="4" s="1"/>
  <c r="AH79" i="4"/>
  <c r="AI79" i="4" s="1"/>
  <c r="X79" i="4"/>
  <c r="Y79" i="4" s="1"/>
  <c r="P79" i="4"/>
  <c r="Q79" i="4" s="1"/>
  <c r="AP79" i="4"/>
  <c r="AQ79" i="4" s="1"/>
  <c r="T79" i="4"/>
  <c r="U79" i="4" s="1"/>
  <c r="N79" i="4"/>
  <c r="O79" i="4" s="1"/>
  <c r="AN79" i="4"/>
  <c r="AO79" i="4" s="1"/>
  <c r="AJ79" i="4"/>
  <c r="AK79" i="4" s="1"/>
  <c r="AD79" i="4"/>
  <c r="AE79" i="4" s="1"/>
  <c r="AB79" i="4"/>
  <c r="AC79" i="4" s="1"/>
  <c r="Z79" i="4"/>
  <c r="AA79" i="4" s="1"/>
  <c r="V79" i="4"/>
  <c r="W79" i="4" s="1"/>
  <c r="R79" i="4"/>
  <c r="S79" i="4" s="1"/>
  <c r="CH66" i="4"/>
  <c r="CI66" i="4" s="1"/>
  <c r="DN66" i="4"/>
  <c r="DO66" i="4" s="1"/>
  <c r="CN75" i="4"/>
  <c r="CO75" i="4" s="1"/>
  <c r="CZ79" i="4"/>
  <c r="DA79" i="4" s="1"/>
  <c r="GF66" i="4"/>
  <c r="GG66" i="4" s="1"/>
  <c r="FT70" i="4"/>
  <c r="FU70" i="4" s="1"/>
  <c r="EQ78" i="4"/>
  <c r="ER78" i="4" s="1"/>
  <c r="FX78" i="4" s="1"/>
  <c r="FY78" i="4" s="1"/>
  <c r="BZ78" i="4"/>
  <c r="DD78" i="4" s="1"/>
  <c r="DE78" i="4" s="1"/>
  <c r="GD73" i="4"/>
  <c r="GE73" i="4" s="1"/>
  <c r="FJ77" i="4"/>
  <c r="FK77" i="4" s="1"/>
  <c r="GH77" i="4"/>
  <c r="GI77" i="4" s="1"/>
  <c r="FN73" i="4"/>
  <c r="FO73" i="4" s="1"/>
  <c r="FF77" i="4"/>
  <c r="FG77" i="4" s="1"/>
  <c r="FZ77" i="4"/>
  <c r="GA77" i="4" s="1"/>
  <c r="DP64" i="4"/>
  <c r="DQ64" i="4" s="1"/>
  <c r="DH64" i="4"/>
  <c r="DI64" i="4" s="1"/>
  <c r="CZ64" i="4"/>
  <c r="DA64" i="4" s="1"/>
  <c r="CR64" i="4"/>
  <c r="CS64" i="4" s="1"/>
  <c r="CJ64" i="4"/>
  <c r="CK64" i="4" s="1"/>
  <c r="CB64" i="4"/>
  <c r="CC64" i="4" s="1"/>
  <c r="CV64" i="4"/>
  <c r="CW64" i="4" s="1"/>
  <c r="CN64" i="4"/>
  <c r="CO64" i="4" s="1"/>
  <c r="DN64" i="4"/>
  <c r="DO64" i="4" s="1"/>
  <c r="DF64" i="4"/>
  <c r="DG64" i="4" s="1"/>
  <c r="CX64" i="4"/>
  <c r="CY64" i="4" s="1"/>
  <c r="CP64" i="4"/>
  <c r="CQ64" i="4" s="1"/>
  <c r="CH64" i="4"/>
  <c r="CI64" i="4" s="1"/>
  <c r="CA64" i="4"/>
  <c r="DD64" i="4"/>
  <c r="DE64" i="4" s="1"/>
  <c r="CF64" i="4"/>
  <c r="CG64" i="4" s="1"/>
  <c r="DJ64" i="4"/>
  <c r="DK64" i="4" s="1"/>
  <c r="DB64" i="4"/>
  <c r="DC64" i="4" s="1"/>
  <c r="CT64" i="4"/>
  <c r="CU64" i="4" s="1"/>
  <c r="CL64" i="4"/>
  <c r="CM64" i="4" s="1"/>
  <c r="CD64" i="4"/>
  <c r="CE64" i="4" s="1"/>
  <c r="DL64" i="4"/>
  <c r="DM64" i="4" s="1"/>
  <c r="H64" i="4"/>
  <c r="AP64" i="4" s="1"/>
  <c r="AQ64" i="4" s="1"/>
  <c r="EQ64" i="4"/>
  <c r="ER64" i="4" s="1"/>
  <c r="FL64" i="4" s="1"/>
  <c r="FM64" i="4" s="1"/>
  <c r="AP89" i="4"/>
  <c r="AQ89" i="4" s="1"/>
  <c r="AD89" i="4"/>
  <c r="AE89" i="4" s="1"/>
  <c r="X89" i="4"/>
  <c r="Y89" i="4" s="1"/>
  <c r="N89" i="4"/>
  <c r="O89" i="4" s="1"/>
  <c r="R89" i="4"/>
  <c r="S89" i="4" s="1"/>
  <c r="AF89" i="4"/>
  <c r="AG89" i="4" s="1"/>
  <c r="P89" i="4"/>
  <c r="Q89" i="4" s="1"/>
  <c r="L89" i="4"/>
  <c r="M89" i="4" s="1"/>
  <c r="AR89" i="4"/>
  <c r="AS89" i="4" s="1"/>
  <c r="AL89" i="4"/>
  <c r="AM89" i="4" s="1"/>
  <c r="Z89" i="4"/>
  <c r="AA89" i="4" s="1"/>
  <c r="V89" i="4"/>
  <c r="W89" i="4" s="1"/>
  <c r="AN89" i="4"/>
  <c r="AO89" i="4" s="1"/>
  <c r="AJ89" i="4"/>
  <c r="AK89" i="4" s="1"/>
  <c r="T89" i="4"/>
  <c r="U89" i="4" s="1"/>
  <c r="J89" i="4"/>
  <c r="K89" i="4" s="1"/>
  <c r="I89" i="4"/>
  <c r="AH89" i="4"/>
  <c r="AI89" i="4" s="1"/>
  <c r="J63" i="4"/>
  <c r="K63" i="4" s="1"/>
  <c r="R63" i="4"/>
  <c r="S63" i="4" s="1"/>
  <c r="V63" i="4"/>
  <c r="W63" i="4" s="1"/>
  <c r="AH63" i="4"/>
  <c r="AI63" i="4" s="1"/>
  <c r="AL63" i="4"/>
  <c r="AM63" i="4" s="1"/>
  <c r="BY89" i="4"/>
  <c r="L63" i="4"/>
  <c r="M63" i="4" s="1"/>
  <c r="N63" i="4"/>
  <c r="O63" i="4" s="1"/>
  <c r="AD63" i="4"/>
  <c r="AE63" i="4" s="1"/>
  <c r="AP63" i="4"/>
  <c r="AQ63" i="4" s="1"/>
  <c r="I63" i="4"/>
  <c r="T63" i="4"/>
  <c r="U63" i="4" s="1"/>
  <c r="X63" i="4"/>
  <c r="Y63" i="4" s="1"/>
  <c r="AB63" i="4"/>
  <c r="AC63" i="4" s="1"/>
  <c r="AJ63" i="4"/>
  <c r="AK63" i="4" s="1"/>
  <c r="GH58" i="4"/>
  <c r="GI58" i="4" s="1"/>
  <c r="GD58" i="4"/>
  <c r="GE58" i="4" s="1"/>
  <c r="FZ58" i="4"/>
  <c r="GA58" i="4" s="1"/>
  <c r="FV58" i="4"/>
  <c r="FW58" i="4" s="1"/>
  <c r="FR58" i="4"/>
  <c r="FS58" i="4" s="1"/>
  <c r="FN58" i="4"/>
  <c r="FO58" i="4" s="1"/>
  <c r="FJ58" i="4"/>
  <c r="FK58" i="4" s="1"/>
  <c r="FF58" i="4"/>
  <c r="FG58" i="4" s="1"/>
  <c r="FB58" i="4"/>
  <c r="FC58" i="4" s="1"/>
  <c r="EX58" i="4"/>
  <c r="EY58" i="4" s="1"/>
  <c r="ET58" i="4"/>
  <c r="EU58" i="4" s="1"/>
  <c r="GF58" i="4"/>
  <c r="GG58" i="4" s="1"/>
  <c r="GB58" i="4"/>
  <c r="GC58" i="4" s="1"/>
  <c r="FX58" i="4"/>
  <c r="FY58" i="4" s="1"/>
  <c r="FT58" i="4"/>
  <c r="FU58" i="4" s="1"/>
  <c r="FP58" i="4"/>
  <c r="FQ58" i="4" s="1"/>
  <c r="FL58" i="4"/>
  <c r="FM58" i="4" s="1"/>
  <c r="FH58" i="4"/>
  <c r="FI58" i="4" s="1"/>
  <c r="FD58" i="4"/>
  <c r="FE58" i="4" s="1"/>
  <c r="EZ58" i="4"/>
  <c r="FA58" i="4" s="1"/>
  <c r="EV58" i="4"/>
  <c r="EW58" i="4" s="1"/>
  <c r="ES58" i="4"/>
  <c r="BZ58" i="4"/>
  <c r="AX57" i="4"/>
  <c r="AY57" i="4" s="1"/>
  <c r="AV57" i="4"/>
  <c r="AW57" i="4" s="1"/>
  <c r="AT57" i="4"/>
  <c r="AU57" i="4" s="1"/>
  <c r="AR57" i="4"/>
  <c r="AS57" i="4" s="1"/>
  <c r="AP57" i="4"/>
  <c r="AQ57" i="4" s="1"/>
  <c r="AN57" i="4"/>
  <c r="AO57" i="4" s="1"/>
  <c r="AL57" i="4"/>
  <c r="AM57" i="4" s="1"/>
  <c r="X57" i="4"/>
  <c r="Y57" i="4" s="1"/>
  <c r="V57" i="4"/>
  <c r="W57" i="4" s="1"/>
  <c r="AJ57" i="4"/>
  <c r="AK57" i="4" s="1"/>
  <c r="AB57" i="4"/>
  <c r="AC57" i="4" s="1"/>
  <c r="R57" i="4"/>
  <c r="S57" i="4" s="1"/>
  <c r="Z57" i="4"/>
  <c r="AA57" i="4" s="1"/>
  <c r="L57" i="4"/>
  <c r="M57" i="4" s="1"/>
  <c r="AD57" i="4"/>
  <c r="AE57" i="4" s="1"/>
  <c r="N57" i="4"/>
  <c r="O57" i="4" s="1"/>
  <c r="J57" i="4"/>
  <c r="K57" i="4" s="1"/>
  <c r="I57" i="4"/>
  <c r="AH57" i="4"/>
  <c r="AI57" i="4" s="1"/>
  <c r="AF57" i="4"/>
  <c r="AG57" i="4" s="1"/>
  <c r="T57" i="4"/>
  <c r="U57" i="4" s="1"/>
  <c r="P57" i="4"/>
  <c r="Q57" i="4" s="1"/>
  <c r="BY57" i="4"/>
  <c r="GH59" i="4"/>
  <c r="GI59" i="4" s="1"/>
  <c r="GD59" i="4"/>
  <c r="GE59" i="4" s="1"/>
  <c r="FZ59" i="4"/>
  <c r="GA59" i="4" s="1"/>
  <c r="FV59" i="4"/>
  <c r="FW59" i="4" s="1"/>
  <c r="FR59" i="4"/>
  <c r="FS59" i="4" s="1"/>
  <c r="FN59" i="4"/>
  <c r="FO59" i="4" s="1"/>
  <c r="FJ59" i="4"/>
  <c r="FK59" i="4" s="1"/>
  <c r="FF59" i="4"/>
  <c r="FG59" i="4" s="1"/>
  <c r="FB59" i="4"/>
  <c r="FC59" i="4" s="1"/>
  <c r="EX59" i="4"/>
  <c r="EY59" i="4" s="1"/>
  <c r="ET59" i="4"/>
  <c r="EU59" i="4" s="1"/>
  <c r="ES59" i="4"/>
  <c r="FH59" i="4"/>
  <c r="FI59" i="4" s="1"/>
  <c r="FX59" i="4"/>
  <c r="FY59" i="4" s="1"/>
  <c r="DN59" i="4"/>
  <c r="DO59" i="4" s="1"/>
  <c r="DJ59" i="4"/>
  <c r="DK59" i="4" s="1"/>
  <c r="DF59" i="4"/>
  <c r="DG59" i="4" s="1"/>
  <c r="DB59" i="4"/>
  <c r="DC59" i="4" s="1"/>
  <c r="CX59" i="4"/>
  <c r="CY59" i="4" s="1"/>
  <c r="CT59" i="4"/>
  <c r="CU59" i="4" s="1"/>
  <c r="CP59" i="4"/>
  <c r="CQ59" i="4" s="1"/>
  <c r="CL59" i="4"/>
  <c r="CM59" i="4" s="1"/>
  <c r="CH59" i="4"/>
  <c r="CI59" i="4" s="1"/>
  <c r="CD59" i="4"/>
  <c r="CE59" i="4" s="1"/>
  <c r="CA59" i="4"/>
  <c r="D20" i="4"/>
  <c r="G60" i="4"/>
  <c r="AJ66" i="4"/>
  <c r="AK66" i="4" s="1"/>
  <c r="AH66" i="4"/>
  <c r="AI66" i="4" s="1"/>
  <c r="AF66" i="4"/>
  <c r="AG66" i="4" s="1"/>
  <c r="AD66" i="4"/>
  <c r="AE66" i="4" s="1"/>
  <c r="AX66" i="4"/>
  <c r="AY66" i="4" s="1"/>
  <c r="AR66" i="4"/>
  <c r="AS66" i="4" s="1"/>
  <c r="AP66" i="4"/>
  <c r="AQ66" i="4" s="1"/>
  <c r="AN66" i="4"/>
  <c r="AO66" i="4" s="1"/>
  <c r="AL66" i="4"/>
  <c r="AM66" i="4" s="1"/>
  <c r="AT66" i="4"/>
  <c r="AU66" i="4" s="1"/>
  <c r="AJ70" i="4"/>
  <c r="AK70" i="4" s="1"/>
  <c r="AH70" i="4"/>
  <c r="AI70" i="4" s="1"/>
  <c r="AF70" i="4"/>
  <c r="AG70" i="4" s="1"/>
  <c r="AD70" i="4"/>
  <c r="AE70" i="4" s="1"/>
  <c r="AX70" i="4"/>
  <c r="AY70" i="4" s="1"/>
  <c r="AR70" i="4"/>
  <c r="AS70" i="4" s="1"/>
  <c r="AP70" i="4"/>
  <c r="AQ70" i="4" s="1"/>
  <c r="AN70" i="4"/>
  <c r="AO70" i="4" s="1"/>
  <c r="AL70" i="4"/>
  <c r="AM70" i="4" s="1"/>
  <c r="AV70" i="4"/>
  <c r="AW70" i="4" s="1"/>
  <c r="AJ74" i="4"/>
  <c r="AK74" i="4" s="1"/>
  <c r="AH74" i="4"/>
  <c r="AI74" i="4" s="1"/>
  <c r="AF74" i="4"/>
  <c r="AG74" i="4" s="1"/>
  <c r="AD74" i="4"/>
  <c r="AE74" i="4" s="1"/>
  <c r="AX74" i="4"/>
  <c r="AY74" i="4" s="1"/>
  <c r="AR74" i="4"/>
  <c r="AS74" i="4" s="1"/>
  <c r="AP74" i="4"/>
  <c r="AQ74" i="4" s="1"/>
  <c r="AN74" i="4"/>
  <c r="AO74" i="4" s="1"/>
  <c r="AL74" i="4"/>
  <c r="AM74" i="4" s="1"/>
  <c r="AT74" i="4"/>
  <c r="AU74" i="4" s="1"/>
  <c r="AJ78" i="4"/>
  <c r="AK78" i="4" s="1"/>
  <c r="AH78" i="4"/>
  <c r="AI78" i="4" s="1"/>
  <c r="AF78" i="4"/>
  <c r="AG78" i="4" s="1"/>
  <c r="AD78" i="4"/>
  <c r="AE78" i="4" s="1"/>
  <c r="AX78" i="4"/>
  <c r="AY78" i="4" s="1"/>
  <c r="AR78" i="4"/>
  <c r="AS78" i="4" s="1"/>
  <c r="AP78" i="4"/>
  <c r="AQ78" i="4" s="1"/>
  <c r="AN78" i="4"/>
  <c r="AO78" i="4" s="1"/>
  <c r="AL78" i="4"/>
  <c r="AM78" i="4" s="1"/>
  <c r="AV78" i="4"/>
  <c r="AW78" i="4" s="1"/>
  <c r="AJ82" i="4"/>
  <c r="AK82" i="4" s="1"/>
  <c r="AH82" i="4"/>
  <c r="AI82" i="4" s="1"/>
  <c r="AF82" i="4"/>
  <c r="AG82" i="4" s="1"/>
  <c r="AX82" i="4"/>
  <c r="AY82" i="4" s="1"/>
  <c r="AR82" i="4"/>
  <c r="AS82" i="4" s="1"/>
  <c r="AP82" i="4"/>
  <c r="AQ82" i="4" s="1"/>
  <c r="AL82" i="4"/>
  <c r="AM82" i="4" s="1"/>
  <c r="AT82" i="4"/>
  <c r="AU82" i="4" s="1"/>
  <c r="AJ86" i="4"/>
  <c r="AK86" i="4" s="1"/>
  <c r="AH86" i="4"/>
  <c r="AI86" i="4" s="1"/>
  <c r="AF86" i="4"/>
  <c r="AG86" i="4" s="1"/>
  <c r="AD86" i="4"/>
  <c r="AE86" i="4" s="1"/>
  <c r="AX86" i="4"/>
  <c r="AY86" i="4" s="1"/>
  <c r="AR86" i="4"/>
  <c r="AS86" i="4" s="1"/>
  <c r="AP86" i="4"/>
  <c r="AQ86" i="4" s="1"/>
  <c r="AN86" i="4"/>
  <c r="AO86" i="4" s="1"/>
  <c r="AL86" i="4"/>
  <c r="AM86" i="4" s="1"/>
  <c r="AV86" i="4"/>
  <c r="AW86" i="4" s="1"/>
  <c r="AB86" i="4"/>
  <c r="AC86" i="4" s="1"/>
  <c r="EQ63" i="4"/>
  <c r="ER63" i="4" s="1"/>
  <c r="BZ63" i="4"/>
  <c r="I64" i="4"/>
  <c r="I68" i="4"/>
  <c r="I72" i="4"/>
  <c r="I80" i="4"/>
  <c r="I84" i="4"/>
  <c r="I88" i="4"/>
  <c r="N68" i="4"/>
  <c r="O68" i="4" s="1"/>
  <c r="N72" i="4"/>
  <c r="O72" i="4" s="1"/>
  <c r="N80" i="4"/>
  <c r="O80" i="4" s="1"/>
  <c r="N84" i="4"/>
  <c r="O84" i="4" s="1"/>
  <c r="N88" i="4"/>
  <c r="O88" i="4" s="1"/>
  <c r="P64" i="4"/>
  <c r="Q64" i="4" s="1"/>
  <c r="P68" i="4"/>
  <c r="Q68" i="4" s="1"/>
  <c r="P72" i="4"/>
  <c r="Q72" i="4" s="1"/>
  <c r="P80" i="4"/>
  <c r="Q80" i="4" s="1"/>
  <c r="P84" i="4"/>
  <c r="Q84" i="4" s="1"/>
  <c r="P88" i="4"/>
  <c r="Q88" i="4" s="1"/>
  <c r="R68" i="4"/>
  <c r="S68" i="4" s="1"/>
  <c r="R72" i="4"/>
  <c r="S72" i="4" s="1"/>
  <c r="R80" i="4"/>
  <c r="S80" i="4" s="1"/>
  <c r="R84" i="4"/>
  <c r="S84" i="4" s="1"/>
  <c r="R88" i="4"/>
  <c r="S88" i="4" s="1"/>
  <c r="T64" i="4"/>
  <c r="U64" i="4" s="1"/>
  <c r="T72" i="4"/>
  <c r="U72" i="4" s="1"/>
  <c r="T84" i="4"/>
  <c r="U84" i="4" s="1"/>
  <c r="T88" i="4"/>
  <c r="U88" i="4" s="1"/>
  <c r="V66" i="4"/>
  <c r="W66" i="4" s="1"/>
  <c r="V70" i="4"/>
  <c r="W70" i="4" s="1"/>
  <c r="V74" i="4"/>
  <c r="W74" i="4" s="1"/>
  <c r="V78" i="4"/>
  <c r="W78" i="4" s="1"/>
  <c r="V82" i="4"/>
  <c r="W82" i="4" s="1"/>
  <c r="V86" i="4"/>
  <c r="W86" i="4" s="1"/>
  <c r="X74" i="4"/>
  <c r="Y74" i="4" s="1"/>
  <c r="Z74" i="4"/>
  <c r="AA74" i="4" s="1"/>
  <c r="AB74" i="4"/>
  <c r="AC74" i="4" s="1"/>
  <c r="AT84" i="4"/>
  <c r="AU84" i="4" s="1"/>
  <c r="AV74" i="4"/>
  <c r="AW74" i="4" s="1"/>
  <c r="DN73" i="4"/>
  <c r="DO73" i="4" s="1"/>
  <c r="DJ73" i="4"/>
  <c r="DK73" i="4" s="1"/>
  <c r="DF73" i="4"/>
  <c r="DG73" i="4" s="1"/>
  <c r="DB73" i="4"/>
  <c r="DC73" i="4" s="1"/>
  <c r="CX73" i="4"/>
  <c r="CY73" i="4" s="1"/>
  <c r="CT73" i="4"/>
  <c r="CU73" i="4" s="1"/>
  <c r="CP73" i="4"/>
  <c r="CQ73" i="4" s="1"/>
  <c r="CL73" i="4"/>
  <c r="CM73" i="4" s="1"/>
  <c r="CH73" i="4"/>
  <c r="CI73" i="4" s="1"/>
  <c r="CD73" i="4"/>
  <c r="CE73" i="4" s="1"/>
  <c r="CA73" i="4"/>
  <c r="DP73" i="4"/>
  <c r="DQ73" i="4" s="1"/>
  <c r="CZ73" i="4"/>
  <c r="DA73" i="4" s="1"/>
  <c r="CJ73" i="4"/>
  <c r="CK73" i="4" s="1"/>
  <c r="DH73" i="4"/>
  <c r="DI73" i="4" s="1"/>
  <c r="CR73" i="4"/>
  <c r="CS73" i="4" s="1"/>
  <c r="CB73" i="4"/>
  <c r="CC73" i="4" s="1"/>
  <c r="CV73" i="4"/>
  <c r="CW73" i="4" s="1"/>
  <c r="DD73" i="4"/>
  <c r="DE73" i="4" s="1"/>
  <c r="AN64" i="4"/>
  <c r="AO64" i="4" s="1"/>
  <c r="AH64" i="4"/>
  <c r="AI64" i="4" s="1"/>
  <c r="Z64" i="4"/>
  <c r="AA64" i="4" s="1"/>
  <c r="AR68" i="4"/>
  <c r="AS68" i="4" s="1"/>
  <c r="AP68" i="4"/>
  <c r="AQ68" i="4" s="1"/>
  <c r="AN68" i="4"/>
  <c r="AO68" i="4" s="1"/>
  <c r="AL68" i="4"/>
  <c r="AM68" i="4" s="1"/>
  <c r="AX68" i="4"/>
  <c r="AY68" i="4" s="1"/>
  <c r="AJ68" i="4"/>
  <c r="AK68" i="4" s="1"/>
  <c r="AH68" i="4"/>
  <c r="AI68" i="4" s="1"/>
  <c r="AF68" i="4"/>
  <c r="AG68" i="4" s="1"/>
  <c r="AD68" i="4"/>
  <c r="AE68" i="4" s="1"/>
  <c r="AB68" i="4"/>
  <c r="AC68" i="4" s="1"/>
  <c r="Z68" i="4"/>
  <c r="AA68" i="4" s="1"/>
  <c r="X68" i="4"/>
  <c r="Y68" i="4" s="1"/>
  <c r="AR72" i="4"/>
  <c r="AS72" i="4" s="1"/>
  <c r="AP72" i="4"/>
  <c r="AQ72" i="4" s="1"/>
  <c r="AN72" i="4"/>
  <c r="AO72" i="4" s="1"/>
  <c r="AL72" i="4"/>
  <c r="AM72" i="4" s="1"/>
  <c r="AX72" i="4"/>
  <c r="AY72" i="4" s="1"/>
  <c r="AJ72" i="4"/>
  <c r="AK72" i="4" s="1"/>
  <c r="AH72" i="4"/>
  <c r="AI72" i="4" s="1"/>
  <c r="AF72" i="4"/>
  <c r="AG72" i="4" s="1"/>
  <c r="AD72" i="4"/>
  <c r="AE72" i="4" s="1"/>
  <c r="AB72" i="4"/>
  <c r="AC72" i="4" s="1"/>
  <c r="Z72" i="4"/>
  <c r="AA72" i="4" s="1"/>
  <c r="X72" i="4"/>
  <c r="Y72" i="4" s="1"/>
  <c r="AR76" i="4"/>
  <c r="AS76" i="4" s="1"/>
  <c r="AL76" i="4"/>
  <c r="AM76" i="4" s="1"/>
  <c r="AX76" i="4"/>
  <c r="AY76" i="4" s="1"/>
  <c r="AF76" i="4"/>
  <c r="AG76" i="4" s="1"/>
  <c r="AD76" i="4"/>
  <c r="AE76" i="4" s="1"/>
  <c r="X76" i="4"/>
  <c r="Y76" i="4" s="1"/>
  <c r="AR80" i="4"/>
  <c r="AS80" i="4" s="1"/>
  <c r="AP80" i="4"/>
  <c r="AQ80" i="4" s="1"/>
  <c r="AN80" i="4"/>
  <c r="AO80" i="4" s="1"/>
  <c r="AL80" i="4"/>
  <c r="AM80" i="4" s="1"/>
  <c r="AX80" i="4"/>
  <c r="AY80" i="4" s="1"/>
  <c r="AJ80" i="4"/>
  <c r="AK80" i="4" s="1"/>
  <c r="AH80" i="4"/>
  <c r="AI80" i="4" s="1"/>
  <c r="AF80" i="4"/>
  <c r="AG80" i="4" s="1"/>
  <c r="AD80" i="4"/>
  <c r="AE80" i="4" s="1"/>
  <c r="AB80" i="4"/>
  <c r="AC80" i="4" s="1"/>
  <c r="Z80" i="4"/>
  <c r="AA80" i="4" s="1"/>
  <c r="X80" i="4"/>
  <c r="Y80" i="4" s="1"/>
  <c r="AR84" i="4"/>
  <c r="AS84" i="4" s="1"/>
  <c r="AP84" i="4"/>
  <c r="AQ84" i="4" s="1"/>
  <c r="AN84" i="4"/>
  <c r="AO84" i="4" s="1"/>
  <c r="AL84" i="4"/>
  <c r="AM84" i="4" s="1"/>
  <c r="AX84" i="4"/>
  <c r="AY84" i="4" s="1"/>
  <c r="AJ84" i="4"/>
  <c r="AK84" i="4" s="1"/>
  <c r="AH84" i="4"/>
  <c r="AI84" i="4" s="1"/>
  <c r="AF84" i="4"/>
  <c r="AG84" i="4" s="1"/>
  <c r="AD84" i="4"/>
  <c r="AE84" i="4" s="1"/>
  <c r="Z84" i="4"/>
  <c r="AA84" i="4" s="1"/>
  <c r="X84" i="4"/>
  <c r="Y84" i="4" s="1"/>
  <c r="AR88" i="4"/>
  <c r="AS88" i="4" s="1"/>
  <c r="AP88" i="4"/>
  <c r="AQ88" i="4" s="1"/>
  <c r="AN88" i="4"/>
  <c r="AO88" i="4" s="1"/>
  <c r="AL88" i="4"/>
  <c r="AM88" i="4" s="1"/>
  <c r="AX88" i="4"/>
  <c r="AY88" i="4" s="1"/>
  <c r="AJ88" i="4"/>
  <c r="AK88" i="4" s="1"/>
  <c r="AH88" i="4"/>
  <c r="AI88" i="4" s="1"/>
  <c r="AF88" i="4"/>
  <c r="AG88" i="4" s="1"/>
  <c r="AD88" i="4"/>
  <c r="AE88" i="4" s="1"/>
  <c r="Z88" i="4"/>
  <c r="AA88" i="4" s="1"/>
  <c r="X88" i="4"/>
  <c r="Y88" i="4" s="1"/>
  <c r="I66" i="4"/>
  <c r="I70" i="4"/>
  <c r="I74" i="4"/>
  <c r="I78" i="4"/>
  <c r="I86" i="4"/>
  <c r="N66" i="4"/>
  <c r="O66" i="4" s="1"/>
  <c r="N70" i="4"/>
  <c r="O70" i="4" s="1"/>
  <c r="N74" i="4"/>
  <c r="O74" i="4" s="1"/>
  <c r="N78" i="4"/>
  <c r="O78" i="4" s="1"/>
  <c r="N82" i="4"/>
  <c r="O82" i="4" s="1"/>
  <c r="N86" i="4"/>
  <c r="O86" i="4" s="1"/>
  <c r="P66" i="4"/>
  <c r="Q66" i="4" s="1"/>
  <c r="P70" i="4"/>
  <c r="Q70" i="4" s="1"/>
  <c r="P74" i="4"/>
  <c r="Q74" i="4" s="1"/>
  <c r="P78" i="4"/>
  <c r="Q78" i="4" s="1"/>
  <c r="P86" i="4"/>
  <c r="Q86" i="4" s="1"/>
  <c r="R66" i="4"/>
  <c r="S66" i="4" s="1"/>
  <c r="R70" i="4"/>
  <c r="S70" i="4" s="1"/>
  <c r="R74" i="4"/>
  <c r="S74" i="4" s="1"/>
  <c r="R78" i="4"/>
  <c r="S78" i="4" s="1"/>
  <c r="R82" i="4"/>
  <c r="S82" i="4" s="1"/>
  <c r="R86" i="4"/>
  <c r="S86" i="4" s="1"/>
  <c r="T66" i="4"/>
  <c r="U66" i="4" s="1"/>
  <c r="T70" i="4"/>
  <c r="U70" i="4" s="1"/>
  <c r="T74" i="4"/>
  <c r="U74" i="4" s="1"/>
  <c r="T78" i="4"/>
  <c r="U78" i="4" s="1"/>
  <c r="T86" i="4"/>
  <c r="U86" i="4" s="1"/>
  <c r="V64" i="4"/>
  <c r="W64" i="4" s="1"/>
  <c r="V68" i="4"/>
  <c r="W68" i="4" s="1"/>
  <c r="V72" i="4"/>
  <c r="W72" i="4" s="1"/>
  <c r="V76" i="4"/>
  <c r="W76" i="4" s="1"/>
  <c r="V80" i="4"/>
  <c r="W80" i="4" s="1"/>
  <c r="V84" i="4"/>
  <c r="W84" i="4" s="1"/>
  <c r="V88" i="4"/>
  <c r="W88" i="4" s="1"/>
  <c r="X66" i="4"/>
  <c r="Y66" i="4" s="1"/>
  <c r="X82" i="4"/>
  <c r="Y82" i="4" s="1"/>
  <c r="Z66" i="4"/>
  <c r="AA66" i="4" s="1"/>
  <c r="Z82" i="4"/>
  <c r="AA82" i="4" s="1"/>
  <c r="AB66" i="4"/>
  <c r="AC66" i="4" s="1"/>
  <c r="AB82" i="4"/>
  <c r="AC82" i="4" s="1"/>
  <c r="AT68" i="4"/>
  <c r="AU68" i="4" s="1"/>
  <c r="AT78" i="4"/>
  <c r="AU78" i="4" s="1"/>
  <c r="AT88" i="4"/>
  <c r="AU88" i="4" s="1"/>
  <c r="AV68" i="4"/>
  <c r="AW68" i="4" s="1"/>
  <c r="AV80" i="4"/>
  <c r="AW80" i="4" s="1"/>
  <c r="AV63" i="4"/>
  <c r="AW63" i="4" s="1"/>
  <c r="AT63" i="4"/>
  <c r="AU63" i="4" s="1"/>
  <c r="AX63" i="4"/>
  <c r="AY63" i="4" s="1"/>
  <c r="AV67" i="4"/>
  <c r="AW67" i="4" s="1"/>
  <c r="AT67" i="4"/>
  <c r="AU67" i="4" s="1"/>
  <c r="AX67" i="4"/>
  <c r="AY67" i="4" s="1"/>
  <c r="AV71" i="4"/>
  <c r="AW71" i="4" s="1"/>
  <c r="AT71" i="4"/>
  <c r="AU71" i="4" s="1"/>
  <c r="AX71" i="4"/>
  <c r="AY71" i="4" s="1"/>
  <c r="AV75" i="4"/>
  <c r="AW75" i="4" s="1"/>
  <c r="AT75" i="4"/>
  <c r="AU75" i="4" s="1"/>
  <c r="AX75" i="4"/>
  <c r="AY75" i="4" s="1"/>
  <c r="AV79" i="4"/>
  <c r="AW79" i="4" s="1"/>
  <c r="AT79" i="4"/>
  <c r="AU79" i="4" s="1"/>
  <c r="AX79" i="4"/>
  <c r="AY79" i="4" s="1"/>
  <c r="AV83" i="4"/>
  <c r="AW83" i="4" s="1"/>
  <c r="AT83" i="4"/>
  <c r="AU83" i="4" s="1"/>
  <c r="AB83" i="4"/>
  <c r="AC83" i="4" s="1"/>
  <c r="AX83" i="4"/>
  <c r="AY83" i="4" s="1"/>
  <c r="AV87" i="4"/>
  <c r="AW87" i="4" s="1"/>
  <c r="AT87" i="4"/>
  <c r="AU87" i="4" s="1"/>
  <c r="AB87" i="4"/>
  <c r="AC87" i="4" s="1"/>
  <c r="AX87" i="4"/>
  <c r="AY87" i="4" s="1"/>
  <c r="DN75" i="4"/>
  <c r="DO75" i="4" s="1"/>
  <c r="DJ75" i="4"/>
  <c r="DK75" i="4" s="1"/>
  <c r="DF75" i="4"/>
  <c r="DG75" i="4" s="1"/>
  <c r="DB75" i="4"/>
  <c r="DC75" i="4" s="1"/>
  <c r="CX75" i="4"/>
  <c r="CY75" i="4" s="1"/>
  <c r="CT75" i="4"/>
  <c r="CU75" i="4" s="1"/>
  <c r="CP75" i="4"/>
  <c r="CQ75" i="4" s="1"/>
  <c r="CL75" i="4"/>
  <c r="CM75" i="4" s="1"/>
  <c r="CH75" i="4"/>
  <c r="CI75" i="4" s="1"/>
  <c r="CD75" i="4"/>
  <c r="CE75" i="4" s="1"/>
  <c r="CA75" i="4"/>
  <c r="DH75" i="4"/>
  <c r="DI75" i="4" s="1"/>
  <c r="CR75" i="4"/>
  <c r="CS75" i="4" s="1"/>
  <c r="CB75" i="4"/>
  <c r="CC75" i="4" s="1"/>
  <c r="DP75" i="4"/>
  <c r="DQ75" i="4" s="1"/>
  <c r="CZ75" i="4"/>
  <c r="DA75" i="4" s="1"/>
  <c r="CJ75" i="4"/>
  <c r="CK75" i="4" s="1"/>
  <c r="CV75" i="4"/>
  <c r="CW75" i="4" s="1"/>
  <c r="DD75" i="4"/>
  <c r="DE75" i="4" s="1"/>
  <c r="DN77" i="4"/>
  <c r="DO77" i="4" s="1"/>
  <c r="DJ77" i="4"/>
  <c r="DK77" i="4" s="1"/>
  <c r="DF77" i="4"/>
  <c r="DG77" i="4" s="1"/>
  <c r="DB77" i="4"/>
  <c r="DC77" i="4" s="1"/>
  <c r="CX77" i="4"/>
  <c r="CY77" i="4" s="1"/>
  <c r="CT77" i="4"/>
  <c r="CU77" i="4" s="1"/>
  <c r="CP77" i="4"/>
  <c r="CQ77" i="4" s="1"/>
  <c r="CL77" i="4"/>
  <c r="CM77" i="4" s="1"/>
  <c r="CH77" i="4"/>
  <c r="CI77" i="4" s="1"/>
  <c r="CD77" i="4"/>
  <c r="CE77" i="4" s="1"/>
  <c r="CA77" i="4"/>
  <c r="DP77" i="4"/>
  <c r="DQ77" i="4" s="1"/>
  <c r="CZ77" i="4"/>
  <c r="DA77" i="4" s="1"/>
  <c r="CJ77" i="4"/>
  <c r="CK77" i="4" s="1"/>
  <c r="DH77" i="4"/>
  <c r="DI77" i="4" s="1"/>
  <c r="CR77" i="4"/>
  <c r="CS77" i="4" s="1"/>
  <c r="CB77" i="4"/>
  <c r="CC77" i="4" s="1"/>
  <c r="EQ65" i="4"/>
  <c r="ER65" i="4" s="1"/>
  <c r="BZ65" i="4"/>
  <c r="EQ67" i="4"/>
  <c r="ER67" i="4" s="1"/>
  <c r="BZ67" i="4"/>
  <c r="AX65" i="4"/>
  <c r="AY65" i="4" s="1"/>
  <c r="AV65" i="4"/>
  <c r="AW65" i="4" s="1"/>
  <c r="AT65" i="4"/>
  <c r="AU65" i="4" s="1"/>
  <c r="AX69" i="4"/>
  <c r="AY69" i="4" s="1"/>
  <c r="AV69" i="4"/>
  <c r="AW69" i="4" s="1"/>
  <c r="AT69" i="4"/>
  <c r="AU69" i="4" s="1"/>
  <c r="AX73" i="4"/>
  <c r="AY73" i="4" s="1"/>
  <c r="AV73" i="4"/>
  <c r="AW73" i="4" s="1"/>
  <c r="AT73" i="4"/>
  <c r="AU73" i="4" s="1"/>
  <c r="AX77" i="4"/>
  <c r="AY77" i="4" s="1"/>
  <c r="AV77" i="4"/>
  <c r="AW77" i="4" s="1"/>
  <c r="AT77" i="4"/>
  <c r="AU77" i="4" s="1"/>
  <c r="AX81" i="4"/>
  <c r="AY81" i="4" s="1"/>
  <c r="AV81" i="4"/>
  <c r="AW81" i="4" s="1"/>
  <c r="AT81" i="4"/>
  <c r="AU81" i="4" s="1"/>
  <c r="AX85" i="4"/>
  <c r="AY85" i="4" s="1"/>
  <c r="AV85" i="4"/>
  <c r="AW85" i="4" s="1"/>
  <c r="AT85" i="4"/>
  <c r="AU85" i="4" s="1"/>
  <c r="AB85" i="4"/>
  <c r="AC85" i="4" s="1"/>
  <c r="AX89" i="4"/>
  <c r="AY89" i="4" s="1"/>
  <c r="AV89" i="4"/>
  <c r="AW89" i="4" s="1"/>
  <c r="AT89" i="4"/>
  <c r="AU89" i="4" s="1"/>
  <c r="AB89" i="4"/>
  <c r="AC89" i="4" s="1"/>
  <c r="DD77" i="4"/>
  <c r="DE77" i="4" s="1"/>
  <c r="EQ69" i="4"/>
  <c r="ER69" i="4" s="1"/>
  <c r="BZ69" i="4"/>
  <c r="EQ71" i="4"/>
  <c r="ER71" i="4" s="1"/>
  <c r="BZ71" i="4"/>
  <c r="DP74" i="4"/>
  <c r="DQ74" i="4" s="1"/>
  <c r="DL74" i="4"/>
  <c r="DM74" i="4" s="1"/>
  <c r="CZ74" i="4"/>
  <c r="DA74" i="4" s="1"/>
  <c r="CV74" i="4"/>
  <c r="CW74" i="4" s="1"/>
  <c r="CJ74" i="4"/>
  <c r="CK74" i="4" s="1"/>
  <c r="CF74" i="4"/>
  <c r="CG74" i="4" s="1"/>
  <c r="CZ78" i="4"/>
  <c r="DA78" i="4" s="1"/>
  <c r="DP79" i="4"/>
  <c r="DQ79" i="4" s="1"/>
  <c r="DL79" i="4"/>
  <c r="DM79" i="4" s="1"/>
  <c r="DH79" i="4"/>
  <c r="DI79" i="4" s="1"/>
  <c r="DN79" i="4"/>
  <c r="DO79" i="4" s="1"/>
  <c r="DJ79" i="4"/>
  <c r="DK79" i="4" s="1"/>
  <c r="DF79" i="4"/>
  <c r="DG79" i="4" s="1"/>
  <c r="DB79" i="4"/>
  <c r="DC79" i="4" s="1"/>
  <c r="CX79" i="4"/>
  <c r="CY79" i="4" s="1"/>
  <c r="CT79" i="4"/>
  <c r="CU79" i="4" s="1"/>
  <c r="CP79" i="4"/>
  <c r="CQ79" i="4" s="1"/>
  <c r="CL79" i="4"/>
  <c r="CM79" i="4" s="1"/>
  <c r="CH79" i="4"/>
  <c r="CI79" i="4" s="1"/>
  <c r="CD79" i="4"/>
  <c r="CE79" i="4" s="1"/>
  <c r="CA79" i="4"/>
  <c r="DN80" i="4"/>
  <c r="DO80" i="4" s="1"/>
  <c r="DJ80" i="4"/>
  <c r="DK80" i="4" s="1"/>
  <c r="DF80" i="4"/>
  <c r="DG80" i="4" s="1"/>
  <c r="DB80" i="4"/>
  <c r="DC80" i="4" s="1"/>
  <c r="CX80" i="4"/>
  <c r="CY80" i="4" s="1"/>
  <c r="CT80" i="4"/>
  <c r="CU80" i="4" s="1"/>
  <c r="CP80" i="4"/>
  <c r="CQ80" i="4" s="1"/>
  <c r="CL80" i="4"/>
  <c r="CM80" i="4" s="1"/>
  <c r="CH80" i="4"/>
  <c r="CI80" i="4" s="1"/>
  <c r="CD80" i="4"/>
  <c r="CE80" i="4" s="1"/>
  <c r="CA80" i="4"/>
  <c r="DP80" i="4"/>
  <c r="DQ80" i="4" s="1"/>
  <c r="DL80" i="4"/>
  <c r="DM80" i="4" s="1"/>
  <c r="DH80" i="4"/>
  <c r="DI80" i="4" s="1"/>
  <c r="DD80" i="4"/>
  <c r="DE80" i="4" s="1"/>
  <c r="CZ80" i="4"/>
  <c r="DA80" i="4" s="1"/>
  <c r="CV80" i="4"/>
  <c r="CW80" i="4" s="1"/>
  <c r="CR80" i="4"/>
  <c r="CS80" i="4" s="1"/>
  <c r="CN80" i="4"/>
  <c r="CO80" i="4" s="1"/>
  <c r="CJ80" i="4"/>
  <c r="CK80" i="4" s="1"/>
  <c r="CF80" i="4"/>
  <c r="CG80" i="4" s="1"/>
  <c r="CB80" i="4"/>
  <c r="CC80" i="4" s="1"/>
  <c r="DP81" i="4"/>
  <c r="DQ81" i="4" s="1"/>
  <c r="DL81" i="4"/>
  <c r="DM81" i="4" s="1"/>
  <c r="DH81" i="4"/>
  <c r="DI81" i="4" s="1"/>
  <c r="DD81" i="4"/>
  <c r="DE81" i="4" s="1"/>
  <c r="CZ81" i="4"/>
  <c r="DA81" i="4" s="1"/>
  <c r="CV81" i="4"/>
  <c r="CW81" i="4" s="1"/>
  <c r="CR81" i="4"/>
  <c r="CS81" i="4" s="1"/>
  <c r="CN81" i="4"/>
  <c r="CO81" i="4" s="1"/>
  <c r="CJ81" i="4"/>
  <c r="CK81" i="4" s="1"/>
  <c r="CF81" i="4"/>
  <c r="CG81" i="4" s="1"/>
  <c r="CB81" i="4"/>
  <c r="CC81" i="4" s="1"/>
  <c r="DN81" i="4"/>
  <c r="DO81" i="4" s="1"/>
  <c r="DJ81" i="4"/>
  <c r="DK81" i="4" s="1"/>
  <c r="DF81" i="4"/>
  <c r="DG81" i="4" s="1"/>
  <c r="DB81" i="4"/>
  <c r="DC81" i="4" s="1"/>
  <c r="CX81" i="4"/>
  <c r="CY81" i="4" s="1"/>
  <c r="CT81" i="4"/>
  <c r="CU81" i="4" s="1"/>
  <c r="CP81" i="4"/>
  <c r="CQ81" i="4" s="1"/>
  <c r="CL81" i="4"/>
  <c r="CM81" i="4" s="1"/>
  <c r="CH81" i="4"/>
  <c r="CI81" i="4" s="1"/>
  <c r="CD81" i="4"/>
  <c r="CE81" i="4" s="1"/>
  <c r="CA81" i="4"/>
  <c r="DP83" i="4"/>
  <c r="DQ83" i="4" s="1"/>
  <c r="DL83" i="4"/>
  <c r="DM83" i="4" s="1"/>
  <c r="DH83" i="4"/>
  <c r="DI83" i="4" s="1"/>
  <c r="DD83" i="4"/>
  <c r="DE83" i="4" s="1"/>
  <c r="CZ83" i="4"/>
  <c r="DA83" i="4" s="1"/>
  <c r="CV83" i="4"/>
  <c r="CW83" i="4" s="1"/>
  <c r="CR83" i="4"/>
  <c r="CS83" i="4" s="1"/>
  <c r="CN83" i="4"/>
  <c r="CO83" i="4" s="1"/>
  <c r="CJ83" i="4"/>
  <c r="CK83" i="4" s="1"/>
  <c r="CF83" i="4"/>
  <c r="CG83" i="4" s="1"/>
  <c r="CB83" i="4"/>
  <c r="CC83" i="4" s="1"/>
  <c r="DN83" i="4"/>
  <c r="DO83" i="4" s="1"/>
  <c r="DJ83" i="4"/>
  <c r="DK83" i="4" s="1"/>
  <c r="DF83" i="4"/>
  <c r="DG83" i="4" s="1"/>
  <c r="DB83" i="4"/>
  <c r="DC83" i="4" s="1"/>
  <c r="CX83" i="4"/>
  <c r="CY83" i="4" s="1"/>
  <c r="CT83" i="4"/>
  <c r="CU83" i="4" s="1"/>
  <c r="CP83" i="4"/>
  <c r="CQ83" i="4" s="1"/>
  <c r="CL83" i="4"/>
  <c r="CM83" i="4" s="1"/>
  <c r="CH83" i="4"/>
  <c r="CI83" i="4" s="1"/>
  <c r="CD83" i="4"/>
  <c r="CE83" i="4" s="1"/>
  <c r="CA83" i="4"/>
  <c r="DN84" i="4"/>
  <c r="DO84" i="4" s="1"/>
  <c r="DJ84" i="4"/>
  <c r="DK84" i="4" s="1"/>
  <c r="DF84" i="4"/>
  <c r="DG84" i="4" s="1"/>
  <c r="DB84" i="4"/>
  <c r="DC84" i="4" s="1"/>
  <c r="CX84" i="4"/>
  <c r="CY84" i="4" s="1"/>
  <c r="CT84" i="4"/>
  <c r="CU84" i="4" s="1"/>
  <c r="CP84" i="4"/>
  <c r="CQ84" i="4" s="1"/>
  <c r="CL84" i="4"/>
  <c r="CM84" i="4" s="1"/>
  <c r="CH84" i="4"/>
  <c r="CI84" i="4" s="1"/>
  <c r="CD84" i="4"/>
  <c r="CE84" i="4" s="1"/>
  <c r="CA84" i="4"/>
  <c r="DP84" i="4"/>
  <c r="DQ84" i="4" s="1"/>
  <c r="DL84" i="4"/>
  <c r="DM84" i="4" s="1"/>
  <c r="DH84" i="4"/>
  <c r="DI84" i="4" s="1"/>
  <c r="DD84" i="4"/>
  <c r="DE84" i="4" s="1"/>
  <c r="CZ84" i="4"/>
  <c r="DA84" i="4" s="1"/>
  <c r="CV84" i="4"/>
  <c r="CW84" i="4" s="1"/>
  <c r="CR84" i="4"/>
  <c r="CS84" i="4" s="1"/>
  <c r="CN84" i="4"/>
  <c r="CO84" i="4" s="1"/>
  <c r="CJ84" i="4"/>
  <c r="CK84" i="4" s="1"/>
  <c r="CF84" i="4"/>
  <c r="CG84" i="4" s="1"/>
  <c r="CB84" i="4"/>
  <c r="CC84" i="4" s="1"/>
  <c r="DL85" i="4"/>
  <c r="DM85" i="4" s="1"/>
  <c r="DD85" i="4"/>
  <c r="DE85" i="4" s="1"/>
  <c r="CZ85" i="4"/>
  <c r="DA85" i="4" s="1"/>
  <c r="CN85" i="4"/>
  <c r="CO85" i="4" s="1"/>
  <c r="CJ85" i="4"/>
  <c r="CK85" i="4" s="1"/>
  <c r="CF85" i="4"/>
  <c r="CG85" i="4" s="1"/>
  <c r="DJ85" i="4"/>
  <c r="DK85" i="4" s="1"/>
  <c r="DF85" i="4"/>
  <c r="DG85" i="4" s="1"/>
  <c r="CX85" i="4"/>
  <c r="CY85" i="4" s="1"/>
  <c r="CP85" i="4"/>
  <c r="CQ85" i="4" s="1"/>
  <c r="CH85" i="4"/>
  <c r="CI85" i="4" s="1"/>
  <c r="CD85" i="4"/>
  <c r="CE85" i="4" s="1"/>
  <c r="DN86" i="4"/>
  <c r="DO86" i="4" s="1"/>
  <c r="DJ86" i="4"/>
  <c r="DK86" i="4" s="1"/>
  <c r="DF86" i="4"/>
  <c r="DG86" i="4" s="1"/>
  <c r="DB86" i="4"/>
  <c r="DC86" i="4" s="1"/>
  <c r="CX86" i="4"/>
  <c r="CY86" i="4" s="1"/>
  <c r="CT86" i="4"/>
  <c r="CU86" i="4" s="1"/>
  <c r="CP86" i="4"/>
  <c r="CQ86" i="4" s="1"/>
  <c r="CL86" i="4"/>
  <c r="CM86" i="4" s="1"/>
  <c r="CH86" i="4"/>
  <c r="CI86" i="4" s="1"/>
  <c r="CD86" i="4"/>
  <c r="CE86" i="4" s="1"/>
  <c r="CA86" i="4"/>
  <c r="DP86" i="4"/>
  <c r="DQ86" i="4" s="1"/>
  <c r="DL86" i="4"/>
  <c r="DM86" i="4" s="1"/>
  <c r="DH86" i="4"/>
  <c r="DI86" i="4" s="1"/>
  <c r="DD86" i="4"/>
  <c r="DE86" i="4" s="1"/>
  <c r="CZ86" i="4"/>
  <c r="DA86" i="4" s="1"/>
  <c r="CV86" i="4"/>
  <c r="CW86" i="4" s="1"/>
  <c r="CR86" i="4"/>
  <c r="CS86" i="4" s="1"/>
  <c r="CN86" i="4"/>
  <c r="CO86" i="4" s="1"/>
  <c r="CJ86" i="4"/>
  <c r="CK86" i="4" s="1"/>
  <c r="CF86" i="4"/>
  <c r="CG86" i="4" s="1"/>
  <c r="CB86" i="4"/>
  <c r="CC86" i="4" s="1"/>
  <c r="DP87" i="4"/>
  <c r="DQ87" i="4" s="1"/>
  <c r="DL87" i="4"/>
  <c r="DM87" i="4" s="1"/>
  <c r="DH87" i="4"/>
  <c r="DI87" i="4" s="1"/>
  <c r="DD87" i="4"/>
  <c r="DE87" i="4" s="1"/>
  <c r="CZ87" i="4"/>
  <c r="DA87" i="4" s="1"/>
  <c r="CV87" i="4"/>
  <c r="CW87" i="4" s="1"/>
  <c r="CR87" i="4"/>
  <c r="CS87" i="4" s="1"/>
  <c r="CN87" i="4"/>
  <c r="CO87" i="4" s="1"/>
  <c r="CJ87" i="4"/>
  <c r="CK87" i="4" s="1"/>
  <c r="CF87" i="4"/>
  <c r="CG87" i="4" s="1"/>
  <c r="CB87" i="4"/>
  <c r="CC87" i="4" s="1"/>
  <c r="DN87" i="4"/>
  <c r="DO87" i="4" s="1"/>
  <c r="DJ87" i="4"/>
  <c r="DK87" i="4" s="1"/>
  <c r="DF87" i="4"/>
  <c r="DG87" i="4" s="1"/>
  <c r="DB87" i="4"/>
  <c r="DC87" i="4" s="1"/>
  <c r="CX87" i="4"/>
  <c r="CY87" i="4" s="1"/>
  <c r="CT87" i="4"/>
  <c r="CU87" i="4" s="1"/>
  <c r="CP87" i="4"/>
  <c r="CQ87" i="4" s="1"/>
  <c r="CL87" i="4"/>
  <c r="CM87" i="4" s="1"/>
  <c r="CH87" i="4"/>
  <c r="CI87" i="4" s="1"/>
  <c r="CD87" i="4"/>
  <c r="CE87" i="4" s="1"/>
  <c r="CA87" i="4"/>
  <c r="DN88" i="4"/>
  <c r="DO88" i="4" s="1"/>
  <c r="DJ88" i="4"/>
  <c r="DK88" i="4" s="1"/>
  <c r="DF88" i="4"/>
  <c r="DG88" i="4" s="1"/>
  <c r="DB88" i="4"/>
  <c r="DC88" i="4" s="1"/>
  <c r="CX88" i="4"/>
  <c r="CY88" i="4" s="1"/>
  <c r="CT88" i="4"/>
  <c r="CU88" i="4" s="1"/>
  <c r="CP88" i="4"/>
  <c r="CQ88" i="4" s="1"/>
  <c r="CL88" i="4"/>
  <c r="CM88" i="4" s="1"/>
  <c r="CH88" i="4"/>
  <c r="CI88" i="4" s="1"/>
  <c r="DP88" i="4"/>
  <c r="DQ88" i="4" s="1"/>
  <c r="DL88" i="4"/>
  <c r="DM88" i="4" s="1"/>
  <c r="DH88" i="4"/>
  <c r="DI88" i="4" s="1"/>
  <c r="DD88" i="4"/>
  <c r="DE88" i="4" s="1"/>
  <c r="CZ88" i="4"/>
  <c r="DA88" i="4" s="1"/>
  <c r="CV88" i="4"/>
  <c r="CW88" i="4" s="1"/>
  <c r="CR88" i="4"/>
  <c r="CS88" i="4" s="1"/>
  <c r="CN88" i="4"/>
  <c r="CO88" i="4" s="1"/>
  <c r="CD88" i="4"/>
  <c r="CE88" i="4" s="1"/>
  <c r="CA88" i="4"/>
  <c r="CF88" i="4"/>
  <c r="CG88" i="4" s="1"/>
  <c r="CB88" i="4"/>
  <c r="CC88" i="4" s="1"/>
  <c r="GD66" i="4"/>
  <c r="GE66" i="4" s="1"/>
  <c r="FV66" i="4"/>
  <c r="FW66" i="4" s="1"/>
  <c r="FN66" i="4"/>
  <c r="FO66" i="4" s="1"/>
  <c r="FF66" i="4"/>
  <c r="FG66" i="4" s="1"/>
  <c r="EX66" i="4"/>
  <c r="EY66" i="4" s="1"/>
  <c r="GH66" i="4"/>
  <c r="GI66" i="4" s="1"/>
  <c r="FZ66" i="4"/>
  <c r="GA66" i="4" s="1"/>
  <c r="FR66" i="4"/>
  <c r="FS66" i="4" s="1"/>
  <c r="FJ66" i="4"/>
  <c r="FK66" i="4" s="1"/>
  <c r="FB66" i="4"/>
  <c r="FC66" i="4" s="1"/>
  <c r="ET66" i="4"/>
  <c r="EU66" i="4" s="1"/>
  <c r="EV68" i="4"/>
  <c r="EW68" i="4" s="1"/>
  <c r="FL68" i="4"/>
  <c r="FM68" i="4" s="1"/>
  <c r="GD70" i="4"/>
  <c r="GE70" i="4" s="1"/>
  <c r="FV70" i="4"/>
  <c r="FW70" i="4" s="1"/>
  <c r="FN70" i="4"/>
  <c r="FO70" i="4" s="1"/>
  <c r="FF70" i="4"/>
  <c r="FG70" i="4" s="1"/>
  <c r="EX70" i="4"/>
  <c r="EY70" i="4" s="1"/>
  <c r="GH70" i="4"/>
  <c r="GI70" i="4" s="1"/>
  <c r="FZ70" i="4"/>
  <c r="GA70" i="4" s="1"/>
  <c r="FR70" i="4"/>
  <c r="FS70" i="4" s="1"/>
  <c r="FJ70" i="4"/>
  <c r="FK70" i="4" s="1"/>
  <c r="FB70" i="4"/>
  <c r="FC70" i="4" s="1"/>
  <c r="ET70" i="4"/>
  <c r="EU70" i="4" s="1"/>
  <c r="EV72" i="4"/>
  <c r="EW72" i="4" s="1"/>
  <c r="FL72" i="4"/>
  <c r="FM72" i="4" s="1"/>
  <c r="DP72" i="4"/>
  <c r="DQ72" i="4" s="1"/>
  <c r="DL72" i="4"/>
  <c r="DM72" i="4" s="1"/>
  <c r="DH72" i="4"/>
  <c r="DI72" i="4" s="1"/>
  <c r="DD72" i="4"/>
  <c r="DE72" i="4" s="1"/>
  <c r="CZ72" i="4"/>
  <c r="DA72" i="4" s="1"/>
  <c r="CV72" i="4"/>
  <c r="CW72" i="4" s="1"/>
  <c r="FN64" i="4"/>
  <c r="FO64" i="4" s="1"/>
  <c r="FZ64" i="4"/>
  <c r="GA64" i="4" s="1"/>
  <c r="ET64" i="4"/>
  <c r="EU64" i="4" s="1"/>
  <c r="GD68" i="4"/>
  <c r="GE68" i="4" s="1"/>
  <c r="FV68" i="4"/>
  <c r="FW68" i="4" s="1"/>
  <c r="FN68" i="4"/>
  <c r="FO68" i="4" s="1"/>
  <c r="FF68" i="4"/>
  <c r="FG68" i="4" s="1"/>
  <c r="EX68" i="4"/>
  <c r="EY68" i="4" s="1"/>
  <c r="GH68" i="4"/>
  <c r="GI68" i="4" s="1"/>
  <c r="FZ68" i="4"/>
  <c r="GA68" i="4" s="1"/>
  <c r="FR68" i="4"/>
  <c r="FS68" i="4" s="1"/>
  <c r="FJ68" i="4"/>
  <c r="FK68" i="4" s="1"/>
  <c r="FB68" i="4"/>
  <c r="FC68" i="4" s="1"/>
  <c r="ET68" i="4"/>
  <c r="EU68" i="4" s="1"/>
  <c r="GD72" i="4"/>
  <c r="GE72" i="4" s="1"/>
  <c r="FV72" i="4"/>
  <c r="FW72" i="4" s="1"/>
  <c r="FN72" i="4"/>
  <c r="FO72" i="4" s="1"/>
  <c r="FF72" i="4"/>
  <c r="FG72" i="4" s="1"/>
  <c r="EX72" i="4"/>
  <c r="EY72" i="4" s="1"/>
  <c r="GH72" i="4"/>
  <c r="GI72" i="4" s="1"/>
  <c r="FZ72" i="4"/>
  <c r="GA72" i="4" s="1"/>
  <c r="FR72" i="4"/>
  <c r="FS72" i="4" s="1"/>
  <c r="FJ72" i="4"/>
  <c r="FK72" i="4" s="1"/>
  <c r="FB72" i="4"/>
  <c r="FC72" i="4" s="1"/>
  <c r="ET72" i="4"/>
  <c r="EU72" i="4" s="1"/>
  <c r="GH75" i="4"/>
  <c r="GI75" i="4" s="1"/>
  <c r="GD75" i="4"/>
  <c r="GE75" i="4" s="1"/>
  <c r="FZ75" i="4"/>
  <c r="GA75" i="4" s="1"/>
  <c r="FV75" i="4"/>
  <c r="FW75" i="4" s="1"/>
  <c r="FR75" i="4"/>
  <c r="FS75" i="4" s="1"/>
  <c r="FN75" i="4"/>
  <c r="FO75" i="4" s="1"/>
  <c r="FJ75" i="4"/>
  <c r="FK75" i="4" s="1"/>
  <c r="FF75" i="4"/>
  <c r="FG75" i="4" s="1"/>
  <c r="FB75" i="4"/>
  <c r="FC75" i="4" s="1"/>
  <c r="EX75" i="4"/>
  <c r="EY75" i="4" s="1"/>
  <c r="ET75" i="4"/>
  <c r="EU75" i="4" s="1"/>
  <c r="GB75" i="4"/>
  <c r="GC75" i="4" s="1"/>
  <c r="FL75" i="4"/>
  <c r="FM75" i="4" s="1"/>
  <c r="EV75" i="4"/>
  <c r="EW75" i="4" s="1"/>
  <c r="FT75" i="4"/>
  <c r="FU75" i="4" s="1"/>
  <c r="FD75" i="4"/>
  <c r="FE75" i="4" s="1"/>
  <c r="GF79" i="4"/>
  <c r="GG79" i="4" s="1"/>
  <c r="GB79" i="4"/>
  <c r="GC79" i="4" s="1"/>
  <c r="FX79" i="4"/>
  <c r="FY79" i="4" s="1"/>
  <c r="FT79" i="4"/>
  <c r="FU79" i="4" s="1"/>
  <c r="GH79" i="4"/>
  <c r="GI79" i="4" s="1"/>
  <c r="GD79" i="4"/>
  <c r="GE79" i="4" s="1"/>
  <c r="FZ79" i="4"/>
  <c r="GA79" i="4" s="1"/>
  <c r="FV79" i="4"/>
  <c r="FW79" i="4" s="1"/>
  <c r="FR79" i="4"/>
  <c r="FS79" i="4" s="1"/>
  <c r="FN79" i="4"/>
  <c r="FO79" i="4" s="1"/>
  <c r="FJ79" i="4"/>
  <c r="FK79" i="4" s="1"/>
  <c r="FF79" i="4"/>
  <c r="FG79" i="4" s="1"/>
  <c r="FB79" i="4"/>
  <c r="FC79" i="4" s="1"/>
  <c r="EX79" i="4"/>
  <c r="EY79" i="4" s="1"/>
  <c r="ET79" i="4"/>
  <c r="EU79" i="4" s="1"/>
  <c r="FL79" i="4"/>
  <c r="FM79" i="4" s="1"/>
  <c r="EV79" i="4"/>
  <c r="EW79" i="4" s="1"/>
  <c r="FP79" i="4"/>
  <c r="FQ79" i="4" s="1"/>
  <c r="EZ79" i="4"/>
  <c r="FA79" i="4" s="1"/>
  <c r="FD79" i="4"/>
  <c r="FE79" i="4" s="1"/>
  <c r="ES79" i="4"/>
  <c r="GF73" i="4"/>
  <c r="GG73" i="4" s="1"/>
  <c r="GB73" i="4"/>
  <c r="GC73" i="4" s="1"/>
  <c r="FX73" i="4"/>
  <c r="FY73" i="4" s="1"/>
  <c r="FT73" i="4"/>
  <c r="FU73" i="4" s="1"/>
  <c r="FP73" i="4"/>
  <c r="FQ73" i="4" s="1"/>
  <c r="GH73" i="4"/>
  <c r="GI73" i="4" s="1"/>
  <c r="FR73" i="4"/>
  <c r="FS73" i="4" s="1"/>
  <c r="FJ73" i="4"/>
  <c r="FK73" i="4" s="1"/>
  <c r="FF73" i="4"/>
  <c r="FG73" i="4" s="1"/>
  <c r="FB73" i="4"/>
  <c r="FC73" i="4" s="1"/>
  <c r="EX73" i="4"/>
  <c r="EY73" i="4" s="1"/>
  <c r="ET73" i="4"/>
  <c r="EU73" i="4" s="1"/>
  <c r="FZ73" i="4"/>
  <c r="GA73" i="4" s="1"/>
  <c r="FH73" i="4"/>
  <c r="FI73" i="4" s="1"/>
  <c r="FD73" i="4"/>
  <c r="FE73" i="4" s="1"/>
  <c r="EZ73" i="4"/>
  <c r="FA73" i="4" s="1"/>
  <c r="EV73" i="4"/>
  <c r="EW73" i="4" s="1"/>
  <c r="ES73" i="4"/>
  <c r="GF74" i="4"/>
  <c r="GG74" i="4" s="1"/>
  <c r="FP74" i="4"/>
  <c r="FQ74" i="4" s="1"/>
  <c r="EZ74" i="4"/>
  <c r="FA74" i="4" s="1"/>
  <c r="GD74" i="4"/>
  <c r="GE74" i="4" s="1"/>
  <c r="FN74" i="4"/>
  <c r="FO74" i="4" s="1"/>
  <c r="EX74" i="4"/>
  <c r="EY74" i="4" s="1"/>
  <c r="GF83" i="4"/>
  <c r="GG83" i="4" s="1"/>
  <c r="GB83" i="4"/>
  <c r="GC83" i="4" s="1"/>
  <c r="FX83" i="4"/>
  <c r="FY83" i="4" s="1"/>
  <c r="FT83" i="4"/>
  <c r="FU83" i="4" s="1"/>
  <c r="FP83" i="4"/>
  <c r="FQ83" i="4" s="1"/>
  <c r="FL83" i="4"/>
  <c r="FM83" i="4" s="1"/>
  <c r="FH83" i="4"/>
  <c r="FI83" i="4" s="1"/>
  <c r="FD83" i="4"/>
  <c r="FE83" i="4" s="1"/>
  <c r="EZ83" i="4"/>
  <c r="FA83" i="4" s="1"/>
  <c r="EV83" i="4"/>
  <c r="EW83" i="4" s="1"/>
  <c r="ES83" i="4"/>
  <c r="GH83" i="4"/>
  <c r="GI83" i="4" s="1"/>
  <c r="FZ83" i="4"/>
  <c r="GA83" i="4" s="1"/>
  <c r="FR83" i="4"/>
  <c r="FS83" i="4" s="1"/>
  <c r="FJ83" i="4"/>
  <c r="FK83" i="4" s="1"/>
  <c r="FB83" i="4"/>
  <c r="FC83" i="4" s="1"/>
  <c r="ET83" i="4"/>
  <c r="EU83" i="4" s="1"/>
  <c r="GD83" i="4"/>
  <c r="GE83" i="4" s="1"/>
  <c r="EX83" i="4"/>
  <c r="EY83" i="4" s="1"/>
  <c r="FV83" i="4"/>
  <c r="FW83" i="4" s="1"/>
  <c r="FN83" i="4"/>
  <c r="FO83" i="4" s="1"/>
  <c r="FF83" i="4"/>
  <c r="FG83" i="4" s="1"/>
  <c r="GF87" i="4"/>
  <c r="GG87" i="4" s="1"/>
  <c r="GB87" i="4"/>
  <c r="GC87" i="4" s="1"/>
  <c r="FX87" i="4"/>
  <c r="FY87" i="4" s="1"/>
  <c r="FT87" i="4"/>
  <c r="FU87" i="4" s="1"/>
  <c r="FP87" i="4"/>
  <c r="FQ87" i="4" s="1"/>
  <c r="FL87" i="4"/>
  <c r="FM87" i="4" s="1"/>
  <c r="FH87" i="4"/>
  <c r="FI87" i="4" s="1"/>
  <c r="FD87" i="4"/>
  <c r="FE87" i="4" s="1"/>
  <c r="EZ87" i="4"/>
  <c r="FA87" i="4" s="1"/>
  <c r="EV87" i="4"/>
  <c r="EW87" i="4" s="1"/>
  <c r="ES87" i="4"/>
  <c r="GH87" i="4"/>
  <c r="GI87" i="4" s="1"/>
  <c r="FZ87" i="4"/>
  <c r="GA87" i="4" s="1"/>
  <c r="FR87" i="4"/>
  <c r="FS87" i="4" s="1"/>
  <c r="FJ87" i="4"/>
  <c r="FK87" i="4" s="1"/>
  <c r="FB87" i="4"/>
  <c r="FC87" i="4" s="1"/>
  <c r="ET87" i="4"/>
  <c r="EU87" i="4" s="1"/>
  <c r="GD87" i="4"/>
  <c r="GE87" i="4" s="1"/>
  <c r="EX87" i="4"/>
  <c r="EY87" i="4" s="1"/>
  <c r="FV87" i="4"/>
  <c r="FW87" i="4" s="1"/>
  <c r="FN87" i="4"/>
  <c r="FO87" i="4" s="1"/>
  <c r="FF87" i="4"/>
  <c r="FG87" i="4" s="1"/>
  <c r="EX77" i="4"/>
  <c r="EY77" i="4" s="1"/>
  <c r="FN77" i="4"/>
  <c r="FO77" i="4" s="1"/>
  <c r="GF78" i="4"/>
  <c r="GG78" i="4" s="1"/>
  <c r="FP78" i="4"/>
  <c r="FQ78" i="4" s="1"/>
  <c r="EZ78" i="4"/>
  <c r="FA78" i="4" s="1"/>
  <c r="GD78" i="4"/>
  <c r="GE78" i="4" s="1"/>
  <c r="FN78" i="4"/>
  <c r="FO78" i="4" s="1"/>
  <c r="EX78" i="4"/>
  <c r="EY78" i="4" s="1"/>
  <c r="GF77" i="4"/>
  <c r="GG77" i="4" s="1"/>
  <c r="GB77" i="4"/>
  <c r="GC77" i="4" s="1"/>
  <c r="FX77" i="4"/>
  <c r="FY77" i="4" s="1"/>
  <c r="FT77" i="4"/>
  <c r="FU77" i="4" s="1"/>
  <c r="FP77" i="4"/>
  <c r="FQ77" i="4" s="1"/>
  <c r="FL77" i="4"/>
  <c r="FM77" i="4" s="1"/>
  <c r="FH77" i="4"/>
  <c r="FI77" i="4" s="1"/>
  <c r="FD77" i="4"/>
  <c r="FE77" i="4" s="1"/>
  <c r="EZ77" i="4"/>
  <c r="FA77" i="4" s="1"/>
  <c r="EV77" i="4"/>
  <c r="EW77" i="4" s="1"/>
  <c r="ES77" i="4"/>
  <c r="GH81" i="4"/>
  <c r="GI81" i="4" s="1"/>
  <c r="GD81" i="4"/>
  <c r="GE81" i="4" s="1"/>
  <c r="FZ81" i="4"/>
  <c r="GA81" i="4" s="1"/>
  <c r="FV81" i="4"/>
  <c r="FW81" i="4" s="1"/>
  <c r="FR81" i="4"/>
  <c r="FS81" i="4" s="1"/>
  <c r="FN81" i="4"/>
  <c r="FO81" i="4" s="1"/>
  <c r="FJ81" i="4"/>
  <c r="FK81" i="4" s="1"/>
  <c r="FF81" i="4"/>
  <c r="FG81" i="4" s="1"/>
  <c r="FB81" i="4"/>
  <c r="FC81" i="4" s="1"/>
  <c r="EX81" i="4"/>
  <c r="EY81" i="4" s="1"/>
  <c r="ET81" i="4"/>
  <c r="EU81" i="4" s="1"/>
  <c r="GF81" i="4"/>
  <c r="GG81" i="4" s="1"/>
  <c r="GB81" i="4"/>
  <c r="GC81" i="4" s="1"/>
  <c r="FX81" i="4"/>
  <c r="FY81" i="4" s="1"/>
  <c r="FT81" i="4"/>
  <c r="FU81" i="4" s="1"/>
  <c r="FP81" i="4"/>
  <c r="FQ81" i="4" s="1"/>
  <c r="FL81" i="4"/>
  <c r="FM81" i="4" s="1"/>
  <c r="FH81" i="4"/>
  <c r="FI81" i="4" s="1"/>
  <c r="FD81" i="4"/>
  <c r="FE81" i="4" s="1"/>
  <c r="EZ81" i="4"/>
  <c r="FA81" i="4" s="1"/>
  <c r="EV81" i="4"/>
  <c r="EW81" i="4" s="1"/>
  <c r="ES81" i="4"/>
  <c r="GF84" i="4"/>
  <c r="GG84" i="4" s="1"/>
  <c r="GB84" i="4"/>
  <c r="GC84" i="4" s="1"/>
  <c r="FX84" i="4"/>
  <c r="FY84" i="4" s="1"/>
  <c r="FT84" i="4"/>
  <c r="FU84" i="4" s="1"/>
  <c r="FP84" i="4"/>
  <c r="FQ84" i="4" s="1"/>
  <c r="FL84" i="4"/>
  <c r="FM84" i="4" s="1"/>
  <c r="FH84" i="4"/>
  <c r="FI84" i="4" s="1"/>
  <c r="FD84" i="4"/>
  <c r="FE84" i="4" s="1"/>
  <c r="EZ84" i="4"/>
  <c r="FA84" i="4" s="1"/>
  <c r="EV84" i="4"/>
  <c r="EW84" i="4" s="1"/>
  <c r="ES84" i="4"/>
  <c r="GD84" i="4"/>
  <c r="GE84" i="4" s="1"/>
  <c r="FV84" i="4"/>
  <c r="FW84" i="4" s="1"/>
  <c r="FN84" i="4"/>
  <c r="FO84" i="4" s="1"/>
  <c r="FF84" i="4"/>
  <c r="FG84" i="4" s="1"/>
  <c r="EX84" i="4"/>
  <c r="EY84" i="4" s="1"/>
  <c r="GH85" i="4"/>
  <c r="GI85" i="4" s="1"/>
  <c r="GD85" i="4"/>
  <c r="GE85" i="4" s="1"/>
  <c r="FZ85" i="4"/>
  <c r="GA85" i="4" s="1"/>
  <c r="FV85" i="4"/>
  <c r="FW85" i="4" s="1"/>
  <c r="FR85" i="4"/>
  <c r="FS85" i="4" s="1"/>
  <c r="FN85" i="4"/>
  <c r="FO85" i="4" s="1"/>
  <c r="FJ85" i="4"/>
  <c r="FK85" i="4" s="1"/>
  <c r="FF85" i="4"/>
  <c r="FG85" i="4" s="1"/>
  <c r="FB85" i="4"/>
  <c r="FC85" i="4" s="1"/>
  <c r="EX85" i="4"/>
  <c r="EY85" i="4" s="1"/>
  <c r="ET85" i="4"/>
  <c r="EU85" i="4" s="1"/>
  <c r="GF85" i="4"/>
  <c r="GG85" i="4" s="1"/>
  <c r="FX85" i="4"/>
  <c r="FY85" i="4" s="1"/>
  <c r="FP85" i="4"/>
  <c r="FQ85" i="4" s="1"/>
  <c r="FH85" i="4"/>
  <c r="FI85" i="4" s="1"/>
  <c r="EZ85" i="4"/>
  <c r="FA85" i="4" s="1"/>
  <c r="ES85" i="4"/>
  <c r="GB85" i="4"/>
  <c r="GC85" i="4" s="1"/>
  <c r="FT85" i="4"/>
  <c r="FU85" i="4" s="1"/>
  <c r="FL85" i="4"/>
  <c r="FM85" i="4" s="1"/>
  <c r="FD85" i="4"/>
  <c r="FE85" i="4" s="1"/>
  <c r="EV85" i="4"/>
  <c r="EW85" i="4" s="1"/>
  <c r="GF88" i="4"/>
  <c r="GG88" i="4" s="1"/>
  <c r="GB88" i="4"/>
  <c r="GC88" i="4" s="1"/>
  <c r="FX88" i="4"/>
  <c r="FY88" i="4" s="1"/>
  <c r="FT88" i="4"/>
  <c r="FU88" i="4" s="1"/>
  <c r="FP88" i="4"/>
  <c r="FQ88" i="4" s="1"/>
  <c r="FL88" i="4"/>
  <c r="FM88" i="4" s="1"/>
  <c r="FH88" i="4"/>
  <c r="FI88" i="4" s="1"/>
  <c r="FD88" i="4"/>
  <c r="FE88" i="4" s="1"/>
  <c r="EZ88" i="4"/>
  <c r="FA88" i="4" s="1"/>
  <c r="EV88" i="4"/>
  <c r="EW88" i="4" s="1"/>
  <c r="ES88" i="4"/>
  <c r="GD88" i="4"/>
  <c r="GE88" i="4" s="1"/>
  <c r="FV88" i="4"/>
  <c r="FW88" i="4" s="1"/>
  <c r="FN88" i="4"/>
  <c r="FO88" i="4" s="1"/>
  <c r="FF88" i="4"/>
  <c r="FG88" i="4" s="1"/>
  <c r="EX88" i="4"/>
  <c r="EY88" i="4" s="1"/>
  <c r="FR84" i="4"/>
  <c r="FS84" i="4" s="1"/>
  <c r="FR88" i="4"/>
  <c r="FS88" i="4" s="1"/>
  <c r="ET84" i="4"/>
  <c r="EU84" i="4" s="1"/>
  <c r="FZ84" i="4"/>
  <c r="GA84" i="4" s="1"/>
  <c r="GH86" i="4"/>
  <c r="GI86" i="4" s="1"/>
  <c r="GD86" i="4"/>
  <c r="GE86" i="4" s="1"/>
  <c r="FZ86" i="4"/>
  <c r="GA86" i="4" s="1"/>
  <c r="FV86" i="4"/>
  <c r="FW86" i="4" s="1"/>
  <c r="FR86" i="4"/>
  <c r="FS86" i="4" s="1"/>
  <c r="FN86" i="4"/>
  <c r="FO86" i="4" s="1"/>
  <c r="FJ86" i="4"/>
  <c r="FK86" i="4" s="1"/>
  <c r="FF86" i="4"/>
  <c r="FG86" i="4" s="1"/>
  <c r="FB86" i="4"/>
  <c r="FC86" i="4" s="1"/>
  <c r="EX86" i="4"/>
  <c r="EY86" i="4" s="1"/>
  <c r="ET86" i="4"/>
  <c r="EU86" i="4" s="1"/>
  <c r="GB86" i="4"/>
  <c r="GC86" i="4" s="1"/>
  <c r="FT86" i="4"/>
  <c r="FU86" i="4" s="1"/>
  <c r="FL86" i="4"/>
  <c r="FM86" i="4" s="1"/>
  <c r="FD86" i="4"/>
  <c r="FE86" i="4" s="1"/>
  <c r="EV86" i="4"/>
  <c r="EW86" i="4" s="1"/>
  <c r="ET88" i="4"/>
  <c r="EU88" i="4" s="1"/>
  <c r="FZ88" i="4"/>
  <c r="GA88" i="4" s="1"/>
  <c r="AT125" i="4"/>
  <c r="AU125" i="4" s="1"/>
  <c r="AL125" i="4"/>
  <c r="AM125" i="4" s="1"/>
  <c r="AD125" i="4"/>
  <c r="AE125" i="4" s="1"/>
  <c r="V125" i="4"/>
  <c r="W125" i="4" s="1"/>
  <c r="N125" i="4"/>
  <c r="O125" i="4" s="1"/>
  <c r="J125" i="4"/>
  <c r="K125" i="4" s="1"/>
  <c r="AV125" i="4"/>
  <c r="AW125" i="4" s="1"/>
  <c r="AN125" i="4"/>
  <c r="AO125" i="4" s="1"/>
  <c r="AF125" i="4"/>
  <c r="AG125" i="4" s="1"/>
  <c r="X125" i="4"/>
  <c r="Y125" i="4" s="1"/>
  <c r="P125" i="4"/>
  <c r="Q125" i="4" s="1"/>
  <c r="AX125" i="4"/>
  <c r="AY125" i="4" s="1"/>
  <c r="AP125" i="4"/>
  <c r="AQ125" i="4" s="1"/>
  <c r="AH125" i="4"/>
  <c r="AI125" i="4" s="1"/>
  <c r="Z125" i="4"/>
  <c r="AA125" i="4" s="1"/>
  <c r="R125" i="4"/>
  <c r="S125" i="4" s="1"/>
  <c r="L125" i="4"/>
  <c r="M125" i="4" s="1"/>
  <c r="I117" i="4"/>
  <c r="I125" i="4"/>
  <c r="T117" i="4"/>
  <c r="U117" i="4" s="1"/>
  <c r="AB125" i="4"/>
  <c r="AC125" i="4" s="1"/>
  <c r="AJ117" i="4"/>
  <c r="AK117" i="4" s="1"/>
  <c r="AR125" i="4"/>
  <c r="AS125" i="4" s="1"/>
  <c r="AV118" i="4"/>
  <c r="AW118" i="4" s="1"/>
  <c r="AN118" i="4"/>
  <c r="AO118" i="4" s="1"/>
  <c r="AF118" i="4"/>
  <c r="AG118" i="4" s="1"/>
  <c r="X118" i="4"/>
  <c r="Y118" i="4" s="1"/>
  <c r="P118" i="4"/>
  <c r="Q118" i="4" s="1"/>
  <c r="AP118" i="4"/>
  <c r="AQ118" i="4" s="1"/>
  <c r="AH118" i="4"/>
  <c r="AI118" i="4" s="1"/>
  <c r="Z118" i="4"/>
  <c r="AA118" i="4" s="1"/>
  <c r="R118" i="4"/>
  <c r="S118" i="4" s="1"/>
  <c r="AX118" i="4"/>
  <c r="AY118" i="4" s="1"/>
  <c r="AR118" i="4"/>
  <c r="AS118" i="4" s="1"/>
  <c r="AJ118" i="4"/>
  <c r="AK118" i="4" s="1"/>
  <c r="AB118" i="4"/>
  <c r="AC118" i="4" s="1"/>
  <c r="T118" i="4"/>
  <c r="U118" i="4" s="1"/>
  <c r="AV122" i="4"/>
  <c r="AW122" i="4" s="1"/>
  <c r="AN122" i="4"/>
  <c r="AO122" i="4" s="1"/>
  <c r="AF122" i="4"/>
  <c r="AG122" i="4" s="1"/>
  <c r="X122" i="4"/>
  <c r="Y122" i="4" s="1"/>
  <c r="P122" i="4"/>
  <c r="Q122" i="4" s="1"/>
  <c r="AP122" i="4"/>
  <c r="AQ122" i="4" s="1"/>
  <c r="AH122" i="4"/>
  <c r="AI122" i="4" s="1"/>
  <c r="Z122" i="4"/>
  <c r="AA122" i="4" s="1"/>
  <c r="R122" i="4"/>
  <c r="S122" i="4" s="1"/>
  <c r="J122" i="4"/>
  <c r="K122" i="4" s="1"/>
  <c r="AX122" i="4"/>
  <c r="AY122" i="4" s="1"/>
  <c r="AR122" i="4"/>
  <c r="AS122" i="4" s="1"/>
  <c r="AJ122" i="4"/>
  <c r="AK122" i="4" s="1"/>
  <c r="AB122" i="4"/>
  <c r="AC122" i="4" s="1"/>
  <c r="T122" i="4"/>
  <c r="U122" i="4" s="1"/>
  <c r="AV126" i="4"/>
  <c r="AW126" i="4" s="1"/>
  <c r="AN126" i="4"/>
  <c r="AO126" i="4" s="1"/>
  <c r="AF126" i="4"/>
  <c r="AG126" i="4" s="1"/>
  <c r="X126" i="4"/>
  <c r="Y126" i="4" s="1"/>
  <c r="P126" i="4"/>
  <c r="Q126" i="4" s="1"/>
  <c r="AP126" i="4"/>
  <c r="AQ126" i="4" s="1"/>
  <c r="AH126" i="4"/>
  <c r="AI126" i="4" s="1"/>
  <c r="Z126" i="4"/>
  <c r="AA126" i="4" s="1"/>
  <c r="R126" i="4"/>
  <c r="S126" i="4" s="1"/>
  <c r="J126" i="4"/>
  <c r="K126" i="4" s="1"/>
  <c r="AX126" i="4"/>
  <c r="AY126" i="4" s="1"/>
  <c r="AR126" i="4"/>
  <c r="AS126" i="4" s="1"/>
  <c r="AJ126" i="4"/>
  <c r="AK126" i="4" s="1"/>
  <c r="AB126" i="4"/>
  <c r="AC126" i="4" s="1"/>
  <c r="T126" i="4"/>
  <c r="U126" i="4" s="1"/>
  <c r="AT121" i="4"/>
  <c r="AU121" i="4" s="1"/>
  <c r="AL121" i="4"/>
  <c r="AM121" i="4" s="1"/>
  <c r="AD121" i="4"/>
  <c r="AE121" i="4" s="1"/>
  <c r="V121" i="4"/>
  <c r="W121" i="4" s="1"/>
  <c r="N121" i="4"/>
  <c r="O121" i="4" s="1"/>
  <c r="J121" i="4"/>
  <c r="K121" i="4" s="1"/>
  <c r="AV121" i="4"/>
  <c r="AW121" i="4" s="1"/>
  <c r="AN121" i="4"/>
  <c r="AO121" i="4" s="1"/>
  <c r="AF121" i="4"/>
  <c r="AG121" i="4" s="1"/>
  <c r="X121" i="4"/>
  <c r="Y121" i="4" s="1"/>
  <c r="P121" i="4"/>
  <c r="Q121" i="4" s="1"/>
  <c r="AX121" i="4"/>
  <c r="AY121" i="4" s="1"/>
  <c r="AP121" i="4"/>
  <c r="AQ121" i="4" s="1"/>
  <c r="AH121" i="4"/>
  <c r="AI121" i="4" s="1"/>
  <c r="Z121" i="4"/>
  <c r="AA121" i="4" s="1"/>
  <c r="R121" i="4"/>
  <c r="S121" i="4" s="1"/>
  <c r="L121" i="4"/>
  <c r="M121" i="4" s="1"/>
  <c r="T125" i="4"/>
  <c r="U125" i="4" s="1"/>
  <c r="AB117" i="4"/>
  <c r="AC117" i="4" s="1"/>
  <c r="AJ125" i="4"/>
  <c r="AK125" i="4" s="1"/>
  <c r="AR116" i="4"/>
  <c r="AS116" i="4" s="1"/>
  <c r="AJ116" i="4"/>
  <c r="AK116" i="4" s="1"/>
  <c r="AB116" i="4"/>
  <c r="AC116" i="4" s="1"/>
  <c r="T116" i="4"/>
  <c r="U116" i="4" s="1"/>
  <c r="AT116" i="4"/>
  <c r="AU116" i="4" s="1"/>
  <c r="AL116" i="4"/>
  <c r="AM116" i="4" s="1"/>
  <c r="AD116" i="4"/>
  <c r="AE116" i="4" s="1"/>
  <c r="V116" i="4"/>
  <c r="W116" i="4" s="1"/>
  <c r="N116" i="4"/>
  <c r="O116" i="4" s="1"/>
  <c r="AX116" i="4"/>
  <c r="AY116" i="4" s="1"/>
  <c r="AV116" i="4"/>
  <c r="AW116" i="4" s="1"/>
  <c r="AN116" i="4"/>
  <c r="AO116" i="4" s="1"/>
  <c r="AF116" i="4"/>
  <c r="AG116" i="4" s="1"/>
  <c r="X116" i="4"/>
  <c r="Y116" i="4" s="1"/>
  <c r="P116" i="4"/>
  <c r="Q116" i="4" s="1"/>
  <c r="AR120" i="4"/>
  <c r="AS120" i="4" s="1"/>
  <c r="AJ120" i="4"/>
  <c r="AK120" i="4" s="1"/>
  <c r="AB120" i="4"/>
  <c r="AC120" i="4" s="1"/>
  <c r="T120" i="4"/>
  <c r="U120" i="4" s="1"/>
  <c r="AT120" i="4"/>
  <c r="AU120" i="4" s="1"/>
  <c r="AL120" i="4"/>
  <c r="AM120" i="4" s="1"/>
  <c r="AD120" i="4"/>
  <c r="AE120" i="4" s="1"/>
  <c r="V120" i="4"/>
  <c r="W120" i="4" s="1"/>
  <c r="N120" i="4"/>
  <c r="O120" i="4" s="1"/>
  <c r="AX120" i="4"/>
  <c r="AY120" i="4" s="1"/>
  <c r="AV120" i="4"/>
  <c r="AW120" i="4" s="1"/>
  <c r="AN120" i="4"/>
  <c r="AO120" i="4" s="1"/>
  <c r="AF120" i="4"/>
  <c r="AG120" i="4" s="1"/>
  <c r="X120" i="4"/>
  <c r="Y120" i="4" s="1"/>
  <c r="P120" i="4"/>
  <c r="Q120" i="4" s="1"/>
  <c r="AR124" i="4"/>
  <c r="AS124" i="4" s="1"/>
  <c r="AJ124" i="4"/>
  <c r="AK124" i="4" s="1"/>
  <c r="AB124" i="4"/>
  <c r="AC124" i="4" s="1"/>
  <c r="T124" i="4"/>
  <c r="U124" i="4" s="1"/>
  <c r="AT124" i="4"/>
  <c r="AU124" i="4" s="1"/>
  <c r="AL124" i="4"/>
  <c r="AM124" i="4" s="1"/>
  <c r="AD124" i="4"/>
  <c r="AE124" i="4" s="1"/>
  <c r="V124" i="4"/>
  <c r="W124" i="4" s="1"/>
  <c r="N124" i="4"/>
  <c r="O124" i="4" s="1"/>
  <c r="L124" i="4"/>
  <c r="M124" i="4" s="1"/>
  <c r="AX124" i="4"/>
  <c r="AY124" i="4" s="1"/>
  <c r="AV124" i="4"/>
  <c r="AW124" i="4" s="1"/>
  <c r="AN124" i="4"/>
  <c r="AO124" i="4" s="1"/>
  <c r="AF124" i="4"/>
  <c r="AG124" i="4" s="1"/>
  <c r="X124" i="4"/>
  <c r="Y124" i="4" s="1"/>
  <c r="P124" i="4"/>
  <c r="Q124" i="4" s="1"/>
  <c r="DP123" i="4"/>
  <c r="DQ123" i="4" s="1"/>
  <c r="DL123" i="4"/>
  <c r="DM123" i="4" s="1"/>
  <c r="DH123" i="4"/>
  <c r="DI123" i="4" s="1"/>
  <c r="DD123" i="4"/>
  <c r="DE123" i="4" s="1"/>
  <c r="CZ123" i="4"/>
  <c r="DA123" i="4" s="1"/>
  <c r="CV123" i="4"/>
  <c r="CW123" i="4" s="1"/>
  <c r="CR123" i="4"/>
  <c r="CS123" i="4" s="1"/>
  <c r="CN123" i="4"/>
  <c r="CO123" i="4" s="1"/>
  <c r="CJ123" i="4"/>
  <c r="CK123" i="4" s="1"/>
  <c r="CF123" i="4"/>
  <c r="CG123" i="4" s="1"/>
  <c r="CB123" i="4"/>
  <c r="CC123" i="4" s="1"/>
  <c r="DN123" i="4"/>
  <c r="DO123" i="4" s="1"/>
  <c r="DJ123" i="4"/>
  <c r="DK123" i="4" s="1"/>
  <c r="DF123" i="4"/>
  <c r="DG123" i="4" s="1"/>
  <c r="DB123" i="4"/>
  <c r="DC123" i="4" s="1"/>
  <c r="CX123" i="4"/>
  <c r="CY123" i="4" s="1"/>
  <c r="CT123" i="4"/>
  <c r="CU123" i="4" s="1"/>
  <c r="CP123" i="4"/>
  <c r="CQ123" i="4" s="1"/>
  <c r="CL123" i="4"/>
  <c r="CM123" i="4" s="1"/>
  <c r="CH123" i="4"/>
  <c r="CI123" i="4" s="1"/>
  <c r="CD123" i="4"/>
  <c r="CE123" i="4" s="1"/>
  <c r="CA123" i="4"/>
  <c r="AT117" i="4"/>
  <c r="AU117" i="4" s="1"/>
  <c r="AL117" i="4"/>
  <c r="AM117" i="4" s="1"/>
  <c r="AD117" i="4"/>
  <c r="AE117" i="4" s="1"/>
  <c r="V117" i="4"/>
  <c r="W117" i="4" s="1"/>
  <c r="N117" i="4"/>
  <c r="O117" i="4" s="1"/>
  <c r="AV117" i="4"/>
  <c r="AW117" i="4" s="1"/>
  <c r="AN117" i="4"/>
  <c r="AO117" i="4" s="1"/>
  <c r="AF117" i="4"/>
  <c r="AG117" i="4" s="1"/>
  <c r="X117" i="4"/>
  <c r="Y117" i="4" s="1"/>
  <c r="P117" i="4"/>
  <c r="Q117" i="4" s="1"/>
  <c r="AX117" i="4"/>
  <c r="AY117" i="4" s="1"/>
  <c r="AP117" i="4"/>
  <c r="AQ117" i="4" s="1"/>
  <c r="AH117" i="4"/>
  <c r="AI117" i="4" s="1"/>
  <c r="Z117" i="4"/>
  <c r="AA117" i="4" s="1"/>
  <c r="R117" i="4"/>
  <c r="S117" i="4" s="1"/>
  <c r="I121" i="4"/>
  <c r="J117" i="4"/>
  <c r="K117" i="4" s="1"/>
  <c r="AB121" i="4"/>
  <c r="AC121" i="4" s="1"/>
  <c r="AR121" i="4"/>
  <c r="AS121" i="4" s="1"/>
  <c r="AP119" i="4"/>
  <c r="AQ119" i="4" s="1"/>
  <c r="AH119" i="4"/>
  <c r="AI119" i="4" s="1"/>
  <c r="Z119" i="4"/>
  <c r="AA119" i="4" s="1"/>
  <c r="R119" i="4"/>
  <c r="S119" i="4" s="1"/>
  <c r="AR119" i="4"/>
  <c r="AS119" i="4" s="1"/>
  <c r="AJ119" i="4"/>
  <c r="AK119" i="4" s="1"/>
  <c r="AB119" i="4"/>
  <c r="AC119" i="4" s="1"/>
  <c r="T119" i="4"/>
  <c r="U119" i="4" s="1"/>
  <c r="AX119" i="4"/>
  <c r="AY119" i="4" s="1"/>
  <c r="AT119" i="4"/>
  <c r="AU119" i="4" s="1"/>
  <c r="AL119" i="4"/>
  <c r="AM119" i="4" s="1"/>
  <c r="AD119" i="4"/>
  <c r="AE119" i="4" s="1"/>
  <c r="V119" i="4"/>
  <c r="W119" i="4" s="1"/>
  <c r="N119" i="4"/>
  <c r="O119" i="4" s="1"/>
  <c r="AP123" i="4"/>
  <c r="AQ123" i="4" s="1"/>
  <c r="AH123" i="4"/>
  <c r="AI123" i="4" s="1"/>
  <c r="Z123" i="4"/>
  <c r="AA123" i="4" s="1"/>
  <c r="R123" i="4"/>
  <c r="S123" i="4" s="1"/>
  <c r="L123" i="4"/>
  <c r="M123" i="4" s="1"/>
  <c r="AR123" i="4"/>
  <c r="AS123" i="4" s="1"/>
  <c r="AJ123" i="4"/>
  <c r="AK123" i="4" s="1"/>
  <c r="AB123" i="4"/>
  <c r="AC123" i="4" s="1"/>
  <c r="T123" i="4"/>
  <c r="U123" i="4" s="1"/>
  <c r="AX123" i="4"/>
  <c r="AY123" i="4" s="1"/>
  <c r="AT123" i="4"/>
  <c r="AU123" i="4" s="1"/>
  <c r="AL123" i="4"/>
  <c r="AM123" i="4" s="1"/>
  <c r="AD123" i="4"/>
  <c r="AE123" i="4" s="1"/>
  <c r="V123" i="4"/>
  <c r="W123" i="4" s="1"/>
  <c r="N123" i="4"/>
  <c r="O123" i="4" s="1"/>
  <c r="J123" i="4"/>
  <c r="K123" i="4" s="1"/>
  <c r="DN23" i="4"/>
  <c r="DO23" i="4" s="1"/>
  <c r="DJ23" i="4"/>
  <c r="DK23" i="4" s="1"/>
  <c r="DF23" i="4"/>
  <c r="DG23" i="4" s="1"/>
  <c r="DB23" i="4"/>
  <c r="DC23" i="4" s="1"/>
  <c r="CX23" i="4"/>
  <c r="CY23" i="4" s="1"/>
  <c r="CT23" i="4"/>
  <c r="CU23" i="4" s="1"/>
  <c r="CP23" i="4"/>
  <c r="CQ23" i="4" s="1"/>
  <c r="CL23" i="4"/>
  <c r="CM23" i="4" s="1"/>
  <c r="CH23" i="4"/>
  <c r="CI23" i="4" s="1"/>
  <c r="CD23" i="4"/>
  <c r="CE23" i="4" s="1"/>
  <c r="CA23" i="4"/>
  <c r="DP23" i="4"/>
  <c r="DQ23" i="4" s="1"/>
  <c r="DL23" i="4"/>
  <c r="DM23" i="4" s="1"/>
  <c r="DH23" i="4"/>
  <c r="DI23" i="4" s="1"/>
  <c r="DD23" i="4"/>
  <c r="DE23" i="4" s="1"/>
  <c r="CZ23" i="4"/>
  <c r="DA23" i="4" s="1"/>
  <c r="CV23" i="4"/>
  <c r="CW23" i="4" s="1"/>
  <c r="CR23" i="4"/>
  <c r="CS23" i="4" s="1"/>
  <c r="CN23" i="4"/>
  <c r="CO23" i="4" s="1"/>
  <c r="CJ23" i="4"/>
  <c r="CK23" i="4" s="1"/>
  <c r="CF23" i="4"/>
  <c r="CG23" i="4" s="1"/>
  <c r="CB23" i="4"/>
  <c r="CC23" i="4" s="1"/>
  <c r="DP119" i="4"/>
  <c r="DQ119" i="4" s="1"/>
  <c r="DL119" i="4"/>
  <c r="DM119" i="4" s="1"/>
  <c r="DH119" i="4"/>
  <c r="DI119" i="4" s="1"/>
  <c r="DD119" i="4"/>
  <c r="DE119" i="4" s="1"/>
  <c r="CZ119" i="4"/>
  <c r="DA119" i="4" s="1"/>
  <c r="CV119" i="4"/>
  <c r="CW119" i="4" s="1"/>
  <c r="CR119" i="4"/>
  <c r="CS119" i="4" s="1"/>
  <c r="CN119" i="4"/>
  <c r="CO119" i="4" s="1"/>
  <c r="CJ119" i="4"/>
  <c r="CK119" i="4" s="1"/>
  <c r="CF119" i="4"/>
  <c r="CG119" i="4" s="1"/>
  <c r="CB119" i="4"/>
  <c r="CC119" i="4" s="1"/>
  <c r="DN119" i="4"/>
  <c r="DO119" i="4" s="1"/>
  <c r="DJ119" i="4"/>
  <c r="DK119" i="4" s="1"/>
  <c r="DF119" i="4"/>
  <c r="DG119" i="4" s="1"/>
  <c r="DB119" i="4"/>
  <c r="DC119" i="4" s="1"/>
  <c r="CX119" i="4"/>
  <c r="CY119" i="4" s="1"/>
  <c r="CT119" i="4"/>
  <c r="CU119" i="4" s="1"/>
  <c r="CP119" i="4"/>
  <c r="CQ119" i="4" s="1"/>
  <c r="CL119" i="4"/>
  <c r="CM119" i="4" s="1"/>
  <c r="CH119" i="4"/>
  <c r="CI119" i="4" s="1"/>
  <c r="CD119" i="4"/>
  <c r="CE119" i="4" s="1"/>
  <c r="CA119" i="4"/>
  <c r="DH117" i="4"/>
  <c r="DI117" i="4" s="1"/>
  <c r="CR117" i="4"/>
  <c r="CS117" i="4" s="1"/>
  <c r="CB117" i="4"/>
  <c r="CC117" i="4" s="1"/>
  <c r="DB117" i="4"/>
  <c r="DC117" i="4" s="1"/>
  <c r="CL117" i="4"/>
  <c r="CM117" i="4" s="1"/>
  <c r="DP121" i="4"/>
  <c r="DQ121" i="4" s="1"/>
  <c r="DL121" i="4"/>
  <c r="DM121" i="4" s="1"/>
  <c r="DH121" i="4"/>
  <c r="DI121" i="4" s="1"/>
  <c r="DD121" i="4"/>
  <c r="DE121" i="4" s="1"/>
  <c r="CZ121" i="4"/>
  <c r="DA121" i="4" s="1"/>
  <c r="CV121" i="4"/>
  <c r="CW121" i="4" s="1"/>
  <c r="CR121" i="4"/>
  <c r="CS121" i="4" s="1"/>
  <c r="CN121" i="4"/>
  <c r="CO121" i="4" s="1"/>
  <c r="CJ121" i="4"/>
  <c r="CK121" i="4" s="1"/>
  <c r="CF121" i="4"/>
  <c r="CG121" i="4" s="1"/>
  <c r="CB121" i="4"/>
  <c r="CC121" i="4" s="1"/>
  <c r="DN121" i="4"/>
  <c r="DO121" i="4" s="1"/>
  <c r="DJ121" i="4"/>
  <c r="DK121" i="4" s="1"/>
  <c r="DF121" i="4"/>
  <c r="DG121" i="4" s="1"/>
  <c r="DB121" i="4"/>
  <c r="DC121" i="4" s="1"/>
  <c r="CX121" i="4"/>
  <c r="CY121" i="4" s="1"/>
  <c r="CT121" i="4"/>
  <c r="CU121" i="4" s="1"/>
  <c r="CP121" i="4"/>
  <c r="CQ121" i="4" s="1"/>
  <c r="CL121" i="4"/>
  <c r="CM121" i="4" s="1"/>
  <c r="CH121" i="4"/>
  <c r="CI121" i="4" s="1"/>
  <c r="CD121" i="4"/>
  <c r="CE121" i="4" s="1"/>
  <c r="CA121" i="4"/>
  <c r="CB116" i="4"/>
  <c r="CC116" i="4" s="1"/>
  <c r="CF116" i="4"/>
  <c r="CG116" i="4" s="1"/>
  <c r="CJ116" i="4"/>
  <c r="CK116" i="4" s="1"/>
  <c r="CN116" i="4"/>
  <c r="CO116" i="4" s="1"/>
  <c r="CR116" i="4"/>
  <c r="CS116" i="4" s="1"/>
  <c r="CV116" i="4"/>
  <c r="CW116" i="4" s="1"/>
  <c r="CZ116" i="4"/>
  <c r="DA116" i="4" s="1"/>
  <c r="DD116" i="4"/>
  <c r="DE116" i="4" s="1"/>
  <c r="DH116" i="4"/>
  <c r="DI116" i="4" s="1"/>
  <c r="DL116" i="4"/>
  <c r="DM116" i="4" s="1"/>
  <c r="CB118" i="4"/>
  <c r="CC118" i="4" s="1"/>
  <c r="CF118" i="4"/>
  <c r="CG118" i="4" s="1"/>
  <c r="CJ118" i="4"/>
  <c r="CK118" i="4" s="1"/>
  <c r="CN118" i="4"/>
  <c r="CO118" i="4" s="1"/>
  <c r="CR118" i="4"/>
  <c r="CS118" i="4" s="1"/>
  <c r="CV118" i="4"/>
  <c r="CW118" i="4" s="1"/>
  <c r="CZ118" i="4"/>
  <c r="DA118" i="4" s="1"/>
  <c r="DD118" i="4"/>
  <c r="DE118" i="4" s="1"/>
  <c r="DH118" i="4"/>
  <c r="DI118" i="4" s="1"/>
  <c r="DL118" i="4"/>
  <c r="DM118" i="4" s="1"/>
  <c r="CR120" i="4"/>
  <c r="CS120" i="4" s="1"/>
  <c r="CV120" i="4"/>
  <c r="CW120" i="4" s="1"/>
  <c r="CZ120" i="4"/>
  <c r="DA120" i="4" s="1"/>
  <c r="DD120" i="4"/>
  <c r="DE120" i="4" s="1"/>
  <c r="DH120" i="4"/>
  <c r="DI120" i="4" s="1"/>
  <c r="DL120" i="4"/>
  <c r="DM120" i="4" s="1"/>
  <c r="GF116" i="4"/>
  <c r="GG116" i="4" s="1"/>
  <c r="GB116" i="4"/>
  <c r="GC116" i="4" s="1"/>
  <c r="FX116" i="4"/>
  <c r="FY116" i="4" s="1"/>
  <c r="FT116" i="4"/>
  <c r="FU116" i="4" s="1"/>
  <c r="FP116" i="4"/>
  <c r="FQ116" i="4" s="1"/>
  <c r="FL116" i="4"/>
  <c r="FM116" i="4" s="1"/>
  <c r="FH116" i="4"/>
  <c r="FI116" i="4" s="1"/>
  <c r="FD116" i="4"/>
  <c r="FE116" i="4" s="1"/>
  <c r="EZ116" i="4"/>
  <c r="FA116" i="4" s="1"/>
  <c r="EV116" i="4"/>
  <c r="EW116" i="4" s="1"/>
  <c r="ES116" i="4"/>
  <c r="GD116" i="4"/>
  <c r="GE116" i="4" s="1"/>
  <c r="FN116" i="4"/>
  <c r="FO116" i="4" s="1"/>
  <c r="EX116" i="4"/>
  <c r="EY116" i="4" s="1"/>
  <c r="FZ116" i="4"/>
  <c r="GA116" i="4" s="1"/>
  <c r="FJ116" i="4"/>
  <c r="FK116" i="4" s="1"/>
  <c r="ET116" i="4"/>
  <c r="EU116" i="4" s="1"/>
  <c r="GH116" i="4"/>
  <c r="GI116" i="4" s="1"/>
  <c r="FR116" i="4"/>
  <c r="FS116" i="4" s="1"/>
  <c r="FB116" i="4"/>
  <c r="FC116" i="4" s="1"/>
  <c r="GF23" i="4"/>
  <c r="GG23" i="4" s="1"/>
  <c r="GB23" i="4"/>
  <c r="GC23" i="4" s="1"/>
  <c r="FX23" i="4"/>
  <c r="FY23" i="4" s="1"/>
  <c r="FT23" i="4"/>
  <c r="FU23" i="4" s="1"/>
  <c r="FP23" i="4"/>
  <c r="FQ23" i="4" s="1"/>
  <c r="FL23" i="4"/>
  <c r="FM23" i="4" s="1"/>
  <c r="FH23" i="4"/>
  <c r="FI23" i="4" s="1"/>
  <c r="FD23" i="4"/>
  <c r="FE23" i="4" s="1"/>
  <c r="EZ23" i="4"/>
  <c r="FA23" i="4" s="1"/>
  <c r="EV23" i="4"/>
  <c r="EW23" i="4" s="1"/>
  <c r="ES23" i="4"/>
  <c r="GH23" i="4"/>
  <c r="GI23" i="4" s="1"/>
  <c r="GD23" i="4"/>
  <c r="GE23" i="4" s="1"/>
  <c r="FZ23" i="4"/>
  <c r="GA23" i="4" s="1"/>
  <c r="FV23" i="4"/>
  <c r="FW23" i="4" s="1"/>
  <c r="FR23" i="4"/>
  <c r="FS23" i="4" s="1"/>
  <c r="FN23" i="4"/>
  <c r="FO23" i="4" s="1"/>
  <c r="FJ23" i="4"/>
  <c r="FK23" i="4" s="1"/>
  <c r="FF23" i="4"/>
  <c r="FG23" i="4" s="1"/>
  <c r="FB23" i="4"/>
  <c r="FC23" i="4" s="1"/>
  <c r="EX23" i="4"/>
  <c r="EY23" i="4" s="1"/>
  <c r="ET23" i="4"/>
  <c r="EU23" i="4" s="1"/>
  <c r="GH119" i="4"/>
  <c r="GI119" i="4" s="1"/>
  <c r="GD119" i="4"/>
  <c r="GE119" i="4" s="1"/>
  <c r="FZ119" i="4"/>
  <c r="GA119" i="4" s="1"/>
  <c r="FV119" i="4"/>
  <c r="FW119" i="4" s="1"/>
  <c r="FR119" i="4"/>
  <c r="FS119" i="4" s="1"/>
  <c r="FN119" i="4"/>
  <c r="FO119" i="4" s="1"/>
  <c r="FJ119" i="4"/>
  <c r="FK119" i="4" s="1"/>
  <c r="FF119" i="4"/>
  <c r="FG119" i="4" s="1"/>
  <c r="FB119" i="4"/>
  <c r="FC119" i="4" s="1"/>
  <c r="EX119" i="4"/>
  <c r="EY119" i="4" s="1"/>
  <c r="ET119" i="4"/>
  <c r="EU119" i="4" s="1"/>
  <c r="GF119" i="4"/>
  <c r="GG119" i="4" s="1"/>
  <c r="GB119" i="4"/>
  <c r="GC119" i="4" s="1"/>
  <c r="FX119" i="4"/>
  <c r="FY119" i="4" s="1"/>
  <c r="FT119" i="4"/>
  <c r="FU119" i="4" s="1"/>
  <c r="FP119" i="4"/>
  <c r="FQ119" i="4" s="1"/>
  <c r="FL119" i="4"/>
  <c r="FM119" i="4" s="1"/>
  <c r="FH119" i="4"/>
  <c r="FI119" i="4" s="1"/>
  <c r="FD119" i="4"/>
  <c r="FE119" i="4" s="1"/>
  <c r="EZ119" i="4"/>
  <c r="FA119" i="4" s="1"/>
  <c r="EV119" i="4"/>
  <c r="EW119" i="4" s="1"/>
  <c r="ES119" i="4"/>
  <c r="GH121" i="4"/>
  <c r="GI121" i="4" s="1"/>
  <c r="GD121" i="4"/>
  <c r="GE121" i="4" s="1"/>
  <c r="FZ121" i="4"/>
  <c r="GA121" i="4" s="1"/>
  <c r="FV121" i="4"/>
  <c r="FW121" i="4" s="1"/>
  <c r="FR121" i="4"/>
  <c r="FS121" i="4" s="1"/>
  <c r="FN121" i="4"/>
  <c r="FO121" i="4" s="1"/>
  <c r="FJ121" i="4"/>
  <c r="FK121" i="4" s="1"/>
  <c r="FF121" i="4"/>
  <c r="FG121" i="4" s="1"/>
  <c r="FB121" i="4"/>
  <c r="FC121" i="4" s="1"/>
  <c r="EX121" i="4"/>
  <c r="EY121" i="4" s="1"/>
  <c r="ET121" i="4"/>
  <c r="EU121" i="4" s="1"/>
  <c r="FT121" i="4"/>
  <c r="FU121" i="4" s="1"/>
  <c r="FD121" i="4"/>
  <c r="FE121" i="4" s="1"/>
  <c r="GF121" i="4"/>
  <c r="GG121" i="4" s="1"/>
  <c r="FP121" i="4"/>
  <c r="FQ121" i="4" s="1"/>
  <c r="EZ121" i="4"/>
  <c r="FA121" i="4" s="1"/>
  <c r="GB121" i="4"/>
  <c r="GC121" i="4" s="1"/>
  <c r="FL121" i="4"/>
  <c r="FM121" i="4" s="1"/>
  <c r="EV121" i="4"/>
  <c r="EW121" i="4" s="1"/>
  <c r="FH121" i="4"/>
  <c r="FI121" i="4" s="1"/>
  <c r="ES121" i="4"/>
  <c r="FX121" i="4"/>
  <c r="FY121" i="4" s="1"/>
  <c r="EV118" i="4"/>
  <c r="EW118" i="4" s="1"/>
  <c r="FL118" i="4"/>
  <c r="FM118" i="4" s="1"/>
  <c r="ET120" i="4"/>
  <c r="EU120" i="4" s="1"/>
  <c r="FJ120" i="4"/>
  <c r="FK120" i="4" s="1"/>
  <c r="GH126" i="4"/>
  <c r="GI126" i="4" s="1"/>
  <c r="GD126" i="4"/>
  <c r="GE126" i="4" s="1"/>
  <c r="FZ126" i="4"/>
  <c r="GA126" i="4" s="1"/>
  <c r="FV126" i="4"/>
  <c r="FW126" i="4" s="1"/>
  <c r="FR126" i="4"/>
  <c r="FS126" i="4" s="1"/>
  <c r="FN126" i="4"/>
  <c r="FO126" i="4" s="1"/>
  <c r="FJ126" i="4"/>
  <c r="FK126" i="4" s="1"/>
  <c r="FF126" i="4"/>
  <c r="FG126" i="4" s="1"/>
  <c r="FB126" i="4"/>
  <c r="FC126" i="4" s="1"/>
  <c r="EX126" i="4"/>
  <c r="EY126" i="4" s="1"/>
  <c r="ET126" i="4"/>
  <c r="EU126" i="4" s="1"/>
  <c r="GF126" i="4"/>
  <c r="GG126" i="4" s="1"/>
  <c r="GB126" i="4"/>
  <c r="GC126" i="4" s="1"/>
  <c r="FX126" i="4"/>
  <c r="FY126" i="4" s="1"/>
  <c r="FT126" i="4"/>
  <c r="FU126" i="4" s="1"/>
  <c r="FP126" i="4"/>
  <c r="FQ126" i="4" s="1"/>
  <c r="FL126" i="4"/>
  <c r="FM126" i="4" s="1"/>
  <c r="FH126" i="4"/>
  <c r="FI126" i="4" s="1"/>
  <c r="FD126" i="4"/>
  <c r="FE126" i="4" s="1"/>
  <c r="EZ126" i="4"/>
  <c r="FA126" i="4" s="1"/>
  <c r="EV126" i="4"/>
  <c r="EW126" i="4" s="1"/>
  <c r="ES126" i="4"/>
  <c r="GH118" i="4"/>
  <c r="GI118" i="4" s="1"/>
  <c r="GD118" i="4"/>
  <c r="GE118" i="4" s="1"/>
  <c r="FZ118" i="4"/>
  <c r="GA118" i="4" s="1"/>
  <c r="FV118" i="4"/>
  <c r="FW118" i="4" s="1"/>
  <c r="FR118" i="4"/>
  <c r="FS118" i="4" s="1"/>
  <c r="FN118" i="4"/>
  <c r="FO118" i="4" s="1"/>
  <c r="FJ118" i="4"/>
  <c r="FK118" i="4" s="1"/>
  <c r="FF118" i="4"/>
  <c r="FG118" i="4" s="1"/>
  <c r="FB118" i="4"/>
  <c r="FC118" i="4" s="1"/>
  <c r="EX118" i="4"/>
  <c r="EY118" i="4" s="1"/>
  <c r="ET118" i="4"/>
  <c r="EU118" i="4" s="1"/>
  <c r="GF120" i="4"/>
  <c r="GG120" i="4" s="1"/>
  <c r="GB120" i="4"/>
  <c r="GC120" i="4" s="1"/>
  <c r="GD120" i="4"/>
  <c r="GE120" i="4" s="1"/>
  <c r="GH120" i="4"/>
  <c r="GI120" i="4" s="1"/>
  <c r="FX120" i="4"/>
  <c r="FY120" i="4" s="1"/>
  <c r="FT120" i="4"/>
  <c r="FU120" i="4" s="1"/>
  <c r="FP120" i="4"/>
  <c r="FQ120" i="4" s="1"/>
  <c r="FL120" i="4"/>
  <c r="FM120" i="4" s="1"/>
  <c r="FH120" i="4"/>
  <c r="FI120" i="4" s="1"/>
  <c r="FD120" i="4"/>
  <c r="FE120" i="4" s="1"/>
  <c r="EZ120" i="4"/>
  <c r="FA120" i="4" s="1"/>
  <c r="EV120" i="4"/>
  <c r="EW120" i="4" s="1"/>
  <c r="ES120" i="4"/>
  <c r="GF117" i="4"/>
  <c r="GG117" i="4" s="1"/>
  <c r="GB117" i="4"/>
  <c r="GC117" i="4" s="1"/>
  <c r="FX117" i="4"/>
  <c r="FY117" i="4" s="1"/>
  <c r="FT117" i="4"/>
  <c r="FU117" i="4" s="1"/>
  <c r="FP117" i="4"/>
  <c r="FQ117" i="4" s="1"/>
  <c r="FL117" i="4"/>
  <c r="FM117" i="4" s="1"/>
  <c r="FH117" i="4"/>
  <c r="FI117" i="4" s="1"/>
  <c r="FD117" i="4"/>
  <c r="FE117" i="4" s="1"/>
  <c r="EZ117" i="4"/>
  <c r="FA117" i="4" s="1"/>
  <c r="EV117" i="4"/>
  <c r="EW117" i="4" s="1"/>
  <c r="ES117" i="4"/>
  <c r="GH117" i="4"/>
  <c r="GI117" i="4" s="1"/>
  <c r="GD117" i="4"/>
  <c r="GE117" i="4" s="1"/>
  <c r="FZ117" i="4"/>
  <c r="GA117" i="4" s="1"/>
  <c r="FV117" i="4"/>
  <c r="FW117" i="4" s="1"/>
  <c r="FR117" i="4"/>
  <c r="FS117" i="4" s="1"/>
  <c r="FN117" i="4"/>
  <c r="FO117" i="4" s="1"/>
  <c r="FJ117" i="4"/>
  <c r="FK117" i="4" s="1"/>
  <c r="FF117" i="4"/>
  <c r="FG117" i="4" s="1"/>
  <c r="FB117" i="4"/>
  <c r="FC117" i="4" s="1"/>
  <c r="EX117" i="4"/>
  <c r="EY117" i="4" s="1"/>
  <c r="ET117" i="4"/>
  <c r="EU117" i="4" s="1"/>
  <c r="ES118" i="4"/>
  <c r="FH118" i="4"/>
  <c r="FI118" i="4" s="1"/>
  <c r="FX118" i="4"/>
  <c r="FY118" i="4" s="1"/>
  <c r="FF120" i="4"/>
  <c r="FG120" i="4" s="1"/>
  <c r="FV120" i="4"/>
  <c r="FW120" i="4" s="1"/>
  <c r="GH122" i="4"/>
  <c r="GI122" i="4" s="1"/>
  <c r="GD122" i="4"/>
  <c r="GE122" i="4" s="1"/>
  <c r="FZ122" i="4"/>
  <c r="GA122" i="4" s="1"/>
  <c r="FR122" i="4"/>
  <c r="FS122" i="4" s="1"/>
  <c r="FN122" i="4"/>
  <c r="FO122" i="4" s="1"/>
  <c r="FJ122" i="4"/>
  <c r="FK122" i="4" s="1"/>
  <c r="FB122" i="4"/>
  <c r="FC122" i="4" s="1"/>
  <c r="EX122" i="4"/>
  <c r="EY122" i="4" s="1"/>
  <c r="ET122" i="4"/>
  <c r="EU122" i="4" s="1"/>
  <c r="GB122" i="4"/>
  <c r="GC122" i="4" s="1"/>
  <c r="FX122" i="4"/>
  <c r="FY122" i="4" s="1"/>
  <c r="FT122" i="4"/>
  <c r="FU122" i="4" s="1"/>
  <c r="FL122" i="4"/>
  <c r="FM122" i="4" s="1"/>
  <c r="FH122" i="4"/>
  <c r="FI122" i="4" s="1"/>
  <c r="FD122" i="4"/>
  <c r="FE122" i="4" s="1"/>
  <c r="EV122" i="4"/>
  <c r="EW122" i="4" s="1"/>
  <c r="ES122" i="4"/>
  <c r="GH125" i="4"/>
  <c r="GI125" i="4" s="1"/>
  <c r="GD125" i="4"/>
  <c r="GE125" i="4" s="1"/>
  <c r="FZ125" i="4"/>
  <c r="GA125" i="4" s="1"/>
  <c r="FV125" i="4"/>
  <c r="FW125" i="4" s="1"/>
  <c r="FR125" i="4"/>
  <c r="FS125" i="4" s="1"/>
  <c r="FN125" i="4"/>
  <c r="FO125" i="4" s="1"/>
  <c r="FJ125" i="4"/>
  <c r="FK125" i="4" s="1"/>
  <c r="FF125" i="4"/>
  <c r="FG125" i="4" s="1"/>
  <c r="FB125" i="4"/>
  <c r="FC125" i="4" s="1"/>
  <c r="EX125" i="4"/>
  <c r="EY125" i="4" s="1"/>
  <c r="ET125" i="4"/>
  <c r="EU125" i="4" s="1"/>
  <c r="FX125" i="4"/>
  <c r="FY125" i="4" s="1"/>
  <c r="FH125" i="4"/>
  <c r="FI125" i="4" s="1"/>
  <c r="ES125" i="4"/>
  <c r="FT125" i="4"/>
  <c r="FU125" i="4" s="1"/>
  <c r="FD125" i="4"/>
  <c r="FE125" i="4" s="1"/>
  <c r="GF125" i="4"/>
  <c r="GG125" i="4" s="1"/>
  <c r="FP125" i="4"/>
  <c r="FQ125" i="4" s="1"/>
  <c r="EZ125" i="4"/>
  <c r="FA125" i="4" s="1"/>
  <c r="GF123" i="4"/>
  <c r="GG123" i="4" s="1"/>
  <c r="GB123" i="4"/>
  <c r="GC123" i="4" s="1"/>
  <c r="FX123" i="4"/>
  <c r="FY123" i="4" s="1"/>
  <c r="FT123" i="4"/>
  <c r="FU123" i="4" s="1"/>
  <c r="FP123" i="4"/>
  <c r="FQ123" i="4" s="1"/>
  <c r="FL123" i="4"/>
  <c r="FM123" i="4" s="1"/>
  <c r="FH123" i="4"/>
  <c r="FI123" i="4" s="1"/>
  <c r="FD123" i="4"/>
  <c r="FE123" i="4" s="1"/>
  <c r="EZ123" i="4"/>
  <c r="FA123" i="4" s="1"/>
  <c r="EV123" i="4"/>
  <c r="EW123" i="4" s="1"/>
  <c r="ES123" i="4"/>
  <c r="GF124" i="4"/>
  <c r="GG124" i="4" s="1"/>
  <c r="GB124" i="4"/>
  <c r="GC124" i="4" s="1"/>
  <c r="FX124" i="4"/>
  <c r="FY124" i="4" s="1"/>
  <c r="FT124" i="4"/>
  <c r="FU124" i="4" s="1"/>
  <c r="FP124" i="4"/>
  <c r="FQ124" i="4" s="1"/>
  <c r="FL124" i="4"/>
  <c r="FM124" i="4" s="1"/>
  <c r="FH124" i="4"/>
  <c r="FI124" i="4" s="1"/>
  <c r="FD124" i="4"/>
  <c r="FE124" i="4" s="1"/>
  <c r="EZ124" i="4"/>
  <c r="FA124" i="4" s="1"/>
  <c r="EV124" i="4"/>
  <c r="EW124" i="4" s="1"/>
  <c r="ES124" i="4"/>
  <c r="GH124" i="4"/>
  <c r="GI124" i="4" s="1"/>
  <c r="GD124" i="4"/>
  <c r="GE124" i="4" s="1"/>
  <c r="FZ124" i="4"/>
  <c r="GA124" i="4" s="1"/>
  <c r="FV124" i="4"/>
  <c r="FW124" i="4" s="1"/>
  <c r="FR124" i="4"/>
  <c r="FS124" i="4" s="1"/>
  <c r="FN124" i="4"/>
  <c r="FO124" i="4" s="1"/>
  <c r="FJ124" i="4"/>
  <c r="FK124" i="4" s="1"/>
  <c r="FF124" i="4"/>
  <c r="FG124" i="4" s="1"/>
  <c r="FB124" i="4"/>
  <c r="FC124" i="4" s="1"/>
  <c r="EX124" i="4"/>
  <c r="EY124" i="4" s="1"/>
  <c r="ET124" i="4"/>
  <c r="EU124" i="4" s="1"/>
  <c r="EQ130" i="4" l="1"/>
  <c r="ER130" i="4" s="1"/>
  <c r="BZ130" i="4"/>
  <c r="G21" i="4"/>
  <c r="FF53" i="4"/>
  <c r="FG53" i="4" s="1"/>
  <c r="FV53" i="4"/>
  <c r="FW53" i="4" s="1"/>
  <c r="ES53" i="4"/>
  <c r="FH53" i="4"/>
  <c r="FI53" i="4" s="1"/>
  <c r="FX53" i="4"/>
  <c r="FY53" i="4" s="1"/>
  <c r="ET53" i="4"/>
  <c r="EU53" i="4" s="1"/>
  <c r="FJ53" i="4"/>
  <c r="FK53" i="4" s="1"/>
  <c r="FZ53" i="4"/>
  <c r="GA53" i="4" s="1"/>
  <c r="EV53" i="4"/>
  <c r="EW53" i="4" s="1"/>
  <c r="FL53" i="4"/>
  <c r="FM53" i="4" s="1"/>
  <c r="GB53" i="4"/>
  <c r="GC53" i="4" s="1"/>
  <c r="EX53" i="4"/>
  <c r="EY53" i="4" s="1"/>
  <c r="FN53" i="4"/>
  <c r="FO53" i="4" s="1"/>
  <c r="GD53" i="4"/>
  <c r="GE53" i="4" s="1"/>
  <c r="EZ53" i="4"/>
  <c r="FA53" i="4" s="1"/>
  <c r="FP53" i="4"/>
  <c r="FQ53" i="4" s="1"/>
  <c r="DN48" i="4"/>
  <c r="DO48" i="4" s="1"/>
  <c r="DF48" i="4"/>
  <c r="DG48" i="4" s="1"/>
  <c r="CX48" i="4"/>
  <c r="CY48" i="4" s="1"/>
  <c r="CP48" i="4"/>
  <c r="CQ48" i="4" s="1"/>
  <c r="CH48" i="4"/>
  <c r="CI48" i="4" s="1"/>
  <c r="CA48" i="4"/>
  <c r="CT48" i="4"/>
  <c r="CU48" i="4" s="1"/>
  <c r="CL48" i="4"/>
  <c r="CM48" i="4" s="1"/>
  <c r="DL48" i="4"/>
  <c r="DM48" i="4" s="1"/>
  <c r="DD48" i="4"/>
  <c r="DE48" i="4" s="1"/>
  <c r="CV48" i="4"/>
  <c r="CW48" i="4" s="1"/>
  <c r="CN48" i="4"/>
  <c r="CO48" i="4" s="1"/>
  <c r="CF48" i="4"/>
  <c r="CG48" i="4" s="1"/>
  <c r="DJ48" i="4"/>
  <c r="DK48" i="4" s="1"/>
  <c r="DP48" i="4"/>
  <c r="DQ48" i="4" s="1"/>
  <c r="DH48" i="4"/>
  <c r="DI48" i="4" s="1"/>
  <c r="CZ48" i="4"/>
  <c r="DA48" i="4" s="1"/>
  <c r="CR48" i="4"/>
  <c r="CS48" i="4" s="1"/>
  <c r="CJ48" i="4"/>
  <c r="CK48" i="4" s="1"/>
  <c r="CB48" i="4"/>
  <c r="CC48" i="4" s="1"/>
  <c r="DB48" i="4"/>
  <c r="DC48" i="4" s="1"/>
  <c r="CD48" i="4"/>
  <c r="CE48" i="4" s="1"/>
  <c r="FT46" i="4"/>
  <c r="FU46" i="4" s="1"/>
  <c r="FD46" i="4"/>
  <c r="FE46" i="4" s="1"/>
  <c r="DN46" i="4"/>
  <c r="DO46" i="4" s="1"/>
  <c r="DF46" i="4"/>
  <c r="DG46" i="4" s="1"/>
  <c r="CX46" i="4"/>
  <c r="CY46" i="4" s="1"/>
  <c r="CP46" i="4"/>
  <c r="CQ46" i="4" s="1"/>
  <c r="CH46" i="4"/>
  <c r="CI46" i="4" s="1"/>
  <c r="CA46" i="4"/>
  <c r="DB46" i="4"/>
  <c r="DC46" i="4" s="1"/>
  <c r="DL46" i="4"/>
  <c r="DM46" i="4" s="1"/>
  <c r="DD46" i="4"/>
  <c r="DE46" i="4" s="1"/>
  <c r="CV46" i="4"/>
  <c r="CW46" i="4" s="1"/>
  <c r="CN46" i="4"/>
  <c r="CO46" i="4" s="1"/>
  <c r="CF46" i="4"/>
  <c r="CG46" i="4" s="1"/>
  <c r="DJ46" i="4"/>
  <c r="DK46" i="4" s="1"/>
  <c r="CD46" i="4"/>
  <c r="CE46" i="4" s="1"/>
  <c r="DP46" i="4"/>
  <c r="DQ46" i="4" s="1"/>
  <c r="DH46" i="4"/>
  <c r="DI46" i="4" s="1"/>
  <c r="CZ46" i="4"/>
  <c r="DA46" i="4" s="1"/>
  <c r="CR46" i="4"/>
  <c r="CS46" i="4" s="1"/>
  <c r="CJ46" i="4"/>
  <c r="CK46" i="4" s="1"/>
  <c r="CB46" i="4"/>
  <c r="CC46" i="4" s="1"/>
  <c r="CT46" i="4"/>
  <c r="CU46" i="4" s="1"/>
  <c r="CL46" i="4"/>
  <c r="CM46" i="4" s="1"/>
  <c r="EQ45" i="4"/>
  <c r="ER45" i="4" s="1"/>
  <c r="BZ45" i="4"/>
  <c r="DJ38" i="4"/>
  <c r="DK38" i="4" s="1"/>
  <c r="DB38" i="4"/>
  <c r="DC38" i="4" s="1"/>
  <c r="CT38" i="4"/>
  <c r="CU38" i="4" s="1"/>
  <c r="CL38" i="4"/>
  <c r="CM38" i="4" s="1"/>
  <c r="CD38" i="4"/>
  <c r="CE38" i="4" s="1"/>
  <c r="DF38" i="4"/>
  <c r="DG38" i="4" s="1"/>
  <c r="CH38" i="4"/>
  <c r="CI38" i="4" s="1"/>
  <c r="DP38" i="4"/>
  <c r="DQ38" i="4" s="1"/>
  <c r="DH38" i="4"/>
  <c r="DI38" i="4" s="1"/>
  <c r="CZ38" i="4"/>
  <c r="DA38" i="4" s="1"/>
  <c r="CR38" i="4"/>
  <c r="CS38" i="4" s="1"/>
  <c r="CJ38" i="4"/>
  <c r="CK38" i="4" s="1"/>
  <c r="CB38" i="4"/>
  <c r="CC38" i="4" s="1"/>
  <c r="CP38" i="4"/>
  <c r="CQ38" i="4" s="1"/>
  <c r="DL38" i="4"/>
  <c r="DM38" i="4" s="1"/>
  <c r="DD38" i="4"/>
  <c r="DE38" i="4" s="1"/>
  <c r="CV38" i="4"/>
  <c r="CW38" i="4" s="1"/>
  <c r="CN38" i="4"/>
  <c r="CO38" i="4" s="1"/>
  <c r="CF38" i="4"/>
  <c r="CG38" i="4" s="1"/>
  <c r="DN38" i="4"/>
  <c r="DO38" i="4" s="1"/>
  <c r="CX38" i="4"/>
  <c r="CY38" i="4" s="1"/>
  <c r="CA38" i="4"/>
  <c r="DJ36" i="4"/>
  <c r="DK36" i="4" s="1"/>
  <c r="DB36" i="4"/>
  <c r="DC36" i="4" s="1"/>
  <c r="CT36" i="4"/>
  <c r="CU36" i="4" s="1"/>
  <c r="CL36" i="4"/>
  <c r="CM36" i="4" s="1"/>
  <c r="CD36" i="4"/>
  <c r="CE36" i="4" s="1"/>
  <c r="DF36" i="4"/>
  <c r="DG36" i="4" s="1"/>
  <c r="CA36" i="4"/>
  <c r="DP36" i="4"/>
  <c r="DQ36" i="4" s="1"/>
  <c r="DH36" i="4"/>
  <c r="DI36" i="4" s="1"/>
  <c r="CZ36" i="4"/>
  <c r="DA36" i="4" s="1"/>
  <c r="CR36" i="4"/>
  <c r="CS36" i="4" s="1"/>
  <c r="CJ36" i="4"/>
  <c r="CK36" i="4" s="1"/>
  <c r="CB36" i="4"/>
  <c r="CC36" i="4" s="1"/>
  <c r="DN36" i="4"/>
  <c r="DO36" i="4" s="1"/>
  <c r="CP36" i="4"/>
  <c r="CQ36" i="4" s="1"/>
  <c r="CH36" i="4"/>
  <c r="CI36" i="4" s="1"/>
  <c r="DL36" i="4"/>
  <c r="DM36" i="4" s="1"/>
  <c r="DD36" i="4"/>
  <c r="DE36" i="4" s="1"/>
  <c r="CV36" i="4"/>
  <c r="CW36" i="4" s="1"/>
  <c r="CN36" i="4"/>
  <c r="CO36" i="4" s="1"/>
  <c r="CF36" i="4"/>
  <c r="CG36" i="4" s="1"/>
  <c r="CX36" i="4"/>
  <c r="CY36" i="4" s="1"/>
  <c r="H155" i="4"/>
  <c r="AH155" i="4" s="1"/>
  <c r="AI155" i="4" s="1"/>
  <c r="R155" i="4"/>
  <c r="S155" i="4" s="1"/>
  <c r="N155" i="4"/>
  <c r="O155" i="4" s="1"/>
  <c r="AD155" i="4"/>
  <c r="AE155" i="4" s="1"/>
  <c r="AN155" i="4"/>
  <c r="AO155" i="4" s="1"/>
  <c r="Z155" i="4"/>
  <c r="AA155" i="4" s="1"/>
  <c r="V155" i="4"/>
  <c r="W155" i="4" s="1"/>
  <c r="AV155" i="4"/>
  <c r="AW155" i="4" s="1"/>
  <c r="AB155" i="4"/>
  <c r="AC155" i="4" s="1"/>
  <c r="X155" i="4"/>
  <c r="Y155" i="4" s="1"/>
  <c r="CJ78" i="4"/>
  <c r="CK78" i="4" s="1"/>
  <c r="DP78" i="4"/>
  <c r="DQ78" i="4" s="1"/>
  <c r="CN78" i="4"/>
  <c r="CO78" i="4" s="1"/>
  <c r="CA85" i="4"/>
  <c r="CT85" i="4"/>
  <c r="CU85" i="4" s="1"/>
  <c r="DN85" i="4"/>
  <c r="DO85" i="4" s="1"/>
  <c r="CV85" i="4"/>
  <c r="CW85" i="4" s="1"/>
  <c r="DP85" i="4"/>
  <c r="DQ85" i="4" s="1"/>
  <c r="AD64" i="4"/>
  <c r="AE64" i="4" s="1"/>
  <c r="AX64" i="4"/>
  <c r="AY64" i="4" s="1"/>
  <c r="AR64" i="4"/>
  <c r="AS64" i="4" s="1"/>
  <c r="R64" i="4"/>
  <c r="S64" i="4" s="1"/>
  <c r="N64" i="4"/>
  <c r="O64" i="4" s="1"/>
  <c r="X64" i="4"/>
  <c r="Y64" i="4" s="1"/>
  <c r="AF64" i="4"/>
  <c r="AG64" i="4" s="1"/>
  <c r="AL64" i="4"/>
  <c r="AM64" i="4" s="1"/>
  <c r="AB64" i="4"/>
  <c r="AC64" i="4" s="1"/>
  <c r="AJ64" i="4"/>
  <c r="AK64" i="4" s="1"/>
  <c r="FP127" i="4"/>
  <c r="FQ127" i="4" s="1"/>
  <c r="CH117" i="4"/>
  <c r="CI117" i="4" s="1"/>
  <c r="CX117" i="4"/>
  <c r="CY117" i="4" s="1"/>
  <c r="DN117" i="4"/>
  <c r="DO117" i="4" s="1"/>
  <c r="CN117" i="4"/>
  <c r="CO117" i="4" s="1"/>
  <c r="DD117" i="4"/>
  <c r="DE117" i="4" s="1"/>
  <c r="CA117" i="4"/>
  <c r="CP117" i="4"/>
  <c r="CQ117" i="4" s="1"/>
  <c r="DF117" i="4"/>
  <c r="DG117" i="4" s="1"/>
  <c r="CF117" i="4"/>
  <c r="CG117" i="4" s="1"/>
  <c r="CV117" i="4"/>
  <c r="CW117" i="4" s="1"/>
  <c r="DL117" i="4"/>
  <c r="DM117" i="4" s="1"/>
  <c r="BZ127" i="4"/>
  <c r="EZ127" i="4"/>
  <c r="FA127" i="4" s="1"/>
  <c r="FB127" i="4"/>
  <c r="FC127" i="4" s="1"/>
  <c r="CD117" i="4"/>
  <c r="CE117" i="4" s="1"/>
  <c r="CT117" i="4"/>
  <c r="CU117" i="4" s="1"/>
  <c r="DJ117" i="4"/>
  <c r="DK117" i="4" s="1"/>
  <c r="CJ117" i="4"/>
  <c r="CK117" i="4" s="1"/>
  <c r="CZ117" i="4"/>
  <c r="DA117" i="4" s="1"/>
  <c r="GF127" i="4"/>
  <c r="GG127" i="4" s="1"/>
  <c r="EZ122" i="4"/>
  <c r="FA122" i="4" s="1"/>
  <c r="FP122" i="4"/>
  <c r="FQ122" i="4" s="1"/>
  <c r="GF122" i="4"/>
  <c r="GG122" i="4" s="1"/>
  <c r="FF122" i="4"/>
  <c r="FG122" i="4" s="1"/>
  <c r="FJ127" i="4"/>
  <c r="FK127" i="4" s="1"/>
  <c r="FD127" i="4"/>
  <c r="FE127" i="4" s="1"/>
  <c r="GD127" i="4"/>
  <c r="GE127" i="4" s="1"/>
  <c r="FF127" i="4"/>
  <c r="FG127" i="4" s="1"/>
  <c r="H127" i="4"/>
  <c r="AD127" i="4" s="1"/>
  <c r="AE127" i="4" s="1"/>
  <c r="ES127" i="4"/>
  <c r="FH127" i="4"/>
  <c r="FI127" i="4" s="1"/>
  <c r="FX127" i="4"/>
  <c r="FY127" i="4" s="1"/>
  <c r="FN127" i="4"/>
  <c r="FO127" i="4" s="1"/>
  <c r="FZ127" i="4"/>
  <c r="GA127" i="4" s="1"/>
  <c r="FT127" i="4"/>
  <c r="FU127" i="4" s="1"/>
  <c r="EV127" i="4"/>
  <c r="EW127" i="4" s="1"/>
  <c r="FL127" i="4"/>
  <c r="FM127" i="4" s="1"/>
  <c r="GB127" i="4"/>
  <c r="GC127" i="4" s="1"/>
  <c r="FR127" i="4"/>
  <c r="FS127" i="4" s="1"/>
  <c r="EX127" i="4"/>
  <c r="EY127" i="4" s="1"/>
  <c r="FV127" i="4"/>
  <c r="FW127" i="4" s="1"/>
  <c r="ET127" i="4"/>
  <c r="EU127" i="4" s="1"/>
  <c r="DJ53" i="4"/>
  <c r="DK53" i="4" s="1"/>
  <c r="CT53" i="4"/>
  <c r="CU53" i="4" s="1"/>
  <c r="CD53" i="4"/>
  <c r="CE53" i="4" s="1"/>
  <c r="DH53" i="4"/>
  <c r="DI53" i="4" s="1"/>
  <c r="CR53" i="4"/>
  <c r="CS53" i="4" s="1"/>
  <c r="CB53" i="4"/>
  <c r="CC53" i="4" s="1"/>
  <c r="DF53" i="4"/>
  <c r="DG53" i="4" s="1"/>
  <c r="CP53" i="4"/>
  <c r="CQ53" i="4" s="1"/>
  <c r="CA53" i="4"/>
  <c r="DD53" i="4"/>
  <c r="DE53" i="4" s="1"/>
  <c r="CN53" i="4"/>
  <c r="CO53" i="4" s="1"/>
  <c r="CX53" i="4"/>
  <c r="CY53" i="4" s="1"/>
  <c r="CH53" i="4"/>
  <c r="CI53" i="4" s="1"/>
  <c r="DL53" i="4"/>
  <c r="DM53" i="4" s="1"/>
  <c r="CV53" i="4"/>
  <c r="CW53" i="4" s="1"/>
  <c r="CF53" i="4"/>
  <c r="CG53" i="4" s="1"/>
  <c r="P155" i="4"/>
  <c r="Q155" i="4" s="1"/>
  <c r="L155" i="4"/>
  <c r="M155" i="4" s="1"/>
  <c r="AJ155" i="4"/>
  <c r="AK155" i="4" s="1"/>
  <c r="J155" i="4"/>
  <c r="K155" i="4" s="1"/>
  <c r="I155" i="4"/>
  <c r="GH154" i="4"/>
  <c r="GI154" i="4" s="1"/>
  <c r="FZ154" i="4"/>
  <c r="GA154" i="4" s="1"/>
  <c r="FR154" i="4"/>
  <c r="FS154" i="4" s="1"/>
  <c r="FJ154" i="4"/>
  <c r="FK154" i="4" s="1"/>
  <c r="FB154" i="4"/>
  <c r="FC154" i="4" s="1"/>
  <c r="ET154" i="4"/>
  <c r="EU154" i="4" s="1"/>
  <c r="GF154" i="4"/>
  <c r="GG154" i="4" s="1"/>
  <c r="GB154" i="4"/>
  <c r="GC154" i="4" s="1"/>
  <c r="FX154" i="4"/>
  <c r="FY154" i="4" s="1"/>
  <c r="FT154" i="4"/>
  <c r="FU154" i="4" s="1"/>
  <c r="FP154" i="4"/>
  <c r="FQ154" i="4" s="1"/>
  <c r="FL154" i="4"/>
  <c r="FM154" i="4" s="1"/>
  <c r="FH154" i="4"/>
  <c r="FI154" i="4" s="1"/>
  <c r="FD154" i="4"/>
  <c r="FE154" i="4" s="1"/>
  <c r="EZ154" i="4"/>
  <c r="FA154" i="4" s="1"/>
  <c r="EV154" i="4"/>
  <c r="EW154" i="4" s="1"/>
  <c r="ES154" i="4"/>
  <c r="GD154" i="4"/>
  <c r="GE154" i="4" s="1"/>
  <c r="FV154" i="4"/>
  <c r="FW154" i="4" s="1"/>
  <c r="FN154" i="4"/>
  <c r="FO154" i="4" s="1"/>
  <c r="FF154" i="4"/>
  <c r="FG154" i="4" s="1"/>
  <c r="EX154" i="4"/>
  <c r="EY154" i="4" s="1"/>
  <c r="DN154" i="4"/>
  <c r="DO154" i="4" s="1"/>
  <c r="DJ154" i="4"/>
  <c r="DK154" i="4" s="1"/>
  <c r="DF154" i="4"/>
  <c r="DG154" i="4" s="1"/>
  <c r="DB154" i="4"/>
  <c r="DC154" i="4" s="1"/>
  <c r="CX154" i="4"/>
  <c r="CY154" i="4" s="1"/>
  <c r="CT154" i="4"/>
  <c r="CU154" i="4" s="1"/>
  <c r="CP154" i="4"/>
  <c r="CQ154" i="4" s="1"/>
  <c r="CL154" i="4"/>
  <c r="CM154" i="4" s="1"/>
  <c r="CH154" i="4"/>
  <c r="CI154" i="4" s="1"/>
  <c r="CD154" i="4"/>
  <c r="CE154" i="4" s="1"/>
  <c r="CA154" i="4"/>
  <c r="DP154" i="4"/>
  <c r="DQ154" i="4" s="1"/>
  <c r="DH154" i="4"/>
  <c r="DI154" i="4" s="1"/>
  <c r="CZ154" i="4"/>
  <c r="DA154" i="4" s="1"/>
  <c r="CR154" i="4"/>
  <c r="CS154" i="4" s="1"/>
  <c r="CJ154" i="4"/>
  <c r="CK154" i="4" s="1"/>
  <c r="CB154" i="4"/>
  <c r="CC154" i="4" s="1"/>
  <c r="DL154" i="4"/>
  <c r="DM154" i="4" s="1"/>
  <c r="DD154" i="4"/>
  <c r="DE154" i="4" s="1"/>
  <c r="CV154" i="4"/>
  <c r="CW154" i="4" s="1"/>
  <c r="CN154" i="4"/>
  <c r="CO154" i="4" s="1"/>
  <c r="CF154" i="4"/>
  <c r="CG154" i="4" s="1"/>
  <c r="BY26" i="4"/>
  <c r="H26" i="4"/>
  <c r="GH152" i="4"/>
  <c r="GI152" i="4" s="1"/>
  <c r="GD152" i="4"/>
  <c r="GE152" i="4" s="1"/>
  <c r="FZ152" i="4"/>
  <c r="GA152" i="4" s="1"/>
  <c r="FV152" i="4"/>
  <c r="FW152" i="4" s="1"/>
  <c r="FR152" i="4"/>
  <c r="FS152" i="4" s="1"/>
  <c r="FN152" i="4"/>
  <c r="FO152" i="4" s="1"/>
  <c r="FJ152" i="4"/>
  <c r="FK152" i="4" s="1"/>
  <c r="FF152" i="4"/>
  <c r="FG152" i="4" s="1"/>
  <c r="FB152" i="4"/>
  <c r="FC152" i="4" s="1"/>
  <c r="EX152" i="4"/>
  <c r="EY152" i="4" s="1"/>
  <c r="ET152" i="4"/>
  <c r="EU152" i="4" s="1"/>
  <c r="GF152" i="4"/>
  <c r="GG152" i="4" s="1"/>
  <c r="GB152" i="4"/>
  <c r="GC152" i="4" s="1"/>
  <c r="FX152" i="4"/>
  <c r="FY152" i="4" s="1"/>
  <c r="FT152" i="4"/>
  <c r="FU152" i="4" s="1"/>
  <c r="FP152" i="4"/>
  <c r="FQ152" i="4" s="1"/>
  <c r="FL152" i="4"/>
  <c r="FM152" i="4" s="1"/>
  <c r="FH152" i="4"/>
  <c r="FI152" i="4" s="1"/>
  <c r="FD152" i="4"/>
  <c r="FE152" i="4" s="1"/>
  <c r="EZ152" i="4"/>
  <c r="FA152" i="4" s="1"/>
  <c r="EV152" i="4"/>
  <c r="EW152" i="4" s="1"/>
  <c r="ES152" i="4"/>
  <c r="GH151" i="4"/>
  <c r="GI151" i="4" s="1"/>
  <c r="GD151" i="4"/>
  <c r="GE151" i="4" s="1"/>
  <c r="FZ151" i="4"/>
  <c r="GA151" i="4" s="1"/>
  <c r="FV151" i="4"/>
  <c r="FW151" i="4" s="1"/>
  <c r="FR151" i="4"/>
  <c r="FS151" i="4" s="1"/>
  <c r="FN151" i="4"/>
  <c r="FO151" i="4" s="1"/>
  <c r="FJ151" i="4"/>
  <c r="FK151" i="4" s="1"/>
  <c r="FF151" i="4"/>
  <c r="FG151" i="4" s="1"/>
  <c r="FB151" i="4"/>
  <c r="FC151" i="4" s="1"/>
  <c r="EX151" i="4"/>
  <c r="EY151" i="4" s="1"/>
  <c r="ET151" i="4"/>
  <c r="EU151" i="4" s="1"/>
  <c r="GF151" i="4"/>
  <c r="GG151" i="4" s="1"/>
  <c r="GB151" i="4"/>
  <c r="GC151" i="4" s="1"/>
  <c r="FX151" i="4"/>
  <c r="FY151" i="4" s="1"/>
  <c r="FT151" i="4"/>
  <c r="FU151" i="4" s="1"/>
  <c r="FP151" i="4"/>
  <c r="FQ151" i="4" s="1"/>
  <c r="FL151" i="4"/>
  <c r="FM151" i="4" s="1"/>
  <c r="FH151" i="4"/>
  <c r="FI151" i="4" s="1"/>
  <c r="FD151" i="4"/>
  <c r="FE151" i="4" s="1"/>
  <c r="EZ151" i="4"/>
  <c r="FA151" i="4" s="1"/>
  <c r="EV151" i="4"/>
  <c r="EW151" i="4" s="1"/>
  <c r="ES151" i="4"/>
  <c r="GH155" i="4"/>
  <c r="GI155" i="4" s="1"/>
  <c r="GD155" i="4"/>
  <c r="GE155" i="4" s="1"/>
  <c r="FZ155" i="4"/>
  <c r="GA155" i="4" s="1"/>
  <c r="FV155" i="4"/>
  <c r="FW155" i="4" s="1"/>
  <c r="FR155" i="4"/>
  <c r="FS155" i="4" s="1"/>
  <c r="FN155" i="4"/>
  <c r="FO155" i="4" s="1"/>
  <c r="FJ155" i="4"/>
  <c r="FK155" i="4" s="1"/>
  <c r="FF155" i="4"/>
  <c r="FG155" i="4" s="1"/>
  <c r="FB155" i="4"/>
  <c r="FC155" i="4" s="1"/>
  <c r="EX155" i="4"/>
  <c r="EY155" i="4" s="1"/>
  <c r="ET155" i="4"/>
  <c r="EU155" i="4" s="1"/>
  <c r="GF155" i="4"/>
  <c r="GG155" i="4" s="1"/>
  <c r="GB155" i="4"/>
  <c r="GC155" i="4" s="1"/>
  <c r="FX155" i="4"/>
  <c r="FY155" i="4" s="1"/>
  <c r="FT155" i="4"/>
  <c r="FU155" i="4" s="1"/>
  <c r="FP155" i="4"/>
  <c r="FQ155" i="4" s="1"/>
  <c r="FL155" i="4"/>
  <c r="FM155" i="4" s="1"/>
  <c r="FH155" i="4"/>
  <c r="FI155" i="4" s="1"/>
  <c r="FD155" i="4"/>
  <c r="FE155" i="4" s="1"/>
  <c r="EZ155" i="4"/>
  <c r="FA155" i="4" s="1"/>
  <c r="EV155" i="4"/>
  <c r="EW155" i="4" s="1"/>
  <c r="ES155" i="4"/>
  <c r="DN151" i="4"/>
  <c r="DO151" i="4" s="1"/>
  <c r="DJ151" i="4"/>
  <c r="DK151" i="4" s="1"/>
  <c r="DF151" i="4"/>
  <c r="DG151" i="4" s="1"/>
  <c r="DB151" i="4"/>
  <c r="DC151" i="4" s="1"/>
  <c r="CX151" i="4"/>
  <c r="CY151" i="4" s="1"/>
  <c r="CT151" i="4"/>
  <c r="CU151" i="4" s="1"/>
  <c r="CP151" i="4"/>
  <c r="CQ151" i="4" s="1"/>
  <c r="CL151" i="4"/>
  <c r="CM151" i="4" s="1"/>
  <c r="CH151" i="4"/>
  <c r="CI151" i="4" s="1"/>
  <c r="CD151" i="4"/>
  <c r="CE151" i="4" s="1"/>
  <c r="CA151" i="4"/>
  <c r="DP151" i="4"/>
  <c r="DQ151" i="4" s="1"/>
  <c r="DL151" i="4"/>
  <c r="DM151" i="4" s="1"/>
  <c r="DH151" i="4"/>
  <c r="DI151" i="4" s="1"/>
  <c r="DD151" i="4"/>
  <c r="DE151" i="4" s="1"/>
  <c r="CZ151" i="4"/>
  <c r="DA151" i="4" s="1"/>
  <c r="CV151" i="4"/>
  <c r="CW151" i="4" s="1"/>
  <c r="CR151" i="4"/>
  <c r="CS151" i="4" s="1"/>
  <c r="CN151" i="4"/>
  <c r="CO151" i="4" s="1"/>
  <c r="CJ151" i="4"/>
  <c r="CK151" i="4" s="1"/>
  <c r="CF151" i="4"/>
  <c r="CG151" i="4" s="1"/>
  <c r="CB151" i="4"/>
  <c r="CC151" i="4" s="1"/>
  <c r="DN155" i="4"/>
  <c r="DO155" i="4" s="1"/>
  <c r="DJ155" i="4"/>
  <c r="DK155" i="4" s="1"/>
  <c r="DF155" i="4"/>
  <c r="DG155" i="4" s="1"/>
  <c r="DB155" i="4"/>
  <c r="DC155" i="4" s="1"/>
  <c r="CX155" i="4"/>
  <c r="CY155" i="4" s="1"/>
  <c r="CT155" i="4"/>
  <c r="CU155" i="4" s="1"/>
  <c r="CP155" i="4"/>
  <c r="CQ155" i="4" s="1"/>
  <c r="CL155" i="4"/>
  <c r="CM155" i="4" s="1"/>
  <c r="CH155" i="4"/>
  <c r="CI155" i="4" s="1"/>
  <c r="CD155" i="4"/>
  <c r="CE155" i="4" s="1"/>
  <c r="CA155" i="4"/>
  <c r="DP155" i="4"/>
  <c r="DQ155" i="4" s="1"/>
  <c r="DL155" i="4"/>
  <c r="DM155" i="4" s="1"/>
  <c r="DH155" i="4"/>
  <c r="DI155" i="4" s="1"/>
  <c r="DD155" i="4"/>
  <c r="DE155" i="4" s="1"/>
  <c r="CZ155" i="4"/>
  <c r="DA155" i="4" s="1"/>
  <c r="CV155" i="4"/>
  <c r="CW155" i="4" s="1"/>
  <c r="CR155" i="4"/>
  <c r="CS155" i="4" s="1"/>
  <c r="CN155" i="4"/>
  <c r="CO155" i="4" s="1"/>
  <c r="CJ155" i="4"/>
  <c r="CK155" i="4" s="1"/>
  <c r="CF155" i="4"/>
  <c r="CG155" i="4" s="1"/>
  <c r="CB155" i="4"/>
  <c r="CC155" i="4" s="1"/>
  <c r="EQ144" i="4"/>
  <c r="ER144" i="4" s="1"/>
  <c r="BZ144" i="4"/>
  <c r="G145" i="4"/>
  <c r="DP139" i="4"/>
  <c r="DQ139" i="4" s="1"/>
  <c r="DL139" i="4"/>
  <c r="DM139" i="4" s="1"/>
  <c r="DH139" i="4"/>
  <c r="DI139" i="4" s="1"/>
  <c r="DD139" i="4"/>
  <c r="DE139" i="4" s="1"/>
  <c r="CZ139" i="4"/>
  <c r="DA139" i="4" s="1"/>
  <c r="CV139" i="4"/>
  <c r="CW139" i="4" s="1"/>
  <c r="CR139" i="4"/>
  <c r="CS139" i="4" s="1"/>
  <c r="CN139" i="4"/>
  <c r="CO139" i="4" s="1"/>
  <c r="CJ139" i="4"/>
  <c r="CK139" i="4" s="1"/>
  <c r="CF139" i="4"/>
  <c r="CG139" i="4" s="1"/>
  <c r="CB139" i="4"/>
  <c r="CC139" i="4" s="1"/>
  <c r="DN139" i="4"/>
  <c r="DO139" i="4" s="1"/>
  <c r="DJ139" i="4"/>
  <c r="DK139" i="4" s="1"/>
  <c r="DF139" i="4"/>
  <c r="DG139" i="4" s="1"/>
  <c r="DB139" i="4"/>
  <c r="DC139" i="4" s="1"/>
  <c r="CX139" i="4"/>
  <c r="CY139" i="4" s="1"/>
  <c r="CT139" i="4"/>
  <c r="CU139" i="4" s="1"/>
  <c r="CP139" i="4"/>
  <c r="CQ139" i="4" s="1"/>
  <c r="CL139" i="4"/>
  <c r="CM139" i="4" s="1"/>
  <c r="CH139" i="4"/>
  <c r="CI139" i="4" s="1"/>
  <c r="CD139" i="4"/>
  <c r="CE139" i="4" s="1"/>
  <c r="CA139" i="4"/>
  <c r="CL132" i="4"/>
  <c r="CM132" i="4" s="1"/>
  <c r="DL132" i="4"/>
  <c r="DM132" i="4" s="1"/>
  <c r="DP132" i="4"/>
  <c r="DQ132" i="4" s="1"/>
  <c r="DH132" i="4"/>
  <c r="DI132" i="4" s="1"/>
  <c r="CR132" i="4"/>
  <c r="CS132" i="4" s="1"/>
  <c r="CB132" i="4"/>
  <c r="CC132" i="4" s="1"/>
  <c r="CJ132" i="4"/>
  <c r="CK132" i="4" s="1"/>
  <c r="DD132" i="4"/>
  <c r="DE132" i="4" s="1"/>
  <c r="CN132" i="4"/>
  <c r="CO132" i="4" s="1"/>
  <c r="CZ132" i="4"/>
  <c r="DA132" i="4" s="1"/>
  <c r="CD132" i="4"/>
  <c r="CE132" i="4" s="1"/>
  <c r="CT132" i="4"/>
  <c r="CU132" i="4" s="1"/>
  <c r="DJ132" i="4"/>
  <c r="DK132" i="4" s="1"/>
  <c r="CF132" i="4"/>
  <c r="CG132" i="4" s="1"/>
  <c r="DB131" i="4"/>
  <c r="DC131" i="4" s="1"/>
  <c r="CA131" i="4"/>
  <c r="DN131" i="4"/>
  <c r="DO131" i="4" s="1"/>
  <c r="CP131" i="4"/>
  <c r="CQ131" i="4" s="1"/>
  <c r="CX131" i="4"/>
  <c r="CY131" i="4" s="1"/>
  <c r="DF131" i="4"/>
  <c r="DG131" i="4" s="1"/>
  <c r="CH131" i="4"/>
  <c r="CI131" i="4" s="1"/>
  <c r="CH132" i="4"/>
  <c r="CI132" i="4" s="1"/>
  <c r="CX132" i="4"/>
  <c r="CY132" i="4" s="1"/>
  <c r="DN132" i="4"/>
  <c r="DO132" i="4" s="1"/>
  <c r="FT131" i="4"/>
  <c r="FU131" i="4" s="1"/>
  <c r="FD131" i="4"/>
  <c r="FE131" i="4" s="1"/>
  <c r="G133" i="4"/>
  <c r="AT127" i="4"/>
  <c r="AU127" i="4" s="1"/>
  <c r="AL126" i="4"/>
  <c r="AM126" i="4" s="1"/>
  <c r="N126" i="4"/>
  <c r="O126" i="4" s="1"/>
  <c r="L126" i="4"/>
  <c r="M126" i="4" s="1"/>
  <c r="I126" i="4"/>
  <c r="AD126" i="4"/>
  <c r="AE126" i="4" s="1"/>
  <c r="V126" i="4"/>
  <c r="W126" i="4" s="1"/>
  <c r="AT126" i="4"/>
  <c r="AU126" i="4" s="1"/>
  <c r="DP122" i="4"/>
  <c r="DQ122" i="4" s="1"/>
  <c r="DN122" i="4"/>
  <c r="DO122" i="4" s="1"/>
  <c r="DJ122" i="4"/>
  <c r="DK122" i="4" s="1"/>
  <c r="DF122" i="4"/>
  <c r="DG122" i="4" s="1"/>
  <c r="DB122" i="4"/>
  <c r="DC122" i="4" s="1"/>
  <c r="CX122" i="4"/>
  <c r="CY122" i="4" s="1"/>
  <c r="CT122" i="4"/>
  <c r="CU122" i="4" s="1"/>
  <c r="CP122" i="4"/>
  <c r="CQ122" i="4" s="1"/>
  <c r="CL122" i="4"/>
  <c r="CM122" i="4" s="1"/>
  <c r="CH122" i="4"/>
  <c r="CI122" i="4" s="1"/>
  <c r="CD122" i="4"/>
  <c r="CE122" i="4" s="1"/>
  <c r="CA122" i="4"/>
  <c r="DL122" i="4"/>
  <c r="DM122" i="4" s="1"/>
  <c r="DH122" i="4"/>
  <c r="DI122" i="4" s="1"/>
  <c r="DD122" i="4"/>
  <c r="DE122" i="4" s="1"/>
  <c r="CZ122" i="4"/>
  <c r="DA122" i="4" s="1"/>
  <c r="CV122" i="4"/>
  <c r="CW122" i="4" s="1"/>
  <c r="CR122" i="4"/>
  <c r="CS122" i="4" s="1"/>
  <c r="CN122" i="4"/>
  <c r="CO122" i="4" s="1"/>
  <c r="CJ122" i="4"/>
  <c r="CK122" i="4" s="1"/>
  <c r="CF122" i="4"/>
  <c r="CG122" i="4" s="1"/>
  <c r="CB122" i="4"/>
  <c r="CC122" i="4" s="1"/>
  <c r="AJ23" i="4"/>
  <c r="AK23" i="4" s="1"/>
  <c r="Z23" i="4"/>
  <c r="AA23" i="4" s="1"/>
  <c r="X23" i="4"/>
  <c r="Y23" i="4" s="1"/>
  <c r="N23" i="4"/>
  <c r="O23" i="4" s="1"/>
  <c r="L23" i="4"/>
  <c r="M23" i="4" s="1"/>
  <c r="AR23" i="4"/>
  <c r="AS23" i="4" s="1"/>
  <c r="AF23" i="4"/>
  <c r="AG23" i="4" s="1"/>
  <c r="AD23" i="4"/>
  <c r="AE23" i="4" s="1"/>
  <c r="R23" i="4"/>
  <c r="S23" i="4" s="1"/>
  <c r="J23" i="4"/>
  <c r="K23" i="4" s="1"/>
  <c r="I23" i="4"/>
  <c r="AN23" i="4"/>
  <c r="AO23" i="4" s="1"/>
  <c r="AV23" i="4"/>
  <c r="AW23" i="4" s="1"/>
  <c r="AT23" i="4"/>
  <c r="AU23" i="4" s="1"/>
  <c r="AL23" i="4"/>
  <c r="AM23" i="4" s="1"/>
  <c r="V23" i="4"/>
  <c r="W23" i="4" s="1"/>
  <c r="T23" i="4"/>
  <c r="U23" i="4" s="1"/>
  <c r="P23" i="4"/>
  <c r="Q23" i="4" s="1"/>
  <c r="AX23" i="4"/>
  <c r="AY23" i="4" s="1"/>
  <c r="AP23" i="4"/>
  <c r="AQ23" i="4" s="1"/>
  <c r="AH23" i="4"/>
  <c r="AI23" i="4" s="1"/>
  <c r="AB23" i="4"/>
  <c r="AC23" i="4" s="1"/>
  <c r="DL127" i="4"/>
  <c r="DM127" i="4" s="1"/>
  <c r="DD127" i="4"/>
  <c r="DE127" i="4" s="1"/>
  <c r="CV127" i="4"/>
  <c r="CW127" i="4" s="1"/>
  <c r="CN127" i="4"/>
  <c r="CO127" i="4" s="1"/>
  <c r="CF127" i="4"/>
  <c r="CG127" i="4" s="1"/>
  <c r="DP127" i="4"/>
  <c r="DQ127" i="4" s="1"/>
  <c r="CR127" i="4"/>
  <c r="CS127" i="4" s="1"/>
  <c r="DJ127" i="4"/>
  <c r="DK127" i="4" s="1"/>
  <c r="DB127" i="4"/>
  <c r="DC127" i="4" s="1"/>
  <c r="CT127" i="4"/>
  <c r="CU127" i="4" s="1"/>
  <c r="CL127" i="4"/>
  <c r="CM127" i="4" s="1"/>
  <c r="CD127" i="4"/>
  <c r="CE127" i="4" s="1"/>
  <c r="DH127" i="4"/>
  <c r="DI127" i="4" s="1"/>
  <c r="CB127" i="4"/>
  <c r="CC127" i="4" s="1"/>
  <c r="DN127" i="4"/>
  <c r="DO127" i="4" s="1"/>
  <c r="DF127" i="4"/>
  <c r="DG127" i="4" s="1"/>
  <c r="CX127" i="4"/>
  <c r="CY127" i="4" s="1"/>
  <c r="CP127" i="4"/>
  <c r="CQ127" i="4" s="1"/>
  <c r="CH127" i="4"/>
  <c r="CI127" i="4" s="1"/>
  <c r="CA127" i="4"/>
  <c r="CZ127" i="4"/>
  <c r="DA127" i="4" s="1"/>
  <c r="CJ127" i="4"/>
  <c r="CK127" i="4" s="1"/>
  <c r="P127" i="4"/>
  <c r="Q127" i="4" s="1"/>
  <c r="AV127" i="4"/>
  <c r="AW127" i="4" s="1"/>
  <c r="DN93" i="4"/>
  <c r="DO93" i="4" s="1"/>
  <c r="DF93" i="4"/>
  <c r="DG93" i="4" s="1"/>
  <c r="CX93" i="4"/>
  <c r="CY93" i="4" s="1"/>
  <c r="CP93" i="4"/>
  <c r="CQ93" i="4" s="1"/>
  <c r="CH93" i="4"/>
  <c r="CI93" i="4" s="1"/>
  <c r="CA93" i="4"/>
  <c r="DJ93" i="4"/>
  <c r="DK93" i="4" s="1"/>
  <c r="CL93" i="4"/>
  <c r="CM93" i="4" s="1"/>
  <c r="DL93" i="4"/>
  <c r="DM93" i="4" s="1"/>
  <c r="DD93" i="4"/>
  <c r="DE93" i="4" s="1"/>
  <c r="CV93" i="4"/>
  <c r="CW93" i="4" s="1"/>
  <c r="CN93" i="4"/>
  <c r="CO93" i="4" s="1"/>
  <c r="CF93" i="4"/>
  <c r="CG93" i="4" s="1"/>
  <c r="CT93" i="4"/>
  <c r="CU93" i="4" s="1"/>
  <c r="DP93" i="4"/>
  <c r="DQ93" i="4" s="1"/>
  <c r="DH93" i="4"/>
  <c r="DI93" i="4" s="1"/>
  <c r="CZ93" i="4"/>
  <c r="DA93" i="4" s="1"/>
  <c r="CR93" i="4"/>
  <c r="CS93" i="4" s="1"/>
  <c r="CJ93" i="4"/>
  <c r="CK93" i="4" s="1"/>
  <c r="CB93" i="4"/>
  <c r="CC93" i="4" s="1"/>
  <c r="DB93" i="4"/>
  <c r="DC93" i="4" s="1"/>
  <c r="CD93" i="4"/>
  <c r="CE93" i="4" s="1"/>
  <c r="G94" i="4"/>
  <c r="BY54" i="4"/>
  <c r="H54" i="4"/>
  <c r="DN52" i="4"/>
  <c r="DO52" i="4" s="1"/>
  <c r="DJ52" i="4"/>
  <c r="DK52" i="4" s="1"/>
  <c r="DF52" i="4"/>
  <c r="DG52" i="4" s="1"/>
  <c r="DB52" i="4"/>
  <c r="DC52" i="4" s="1"/>
  <c r="CX52" i="4"/>
  <c r="CY52" i="4" s="1"/>
  <c r="CT52" i="4"/>
  <c r="CU52" i="4" s="1"/>
  <c r="CP52" i="4"/>
  <c r="CQ52" i="4" s="1"/>
  <c r="CL52" i="4"/>
  <c r="CM52" i="4" s="1"/>
  <c r="CH52" i="4"/>
  <c r="CI52" i="4" s="1"/>
  <c r="CD52" i="4"/>
  <c r="CE52" i="4" s="1"/>
  <c r="CA52" i="4"/>
  <c r="DP52" i="4"/>
  <c r="DQ52" i="4" s="1"/>
  <c r="DL52" i="4"/>
  <c r="DM52" i="4" s="1"/>
  <c r="DH52" i="4"/>
  <c r="DI52" i="4" s="1"/>
  <c r="DD52" i="4"/>
  <c r="DE52" i="4" s="1"/>
  <c r="CZ52" i="4"/>
  <c r="DA52" i="4" s="1"/>
  <c r="CV52" i="4"/>
  <c r="CW52" i="4" s="1"/>
  <c r="CR52" i="4"/>
  <c r="CS52" i="4" s="1"/>
  <c r="CN52" i="4"/>
  <c r="CO52" i="4" s="1"/>
  <c r="CJ52" i="4"/>
  <c r="CK52" i="4" s="1"/>
  <c r="CF52" i="4"/>
  <c r="CG52" i="4" s="1"/>
  <c r="CB52" i="4"/>
  <c r="CC52" i="4" s="1"/>
  <c r="DN39" i="4"/>
  <c r="DO39" i="4" s="1"/>
  <c r="DF39" i="4"/>
  <c r="DG39" i="4" s="1"/>
  <c r="CX39" i="4"/>
  <c r="CY39" i="4" s="1"/>
  <c r="CP39" i="4"/>
  <c r="CQ39" i="4" s="1"/>
  <c r="CH39" i="4"/>
  <c r="CI39" i="4" s="1"/>
  <c r="CA39" i="4"/>
  <c r="DP39" i="4"/>
  <c r="DQ39" i="4" s="1"/>
  <c r="CR39" i="4"/>
  <c r="CS39" i="4" s="1"/>
  <c r="CB39" i="4"/>
  <c r="CC39" i="4" s="1"/>
  <c r="DL39" i="4"/>
  <c r="DM39" i="4" s="1"/>
  <c r="DD39" i="4"/>
  <c r="DE39" i="4" s="1"/>
  <c r="CV39" i="4"/>
  <c r="CW39" i="4" s="1"/>
  <c r="CN39" i="4"/>
  <c r="CO39" i="4" s="1"/>
  <c r="CF39" i="4"/>
  <c r="CG39" i="4" s="1"/>
  <c r="CZ39" i="4"/>
  <c r="DA39" i="4" s="1"/>
  <c r="DJ39" i="4"/>
  <c r="DK39" i="4" s="1"/>
  <c r="DB39" i="4"/>
  <c r="DC39" i="4" s="1"/>
  <c r="CT39" i="4"/>
  <c r="CU39" i="4" s="1"/>
  <c r="CL39" i="4"/>
  <c r="CM39" i="4" s="1"/>
  <c r="CD39" i="4"/>
  <c r="CE39" i="4" s="1"/>
  <c r="DH39" i="4"/>
  <c r="DI39" i="4" s="1"/>
  <c r="CJ39" i="4"/>
  <c r="CK39" i="4" s="1"/>
  <c r="GF44" i="4"/>
  <c r="GG44" i="4" s="1"/>
  <c r="GB44" i="4"/>
  <c r="GC44" i="4" s="1"/>
  <c r="FX44" i="4"/>
  <c r="FY44" i="4" s="1"/>
  <c r="FT44" i="4"/>
  <c r="FU44" i="4" s="1"/>
  <c r="FP44" i="4"/>
  <c r="FQ44" i="4" s="1"/>
  <c r="FL44" i="4"/>
  <c r="FM44" i="4" s="1"/>
  <c r="FH44" i="4"/>
  <c r="FI44" i="4" s="1"/>
  <c r="FD44" i="4"/>
  <c r="FE44" i="4" s="1"/>
  <c r="EZ44" i="4"/>
  <c r="FA44" i="4" s="1"/>
  <c r="EV44" i="4"/>
  <c r="EW44" i="4" s="1"/>
  <c r="ES44" i="4"/>
  <c r="GH44" i="4"/>
  <c r="GI44" i="4" s="1"/>
  <c r="GD44" i="4"/>
  <c r="GE44" i="4" s="1"/>
  <c r="FZ44" i="4"/>
  <c r="GA44" i="4" s="1"/>
  <c r="FV44" i="4"/>
  <c r="FW44" i="4" s="1"/>
  <c r="FR44" i="4"/>
  <c r="FS44" i="4" s="1"/>
  <c r="FN44" i="4"/>
  <c r="FO44" i="4" s="1"/>
  <c r="FJ44" i="4"/>
  <c r="FK44" i="4" s="1"/>
  <c r="FF44" i="4"/>
  <c r="FG44" i="4" s="1"/>
  <c r="FB44" i="4"/>
  <c r="FC44" i="4" s="1"/>
  <c r="EX44" i="4"/>
  <c r="EY44" i="4" s="1"/>
  <c r="ET44" i="4"/>
  <c r="EU44" i="4" s="1"/>
  <c r="GB39" i="4"/>
  <c r="GC39" i="4" s="1"/>
  <c r="FT39" i="4"/>
  <c r="FU39" i="4" s="1"/>
  <c r="FL39" i="4"/>
  <c r="FM39" i="4" s="1"/>
  <c r="FD39" i="4"/>
  <c r="FE39" i="4" s="1"/>
  <c r="EV39" i="4"/>
  <c r="EW39" i="4" s="1"/>
  <c r="GH39" i="4"/>
  <c r="GI39" i="4" s="1"/>
  <c r="FZ39" i="4"/>
  <c r="GA39" i="4" s="1"/>
  <c r="FR39" i="4"/>
  <c r="FS39" i="4" s="1"/>
  <c r="FJ39" i="4"/>
  <c r="FK39" i="4" s="1"/>
  <c r="FB39" i="4"/>
  <c r="FC39" i="4" s="1"/>
  <c r="ET39" i="4"/>
  <c r="EU39" i="4" s="1"/>
  <c r="GF39" i="4"/>
  <c r="GG39" i="4" s="1"/>
  <c r="FX39" i="4"/>
  <c r="FY39" i="4" s="1"/>
  <c r="FP39" i="4"/>
  <c r="FQ39" i="4" s="1"/>
  <c r="FH39" i="4"/>
  <c r="FI39" i="4" s="1"/>
  <c r="EZ39" i="4"/>
  <c r="FA39" i="4" s="1"/>
  <c r="ES39" i="4"/>
  <c r="FF39" i="4"/>
  <c r="FG39" i="4" s="1"/>
  <c r="FN39" i="4"/>
  <c r="FO39" i="4" s="1"/>
  <c r="GD39" i="4"/>
  <c r="GE39" i="4" s="1"/>
  <c r="EX39" i="4"/>
  <c r="EY39" i="4" s="1"/>
  <c r="FV39" i="4"/>
  <c r="FW39" i="4" s="1"/>
  <c r="DP44" i="4"/>
  <c r="DQ44" i="4" s="1"/>
  <c r="DL44" i="4"/>
  <c r="DM44" i="4" s="1"/>
  <c r="DH44" i="4"/>
  <c r="DI44" i="4" s="1"/>
  <c r="DD44" i="4"/>
  <c r="DE44" i="4" s="1"/>
  <c r="CZ44" i="4"/>
  <c r="DA44" i="4" s="1"/>
  <c r="CV44" i="4"/>
  <c r="CW44" i="4" s="1"/>
  <c r="CR44" i="4"/>
  <c r="CS44" i="4" s="1"/>
  <c r="CN44" i="4"/>
  <c r="CO44" i="4" s="1"/>
  <c r="CJ44" i="4"/>
  <c r="CK44" i="4" s="1"/>
  <c r="CF44" i="4"/>
  <c r="CG44" i="4" s="1"/>
  <c r="CB44" i="4"/>
  <c r="CC44" i="4" s="1"/>
  <c r="DN44" i="4"/>
  <c r="DO44" i="4" s="1"/>
  <c r="DJ44" i="4"/>
  <c r="DK44" i="4" s="1"/>
  <c r="DF44" i="4"/>
  <c r="DG44" i="4" s="1"/>
  <c r="DB44" i="4"/>
  <c r="DC44" i="4" s="1"/>
  <c r="CX44" i="4"/>
  <c r="CY44" i="4" s="1"/>
  <c r="CT44" i="4"/>
  <c r="CU44" i="4" s="1"/>
  <c r="CP44" i="4"/>
  <c r="CQ44" i="4" s="1"/>
  <c r="CL44" i="4"/>
  <c r="CM44" i="4" s="1"/>
  <c r="CH44" i="4"/>
  <c r="CI44" i="4" s="1"/>
  <c r="CD44" i="4"/>
  <c r="CE44" i="4" s="1"/>
  <c r="CA44" i="4"/>
  <c r="BY19" i="4"/>
  <c r="H19" i="4"/>
  <c r="DN35" i="4"/>
  <c r="DO35" i="4" s="1"/>
  <c r="DJ35" i="4"/>
  <c r="DK35" i="4" s="1"/>
  <c r="DF35" i="4"/>
  <c r="DG35" i="4" s="1"/>
  <c r="DB35" i="4"/>
  <c r="DC35" i="4" s="1"/>
  <c r="CX35" i="4"/>
  <c r="CY35" i="4" s="1"/>
  <c r="CT35" i="4"/>
  <c r="CU35" i="4" s="1"/>
  <c r="CP35" i="4"/>
  <c r="CQ35" i="4" s="1"/>
  <c r="CL35" i="4"/>
  <c r="CM35" i="4" s="1"/>
  <c r="CH35" i="4"/>
  <c r="CI35" i="4" s="1"/>
  <c r="CD35" i="4"/>
  <c r="CE35" i="4" s="1"/>
  <c r="CA35" i="4"/>
  <c r="DP35" i="4"/>
  <c r="DQ35" i="4" s="1"/>
  <c r="DL35" i="4"/>
  <c r="DM35" i="4" s="1"/>
  <c r="DH35" i="4"/>
  <c r="DI35" i="4" s="1"/>
  <c r="DD35" i="4"/>
  <c r="DE35" i="4" s="1"/>
  <c r="CZ35" i="4"/>
  <c r="DA35" i="4" s="1"/>
  <c r="CV35" i="4"/>
  <c r="CW35" i="4" s="1"/>
  <c r="CR35" i="4"/>
  <c r="CS35" i="4" s="1"/>
  <c r="CN35" i="4"/>
  <c r="CO35" i="4" s="1"/>
  <c r="CJ35" i="4"/>
  <c r="CK35" i="4" s="1"/>
  <c r="CF35" i="4"/>
  <c r="CG35" i="4" s="1"/>
  <c r="CB35" i="4"/>
  <c r="CC35" i="4" s="1"/>
  <c r="GF18" i="4"/>
  <c r="GG18" i="4" s="1"/>
  <c r="GB18" i="4"/>
  <c r="GC18" i="4" s="1"/>
  <c r="FX18" i="4"/>
  <c r="FY18" i="4" s="1"/>
  <c r="FT18" i="4"/>
  <c r="FU18" i="4" s="1"/>
  <c r="FP18" i="4"/>
  <c r="FQ18" i="4" s="1"/>
  <c r="FL18" i="4"/>
  <c r="FM18" i="4" s="1"/>
  <c r="FH18" i="4"/>
  <c r="FI18" i="4" s="1"/>
  <c r="FD18" i="4"/>
  <c r="FE18" i="4" s="1"/>
  <c r="EZ18" i="4"/>
  <c r="FA18" i="4" s="1"/>
  <c r="EV18" i="4"/>
  <c r="EW18" i="4" s="1"/>
  <c r="ES18" i="4"/>
  <c r="GH18" i="4"/>
  <c r="GI18" i="4" s="1"/>
  <c r="GD18" i="4"/>
  <c r="GE18" i="4" s="1"/>
  <c r="FZ18" i="4"/>
  <c r="GA18" i="4" s="1"/>
  <c r="FV18" i="4"/>
  <c r="FW18" i="4" s="1"/>
  <c r="FR18" i="4"/>
  <c r="FS18" i="4" s="1"/>
  <c r="FN18" i="4"/>
  <c r="FO18" i="4" s="1"/>
  <c r="FJ18" i="4"/>
  <c r="FK18" i="4" s="1"/>
  <c r="FF18" i="4"/>
  <c r="FG18" i="4" s="1"/>
  <c r="FB18" i="4"/>
  <c r="FC18" i="4" s="1"/>
  <c r="EX18" i="4"/>
  <c r="EY18" i="4" s="1"/>
  <c r="ET18" i="4"/>
  <c r="EU18" i="4" s="1"/>
  <c r="DN31" i="4"/>
  <c r="DO31" i="4" s="1"/>
  <c r="DJ31" i="4"/>
  <c r="DK31" i="4" s="1"/>
  <c r="DF31" i="4"/>
  <c r="DG31" i="4" s="1"/>
  <c r="DB31" i="4"/>
  <c r="DC31" i="4" s="1"/>
  <c r="CX31" i="4"/>
  <c r="CY31" i="4" s="1"/>
  <c r="CT31" i="4"/>
  <c r="CU31" i="4" s="1"/>
  <c r="CP31" i="4"/>
  <c r="CQ31" i="4" s="1"/>
  <c r="CL31" i="4"/>
  <c r="CM31" i="4" s="1"/>
  <c r="CH31" i="4"/>
  <c r="CI31" i="4" s="1"/>
  <c r="CD31" i="4"/>
  <c r="CE31" i="4" s="1"/>
  <c r="CA31" i="4"/>
  <c r="DL31" i="4"/>
  <c r="DM31" i="4" s="1"/>
  <c r="CZ31" i="4"/>
  <c r="DA31" i="4" s="1"/>
  <c r="CR31" i="4"/>
  <c r="CS31" i="4" s="1"/>
  <c r="CJ31" i="4"/>
  <c r="CK31" i="4" s="1"/>
  <c r="CB31" i="4"/>
  <c r="CC31" i="4" s="1"/>
  <c r="DP31" i="4"/>
  <c r="DQ31" i="4" s="1"/>
  <c r="DD31" i="4"/>
  <c r="DE31" i="4" s="1"/>
  <c r="CV31" i="4"/>
  <c r="CW31" i="4" s="1"/>
  <c r="CN31" i="4"/>
  <c r="CO31" i="4" s="1"/>
  <c r="CF31" i="4"/>
  <c r="CG31" i="4" s="1"/>
  <c r="DH31" i="4"/>
  <c r="DI31" i="4" s="1"/>
  <c r="GH31" i="4"/>
  <c r="GI31" i="4" s="1"/>
  <c r="GD31" i="4"/>
  <c r="GE31" i="4" s="1"/>
  <c r="FZ31" i="4"/>
  <c r="GA31" i="4" s="1"/>
  <c r="FV31" i="4"/>
  <c r="FW31" i="4" s="1"/>
  <c r="FR31" i="4"/>
  <c r="FS31" i="4" s="1"/>
  <c r="FN31" i="4"/>
  <c r="FO31" i="4" s="1"/>
  <c r="FJ31" i="4"/>
  <c r="FK31" i="4" s="1"/>
  <c r="FF31" i="4"/>
  <c r="FG31" i="4" s="1"/>
  <c r="FB31" i="4"/>
  <c r="FC31" i="4" s="1"/>
  <c r="EX31" i="4"/>
  <c r="EY31" i="4" s="1"/>
  <c r="ET31" i="4"/>
  <c r="EU31" i="4" s="1"/>
  <c r="FP31" i="4"/>
  <c r="FQ31" i="4" s="1"/>
  <c r="EV31" i="4"/>
  <c r="EW31" i="4" s="1"/>
  <c r="GB31" i="4"/>
  <c r="GC31" i="4" s="1"/>
  <c r="FX31" i="4"/>
  <c r="FY31" i="4" s="1"/>
  <c r="FL31" i="4"/>
  <c r="FM31" i="4" s="1"/>
  <c r="FD31" i="4"/>
  <c r="FE31" i="4" s="1"/>
  <c r="ES31" i="4"/>
  <c r="GF31" i="4"/>
  <c r="GG31" i="4" s="1"/>
  <c r="FT31" i="4"/>
  <c r="FU31" i="4" s="1"/>
  <c r="FH31" i="4"/>
  <c r="FI31" i="4" s="1"/>
  <c r="EZ31" i="4"/>
  <c r="FA31" i="4" s="1"/>
  <c r="ET78" i="4"/>
  <c r="EU78" i="4" s="1"/>
  <c r="FJ78" i="4"/>
  <c r="FK78" i="4" s="1"/>
  <c r="FZ78" i="4"/>
  <c r="GA78" i="4" s="1"/>
  <c r="EV78" i="4"/>
  <c r="EW78" i="4" s="1"/>
  <c r="FL78" i="4"/>
  <c r="FM78" i="4" s="1"/>
  <c r="GB78" i="4"/>
  <c r="GC78" i="4" s="1"/>
  <c r="ET74" i="4"/>
  <c r="EU74" i="4" s="1"/>
  <c r="FJ74" i="4"/>
  <c r="FK74" i="4" s="1"/>
  <c r="FZ74" i="4"/>
  <c r="GA74" i="4" s="1"/>
  <c r="EV74" i="4"/>
  <c r="EW74" i="4" s="1"/>
  <c r="FL74" i="4"/>
  <c r="FM74" i="4" s="1"/>
  <c r="GB74" i="4"/>
  <c r="GC74" i="4" s="1"/>
  <c r="DB78" i="4"/>
  <c r="DC78" i="4" s="1"/>
  <c r="CP78" i="4"/>
  <c r="CQ78" i="4" s="1"/>
  <c r="DF78" i="4"/>
  <c r="DG78" i="4" s="1"/>
  <c r="CL78" i="4"/>
  <c r="CM78" i="4" s="1"/>
  <c r="CA78" i="4"/>
  <c r="DN78" i="4"/>
  <c r="DO78" i="4" s="1"/>
  <c r="CT78" i="4"/>
  <c r="CU78" i="4" s="1"/>
  <c r="CH78" i="4"/>
  <c r="CI78" i="4" s="1"/>
  <c r="CD78" i="4"/>
  <c r="CE78" i="4" s="1"/>
  <c r="DJ78" i="4"/>
  <c r="DK78" i="4" s="1"/>
  <c r="CX78" i="4"/>
  <c r="CY78" i="4" s="1"/>
  <c r="DJ74" i="4"/>
  <c r="DK74" i="4" s="1"/>
  <c r="CX74" i="4"/>
  <c r="CY74" i="4" s="1"/>
  <c r="CD74" i="4"/>
  <c r="CE74" i="4" s="1"/>
  <c r="DN74" i="4"/>
  <c r="DO74" i="4" s="1"/>
  <c r="CT74" i="4"/>
  <c r="CU74" i="4" s="1"/>
  <c r="CH74" i="4"/>
  <c r="CI74" i="4" s="1"/>
  <c r="DB74" i="4"/>
  <c r="DC74" i="4" s="1"/>
  <c r="CP74" i="4"/>
  <c r="CQ74" i="4" s="1"/>
  <c r="CL74" i="4"/>
  <c r="CM74" i="4" s="1"/>
  <c r="CA74" i="4"/>
  <c r="DF74" i="4"/>
  <c r="DG74" i="4" s="1"/>
  <c r="T76" i="4"/>
  <c r="U76" i="4" s="1"/>
  <c r="AV76" i="4"/>
  <c r="AW76" i="4" s="1"/>
  <c r="J76" i="4"/>
  <c r="K76" i="4" s="1"/>
  <c r="AT76" i="4"/>
  <c r="AU76" i="4" s="1"/>
  <c r="L76" i="4"/>
  <c r="M76" i="4" s="1"/>
  <c r="EQ76" i="4"/>
  <c r="ER76" i="4" s="1"/>
  <c r="BZ76" i="4"/>
  <c r="FB78" i="4"/>
  <c r="FC78" i="4" s="1"/>
  <c r="FR78" i="4"/>
  <c r="FS78" i="4" s="1"/>
  <c r="GH78" i="4"/>
  <c r="GI78" i="4" s="1"/>
  <c r="FD78" i="4"/>
  <c r="FE78" i="4" s="1"/>
  <c r="FT78" i="4"/>
  <c r="FU78" i="4" s="1"/>
  <c r="FB74" i="4"/>
  <c r="FC74" i="4" s="1"/>
  <c r="FR74" i="4"/>
  <c r="FS74" i="4" s="1"/>
  <c r="GH74" i="4"/>
  <c r="GI74" i="4" s="1"/>
  <c r="FD74" i="4"/>
  <c r="FE74" i="4" s="1"/>
  <c r="FT74" i="4"/>
  <c r="FU74" i="4" s="1"/>
  <c r="CB78" i="4"/>
  <c r="CC78" i="4" s="1"/>
  <c r="CR78" i="4"/>
  <c r="CS78" i="4" s="1"/>
  <c r="DH78" i="4"/>
  <c r="DI78" i="4" s="1"/>
  <c r="CN74" i="4"/>
  <c r="CO74" i="4" s="1"/>
  <c r="DD74" i="4"/>
  <c r="DE74" i="4" s="1"/>
  <c r="Z76" i="4"/>
  <c r="AA76" i="4" s="1"/>
  <c r="AH76" i="4"/>
  <c r="AI76" i="4" s="1"/>
  <c r="AN76" i="4"/>
  <c r="AO76" i="4" s="1"/>
  <c r="AV82" i="4"/>
  <c r="AW82" i="4" s="1"/>
  <c r="J82" i="4"/>
  <c r="K82" i="4" s="1"/>
  <c r="L82" i="4"/>
  <c r="M82" i="4" s="1"/>
  <c r="FF78" i="4"/>
  <c r="FG78" i="4" s="1"/>
  <c r="FV78" i="4"/>
  <c r="FW78" i="4" s="1"/>
  <c r="ES78" i="4"/>
  <c r="FH78" i="4"/>
  <c r="FI78" i="4" s="1"/>
  <c r="FF74" i="4"/>
  <c r="FG74" i="4" s="1"/>
  <c r="FV74" i="4"/>
  <c r="FW74" i="4" s="1"/>
  <c r="ES74" i="4"/>
  <c r="FH74" i="4"/>
  <c r="FI74" i="4" s="1"/>
  <c r="CL85" i="4"/>
  <c r="CM85" i="4" s="1"/>
  <c r="DB85" i="4"/>
  <c r="DC85" i="4" s="1"/>
  <c r="CB85" i="4"/>
  <c r="CC85" i="4" s="1"/>
  <c r="CR85" i="4"/>
  <c r="CS85" i="4" s="1"/>
  <c r="CF78" i="4"/>
  <c r="CG78" i="4" s="1"/>
  <c r="CV78" i="4"/>
  <c r="CW78" i="4" s="1"/>
  <c r="DL78" i="4"/>
  <c r="DM78" i="4" s="1"/>
  <c r="CB74" i="4"/>
  <c r="CC74" i="4" s="1"/>
  <c r="CR74" i="4"/>
  <c r="CS74" i="4" s="1"/>
  <c r="DH74" i="4"/>
  <c r="DI74" i="4" s="1"/>
  <c r="T82" i="4"/>
  <c r="U82" i="4" s="1"/>
  <c r="P82" i="4"/>
  <c r="Q82" i="4" s="1"/>
  <c r="I82" i="4"/>
  <c r="AB76" i="4"/>
  <c r="AC76" i="4" s="1"/>
  <c r="AJ76" i="4"/>
  <c r="AK76" i="4" s="1"/>
  <c r="AP76" i="4"/>
  <c r="AQ76" i="4" s="1"/>
  <c r="R76" i="4"/>
  <c r="S76" i="4" s="1"/>
  <c r="P76" i="4"/>
  <c r="Q76" i="4" s="1"/>
  <c r="N76" i="4"/>
  <c r="O76" i="4" s="1"/>
  <c r="I76" i="4"/>
  <c r="AN82" i="4"/>
  <c r="AO82" i="4" s="1"/>
  <c r="AD82" i="4"/>
  <c r="AE82" i="4" s="1"/>
  <c r="BZ82" i="4"/>
  <c r="EQ82" i="4"/>
  <c r="ER82" i="4" s="1"/>
  <c r="FB64" i="4"/>
  <c r="FC64" i="4" s="1"/>
  <c r="GH64" i="4"/>
  <c r="GI64" i="4" s="1"/>
  <c r="FV64" i="4"/>
  <c r="FW64" i="4" s="1"/>
  <c r="AV64" i="4"/>
  <c r="AW64" i="4" s="1"/>
  <c r="L64" i="4"/>
  <c r="M64" i="4" s="1"/>
  <c r="J64" i="4"/>
  <c r="K64" i="4" s="1"/>
  <c r="AT64" i="4"/>
  <c r="AU64" i="4" s="1"/>
  <c r="FJ64" i="4"/>
  <c r="FK64" i="4" s="1"/>
  <c r="EX64" i="4"/>
  <c r="EY64" i="4" s="1"/>
  <c r="GD64" i="4"/>
  <c r="GE64" i="4" s="1"/>
  <c r="GB64" i="4"/>
  <c r="GC64" i="4" s="1"/>
  <c r="GF64" i="4"/>
  <c r="GG64" i="4" s="1"/>
  <c r="FH64" i="4"/>
  <c r="FI64" i="4" s="1"/>
  <c r="FX64" i="4"/>
  <c r="FY64" i="4" s="1"/>
  <c r="FD64" i="4"/>
  <c r="FE64" i="4" s="1"/>
  <c r="EZ64" i="4"/>
  <c r="FA64" i="4" s="1"/>
  <c r="FP64" i="4"/>
  <c r="FQ64" i="4" s="1"/>
  <c r="ES64" i="4"/>
  <c r="FT64" i="4"/>
  <c r="FU64" i="4" s="1"/>
  <c r="FR64" i="4"/>
  <c r="FS64" i="4" s="1"/>
  <c r="FF64" i="4"/>
  <c r="FG64" i="4" s="1"/>
  <c r="EV64" i="4"/>
  <c r="EW64" i="4" s="1"/>
  <c r="EQ89" i="4"/>
  <c r="ER89" i="4" s="1"/>
  <c r="BZ89" i="4"/>
  <c r="DN58" i="4"/>
  <c r="DO58" i="4" s="1"/>
  <c r="DJ58" i="4"/>
  <c r="DK58" i="4" s="1"/>
  <c r="DF58" i="4"/>
  <c r="DG58" i="4" s="1"/>
  <c r="DB58" i="4"/>
  <c r="DC58" i="4" s="1"/>
  <c r="CX58" i="4"/>
  <c r="CY58" i="4" s="1"/>
  <c r="CT58" i="4"/>
  <c r="CU58" i="4" s="1"/>
  <c r="CP58" i="4"/>
  <c r="CQ58" i="4" s="1"/>
  <c r="CL58" i="4"/>
  <c r="CM58" i="4" s="1"/>
  <c r="CH58" i="4"/>
  <c r="CI58" i="4" s="1"/>
  <c r="CD58" i="4"/>
  <c r="CE58" i="4" s="1"/>
  <c r="CA58" i="4"/>
  <c r="DL58" i="4"/>
  <c r="DM58" i="4" s="1"/>
  <c r="CZ58" i="4"/>
  <c r="DA58" i="4" s="1"/>
  <c r="CN58" i="4"/>
  <c r="CO58" i="4" s="1"/>
  <c r="CB58" i="4"/>
  <c r="CC58" i="4" s="1"/>
  <c r="DH58" i="4"/>
  <c r="DI58" i="4" s="1"/>
  <c r="DD58" i="4"/>
  <c r="DE58" i="4" s="1"/>
  <c r="CR58" i="4"/>
  <c r="CS58" i="4" s="1"/>
  <c r="CF58" i="4"/>
  <c r="CG58" i="4" s="1"/>
  <c r="DP58" i="4"/>
  <c r="DQ58" i="4" s="1"/>
  <c r="CV58" i="4"/>
  <c r="CW58" i="4" s="1"/>
  <c r="CJ58" i="4"/>
  <c r="CK58" i="4" s="1"/>
  <c r="EQ57" i="4"/>
  <c r="ER57" i="4" s="1"/>
  <c r="BZ57" i="4"/>
  <c r="BY60" i="4"/>
  <c r="H60" i="4"/>
  <c r="G20" i="4"/>
  <c r="GH69" i="4"/>
  <c r="GI69" i="4" s="1"/>
  <c r="GD69" i="4"/>
  <c r="GE69" i="4" s="1"/>
  <c r="FZ69" i="4"/>
  <c r="GA69" i="4" s="1"/>
  <c r="FV69" i="4"/>
  <c r="FW69" i="4" s="1"/>
  <c r="FR69" i="4"/>
  <c r="FS69" i="4" s="1"/>
  <c r="FN69" i="4"/>
  <c r="FO69" i="4" s="1"/>
  <c r="FJ69" i="4"/>
  <c r="FK69" i="4" s="1"/>
  <c r="FF69" i="4"/>
  <c r="FG69" i="4" s="1"/>
  <c r="FB69" i="4"/>
  <c r="FC69" i="4" s="1"/>
  <c r="EX69" i="4"/>
  <c r="EY69" i="4" s="1"/>
  <c r="ET69" i="4"/>
  <c r="EU69" i="4" s="1"/>
  <c r="GF69" i="4"/>
  <c r="GG69" i="4" s="1"/>
  <c r="GB69" i="4"/>
  <c r="GC69" i="4" s="1"/>
  <c r="FX69" i="4"/>
  <c r="FY69" i="4" s="1"/>
  <c r="FT69" i="4"/>
  <c r="FU69" i="4" s="1"/>
  <c r="FP69" i="4"/>
  <c r="FQ69" i="4" s="1"/>
  <c r="FL69" i="4"/>
  <c r="FM69" i="4" s="1"/>
  <c r="FH69" i="4"/>
  <c r="FI69" i="4" s="1"/>
  <c r="FD69" i="4"/>
  <c r="FE69" i="4" s="1"/>
  <c r="EZ69" i="4"/>
  <c r="FA69" i="4" s="1"/>
  <c r="EV69" i="4"/>
  <c r="EW69" i="4" s="1"/>
  <c r="ES69" i="4"/>
  <c r="GF67" i="4"/>
  <c r="GG67" i="4" s="1"/>
  <c r="GB67" i="4"/>
  <c r="GC67" i="4" s="1"/>
  <c r="FX67" i="4"/>
  <c r="FY67" i="4" s="1"/>
  <c r="FT67" i="4"/>
  <c r="FU67" i="4" s="1"/>
  <c r="FP67" i="4"/>
  <c r="FQ67" i="4" s="1"/>
  <c r="FL67" i="4"/>
  <c r="FM67" i="4" s="1"/>
  <c r="FH67" i="4"/>
  <c r="FI67" i="4" s="1"/>
  <c r="FD67" i="4"/>
  <c r="FE67" i="4" s="1"/>
  <c r="EZ67" i="4"/>
  <c r="FA67" i="4" s="1"/>
  <c r="EV67" i="4"/>
  <c r="EW67" i="4" s="1"/>
  <c r="ES67" i="4"/>
  <c r="GH67" i="4"/>
  <c r="GI67" i="4" s="1"/>
  <c r="GD67" i="4"/>
  <c r="GE67" i="4" s="1"/>
  <c r="FZ67" i="4"/>
  <c r="GA67" i="4" s="1"/>
  <c r="FV67" i="4"/>
  <c r="FW67" i="4" s="1"/>
  <c r="FR67" i="4"/>
  <c r="FS67" i="4" s="1"/>
  <c r="FN67" i="4"/>
  <c r="FO67" i="4" s="1"/>
  <c r="FJ67" i="4"/>
  <c r="FK67" i="4" s="1"/>
  <c r="FF67" i="4"/>
  <c r="FG67" i="4" s="1"/>
  <c r="FB67" i="4"/>
  <c r="FC67" i="4" s="1"/>
  <c r="EX67" i="4"/>
  <c r="EY67" i="4" s="1"/>
  <c r="ET67" i="4"/>
  <c r="EU67" i="4" s="1"/>
  <c r="DN71" i="4"/>
  <c r="DO71" i="4" s="1"/>
  <c r="DF71" i="4"/>
  <c r="DG71" i="4" s="1"/>
  <c r="CX71" i="4"/>
  <c r="CY71" i="4" s="1"/>
  <c r="CP71" i="4"/>
  <c r="CQ71" i="4" s="1"/>
  <c r="CH71" i="4"/>
  <c r="CI71" i="4" s="1"/>
  <c r="CA71" i="4"/>
  <c r="DL71" i="4"/>
  <c r="DM71" i="4" s="1"/>
  <c r="DD71" i="4"/>
  <c r="DE71" i="4" s="1"/>
  <c r="CV71" i="4"/>
  <c r="CW71" i="4" s="1"/>
  <c r="CN71" i="4"/>
  <c r="CO71" i="4" s="1"/>
  <c r="CF71" i="4"/>
  <c r="CG71" i="4" s="1"/>
  <c r="DB71" i="4"/>
  <c r="DC71" i="4" s="1"/>
  <c r="CL71" i="4"/>
  <c r="CM71" i="4" s="1"/>
  <c r="DP71" i="4"/>
  <c r="DQ71" i="4" s="1"/>
  <c r="CZ71" i="4"/>
  <c r="DA71" i="4" s="1"/>
  <c r="CJ71" i="4"/>
  <c r="CK71" i="4" s="1"/>
  <c r="DJ71" i="4"/>
  <c r="DK71" i="4" s="1"/>
  <c r="CT71" i="4"/>
  <c r="CU71" i="4" s="1"/>
  <c r="CD71" i="4"/>
  <c r="CE71" i="4" s="1"/>
  <c r="DH71" i="4"/>
  <c r="DI71" i="4" s="1"/>
  <c r="CR71" i="4"/>
  <c r="CS71" i="4" s="1"/>
  <c r="CB71" i="4"/>
  <c r="CC71" i="4" s="1"/>
  <c r="DL65" i="4"/>
  <c r="DM65" i="4" s="1"/>
  <c r="DD65" i="4"/>
  <c r="DE65" i="4" s="1"/>
  <c r="CV65" i="4"/>
  <c r="CW65" i="4" s="1"/>
  <c r="CN65" i="4"/>
  <c r="CO65" i="4" s="1"/>
  <c r="CF65" i="4"/>
  <c r="CG65" i="4" s="1"/>
  <c r="DJ65" i="4"/>
  <c r="DK65" i="4" s="1"/>
  <c r="DB65" i="4"/>
  <c r="DC65" i="4" s="1"/>
  <c r="CT65" i="4"/>
  <c r="CU65" i="4" s="1"/>
  <c r="CL65" i="4"/>
  <c r="CM65" i="4" s="1"/>
  <c r="CD65" i="4"/>
  <c r="CE65" i="4" s="1"/>
  <c r="DH65" i="4"/>
  <c r="DI65" i="4" s="1"/>
  <c r="CR65" i="4"/>
  <c r="CS65" i="4" s="1"/>
  <c r="CB65" i="4"/>
  <c r="CC65" i="4" s="1"/>
  <c r="DF65" i="4"/>
  <c r="DG65" i="4" s="1"/>
  <c r="CP65" i="4"/>
  <c r="CQ65" i="4" s="1"/>
  <c r="CA65" i="4"/>
  <c r="DP65" i="4"/>
  <c r="DQ65" i="4" s="1"/>
  <c r="CZ65" i="4"/>
  <c r="DA65" i="4" s="1"/>
  <c r="CJ65" i="4"/>
  <c r="CK65" i="4" s="1"/>
  <c r="DN65" i="4"/>
  <c r="DO65" i="4" s="1"/>
  <c r="CX65" i="4"/>
  <c r="CY65" i="4" s="1"/>
  <c r="CH65" i="4"/>
  <c r="CI65" i="4" s="1"/>
  <c r="GF63" i="4"/>
  <c r="GG63" i="4" s="1"/>
  <c r="GB63" i="4"/>
  <c r="GC63" i="4" s="1"/>
  <c r="FX63" i="4"/>
  <c r="FY63" i="4" s="1"/>
  <c r="FT63" i="4"/>
  <c r="FU63" i="4" s="1"/>
  <c r="FP63" i="4"/>
  <c r="FQ63" i="4" s="1"/>
  <c r="FL63" i="4"/>
  <c r="FM63" i="4" s="1"/>
  <c r="FH63" i="4"/>
  <c r="FI63" i="4" s="1"/>
  <c r="FD63" i="4"/>
  <c r="FE63" i="4" s="1"/>
  <c r="EZ63" i="4"/>
  <c r="FA63" i="4" s="1"/>
  <c r="EV63" i="4"/>
  <c r="EW63" i="4" s="1"/>
  <c r="ES63" i="4"/>
  <c r="GH63" i="4"/>
  <c r="GI63" i="4" s="1"/>
  <c r="GD63" i="4"/>
  <c r="GE63" i="4" s="1"/>
  <c r="FZ63" i="4"/>
  <c r="GA63" i="4" s="1"/>
  <c r="FV63" i="4"/>
  <c r="FW63" i="4" s="1"/>
  <c r="FR63" i="4"/>
  <c r="FS63" i="4" s="1"/>
  <c r="FN63" i="4"/>
  <c r="FO63" i="4" s="1"/>
  <c r="FJ63" i="4"/>
  <c r="FK63" i="4" s="1"/>
  <c r="FF63" i="4"/>
  <c r="FG63" i="4" s="1"/>
  <c r="FB63" i="4"/>
  <c r="FC63" i="4" s="1"/>
  <c r="EX63" i="4"/>
  <c r="EY63" i="4" s="1"/>
  <c r="ET63" i="4"/>
  <c r="EU63" i="4" s="1"/>
  <c r="DN63" i="4"/>
  <c r="DO63" i="4" s="1"/>
  <c r="DF63" i="4"/>
  <c r="DG63" i="4" s="1"/>
  <c r="CX63" i="4"/>
  <c r="CY63" i="4" s="1"/>
  <c r="CP63" i="4"/>
  <c r="CQ63" i="4" s="1"/>
  <c r="CH63" i="4"/>
  <c r="CI63" i="4" s="1"/>
  <c r="CA63" i="4"/>
  <c r="DL63" i="4"/>
  <c r="DM63" i="4" s="1"/>
  <c r="DD63" i="4"/>
  <c r="DE63" i="4" s="1"/>
  <c r="CV63" i="4"/>
  <c r="CW63" i="4" s="1"/>
  <c r="CN63" i="4"/>
  <c r="CO63" i="4" s="1"/>
  <c r="CF63" i="4"/>
  <c r="CG63" i="4" s="1"/>
  <c r="DB63" i="4"/>
  <c r="DC63" i="4" s="1"/>
  <c r="CL63" i="4"/>
  <c r="CM63" i="4" s="1"/>
  <c r="DP63" i="4"/>
  <c r="DQ63" i="4" s="1"/>
  <c r="CZ63" i="4"/>
  <c r="DA63" i="4" s="1"/>
  <c r="CJ63" i="4"/>
  <c r="CK63" i="4" s="1"/>
  <c r="DJ63" i="4"/>
  <c r="DK63" i="4" s="1"/>
  <c r="CT63" i="4"/>
  <c r="CU63" i="4" s="1"/>
  <c r="CD63" i="4"/>
  <c r="CE63" i="4" s="1"/>
  <c r="DH63" i="4"/>
  <c r="DI63" i="4" s="1"/>
  <c r="CR63" i="4"/>
  <c r="CS63" i="4" s="1"/>
  <c r="CB63" i="4"/>
  <c r="CC63" i="4" s="1"/>
  <c r="GF71" i="4"/>
  <c r="GG71" i="4" s="1"/>
  <c r="GB71" i="4"/>
  <c r="GC71" i="4" s="1"/>
  <c r="FX71" i="4"/>
  <c r="FY71" i="4" s="1"/>
  <c r="FT71" i="4"/>
  <c r="FU71" i="4" s="1"/>
  <c r="FP71" i="4"/>
  <c r="FQ71" i="4" s="1"/>
  <c r="FL71" i="4"/>
  <c r="FM71" i="4" s="1"/>
  <c r="FH71" i="4"/>
  <c r="FI71" i="4" s="1"/>
  <c r="FD71" i="4"/>
  <c r="FE71" i="4" s="1"/>
  <c r="EZ71" i="4"/>
  <c r="FA71" i="4" s="1"/>
  <c r="EV71" i="4"/>
  <c r="EW71" i="4" s="1"/>
  <c r="ES71" i="4"/>
  <c r="GH71" i="4"/>
  <c r="GI71" i="4" s="1"/>
  <c r="GD71" i="4"/>
  <c r="GE71" i="4" s="1"/>
  <c r="FZ71" i="4"/>
  <c r="GA71" i="4" s="1"/>
  <c r="FV71" i="4"/>
  <c r="FW71" i="4" s="1"/>
  <c r="FR71" i="4"/>
  <c r="FS71" i="4" s="1"/>
  <c r="FN71" i="4"/>
  <c r="FO71" i="4" s="1"/>
  <c r="FJ71" i="4"/>
  <c r="FK71" i="4" s="1"/>
  <c r="FF71" i="4"/>
  <c r="FG71" i="4" s="1"/>
  <c r="FB71" i="4"/>
  <c r="FC71" i="4" s="1"/>
  <c r="EX71" i="4"/>
  <c r="EY71" i="4" s="1"/>
  <c r="ET71" i="4"/>
  <c r="EU71" i="4" s="1"/>
  <c r="GH65" i="4"/>
  <c r="GI65" i="4" s="1"/>
  <c r="GD65" i="4"/>
  <c r="GE65" i="4" s="1"/>
  <c r="FZ65" i="4"/>
  <c r="GA65" i="4" s="1"/>
  <c r="FV65" i="4"/>
  <c r="FW65" i="4" s="1"/>
  <c r="FR65" i="4"/>
  <c r="FS65" i="4" s="1"/>
  <c r="FN65" i="4"/>
  <c r="FO65" i="4" s="1"/>
  <c r="FJ65" i="4"/>
  <c r="FK65" i="4" s="1"/>
  <c r="FF65" i="4"/>
  <c r="FG65" i="4" s="1"/>
  <c r="FB65" i="4"/>
  <c r="FC65" i="4" s="1"/>
  <c r="EX65" i="4"/>
  <c r="EY65" i="4" s="1"/>
  <c r="ET65" i="4"/>
  <c r="EU65" i="4" s="1"/>
  <c r="GF65" i="4"/>
  <c r="GG65" i="4" s="1"/>
  <c r="GB65" i="4"/>
  <c r="GC65" i="4" s="1"/>
  <c r="FX65" i="4"/>
  <c r="FY65" i="4" s="1"/>
  <c r="FT65" i="4"/>
  <c r="FU65" i="4" s="1"/>
  <c r="FP65" i="4"/>
  <c r="FQ65" i="4" s="1"/>
  <c r="FL65" i="4"/>
  <c r="FM65" i="4" s="1"/>
  <c r="FH65" i="4"/>
  <c r="FI65" i="4" s="1"/>
  <c r="FD65" i="4"/>
  <c r="FE65" i="4" s="1"/>
  <c r="EZ65" i="4"/>
  <c r="FA65" i="4" s="1"/>
  <c r="EV65" i="4"/>
  <c r="EW65" i="4" s="1"/>
  <c r="ES65" i="4"/>
  <c r="DP69" i="4"/>
  <c r="DQ69" i="4" s="1"/>
  <c r="DH69" i="4"/>
  <c r="DI69" i="4" s="1"/>
  <c r="CZ69" i="4"/>
  <c r="DA69" i="4" s="1"/>
  <c r="CR69" i="4"/>
  <c r="CS69" i="4" s="1"/>
  <c r="CJ69" i="4"/>
  <c r="CK69" i="4" s="1"/>
  <c r="CB69" i="4"/>
  <c r="CC69" i="4" s="1"/>
  <c r="DN69" i="4"/>
  <c r="DO69" i="4" s="1"/>
  <c r="DF69" i="4"/>
  <c r="DG69" i="4" s="1"/>
  <c r="CX69" i="4"/>
  <c r="CY69" i="4" s="1"/>
  <c r="CP69" i="4"/>
  <c r="CQ69" i="4" s="1"/>
  <c r="CH69" i="4"/>
  <c r="CI69" i="4" s="1"/>
  <c r="CA69" i="4"/>
  <c r="DJ69" i="4"/>
  <c r="DK69" i="4" s="1"/>
  <c r="CT69" i="4"/>
  <c r="CU69" i="4" s="1"/>
  <c r="CD69" i="4"/>
  <c r="CE69" i="4" s="1"/>
  <c r="DD69" i="4"/>
  <c r="DE69" i="4" s="1"/>
  <c r="CN69" i="4"/>
  <c r="CO69" i="4" s="1"/>
  <c r="DB69" i="4"/>
  <c r="DC69" i="4" s="1"/>
  <c r="CL69" i="4"/>
  <c r="CM69" i="4" s="1"/>
  <c r="DL69" i="4"/>
  <c r="DM69" i="4" s="1"/>
  <c r="CV69" i="4"/>
  <c r="CW69" i="4" s="1"/>
  <c r="CF69" i="4"/>
  <c r="CG69" i="4" s="1"/>
  <c r="DJ67" i="4"/>
  <c r="DK67" i="4" s="1"/>
  <c r="DB67" i="4"/>
  <c r="DC67" i="4" s="1"/>
  <c r="CT67" i="4"/>
  <c r="CU67" i="4" s="1"/>
  <c r="CL67" i="4"/>
  <c r="CM67" i="4" s="1"/>
  <c r="CD67" i="4"/>
  <c r="CE67" i="4" s="1"/>
  <c r="DP67" i="4"/>
  <c r="DQ67" i="4" s="1"/>
  <c r="DH67" i="4"/>
  <c r="DI67" i="4" s="1"/>
  <c r="CZ67" i="4"/>
  <c r="DA67" i="4" s="1"/>
  <c r="CR67" i="4"/>
  <c r="CS67" i="4" s="1"/>
  <c r="CJ67" i="4"/>
  <c r="CK67" i="4" s="1"/>
  <c r="CB67" i="4"/>
  <c r="CC67" i="4" s="1"/>
  <c r="DN67" i="4"/>
  <c r="DO67" i="4" s="1"/>
  <c r="CX67" i="4"/>
  <c r="CY67" i="4" s="1"/>
  <c r="CH67" i="4"/>
  <c r="CI67" i="4" s="1"/>
  <c r="DL67" i="4"/>
  <c r="DM67" i="4" s="1"/>
  <c r="CV67" i="4"/>
  <c r="CW67" i="4" s="1"/>
  <c r="CF67" i="4"/>
  <c r="CG67" i="4" s="1"/>
  <c r="DF67" i="4"/>
  <c r="DG67" i="4" s="1"/>
  <c r="CP67" i="4"/>
  <c r="CQ67" i="4" s="1"/>
  <c r="CA67" i="4"/>
  <c r="DD67" i="4"/>
  <c r="DE67" i="4" s="1"/>
  <c r="CN67" i="4"/>
  <c r="CO67" i="4" s="1"/>
  <c r="DL130" i="4" l="1"/>
  <c r="DM130" i="4" s="1"/>
  <c r="CR130" i="4"/>
  <c r="CS130" i="4" s="1"/>
  <c r="CF130" i="4"/>
  <c r="CG130" i="4" s="1"/>
  <c r="CZ130" i="4"/>
  <c r="DA130" i="4" s="1"/>
  <c r="CN130" i="4"/>
  <c r="CO130" i="4" s="1"/>
  <c r="CV130" i="4"/>
  <c r="CW130" i="4" s="1"/>
  <c r="DP130" i="4"/>
  <c r="DQ130" i="4" s="1"/>
  <c r="DD130" i="4"/>
  <c r="DE130" i="4" s="1"/>
  <c r="CJ130" i="4"/>
  <c r="CK130" i="4" s="1"/>
  <c r="DH130" i="4"/>
  <c r="DI130" i="4" s="1"/>
  <c r="CB130" i="4"/>
  <c r="CC130" i="4" s="1"/>
  <c r="DB130" i="4"/>
  <c r="DC130" i="4" s="1"/>
  <c r="CL130" i="4"/>
  <c r="CM130" i="4" s="1"/>
  <c r="CD130" i="4"/>
  <c r="CE130" i="4" s="1"/>
  <c r="DN130" i="4"/>
  <c r="DO130" i="4" s="1"/>
  <c r="CX130" i="4"/>
  <c r="CY130" i="4" s="1"/>
  <c r="CH130" i="4"/>
  <c r="CI130" i="4" s="1"/>
  <c r="CT130" i="4"/>
  <c r="CU130" i="4" s="1"/>
  <c r="DF130" i="4"/>
  <c r="DG130" i="4" s="1"/>
  <c r="CP130" i="4"/>
  <c r="CQ130" i="4" s="1"/>
  <c r="CA130" i="4"/>
  <c r="DJ130" i="4"/>
  <c r="DK130" i="4" s="1"/>
  <c r="GD130" i="4"/>
  <c r="GE130" i="4" s="1"/>
  <c r="FN130" i="4"/>
  <c r="FO130" i="4" s="1"/>
  <c r="EX130" i="4"/>
  <c r="EY130" i="4" s="1"/>
  <c r="FX130" i="4"/>
  <c r="FY130" i="4" s="1"/>
  <c r="FH130" i="4"/>
  <c r="FI130" i="4" s="1"/>
  <c r="ES130" i="4"/>
  <c r="FV130" i="4"/>
  <c r="FW130" i="4" s="1"/>
  <c r="FZ130" i="4"/>
  <c r="GA130" i="4" s="1"/>
  <c r="FJ130" i="4"/>
  <c r="FK130" i="4" s="1"/>
  <c r="ET130" i="4"/>
  <c r="EU130" i="4" s="1"/>
  <c r="FT130" i="4"/>
  <c r="FU130" i="4" s="1"/>
  <c r="FD130" i="4"/>
  <c r="FE130" i="4" s="1"/>
  <c r="FF130" i="4"/>
  <c r="FG130" i="4" s="1"/>
  <c r="EZ130" i="4"/>
  <c r="FA130" i="4" s="1"/>
  <c r="GH130" i="4"/>
  <c r="GI130" i="4" s="1"/>
  <c r="FR130" i="4"/>
  <c r="FS130" i="4" s="1"/>
  <c r="FB130" i="4"/>
  <c r="FC130" i="4" s="1"/>
  <c r="GB130" i="4"/>
  <c r="GC130" i="4" s="1"/>
  <c r="FL130" i="4"/>
  <c r="FM130" i="4" s="1"/>
  <c r="EV130" i="4"/>
  <c r="EW130" i="4" s="1"/>
  <c r="GF130" i="4"/>
  <c r="GG130" i="4" s="1"/>
  <c r="FP130" i="4"/>
  <c r="FQ130" i="4" s="1"/>
  <c r="BY21" i="4"/>
  <c r="H21" i="4"/>
  <c r="DL45" i="4"/>
  <c r="DM45" i="4" s="1"/>
  <c r="DD45" i="4"/>
  <c r="DE45" i="4" s="1"/>
  <c r="CV45" i="4"/>
  <c r="CW45" i="4" s="1"/>
  <c r="CN45" i="4"/>
  <c r="CO45" i="4" s="1"/>
  <c r="CF45" i="4"/>
  <c r="CG45" i="4" s="1"/>
  <c r="DP45" i="4"/>
  <c r="DQ45" i="4" s="1"/>
  <c r="CJ45" i="4"/>
  <c r="CK45" i="4" s="1"/>
  <c r="DJ45" i="4"/>
  <c r="DK45" i="4" s="1"/>
  <c r="DB45" i="4"/>
  <c r="DC45" i="4" s="1"/>
  <c r="CT45" i="4"/>
  <c r="CU45" i="4" s="1"/>
  <c r="CL45" i="4"/>
  <c r="CM45" i="4" s="1"/>
  <c r="CD45" i="4"/>
  <c r="CE45" i="4" s="1"/>
  <c r="DH45" i="4"/>
  <c r="DI45" i="4" s="1"/>
  <c r="CR45" i="4"/>
  <c r="CS45" i="4" s="1"/>
  <c r="DN45" i="4"/>
  <c r="DO45" i="4" s="1"/>
  <c r="DF45" i="4"/>
  <c r="DG45" i="4" s="1"/>
  <c r="CX45" i="4"/>
  <c r="CY45" i="4" s="1"/>
  <c r="CP45" i="4"/>
  <c r="CQ45" i="4" s="1"/>
  <c r="CH45" i="4"/>
  <c r="CI45" i="4" s="1"/>
  <c r="CA45" i="4"/>
  <c r="CZ45" i="4"/>
  <c r="DA45" i="4" s="1"/>
  <c r="CB45" i="4"/>
  <c r="CC45" i="4" s="1"/>
  <c r="GH45" i="4"/>
  <c r="GI45" i="4" s="1"/>
  <c r="FJ45" i="4"/>
  <c r="FK45" i="4" s="1"/>
  <c r="FT45" i="4"/>
  <c r="FU45" i="4" s="1"/>
  <c r="FD45" i="4"/>
  <c r="FE45" i="4" s="1"/>
  <c r="FN45" i="4"/>
  <c r="FO45" i="4" s="1"/>
  <c r="ES45" i="4"/>
  <c r="FR45" i="4"/>
  <c r="FS45" i="4" s="1"/>
  <c r="GF45" i="4"/>
  <c r="GG45" i="4" s="1"/>
  <c r="FP45" i="4"/>
  <c r="FQ45" i="4" s="1"/>
  <c r="EZ45" i="4"/>
  <c r="FA45" i="4" s="1"/>
  <c r="FV45" i="4"/>
  <c r="FW45" i="4" s="1"/>
  <c r="FX45" i="4"/>
  <c r="FY45" i="4" s="1"/>
  <c r="ET45" i="4"/>
  <c r="EU45" i="4" s="1"/>
  <c r="FZ45" i="4"/>
  <c r="GA45" i="4" s="1"/>
  <c r="GB45" i="4"/>
  <c r="GC45" i="4" s="1"/>
  <c r="FL45" i="4"/>
  <c r="FM45" i="4" s="1"/>
  <c r="EV45" i="4"/>
  <c r="EW45" i="4" s="1"/>
  <c r="EX45" i="4"/>
  <c r="EY45" i="4" s="1"/>
  <c r="GD45" i="4"/>
  <c r="GE45" i="4" s="1"/>
  <c r="FB45" i="4"/>
  <c r="FC45" i="4" s="1"/>
  <c r="FH45" i="4"/>
  <c r="FI45" i="4" s="1"/>
  <c r="FF45" i="4"/>
  <c r="FG45" i="4" s="1"/>
  <c r="AT155" i="4"/>
  <c r="AU155" i="4" s="1"/>
  <c r="AR155" i="4"/>
  <c r="AS155" i="4" s="1"/>
  <c r="AL155" i="4"/>
  <c r="AM155" i="4" s="1"/>
  <c r="T155" i="4"/>
  <c r="U155" i="4" s="1"/>
  <c r="AF155" i="4"/>
  <c r="AG155" i="4" s="1"/>
  <c r="AX155" i="4"/>
  <c r="AY155" i="4" s="1"/>
  <c r="AP155" i="4"/>
  <c r="AQ155" i="4" s="1"/>
  <c r="X127" i="4"/>
  <c r="Y127" i="4" s="1"/>
  <c r="AP127" i="4"/>
  <c r="AQ127" i="4" s="1"/>
  <c r="Z127" i="4"/>
  <c r="AA127" i="4" s="1"/>
  <c r="AX127" i="4"/>
  <c r="AY127" i="4" s="1"/>
  <c r="T127" i="4"/>
  <c r="U127" i="4" s="1"/>
  <c r="AF127" i="4"/>
  <c r="AG127" i="4" s="1"/>
  <c r="AR127" i="4"/>
  <c r="AS127" i="4" s="1"/>
  <c r="AJ127" i="4"/>
  <c r="AK127" i="4" s="1"/>
  <c r="L127" i="4"/>
  <c r="M127" i="4" s="1"/>
  <c r="I127" i="4"/>
  <c r="AN127" i="4"/>
  <c r="AO127" i="4" s="1"/>
  <c r="V127" i="4"/>
  <c r="W127" i="4" s="1"/>
  <c r="N127" i="4"/>
  <c r="O127" i="4" s="1"/>
  <c r="AH127" i="4"/>
  <c r="AI127" i="4" s="1"/>
  <c r="AB127" i="4"/>
  <c r="AC127" i="4" s="1"/>
  <c r="R127" i="4"/>
  <c r="S127" i="4" s="1"/>
  <c r="AL127" i="4"/>
  <c r="AM127" i="4" s="1"/>
  <c r="J127" i="4"/>
  <c r="K127" i="4" s="1"/>
  <c r="BZ26" i="4"/>
  <c r="EQ26" i="4"/>
  <c r="ER26" i="4" s="1"/>
  <c r="AH26" i="4"/>
  <c r="AI26" i="4" s="1"/>
  <c r="AD26" i="4"/>
  <c r="AE26" i="4" s="1"/>
  <c r="X26" i="4"/>
  <c r="Y26" i="4" s="1"/>
  <c r="V26" i="4"/>
  <c r="W26" i="4" s="1"/>
  <c r="J26" i="4"/>
  <c r="K26" i="4" s="1"/>
  <c r="AX26" i="4"/>
  <c r="AY26" i="4" s="1"/>
  <c r="AL26" i="4"/>
  <c r="AM26" i="4" s="1"/>
  <c r="AF26" i="4"/>
  <c r="AG26" i="4" s="1"/>
  <c r="AT26" i="4"/>
  <c r="AU26" i="4" s="1"/>
  <c r="AP26" i="4"/>
  <c r="AQ26" i="4" s="1"/>
  <c r="N26" i="4"/>
  <c r="O26" i="4" s="1"/>
  <c r="I26" i="4"/>
  <c r="AV26" i="4"/>
  <c r="AW26" i="4" s="1"/>
  <c r="AN26" i="4"/>
  <c r="AO26" i="4" s="1"/>
  <c r="AB26" i="4"/>
  <c r="AC26" i="4" s="1"/>
  <c r="Z26" i="4"/>
  <c r="AA26" i="4" s="1"/>
  <c r="T26" i="4"/>
  <c r="U26" i="4" s="1"/>
  <c r="AR26" i="4"/>
  <c r="AS26" i="4" s="1"/>
  <c r="AJ26" i="4"/>
  <c r="AK26" i="4" s="1"/>
  <c r="L26" i="4"/>
  <c r="M26" i="4" s="1"/>
  <c r="P26" i="4"/>
  <c r="Q26" i="4" s="1"/>
  <c r="R26" i="4"/>
  <c r="S26" i="4" s="1"/>
  <c r="DL144" i="4"/>
  <c r="DM144" i="4" s="1"/>
  <c r="CV144" i="4"/>
  <c r="CW144" i="4" s="1"/>
  <c r="CF144" i="4"/>
  <c r="CG144" i="4" s="1"/>
  <c r="DF144" i="4"/>
  <c r="DG144" i="4" s="1"/>
  <c r="CP144" i="4"/>
  <c r="CQ144" i="4" s="1"/>
  <c r="CA144" i="4"/>
  <c r="DH144" i="4"/>
  <c r="DI144" i="4" s="1"/>
  <c r="CR144" i="4"/>
  <c r="CS144" i="4" s="1"/>
  <c r="CB144" i="4"/>
  <c r="CC144" i="4" s="1"/>
  <c r="DB144" i="4"/>
  <c r="DC144" i="4" s="1"/>
  <c r="CL144" i="4"/>
  <c r="CM144" i="4" s="1"/>
  <c r="DD144" i="4"/>
  <c r="DE144" i="4" s="1"/>
  <c r="CN144" i="4"/>
  <c r="CO144" i="4" s="1"/>
  <c r="DN144" i="4"/>
  <c r="DO144" i="4" s="1"/>
  <c r="CX144" i="4"/>
  <c r="CY144" i="4" s="1"/>
  <c r="CH144" i="4"/>
  <c r="CI144" i="4" s="1"/>
  <c r="DP144" i="4"/>
  <c r="DQ144" i="4" s="1"/>
  <c r="CZ144" i="4"/>
  <c r="DA144" i="4" s="1"/>
  <c r="CJ144" i="4"/>
  <c r="CK144" i="4" s="1"/>
  <c r="DJ144" i="4"/>
  <c r="DK144" i="4" s="1"/>
  <c r="CT144" i="4"/>
  <c r="CU144" i="4" s="1"/>
  <c r="CD144" i="4"/>
  <c r="CE144" i="4" s="1"/>
  <c r="GB144" i="4"/>
  <c r="GC144" i="4" s="1"/>
  <c r="FL144" i="4"/>
  <c r="FM144" i="4" s="1"/>
  <c r="EV144" i="4"/>
  <c r="EW144" i="4" s="1"/>
  <c r="FZ144" i="4"/>
  <c r="GA144" i="4" s="1"/>
  <c r="FJ144" i="4"/>
  <c r="FK144" i="4" s="1"/>
  <c r="ET144" i="4"/>
  <c r="EU144" i="4" s="1"/>
  <c r="FX144" i="4"/>
  <c r="FY144" i="4" s="1"/>
  <c r="FH144" i="4"/>
  <c r="FI144" i="4" s="1"/>
  <c r="ES144" i="4"/>
  <c r="FV144" i="4"/>
  <c r="FW144" i="4" s="1"/>
  <c r="FF144" i="4"/>
  <c r="FG144" i="4" s="1"/>
  <c r="FT144" i="4"/>
  <c r="FU144" i="4" s="1"/>
  <c r="FD144" i="4"/>
  <c r="FE144" i="4" s="1"/>
  <c r="GH144" i="4"/>
  <c r="GI144" i="4" s="1"/>
  <c r="FR144" i="4"/>
  <c r="FS144" i="4" s="1"/>
  <c r="FB144" i="4"/>
  <c r="FC144" i="4" s="1"/>
  <c r="GF144" i="4"/>
  <c r="GG144" i="4" s="1"/>
  <c r="FP144" i="4"/>
  <c r="FQ144" i="4" s="1"/>
  <c r="EZ144" i="4"/>
  <c r="FA144" i="4" s="1"/>
  <c r="GD144" i="4"/>
  <c r="GE144" i="4" s="1"/>
  <c r="FN144" i="4"/>
  <c r="FO144" i="4" s="1"/>
  <c r="EX144" i="4"/>
  <c r="EY144" i="4" s="1"/>
  <c r="G146" i="4"/>
  <c r="D148" i="4"/>
  <c r="BY145" i="4"/>
  <c r="H145" i="4"/>
  <c r="BY133" i="4"/>
  <c r="H133" i="4"/>
  <c r="G134" i="4"/>
  <c r="BY94" i="4"/>
  <c r="H94" i="4"/>
  <c r="G95" i="4"/>
  <c r="AT54" i="4"/>
  <c r="AU54" i="4" s="1"/>
  <c r="AD54" i="4"/>
  <c r="AE54" i="4" s="1"/>
  <c r="Z54" i="4"/>
  <c r="AA54" i="4" s="1"/>
  <c r="V54" i="4"/>
  <c r="W54" i="4" s="1"/>
  <c r="L54" i="4"/>
  <c r="M54" i="4" s="1"/>
  <c r="AN54" i="4"/>
  <c r="AO54" i="4" s="1"/>
  <c r="J54" i="4"/>
  <c r="K54" i="4" s="1"/>
  <c r="AX54" i="4"/>
  <c r="AY54" i="4" s="1"/>
  <c r="AV54" i="4"/>
  <c r="AW54" i="4" s="1"/>
  <c r="AP54" i="4"/>
  <c r="AQ54" i="4" s="1"/>
  <c r="AJ54" i="4"/>
  <c r="AK54" i="4" s="1"/>
  <c r="AH54" i="4"/>
  <c r="AI54" i="4" s="1"/>
  <c r="P54" i="4"/>
  <c r="Q54" i="4" s="1"/>
  <c r="N54" i="4"/>
  <c r="O54" i="4" s="1"/>
  <c r="AL54" i="4"/>
  <c r="AM54" i="4" s="1"/>
  <c r="R54" i="4"/>
  <c r="S54" i="4" s="1"/>
  <c r="AB54" i="4"/>
  <c r="AC54" i="4" s="1"/>
  <c r="X54" i="4"/>
  <c r="Y54" i="4" s="1"/>
  <c r="T54" i="4"/>
  <c r="U54" i="4" s="1"/>
  <c r="I54" i="4"/>
  <c r="AR54" i="4"/>
  <c r="AS54" i="4" s="1"/>
  <c r="AF54" i="4"/>
  <c r="AG54" i="4" s="1"/>
  <c r="EQ54" i="4"/>
  <c r="ER54" i="4" s="1"/>
  <c r="BZ54" i="4"/>
  <c r="AR19" i="4"/>
  <c r="AS19" i="4" s="1"/>
  <c r="AJ19" i="4"/>
  <c r="AK19" i="4" s="1"/>
  <c r="R19" i="4"/>
  <c r="S19" i="4" s="1"/>
  <c r="J19" i="4"/>
  <c r="K19" i="4" s="1"/>
  <c r="I19" i="4"/>
  <c r="AT19" i="4"/>
  <c r="AU19" i="4" s="1"/>
  <c r="AN19" i="4"/>
  <c r="AO19" i="4" s="1"/>
  <c r="AH19" i="4"/>
  <c r="AI19" i="4" s="1"/>
  <c r="V19" i="4"/>
  <c r="W19" i="4" s="1"/>
  <c r="AF19" i="4"/>
  <c r="AG19" i="4" s="1"/>
  <c r="P19" i="4"/>
  <c r="Q19" i="4" s="1"/>
  <c r="AX19" i="4"/>
  <c r="AY19" i="4" s="1"/>
  <c r="AD19" i="4"/>
  <c r="AE19" i="4" s="1"/>
  <c r="AV19" i="4"/>
  <c r="AW19" i="4" s="1"/>
  <c r="AL19" i="4"/>
  <c r="AM19" i="4" s="1"/>
  <c r="Z19" i="4"/>
  <c r="AA19" i="4" s="1"/>
  <c r="X19" i="4"/>
  <c r="Y19" i="4" s="1"/>
  <c r="N19" i="4"/>
  <c r="O19" i="4" s="1"/>
  <c r="L19" i="4"/>
  <c r="M19" i="4" s="1"/>
  <c r="AP19" i="4"/>
  <c r="AQ19" i="4" s="1"/>
  <c r="AB19" i="4"/>
  <c r="AC19" i="4" s="1"/>
  <c r="T19" i="4"/>
  <c r="U19" i="4" s="1"/>
  <c r="BZ19" i="4"/>
  <c r="EQ19" i="4"/>
  <c r="ER19" i="4" s="1"/>
  <c r="DN82" i="4"/>
  <c r="DO82" i="4" s="1"/>
  <c r="CX82" i="4"/>
  <c r="CY82" i="4" s="1"/>
  <c r="CH82" i="4"/>
  <c r="CI82" i="4" s="1"/>
  <c r="DL82" i="4"/>
  <c r="DM82" i="4" s="1"/>
  <c r="CV82" i="4"/>
  <c r="CW82" i="4" s="1"/>
  <c r="CF82" i="4"/>
  <c r="CG82" i="4" s="1"/>
  <c r="DD82" i="4"/>
  <c r="DE82" i="4" s="1"/>
  <c r="DJ82" i="4"/>
  <c r="DK82" i="4" s="1"/>
  <c r="CT82" i="4"/>
  <c r="CU82" i="4" s="1"/>
  <c r="CD82" i="4"/>
  <c r="CE82" i="4" s="1"/>
  <c r="DH82" i="4"/>
  <c r="DI82" i="4" s="1"/>
  <c r="CR82" i="4"/>
  <c r="CS82" i="4" s="1"/>
  <c r="CB82" i="4"/>
  <c r="CC82" i="4" s="1"/>
  <c r="DF82" i="4"/>
  <c r="DG82" i="4" s="1"/>
  <c r="CP82" i="4"/>
  <c r="CQ82" i="4" s="1"/>
  <c r="CA82" i="4"/>
  <c r="CN82" i="4"/>
  <c r="CO82" i="4" s="1"/>
  <c r="DB82" i="4"/>
  <c r="DC82" i="4" s="1"/>
  <c r="CL82" i="4"/>
  <c r="CM82" i="4" s="1"/>
  <c r="DP82" i="4"/>
  <c r="DQ82" i="4" s="1"/>
  <c r="CZ82" i="4"/>
  <c r="DA82" i="4" s="1"/>
  <c r="CJ82" i="4"/>
  <c r="CK82" i="4" s="1"/>
  <c r="FX82" i="4"/>
  <c r="FY82" i="4" s="1"/>
  <c r="FH82" i="4"/>
  <c r="FI82" i="4" s="1"/>
  <c r="ES82" i="4"/>
  <c r="FP82" i="4"/>
  <c r="FQ82" i="4" s="1"/>
  <c r="EZ82" i="4"/>
  <c r="FA82" i="4" s="1"/>
  <c r="GF82" i="4"/>
  <c r="GG82" i="4" s="1"/>
  <c r="FL82" i="4"/>
  <c r="FM82" i="4" s="1"/>
  <c r="EV82" i="4"/>
  <c r="EW82" i="4" s="1"/>
  <c r="FD82" i="4"/>
  <c r="FE82" i="4" s="1"/>
  <c r="FT82" i="4"/>
  <c r="FU82" i="4" s="1"/>
  <c r="GB82" i="4"/>
  <c r="GC82" i="4" s="1"/>
  <c r="FJ82" i="4"/>
  <c r="FK82" i="4" s="1"/>
  <c r="ET82" i="4"/>
  <c r="EU82" i="4" s="1"/>
  <c r="GD82" i="4"/>
  <c r="GE82" i="4" s="1"/>
  <c r="FB82" i="4"/>
  <c r="FC82" i="4" s="1"/>
  <c r="GH82" i="4"/>
  <c r="GI82" i="4" s="1"/>
  <c r="FV82" i="4"/>
  <c r="FW82" i="4" s="1"/>
  <c r="FF82" i="4"/>
  <c r="FG82" i="4" s="1"/>
  <c r="FR82" i="4"/>
  <c r="FS82" i="4" s="1"/>
  <c r="FZ82" i="4"/>
  <c r="GA82" i="4" s="1"/>
  <c r="FN82" i="4"/>
  <c r="FO82" i="4" s="1"/>
  <c r="EX82" i="4"/>
  <c r="EY82" i="4" s="1"/>
  <c r="FV76" i="4"/>
  <c r="FW76" i="4" s="1"/>
  <c r="FF76" i="4"/>
  <c r="FG76" i="4" s="1"/>
  <c r="GF76" i="4"/>
  <c r="GG76" i="4" s="1"/>
  <c r="FP76" i="4"/>
  <c r="FQ76" i="4" s="1"/>
  <c r="EZ76" i="4"/>
  <c r="FA76" i="4" s="1"/>
  <c r="FX76" i="4"/>
  <c r="FY76" i="4" s="1"/>
  <c r="ES76" i="4"/>
  <c r="GH76" i="4"/>
  <c r="GI76" i="4" s="1"/>
  <c r="FR76" i="4"/>
  <c r="FS76" i="4" s="1"/>
  <c r="FB76" i="4"/>
  <c r="FC76" i="4" s="1"/>
  <c r="GB76" i="4"/>
  <c r="GC76" i="4" s="1"/>
  <c r="FL76" i="4"/>
  <c r="FM76" i="4" s="1"/>
  <c r="EV76" i="4"/>
  <c r="EW76" i="4" s="1"/>
  <c r="GD76" i="4"/>
  <c r="GE76" i="4" s="1"/>
  <c r="FN76" i="4"/>
  <c r="FO76" i="4" s="1"/>
  <c r="EX76" i="4"/>
  <c r="EY76" i="4" s="1"/>
  <c r="FH76" i="4"/>
  <c r="FI76" i="4" s="1"/>
  <c r="FZ76" i="4"/>
  <c r="GA76" i="4" s="1"/>
  <c r="FJ76" i="4"/>
  <c r="FK76" i="4" s="1"/>
  <c r="ET76" i="4"/>
  <c r="EU76" i="4" s="1"/>
  <c r="FT76" i="4"/>
  <c r="FU76" i="4" s="1"/>
  <c r="FD76" i="4"/>
  <c r="FE76" i="4" s="1"/>
  <c r="DF76" i="4"/>
  <c r="DG76" i="4" s="1"/>
  <c r="CT76" i="4"/>
  <c r="CU76" i="4" s="1"/>
  <c r="CD76" i="4"/>
  <c r="CE76" i="4" s="1"/>
  <c r="CX76" i="4"/>
  <c r="CY76" i="4" s="1"/>
  <c r="CH76" i="4"/>
  <c r="CI76" i="4" s="1"/>
  <c r="DJ76" i="4"/>
  <c r="DK76" i="4" s="1"/>
  <c r="CL76" i="4"/>
  <c r="CM76" i="4" s="1"/>
  <c r="DN76" i="4"/>
  <c r="DO76" i="4" s="1"/>
  <c r="DB76" i="4"/>
  <c r="DC76" i="4" s="1"/>
  <c r="DD76" i="4"/>
  <c r="DE76" i="4" s="1"/>
  <c r="CN76" i="4"/>
  <c r="CO76" i="4" s="1"/>
  <c r="CP76" i="4"/>
  <c r="CQ76" i="4" s="1"/>
  <c r="DL76" i="4"/>
  <c r="DM76" i="4" s="1"/>
  <c r="CV76" i="4"/>
  <c r="CW76" i="4" s="1"/>
  <c r="CA76" i="4"/>
  <c r="DP76" i="4"/>
  <c r="DQ76" i="4" s="1"/>
  <c r="CZ76" i="4"/>
  <c r="DA76" i="4" s="1"/>
  <c r="CJ76" i="4"/>
  <c r="CK76" i="4" s="1"/>
  <c r="CF76" i="4"/>
  <c r="CG76" i="4" s="1"/>
  <c r="DH76" i="4"/>
  <c r="DI76" i="4" s="1"/>
  <c r="CR76" i="4"/>
  <c r="CS76" i="4" s="1"/>
  <c r="CB76" i="4"/>
  <c r="CC76" i="4" s="1"/>
  <c r="DL89" i="4"/>
  <c r="DM89" i="4" s="1"/>
  <c r="CV89" i="4"/>
  <c r="CW89" i="4" s="1"/>
  <c r="CF89" i="4"/>
  <c r="CG89" i="4" s="1"/>
  <c r="DF89" i="4"/>
  <c r="DG89" i="4" s="1"/>
  <c r="CP89" i="4"/>
  <c r="CQ89" i="4" s="1"/>
  <c r="CA89" i="4"/>
  <c r="DD89" i="4"/>
  <c r="DE89" i="4" s="1"/>
  <c r="DH89" i="4"/>
  <c r="DI89" i="4" s="1"/>
  <c r="CR89" i="4"/>
  <c r="CS89" i="4" s="1"/>
  <c r="CB89" i="4"/>
  <c r="CC89" i="4" s="1"/>
  <c r="DB89" i="4"/>
  <c r="DC89" i="4" s="1"/>
  <c r="CL89" i="4"/>
  <c r="CM89" i="4" s="1"/>
  <c r="CN89" i="4"/>
  <c r="CO89" i="4" s="1"/>
  <c r="CX89" i="4"/>
  <c r="CY89" i="4" s="1"/>
  <c r="DP89" i="4"/>
  <c r="DQ89" i="4" s="1"/>
  <c r="CZ89" i="4"/>
  <c r="DA89" i="4" s="1"/>
  <c r="CJ89" i="4"/>
  <c r="CK89" i="4" s="1"/>
  <c r="DJ89" i="4"/>
  <c r="DK89" i="4" s="1"/>
  <c r="CT89" i="4"/>
  <c r="CU89" i="4" s="1"/>
  <c r="CD89" i="4"/>
  <c r="CE89" i="4" s="1"/>
  <c r="DN89" i="4"/>
  <c r="DO89" i="4" s="1"/>
  <c r="CH89" i="4"/>
  <c r="CI89" i="4" s="1"/>
  <c r="GH89" i="4"/>
  <c r="GI89" i="4" s="1"/>
  <c r="FR89" i="4"/>
  <c r="FS89" i="4" s="1"/>
  <c r="FB89" i="4"/>
  <c r="FC89" i="4" s="1"/>
  <c r="FX89" i="4"/>
  <c r="FY89" i="4" s="1"/>
  <c r="ES89" i="4"/>
  <c r="FD89" i="4"/>
  <c r="FE89" i="4" s="1"/>
  <c r="ET89" i="4"/>
  <c r="EU89" i="4" s="1"/>
  <c r="FT89" i="4"/>
  <c r="FU89" i="4" s="1"/>
  <c r="GD89" i="4"/>
  <c r="GE89" i="4" s="1"/>
  <c r="FN89" i="4"/>
  <c r="FO89" i="4" s="1"/>
  <c r="EX89" i="4"/>
  <c r="EY89" i="4" s="1"/>
  <c r="FP89" i="4"/>
  <c r="FQ89" i="4" s="1"/>
  <c r="GB89" i="4"/>
  <c r="GC89" i="4" s="1"/>
  <c r="EV89" i="4"/>
  <c r="EW89" i="4" s="1"/>
  <c r="FZ89" i="4"/>
  <c r="GA89" i="4" s="1"/>
  <c r="FH89" i="4"/>
  <c r="FI89" i="4" s="1"/>
  <c r="FV89" i="4"/>
  <c r="FW89" i="4" s="1"/>
  <c r="FF89" i="4"/>
  <c r="FG89" i="4" s="1"/>
  <c r="GF89" i="4"/>
  <c r="GG89" i="4" s="1"/>
  <c r="EZ89" i="4"/>
  <c r="FA89" i="4" s="1"/>
  <c r="FL89" i="4"/>
  <c r="FM89" i="4" s="1"/>
  <c r="FJ89" i="4"/>
  <c r="FK89" i="4" s="1"/>
  <c r="GF57" i="4"/>
  <c r="GG57" i="4" s="1"/>
  <c r="GB57" i="4"/>
  <c r="GC57" i="4" s="1"/>
  <c r="FX57" i="4"/>
  <c r="FY57" i="4" s="1"/>
  <c r="FT57" i="4"/>
  <c r="FU57" i="4" s="1"/>
  <c r="FP57" i="4"/>
  <c r="FQ57" i="4" s="1"/>
  <c r="FL57" i="4"/>
  <c r="FM57" i="4" s="1"/>
  <c r="FH57" i="4"/>
  <c r="FI57" i="4" s="1"/>
  <c r="FD57" i="4"/>
  <c r="FE57" i="4" s="1"/>
  <c r="EZ57" i="4"/>
  <c r="FA57" i="4" s="1"/>
  <c r="EV57" i="4"/>
  <c r="EW57" i="4" s="1"/>
  <c r="ES57" i="4"/>
  <c r="GH57" i="4"/>
  <c r="GI57" i="4" s="1"/>
  <c r="FZ57" i="4"/>
  <c r="GA57" i="4" s="1"/>
  <c r="FV57" i="4"/>
  <c r="FW57" i="4" s="1"/>
  <c r="FN57" i="4"/>
  <c r="FO57" i="4" s="1"/>
  <c r="FF57" i="4"/>
  <c r="FG57" i="4" s="1"/>
  <c r="FB57" i="4"/>
  <c r="FC57" i="4" s="1"/>
  <c r="ET57" i="4"/>
  <c r="EU57" i="4" s="1"/>
  <c r="GD57" i="4"/>
  <c r="GE57" i="4" s="1"/>
  <c r="FR57" i="4"/>
  <c r="FS57" i="4" s="1"/>
  <c r="FJ57" i="4"/>
  <c r="FK57" i="4" s="1"/>
  <c r="EX57" i="4"/>
  <c r="EY57" i="4" s="1"/>
  <c r="DN57" i="4"/>
  <c r="DO57" i="4" s="1"/>
  <c r="DJ57" i="4"/>
  <c r="DK57" i="4" s="1"/>
  <c r="DF57" i="4"/>
  <c r="DG57" i="4" s="1"/>
  <c r="DB57" i="4"/>
  <c r="DC57" i="4" s="1"/>
  <c r="CX57" i="4"/>
  <c r="CY57" i="4" s="1"/>
  <c r="CT57" i="4"/>
  <c r="CU57" i="4" s="1"/>
  <c r="CP57" i="4"/>
  <c r="CQ57" i="4" s="1"/>
  <c r="CL57" i="4"/>
  <c r="CM57" i="4" s="1"/>
  <c r="CH57" i="4"/>
  <c r="CI57" i="4" s="1"/>
  <c r="CD57" i="4"/>
  <c r="CE57" i="4" s="1"/>
  <c r="CA57" i="4"/>
  <c r="DH57" i="4"/>
  <c r="DI57" i="4" s="1"/>
  <c r="CV57" i="4"/>
  <c r="CW57" i="4" s="1"/>
  <c r="CJ57" i="4"/>
  <c r="CK57" i="4" s="1"/>
  <c r="DL57" i="4"/>
  <c r="DM57" i="4" s="1"/>
  <c r="DD57" i="4"/>
  <c r="DE57" i="4" s="1"/>
  <c r="CR57" i="4"/>
  <c r="CS57" i="4" s="1"/>
  <c r="CF57" i="4"/>
  <c r="CG57" i="4" s="1"/>
  <c r="DP57" i="4"/>
  <c r="DQ57" i="4" s="1"/>
  <c r="CZ57" i="4"/>
  <c r="DA57" i="4" s="1"/>
  <c r="CN57" i="4"/>
  <c r="CO57" i="4" s="1"/>
  <c r="CB57" i="4"/>
  <c r="CC57" i="4" s="1"/>
  <c r="AT60" i="4"/>
  <c r="AU60" i="4" s="1"/>
  <c r="AP60" i="4"/>
  <c r="AQ60" i="4" s="1"/>
  <c r="AL60" i="4"/>
  <c r="AM60" i="4" s="1"/>
  <c r="AJ60" i="4"/>
  <c r="AK60" i="4" s="1"/>
  <c r="AF60" i="4"/>
  <c r="AG60" i="4" s="1"/>
  <c r="AB60" i="4"/>
  <c r="AC60" i="4" s="1"/>
  <c r="V60" i="4"/>
  <c r="W60" i="4" s="1"/>
  <c r="T60" i="4"/>
  <c r="U60" i="4" s="1"/>
  <c r="AX60" i="4"/>
  <c r="AY60" i="4" s="1"/>
  <c r="AV60" i="4"/>
  <c r="AW60" i="4" s="1"/>
  <c r="AR60" i="4"/>
  <c r="AS60" i="4" s="1"/>
  <c r="AN60" i="4"/>
  <c r="AO60" i="4" s="1"/>
  <c r="AH60" i="4"/>
  <c r="AI60" i="4" s="1"/>
  <c r="AD60" i="4"/>
  <c r="AE60" i="4" s="1"/>
  <c r="X60" i="4"/>
  <c r="Y60" i="4" s="1"/>
  <c r="L60" i="4"/>
  <c r="M60" i="4" s="1"/>
  <c r="Z60" i="4"/>
  <c r="AA60" i="4" s="1"/>
  <c r="P60" i="4"/>
  <c r="Q60" i="4" s="1"/>
  <c r="J60" i="4"/>
  <c r="K60" i="4" s="1"/>
  <c r="I60" i="4"/>
  <c r="R60" i="4"/>
  <c r="S60" i="4" s="1"/>
  <c r="N60" i="4"/>
  <c r="O60" i="4" s="1"/>
  <c r="BY20" i="4"/>
  <c r="H20" i="4"/>
  <c r="EQ60" i="4"/>
  <c r="ER60" i="4" s="1"/>
  <c r="BZ60" i="4"/>
  <c r="AN21" i="4" l="1"/>
  <c r="AO21" i="4" s="1"/>
  <c r="AR21" i="4"/>
  <c r="AS21" i="4" s="1"/>
  <c r="Z21" i="4"/>
  <c r="AA21" i="4" s="1"/>
  <c r="AT21" i="4"/>
  <c r="AU21" i="4" s="1"/>
  <c r="AD21" i="4"/>
  <c r="AE21" i="4" s="1"/>
  <c r="AV21" i="4"/>
  <c r="AW21" i="4" s="1"/>
  <c r="AP21" i="4"/>
  <c r="AQ21" i="4" s="1"/>
  <c r="AJ21" i="4"/>
  <c r="AK21" i="4" s="1"/>
  <c r="AL21" i="4"/>
  <c r="AM21" i="4" s="1"/>
  <c r="T21" i="4"/>
  <c r="U21" i="4" s="1"/>
  <c r="P21" i="4"/>
  <c r="Q21" i="4" s="1"/>
  <c r="I21" i="4"/>
  <c r="AF21" i="4"/>
  <c r="AG21" i="4" s="1"/>
  <c r="L21" i="4"/>
  <c r="M21" i="4" s="1"/>
  <c r="V21" i="4"/>
  <c r="W21" i="4" s="1"/>
  <c r="AB21" i="4"/>
  <c r="AC21" i="4" s="1"/>
  <c r="AX21" i="4"/>
  <c r="AY21" i="4" s="1"/>
  <c r="R21" i="4"/>
  <c r="S21" i="4" s="1"/>
  <c r="N21" i="4"/>
  <c r="O21" i="4" s="1"/>
  <c r="AH21" i="4"/>
  <c r="AI21" i="4" s="1"/>
  <c r="J21" i="4"/>
  <c r="K21" i="4" s="1"/>
  <c r="X21" i="4"/>
  <c r="Y21" i="4" s="1"/>
  <c r="EQ21" i="4"/>
  <c r="ER21" i="4" s="1"/>
  <c r="BZ21" i="4"/>
  <c r="FV26" i="4"/>
  <c r="FW26" i="4" s="1"/>
  <c r="FF26" i="4"/>
  <c r="FG26" i="4" s="1"/>
  <c r="GF26" i="4"/>
  <c r="GG26" i="4" s="1"/>
  <c r="FP26" i="4"/>
  <c r="FQ26" i="4" s="1"/>
  <c r="EZ26" i="4"/>
  <c r="FA26" i="4" s="1"/>
  <c r="GD26" i="4"/>
  <c r="GE26" i="4" s="1"/>
  <c r="EX26" i="4"/>
  <c r="EY26" i="4" s="1"/>
  <c r="FX26" i="4"/>
  <c r="FY26" i="4" s="1"/>
  <c r="ES26" i="4"/>
  <c r="GH26" i="4"/>
  <c r="GI26" i="4" s="1"/>
  <c r="FR26" i="4"/>
  <c r="FS26" i="4" s="1"/>
  <c r="FB26" i="4"/>
  <c r="FC26" i="4" s="1"/>
  <c r="GB26" i="4"/>
  <c r="GC26" i="4" s="1"/>
  <c r="FL26" i="4"/>
  <c r="FM26" i="4" s="1"/>
  <c r="EV26" i="4"/>
  <c r="EW26" i="4" s="1"/>
  <c r="FN26" i="4"/>
  <c r="FO26" i="4" s="1"/>
  <c r="FH26" i="4"/>
  <c r="FI26" i="4" s="1"/>
  <c r="FZ26" i="4"/>
  <c r="GA26" i="4" s="1"/>
  <c r="FJ26" i="4"/>
  <c r="FK26" i="4" s="1"/>
  <c r="ET26" i="4"/>
  <c r="EU26" i="4" s="1"/>
  <c r="FT26" i="4"/>
  <c r="FU26" i="4" s="1"/>
  <c r="FD26" i="4"/>
  <c r="FE26" i="4" s="1"/>
  <c r="DJ26" i="4"/>
  <c r="DK26" i="4" s="1"/>
  <c r="CT26" i="4"/>
  <c r="CU26" i="4" s="1"/>
  <c r="CD26" i="4"/>
  <c r="CE26" i="4" s="1"/>
  <c r="DH26" i="4"/>
  <c r="DI26" i="4" s="1"/>
  <c r="CR26" i="4"/>
  <c r="CS26" i="4" s="1"/>
  <c r="CB26" i="4"/>
  <c r="CC26" i="4" s="1"/>
  <c r="CL26" i="4"/>
  <c r="CM26" i="4" s="1"/>
  <c r="CJ26" i="4"/>
  <c r="CK26" i="4" s="1"/>
  <c r="DF26" i="4"/>
  <c r="DG26" i="4" s="1"/>
  <c r="CP26" i="4"/>
  <c r="CQ26" i="4" s="1"/>
  <c r="CA26" i="4"/>
  <c r="DD26" i="4"/>
  <c r="DE26" i="4" s="1"/>
  <c r="CN26" i="4"/>
  <c r="CO26" i="4" s="1"/>
  <c r="DB26" i="4"/>
  <c r="DC26" i="4" s="1"/>
  <c r="DP26" i="4"/>
  <c r="DQ26" i="4" s="1"/>
  <c r="CZ26" i="4"/>
  <c r="DA26" i="4" s="1"/>
  <c r="DN26" i="4"/>
  <c r="DO26" i="4" s="1"/>
  <c r="CX26" i="4"/>
  <c r="CY26" i="4" s="1"/>
  <c r="CH26" i="4"/>
  <c r="CI26" i="4" s="1"/>
  <c r="DL26" i="4"/>
  <c r="DM26" i="4" s="1"/>
  <c r="CV26" i="4"/>
  <c r="CW26" i="4" s="1"/>
  <c r="CF26" i="4"/>
  <c r="CG26" i="4" s="1"/>
  <c r="BY146" i="4"/>
  <c r="H146" i="4"/>
  <c r="BZ145" i="4"/>
  <c r="EQ145" i="4"/>
  <c r="ER145" i="4" s="1"/>
  <c r="D25" i="4"/>
  <c r="G148" i="4"/>
  <c r="AT145" i="4"/>
  <c r="AU145" i="4" s="1"/>
  <c r="T145" i="4"/>
  <c r="U145" i="4" s="1"/>
  <c r="J145" i="4"/>
  <c r="K145" i="4" s="1"/>
  <c r="AX145" i="4"/>
  <c r="AY145" i="4" s="1"/>
  <c r="AV145" i="4"/>
  <c r="AW145" i="4" s="1"/>
  <c r="AN145" i="4"/>
  <c r="AO145" i="4" s="1"/>
  <c r="AD145" i="4"/>
  <c r="AE145" i="4" s="1"/>
  <c r="Z145" i="4"/>
  <c r="AA145" i="4" s="1"/>
  <c r="X145" i="4"/>
  <c r="Y145" i="4" s="1"/>
  <c r="R145" i="4"/>
  <c r="S145" i="4" s="1"/>
  <c r="N145" i="4"/>
  <c r="O145" i="4" s="1"/>
  <c r="AR145" i="4"/>
  <c r="AS145" i="4" s="1"/>
  <c r="AL145" i="4"/>
  <c r="AM145" i="4" s="1"/>
  <c r="AJ145" i="4"/>
  <c r="AK145" i="4" s="1"/>
  <c r="AH145" i="4"/>
  <c r="AI145" i="4" s="1"/>
  <c r="P145" i="4"/>
  <c r="Q145" i="4" s="1"/>
  <c r="L145" i="4"/>
  <c r="M145" i="4" s="1"/>
  <c r="AP145" i="4"/>
  <c r="AQ145" i="4" s="1"/>
  <c r="AF145" i="4"/>
  <c r="AG145" i="4" s="1"/>
  <c r="AB145" i="4"/>
  <c r="AC145" i="4" s="1"/>
  <c r="V145" i="4"/>
  <c r="W145" i="4" s="1"/>
  <c r="I145" i="4"/>
  <c r="G147" i="4"/>
  <c r="BY134" i="4"/>
  <c r="H134" i="4"/>
  <c r="AL133" i="4"/>
  <c r="AM133" i="4" s="1"/>
  <c r="AJ133" i="4"/>
  <c r="AK133" i="4" s="1"/>
  <c r="AH133" i="4"/>
  <c r="AI133" i="4" s="1"/>
  <c r="AD133" i="4"/>
  <c r="AE133" i="4" s="1"/>
  <c r="AR133" i="4"/>
  <c r="AS133" i="4" s="1"/>
  <c r="AF133" i="4"/>
  <c r="AG133" i="4" s="1"/>
  <c r="Z133" i="4"/>
  <c r="AA133" i="4" s="1"/>
  <c r="V133" i="4"/>
  <c r="W133" i="4" s="1"/>
  <c r="AP133" i="4"/>
  <c r="AQ133" i="4" s="1"/>
  <c r="AV133" i="4"/>
  <c r="AW133" i="4" s="1"/>
  <c r="I133" i="4"/>
  <c r="AX133" i="4"/>
  <c r="AY133" i="4" s="1"/>
  <c r="AB133" i="4"/>
  <c r="AC133" i="4" s="1"/>
  <c r="AN133" i="4"/>
  <c r="AO133" i="4" s="1"/>
  <c r="R133" i="4"/>
  <c r="S133" i="4" s="1"/>
  <c r="L133" i="4"/>
  <c r="M133" i="4" s="1"/>
  <c r="X133" i="4"/>
  <c r="Y133" i="4" s="1"/>
  <c r="T133" i="4"/>
  <c r="U133" i="4" s="1"/>
  <c r="P133" i="4"/>
  <c r="Q133" i="4" s="1"/>
  <c r="N133" i="4"/>
  <c r="O133" i="4" s="1"/>
  <c r="J133" i="4"/>
  <c r="K133" i="4" s="1"/>
  <c r="AT133" i="4"/>
  <c r="AU133" i="4" s="1"/>
  <c r="G135" i="4"/>
  <c r="EQ133" i="4"/>
  <c r="ER133" i="4" s="1"/>
  <c r="BZ133" i="4"/>
  <c r="BY95" i="4"/>
  <c r="H95" i="4"/>
  <c r="AT94" i="4"/>
  <c r="AU94" i="4" s="1"/>
  <c r="AL94" i="4"/>
  <c r="AM94" i="4" s="1"/>
  <c r="AF94" i="4"/>
  <c r="AG94" i="4" s="1"/>
  <c r="AB94" i="4"/>
  <c r="AC94" i="4" s="1"/>
  <c r="Z94" i="4"/>
  <c r="AA94" i="4" s="1"/>
  <c r="T94" i="4"/>
  <c r="U94" i="4" s="1"/>
  <c r="AX94" i="4"/>
  <c r="AY94" i="4" s="1"/>
  <c r="AV94" i="4"/>
  <c r="AW94" i="4" s="1"/>
  <c r="AJ94" i="4"/>
  <c r="AK94" i="4" s="1"/>
  <c r="AH94" i="4"/>
  <c r="AI94" i="4" s="1"/>
  <c r="V94" i="4"/>
  <c r="W94" i="4" s="1"/>
  <c r="N94" i="4"/>
  <c r="O94" i="4" s="1"/>
  <c r="AP94" i="4"/>
  <c r="AQ94" i="4" s="1"/>
  <c r="AD94" i="4"/>
  <c r="AE94" i="4" s="1"/>
  <c r="R94" i="4"/>
  <c r="S94" i="4" s="1"/>
  <c r="P94" i="4"/>
  <c r="Q94" i="4" s="1"/>
  <c r="AR94" i="4"/>
  <c r="AS94" i="4" s="1"/>
  <c r="AN94" i="4"/>
  <c r="AO94" i="4" s="1"/>
  <c r="X94" i="4"/>
  <c r="Y94" i="4" s="1"/>
  <c r="L94" i="4"/>
  <c r="M94" i="4" s="1"/>
  <c r="J94" i="4"/>
  <c r="K94" i="4" s="1"/>
  <c r="I94" i="4"/>
  <c r="G96" i="4"/>
  <c r="EQ94" i="4"/>
  <c r="ER94" i="4" s="1"/>
  <c r="BZ94" i="4"/>
  <c r="DF54" i="4"/>
  <c r="DG54" i="4" s="1"/>
  <c r="CP54" i="4"/>
  <c r="CQ54" i="4" s="1"/>
  <c r="CA54" i="4"/>
  <c r="DD54" i="4"/>
  <c r="DE54" i="4" s="1"/>
  <c r="CN54" i="4"/>
  <c r="CO54" i="4" s="1"/>
  <c r="CH54" i="4"/>
  <c r="CI54" i="4" s="1"/>
  <c r="CF54" i="4"/>
  <c r="CG54" i="4" s="1"/>
  <c r="DB54" i="4"/>
  <c r="DC54" i="4" s="1"/>
  <c r="CL54" i="4"/>
  <c r="CM54" i="4" s="1"/>
  <c r="DP54" i="4"/>
  <c r="DQ54" i="4" s="1"/>
  <c r="CZ54" i="4"/>
  <c r="DA54" i="4" s="1"/>
  <c r="CJ54" i="4"/>
  <c r="CK54" i="4" s="1"/>
  <c r="DN54" i="4"/>
  <c r="DO54" i="4" s="1"/>
  <c r="CV54" i="4"/>
  <c r="CW54" i="4" s="1"/>
  <c r="DJ54" i="4"/>
  <c r="DK54" i="4" s="1"/>
  <c r="CT54" i="4"/>
  <c r="CU54" i="4" s="1"/>
  <c r="CD54" i="4"/>
  <c r="CE54" i="4" s="1"/>
  <c r="DH54" i="4"/>
  <c r="DI54" i="4" s="1"/>
  <c r="CR54" i="4"/>
  <c r="CS54" i="4" s="1"/>
  <c r="CB54" i="4"/>
  <c r="CC54" i="4" s="1"/>
  <c r="CX54" i="4"/>
  <c r="CY54" i="4" s="1"/>
  <c r="DL54" i="4"/>
  <c r="DM54" i="4" s="1"/>
  <c r="GH54" i="4"/>
  <c r="GI54" i="4" s="1"/>
  <c r="FR54" i="4"/>
  <c r="FS54" i="4" s="1"/>
  <c r="FB54" i="4"/>
  <c r="FC54" i="4" s="1"/>
  <c r="GB54" i="4"/>
  <c r="GC54" i="4" s="1"/>
  <c r="FL54" i="4"/>
  <c r="FM54" i="4" s="1"/>
  <c r="EV54" i="4"/>
  <c r="EW54" i="4" s="1"/>
  <c r="GD54" i="4"/>
  <c r="GE54" i="4" s="1"/>
  <c r="FN54" i="4"/>
  <c r="FO54" i="4" s="1"/>
  <c r="FX54" i="4"/>
  <c r="FY54" i="4" s="1"/>
  <c r="FH54" i="4"/>
  <c r="FI54" i="4" s="1"/>
  <c r="ES54" i="4"/>
  <c r="FZ54" i="4"/>
  <c r="GA54" i="4" s="1"/>
  <c r="FJ54" i="4"/>
  <c r="FK54" i="4" s="1"/>
  <c r="ET54" i="4"/>
  <c r="EU54" i="4" s="1"/>
  <c r="FT54" i="4"/>
  <c r="FU54" i="4" s="1"/>
  <c r="FD54" i="4"/>
  <c r="FE54" i="4" s="1"/>
  <c r="FV54" i="4"/>
  <c r="FW54" i="4" s="1"/>
  <c r="FF54" i="4"/>
  <c r="FG54" i="4" s="1"/>
  <c r="GF54" i="4"/>
  <c r="GG54" i="4" s="1"/>
  <c r="FP54" i="4"/>
  <c r="FQ54" i="4" s="1"/>
  <c r="EZ54" i="4"/>
  <c r="FA54" i="4" s="1"/>
  <c r="EX54" i="4"/>
  <c r="EY54" i="4" s="1"/>
  <c r="DJ19" i="4"/>
  <c r="DK19" i="4" s="1"/>
  <c r="CT19" i="4"/>
  <c r="CU19" i="4" s="1"/>
  <c r="CD19" i="4"/>
  <c r="CE19" i="4" s="1"/>
  <c r="DF19" i="4"/>
  <c r="DG19" i="4" s="1"/>
  <c r="DB19" i="4"/>
  <c r="DC19" i="4" s="1"/>
  <c r="CL19" i="4"/>
  <c r="CM19" i="4" s="1"/>
  <c r="CA19" i="4"/>
  <c r="DN19" i="4"/>
  <c r="DO19" i="4" s="1"/>
  <c r="CX19" i="4"/>
  <c r="CY19" i="4" s="1"/>
  <c r="CH19" i="4"/>
  <c r="CI19" i="4" s="1"/>
  <c r="CP19" i="4"/>
  <c r="CQ19" i="4" s="1"/>
  <c r="DL19" i="4"/>
  <c r="DM19" i="4" s="1"/>
  <c r="CV19" i="4"/>
  <c r="CW19" i="4" s="1"/>
  <c r="CF19" i="4"/>
  <c r="CG19" i="4" s="1"/>
  <c r="DH19" i="4"/>
  <c r="DI19" i="4" s="1"/>
  <c r="CR19" i="4"/>
  <c r="CS19" i="4" s="1"/>
  <c r="CB19" i="4"/>
  <c r="CC19" i="4" s="1"/>
  <c r="DP19" i="4"/>
  <c r="DQ19" i="4" s="1"/>
  <c r="CZ19" i="4"/>
  <c r="DA19" i="4" s="1"/>
  <c r="DD19" i="4"/>
  <c r="DE19" i="4" s="1"/>
  <c r="CN19" i="4"/>
  <c r="CO19" i="4" s="1"/>
  <c r="CJ19" i="4"/>
  <c r="CK19" i="4" s="1"/>
  <c r="FX19" i="4"/>
  <c r="FY19" i="4" s="1"/>
  <c r="FH19" i="4"/>
  <c r="FI19" i="4" s="1"/>
  <c r="ES19" i="4"/>
  <c r="FV19" i="4"/>
  <c r="FW19" i="4" s="1"/>
  <c r="FF19" i="4"/>
  <c r="FG19" i="4" s="1"/>
  <c r="FP19" i="4"/>
  <c r="FQ19" i="4" s="1"/>
  <c r="FN19" i="4"/>
  <c r="FO19" i="4" s="1"/>
  <c r="FT19" i="4"/>
  <c r="FU19" i="4" s="1"/>
  <c r="FD19" i="4"/>
  <c r="FE19" i="4" s="1"/>
  <c r="GH19" i="4"/>
  <c r="GI19" i="4" s="1"/>
  <c r="FR19" i="4"/>
  <c r="FS19" i="4" s="1"/>
  <c r="FB19" i="4"/>
  <c r="FC19" i="4" s="1"/>
  <c r="EZ19" i="4"/>
  <c r="FA19" i="4" s="1"/>
  <c r="GB19" i="4"/>
  <c r="GC19" i="4" s="1"/>
  <c r="FL19" i="4"/>
  <c r="FM19" i="4" s="1"/>
  <c r="EV19" i="4"/>
  <c r="EW19" i="4" s="1"/>
  <c r="FZ19" i="4"/>
  <c r="GA19" i="4" s="1"/>
  <c r="FJ19" i="4"/>
  <c r="FK19" i="4" s="1"/>
  <c r="ET19" i="4"/>
  <c r="EU19" i="4" s="1"/>
  <c r="GF19" i="4"/>
  <c r="GG19" i="4" s="1"/>
  <c r="GD19" i="4"/>
  <c r="GE19" i="4" s="1"/>
  <c r="EX19" i="4"/>
  <c r="EY19" i="4" s="1"/>
  <c r="DP60" i="4"/>
  <c r="DQ60" i="4" s="1"/>
  <c r="DL60" i="4"/>
  <c r="DM60" i="4" s="1"/>
  <c r="DH60" i="4"/>
  <c r="DI60" i="4" s="1"/>
  <c r="DD60" i="4"/>
  <c r="DE60" i="4" s="1"/>
  <c r="CZ60" i="4"/>
  <c r="DA60" i="4" s="1"/>
  <c r="CV60" i="4"/>
  <c r="CW60" i="4" s="1"/>
  <c r="CR60" i="4"/>
  <c r="CS60" i="4" s="1"/>
  <c r="CN60" i="4"/>
  <c r="CO60" i="4" s="1"/>
  <c r="CJ60" i="4"/>
  <c r="CK60" i="4" s="1"/>
  <c r="CF60" i="4"/>
  <c r="CG60" i="4" s="1"/>
  <c r="CB60" i="4"/>
  <c r="CC60" i="4" s="1"/>
  <c r="DF60" i="4"/>
  <c r="DG60" i="4" s="1"/>
  <c r="CP60" i="4"/>
  <c r="CQ60" i="4" s="1"/>
  <c r="CA60" i="4"/>
  <c r="DJ60" i="4"/>
  <c r="DK60" i="4" s="1"/>
  <c r="CT60" i="4"/>
  <c r="CU60" i="4" s="1"/>
  <c r="CD60" i="4"/>
  <c r="CE60" i="4" s="1"/>
  <c r="DB60" i="4"/>
  <c r="DC60" i="4" s="1"/>
  <c r="CL60" i="4"/>
  <c r="CM60" i="4" s="1"/>
  <c r="DN60" i="4"/>
  <c r="DO60" i="4" s="1"/>
  <c r="CX60" i="4"/>
  <c r="CY60" i="4" s="1"/>
  <c r="CH60" i="4"/>
  <c r="CI60" i="4" s="1"/>
  <c r="BZ20" i="4"/>
  <c r="EQ20" i="4"/>
  <c r="ER20" i="4" s="1"/>
  <c r="AR20" i="4"/>
  <c r="AS20" i="4" s="1"/>
  <c r="AN20" i="4"/>
  <c r="AO20" i="4" s="1"/>
  <c r="AH20" i="4"/>
  <c r="AI20" i="4" s="1"/>
  <c r="AD20" i="4"/>
  <c r="AE20" i="4" s="1"/>
  <c r="X20" i="4"/>
  <c r="Y20" i="4" s="1"/>
  <c r="AT20" i="4"/>
  <c r="AU20" i="4" s="1"/>
  <c r="AP20" i="4"/>
  <c r="AQ20" i="4" s="1"/>
  <c r="AL20" i="4"/>
  <c r="AM20" i="4" s="1"/>
  <c r="AJ20" i="4"/>
  <c r="AK20" i="4" s="1"/>
  <c r="AF20" i="4"/>
  <c r="AG20" i="4" s="1"/>
  <c r="AB20" i="4"/>
  <c r="AC20" i="4" s="1"/>
  <c r="V20" i="4"/>
  <c r="W20" i="4" s="1"/>
  <c r="T20" i="4"/>
  <c r="U20" i="4" s="1"/>
  <c r="Z20" i="4"/>
  <c r="AA20" i="4" s="1"/>
  <c r="I20" i="4"/>
  <c r="AV20" i="4"/>
  <c r="AW20" i="4" s="1"/>
  <c r="R20" i="4"/>
  <c r="S20" i="4" s="1"/>
  <c r="N20" i="4"/>
  <c r="O20" i="4" s="1"/>
  <c r="L20" i="4"/>
  <c r="M20" i="4" s="1"/>
  <c r="AX20" i="4"/>
  <c r="AY20" i="4" s="1"/>
  <c r="P20" i="4"/>
  <c r="Q20" i="4" s="1"/>
  <c r="J20" i="4"/>
  <c r="K20" i="4" s="1"/>
  <c r="GF60" i="4"/>
  <c r="GG60" i="4" s="1"/>
  <c r="GB60" i="4"/>
  <c r="GC60" i="4" s="1"/>
  <c r="FX60" i="4"/>
  <c r="FY60" i="4" s="1"/>
  <c r="FT60" i="4"/>
  <c r="FU60" i="4" s="1"/>
  <c r="FP60" i="4"/>
  <c r="FQ60" i="4" s="1"/>
  <c r="FL60" i="4"/>
  <c r="FM60" i="4" s="1"/>
  <c r="FH60" i="4"/>
  <c r="FI60" i="4" s="1"/>
  <c r="FD60" i="4"/>
  <c r="FE60" i="4" s="1"/>
  <c r="EZ60" i="4"/>
  <c r="FA60" i="4" s="1"/>
  <c r="EV60" i="4"/>
  <c r="EW60" i="4" s="1"/>
  <c r="ES60" i="4"/>
  <c r="GH60" i="4"/>
  <c r="GI60" i="4" s="1"/>
  <c r="GD60" i="4"/>
  <c r="GE60" i="4" s="1"/>
  <c r="FZ60" i="4"/>
  <c r="GA60" i="4" s="1"/>
  <c r="FV60" i="4"/>
  <c r="FW60" i="4" s="1"/>
  <c r="FR60" i="4"/>
  <c r="FS60" i="4" s="1"/>
  <c r="FN60" i="4"/>
  <c r="FO60" i="4" s="1"/>
  <c r="FJ60" i="4"/>
  <c r="FK60" i="4" s="1"/>
  <c r="FF60" i="4"/>
  <c r="FG60" i="4" s="1"/>
  <c r="FB60" i="4"/>
  <c r="FC60" i="4" s="1"/>
  <c r="EX60" i="4"/>
  <c r="EY60" i="4" s="1"/>
  <c r="ET60" i="4"/>
  <c r="EU60" i="4" s="1"/>
  <c r="DB21" i="4" l="1"/>
  <c r="DC21" i="4" s="1"/>
  <c r="DN21" i="4"/>
  <c r="DO21" i="4" s="1"/>
  <c r="CV21" i="4"/>
  <c r="CW21" i="4" s="1"/>
  <c r="CF21" i="4"/>
  <c r="CG21" i="4" s="1"/>
  <c r="CA21" i="4"/>
  <c r="CT21" i="4"/>
  <c r="CU21" i="4" s="1"/>
  <c r="DD21" i="4"/>
  <c r="DE21" i="4" s="1"/>
  <c r="CP21" i="4"/>
  <c r="CQ21" i="4" s="1"/>
  <c r="DL21" i="4"/>
  <c r="DM21" i="4" s="1"/>
  <c r="DF21" i="4"/>
  <c r="DG21" i="4" s="1"/>
  <c r="CR21" i="4"/>
  <c r="CS21" i="4" s="1"/>
  <c r="DJ21" i="4"/>
  <c r="DK21" i="4" s="1"/>
  <c r="DP21" i="4"/>
  <c r="DQ21" i="4" s="1"/>
  <c r="CH21" i="4"/>
  <c r="CI21" i="4" s="1"/>
  <c r="CN21" i="4"/>
  <c r="CO21" i="4" s="1"/>
  <c r="CD21" i="4"/>
  <c r="CE21" i="4" s="1"/>
  <c r="CJ21" i="4"/>
  <c r="CK21" i="4" s="1"/>
  <c r="CB21" i="4"/>
  <c r="CC21" i="4" s="1"/>
  <c r="CZ21" i="4"/>
  <c r="DA21" i="4" s="1"/>
  <c r="CX21" i="4"/>
  <c r="CY21" i="4" s="1"/>
  <c r="DH21" i="4"/>
  <c r="DI21" i="4" s="1"/>
  <c r="CL21" i="4"/>
  <c r="CM21" i="4" s="1"/>
  <c r="FX21" i="4"/>
  <c r="FY21" i="4" s="1"/>
  <c r="FH21" i="4"/>
  <c r="FI21" i="4" s="1"/>
  <c r="ES21" i="4"/>
  <c r="FV21" i="4"/>
  <c r="FW21" i="4" s="1"/>
  <c r="FF21" i="4"/>
  <c r="FG21" i="4" s="1"/>
  <c r="GF21" i="4"/>
  <c r="GG21" i="4" s="1"/>
  <c r="GD21" i="4"/>
  <c r="GE21" i="4" s="1"/>
  <c r="EX21" i="4"/>
  <c r="EY21" i="4" s="1"/>
  <c r="FT21" i="4"/>
  <c r="FU21" i="4" s="1"/>
  <c r="FD21" i="4"/>
  <c r="FE21" i="4" s="1"/>
  <c r="GH21" i="4"/>
  <c r="GI21" i="4" s="1"/>
  <c r="FR21" i="4"/>
  <c r="FS21" i="4" s="1"/>
  <c r="FB21" i="4"/>
  <c r="FC21" i="4" s="1"/>
  <c r="FP21" i="4"/>
  <c r="FQ21" i="4" s="1"/>
  <c r="FN21" i="4"/>
  <c r="FO21" i="4" s="1"/>
  <c r="GB21" i="4"/>
  <c r="GC21" i="4" s="1"/>
  <c r="FL21" i="4"/>
  <c r="FM21" i="4" s="1"/>
  <c r="EV21" i="4"/>
  <c r="EW21" i="4" s="1"/>
  <c r="FZ21" i="4"/>
  <c r="GA21" i="4" s="1"/>
  <c r="FJ21" i="4"/>
  <c r="FK21" i="4" s="1"/>
  <c r="ET21" i="4"/>
  <c r="EU21" i="4" s="1"/>
  <c r="EZ21" i="4"/>
  <c r="FA21" i="4" s="1"/>
  <c r="G25" i="4"/>
  <c r="DN145" i="4"/>
  <c r="DO145" i="4" s="1"/>
  <c r="DJ145" i="4"/>
  <c r="DK145" i="4" s="1"/>
  <c r="DF145" i="4"/>
  <c r="DG145" i="4" s="1"/>
  <c r="DB145" i="4"/>
  <c r="DC145" i="4" s="1"/>
  <c r="CX145" i="4"/>
  <c r="CY145" i="4" s="1"/>
  <c r="CT145" i="4"/>
  <c r="CU145" i="4" s="1"/>
  <c r="CP145" i="4"/>
  <c r="CQ145" i="4" s="1"/>
  <c r="CL145" i="4"/>
  <c r="CM145" i="4" s="1"/>
  <c r="CH145" i="4"/>
  <c r="CI145" i="4" s="1"/>
  <c r="CD145" i="4"/>
  <c r="CE145" i="4" s="1"/>
  <c r="CA145" i="4"/>
  <c r="DP145" i="4"/>
  <c r="DQ145" i="4" s="1"/>
  <c r="DL145" i="4"/>
  <c r="DM145" i="4" s="1"/>
  <c r="DH145" i="4"/>
  <c r="DI145" i="4" s="1"/>
  <c r="DD145" i="4"/>
  <c r="DE145" i="4" s="1"/>
  <c r="CZ145" i="4"/>
  <c r="DA145" i="4" s="1"/>
  <c r="CV145" i="4"/>
  <c r="CW145" i="4" s="1"/>
  <c r="CR145" i="4"/>
  <c r="CS145" i="4" s="1"/>
  <c r="CN145" i="4"/>
  <c r="CO145" i="4" s="1"/>
  <c r="CJ145" i="4"/>
  <c r="CK145" i="4" s="1"/>
  <c r="CF145" i="4"/>
  <c r="CG145" i="4" s="1"/>
  <c r="CB145" i="4"/>
  <c r="CC145" i="4" s="1"/>
  <c r="BY147" i="4"/>
  <c r="H147" i="4"/>
  <c r="EQ146" i="4"/>
  <c r="ER146" i="4" s="1"/>
  <c r="BZ146" i="4"/>
  <c r="GH145" i="4"/>
  <c r="GI145" i="4" s="1"/>
  <c r="GD145" i="4"/>
  <c r="GE145" i="4" s="1"/>
  <c r="FZ145" i="4"/>
  <c r="GA145" i="4" s="1"/>
  <c r="FV145" i="4"/>
  <c r="FW145" i="4" s="1"/>
  <c r="FR145" i="4"/>
  <c r="FS145" i="4" s="1"/>
  <c r="FN145" i="4"/>
  <c r="FO145" i="4" s="1"/>
  <c r="FJ145" i="4"/>
  <c r="FK145" i="4" s="1"/>
  <c r="FF145" i="4"/>
  <c r="FG145" i="4" s="1"/>
  <c r="FB145" i="4"/>
  <c r="FC145" i="4" s="1"/>
  <c r="EX145" i="4"/>
  <c r="EY145" i="4" s="1"/>
  <c r="ET145" i="4"/>
  <c r="EU145" i="4" s="1"/>
  <c r="GB145" i="4"/>
  <c r="GC145" i="4" s="1"/>
  <c r="FL145" i="4"/>
  <c r="FM145" i="4" s="1"/>
  <c r="EV145" i="4"/>
  <c r="EW145" i="4" s="1"/>
  <c r="FX145" i="4"/>
  <c r="FY145" i="4" s="1"/>
  <c r="FH145" i="4"/>
  <c r="FI145" i="4" s="1"/>
  <c r="ES145" i="4"/>
  <c r="GF145" i="4"/>
  <c r="GG145" i="4" s="1"/>
  <c r="FP145" i="4"/>
  <c r="FQ145" i="4" s="1"/>
  <c r="EZ145" i="4"/>
  <c r="FA145" i="4" s="1"/>
  <c r="FT145" i="4"/>
  <c r="FU145" i="4" s="1"/>
  <c r="FD145" i="4"/>
  <c r="FE145" i="4" s="1"/>
  <c r="BY148" i="4"/>
  <c r="H148" i="4"/>
  <c r="AV146" i="4"/>
  <c r="AW146" i="4" s="1"/>
  <c r="AN146" i="4"/>
  <c r="AO146" i="4" s="1"/>
  <c r="AD146" i="4"/>
  <c r="AE146" i="4" s="1"/>
  <c r="Z146" i="4"/>
  <c r="AA146" i="4" s="1"/>
  <c r="X146" i="4"/>
  <c r="Y146" i="4" s="1"/>
  <c r="R146" i="4"/>
  <c r="S146" i="4" s="1"/>
  <c r="N146" i="4"/>
  <c r="O146" i="4" s="1"/>
  <c r="AX146" i="4"/>
  <c r="AY146" i="4" s="1"/>
  <c r="AR146" i="4"/>
  <c r="AS146" i="4" s="1"/>
  <c r="AL146" i="4"/>
  <c r="AM146" i="4" s="1"/>
  <c r="AJ146" i="4"/>
  <c r="AK146" i="4" s="1"/>
  <c r="AH146" i="4"/>
  <c r="AI146" i="4" s="1"/>
  <c r="P146" i="4"/>
  <c r="Q146" i="4" s="1"/>
  <c r="J146" i="4"/>
  <c r="K146" i="4" s="1"/>
  <c r="AP146" i="4"/>
  <c r="AQ146" i="4" s="1"/>
  <c r="AF146" i="4"/>
  <c r="AG146" i="4" s="1"/>
  <c r="AB146" i="4"/>
  <c r="AC146" i="4" s="1"/>
  <c r="V146" i="4"/>
  <c r="W146" i="4" s="1"/>
  <c r="AT146" i="4"/>
  <c r="AU146" i="4" s="1"/>
  <c r="T146" i="4"/>
  <c r="U146" i="4" s="1"/>
  <c r="L146" i="4"/>
  <c r="M146" i="4" s="1"/>
  <c r="I146" i="4"/>
  <c r="G136" i="4"/>
  <c r="AR134" i="4"/>
  <c r="AS134" i="4" s="1"/>
  <c r="AF134" i="4"/>
  <c r="AG134" i="4" s="1"/>
  <c r="Z134" i="4"/>
  <c r="AA134" i="4" s="1"/>
  <c r="V134" i="4"/>
  <c r="W134" i="4" s="1"/>
  <c r="AV134" i="4"/>
  <c r="AW134" i="4" s="1"/>
  <c r="AT134" i="4"/>
  <c r="AU134" i="4" s="1"/>
  <c r="AN134" i="4"/>
  <c r="AO134" i="4" s="1"/>
  <c r="AB134" i="4"/>
  <c r="AC134" i="4" s="1"/>
  <c r="X134" i="4"/>
  <c r="Y134" i="4" s="1"/>
  <c r="AL134" i="4"/>
  <c r="AM134" i="4" s="1"/>
  <c r="AJ134" i="4"/>
  <c r="AK134" i="4" s="1"/>
  <c r="AH134" i="4"/>
  <c r="AI134" i="4" s="1"/>
  <c r="AD134" i="4"/>
  <c r="AE134" i="4" s="1"/>
  <c r="AP134" i="4"/>
  <c r="AQ134" i="4" s="1"/>
  <c r="R134" i="4"/>
  <c r="S134" i="4" s="1"/>
  <c r="J134" i="4"/>
  <c r="K134" i="4" s="1"/>
  <c r="N134" i="4"/>
  <c r="O134" i="4" s="1"/>
  <c r="L134" i="4"/>
  <c r="M134" i="4" s="1"/>
  <c r="AX134" i="4"/>
  <c r="AY134" i="4" s="1"/>
  <c r="I134" i="4"/>
  <c r="T134" i="4"/>
  <c r="U134" i="4" s="1"/>
  <c r="P134" i="4"/>
  <c r="Q134" i="4" s="1"/>
  <c r="DP133" i="4"/>
  <c r="DQ133" i="4" s="1"/>
  <c r="DL133" i="4"/>
  <c r="DM133" i="4" s="1"/>
  <c r="DH133" i="4"/>
  <c r="DI133" i="4" s="1"/>
  <c r="DD133" i="4"/>
  <c r="DE133" i="4" s="1"/>
  <c r="CZ133" i="4"/>
  <c r="DA133" i="4" s="1"/>
  <c r="CV133" i="4"/>
  <c r="CW133" i="4" s="1"/>
  <c r="CR133" i="4"/>
  <c r="CS133" i="4" s="1"/>
  <c r="CN133" i="4"/>
  <c r="CO133" i="4" s="1"/>
  <c r="CJ133" i="4"/>
  <c r="CK133" i="4" s="1"/>
  <c r="CF133" i="4"/>
  <c r="CG133" i="4" s="1"/>
  <c r="CB133" i="4"/>
  <c r="CC133" i="4" s="1"/>
  <c r="DN133" i="4"/>
  <c r="DO133" i="4" s="1"/>
  <c r="DF133" i="4"/>
  <c r="DG133" i="4" s="1"/>
  <c r="CX133" i="4"/>
  <c r="CY133" i="4" s="1"/>
  <c r="CP133" i="4"/>
  <c r="CQ133" i="4" s="1"/>
  <c r="CH133" i="4"/>
  <c r="CI133" i="4" s="1"/>
  <c r="CA133" i="4"/>
  <c r="CT133" i="4"/>
  <c r="CU133" i="4" s="1"/>
  <c r="DJ133" i="4"/>
  <c r="DK133" i="4" s="1"/>
  <c r="CL133" i="4"/>
  <c r="CM133" i="4" s="1"/>
  <c r="CD133" i="4"/>
  <c r="CE133" i="4" s="1"/>
  <c r="DB133" i="4"/>
  <c r="DC133" i="4" s="1"/>
  <c r="BY135" i="4"/>
  <c r="H135" i="4"/>
  <c r="EQ134" i="4"/>
  <c r="ER134" i="4" s="1"/>
  <c r="BZ134" i="4"/>
  <c r="GF133" i="4"/>
  <c r="GG133" i="4" s="1"/>
  <c r="GB133" i="4"/>
  <c r="GC133" i="4" s="1"/>
  <c r="FX133" i="4"/>
  <c r="FY133" i="4" s="1"/>
  <c r="FT133" i="4"/>
  <c r="FU133" i="4" s="1"/>
  <c r="FP133" i="4"/>
  <c r="FQ133" i="4" s="1"/>
  <c r="FL133" i="4"/>
  <c r="FM133" i="4" s="1"/>
  <c r="FH133" i="4"/>
  <c r="FI133" i="4" s="1"/>
  <c r="GH133" i="4"/>
  <c r="GI133" i="4" s="1"/>
  <c r="GD133" i="4"/>
  <c r="GE133" i="4" s="1"/>
  <c r="FZ133" i="4"/>
  <c r="GA133" i="4" s="1"/>
  <c r="FV133" i="4"/>
  <c r="FW133" i="4" s="1"/>
  <c r="FR133" i="4"/>
  <c r="FS133" i="4" s="1"/>
  <c r="FN133" i="4"/>
  <c r="FO133" i="4" s="1"/>
  <c r="FJ133" i="4"/>
  <c r="FK133" i="4" s="1"/>
  <c r="FF133" i="4"/>
  <c r="FG133" i="4" s="1"/>
  <c r="FD133" i="4"/>
  <c r="FE133" i="4" s="1"/>
  <c r="EZ133" i="4"/>
  <c r="FA133" i="4" s="1"/>
  <c r="EV133" i="4"/>
  <c r="EW133" i="4" s="1"/>
  <c r="ES133" i="4"/>
  <c r="FB133" i="4"/>
  <c r="FC133" i="4" s="1"/>
  <c r="EX133" i="4"/>
  <c r="EY133" i="4" s="1"/>
  <c r="ET133" i="4"/>
  <c r="EU133" i="4" s="1"/>
  <c r="BY96" i="4"/>
  <c r="H96" i="4"/>
  <c r="DN94" i="4"/>
  <c r="DO94" i="4" s="1"/>
  <c r="DJ94" i="4"/>
  <c r="DK94" i="4" s="1"/>
  <c r="DF94" i="4"/>
  <c r="DG94" i="4" s="1"/>
  <c r="DB94" i="4"/>
  <c r="DC94" i="4" s="1"/>
  <c r="CX94" i="4"/>
  <c r="CY94" i="4" s="1"/>
  <c r="CT94" i="4"/>
  <c r="CU94" i="4" s="1"/>
  <c r="DL94" i="4"/>
  <c r="DM94" i="4" s="1"/>
  <c r="CV94" i="4"/>
  <c r="CW94" i="4" s="1"/>
  <c r="CN94" i="4"/>
  <c r="CO94" i="4" s="1"/>
  <c r="CJ94" i="4"/>
  <c r="CK94" i="4" s="1"/>
  <c r="CF94" i="4"/>
  <c r="CG94" i="4" s="1"/>
  <c r="CB94" i="4"/>
  <c r="CC94" i="4" s="1"/>
  <c r="DH94" i="4"/>
  <c r="DI94" i="4" s="1"/>
  <c r="CR94" i="4"/>
  <c r="CS94" i="4" s="1"/>
  <c r="DD94" i="4"/>
  <c r="DE94" i="4" s="1"/>
  <c r="CP94" i="4"/>
  <c r="CQ94" i="4" s="1"/>
  <c r="CL94" i="4"/>
  <c r="CM94" i="4" s="1"/>
  <c r="CH94" i="4"/>
  <c r="CI94" i="4" s="1"/>
  <c r="CD94" i="4"/>
  <c r="CE94" i="4" s="1"/>
  <c r="CA94" i="4"/>
  <c r="DP94" i="4"/>
  <c r="DQ94" i="4" s="1"/>
  <c r="CZ94" i="4"/>
  <c r="DA94" i="4" s="1"/>
  <c r="G97" i="4"/>
  <c r="AV95" i="4"/>
  <c r="AW95" i="4" s="1"/>
  <c r="AJ95" i="4"/>
  <c r="AK95" i="4" s="1"/>
  <c r="AH95" i="4"/>
  <c r="AI95" i="4" s="1"/>
  <c r="V95" i="4"/>
  <c r="W95" i="4" s="1"/>
  <c r="N95" i="4"/>
  <c r="O95" i="4" s="1"/>
  <c r="AX95" i="4"/>
  <c r="AY95" i="4" s="1"/>
  <c r="AP95" i="4"/>
  <c r="AQ95" i="4" s="1"/>
  <c r="AD95" i="4"/>
  <c r="AE95" i="4" s="1"/>
  <c r="R95" i="4"/>
  <c r="S95" i="4" s="1"/>
  <c r="P95" i="4"/>
  <c r="Q95" i="4" s="1"/>
  <c r="AR95" i="4"/>
  <c r="AS95" i="4" s="1"/>
  <c r="AN95" i="4"/>
  <c r="AO95" i="4" s="1"/>
  <c r="X95" i="4"/>
  <c r="Y95" i="4" s="1"/>
  <c r="AT95" i="4"/>
  <c r="AU95" i="4" s="1"/>
  <c r="AL95" i="4"/>
  <c r="AM95" i="4" s="1"/>
  <c r="AF95" i="4"/>
  <c r="AG95" i="4" s="1"/>
  <c r="AB95" i="4"/>
  <c r="AC95" i="4" s="1"/>
  <c r="Z95" i="4"/>
  <c r="AA95" i="4" s="1"/>
  <c r="T95" i="4"/>
  <c r="U95" i="4" s="1"/>
  <c r="J95" i="4"/>
  <c r="K95" i="4" s="1"/>
  <c r="L95" i="4"/>
  <c r="M95" i="4" s="1"/>
  <c r="I95" i="4"/>
  <c r="GF94" i="4"/>
  <c r="GG94" i="4" s="1"/>
  <c r="FZ94" i="4"/>
  <c r="GA94" i="4" s="1"/>
  <c r="FP94" i="4"/>
  <c r="FQ94" i="4" s="1"/>
  <c r="FJ94" i="4"/>
  <c r="FK94" i="4" s="1"/>
  <c r="EZ94" i="4"/>
  <c r="FA94" i="4" s="1"/>
  <c r="ET94" i="4"/>
  <c r="EU94" i="4" s="1"/>
  <c r="GD94" i="4"/>
  <c r="GE94" i="4" s="1"/>
  <c r="FT94" i="4"/>
  <c r="FU94" i="4" s="1"/>
  <c r="FN94" i="4"/>
  <c r="FO94" i="4" s="1"/>
  <c r="FD94" i="4"/>
  <c r="FE94" i="4" s="1"/>
  <c r="EX94" i="4"/>
  <c r="EY94" i="4" s="1"/>
  <c r="GB94" i="4"/>
  <c r="GC94" i="4" s="1"/>
  <c r="FV94" i="4"/>
  <c r="FW94" i="4" s="1"/>
  <c r="FL94" i="4"/>
  <c r="FM94" i="4" s="1"/>
  <c r="FF94" i="4"/>
  <c r="FG94" i="4" s="1"/>
  <c r="EV94" i="4"/>
  <c r="EW94" i="4" s="1"/>
  <c r="FX94" i="4"/>
  <c r="FY94" i="4" s="1"/>
  <c r="FB94" i="4"/>
  <c r="FC94" i="4" s="1"/>
  <c r="FR94" i="4"/>
  <c r="FS94" i="4" s="1"/>
  <c r="GH94" i="4"/>
  <c r="GI94" i="4" s="1"/>
  <c r="ES94" i="4"/>
  <c r="FH94" i="4"/>
  <c r="FI94" i="4" s="1"/>
  <c r="EQ95" i="4"/>
  <c r="ER95" i="4" s="1"/>
  <c r="BZ95" i="4"/>
  <c r="GF20" i="4"/>
  <c r="GG20" i="4" s="1"/>
  <c r="GB20" i="4"/>
  <c r="GC20" i="4" s="1"/>
  <c r="FX20" i="4"/>
  <c r="FY20" i="4" s="1"/>
  <c r="FT20" i="4"/>
  <c r="FU20" i="4" s="1"/>
  <c r="FP20" i="4"/>
  <c r="FQ20" i="4" s="1"/>
  <c r="FL20" i="4"/>
  <c r="FM20" i="4" s="1"/>
  <c r="FH20" i="4"/>
  <c r="FI20" i="4" s="1"/>
  <c r="FD20" i="4"/>
  <c r="FE20" i="4" s="1"/>
  <c r="EZ20" i="4"/>
  <c r="FA20" i="4" s="1"/>
  <c r="EV20" i="4"/>
  <c r="EW20" i="4" s="1"/>
  <c r="ES20" i="4"/>
  <c r="GH20" i="4"/>
  <c r="GI20" i="4" s="1"/>
  <c r="GD20" i="4"/>
  <c r="GE20" i="4" s="1"/>
  <c r="FZ20" i="4"/>
  <c r="GA20" i="4" s="1"/>
  <c r="FV20" i="4"/>
  <c r="FW20" i="4" s="1"/>
  <c r="FR20" i="4"/>
  <c r="FS20" i="4" s="1"/>
  <c r="FN20" i="4"/>
  <c r="FO20" i="4" s="1"/>
  <c r="FJ20" i="4"/>
  <c r="FK20" i="4" s="1"/>
  <c r="FF20" i="4"/>
  <c r="FG20" i="4" s="1"/>
  <c r="FB20" i="4"/>
  <c r="FC20" i="4" s="1"/>
  <c r="EX20" i="4"/>
  <c r="EY20" i="4" s="1"/>
  <c r="ET20" i="4"/>
  <c r="EU20" i="4" s="1"/>
  <c r="DP20" i="4"/>
  <c r="DQ20" i="4" s="1"/>
  <c r="DL20" i="4"/>
  <c r="DM20" i="4" s="1"/>
  <c r="DH20" i="4"/>
  <c r="DI20" i="4" s="1"/>
  <c r="DD20" i="4"/>
  <c r="DE20" i="4" s="1"/>
  <c r="CZ20" i="4"/>
  <c r="DA20" i="4" s="1"/>
  <c r="CV20" i="4"/>
  <c r="CW20" i="4" s="1"/>
  <c r="CR20" i="4"/>
  <c r="CS20" i="4" s="1"/>
  <c r="CN20" i="4"/>
  <c r="CO20" i="4" s="1"/>
  <c r="CJ20" i="4"/>
  <c r="CK20" i="4" s="1"/>
  <c r="CF20" i="4"/>
  <c r="CG20" i="4" s="1"/>
  <c r="CB20" i="4"/>
  <c r="CC20" i="4" s="1"/>
  <c r="DN20" i="4"/>
  <c r="DO20" i="4" s="1"/>
  <c r="CX20" i="4"/>
  <c r="CY20" i="4" s="1"/>
  <c r="CH20" i="4"/>
  <c r="CI20" i="4" s="1"/>
  <c r="DB20" i="4"/>
  <c r="DC20" i="4" s="1"/>
  <c r="CL20" i="4"/>
  <c r="CM20" i="4" s="1"/>
  <c r="DJ20" i="4"/>
  <c r="DK20" i="4" s="1"/>
  <c r="CT20" i="4"/>
  <c r="CU20" i="4" s="1"/>
  <c r="CD20" i="4"/>
  <c r="CE20" i="4" s="1"/>
  <c r="DF20" i="4"/>
  <c r="DG20" i="4" s="1"/>
  <c r="CP20" i="4"/>
  <c r="CQ20" i="4" s="1"/>
  <c r="CA20" i="4"/>
  <c r="BY25" i="4" l="1"/>
  <c r="H25" i="4"/>
  <c r="EQ147" i="4"/>
  <c r="ER147" i="4" s="1"/>
  <c r="BZ147" i="4"/>
  <c r="AP148" i="4"/>
  <c r="AQ148" i="4" s="1"/>
  <c r="AF148" i="4"/>
  <c r="AG148" i="4" s="1"/>
  <c r="AB148" i="4"/>
  <c r="AC148" i="4" s="1"/>
  <c r="V148" i="4"/>
  <c r="W148" i="4" s="1"/>
  <c r="AX148" i="4"/>
  <c r="AY148" i="4" s="1"/>
  <c r="AT148" i="4"/>
  <c r="AU148" i="4" s="1"/>
  <c r="T148" i="4"/>
  <c r="U148" i="4" s="1"/>
  <c r="L148" i="4"/>
  <c r="M148" i="4" s="1"/>
  <c r="AV148" i="4"/>
  <c r="AW148" i="4" s="1"/>
  <c r="AN148" i="4"/>
  <c r="AO148" i="4" s="1"/>
  <c r="AD148" i="4"/>
  <c r="AE148" i="4" s="1"/>
  <c r="Z148" i="4"/>
  <c r="AA148" i="4" s="1"/>
  <c r="X148" i="4"/>
  <c r="Y148" i="4" s="1"/>
  <c r="R148" i="4"/>
  <c r="S148" i="4" s="1"/>
  <c r="N148" i="4"/>
  <c r="O148" i="4" s="1"/>
  <c r="I148" i="4"/>
  <c r="AR148" i="4"/>
  <c r="AS148" i="4" s="1"/>
  <c r="AL148" i="4"/>
  <c r="AM148" i="4" s="1"/>
  <c r="AJ148" i="4"/>
  <c r="AK148" i="4" s="1"/>
  <c r="AH148" i="4"/>
  <c r="AI148" i="4" s="1"/>
  <c r="P148" i="4"/>
  <c r="Q148" i="4" s="1"/>
  <c r="J148" i="4"/>
  <c r="K148" i="4" s="1"/>
  <c r="DP146" i="4"/>
  <c r="DQ146" i="4" s="1"/>
  <c r="DL146" i="4"/>
  <c r="DM146" i="4" s="1"/>
  <c r="DH146" i="4"/>
  <c r="DI146" i="4" s="1"/>
  <c r="DD146" i="4"/>
  <c r="DE146" i="4" s="1"/>
  <c r="CZ146" i="4"/>
  <c r="DA146" i="4" s="1"/>
  <c r="CV146" i="4"/>
  <c r="CW146" i="4" s="1"/>
  <c r="CR146" i="4"/>
  <c r="CS146" i="4" s="1"/>
  <c r="CN146" i="4"/>
  <c r="CO146" i="4" s="1"/>
  <c r="CJ146" i="4"/>
  <c r="CK146" i="4" s="1"/>
  <c r="CF146" i="4"/>
  <c r="CG146" i="4" s="1"/>
  <c r="CB146" i="4"/>
  <c r="CC146" i="4" s="1"/>
  <c r="DN146" i="4"/>
  <c r="DO146" i="4" s="1"/>
  <c r="DJ146" i="4"/>
  <c r="DK146" i="4" s="1"/>
  <c r="DF146" i="4"/>
  <c r="DG146" i="4" s="1"/>
  <c r="DB146" i="4"/>
  <c r="DC146" i="4" s="1"/>
  <c r="CX146" i="4"/>
  <c r="CY146" i="4" s="1"/>
  <c r="CT146" i="4"/>
  <c r="CU146" i="4" s="1"/>
  <c r="CP146" i="4"/>
  <c r="CQ146" i="4" s="1"/>
  <c r="CL146" i="4"/>
  <c r="CM146" i="4" s="1"/>
  <c r="CH146" i="4"/>
  <c r="CI146" i="4" s="1"/>
  <c r="CD146" i="4"/>
  <c r="CE146" i="4" s="1"/>
  <c r="CA146" i="4"/>
  <c r="EQ148" i="4"/>
  <c r="ER148" i="4" s="1"/>
  <c r="BZ148" i="4"/>
  <c r="GH146" i="4"/>
  <c r="GI146" i="4" s="1"/>
  <c r="GD146" i="4"/>
  <c r="GE146" i="4" s="1"/>
  <c r="FZ146" i="4"/>
  <c r="GA146" i="4" s="1"/>
  <c r="FV146" i="4"/>
  <c r="FW146" i="4" s="1"/>
  <c r="FR146" i="4"/>
  <c r="FS146" i="4" s="1"/>
  <c r="FN146" i="4"/>
  <c r="FO146" i="4" s="1"/>
  <c r="FJ146" i="4"/>
  <c r="FK146" i="4" s="1"/>
  <c r="FF146" i="4"/>
  <c r="FG146" i="4" s="1"/>
  <c r="FB146" i="4"/>
  <c r="FC146" i="4" s="1"/>
  <c r="EX146" i="4"/>
  <c r="EY146" i="4" s="1"/>
  <c r="ET146" i="4"/>
  <c r="EU146" i="4" s="1"/>
  <c r="GF146" i="4"/>
  <c r="GG146" i="4" s="1"/>
  <c r="GB146" i="4"/>
  <c r="GC146" i="4" s="1"/>
  <c r="FX146" i="4"/>
  <c r="FY146" i="4" s="1"/>
  <c r="FT146" i="4"/>
  <c r="FU146" i="4" s="1"/>
  <c r="FP146" i="4"/>
  <c r="FQ146" i="4" s="1"/>
  <c r="FL146" i="4"/>
  <c r="FM146" i="4" s="1"/>
  <c r="FH146" i="4"/>
  <c r="FI146" i="4" s="1"/>
  <c r="FD146" i="4"/>
  <c r="FE146" i="4" s="1"/>
  <c r="EZ146" i="4"/>
  <c r="FA146" i="4" s="1"/>
  <c r="EV146" i="4"/>
  <c r="EW146" i="4" s="1"/>
  <c r="ES146" i="4"/>
  <c r="AR147" i="4"/>
  <c r="AS147" i="4" s="1"/>
  <c r="AL147" i="4"/>
  <c r="AM147" i="4" s="1"/>
  <c r="AJ147" i="4"/>
  <c r="AK147" i="4" s="1"/>
  <c r="AH147" i="4"/>
  <c r="AI147" i="4" s="1"/>
  <c r="P147" i="4"/>
  <c r="Q147" i="4" s="1"/>
  <c r="L147" i="4"/>
  <c r="M147" i="4" s="1"/>
  <c r="AX147" i="4"/>
  <c r="AY147" i="4" s="1"/>
  <c r="AP147" i="4"/>
  <c r="AQ147" i="4" s="1"/>
  <c r="AF147" i="4"/>
  <c r="AG147" i="4" s="1"/>
  <c r="AB147" i="4"/>
  <c r="AC147" i="4" s="1"/>
  <c r="V147" i="4"/>
  <c r="W147" i="4" s="1"/>
  <c r="AT147" i="4"/>
  <c r="AU147" i="4" s="1"/>
  <c r="T147" i="4"/>
  <c r="U147" i="4" s="1"/>
  <c r="J147" i="4"/>
  <c r="K147" i="4" s="1"/>
  <c r="AV147" i="4"/>
  <c r="AW147" i="4" s="1"/>
  <c r="AN147" i="4"/>
  <c r="AO147" i="4" s="1"/>
  <c r="AD147" i="4"/>
  <c r="AE147" i="4" s="1"/>
  <c r="Z147" i="4"/>
  <c r="AA147" i="4" s="1"/>
  <c r="X147" i="4"/>
  <c r="Y147" i="4" s="1"/>
  <c r="R147" i="4"/>
  <c r="S147" i="4" s="1"/>
  <c r="N147" i="4"/>
  <c r="O147" i="4" s="1"/>
  <c r="I147" i="4"/>
  <c r="DN134" i="4"/>
  <c r="DO134" i="4" s="1"/>
  <c r="DJ134" i="4"/>
  <c r="DK134" i="4" s="1"/>
  <c r="DF134" i="4"/>
  <c r="DG134" i="4" s="1"/>
  <c r="DB134" i="4"/>
  <c r="DC134" i="4" s="1"/>
  <c r="CX134" i="4"/>
  <c r="CY134" i="4" s="1"/>
  <c r="CT134" i="4"/>
  <c r="CU134" i="4" s="1"/>
  <c r="CP134" i="4"/>
  <c r="CQ134" i="4" s="1"/>
  <c r="CL134" i="4"/>
  <c r="CM134" i="4" s="1"/>
  <c r="CH134" i="4"/>
  <c r="CI134" i="4" s="1"/>
  <c r="CD134" i="4"/>
  <c r="CE134" i="4" s="1"/>
  <c r="CA134" i="4"/>
  <c r="DL134" i="4"/>
  <c r="DM134" i="4" s="1"/>
  <c r="DD134" i="4"/>
  <c r="DE134" i="4" s="1"/>
  <c r="CV134" i="4"/>
  <c r="CW134" i="4" s="1"/>
  <c r="CN134" i="4"/>
  <c r="CO134" i="4" s="1"/>
  <c r="CF134" i="4"/>
  <c r="CG134" i="4" s="1"/>
  <c r="DP134" i="4"/>
  <c r="DQ134" i="4" s="1"/>
  <c r="DH134" i="4"/>
  <c r="DI134" i="4" s="1"/>
  <c r="CZ134" i="4"/>
  <c r="DA134" i="4" s="1"/>
  <c r="CR134" i="4"/>
  <c r="CS134" i="4" s="1"/>
  <c r="CJ134" i="4"/>
  <c r="CK134" i="4" s="1"/>
  <c r="CB134" i="4"/>
  <c r="CC134" i="4" s="1"/>
  <c r="GH134" i="4"/>
  <c r="GI134" i="4" s="1"/>
  <c r="GD134" i="4"/>
  <c r="GE134" i="4" s="1"/>
  <c r="FZ134" i="4"/>
  <c r="GA134" i="4" s="1"/>
  <c r="FV134" i="4"/>
  <c r="FW134" i="4" s="1"/>
  <c r="FR134" i="4"/>
  <c r="FS134" i="4" s="1"/>
  <c r="FN134" i="4"/>
  <c r="FO134" i="4" s="1"/>
  <c r="FJ134" i="4"/>
  <c r="FK134" i="4" s="1"/>
  <c r="FF134" i="4"/>
  <c r="FG134" i="4" s="1"/>
  <c r="FB134" i="4"/>
  <c r="FC134" i="4" s="1"/>
  <c r="EX134" i="4"/>
  <c r="EY134" i="4" s="1"/>
  <c r="ET134" i="4"/>
  <c r="EU134" i="4" s="1"/>
  <c r="GF134" i="4"/>
  <c r="GG134" i="4" s="1"/>
  <c r="FP134" i="4"/>
  <c r="FQ134" i="4" s="1"/>
  <c r="EZ134" i="4"/>
  <c r="FA134" i="4" s="1"/>
  <c r="GB134" i="4"/>
  <c r="GC134" i="4" s="1"/>
  <c r="FL134" i="4"/>
  <c r="FM134" i="4" s="1"/>
  <c r="EV134" i="4"/>
  <c r="EW134" i="4" s="1"/>
  <c r="FT134" i="4"/>
  <c r="FU134" i="4" s="1"/>
  <c r="FD134" i="4"/>
  <c r="FE134" i="4" s="1"/>
  <c r="FX134" i="4"/>
  <c r="FY134" i="4" s="1"/>
  <c r="FH134" i="4"/>
  <c r="FI134" i="4" s="1"/>
  <c r="ES134" i="4"/>
  <c r="BY136" i="4"/>
  <c r="H136" i="4"/>
  <c r="AV135" i="4"/>
  <c r="AW135" i="4" s="1"/>
  <c r="AT135" i="4"/>
  <c r="AU135" i="4" s="1"/>
  <c r="AN135" i="4"/>
  <c r="AO135" i="4" s="1"/>
  <c r="AB135" i="4"/>
  <c r="AC135" i="4" s="1"/>
  <c r="X135" i="4"/>
  <c r="Y135" i="4" s="1"/>
  <c r="AP135" i="4"/>
  <c r="AQ135" i="4" s="1"/>
  <c r="T135" i="4"/>
  <c r="U135" i="4" s="1"/>
  <c r="AR135" i="4"/>
  <c r="AS135" i="4" s="1"/>
  <c r="AF135" i="4"/>
  <c r="AG135" i="4" s="1"/>
  <c r="Z135" i="4"/>
  <c r="AA135" i="4" s="1"/>
  <c r="V135" i="4"/>
  <c r="W135" i="4" s="1"/>
  <c r="AX135" i="4"/>
  <c r="AY135" i="4" s="1"/>
  <c r="AL135" i="4"/>
  <c r="AM135" i="4" s="1"/>
  <c r="AH135" i="4"/>
  <c r="AI135" i="4" s="1"/>
  <c r="AJ135" i="4"/>
  <c r="AK135" i="4" s="1"/>
  <c r="P135" i="4"/>
  <c r="Q135" i="4" s="1"/>
  <c r="N135" i="4"/>
  <c r="O135" i="4" s="1"/>
  <c r="J135" i="4"/>
  <c r="K135" i="4" s="1"/>
  <c r="R135" i="4"/>
  <c r="S135" i="4" s="1"/>
  <c r="L135" i="4"/>
  <c r="M135" i="4" s="1"/>
  <c r="I135" i="4"/>
  <c r="AD135" i="4"/>
  <c r="AE135" i="4" s="1"/>
  <c r="D140" i="4"/>
  <c r="G137" i="4"/>
  <c r="EQ135" i="4"/>
  <c r="ER135" i="4" s="1"/>
  <c r="BZ135" i="4"/>
  <c r="G98" i="4"/>
  <c r="BY97" i="4"/>
  <c r="H97" i="4"/>
  <c r="DP95" i="4"/>
  <c r="DQ95" i="4" s="1"/>
  <c r="DL95" i="4"/>
  <c r="DM95" i="4" s="1"/>
  <c r="DH95" i="4"/>
  <c r="DI95" i="4" s="1"/>
  <c r="DD95" i="4"/>
  <c r="DE95" i="4" s="1"/>
  <c r="CZ95" i="4"/>
  <c r="DA95" i="4" s="1"/>
  <c r="CV95" i="4"/>
  <c r="CW95" i="4" s="1"/>
  <c r="CR95" i="4"/>
  <c r="CS95" i="4" s="1"/>
  <c r="CN95" i="4"/>
  <c r="CO95" i="4" s="1"/>
  <c r="CJ95" i="4"/>
  <c r="CK95" i="4" s="1"/>
  <c r="CF95" i="4"/>
  <c r="CG95" i="4" s="1"/>
  <c r="CB95" i="4"/>
  <c r="CC95" i="4" s="1"/>
  <c r="DF95" i="4"/>
  <c r="DG95" i="4" s="1"/>
  <c r="CP95" i="4"/>
  <c r="CQ95" i="4" s="1"/>
  <c r="CA95" i="4"/>
  <c r="DB95" i="4"/>
  <c r="DC95" i="4" s="1"/>
  <c r="CL95" i="4"/>
  <c r="CM95" i="4" s="1"/>
  <c r="DN95" i="4"/>
  <c r="DO95" i="4" s="1"/>
  <c r="CX95" i="4"/>
  <c r="CY95" i="4" s="1"/>
  <c r="CH95" i="4"/>
  <c r="CI95" i="4" s="1"/>
  <c r="DJ95" i="4"/>
  <c r="DK95" i="4" s="1"/>
  <c r="CT95" i="4"/>
  <c r="CU95" i="4" s="1"/>
  <c r="CD95" i="4"/>
  <c r="CE95" i="4" s="1"/>
  <c r="AP96" i="4"/>
  <c r="AQ96" i="4" s="1"/>
  <c r="AD96" i="4"/>
  <c r="AE96" i="4" s="1"/>
  <c r="R96" i="4"/>
  <c r="S96" i="4" s="1"/>
  <c r="P96" i="4"/>
  <c r="Q96" i="4" s="1"/>
  <c r="AX96" i="4"/>
  <c r="AY96" i="4" s="1"/>
  <c r="AR96" i="4"/>
  <c r="AS96" i="4" s="1"/>
  <c r="AN96" i="4"/>
  <c r="AO96" i="4" s="1"/>
  <c r="X96" i="4"/>
  <c r="Y96" i="4" s="1"/>
  <c r="AT96" i="4"/>
  <c r="AU96" i="4" s="1"/>
  <c r="AL96" i="4"/>
  <c r="AM96" i="4" s="1"/>
  <c r="AF96" i="4"/>
  <c r="AG96" i="4" s="1"/>
  <c r="AB96" i="4"/>
  <c r="AC96" i="4" s="1"/>
  <c r="Z96" i="4"/>
  <c r="AA96" i="4" s="1"/>
  <c r="T96" i="4"/>
  <c r="U96" i="4" s="1"/>
  <c r="AV96" i="4"/>
  <c r="AW96" i="4" s="1"/>
  <c r="AJ96" i="4"/>
  <c r="AK96" i="4" s="1"/>
  <c r="AH96" i="4"/>
  <c r="AI96" i="4" s="1"/>
  <c r="V96" i="4"/>
  <c r="W96" i="4" s="1"/>
  <c r="N96" i="4"/>
  <c r="O96" i="4" s="1"/>
  <c r="J96" i="4"/>
  <c r="K96" i="4" s="1"/>
  <c r="I96" i="4"/>
  <c r="L96" i="4"/>
  <c r="M96" i="4" s="1"/>
  <c r="GH95" i="4"/>
  <c r="GI95" i="4" s="1"/>
  <c r="GD95" i="4"/>
  <c r="GE95" i="4" s="1"/>
  <c r="FZ95" i="4"/>
  <c r="GA95" i="4" s="1"/>
  <c r="FV95" i="4"/>
  <c r="FW95" i="4" s="1"/>
  <c r="FR95" i="4"/>
  <c r="FS95" i="4" s="1"/>
  <c r="FN95" i="4"/>
  <c r="FO95" i="4" s="1"/>
  <c r="FJ95" i="4"/>
  <c r="FK95" i="4" s="1"/>
  <c r="FF95" i="4"/>
  <c r="FG95" i="4" s="1"/>
  <c r="FB95" i="4"/>
  <c r="FC95" i="4" s="1"/>
  <c r="EX95" i="4"/>
  <c r="EY95" i="4" s="1"/>
  <c r="ET95" i="4"/>
  <c r="EU95" i="4" s="1"/>
  <c r="FX95" i="4"/>
  <c r="FY95" i="4" s="1"/>
  <c r="FH95" i="4"/>
  <c r="FI95" i="4" s="1"/>
  <c r="ES95" i="4"/>
  <c r="GB95" i="4"/>
  <c r="GC95" i="4" s="1"/>
  <c r="FL95" i="4"/>
  <c r="FM95" i="4" s="1"/>
  <c r="EV95" i="4"/>
  <c r="EW95" i="4" s="1"/>
  <c r="FT95" i="4"/>
  <c r="FU95" i="4" s="1"/>
  <c r="FD95" i="4"/>
  <c r="FE95" i="4" s="1"/>
  <c r="GF95" i="4"/>
  <c r="GG95" i="4" s="1"/>
  <c r="EZ95" i="4"/>
  <c r="FA95" i="4" s="1"/>
  <c r="FP95" i="4"/>
  <c r="FQ95" i="4" s="1"/>
  <c r="EQ96" i="4"/>
  <c r="ER96" i="4" s="1"/>
  <c r="BZ96" i="4"/>
  <c r="GF148" i="4" l="1"/>
  <c r="GG148" i="4" s="1"/>
  <c r="GB148" i="4"/>
  <c r="GC148" i="4" s="1"/>
  <c r="FX148" i="4"/>
  <c r="FY148" i="4" s="1"/>
  <c r="FT148" i="4"/>
  <c r="FU148" i="4" s="1"/>
  <c r="FP148" i="4"/>
  <c r="FQ148" i="4" s="1"/>
  <c r="FL148" i="4"/>
  <c r="FM148" i="4" s="1"/>
  <c r="FH148" i="4"/>
  <c r="FI148" i="4" s="1"/>
  <c r="FD148" i="4"/>
  <c r="FE148" i="4" s="1"/>
  <c r="EZ148" i="4"/>
  <c r="FA148" i="4" s="1"/>
  <c r="EV148" i="4"/>
  <c r="EW148" i="4" s="1"/>
  <c r="ES148" i="4"/>
  <c r="GH148" i="4"/>
  <c r="GI148" i="4" s="1"/>
  <c r="GD148" i="4"/>
  <c r="GE148" i="4" s="1"/>
  <c r="FZ148" i="4"/>
  <c r="GA148" i="4" s="1"/>
  <c r="FV148" i="4"/>
  <c r="FW148" i="4" s="1"/>
  <c r="FR148" i="4"/>
  <c r="FS148" i="4" s="1"/>
  <c r="FN148" i="4"/>
  <c r="FO148" i="4" s="1"/>
  <c r="FJ148" i="4"/>
  <c r="FK148" i="4" s="1"/>
  <c r="FF148" i="4"/>
  <c r="FG148" i="4" s="1"/>
  <c r="FB148" i="4"/>
  <c r="FC148" i="4" s="1"/>
  <c r="EX148" i="4"/>
  <c r="EY148" i="4" s="1"/>
  <c r="ET148" i="4"/>
  <c r="EU148" i="4" s="1"/>
  <c r="EQ25" i="4"/>
  <c r="ER25" i="4" s="1"/>
  <c r="BZ25" i="4"/>
  <c r="DN147" i="4"/>
  <c r="DO147" i="4" s="1"/>
  <c r="DJ147" i="4"/>
  <c r="DK147" i="4" s="1"/>
  <c r="DF147" i="4"/>
  <c r="DG147" i="4" s="1"/>
  <c r="DB147" i="4"/>
  <c r="DC147" i="4" s="1"/>
  <c r="CX147" i="4"/>
  <c r="CY147" i="4" s="1"/>
  <c r="CT147" i="4"/>
  <c r="CU147" i="4" s="1"/>
  <c r="CP147" i="4"/>
  <c r="CQ147" i="4" s="1"/>
  <c r="CL147" i="4"/>
  <c r="CM147" i="4" s="1"/>
  <c r="CH147" i="4"/>
  <c r="CI147" i="4" s="1"/>
  <c r="CD147" i="4"/>
  <c r="CE147" i="4" s="1"/>
  <c r="CA147" i="4"/>
  <c r="DP147" i="4"/>
  <c r="DQ147" i="4" s="1"/>
  <c r="DL147" i="4"/>
  <c r="DM147" i="4" s="1"/>
  <c r="DH147" i="4"/>
  <c r="DI147" i="4" s="1"/>
  <c r="DD147" i="4"/>
  <c r="DE147" i="4" s="1"/>
  <c r="CZ147" i="4"/>
  <c r="DA147" i="4" s="1"/>
  <c r="CV147" i="4"/>
  <c r="CW147" i="4" s="1"/>
  <c r="CR147" i="4"/>
  <c r="CS147" i="4" s="1"/>
  <c r="CN147" i="4"/>
  <c r="CO147" i="4" s="1"/>
  <c r="CJ147" i="4"/>
  <c r="CK147" i="4" s="1"/>
  <c r="CF147" i="4"/>
  <c r="CG147" i="4" s="1"/>
  <c r="CB147" i="4"/>
  <c r="CC147" i="4" s="1"/>
  <c r="GF147" i="4"/>
  <c r="GG147" i="4" s="1"/>
  <c r="GB147" i="4"/>
  <c r="GC147" i="4" s="1"/>
  <c r="FX147" i="4"/>
  <c r="FY147" i="4" s="1"/>
  <c r="FT147" i="4"/>
  <c r="FU147" i="4" s="1"/>
  <c r="FP147" i="4"/>
  <c r="FQ147" i="4" s="1"/>
  <c r="FL147" i="4"/>
  <c r="FM147" i="4" s="1"/>
  <c r="FH147" i="4"/>
  <c r="FI147" i="4" s="1"/>
  <c r="FD147" i="4"/>
  <c r="FE147" i="4" s="1"/>
  <c r="EZ147" i="4"/>
  <c r="FA147" i="4" s="1"/>
  <c r="EV147" i="4"/>
  <c r="EW147" i="4" s="1"/>
  <c r="ES147" i="4"/>
  <c r="GH147" i="4"/>
  <c r="GI147" i="4" s="1"/>
  <c r="FR147" i="4"/>
  <c r="FS147" i="4" s="1"/>
  <c r="FB147" i="4"/>
  <c r="FC147" i="4" s="1"/>
  <c r="GD147" i="4"/>
  <c r="GE147" i="4" s="1"/>
  <c r="FN147" i="4"/>
  <c r="FO147" i="4" s="1"/>
  <c r="EX147" i="4"/>
  <c r="EY147" i="4" s="1"/>
  <c r="FV147" i="4"/>
  <c r="FW147" i="4" s="1"/>
  <c r="FF147" i="4"/>
  <c r="FG147" i="4" s="1"/>
  <c r="FZ147" i="4"/>
  <c r="GA147" i="4" s="1"/>
  <c r="FJ147" i="4"/>
  <c r="FK147" i="4" s="1"/>
  <c r="ET147" i="4"/>
  <c r="EU147" i="4" s="1"/>
  <c r="DP148" i="4"/>
  <c r="DQ148" i="4" s="1"/>
  <c r="DL148" i="4"/>
  <c r="DM148" i="4" s="1"/>
  <c r="DH148" i="4"/>
  <c r="DI148" i="4" s="1"/>
  <c r="DD148" i="4"/>
  <c r="DE148" i="4" s="1"/>
  <c r="CZ148" i="4"/>
  <c r="DA148" i="4" s="1"/>
  <c r="CV148" i="4"/>
  <c r="CW148" i="4" s="1"/>
  <c r="CR148" i="4"/>
  <c r="CS148" i="4" s="1"/>
  <c r="CN148" i="4"/>
  <c r="CO148" i="4" s="1"/>
  <c r="CJ148" i="4"/>
  <c r="CK148" i="4" s="1"/>
  <c r="CF148" i="4"/>
  <c r="CG148" i="4" s="1"/>
  <c r="CB148" i="4"/>
  <c r="CC148" i="4" s="1"/>
  <c r="DN148" i="4"/>
  <c r="DO148" i="4" s="1"/>
  <c r="DJ148" i="4"/>
  <c r="DK148" i="4" s="1"/>
  <c r="DF148" i="4"/>
  <c r="DG148" i="4" s="1"/>
  <c r="DB148" i="4"/>
  <c r="DC148" i="4" s="1"/>
  <c r="CX148" i="4"/>
  <c r="CY148" i="4" s="1"/>
  <c r="CT148" i="4"/>
  <c r="CU148" i="4" s="1"/>
  <c r="CP148" i="4"/>
  <c r="CQ148" i="4" s="1"/>
  <c r="CL148" i="4"/>
  <c r="CM148" i="4" s="1"/>
  <c r="CH148" i="4"/>
  <c r="CI148" i="4" s="1"/>
  <c r="CD148" i="4"/>
  <c r="CE148" i="4" s="1"/>
  <c r="CA148" i="4"/>
  <c r="AP25" i="4"/>
  <c r="AQ25" i="4" s="1"/>
  <c r="AF25" i="4"/>
  <c r="AG25" i="4" s="1"/>
  <c r="AB25" i="4"/>
  <c r="AC25" i="4" s="1"/>
  <c r="Z25" i="4"/>
  <c r="AA25" i="4" s="1"/>
  <c r="T25" i="4"/>
  <c r="U25" i="4" s="1"/>
  <c r="P25" i="4"/>
  <c r="Q25" i="4" s="1"/>
  <c r="AX25" i="4"/>
  <c r="AY25" i="4" s="1"/>
  <c r="AT25" i="4"/>
  <c r="AU25" i="4" s="1"/>
  <c r="AN25" i="4"/>
  <c r="AO25" i="4" s="1"/>
  <c r="AL25" i="4"/>
  <c r="AM25" i="4" s="1"/>
  <c r="AJ25" i="4"/>
  <c r="AK25" i="4" s="1"/>
  <c r="R25" i="4"/>
  <c r="S25" i="4" s="1"/>
  <c r="AR25" i="4"/>
  <c r="AS25" i="4" s="1"/>
  <c r="AH25" i="4"/>
  <c r="AI25" i="4" s="1"/>
  <c r="AD25" i="4"/>
  <c r="AE25" i="4" s="1"/>
  <c r="X25" i="4"/>
  <c r="Y25" i="4" s="1"/>
  <c r="V25" i="4"/>
  <c r="W25" i="4" s="1"/>
  <c r="N25" i="4"/>
  <c r="O25" i="4" s="1"/>
  <c r="L25" i="4"/>
  <c r="M25" i="4" s="1"/>
  <c r="J25" i="4"/>
  <c r="K25" i="4" s="1"/>
  <c r="AV25" i="4"/>
  <c r="AW25" i="4" s="1"/>
  <c r="I25" i="4"/>
  <c r="D24" i="4"/>
  <c r="G140" i="4"/>
  <c r="BY137" i="4"/>
  <c r="H137" i="4"/>
  <c r="G138" i="4"/>
  <c r="AP136" i="4"/>
  <c r="AQ136" i="4" s="1"/>
  <c r="AL136" i="4"/>
  <c r="AM136" i="4" s="1"/>
  <c r="AJ136" i="4"/>
  <c r="AK136" i="4" s="1"/>
  <c r="AH136" i="4"/>
  <c r="AI136" i="4" s="1"/>
  <c r="AD136" i="4"/>
  <c r="AE136" i="4" s="1"/>
  <c r="AV136" i="4"/>
  <c r="AW136" i="4" s="1"/>
  <c r="AT136" i="4"/>
  <c r="AU136" i="4" s="1"/>
  <c r="AN136" i="4"/>
  <c r="AO136" i="4" s="1"/>
  <c r="AB136" i="4"/>
  <c r="AC136" i="4" s="1"/>
  <c r="X136" i="4"/>
  <c r="Y136" i="4" s="1"/>
  <c r="AR136" i="4"/>
  <c r="AS136" i="4" s="1"/>
  <c r="Z136" i="4"/>
  <c r="AA136" i="4" s="1"/>
  <c r="P136" i="4"/>
  <c r="Q136" i="4" s="1"/>
  <c r="N136" i="4"/>
  <c r="O136" i="4" s="1"/>
  <c r="L136" i="4"/>
  <c r="M136" i="4" s="1"/>
  <c r="AF136" i="4"/>
  <c r="AG136" i="4" s="1"/>
  <c r="R136" i="4"/>
  <c r="S136" i="4" s="1"/>
  <c r="AX136" i="4"/>
  <c r="AY136" i="4" s="1"/>
  <c r="V136" i="4"/>
  <c r="W136" i="4" s="1"/>
  <c r="T136" i="4"/>
  <c r="U136" i="4" s="1"/>
  <c r="J136" i="4"/>
  <c r="K136" i="4" s="1"/>
  <c r="I136" i="4"/>
  <c r="DP135" i="4"/>
  <c r="DQ135" i="4" s="1"/>
  <c r="DL135" i="4"/>
  <c r="DM135" i="4" s="1"/>
  <c r="DH135" i="4"/>
  <c r="DI135" i="4" s="1"/>
  <c r="DD135" i="4"/>
  <c r="DE135" i="4" s="1"/>
  <c r="CZ135" i="4"/>
  <c r="DA135" i="4" s="1"/>
  <c r="CV135" i="4"/>
  <c r="CW135" i="4" s="1"/>
  <c r="CR135" i="4"/>
  <c r="CS135" i="4" s="1"/>
  <c r="CN135" i="4"/>
  <c r="CO135" i="4" s="1"/>
  <c r="CJ135" i="4"/>
  <c r="CK135" i="4" s="1"/>
  <c r="CF135" i="4"/>
  <c r="CG135" i="4" s="1"/>
  <c r="CB135" i="4"/>
  <c r="CC135" i="4" s="1"/>
  <c r="DN135" i="4"/>
  <c r="DO135" i="4" s="1"/>
  <c r="DF135" i="4"/>
  <c r="DG135" i="4" s="1"/>
  <c r="CX135" i="4"/>
  <c r="CY135" i="4" s="1"/>
  <c r="CP135" i="4"/>
  <c r="CQ135" i="4" s="1"/>
  <c r="CH135" i="4"/>
  <c r="CI135" i="4" s="1"/>
  <c r="CA135" i="4"/>
  <c r="DJ135" i="4"/>
  <c r="DK135" i="4" s="1"/>
  <c r="CD135" i="4"/>
  <c r="CE135" i="4" s="1"/>
  <c r="CT135" i="4"/>
  <c r="CU135" i="4" s="1"/>
  <c r="DB135" i="4"/>
  <c r="DC135" i="4" s="1"/>
  <c r="CL135" i="4"/>
  <c r="CM135" i="4" s="1"/>
  <c r="EQ136" i="4"/>
  <c r="ER136" i="4" s="1"/>
  <c r="BZ136" i="4"/>
  <c r="GH135" i="4"/>
  <c r="GI135" i="4" s="1"/>
  <c r="GD135" i="4"/>
  <c r="GE135" i="4" s="1"/>
  <c r="FZ135" i="4"/>
  <c r="GA135" i="4" s="1"/>
  <c r="FV135" i="4"/>
  <c r="FW135" i="4" s="1"/>
  <c r="FR135" i="4"/>
  <c r="FS135" i="4" s="1"/>
  <c r="FN135" i="4"/>
  <c r="FO135" i="4" s="1"/>
  <c r="FJ135" i="4"/>
  <c r="FK135" i="4" s="1"/>
  <c r="FF135" i="4"/>
  <c r="FG135" i="4" s="1"/>
  <c r="FB135" i="4"/>
  <c r="FC135" i="4" s="1"/>
  <c r="EX135" i="4"/>
  <c r="EY135" i="4" s="1"/>
  <c r="ET135" i="4"/>
  <c r="EU135" i="4" s="1"/>
  <c r="GF135" i="4"/>
  <c r="GG135" i="4" s="1"/>
  <c r="GB135" i="4"/>
  <c r="GC135" i="4" s="1"/>
  <c r="FX135" i="4"/>
  <c r="FY135" i="4" s="1"/>
  <c r="FT135" i="4"/>
  <c r="FU135" i="4" s="1"/>
  <c r="FP135" i="4"/>
  <c r="FQ135" i="4" s="1"/>
  <c r="FL135" i="4"/>
  <c r="FM135" i="4" s="1"/>
  <c r="FH135" i="4"/>
  <c r="FI135" i="4" s="1"/>
  <c r="FD135" i="4"/>
  <c r="FE135" i="4" s="1"/>
  <c r="EZ135" i="4"/>
  <c r="FA135" i="4" s="1"/>
  <c r="EV135" i="4"/>
  <c r="EW135" i="4" s="1"/>
  <c r="ES135" i="4"/>
  <c r="AR97" i="4"/>
  <c r="AS97" i="4" s="1"/>
  <c r="AN97" i="4"/>
  <c r="AO97" i="4" s="1"/>
  <c r="X97" i="4"/>
  <c r="Y97" i="4" s="1"/>
  <c r="AX97" i="4"/>
  <c r="AY97" i="4" s="1"/>
  <c r="AT97" i="4"/>
  <c r="AU97" i="4" s="1"/>
  <c r="AL97" i="4"/>
  <c r="AM97" i="4" s="1"/>
  <c r="AF97" i="4"/>
  <c r="AG97" i="4" s="1"/>
  <c r="AB97" i="4"/>
  <c r="AC97" i="4" s="1"/>
  <c r="Z97" i="4"/>
  <c r="AA97" i="4" s="1"/>
  <c r="T97" i="4"/>
  <c r="U97" i="4" s="1"/>
  <c r="AV97" i="4"/>
  <c r="AW97" i="4" s="1"/>
  <c r="AJ97" i="4"/>
  <c r="AK97" i="4" s="1"/>
  <c r="AH97" i="4"/>
  <c r="AI97" i="4" s="1"/>
  <c r="V97" i="4"/>
  <c r="W97" i="4" s="1"/>
  <c r="N97" i="4"/>
  <c r="O97" i="4" s="1"/>
  <c r="AP97" i="4"/>
  <c r="AQ97" i="4" s="1"/>
  <c r="AD97" i="4"/>
  <c r="AE97" i="4" s="1"/>
  <c r="R97" i="4"/>
  <c r="S97" i="4" s="1"/>
  <c r="P97" i="4"/>
  <c r="Q97" i="4" s="1"/>
  <c r="L97" i="4"/>
  <c r="M97" i="4" s="1"/>
  <c r="I97" i="4"/>
  <c r="J97" i="4"/>
  <c r="K97" i="4" s="1"/>
  <c r="G99" i="4"/>
  <c r="GH96" i="4"/>
  <c r="GI96" i="4" s="1"/>
  <c r="GD96" i="4"/>
  <c r="GE96" i="4" s="1"/>
  <c r="FZ96" i="4"/>
  <c r="GA96" i="4" s="1"/>
  <c r="FV96" i="4"/>
  <c r="FW96" i="4" s="1"/>
  <c r="GF96" i="4"/>
  <c r="GG96" i="4" s="1"/>
  <c r="FX96" i="4"/>
  <c r="FY96" i="4" s="1"/>
  <c r="FR96" i="4"/>
  <c r="FS96" i="4" s="1"/>
  <c r="FL96" i="4"/>
  <c r="FM96" i="4" s="1"/>
  <c r="FB96" i="4"/>
  <c r="FC96" i="4" s="1"/>
  <c r="EV96" i="4"/>
  <c r="EW96" i="4" s="1"/>
  <c r="FP96" i="4"/>
  <c r="FQ96" i="4" s="1"/>
  <c r="FF96" i="4"/>
  <c r="FG96" i="4" s="1"/>
  <c r="EZ96" i="4"/>
  <c r="FA96" i="4" s="1"/>
  <c r="FN96" i="4"/>
  <c r="FO96" i="4" s="1"/>
  <c r="FH96" i="4"/>
  <c r="FI96" i="4" s="1"/>
  <c r="EX96" i="4"/>
  <c r="EY96" i="4" s="1"/>
  <c r="ES96" i="4"/>
  <c r="ET96" i="4"/>
  <c r="EU96" i="4" s="1"/>
  <c r="FJ96" i="4"/>
  <c r="FK96" i="4" s="1"/>
  <c r="GB96" i="4"/>
  <c r="GC96" i="4" s="1"/>
  <c r="FD96" i="4"/>
  <c r="FE96" i="4" s="1"/>
  <c r="FT96" i="4"/>
  <c r="FU96" i="4" s="1"/>
  <c r="EQ97" i="4"/>
  <c r="ER97" i="4" s="1"/>
  <c r="BZ97" i="4"/>
  <c r="BY98" i="4"/>
  <c r="H98" i="4"/>
  <c r="DP96" i="4"/>
  <c r="DQ96" i="4" s="1"/>
  <c r="DL96" i="4"/>
  <c r="DM96" i="4" s="1"/>
  <c r="DH96" i="4"/>
  <c r="DI96" i="4" s="1"/>
  <c r="DD96" i="4"/>
  <c r="DE96" i="4" s="1"/>
  <c r="CZ96" i="4"/>
  <c r="DA96" i="4" s="1"/>
  <c r="CV96" i="4"/>
  <c r="CW96" i="4" s="1"/>
  <c r="CR96" i="4"/>
  <c r="CS96" i="4" s="1"/>
  <c r="CN96" i="4"/>
  <c r="CO96" i="4" s="1"/>
  <c r="DN96" i="4"/>
  <c r="DO96" i="4" s="1"/>
  <c r="DJ96" i="4"/>
  <c r="DK96" i="4" s="1"/>
  <c r="DF96" i="4"/>
  <c r="DG96" i="4" s="1"/>
  <c r="DB96" i="4"/>
  <c r="DC96" i="4" s="1"/>
  <c r="CX96" i="4"/>
  <c r="CY96" i="4" s="1"/>
  <c r="CT96" i="4"/>
  <c r="CU96" i="4" s="1"/>
  <c r="CP96" i="4"/>
  <c r="CQ96" i="4" s="1"/>
  <c r="CL96" i="4"/>
  <c r="CM96" i="4" s="1"/>
  <c r="CH96" i="4"/>
  <c r="CI96" i="4" s="1"/>
  <c r="CD96" i="4"/>
  <c r="CE96" i="4" s="1"/>
  <c r="CA96" i="4"/>
  <c r="CJ96" i="4"/>
  <c r="CK96" i="4" s="1"/>
  <c r="CF96" i="4"/>
  <c r="CG96" i="4" s="1"/>
  <c r="CB96" i="4"/>
  <c r="CC96" i="4" s="1"/>
  <c r="DP25" i="4" l="1"/>
  <c r="DQ25" i="4" s="1"/>
  <c r="DL25" i="4"/>
  <c r="DM25" i="4" s="1"/>
  <c r="DH25" i="4"/>
  <c r="DI25" i="4" s="1"/>
  <c r="DD25" i="4"/>
  <c r="DE25" i="4" s="1"/>
  <c r="CZ25" i="4"/>
  <c r="DA25" i="4" s="1"/>
  <c r="CV25" i="4"/>
  <c r="CW25" i="4" s="1"/>
  <c r="DN25" i="4"/>
  <c r="DO25" i="4" s="1"/>
  <c r="DJ25" i="4"/>
  <c r="DK25" i="4" s="1"/>
  <c r="DF25" i="4"/>
  <c r="DG25" i="4" s="1"/>
  <c r="DB25" i="4"/>
  <c r="DC25" i="4" s="1"/>
  <c r="CX25" i="4"/>
  <c r="CY25" i="4" s="1"/>
  <c r="CT25" i="4"/>
  <c r="CU25" i="4" s="1"/>
  <c r="CR25" i="4"/>
  <c r="CS25" i="4" s="1"/>
  <c r="CN25" i="4"/>
  <c r="CO25" i="4" s="1"/>
  <c r="CJ25" i="4"/>
  <c r="CK25" i="4" s="1"/>
  <c r="CF25" i="4"/>
  <c r="CG25" i="4" s="1"/>
  <c r="CB25" i="4"/>
  <c r="CC25" i="4" s="1"/>
  <c r="CP25" i="4"/>
  <c r="CQ25" i="4" s="1"/>
  <c r="CA25" i="4"/>
  <c r="CL25" i="4"/>
  <c r="CM25" i="4" s="1"/>
  <c r="CH25" i="4"/>
  <c r="CI25" i="4" s="1"/>
  <c r="CD25" i="4"/>
  <c r="CE25" i="4" s="1"/>
  <c r="GF25" i="4"/>
  <c r="GG25" i="4" s="1"/>
  <c r="GB25" i="4"/>
  <c r="GC25" i="4" s="1"/>
  <c r="FX25" i="4"/>
  <c r="FY25" i="4" s="1"/>
  <c r="FT25" i="4"/>
  <c r="FU25" i="4" s="1"/>
  <c r="FP25" i="4"/>
  <c r="FQ25" i="4" s="1"/>
  <c r="FL25" i="4"/>
  <c r="FM25" i="4" s="1"/>
  <c r="FH25" i="4"/>
  <c r="FI25" i="4" s="1"/>
  <c r="FD25" i="4"/>
  <c r="FE25" i="4" s="1"/>
  <c r="EZ25" i="4"/>
  <c r="FA25" i="4" s="1"/>
  <c r="FV25" i="4"/>
  <c r="FW25" i="4" s="1"/>
  <c r="FF25" i="4"/>
  <c r="FG25" i="4" s="1"/>
  <c r="ET25" i="4"/>
  <c r="EU25" i="4" s="1"/>
  <c r="GH25" i="4"/>
  <c r="GI25" i="4" s="1"/>
  <c r="FR25" i="4"/>
  <c r="FS25" i="4" s="1"/>
  <c r="FB25" i="4"/>
  <c r="FC25" i="4" s="1"/>
  <c r="ES25" i="4"/>
  <c r="FZ25" i="4"/>
  <c r="GA25" i="4" s="1"/>
  <c r="FJ25" i="4"/>
  <c r="FK25" i="4" s="1"/>
  <c r="EV25" i="4"/>
  <c r="EW25" i="4" s="1"/>
  <c r="GD25" i="4"/>
  <c r="GE25" i="4" s="1"/>
  <c r="FN25" i="4"/>
  <c r="FO25" i="4" s="1"/>
  <c r="EX25" i="4"/>
  <c r="EY25" i="4" s="1"/>
  <c r="GF136" i="4"/>
  <c r="GG136" i="4" s="1"/>
  <c r="GB136" i="4"/>
  <c r="GC136" i="4" s="1"/>
  <c r="FX136" i="4"/>
  <c r="FY136" i="4" s="1"/>
  <c r="FT136" i="4"/>
  <c r="FU136" i="4" s="1"/>
  <c r="FP136" i="4"/>
  <c r="FQ136" i="4" s="1"/>
  <c r="FL136" i="4"/>
  <c r="FM136" i="4" s="1"/>
  <c r="FH136" i="4"/>
  <c r="FI136" i="4" s="1"/>
  <c r="FD136" i="4"/>
  <c r="FE136" i="4" s="1"/>
  <c r="EZ136" i="4"/>
  <c r="FA136" i="4" s="1"/>
  <c r="EV136" i="4"/>
  <c r="EW136" i="4" s="1"/>
  <c r="ES136" i="4"/>
  <c r="FV136" i="4"/>
  <c r="FW136" i="4" s="1"/>
  <c r="FF136" i="4"/>
  <c r="FG136" i="4" s="1"/>
  <c r="GH136" i="4"/>
  <c r="GI136" i="4" s="1"/>
  <c r="FR136" i="4"/>
  <c r="FS136" i="4" s="1"/>
  <c r="FB136" i="4"/>
  <c r="FC136" i="4" s="1"/>
  <c r="FZ136" i="4"/>
  <c r="GA136" i="4" s="1"/>
  <c r="FJ136" i="4"/>
  <c r="FK136" i="4" s="1"/>
  <c r="ET136" i="4"/>
  <c r="EU136" i="4" s="1"/>
  <c r="EX136" i="4"/>
  <c r="EY136" i="4" s="1"/>
  <c r="GD136" i="4"/>
  <c r="GE136" i="4" s="1"/>
  <c r="FN136" i="4"/>
  <c r="FO136" i="4" s="1"/>
  <c r="EQ137" i="4"/>
  <c r="ER137" i="4" s="1"/>
  <c r="BZ137" i="4"/>
  <c r="BY140" i="4"/>
  <c r="H140" i="4"/>
  <c r="BY138" i="4"/>
  <c r="H138" i="4"/>
  <c r="G24" i="4"/>
  <c r="DN136" i="4"/>
  <c r="DO136" i="4" s="1"/>
  <c r="DJ136" i="4"/>
  <c r="DK136" i="4" s="1"/>
  <c r="DF136" i="4"/>
  <c r="DG136" i="4" s="1"/>
  <c r="DB136" i="4"/>
  <c r="DC136" i="4" s="1"/>
  <c r="CX136" i="4"/>
  <c r="CY136" i="4" s="1"/>
  <c r="CT136" i="4"/>
  <c r="CU136" i="4" s="1"/>
  <c r="CP136" i="4"/>
  <c r="CQ136" i="4" s="1"/>
  <c r="CL136" i="4"/>
  <c r="CM136" i="4" s="1"/>
  <c r="CH136" i="4"/>
  <c r="CI136" i="4" s="1"/>
  <c r="CD136" i="4"/>
  <c r="CE136" i="4" s="1"/>
  <c r="CA136" i="4"/>
  <c r="DL136" i="4"/>
  <c r="DM136" i="4" s="1"/>
  <c r="DD136" i="4"/>
  <c r="DE136" i="4" s="1"/>
  <c r="CV136" i="4"/>
  <c r="CW136" i="4" s="1"/>
  <c r="CN136" i="4"/>
  <c r="CO136" i="4" s="1"/>
  <c r="CF136" i="4"/>
  <c r="CG136" i="4" s="1"/>
  <c r="DP136" i="4"/>
  <c r="DQ136" i="4" s="1"/>
  <c r="DH136" i="4"/>
  <c r="DI136" i="4" s="1"/>
  <c r="CZ136" i="4"/>
  <c r="DA136" i="4" s="1"/>
  <c r="CR136" i="4"/>
  <c r="CS136" i="4" s="1"/>
  <c r="CJ136" i="4"/>
  <c r="CK136" i="4" s="1"/>
  <c r="CB136" i="4"/>
  <c r="CC136" i="4" s="1"/>
  <c r="AL137" i="4"/>
  <c r="AM137" i="4" s="1"/>
  <c r="AJ137" i="4"/>
  <c r="AK137" i="4" s="1"/>
  <c r="AH137" i="4"/>
  <c r="AI137" i="4" s="1"/>
  <c r="AD137" i="4"/>
  <c r="AE137" i="4" s="1"/>
  <c r="AR137" i="4"/>
  <c r="AS137" i="4" s="1"/>
  <c r="AF137" i="4"/>
  <c r="AG137" i="4" s="1"/>
  <c r="Z137" i="4"/>
  <c r="AA137" i="4" s="1"/>
  <c r="V137" i="4"/>
  <c r="W137" i="4" s="1"/>
  <c r="AP137" i="4"/>
  <c r="AQ137" i="4" s="1"/>
  <c r="T137" i="4"/>
  <c r="U137" i="4" s="1"/>
  <c r="AN137" i="4"/>
  <c r="AO137" i="4" s="1"/>
  <c r="AX137" i="4"/>
  <c r="AY137" i="4" s="1"/>
  <c r="X137" i="4"/>
  <c r="Y137" i="4" s="1"/>
  <c r="AT137" i="4"/>
  <c r="AU137" i="4" s="1"/>
  <c r="AB137" i="4"/>
  <c r="AC137" i="4" s="1"/>
  <c r="R137" i="4"/>
  <c r="S137" i="4" s="1"/>
  <c r="L137" i="4"/>
  <c r="M137" i="4" s="1"/>
  <c r="I137" i="4"/>
  <c r="AV137" i="4"/>
  <c r="AW137" i="4" s="1"/>
  <c r="P137" i="4"/>
  <c r="Q137" i="4" s="1"/>
  <c r="N137" i="4"/>
  <c r="O137" i="4" s="1"/>
  <c r="J137" i="4"/>
  <c r="K137" i="4" s="1"/>
  <c r="GH97" i="4"/>
  <c r="GI97" i="4" s="1"/>
  <c r="GD97" i="4"/>
  <c r="GE97" i="4" s="1"/>
  <c r="FZ97" i="4"/>
  <c r="GA97" i="4" s="1"/>
  <c r="FV97" i="4"/>
  <c r="FW97" i="4" s="1"/>
  <c r="FR97" i="4"/>
  <c r="FS97" i="4" s="1"/>
  <c r="FN97" i="4"/>
  <c r="FO97" i="4" s="1"/>
  <c r="FJ97" i="4"/>
  <c r="FK97" i="4" s="1"/>
  <c r="FF97" i="4"/>
  <c r="FG97" i="4" s="1"/>
  <c r="FB97" i="4"/>
  <c r="FC97" i="4" s="1"/>
  <c r="EX97" i="4"/>
  <c r="EY97" i="4" s="1"/>
  <c r="ET97" i="4"/>
  <c r="EU97" i="4" s="1"/>
  <c r="GF97" i="4"/>
  <c r="GG97" i="4" s="1"/>
  <c r="GB97" i="4"/>
  <c r="GC97" i="4" s="1"/>
  <c r="FX97" i="4"/>
  <c r="FY97" i="4" s="1"/>
  <c r="FT97" i="4"/>
  <c r="FU97" i="4" s="1"/>
  <c r="FP97" i="4"/>
  <c r="FQ97" i="4" s="1"/>
  <c r="FL97" i="4"/>
  <c r="FM97" i="4" s="1"/>
  <c r="FH97" i="4"/>
  <c r="FI97" i="4" s="1"/>
  <c r="FD97" i="4"/>
  <c r="FE97" i="4" s="1"/>
  <c r="EZ97" i="4"/>
  <c r="FA97" i="4" s="1"/>
  <c r="EV97" i="4"/>
  <c r="EW97" i="4" s="1"/>
  <c r="ES97" i="4"/>
  <c r="G100" i="4"/>
  <c r="AT98" i="4"/>
  <c r="AU98" i="4" s="1"/>
  <c r="AL98" i="4"/>
  <c r="AM98" i="4" s="1"/>
  <c r="AF98" i="4"/>
  <c r="AG98" i="4" s="1"/>
  <c r="AB98" i="4"/>
  <c r="AC98" i="4" s="1"/>
  <c r="Z98" i="4"/>
  <c r="AA98" i="4" s="1"/>
  <c r="T98" i="4"/>
  <c r="U98" i="4" s="1"/>
  <c r="AX98" i="4"/>
  <c r="AY98" i="4" s="1"/>
  <c r="AV98" i="4"/>
  <c r="AW98" i="4" s="1"/>
  <c r="AJ98" i="4"/>
  <c r="AK98" i="4" s="1"/>
  <c r="AH98" i="4"/>
  <c r="AI98" i="4" s="1"/>
  <c r="V98" i="4"/>
  <c r="W98" i="4" s="1"/>
  <c r="N98" i="4"/>
  <c r="O98" i="4" s="1"/>
  <c r="AP98" i="4"/>
  <c r="AQ98" i="4" s="1"/>
  <c r="AD98" i="4"/>
  <c r="AE98" i="4" s="1"/>
  <c r="R98" i="4"/>
  <c r="S98" i="4" s="1"/>
  <c r="P98" i="4"/>
  <c r="Q98" i="4" s="1"/>
  <c r="AR98" i="4"/>
  <c r="AS98" i="4" s="1"/>
  <c r="AN98" i="4"/>
  <c r="AO98" i="4" s="1"/>
  <c r="X98" i="4"/>
  <c r="Y98" i="4" s="1"/>
  <c r="I98" i="4"/>
  <c r="L98" i="4"/>
  <c r="M98" i="4" s="1"/>
  <c r="J98" i="4"/>
  <c r="K98" i="4" s="1"/>
  <c r="EQ98" i="4"/>
  <c r="ER98" i="4" s="1"/>
  <c r="BZ98" i="4"/>
  <c r="DN97" i="4"/>
  <c r="DO97" i="4" s="1"/>
  <c r="DJ97" i="4"/>
  <c r="DK97" i="4" s="1"/>
  <c r="DF97" i="4"/>
  <c r="DG97" i="4" s="1"/>
  <c r="DB97" i="4"/>
  <c r="DC97" i="4" s="1"/>
  <c r="CX97" i="4"/>
  <c r="CY97" i="4" s="1"/>
  <c r="CT97" i="4"/>
  <c r="CU97" i="4" s="1"/>
  <c r="CP97" i="4"/>
  <c r="CQ97" i="4" s="1"/>
  <c r="CL97" i="4"/>
  <c r="CM97" i="4" s="1"/>
  <c r="CH97" i="4"/>
  <c r="CI97" i="4" s="1"/>
  <c r="CD97" i="4"/>
  <c r="CE97" i="4" s="1"/>
  <c r="CA97" i="4"/>
  <c r="DP97" i="4"/>
  <c r="DQ97" i="4" s="1"/>
  <c r="DL97" i="4"/>
  <c r="DM97" i="4" s="1"/>
  <c r="DH97" i="4"/>
  <c r="DI97" i="4" s="1"/>
  <c r="DD97" i="4"/>
  <c r="DE97" i="4" s="1"/>
  <c r="CZ97" i="4"/>
  <c r="DA97" i="4" s="1"/>
  <c r="CV97" i="4"/>
  <c r="CW97" i="4" s="1"/>
  <c r="CR97" i="4"/>
  <c r="CS97" i="4" s="1"/>
  <c r="CN97" i="4"/>
  <c r="CO97" i="4" s="1"/>
  <c r="CJ97" i="4"/>
  <c r="CK97" i="4" s="1"/>
  <c r="CF97" i="4"/>
  <c r="CG97" i="4" s="1"/>
  <c r="CB97" i="4"/>
  <c r="CC97" i="4" s="1"/>
  <c r="BY99" i="4"/>
  <c r="H99" i="4"/>
  <c r="AR138" i="4" l="1"/>
  <c r="AS138" i="4" s="1"/>
  <c r="AF138" i="4"/>
  <c r="AG138" i="4" s="1"/>
  <c r="Z138" i="4"/>
  <c r="AA138" i="4" s="1"/>
  <c r="V138" i="4"/>
  <c r="W138" i="4" s="1"/>
  <c r="AV138" i="4"/>
  <c r="AW138" i="4" s="1"/>
  <c r="AT138" i="4"/>
  <c r="AU138" i="4" s="1"/>
  <c r="AN138" i="4"/>
  <c r="AO138" i="4" s="1"/>
  <c r="AB138" i="4"/>
  <c r="AC138" i="4" s="1"/>
  <c r="X138" i="4"/>
  <c r="Y138" i="4" s="1"/>
  <c r="AL138" i="4"/>
  <c r="AM138" i="4" s="1"/>
  <c r="AJ138" i="4"/>
  <c r="AK138" i="4" s="1"/>
  <c r="AH138" i="4"/>
  <c r="AI138" i="4" s="1"/>
  <c r="AD138" i="4"/>
  <c r="AE138" i="4" s="1"/>
  <c r="T138" i="4"/>
  <c r="U138" i="4" s="1"/>
  <c r="R138" i="4"/>
  <c r="S138" i="4" s="1"/>
  <c r="J138" i="4"/>
  <c r="K138" i="4" s="1"/>
  <c r="P138" i="4"/>
  <c r="Q138" i="4" s="1"/>
  <c r="N138" i="4"/>
  <c r="O138" i="4" s="1"/>
  <c r="L138" i="4"/>
  <c r="M138" i="4" s="1"/>
  <c r="AX138" i="4"/>
  <c r="AY138" i="4" s="1"/>
  <c r="AP138" i="4"/>
  <c r="AQ138" i="4" s="1"/>
  <c r="I138" i="4"/>
  <c r="DN137" i="4"/>
  <c r="DO137" i="4" s="1"/>
  <c r="DJ137" i="4"/>
  <c r="DK137" i="4" s="1"/>
  <c r="DF137" i="4"/>
  <c r="DG137" i="4" s="1"/>
  <c r="DP137" i="4"/>
  <c r="DQ137" i="4" s="1"/>
  <c r="DL137" i="4"/>
  <c r="DM137" i="4" s="1"/>
  <c r="DH137" i="4"/>
  <c r="DI137" i="4" s="1"/>
  <c r="DD137" i="4"/>
  <c r="DE137" i="4" s="1"/>
  <c r="CZ137" i="4"/>
  <c r="DA137" i="4" s="1"/>
  <c r="CV137" i="4"/>
  <c r="CW137" i="4" s="1"/>
  <c r="CR137" i="4"/>
  <c r="CS137" i="4" s="1"/>
  <c r="CN137" i="4"/>
  <c r="CO137" i="4" s="1"/>
  <c r="CJ137" i="4"/>
  <c r="CK137" i="4" s="1"/>
  <c r="CF137" i="4"/>
  <c r="CG137" i="4" s="1"/>
  <c r="CB137" i="4"/>
  <c r="CC137" i="4" s="1"/>
  <c r="CX137" i="4"/>
  <c r="CY137" i="4" s="1"/>
  <c r="CP137" i="4"/>
  <c r="CQ137" i="4" s="1"/>
  <c r="CH137" i="4"/>
  <c r="CI137" i="4" s="1"/>
  <c r="CA137" i="4"/>
  <c r="CT137" i="4"/>
  <c r="CU137" i="4" s="1"/>
  <c r="CL137" i="4"/>
  <c r="CM137" i="4" s="1"/>
  <c r="DB137" i="4"/>
  <c r="DC137" i="4" s="1"/>
  <c r="CD137" i="4"/>
  <c r="CE137" i="4" s="1"/>
  <c r="EQ138" i="4"/>
  <c r="ER138" i="4" s="1"/>
  <c r="BZ138" i="4"/>
  <c r="GF137" i="4"/>
  <c r="GG137" i="4" s="1"/>
  <c r="GB137" i="4"/>
  <c r="GC137" i="4" s="1"/>
  <c r="FX137" i="4"/>
  <c r="FY137" i="4" s="1"/>
  <c r="FT137" i="4"/>
  <c r="FU137" i="4" s="1"/>
  <c r="FP137" i="4"/>
  <c r="FQ137" i="4" s="1"/>
  <c r="FL137" i="4"/>
  <c r="FM137" i="4" s="1"/>
  <c r="FH137" i="4"/>
  <c r="FI137" i="4" s="1"/>
  <c r="FD137" i="4"/>
  <c r="FE137" i="4" s="1"/>
  <c r="EZ137" i="4"/>
  <c r="FA137" i="4" s="1"/>
  <c r="EV137" i="4"/>
  <c r="EW137" i="4" s="1"/>
  <c r="ES137" i="4"/>
  <c r="GH137" i="4"/>
  <c r="GI137" i="4" s="1"/>
  <c r="GD137" i="4"/>
  <c r="GE137" i="4" s="1"/>
  <c r="FZ137" i="4"/>
  <c r="GA137" i="4" s="1"/>
  <c r="FV137" i="4"/>
  <c r="FW137" i="4" s="1"/>
  <c r="FR137" i="4"/>
  <c r="FS137" i="4" s="1"/>
  <c r="FN137" i="4"/>
  <c r="FO137" i="4" s="1"/>
  <c r="FJ137" i="4"/>
  <c r="FK137" i="4" s="1"/>
  <c r="FF137" i="4"/>
  <c r="FG137" i="4" s="1"/>
  <c r="FB137" i="4"/>
  <c r="FC137" i="4" s="1"/>
  <c r="EX137" i="4"/>
  <c r="EY137" i="4" s="1"/>
  <c r="ET137" i="4"/>
  <c r="EU137" i="4" s="1"/>
  <c r="BY24" i="4"/>
  <c r="H24" i="4"/>
  <c r="AP140" i="4"/>
  <c r="AQ140" i="4" s="1"/>
  <c r="T140" i="4"/>
  <c r="U140" i="4" s="1"/>
  <c r="AL140" i="4"/>
  <c r="AM140" i="4" s="1"/>
  <c r="AJ140" i="4"/>
  <c r="AK140" i="4" s="1"/>
  <c r="AH140" i="4"/>
  <c r="AI140" i="4" s="1"/>
  <c r="AD140" i="4"/>
  <c r="AE140" i="4" s="1"/>
  <c r="AV140" i="4"/>
  <c r="AW140" i="4" s="1"/>
  <c r="AT140" i="4"/>
  <c r="AU140" i="4" s="1"/>
  <c r="AN140" i="4"/>
  <c r="AO140" i="4" s="1"/>
  <c r="AB140" i="4"/>
  <c r="AC140" i="4" s="1"/>
  <c r="X140" i="4"/>
  <c r="Y140" i="4" s="1"/>
  <c r="AX140" i="4"/>
  <c r="AY140" i="4" s="1"/>
  <c r="AF140" i="4"/>
  <c r="AG140" i="4" s="1"/>
  <c r="P140" i="4"/>
  <c r="Q140" i="4" s="1"/>
  <c r="N140" i="4"/>
  <c r="O140" i="4" s="1"/>
  <c r="L140" i="4"/>
  <c r="M140" i="4" s="1"/>
  <c r="J140" i="4"/>
  <c r="K140" i="4" s="1"/>
  <c r="I140" i="4"/>
  <c r="AR140" i="4"/>
  <c r="AS140" i="4" s="1"/>
  <c r="Z140" i="4"/>
  <c r="AA140" i="4" s="1"/>
  <c r="R140" i="4"/>
  <c r="S140" i="4" s="1"/>
  <c r="V140" i="4"/>
  <c r="W140" i="4" s="1"/>
  <c r="EQ140" i="4"/>
  <c r="ER140" i="4" s="1"/>
  <c r="BZ140" i="4"/>
  <c r="FZ98" i="4"/>
  <c r="GA98" i="4" s="1"/>
  <c r="FT98" i="4"/>
  <c r="FU98" i="4" s="1"/>
  <c r="FJ98" i="4"/>
  <c r="FK98" i="4" s="1"/>
  <c r="GD98" i="4"/>
  <c r="GE98" i="4" s="1"/>
  <c r="FX98" i="4"/>
  <c r="FY98" i="4" s="1"/>
  <c r="FN98" i="4"/>
  <c r="FO98" i="4" s="1"/>
  <c r="FH98" i="4"/>
  <c r="FI98" i="4" s="1"/>
  <c r="FD98" i="4"/>
  <c r="FE98" i="4" s="1"/>
  <c r="EZ98" i="4"/>
  <c r="FA98" i="4" s="1"/>
  <c r="EV98" i="4"/>
  <c r="EW98" i="4" s="1"/>
  <c r="ES98" i="4"/>
  <c r="GH98" i="4"/>
  <c r="GI98" i="4" s="1"/>
  <c r="GB98" i="4"/>
  <c r="GC98" i="4" s="1"/>
  <c r="FR98" i="4"/>
  <c r="FS98" i="4" s="1"/>
  <c r="FL98" i="4"/>
  <c r="FM98" i="4" s="1"/>
  <c r="FV98" i="4"/>
  <c r="FW98" i="4" s="1"/>
  <c r="FB98" i="4"/>
  <c r="FC98" i="4" s="1"/>
  <c r="FP98" i="4"/>
  <c r="FQ98" i="4" s="1"/>
  <c r="EX98" i="4"/>
  <c r="EY98" i="4" s="1"/>
  <c r="FF98" i="4"/>
  <c r="FG98" i="4" s="1"/>
  <c r="ET98" i="4"/>
  <c r="EU98" i="4" s="1"/>
  <c r="GF98" i="4"/>
  <c r="GG98" i="4" s="1"/>
  <c r="G101" i="4"/>
  <c r="EQ99" i="4"/>
  <c r="ER99" i="4" s="1"/>
  <c r="BZ99" i="4"/>
  <c r="AV99" i="4"/>
  <c r="AW99" i="4" s="1"/>
  <c r="AJ99" i="4"/>
  <c r="AK99" i="4" s="1"/>
  <c r="AH99" i="4"/>
  <c r="AI99" i="4" s="1"/>
  <c r="V99" i="4"/>
  <c r="W99" i="4" s="1"/>
  <c r="N99" i="4"/>
  <c r="O99" i="4" s="1"/>
  <c r="AX99" i="4"/>
  <c r="AY99" i="4" s="1"/>
  <c r="AP99" i="4"/>
  <c r="AQ99" i="4" s="1"/>
  <c r="AD99" i="4"/>
  <c r="AE99" i="4" s="1"/>
  <c r="R99" i="4"/>
  <c r="S99" i="4" s="1"/>
  <c r="P99" i="4"/>
  <c r="Q99" i="4" s="1"/>
  <c r="AR99" i="4"/>
  <c r="AS99" i="4" s="1"/>
  <c r="AN99" i="4"/>
  <c r="AO99" i="4" s="1"/>
  <c r="X99" i="4"/>
  <c r="Y99" i="4" s="1"/>
  <c r="AT99" i="4"/>
  <c r="AU99" i="4" s="1"/>
  <c r="AL99" i="4"/>
  <c r="AM99" i="4" s="1"/>
  <c r="AF99" i="4"/>
  <c r="AG99" i="4" s="1"/>
  <c r="AB99" i="4"/>
  <c r="AC99" i="4" s="1"/>
  <c r="Z99" i="4"/>
  <c r="AA99" i="4" s="1"/>
  <c r="T99" i="4"/>
  <c r="U99" i="4" s="1"/>
  <c r="L99" i="4"/>
  <c r="M99" i="4" s="1"/>
  <c r="I99" i="4"/>
  <c r="J99" i="4"/>
  <c r="K99" i="4" s="1"/>
  <c r="DP98" i="4"/>
  <c r="DQ98" i="4" s="1"/>
  <c r="DL98" i="4"/>
  <c r="DM98" i="4" s="1"/>
  <c r="DH98" i="4"/>
  <c r="DI98" i="4" s="1"/>
  <c r="DD98" i="4"/>
  <c r="DE98" i="4" s="1"/>
  <c r="CZ98" i="4"/>
  <c r="DA98" i="4" s="1"/>
  <c r="CV98" i="4"/>
  <c r="CW98" i="4" s="1"/>
  <c r="CR98" i="4"/>
  <c r="CS98" i="4" s="1"/>
  <c r="CN98" i="4"/>
  <c r="CO98" i="4" s="1"/>
  <c r="CJ98" i="4"/>
  <c r="CK98" i="4" s="1"/>
  <c r="CF98" i="4"/>
  <c r="CG98" i="4" s="1"/>
  <c r="CB98" i="4"/>
  <c r="CC98" i="4" s="1"/>
  <c r="DN98" i="4"/>
  <c r="DO98" i="4" s="1"/>
  <c r="DJ98" i="4"/>
  <c r="DK98" i="4" s="1"/>
  <c r="DF98" i="4"/>
  <c r="DG98" i="4" s="1"/>
  <c r="DB98" i="4"/>
  <c r="DC98" i="4" s="1"/>
  <c r="CX98" i="4"/>
  <c r="CY98" i="4" s="1"/>
  <c r="CT98" i="4"/>
  <c r="CU98" i="4" s="1"/>
  <c r="CP98" i="4"/>
  <c r="CQ98" i="4" s="1"/>
  <c r="CL98" i="4"/>
  <c r="CM98" i="4" s="1"/>
  <c r="CH98" i="4"/>
  <c r="CI98" i="4" s="1"/>
  <c r="CD98" i="4"/>
  <c r="CE98" i="4" s="1"/>
  <c r="CA98" i="4"/>
  <c r="BY100" i="4"/>
  <c r="H100" i="4"/>
  <c r="EQ24" i="4" l="1"/>
  <c r="ER24" i="4" s="1"/>
  <c r="BZ24" i="4"/>
  <c r="DN140" i="4"/>
  <c r="DO140" i="4" s="1"/>
  <c r="DJ140" i="4"/>
  <c r="DK140" i="4" s="1"/>
  <c r="DF140" i="4"/>
  <c r="DG140" i="4" s="1"/>
  <c r="DB140" i="4"/>
  <c r="DC140" i="4" s="1"/>
  <c r="CX140" i="4"/>
  <c r="CY140" i="4" s="1"/>
  <c r="CT140" i="4"/>
  <c r="CU140" i="4" s="1"/>
  <c r="CP140" i="4"/>
  <c r="CQ140" i="4" s="1"/>
  <c r="CL140" i="4"/>
  <c r="CM140" i="4" s="1"/>
  <c r="CH140" i="4"/>
  <c r="CI140" i="4" s="1"/>
  <c r="CD140" i="4"/>
  <c r="CE140" i="4" s="1"/>
  <c r="CA140" i="4"/>
  <c r="DP140" i="4"/>
  <c r="DQ140" i="4" s="1"/>
  <c r="CZ140" i="4"/>
  <c r="DA140" i="4" s="1"/>
  <c r="CJ140" i="4"/>
  <c r="CK140" i="4" s="1"/>
  <c r="DL140" i="4"/>
  <c r="DM140" i="4" s="1"/>
  <c r="CV140" i="4"/>
  <c r="CW140" i="4" s="1"/>
  <c r="CF140" i="4"/>
  <c r="CG140" i="4" s="1"/>
  <c r="DH140" i="4"/>
  <c r="DI140" i="4" s="1"/>
  <c r="CR140" i="4"/>
  <c r="CS140" i="4" s="1"/>
  <c r="CB140" i="4"/>
  <c r="CC140" i="4" s="1"/>
  <c r="CN140" i="4"/>
  <c r="CO140" i="4" s="1"/>
  <c r="DD140" i="4"/>
  <c r="DE140" i="4" s="1"/>
  <c r="AR24" i="4"/>
  <c r="AS24" i="4" s="1"/>
  <c r="AN24" i="4"/>
  <c r="AO24" i="4" s="1"/>
  <c r="AL24" i="4"/>
  <c r="AM24" i="4" s="1"/>
  <c r="AJ24" i="4"/>
  <c r="AK24" i="4" s="1"/>
  <c r="AF24" i="4"/>
  <c r="AG24" i="4" s="1"/>
  <c r="AV24" i="4"/>
  <c r="AW24" i="4" s="1"/>
  <c r="AP24" i="4"/>
  <c r="AQ24" i="4" s="1"/>
  <c r="AD24" i="4"/>
  <c r="AE24" i="4" s="1"/>
  <c r="Z24" i="4"/>
  <c r="AA24" i="4" s="1"/>
  <c r="V24" i="4"/>
  <c r="W24" i="4" s="1"/>
  <c r="AH24" i="4"/>
  <c r="AI24" i="4" s="1"/>
  <c r="R24" i="4"/>
  <c r="S24" i="4" s="1"/>
  <c r="P24" i="4"/>
  <c r="Q24" i="4" s="1"/>
  <c r="AX24" i="4"/>
  <c r="AY24" i="4" s="1"/>
  <c r="J24" i="4"/>
  <c r="K24" i="4" s="1"/>
  <c r="AB24" i="4"/>
  <c r="AC24" i="4" s="1"/>
  <c r="T24" i="4"/>
  <c r="U24" i="4" s="1"/>
  <c r="X24" i="4"/>
  <c r="Y24" i="4" s="1"/>
  <c r="N24" i="4"/>
  <c r="O24" i="4" s="1"/>
  <c r="L24" i="4"/>
  <c r="M24" i="4" s="1"/>
  <c r="I24" i="4"/>
  <c r="AT24" i="4"/>
  <c r="AU24" i="4" s="1"/>
  <c r="DN138" i="4"/>
  <c r="DO138" i="4" s="1"/>
  <c r="DL138" i="4"/>
  <c r="DM138" i="4" s="1"/>
  <c r="DH138" i="4"/>
  <c r="DI138" i="4" s="1"/>
  <c r="DD138" i="4"/>
  <c r="DE138" i="4" s="1"/>
  <c r="CZ138" i="4"/>
  <c r="DA138" i="4" s="1"/>
  <c r="CV138" i="4"/>
  <c r="CW138" i="4" s="1"/>
  <c r="CR138" i="4"/>
  <c r="CS138" i="4" s="1"/>
  <c r="CN138" i="4"/>
  <c r="CO138" i="4" s="1"/>
  <c r="CJ138" i="4"/>
  <c r="CK138" i="4" s="1"/>
  <c r="CF138" i="4"/>
  <c r="CG138" i="4" s="1"/>
  <c r="CB138" i="4"/>
  <c r="CC138" i="4" s="1"/>
  <c r="DJ138" i="4"/>
  <c r="DK138" i="4" s="1"/>
  <c r="DF138" i="4"/>
  <c r="DG138" i="4" s="1"/>
  <c r="DB138" i="4"/>
  <c r="DC138" i="4" s="1"/>
  <c r="CX138" i="4"/>
  <c r="CY138" i="4" s="1"/>
  <c r="CT138" i="4"/>
  <c r="CU138" i="4" s="1"/>
  <c r="CP138" i="4"/>
  <c r="CQ138" i="4" s="1"/>
  <c r="CL138" i="4"/>
  <c r="CM138" i="4" s="1"/>
  <c r="CH138" i="4"/>
  <c r="CI138" i="4" s="1"/>
  <c r="CD138" i="4"/>
  <c r="CE138" i="4" s="1"/>
  <c r="CA138" i="4"/>
  <c r="DP138" i="4"/>
  <c r="DQ138" i="4" s="1"/>
  <c r="GF140" i="4"/>
  <c r="GG140" i="4" s="1"/>
  <c r="GB140" i="4"/>
  <c r="GC140" i="4" s="1"/>
  <c r="FX140" i="4"/>
  <c r="FY140" i="4" s="1"/>
  <c r="FT140" i="4"/>
  <c r="FU140" i="4" s="1"/>
  <c r="FP140" i="4"/>
  <c r="FQ140" i="4" s="1"/>
  <c r="FL140" i="4"/>
  <c r="FM140" i="4" s="1"/>
  <c r="FH140" i="4"/>
  <c r="FI140" i="4" s="1"/>
  <c r="FD140" i="4"/>
  <c r="FE140" i="4" s="1"/>
  <c r="EZ140" i="4"/>
  <c r="FA140" i="4" s="1"/>
  <c r="EV140" i="4"/>
  <c r="EW140" i="4" s="1"/>
  <c r="ES140" i="4"/>
  <c r="FZ140" i="4"/>
  <c r="GA140" i="4" s="1"/>
  <c r="FJ140" i="4"/>
  <c r="FK140" i="4" s="1"/>
  <c r="ET140" i="4"/>
  <c r="EU140" i="4" s="1"/>
  <c r="FV140" i="4"/>
  <c r="FW140" i="4" s="1"/>
  <c r="FF140" i="4"/>
  <c r="FG140" i="4" s="1"/>
  <c r="GD140" i="4"/>
  <c r="GE140" i="4" s="1"/>
  <c r="FN140" i="4"/>
  <c r="FO140" i="4" s="1"/>
  <c r="EX140" i="4"/>
  <c r="EY140" i="4" s="1"/>
  <c r="FB140" i="4"/>
  <c r="FC140" i="4" s="1"/>
  <c r="GH140" i="4"/>
  <c r="GI140" i="4" s="1"/>
  <c r="FR140" i="4"/>
  <c r="FS140" i="4" s="1"/>
  <c r="GH138" i="4"/>
  <c r="GI138" i="4" s="1"/>
  <c r="GD138" i="4"/>
  <c r="GE138" i="4" s="1"/>
  <c r="FZ138" i="4"/>
  <c r="GA138" i="4" s="1"/>
  <c r="FV138" i="4"/>
  <c r="FW138" i="4" s="1"/>
  <c r="FR138" i="4"/>
  <c r="FS138" i="4" s="1"/>
  <c r="FN138" i="4"/>
  <c r="FO138" i="4" s="1"/>
  <c r="FJ138" i="4"/>
  <c r="FK138" i="4" s="1"/>
  <c r="FF138" i="4"/>
  <c r="FG138" i="4" s="1"/>
  <c r="FB138" i="4"/>
  <c r="FC138" i="4" s="1"/>
  <c r="EX138" i="4"/>
  <c r="EY138" i="4" s="1"/>
  <c r="ET138" i="4"/>
  <c r="EU138" i="4" s="1"/>
  <c r="FT138" i="4"/>
  <c r="FU138" i="4" s="1"/>
  <c r="FD138" i="4"/>
  <c r="FE138" i="4" s="1"/>
  <c r="GF138" i="4"/>
  <c r="GG138" i="4" s="1"/>
  <c r="FP138" i="4"/>
  <c r="FQ138" i="4" s="1"/>
  <c r="EZ138" i="4"/>
  <c r="FA138" i="4" s="1"/>
  <c r="FX138" i="4"/>
  <c r="FY138" i="4" s="1"/>
  <c r="FH138" i="4"/>
  <c r="FI138" i="4" s="1"/>
  <c r="ES138" i="4"/>
  <c r="GB138" i="4"/>
  <c r="GC138" i="4" s="1"/>
  <c r="FL138" i="4"/>
  <c r="FM138" i="4" s="1"/>
  <c r="EV138" i="4"/>
  <c r="EW138" i="4" s="1"/>
  <c r="EQ100" i="4"/>
  <c r="ER100" i="4" s="1"/>
  <c r="BZ100" i="4"/>
  <c r="BY101" i="4"/>
  <c r="H101" i="4"/>
  <c r="DN99" i="4"/>
  <c r="DO99" i="4" s="1"/>
  <c r="DJ99" i="4"/>
  <c r="DK99" i="4" s="1"/>
  <c r="DF99" i="4"/>
  <c r="DG99" i="4" s="1"/>
  <c r="DB99" i="4"/>
  <c r="DC99" i="4" s="1"/>
  <c r="CX99" i="4"/>
  <c r="CY99" i="4" s="1"/>
  <c r="CT99" i="4"/>
  <c r="CU99" i="4" s="1"/>
  <c r="CP99" i="4"/>
  <c r="CQ99" i="4" s="1"/>
  <c r="CL99" i="4"/>
  <c r="CM99" i="4" s="1"/>
  <c r="CH99" i="4"/>
  <c r="CI99" i="4" s="1"/>
  <c r="CD99" i="4"/>
  <c r="CE99" i="4" s="1"/>
  <c r="CA99" i="4"/>
  <c r="DP99" i="4"/>
  <c r="DQ99" i="4" s="1"/>
  <c r="DL99" i="4"/>
  <c r="DM99" i="4" s="1"/>
  <c r="DH99" i="4"/>
  <c r="DI99" i="4" s="1"/>
  <c r="DD99" i="4"/>
  <c r="DE99" i="4" s="1"/>
  <c r="CZ99" i="4"/>
  <c r="DA99" i="4" s="1"/>
  <c r="CV99" i="4"/>
  <c r="CW99" i="4" s="1"/>
  <c r="CR99" i="4"/>
  <c r="CS99" i="4" s="1"/>
  <c r="CN99" i="4"/>
  <c r="CO99" i="4" s="1"/>
  <c r="CJ99" i="4"/>
  <c r="CK99" i="4" s="1"/>
  <c r="CF99" i="4"/>
  <c r="CG99" i="4" s="1"/>
  <c r="CB99" i="4"/>
  <c r="CC99" i="4" s="1"/>
  <c r="G102" i="4"/>
  <c r="GF99" i="4"/>
  <c r="GG99" i="4" s="1"/>
  <c r="GB99" i="4"/>
  <c r="GC99" i="4" s="1"/>
  <c r="FX99" i="4"/>
  <c r="FY99" i="4" s="1"/>
  <c r="FT99" i="4"/>
  <c r="FU99" i="4" s="1"/>
  <c r="FP99" i="4"/>
  <c r="FQ99" i="4" s="1"/>
  <c r="FL99" i="4"/>
  <c r="FM99" i="4" s="1"/>
  <c r="FH99" i="4"/>
  <c r="FI99" i="4" s="1"/>
  <c r="FD99" i="4"/>
  <c r="FE99" i="4" s="1"/>
  <c r="EZ99" i="4"/>
  <c r="FA99" i="4" s="1"/>
  <c r="EV99" i="4"/>
  <c r="EW99" i="4" s="1"/>
  <c r="ES99" i="4"/>
  <c r="GD99" i="4"/>
  <c r="GE99" i="4" s="1"/>
  <c r="FN99" i="4"/>
  <c r="FO99" i="4" s="1"/>
  <c r="EX99" i="4"/>
  <c r="EY99" i="4" s="1"/>
  <c r="GH99" i="4"/>
  <c r="GI99" i="4" s="1"/>
  <c r="FR99" i="4"/>
  <c r="FS99" i="4" s="1"/>
  <c r="FB99" i="4"/>
  <c r="FC99" i="4" s="1"/>
  <c r="FV99" i="4"/>
  <c r="FW99" i="4" s="1"/>
  <c r="FF99" i="4"/>
  <c r="FG99" i="4" s="1"/>
  <c r="FZ99" i="4"/>
  <c r="GA99" i="4" s="1"/>
  <c r="FJ99" i="4"/>
  <c r="FK99" i="4" s="1"/>
  <c r="ET99" i="4"/>
  <c r="EU99" i="4" s="1"/>
  <c r="AP100" i="4"/>
  <c r="AQ100" i="4" s="1"/>
  <c r="AD100" i="4"/>
  <c r="AE100" i="4" s="1"/>
  <c r="R100" i="4"/>
  <c r="S100" i="4" s="1"/>
  <c r="P100" i="4"/>
  <c r="Q100" i="4" s="1"/>
  <c r="AX100" i="4"/>
  <c r="AY100" i="4" s="1"/>
  <c r="AR100" i="4"/>
  <c r="AS100" i="4" s="1"/>
  <c r="AN100" i="4"/>
  <c r="AO100" i="4" s="1"/>
  <c r="X100" i="4"/>
  <c r="Y100" i="4" s="1"/>
  <c r="AT100" i="4"/>
  <c r="AU100" i="4" s="1"/>
  <c r="AL100" i="4"/>
  <c r="AM100" i="4" s="1"/>
  <c r="AF100" i="4"/>
  <c r="AG100" i="4" s="1"/>
  <c r="AB100" i="4"/>
  <c r="AC100" i="4" s="1"/>
  <c r="Z100" i="4"/>
  <c r="AA100" i="4" s="1"/>
  <c r="T100" i="4"/>
  <c r="U100" i="4" s="1"/>
  <c r="AV100" i="4"/>
  <c r="AW100" i="4" s="1"/>
  <c r="AJ100" i="4"/>
  <c r="AK100" i="4" s="1"/>
  <c r="AH100" i="4"/>
  <c r="AI100" i="4" s="1"/>
  <c r="V100" i="4"/>
  <c r="W100" i="4" s="1"/>
  <c r="N100" i="4"/>
  <c r="O100" i="4" s="1"/>
  <c r="J100" i="4"/>
  <c r="K100" i="4" s="1"/>
  <c r="I100" i="4"/>
  <c r="L100" i="4"/>
  <c r="M100" i="4" s="1"/>
  <c r="DP24" i="4" l="1"/>
  <c r="DQ24" i="4" s="1"/>
  <c r="DL24" i="4"/>
  <c r="DM24" i="4" s="1"/>
  <c r="DH24" i="4"/>
  <c r="DI24" i="4" s="1"/>
  <c r="DD24" i="4"/>
  <c r="DE24" i="4" s="1"/>
  <c r="CZ24" i="4"/>
  <c r="DA24" i="4" s="1"/>
  <c r="CV24" i="4"/>
  <c r="CW24" i="4" s="1"/>
  <c r="CR24" i="4"/>
  <c r="CS24" i="4" s="1"/>
  <c r="CN24" i="4"/>
  <c r="CO24" i="4" s="1"/>
  <c r="CJ24" i="4"/>
  <c r="CK24" i="4" s="1"/>
  <c r="CF24" i="4"/>
  <c r="CG24" i="4" s="1"/>
  <c r="CB24" i="4"/>
  <c r="CC24" i="4" s="1"/>
  <c r="DJ24" i="4"/>
  <c r="DK24" i="4" s="1"/>
  <c r="CT24" i="4"/>
  <c r="CU24" i="4" s="1"/>
  <c r="CD24" i="4"/>
  <c r="CE24" i="4" s="1"/>
  <c r="DB24" i="4"/>
  <c r="DC24" i="4" s="1"/>
  <c r="DF24" i="4"/>
  <c r="DG24" i="4" s="1"/>
  <c r="CP24" i="4"/>
  <c r="CQ24" i="4" s="1"/>
  <c r="CA24" i="4"/>
  <c r="CL24" i="4"/>
  <c r="CM24" i="4" s="1"/>
  <c r="DN24" i="4"/>
  <c r="DO24" i="4" s="1"/>
  <c r="CX24" i="4"/>
  <c r="CY24" i="4" s="1"/>
  <c r="CH24" i="4"/>
  <c r="CI24" i="4" s="1"/>
  <c r="GF24" i="4"/>
  <c r="GG24" i="4" s="1"/>
  <c r="GB24" i="4"/>
  <c r="GC24" i="4" s="1"/>
  <c r="FX24" i="4"/>
  <c r="FY24" i="4" s="1"/>
  <c r="FT24" i="4"/>
  <c r="FU24" i="4" s="1"/>
  <c r="FP24" i="4"/>
  <c r="FQ24" i="4" s="1"/>
  <c r="FL24" i="4"/>
  <c r="FM24" i="4" s="1"/>
  <c r="FH24" i="4"/>
  <c r="FI24" i="4" s="1"/>
  <c r="FD24" i="4"/>
  <c r="FE24" i="4" s="1"/>
  <c r="EZ24" i="4"/>
  <c r="FA24" i="4" s="1"/>
  <c r="EV24" i="4"/>
  <c r="EW24" i="4" s="1"/>
  <c r="ES24" i="4"/>
  <c r="FV24" i="4"/>
  <c r="FW24" i="4" s="1"/>
  <c r="FF24" i="4"/>
  <c r="FG24" i="4" s="1"/>
  <c r="GH24" i="4"/>
  <c r="GI24" i="4" s="1"/>
  <c r="FR24" i="4"/>
  <c r="FS24" i="4" s="1"/>
  <c r="FB24" i="4"/>
  <c r="FC24" i="4" s="1"/>
  <c r="GD24" i="4"/>
  <c r="GE24" i="4" s="1"/>
  <c r="FN24" i="4"/>
  <c r="FO24" i="4" s="1"/>
  <c r="EX24" i="4"/>
  <c r="EY24" i="4" s="1"/>
  <c r="FZ24" i="4"/>
  <c r="GA24" i="4" s="1"/>
  <c r="FJ24" i="4"/>
  <c r="FK24" i="4" s="1"/>
  <c r="ET24" i="4"/>
  <c r="EU24" i="4" s="1"/>
  <c r="GB100" i="4"/>
  <c r="GC100" i="4" s="1"/>
  <c r="FV100" i="4"/>
  <c r="FW100" i="4" s="1"/>
  <c r="FL100" i="4"/>
  <c r="FM100" i="4" s="1"/>
  <c r="FF100" i="4"/>
  <c r="FG100" i="4" s="1"/>
  <c r="EV100" i="4"/>
  <c r="EW100" i="4" s="1"/>
  <c r="GF100" i="4"/>
  <c r="GG100" i="4" s="1"/>
  <c r="FZ100" i="4"/>
  <c r="GA100" i="4" s="1"/>
  <c r="FP100" i="4"/>
  <c r="FQ100" i="4" s="1"/>
  <c r="FJ100" i="4"/>
  <c r="FK100" i="4" s="1"/>
  <c r="EZ100" i="4"/>
  <c r="FA100" i="4" s="1"/>
  <c r="ET100" i="4"/>
  <c r="EU100" i="4" s="1"/>
  <c r="GD100" i="4"/>
  <c r="GE100" i="4" s="1"/>
  <c r="FT100" i="4"/>
  <c r="FU100" i="4" s="1"/>
  <c r="FN100" i="4"/>
  <c r="FO100" i="4" s="1"/>
  <c r="FD100" i="4"/>
  <c r="FE100" i="4" s="1"/>
  <c r="EX100" i="4"/>
  <c r="EY100" i="4" s="1"/>
  <c r="FH100" i="4"/>
  <c r="FI100" i="4" s="1"/>
  <c r="FX100" i="4"/>
  <c r="FY100" i="4" s="1"/>
  <c r="FB100" i="4"/>
  <c r="FC100" i="4" s="1"/>
  <c r="GH100" i="4"/>
  <c r="GI100" i="4" s="1"/>
  <c r="ES100" i="4"/>
  <c r="FR100" i="4"/>
  <c r="FS100" i="4" s="1"/>
  <c r="AR101" i="4"/>
  <c r="AS101" i="4" s="1"/>
  <c r="AN101" i="4"/>
  <c r="AO101" i="4" s="1"/>
  <c r="X101" i="4"/>
  <c r="Y101" i="4" s="1"/>
  <c r="AX101" i="4"/>
  <c r="AY101" i="4" s="1"/>
  <c r="AT101" i="4"/>
  <c r="AU101" i="4" s="1"/>
  <c r="AL101" i="4"/>
  <c r="AM101" i="4" s="1"/>
  <c r="AF101" i="4"/>
  <c r="AG101" i="4" s="1"/>
  <c r="AB101" i="4"/>
  <c r="AC101" i="4" s="1"/>
  <c r="Z101" i="4"/>
  <c r="AA101" i="4" s="1"/>
  <c r="T101" i="4"/>
  <c r="U101" i="4" s="1"/>
  <c r="AV101" i="4"/>
  <c r="AW101" i="4" s="1"/>
  <c r="AJ101" i="4"/>
  <c r="AK101" i="4" s="1"/>
  <c r="AH101" i="4"/>
  <c r="AI101" i="4" s="1"/>
  <c r="V101" i="4"/>
  <c r="W101" i="4" s="1"/>
  <c r="N101" i="4"/>
  <c r="O101" i="4" s="1"/>
  <c r="AP101" i="4"/>
  <c r="AQ101" i="4" s="1"/>
  <c r="AD101" i="4"/>
  <c r="AE101" i="4" s="1"/>
  <c r="R101" i="4"/>
  <c r="S101" i="4" s="1"/>
  <c r="P101" i="4"/>
  <c r="Q101" i="4" s="1"/>
  <c r="L101" i="4"/>
  <c r="M101" i="4" s="1"/>
  <c r="J101" i="4"/>
  <c r="K101" i="4" s="1"/>
  <c r="I101" i="4"/>
  <c r="G103" i="4"/>
  <c r="EQ101" i="4"/>
  <c r="ER101" i="4" s="1"/>
  <c r="BZ101" i="4"/>
  <c r="DP100" i="4"/>
  <c r="DQ100" i="4" s="1"/>
  <c r="DL100" i="4"/>
  <c r="DM100" i="4" s="1"/>
  <c r="DH100" i="4"/>
  <c r="DI100" i="4" s="1"/>
  <c r="DD100" i="4"/>
  <c r="DE100" i="4" s="1"/>
  <c r="CZ100" i="4"/>
  <c r="DA100" i="4" s="1"/>
  <c r="CV100" i="4"/>
  <c r="CW100" i="4" s="1"/>
  <c r="CR100" i="4"/>
  <c r="CS100" i="4" s="1"/>
  <c r="CN100" i="4"/>
  <c r="CO100" i="4" s="1"/>
  <c r="CJ100" i="4"/>
  <c r="CK100" i="4" s="1"/>
  <c r="CF100" i="4"/>
  <c r="CG100" i="4" s="1"/>
  <c r="CB100" i="4"/>
  <c r="CC100" i="4" s="1"/>
  <c r="DN100" i="4"/>
  <c r="DO100" i="4" s="1"/>
  <c r="DJ100" i="4"/>
  <c r="DK100" i="4" s="1"/>
  <c r="DF100" i="4"/>
  <c r="DG100" i="4" s="1"/>
  <c r="DB100" i="4"/>
  <c r="DC100" i="4" s="1"/>
  <c r="CX100" i="4"/>
  <c r="CY100" i="4" s="1"/>
  <c r="CT100" i="4"/>
  <c r="CU100" i="4" s="1"/>
  <c r="CP100" i="4"/>
  <c r="CQ100" i="4" s="1"/>
  <c r="CL100" i="4"/>
  <c r="CM100" i="4" s="1"/>
  <c r="CH100" i="4"/>
  <c r="CI100" i="4" s="1"/>
  <c r="CD100" i="4"/>
  <c r="CE100" i="4" s="1"/>
  <c r="CA100" i="4"/>
  <c r="BY102" i="4"/>
  <c r="H102" i="4"/>
  <c r="AT102" i="4" l="1"/>
  <c r="AU102" i="4" s="1"/>
  <c r="AL102" i="4"/>
  <c r="AM102" i="4" s="1"/>
  <c r="AF102" i="4"/>
  <c r="AG102" i="4" s="1"/>
  <c r="AB102" i="4"/>
  <c r="AC102" i="4" s="1"/>
  <c r="Z102" i="4"/>
  <c r="AA102" i="4" s="1"/>
  <c r="T102" i="4"/>
  <c r="U102" i="4" s="1"/>
  <c r="AX102" i="4"/>
  <c r="AY102" i="4" s="1"/>
  <c r="AV102" i="4"/>
  <c r="AW102" i="4" s="1"/>
  <c r="AJ102" i="4"/>
  <c r="AK102" i="4" s="1"/>
  <c r="AH102" i="4"/>
  <c r="AI102" i="4" s="1"/>
  <c r="V102" i="4"/>
  <c r="W102" i="4" s="1"/>
  <c r="N102" i="4"/>
  <c r="O102" i="4" s="1"/>
  <c r="AP102" i="4"/>
  <c r="AQ102" i="4" s="1"/>
  <c r="AD102" i="4"/>
  <c r="AE102" i="4" s="1"/>
  <c r="R102" i="4"/>
  <c r="S102" i="4" s="1"/>
  <c r="P102" i="4"/>
  <c r="Q102" i="4" s="1"/>
  <c r="AR102" i="4"/>
  <c r="AS102" i="4" s="1"/>
  <c r="AN102" i="4"/>
  <c r="AO102" i="4" s="1"/>
  <c r="X102" i="4"/>
  <c r="Y102" i="4" s="1"/>
  <c r="L102" i="4"/>
  <c r="M102" i="4" s="1"/>
  <c r="J102" i="4"/>
  <c r="K102" i="4" s="1"/>
  <c r="I102" i="4"/>
  <c r="DN101" i="4"/>
  <c r="DO101" i="4" s="1"/>
  <c r="DJ101" i="4"/>
  <c r="DK101" i="4" s="1"/>
  <c r="DF101" i="4"/>
  <c r="DG101" i="4" s="1"/>
  <c r="DB101" i="4"/>
  <c r="DC101" i="4" s="1"/>
  <c r="CX101" i="4"/>
  <c r="CY101" i="4" s="1"/>
  <c r="CT101" i="4"/>
  <c r="CU101" i="4" s="1"/>
  <c r="CP101" i="4"/>
  <c r="CQ101" i="4" s="1"/>
  <c r="CL101" i="4"/>
  <c r="CM101" i="4" s="1"/>
  <c r="CH101" i="4"/>
  <c r="CI101" i="4" s="1"/>
  <c r="CD101" i="4"/>
  <c r="CE101" i="4" s="1"/>
  <c r="CA101" i="4"/>
  <c r="DP101" i="4"/>
  <c r="DQ101" i="4" s="1"/>
  <c r="DL101" i="4"/>
  <c r="DM101" i="4" s="1"/>
  <c r="DH101" i="4"/>
  <c r="DI101" i="4" s="1"/>
  <c r="DD101" i="4"/>
  <c r="DE101" i="4" s="1"/>
  <c r="CZ101" i="4"/>
  <c r="DA101" i="4" s="1"/>
  <c r="CV101" i="4"/>
  <c r="CW101" i="4" s="1"/>
  <c r="CR101" i="4"/>
  <c r="CS101" i="4" s="1"/>
  <c r="CN101" i="4"/>
  <c r="CO101" i="4" s="1"/>
  <c r="CJ101" i="4"/>
  <c r="CK101" i="4" s="1"/>
  <c r="CF101" i="4"/>
  <c r="CG101" i="4" s="1"/>
  <c r="CB101" i="4"/>
  <c r="CC101" i="4" s="1"/>
  <c r="BZ102" i="4"/>
  <c r="EQ102" i="4"/>
  <c r="ER102" i="4" s="1"/>
  <c r="GH101" i="4"/>
  <c r="GI101" i="4" s="1"/>
  <c r="GD101" i="4"/>
  <c r="GE101" i="4" s="1"/>
  <c r="FZ101" i="4"/>
  <c r="GA101" i="4" s="1"/>
  <c r="FV101" i="4"/>
  <c r="FW101" i="4" s="1"/>
  <c r="FR101" i="4"/>
  <c r="FS101" i="4" s="1"/>
  <c r="FN101" i="4"/>
  <c r="FO101" i="4" s="1"/>
  <c r="FJ101" i="4"/>
  <c r="FK101" i="4" s="1"/>
  <c r="FF101" i="4"/>
  <c r="FG101" i="4" s="1"/>
  <c r="FB101" i="4"/>
  <c r="FC101" i="4" s="1"/>
  <c r="EX101" i="4"/>
  <c r="EY101" i="4" s="1"/>
  <c r="ET101" i="4"/>
  <c r="EU101" i="4" s="1"/>
  <c r="FT101" i="4"/>
  <c r="FU101" i="4" s="1"/>
  <c r="FD101" i="4"/>
  <c r="FE101" i="4" s="1"/>
  <c r="FX101" i="4"/>
  <c r="FY101" i="4" s="1"/>
  <c r="FH101" i="4"/>
  <c r="FI101" i="4" s="1"/>
  <c r="ES101" i="4"/>
  <c r="GB101" i="4"/>
  <c r="GC101" i="4" s="1"/>
  <c r="FL101" i="4"/>
  <c r="FM101" i="4" s="1"/>
  <c r="EV101" i="4"/>
  <c r="EW101" i="4" s="1"/>
  <c r="FP101" i="4"/>
  <c r="FQ101" i="4" s="1"/>
  <c r="GF101" i="4"/>
  <c r="GG101" i="4" s="1"/>
  <c r="EZ101" i="4"/>
  <c r="FA101" i="4" s="1"/>
  <c r="G104" i="4"/>
  <c r="BY103" i="4"/>
  <c r="H103" i="4"/>
  <c r="AV103" i="4" l="1"/>
  <c r="AW103" i="4" s="1"/>
  <c r="AJ103" i="4"/>
  <c r="AK103" i="4" s="1"/>
  <c r="AH103" i="4"/>
  <c r="AI103" i="4" s="1"/>
  <c r="V103" i="4"/>
  <c r="W103" i="4" s="1"/>
  <c r="N103" i="4"/>
  <c r="O103" i="4" s="1"/>
  <c r="AX103" i="4"/>
  <c r="AY103" i="4" s="1"/>
  <c r="AP103" i="4"/>
  <c r="AQ103" i="4" s="1"/>
  <c r="AD103" i="4"/>
  <c r="AE103" i="4" s="1"/>
  <c r="R103" i="4"/>
  <c r="S103" i="4" s="1"/>
  <c r="P103" i="4"/>
  <c r="Q103" i="4" s="1"/>
  <c r="AR103" i="4"/>
  <c r="AS103" i="4" s="1"/>
  <c r="AN103" i="4"/>
  <c r="AO103" i="4" s="1"/>
  <c r="X103" i="4"/>
  <c r="Y103" i="4" s="1"/>
  <c r="AT103" i="4"/>
  <c r="AU103" i="4" s="1"/>
  <c r="AL103" i="4"/>
  <c r="AM103" i="4" s="1"/>
  <c r="AF103" i="4"/>
  <c r="AG103" i="4" s="1"/>
  <c r="AB103" i="4"/>
  <c r="AC103" i="4" s="1"/>
  <c r="Z103" i="4"/>
  <c r="AA103" i="4" s="1"/>
  <c r="T103" i="4"/>
  <c r="U103" i="4" s="1"/>
  <c r="J103" i="4"/>
  <c r="K103" i="4" s="1"/>
  <c r="L103" i="4"/>
  <c r="M103" i="4" s="1"/>
  <c r="I103" i="4"/>
  <c r="EQ103" i="4"/>
  <c r="ER103" i="4" s="1"/>
  <c r="BZ103" i="4"/>
  <c r="GH102" i="4"/>
  <c r="GI102" i="4" s="1"/>
  <c r="GB102" i="4"/>
  <c r="GC102" i="4" s="1"/>
  <c r="FR102" i="4"/>
  <c r="FS102" i="4" s="1"/>
  <c r="FT102" i="4"/>
  <c r="FU102" i="4" s="1"/>
  <c r="FN102" i="4"/>
  <c r="FO102" i="4" s="1"/>
  <c r="FH102" i="4"/>
  <c r="FI102" i="4" s="1"/>
  <c r="EX102" i="4"/>
  <c r="EY102" i="4" s="1"/>
  <c r="ES102" i="4"/>
  <c r="GF102" i="4"/>
  <c r="GG102" i="4" s="1"/>
  <c r="FZ102" i="4"/>
  <c r="GA102" i="4" s="1"/>
  <c r="FL102" i="4"/>
  <c r="FM102" i="4" s="1"/>
  <c r="FB102" i="4"/>
  <c r="FC102" i="4" s="1"/>
  <c r="EV102" i="4"/>
  <c r="EW102" i="4" s="1"/>
  <c r="FX102" i="4"/>
  <c r="FY102" i="4" s="1"/>
  <c r="FP102" i="4"/>
  <c r="FQ102" i="4" s="1"/>
  <c r="FF102" i="4"/>
  <c r="FG102" i="4" s="1"/>
  <c r="EZ102" i="4"/>
  <c r="FA102" i="4" s="1"/>
  <c r="FV102" i="4"/>
  <c r="FW102" i="4" s="1"/>
  <c r="ET102" i="4"/>
  <c r="EU102" i="4" s="1"/>
  <c r="GD102" i="4"/>
  <c r="GE102" i="4" s="1"/>
  <c r="FD102" i="4"/>
  <c r="FE102" i="4" s="1"/>
  <c r="FJ102" i="4"/>
  <c r="FK102" i="4" s="1"/>
  <c r="BY104" i="4"/>
  <c r="H104" i="4"/>
  <c r="G105" i="4"/>
  <c r="DP102" i="4"/>
  <c r="DQ102" i="4" s="1"/>
  <c r="DL102" i="4"/>
  <c r="DM102" i="4" s="1"/>
  <c r="DH102" i="4"/>
  <c r="DI102" i="4" s="1"/>
  <c r="DD102" i="4"/>
  <c r="DE102" i="4" s="1"/>
  <c r="CZ102" i="4"/>
  <c r="DA102" i="4" s="1"/>
  <c r="CV102" i="4"/>
  <c r="CW102" i="4" s="1"/>
  <c r="CR102" i="4"/>
  <c r="CS102" i="4" s="1"/>
  <c r="CN102" i="4"/>
  <c r="CO102" i="4" s="1"/>
  <c r="CJ102" i="4"/>
  <c r="CK102" i="4" s="1"/>
  <c r="CF102" i="4"/>
  <c r="CG102" i="4" s="1"/>
  <c r="CB102" i="4"/>
  <c r="CC102" i="4" s="1"/>
  <c r="DN102" i="4"/>
  <c r="DO102" i="4" s="1"/>
  <c r="DJ102" i="4"/>
  <c r="DK102" i="4" s="1"/>
  <c r="DF102" i="4"/>
  <c r="DG102" i="4" s="1"/>
  <c r="DB102" i="4"/>
  <c r="DC102" i="4" s="1"/>
  <c r="CX102" i="4"/>
  <c r="CY102" i="4" s="1"/>
  <c r="CT102" i="4"/>
  <c r="CU102" i="4" s="1"/>
  <c r="CP102" i="4"/>
  <c r="CQ102" i="4" s="1"/>
  <c r="CL102" i="4"/>
  <c r="CM102" i="4" s="1"/>
  <c r="CH102" i="4"/>
  <c r="CI102" i="4" s="1"/>
  <c r="CD102" i="4"/>
  <c r="CE102" i="4" s="1"/>
  <c r="CA102" i="4"/>
  <c r="G106" i="4" l="1"/>
  <c r="AP104" i="4"/>
  <c r="AQ104" i="4" s="1"/>
  <c r="AD104" i="4"/>
  <c r="AE104" i="4" s="1"/>
  <c r="R104" i="4"/>
  <c r="S104" i="4" s="1"/>
  <c r="P104" i="4"/>
  <c r="Q104" i="4" s="1"/>
  <c r="AX104" i="4"/>
  <c r="AY104" i="4" s="1"/>
  <c r="AR104" i="4"/>
  <c r="AS104" i="4" s="1"/>
  <c r="AN104" i="4"/>
  <c r="AO104" i="4" s="1"/>
  <c r="X104" i="4"/>
  <c r="Y104" i="4" s="1"/>
  <c r="AT104" i="4"/>
  <c r="AU104" i="4" s="1"/>
  <c r="AL104" i="4"/>
  <c r="AM104" i="4" s="1"/>
  <c r="AF104" i="4"/>
  <c r="AG104" i="4" s="1"/>
  <c r="AB104" i="4"/>
  <c r="AC104" i="4" s="1"/>
  <c r="Z104" i="4"/>
  <c r="AA104" i="4" s="1"/>
  <c r="T104" i="4"/>
  <c r="U104" i="4" s="1"/>
  <c r="AV104" i="4"/>
  <c r="AW104" i="4" s="1"/>
  <c r="AJ104" i="4"/>
  <c r="AK104" i="4" s="1"/>
  <c r="AH104" i="4"/>
  <c r="AI104" i="4" s="1"/>
  <c r="V104" i="4"/>
  <c r="W104" i="4" s="1"/>
  <c r="N104" i="4"/>
  <c r="O104" i="4" s="1"/>
  <c r="J104" i="4"/>
  <c r="K104" i="4" s="1"/>
  <c r="I104" i="4"/>
  <c r="L104" i="4"/>
  <c r="M104" i="4" s="1"/>
  <c r="DN103" i="4"/>
  <c r="DO103" i="4" s="1"/>
  <c r="DJ103" i="4"/>
  <c r="DK103" i="4" s="1"/>
  <c r="DF103" i="4"/>
  <c r="DG103" i="4" s="1"/>
  <c r="DB103" i="4"/>
  <c r="DC103" i="4" s="1"/>
  <c r="CX103" i="4"/>
  <c r="CY103" i="4" s="1"/>
  <c r="CT103" i="4"/>
  <c r="CU103" i="4" s="1"/>
  <c r="CP103" i="4"/>
  <c r="CQ103" i="4" s="1"/>
  <c r="CL103" i="4"/>
  <c r="CM103" i="4" s="1"/>
  <c r="CH103" i="4"/>
  <c r="CI103" i="4" s="1"/>
  <c r="CD103" i="4"/>
  <c r="CE103" i="4" s="1"/>
  <c r="CA103" i="4"/>
  <c r="DP103" i="4"/>
  <c r="DQ103" i="4" s="1"/>
  <c r="DL103" i="4"/>
  <c r="DM103" i="4" s="1"/>
  <c r="DH103" i="4"/>
  <c r="DI103" i="4" s="1"/>
  <c r="DD103" i="4"/>
  <c r="DE103" i="4" s="1"/>
  <c r="CZ103" i="4"/>
  <c r="DA103" i="4" s="1"/>
  <c r="CV103" i="4"/>
  <c r="CW103" i="4" s="1"/>
  <c r="CR103" i="4"/>
  <c r="CS103" i="4" s="1"/>
  <c r="CN103" i="4"/>
  <c r="CO103" i="4" s="1"/>
  <c r="CJ103" i="4"/>
  <c r="CK103" i="4" s="1"/>
  <c r="CF103" i="4"/>
  <c r="CG103" i="4" s="1"/>
  <c r="CB103" i="4"/>
  <c r="CC103" i="4" s="1"/>
  <c r="BY105" i="4"/>
  <c r="H105" i="4"/>
  <c r="EQ104" i="4"/>
  <c r="ER104" i="4" s="1"/>
  <c r="BZ104" i="4"/>
  <c r="GH103" i="4"/>
  <c r="GI103" i="4" s="1"/>
  <c r="GD103" i="4"/>
  <c r="GE103" i="4" s="1"/>
  <c r="FZ103" i="4"/>
  <c r="GA103" i="4" s="1"/>
  <c r="FV103" i="4"/>
  <c r="FW103" i="4" s="1"/>
  <c r="FR103" i="4"/>
  <c r="FS103" i="4" s="1"/>
  <c r="FN103" i="4"/>
  <c r="FO103" i="4" s="1"/>
  <c r="FJ103" i="4"/>
  <c r="FK103" i="4" s="1"/>
  <c r="FF103" i="4"/>
  <c r="FG103" i="4" s="1"/>
  <c r="GF103" i="4"/>
  <c r="GG103" i="4" s="1"/>
  <c r="GB103" i="4"/>
  <c r="GC103" i="4" s="1"/>
  <c r="FX103" i="4"/>
  <c r="FY103" i="4" s="1"/>
  <c r="FT103" i="4"/>
  <c r="FU103" i="4" s="1"/>
  <c r="FP103" i="4"/>
  <c r="FQ103" i="4" s="1"/>
  <c r="FL103" i="4"/>
  <c r="FM103" i="4" s="1"/>
  <c r="FH103" i="4"/>
  <c r="FI103" i="4" s="1"/>
  <c r="FD103" i="4"/>
  <c r="FE103" i="4" s="1"/>
  <c r="EZ103" i="4"/>
  <c r="FA103" i="4" s="1"/>
  <c r="EV103" i="4"/>
  <c r="EW103" i="4" s="1"/>
  <c r="ES103" i="4"/>
  <c r="EX103" i="4"/>
  <c r="EY103" i="4" s="1"/>
  <c r="FB103" i="4"/>
  <c r="FC103" i="4" s="1"/>
  <c r="ET103" i="4"/>
  <c r="EU103" i="4" s="1"/>
  <c r="AR105" i="4" l="1"/>
  <c r="AS105" i="4" s="1"/>
  <c r="AN105" i="4"/>
  <c r="AO105" i="4" s="1"/>
  <c r="X105" i="4"/>
  <c r="Y105" i="4" s="1"/>
  <c r="AX105" i="4"/>
  <c r="AY105" i="4" s="1"/>
  <c r="AT105" i="4"/>
  <c r="AU105" i="4" s="1"/>
  <c r="AL105" i="4"/>
  <c r="AM105" i="4" s="1"/>
  <c r="AF105" i="4"/>
  <c r="AG105" i="4" s="1"/>
  <c r="AB105" i="4"/>
  <c r="AC105" i="4" s="1"/>
  <c r="Z105" i="4"/>
  <c r="AA105" i="4" s="1"/>
  <c r="T105" i="4"/>
  <c r="U105" i="4" s="1"/>
  <c r="AV105" i="4"/>
  <c r="AW105" i="4" s="1"/>
  <c r="AJ105" i="4"/>
  <c r="AK105" i="4" s="1"/>
  <c r="AH105" i="4"/>
  <c r="AI105" i="4" s="1"/>
  <c r="V105" i="4"/>
  <c r="W105" i="4" s="1"/>
  <c r="N105" i="4"/>
  <c r="O105" i="4" s="1"/>
  <c r="AP105" i="4"/>
  <c r="AQ105" i="4" s="1"/>
  <c r="AD105" i="4"/>
  <c r="AE105" i="4" s="1"/>
  <c r="R105" i="4"/>
  <c r="S105" i="4" s="1"/>
  <c r="P105" i="4"/>
  <c r="Q105" i="4" s="1"/>
  <c r="L105" i="4"/>
  <c r="M105" i="4" s="1"/>
  <c r="I105" i="4"/>
  <c r="J105" i="4"/>
  <c r="K105" i="4" s="1"/>
  <c r="EQ105" i="4"/>
  <c r="ER105" i="4" s="1"/>
  <c r="BZ105" i="4"/>
  <c r="DP104" i="4"/>
  <c r="DQ104" i="4" s="1"/>
  <c r="DL104" i="4"/>
  <c r="DM104" i="4" s="1"/>
  <c r="DH104" i="4"/>
  <c r="DI104" i="4" s="1"/>
  <c r="DD104" i="4"/>
  <c r="DE104" i="4" s="1"/>
  <c r="CZ104" i="4"/>
  <c r="DA104" i="4" s="1"/>
  <c r="CV104" i="4"/>
  <c r="CW104" i="4" s="1"/>
  <c r="CR104" i="4"/>
  <c r="CS104" i="4" s="1"/>
  <c r="CN104" i="4"/>
  <c r="CO104" i="4" s="1"/>
  <c r="CJ104" i="4"/>
  <c r="CK104" i="4" s="1"/>
  <c r="CF104" i="4"/>
  <c r="CG104" i="4" s="1"/>
  <c r="CB104" i="4"/>
  <c r="CC104" i="4" s="1"/>
  <c r="DN104" i="4"/>
  <c r="DO104" i="4" s="1"/>
  <c r="DJ104" i="4"/>
  <c r="DK104" i="4" s="1"/>
  <c r="DF104" i="4"/>
  <c r="DG104" i="4" s="1"/>
  <c r="DB104" i="4"/>
  <c r="DC104" i="4" s="1"/>
  <c r="CX104" i="4"/>
  <c r="CY104" i="4" s="1"/>
  <c r="CT104" i="4"/>
  <c r="CU104" i="4" s="1"/>
  <c r="CP104" i="4"/>
  <c r="CQ104" i="4" s="1"/>
  <c r="CL104" i="4"/>
  <c r="CM104" i="4" s="1"/>
  <c r="CH104" i="4"/>
  <c r="CI104" i="4" s="1"/>
  <c r="CD104" i="4"/>
  <c r="CE104" i="4" s="1"/>
  <c r="CA104" i="4"/>
  <c r="BY106" i="4"/>
  <c r="H106" i="4"/>
  <c r="GB104" i="4"/>
  <c r="GC104" i="4" s="1"/>
  <c r="FT104" i="4"/>
  <c r="FU104" i="4" s="1"/>
  <c r="FL104" i="4"/>
  <c r="FM104" i="4" s="1"/>
  <c r="FD104" i="4"/>
  <c r="FE104" i="4" s="1"/>
  <c r="EV104" i="4"/>
  <c r="EW104" i="4" s="1"/>
  <c r="FZ104" i="4"/>
  <c r="GA104" i="4" s="1"/>
  <c r="FP104" i="4"/>
  <c r="FQ104" i="4" s="1"/>
  <c r="FF104" i="4"/>
  <c r="FG104" i="4" s="1"/>
  <c r="ET104" i="4"/>
  <c r="EU104" i="4" s="1"/>
  <c r="GH104" i="4"/>
  <c r="GI104" i="4" s="1"/>
  <c r="FX104" i="4"/>
  <c r="FY104" i="4" s="1"/>
  <c r="FN104" i="4"/>
  <c r="FO104" i="4" s="1"/>
  <c r="FB104" i="4"/>
  <c r="FC104" i="4" s="1"/>
  <c r="ES104" i="4"/>
  <c r="GF104" i="4"/>
  <c r="GG104" i="4" s="1"/>
  <c r="FV104" i="4"/>
  <c r="FW104" i="4" s="1"/>
  <c r="FJ104" i="4"/>
  <c r="FK104" i="4" s="1"/>
  <c r="EZ104" i="4"/>
  <c r="FA104" i="4" s="1"/>
  <c r="EX104" i="4"/>
  <c r="EY104" i="4" s="1"/>
  <c r="GD104" i="4"/>
  <c r="GE104" i="4" s="1"/>
  <c r="FH104" i="4"/>
  <c r="FI104" i="4" s="1"/>
  <c r="FR104" i="4"/>
  <c r="FS104" i="4" s="1"/>
  <c r="G107" i="4"/>
  <c r="BY107" i="4" l="1"/>
  <c r="H107" i="4"/>
  <c r="G108" i="4"/>
  <c r="AT106" i="4"/>
  <c r="AU106" i="4" s="1"/>
  <c r="AL106" i="4"/>
  <c r="AM106" i="4" s="1"/>
  <c r="AF106" i="4"/>
  <c r="AG106" i="4" s="1"/>
  <c r="AB106" i="4"/>
  <c r="AC106" i="4" s="1"/>
  <c r="Z106" i="4"/>
  <c r="AA106" i="4" s="1"/>
  <c r="T106" i="4"/>
  <c r="U106" i="4" s="1"/>
  <c r="AX106" i="4"/>
  <c r="AY106" i="4" s="1"/>
  <c r="AV106" i="4"/>
  <c r="AW106" i="4" s="1"/>
  <c r="AJ106" i="4"/>
  <c r="AK106" i="4" s="1"/>
  <c r="AH106" i="4"/>
  <c r="AI106" i="4" s="1"/>
  <c r="V106" i="4"/>
  <c r="W106" i="4" s="1"/>
  <c r="N106" i="4"/>
  <c r="O106" i="4" s="1"/>
  <c r="AP106" i="4"/>
  <c r="AQ106" i="4" s="1"/>
  <c r="AD106" i="4"/>
  <c r="AE106" i="4" s="1"/>
  <c r="R106" i="4"/>
  <c r="S106" i="4" s="1"/>
  <c r="P106" i="4"/>
  <c r="Q106" i="4" s="1"/>
  <c r="AR106" i="4"/>
  <c r="AS106" i="4" s="1"/>
  <c r="AN106" i="4"/>
  <c r="AO106" i="4" s="1"/>
  <c r="X106" i="4"/>
  <c r="Y106" i="4" s="1"/>
  <c r="L106" i="4"/>
  <c r="M106" i="4" s="1"/>
  <c r="J106" i="4"/>
  <c r="K106" i="4" s="1"/>
  <c r="I106" i="4"/>
  <c r="DN105" i="4"/>
  <c r="DO105" i="4" s="1"/>
  <c r="DD105" i="4"/>
  <c r="DE105" i="4" s="1"/>
  <c r="CX105" i="4"/>
  <c r="CY105" i="4" s="1"/>
  <c r="CT105" i="4"/>
  <c r="CU105" i="4" s="1"/>
  <c r="CP105" i="4"/>
  <c r="CQ105" i="4" s="1"/>
  <c r="CL105" i="4"/>
  <c r="CM105" i="4" s="1"/>
  <c r="CH105" i="4"/>
  <c r="CI105" i="4" s="1"/>
  <c r="CD105" i="4"/>
  <c r="CE105" i="4" s="1"/>
  <c r="CA105" i="4"/>
  <c r="DH105" i="4"/>
  <c r="DI105" i="4" s="1"/>
  <c r="DB105" i="4"/>
  <c r="DC105" i="4" s="1"/>
  <c r="DL105" i="4"/>
  <c r="DM105" i="4" s="1"/>
  <c r="DF105" i="4"/>
  <c r="DG105" i="4" s="1"/>
  <c r="CV105" i="4"/>
  <c r="CW105" i="4" s="1"/>
  <c r="CR105" i="4"/>
  <c r="CS105" i="4" s="1"/>
  <c r="CN105" i="4"/>
  <c r="CO105" i="4" s="1"/>
  <c r="CJ105" i="4"/>
  <c r="CK105" i="4" s="1"/>
  <c r="CF105" i="4"/>
  <c r="CG105" i="4" s="1"/>
  <c r="CB105" i="4"/>
  <c r="CC105" i="4" s="1"/>
  <c r="DP105" i="4"/>
  <c r="DQ105" i="4" s="1"/>
  <c r="DJ105" i="4"/>
  <c r="DK105" i="4" s="1"/>
  <c r="CZ105" i="4"/>
  <c r="DA105" i="4" s="1"/>
  <c r="EQ106" i="4"/>
  <c r="ER106" i="4" s="1"/>
  <c r="BZ106" i="4"/>
  <c r="GF105" i="4"/>
  <c r="GG105" i="4" s="1"/>
  <c r="GB105" i="4"/>
  <c r="GC105" i="4" s="1"/>
  <c r="FX105" i="4"/>
  <c r="FY105" i="4" s="1"/>
  <c r="FT105" i="4"/>
  <c r="FU105" i="4" s="1"/>
  <c r="FP105" i="4"/>
  <c r="FQ105" i="4" s="1"/>
  <c r="FL105" i="4"/>
  <c r="FM105" i="4" s="1"/>
  <c r="FH105" i="4"/>
  <c r="FI105" i="4" s="1"/>
  <c r="FD105" i="4"/>
  <c r="FE105" i="4" s="1"/>
  <c r="EZ105" i="4"/>
  <c r="FA105" i="4" s="1"/>
  <c r="EV105" i="4"/>
  <c r="EW105" i="4" s="1"/>
  <c r="ES105" i="4"/>
  <c r="GH105" i="4"/>
  <c r="GI105" i="4" s="1"/>
  <c r="GD105" i="4"/>
  <c r="GE105" i="4" s="1"/>
  <c r="FZ105" i="4"/>
  <c r="GA105" i="4" s="1"/>
  <c r="FV105" i="4"/>
  <c r="FW105" i="4" s="1"/>
  <c r="FR105" i="4"/>
  <c r="FS105" i="4" s="1"/>
  <c r="FN105" i="4"/>
  <c r="FO105" i="4" s="1"/>
  <c r="FJ105" i="4"/>
  <c r="FK105" i="4" s="1"/>
  <c r="FF105" i="4"/>
  <c r="FG105" i="4" s="1"/>
  <c r="FB105" i="4"/>
  <c r="FC105" i="4" s="1"/>
  <c r="EX105" i="4"/>
  <c r="EY105" i="4" s="1"/>
  <c r="ET105" i="4"/>
  <c r="EU105" i="4" s="1"/>
  <c r="G109" i="4" l="1"/>
  <c r="BY108" i="4"/>
  <c r="H108" i="4"/>
  <c r="DP106" i="4"/>
  <c r="DQ106" i="4" s="1"/>
  <c r="DL106" i="4"/>
  <c r="DM106" i="4" s="1"/>
  <c r="DH106" i="4"/>
  <c r="DI106" i="4" s="1"/>
  <c r="DD106" i="4"/>
  <c r="DE106" i="4" s="1"/>
  <c r="CZ106" i="4"/>
  <c r="DA106" i="4" s="1"/>
  <c r="DF106" i="4"/>
  <c r="DG106" i="4" s="1"/>
  <c r="CP106" i="4"/>
  <c r="CQ106" i="4" s="1"/>
  <c r="CJ106" i="4"/>
  <c r="CK106" i="4" s="1"/>
  <c r="CA106" i="4"/>
  <c r="DB106" i="4"/>
  <c r="DC106" i="4" s="1"/>
  <c r="CT106" i="4"/>
  <c r="CU106" i="4" s="1"/>
  <c r="CN106" i="4"/>
  <c r="CO106" i="4" s="1"/>
  <c r="CD106" i="4"/>
  <c r="CE106" i="4" s="1"/>
  <c r="DN106" i="4"/>
  <c r="DO106" i="4" s="1"/>
  <c r="CX106" i="4"/>
  <c r="CY106" i="4" s="1"/>
  <c r="CR106" i="4"/>
  <c r="CS106" i="4" s="1"/>
  <c r="CH106" i="4"/>
  <c r="CI106" i="4" s="1"/>
  <c r="CB106" i="4"/>
  <c r="CC106" i="4" s="1"/>
  <c r="DJ106" i="4"/>
  <c r="DK106" i="4" s="1"/>
  <c r="CV106" i="4"/>
  <c r="CW106" i="4" s="1"/>
  <c r="CL106" i="4"/>
  <c r="CM106" i="4" s="1"/>
  <c r="CF106" i="4"/>
  <c r="CG106" i="4" s="1"/>
  <c r="GD106" i="4"/>
  <c r="GE106" i="4" s="1"/>
  <c r="FV106" i="4"/>
  <c r="FW106" i="4" s="1"/>
  <c r="FN106" i="4"/>
  <c r="FO106" i="4" s="1"/>
  <c r="FF106" i="4"/>
  <c r="FG106" i="4" s="1"/>
  <c r="EX106" i="4"/>
  <c r="EY106" i="4" s="1"/>
  <c r="GB106" i="4"/>
  <c r="GC106" i="4" s="1"/>
  <c r="FR106" i="4"/>
  <c r="FS106" i="4" s="1"/>
  <c r="FH106" i="4"/>
  <c r="FI106" i="4" s="1"/>
  <c r="EV106" i="4"/>
  <c r="EW106" i="4" s="1"/>
  <c r="FZ106" i="4"/>
  <c r="GA106" i="4" s="1"/>
  <c r="FP106" i="4"/>
  <c r="FQ106" i="4" s="1"/>
  <c r="FD106" i="4"/>
  <c r="FE106" i="4" s="1"/>
  <c r="ET106" i="4"/>
  <c r="EU106" i="4" s="1"/>
  <c r="GH106" i="4"/>
  <c r="GI106" i="4" s="1"/>
  <c r="FX106" i="4"/>
  <c r="FY106" i="4" s="1"/>
  <c r="FL106" i="4"/>
  <c r="FM106" i="4" s="1"/>
  <c r="FB106" i="4"/>
  <c r="FC106" i="4" s="1"/>
  <c r="ES106" i="4"/>
  <c r="EZ106" i="4"/>
  <c r="FA106" i="4" s="1"/>
  <c r="GF106" i="4"/>
  <c r="GG106" i="4" s="1"/>
  <c r="FJ106" i="4"/>
  <c r="FK106" i="4" s="1"/>
  <c r="FT106" i="4"/>
  <c r="FU106" i="4" s="1"/>
  <c r="AV107" i="4"/>
  <c r="AW107" i="4" s="1"/>
  <c r="AJ107" i="4"/>
  <c r="AK107" i="4" s="1"/>
  <c r="AH107" i="4"/>
  <c r="AI107" i="4" s="1"/>
  <c r="V107" i="4"/>
  <c r="W107" i="4" s="1"/>
  <c r="N107" i="4"/>
  <c r="O107" i="4" s="1"/>
  <c r="AX107" i="4"/>
  <c r="AY107" i="4" s="1"/>
  <c r="AP107" i="4"/>
  <c r="AQ107" i="4" s="1"/>
  <c r="AD107" i="4"/>
  <c r="AE107" i="4" s="1"/>
  <c r="R107" i="4"/>
  <c r="S107" i="4" s="1"/>
  <c r="P107" i="4"/>
  <c r="Q107" i="4" s="1"/>
  <c r="AR107" i="4"/>
  <c r="AS107" i="4" s="1"/>
  <c r="AN107" i="4"/>
  <c r="AO107" i="4" s="1"/>
  <c r="X107" i="4"/>
  <c r="Y107" i="4" s="1"/>
  <c r="AT107" i="4"/>
  <c r="AU107" i="4" s="1"/>
  <c r="AL107" i="4"/>
  <c r="AM107" i="4" s="1"/>
  <c r="AF107" i="4"/>
  <c r="AG107" i="4" s="1"/>
  <c r="AB107" i="4"/>
  <c r="AC107" i="4" s="1"/>
  <c r="Z107" i="4"/>
  <c r="AA107" i="4" s="1"/>
  <c r="T107" i="4"/>
  <c r="U107" i="4" s="1"/>
  <c r="J107" i="4"/>
  <c r="K107" i="4" s="1"/>
  <c r="L107" i="4"/>
  <c r="M107" i="4" s="1"/>
  <c r="I107" i="4"/>
  <c r="EQ107" i="4"/>
  <c r="ER107" i="4" s="1"/>
  <c r="BZ107" i="4"/>
  <c r="AP108" i="4" l="1"/>
  <c r="AQ108" i="4" s="1"/>
  <c r="AD108" i="4"/>
  <c r="AE108" i="4" s="1"/>
  <c r="R108" i="4"/>
  <c r="S108" i="4" s="1"/>
  <c r="P108" i="4"/>
  <c r="Q108" i="4" s="1"/>
  <c r="AX108" i="4"/>
  <c r="AY108" i="4" s="1"/>
  <c r="AR108" i="4"/>
  <c r="AS108" i="4" s="1"/>
  <c r="AN108" i="4"/>
  <c r="AO108" i="4" s="1"/>
  <c r="X108" i="4"/>
  <c r="Y108" i="4" s="1"/>
  <c r="AT108" i="4"/>
  <c r="AU108" i="4" s="1"/>
  <c r="AL108" i="4"/>
  <c r="AM108" i="4" s="1"/>
  <c r="AF108" i="4"/>
  <c r="AG108" i="4" s="1"/>
  <c r="AB108" i="4"/>
  <c r="AC108" i="4" s="1"/>
  <c r="Z108" i="4"/>
  <c r="AA108" i="4" s="1"/>
  <c r="T108" i="4"/>
  <c r="U108" i="4" s="1"/>
  <c r="AV108" i="4"/>
  <c r="AW108" i="4" s="1"/>
  <c r="AJ108" i="4"/>
  <c r="AK108" i="4" s="1"/>
  <c r="AH108" i="4"/>
  <c r="AI108" i="4" s="1"/>
  <c r="V108" i="4"/>
  <c r="W108" i="4" s="1"/>
  <c r="N108" i="4"/>
  <c r="O108" i="4" s="1"/>
  <c r="J108" i="4"/>
  <c r="K108" i="4" s="1"/>
  <c r="I108" i="4"/>
  <c r="L108" i="4"/>
  <c r="M108" i="4" s="1"/>
  <c r="GF107" i="4"/>
  <c r="GG107" i="4" s="1"/>
  <c r="GB107" i="4"/>
  <c r="GC107" i="4" s="1"/>
  <c r="GD107" i="4"/>
  <c r="GE107" i="4" s="1"/>
  <c r="FV107" i="4"/>
  <c r="FW107" i="4" s="1"/>
  <c r="FR107" i="4"/>
  <c r="FS107" i="4" s="1"/>
  <c r="FN107" i="4"/>
  <c r="FO107" i="4" s="1"/>
  <c r="FJ107" i="4"/>
  <c r="FK107" i="4" s="1"/>
  <c r="FF107" i="4"/>
  <c r="FG107" i="4" s="1"/>
  <c r="FB107" i="4"/>
  <c r="FC107" i="4" s="1"/>
  <c r="EX107" i="4"/>
  <c r="EY107" i="4" s="1"/>
  <c r="ET107" i="4"/>
  <c r="EU107" i="4" s="1"/>
  <c r="FZ107" i="4"/>
  <c r="GA107" i="4" s="1"/>
  <c r="FX107" i="4"/>
  <c r="FY107" i="4" s="1"/>
  <c r="FT107" i="4"/>
  <c r="FU107" i="4" s="1"/>
  <c r="FP107" i="4"/>
  <c r="FQ107" i="4" s="1"/>
  <c r="FL107" i="4"/>
  <c r="FM107" i="4" s="1"/>
  <c r="FH107" i="4"/>
  <c r="FI107" i="4" s="1"/>
  <c r="FD107" i="4"/>
  <c r="FE107" i="4" s="1"/>
  <c r="EZ107" i="4"/>
  <c r="FA107" i="4" s="1"/>
  <c r="EV107" i="4"/>
  <c r="EW107" i="4" s="1"/>
  <c r="ES107" i="4"/>
  <c r="GH107" i="4"/>
  <c r="GI107" i="4" s="1"/>
  <c r="EQ108" i="4"/>
  <c r="ER108" i="4" s="1"/>
  <c r="BZ108" i="4"/>
  <c r="BY109" i="4"/>
  <c r="H109" i="4"/>
  <c r="DN107" i="4"/>
  <c r="DO107" i="4" s="1"/>
  <c r="DJ107" i="4"/>
  <c r="DK107" i="4" s="1"/>
  <c r="DF107" i="4"/>
  <c r="DG107" i="4" s="1"/>
  <c r="DB107" i="4"/>
  <c r="DC107" i="4" s="1"/>
  <c r="CX107" i="4"/>
  <c r="CY107" i="4" s="1"/>
  <c r="CT107" i="4"/>
  <c r="CU107" i="4" s="1"/>
  <c r="CP107" i="4"/>
  <c r="CQ107" i="4" s="1"/>
  <c r="CL107" i="4"/>
  <c r="CM107" i="4" s="1"/>
  <c r="CH107" i="4"/>
  <c r="CI107" i="4" s="1"/>
  <c r="CD107" i="4"/>
  <c r="CE107" i="4" s="1"/>
  <c r="CA107" i="4"/>
  <c r="DD107" i="4"/>
  <c r="DE107" i="4" s="1"/>
  <c r="CN107" i="4"/>
  <c r="CO107" i="4" s="1"/>
  <c r="DP107" i="4"/>
  <c r="DQ107" i="4" s="1"/>
  <c r="CZ107" i="4"/>
  <c r="DA107" i="4" s="1"/>
  <c r="CJ107" i="4"/>
  <c r="CK107" i="4" s="1"/>
  <c r="DL107" i="4"/>
  <c r="DM107" i="4" s="1"/>
  <c r="CV107" i="4"/>
  <c r="CW107" i="4" s="1"/>
  <c r="CF107" i="4"/>
  <c r="CG107" i="4" s="1"/>
  <c r="DH107" i="4"/>
  <c r="DI107" i="4" s="1"/>
  <c r="CR107" i="4"/>
  <c r="CS107" i="4" s="1"/>
  <c r="CB107" i="4"/>
  <c r="CC107" i="4" s="1"/>
  <c r="G110" i="4"/>
  <c r="G111" i="4" l="1"/>
  <c r="DP108" i="4"/>
  <c r="DQ108" i="4" s="1"/>
  <c r="DL108" i="4"/>
  <c r="DM108" i="4" s="1"/>
  <c r="DH108" i="4"/>
  <c r="DI108" i="4" s="1"/>
  <c r="DD108" i="4"/>
  <c r="DE108" i="4" s="1"/>
  <c r="CZ108" i="4"/>
  <c r="DA108" i="4" s="1"/>
  <c r="CV108" i="4"/>
  <c r="CW108" i="4" s="1"/>
  <c r="CR108" i="4"/>
  <c r="CS108" i="4" s="1"/>
  <c r="CN108" i="4"/>
  <c r="CO108" i="4" s="1"/>
  <c r="CJ108" i="4"/>
  <c r="CK108" i="4" s="1"/>
  <c r="CF108" i="4"/>
  <c r="CG108" i="4" s="1"/>
  <c r="CB108" i="4"/>
  <c r="CC108" i="4" s="1"/>
  <c r="DN108" i="4"/>
  <c r="DO108" i="4" s="1"/>
  <c r="CX108" i="4"/>
  <c r="CY108" i="4" s="1"/>
  <c r="CH108" i="4"/>
  <c r="CI108" i="4" s="1"/>
  <c r="DJ108" i="4"/>
  <c r="DK108" i="4" s="1"/>
  <c r="CT108" i="4"/>
  <c r="CU108" i="4" s="1"/>
  <c r="CD108" i="4"/>
  <c r="CE108" i="4" s="1"/>
  <c r="DF108" i="4"/>
  <c r="DG108" i="4" s="1"/>
  <c r="CP108" i="4"/>
  <c r="CQ108" i="4" s="1"/>
  <c r="CA108" i="4"/>
  <c r="DB108" i="4"/>
  <c r="DC108" i="4" s="1"/>
  <c r="CL108" i="4"/>
  <c r="CM108" i="4" s="1"/>
  <c r="AR109" i="4"/>
  <c r="AS109" i="4" s="1"/>
  <c r="AN109" i="4"/>
  <c r="AO109" i="4" s="1"/>
  <c r="X109" i="4"/>
  <c r="Y109" i="4" s="1"/>
  <c r="AX109" i="4"/>
  <c r="AY109" i="4" s="1"/>
  <c r="AT109" i="4"/>
  <c r="AU109" i="4" s="1"/>
  <c r="AL109" i="4"/>
  <c r="AM109" i="4" s="1"/>
  <c r="AF109" i="4"/>
  <c r="AG109" i="4" s="1"/>
  <c r="AB109" i="4"/>
  <c r="AC109" i="4" s="1"/>
  <c r="Z109" i="4"/>
  <c r="AA109" i="4" s="1"/>
  <c r="T109" i="4"/>
  <c r="U109" i="4" s="1"/>
  <c r="AV109" i="4"/>
  <c r="AW109" i="4" s="1"/>
  <c r="AJ109" i="4"/>
  <c r="AK109" i="4" s="1"/>
  <c r="AH109" i="4"/>
  <c r="AI109" i="4" s="1"/>
  <c r="V109" i="4"/>
  <c r="W109" i="4" s="1"/>
  <c r="N109" i="4"/>
  <c r="O109" i="4" s="1"/>
  <c r="AP109" i="4"/>
  <c r="AQ109" i="4" s="1"/>
  <c r="AD109" i="4"/>
  <c r="AE109" i="4" s="1"/>
  <c r="R109" i="4"/>
  <c r="S109" i="4" s="1"/>
  <c r="P109" i="4"/>
  <c r="Q109" i="4" s="1"/>
  <c r="L109" i="4"/>
  <c r="M109" i="4" s="1"/>
  <c r="I109" i="4"/>
  <c r="J109" i="4"/>
  <c r="K109" i="4" s="1"/>
  <c r="EQ109" i="4"/>
  <c r="ER109" i="4" s="1"/>
  <c r="BZ109" i="4"/>
  <c r="BY110" i="4"/>
  <c r="H110" i="4"/>
  <c r="GH108" i="4"/>
  <c r="GI108" i="4" s="1"/>
  <c r="GD108" i="4"/>
  <c r="GE108" i="4" s="1"/>
  <c r="FZ108" i="4"/>
  <c r="GA108" i="4" s="1"/>
  <c r="FV108" i="4"/>
  <c r="FW108" i="4" s="1"/>
  <c r="FR108" i="4"/>
  <c r="FS108" i="4" s="1"/>
  <c r="FN108" i="4"/>
  <c r="FO108" i="4" s="1"/>
  <c r="FJ108" i="4"/>
  <c r="FK108" i="4" s="1"/>
  <c r="FF108" i="4"/>
  <c r="FG108" i="4" s="1"/>
  <c r="FB108" i="4"/>
  <c r="FC108" i="4" s="1"/>
  <c r="EX108" i="4"/>
  <c r="EY108" i="4" s="1"/>
  <c r="ET108" i="4"/>
  <c r="EU108" i="4" s="1"/>
  <c r="GF108" i="4"/>
  <c r="GG108" i="4" s="1"/>
  <c r="GB108" i="4"/>
  <c r="GC108" i="4" s="1"/>
  <c r="FX108" i="4"/>
  <c r="FY108" i="4" s="1"/>
  <c r="FT108" i="4"/>
  <c r="FU108" i="4" s="1"/>
  <c r="FP108" i="4"/>
  <c r="FQ108" i="4" s="1"/>
  <c r="FL108" i="4"/>
  <c r="FM108" i="4" s="1"/>
  <c r="FH108" i="4"/>
  <c r="FI108" i="4" s="1"/>
  <c r="FD108" i="4"/>
  <c r="FE108" i="4" s="1"/>
  <c r="EZ108" i="4"/>
  <c r="FA108" i="4" s="1"/>
  <c r="EV108" i="4"/>
  <c r="EW108" i="4" s="1"/>
  <c r="ES108" i="4"/>
  <c r="EQ110" i="4" l="1"/>
  <c r="ER110" i="4" s="1"/>
  <c r="BZ110" i="4"/>
  <c r="GH109" i="4"/>
  <c r="GI109" i="4" s="1"/>
  <c r="GD109" i="4"/>
  <c r="GE109" i="4" s="1"/>
  <c r="FZ109" i="4"/>
  <c r="GA109" i="4" s="1"/>
  <c r="FV109" i="4"/>
  <c r="FW109" i="4" s="1"/>
  <c r="FR109" i="4"/>
  <c r="FS109" i="4" s="1"/>
  <c r="FN109" i="4"/>
  <c r="FO109" i="4" s="1"/>
  <c r="FJ109" i="4"/>
  <c r="FK109" i="4" s="1"/>
  <c r="FF109" i="4"/>
  <c r="FG109" i="4" s="1"/>
  <c r="FB109" i="4"/>
  <c r="FC109" i="4" s="1"/>
  <c r="EX109" i="4"/>
  <c r="EY109" i="4" s="1"/>
  <c r="ET109" i="4"/>
  <c r="EU109" i="4" s="1"/>
  <c r="GB109" i="4"/>
  <c r="GC109" i="4" s="1"/>
  <c r="FL109" i="4"/>
  <c r="FM109" i="4" s="1"/>
  <c r="EV109" i="4"/>
  <c r="EW109" i="4" s="1"/>
  <c r="FX109" i="4"/>
  <c r="FY109" i="4" s="1"/>
  <c r="FH109" i="4"/>
  <c r="FI109" i="4" s="1"/>
  <c r="ES109" i="4"/>
  <c r="FT109" i="4"/>
  <c r="FU109" i="4" s="1"/>
  <c r="FD109" i="4"/>
  <c r="FE109" i="4" s="1"/>
  <c r="EZ109" i="4"/>
  <c r="FA109" i="4" s="1"/>
  <c r="GF109" i="4"/>
  <c r="GG109" i="4" s="1"/>
  <c r="FP109" i="4"/>
  <c r="FQ109" i="4" s="1"/>
  <c r="BY111" i="4"/>
  <c r="H111" i="4"/>
  <c r="G112" i="4"/>
  <c r="D113" i="4"/>
  <c r="AT110" i="4"/>
  <c r="AU110" i="4" s="1"/>
  <c r="AL110" i="4"/>
  <c r="AM110" i="4" s="1"/>
  <c r="AF110" i="4"/>
  <c r="AG110" i="4" s="1"/>
  <c r="AB110" i="4"/>
  <c r="AC110" i="4" s="1"/>
  <c r="Z110" i="4"/>
  <c r="AA110" i="4" s="1"/>
  <c r="T110" i="4"/>
  <c r="U110" i="4" s="1"/>
  <c r="AX110" i="4"/>
  <c r="AY110" i="4" s="1"/>
  <c r="AV110" i="4"/>
  <c r="AW110" i="4" s="1"/>
  <c r="AJ110" i="4"/>
  <c r="AK110" i="4" s="1"/>
  <c r="AH110" i="4"/>
  <c r="AI110" i="4" s="1"/>
  <c r="V110" i="4"/>
  <c r="W110" i="4" s="1"/>
  <c r="N110" i="4"/>
  <c r="O110" i="4" s="1"/>
  <c r="AP110" i="4"/>
  <c r="AQ110" i="4" s="1"/>
  <c r="AD110" i="4"/>
  <c r="AE110" i="4" s="1"/>
  <c r="R110" i="4"/>
  <c r="S110" i="4" s="1"/>
  <c r="P110" i="4"/>
  <c r="Q110" i="4" s="1"/>
  <c r="AR110" i="4"/>
  <c r="AS110" i="4" s="1"/>
  <c r="AN110" i="4"/>
  <c r="AO110" i="4" s="1"/>
  <c r="X110" i="4"/>
  <c r="Y110" i="4" s="1"/>
  <c r="L110" i="4"/>
  <c r="M110" i="4" s="1"/>
  <c r="J110" i="4"/>
  <c r="K110" i="4" s="1"/>
  <c r="I110" i="4"/>
  <c r="DN109" i="4"/>
  <c r="DO109" i="4" s="1"/>
  <c r="DJ109" i="4"/>
  <c r="DK109" i="4" s="1"/>
  <c r="DF109" i="4"/>
  <c r="DG109" i="4" s="1"/>
  <c r="DB109" i="4"/>
  <c r="DC109" i="4" s="1"/>
  <c r="CX109" i="4"/>
  <c r="CY109" i="4" s="1"/>
  <c r="CT109" i="4"/>
  <c r="CU109" i="4" s="1"/>
  <c r="CP109" i="4"/>
  <c r="CQ109" i="4" s="1"/>
  <c r="CL109" i="4"/>
  <c r="CM109" i="4" s="1"/>
  <c r="CH109" i="4"/>
  <c r="CI109" i="4" s="1"/>
  <c r="CD109" i="4"/>
  <c r="CE109" i="4" s="1"/>
  <c r="CA109" i="4"/>
  <c r="DL109" i="4"/>
  <c r="DM109" i="4" s="1"/>
  <c r="CV109" i="4"/>
  <c r="CW109" i="4" s="1"/>
  <c r="CF109" i="4"/>
  <c r="CG109" i="4" s="1"/>
  <c r="DH109" i="4"/>
  <c r="DI109" i="4" s="1"/>
  <c r="CR109" i="4"/>
  <c r="CS109" i="4" s="1"/>
  <c r="CB109" i="4"/>
  <c r="CC109" i="4" s="1"/>
  <c r="DD109" i="4"/>
  <c r="DE109" i="4" s="1"/>
  <c r="CN109" i="4"/>
  <c r="CO109" i="4" s="1"/>
  <c r="DP109" i="4"/>
  <c r="DQ109" i="4" s="1"/>
  <c r="CZ109" i="4"/>
  <c r="DA109" i="4" s="1"/>
  <c r="CJ109" i="4"/>
  <c r="CK109" i="4" s="1"/>
  <c r="G113" i="4" l="1"/>
  <c r="D22" i="4"/>
  <c r="EQ111" i="4"/>
  <c r="ER111" i="4" s="1"/>
  <c r="BZ111" i="4"/>
  <c r="GF110" i="4"/>
  <c r="GG110" i="4" s="1"/>
  <c r="GB110" i="4"/>
  <c r="GC110" i="4" s="1"/>
  <c r="FX110" i="4"/>
  <c r="FY110" i="4" s="1"/>
  <c r="FT110" i="4"/>
  <c r="FU110" i="4" s="1"/>
  <c r="FP110" i="4"/>
  <c r="FQ110" i="4" s="1"/>
  <c r="FL110" i="4"/>
  <c r="FM110" i="4" s="1"/>
  <c r="FH110" i="4"/>
  <c r="FI110" i="4" s="1"/>
  <c r="FD110" i="4"/>
  <c r="FE110" i="4" s="1"/>
  <c r="EZ110" i="4"/>
  <c r="FA110" i="4" s="1"/>
  <c r="EV110" i="4"/>
  <c r="EW110" i="4" s="1"/>
  <c r="ES110" i="4"/>
  <c r="GH110" i="4"/>
  <c r="GI110" i="4" s="1"/>
  <c r="GD110" i="4"/>
  <c r="GE110" i="4" s="1"/>
  <c r="FZ110" i="4"/>
  <c r="GA110" i="4" s="1"/>
  <c r="FV110" i="4"/>
  <c r="FW110" i="4" s="1"/>
  <c r="FR110" i="4"/>
  <c r="FS110" i="4" s="1"/>
  <c r="FN110" i="4"/>
  <c r="FO110" i="4" s="1"/>
  <c r="FJ110" i="4"/>
  <c r="FK110" i="4" s="1"/>
  <c r="FF110" i="4"/>
  <c r="FG110" i="4" s="1"/>
  <c r="FB110" i="4"/>
  <c r="FC110" i="4" s="1"/>
  <c r="EX110" i="4"/>
  <c r="EY110" i="4" s="1"/>
  <c r="ET110" i="4"/>
  <c r="EU110" i="4" s="1"/>
  <c r="BY112" i="4"/>
  <c r="H112" i="4"/>
  <c r="AV111" i="4"/>
  <c r="AW111" i="4" s="1"/>
  <c r="AJ111" i="4"/>
  <c r="AK111" i="4" s="1"/>
  <c r="AH111" i="4"/>
  <c r="AI111" i="4" s="1"/>
  <c r="V111" i="4"/>
  <c r="W111" i="4" s="1"/>
  <c r="N111" i="4"/>
  <c r="O111" i="4" s="1"/>
  <c r="AX111" i="4"/>
  <c r="AY111" i="4" s="1"/>
  <c r="AP111" i="4"/>
  <c r="AQ111" i="4" s="1"/>
  <c r="AD111" i="4"/>
  <c r="AE111" i="4" s="1"/>
  <c r="R111" i="4"/>
  <c r="S111" i="4" s="1"/>
  <c r="P111" i="4"/>
  <c r="Q111" i="4" s="1"/>
  <c r="AR111" i="4"/>
  <c r="AS111" i="4" s="1"/>
  <c r="AN111" i="4"/>
  <c r="AO111" i="4" s="1"/>
  <c r="X111" i="4"/>
  <c r="Y111" i="4" s="1"/>
  <c r="AT111" i="4"/>
  <c r="AU111" i="4" s="1"/>
  <c r="AL111" i="4"/>
  <c r="AM111" i="4" s="1"/>
  <c r="AF111" i="4"/>
  <c r="AG111" i="4" s="1"/>
  <c r="AB111" i="4"/>
  <c r="AC111" i="4" s="1"/>
  <c r="Z111" i="4"/>
  <c r="AA111" i="4" s="1"/>
  <c r="T111" i="4"/>
  <c r="U111" i="4" s="1"/>
  <c r="J111" i="4"/>
  <c r="K111" i="4" s="1"/>
  <c r="L111" i="4"/>
  <c r="M111" i="4" s="1"/>
  <c r="I111" i="4"/>
  <c r="DP110" i="4"/>
  <c r="DQ110" i="4" s="1"/>
  <c r="DL110" i="4"/>
  <c r="DM110" i="4" s="1"/>
  <c r="DH110" i="4"/>
  <c r="DI110" i="4" s="1"/>
  <c r="DD110" i="4"/>
  <c r="DE110" i="4" s="1"/>
  <c r="CZ110" i="4"/>
  <c r="DA110" i="4" s="1"/>
  <c r="CV110" i="4"/>
  <c r="CW110" i="4" s="1"/>
  <c r="CR110" i="4"/>
  <c r="CS110" i="4" s="1"/>
  <c r="CN110" i="4"/>
  <c r="CO110" i="4" s="1"/>
  <c r="CJ110" i="4"/>
  <c r="CK110" i="4" s="1"/>
  <c r="CF110" i="4"/>
  <c r="CG110" i="4" s="1"/>
  <c r="CB110" i="4"/>
  <c r="CC110" i="4" s="1"/>
  <c r="DF110" i="4"/>
  <c r="DG110" i="4" s="1"/>
  <c r="CP110" i="4"/>
  <c r="CQ110" i="4" s="1"/>
  <c r="CA110" i="4"/>
  <c r="DB110" i="4"/>
  <c r="DC110" i="4" s="1"/>
  <c r="CL110" i="4"/>
  <c r="CM110" i="4" s="1"/>
  <c r="DN110" i="4"/>
  <c r="DO110" i="4" s="1"/>
  <c r="CX110" i="4"/>
  <c r="CY110" i="4" s="1"/>
  <c r="CH110" i="4"/>
  <c r="CI110" i="4" s="1"/>
  <c r="DJ110" i="4"/>
  <c r="DK110" i="4" s="1"/>
  <c r="CT110" i="4"/>
  <c r="CU110" i="4" s="1"/>
  <c r="CD110" i="4"/>
  <c r="CE110" i="4" s="1"/>
  <c r="AP112" i="4" l="1"/>
  <c r="AQ112" i="4" s="1"/>
  <c r="AD112" i="4"/>
  <c r="AE112" i="4" s="1"/>
  <c r="R112" i="4"/>
  <c r="S112" i="4" s="1"/>
  <c r="P112" i="4"/>
  <c r="Q112" i="4" s="1"/>
  <c r="J112" i="4"/>
  <c r="K112" i="4" s="1"/>
  <c r="AX112" i="4"/>
  <c r="AY112" i="4" s="1"/>
  <c r="AR112" i="4"/>
  <c r="AS112" i="4" s="1"/>
  <c r="AN112" i="4"/>
  <c r="AO112" i="4" s="1"/>
  <c r="X112" i="4"/>
  <c r="Y112" i="4" s="1"/>
  <c r="AT112" i="4"/>
  <c r="AU112" i="4" s="1"/>
  <c r="AL112" i="4"/>
  <c r="AM112" i="4" s="1"/>
  <c r="AF112" i="4"/>
  <c r="AG112" i="4" s="1"/>
  <c r="AB112" i="4"/>
  <c r="AC112" i="4" s="1"/>
  <c r="Z112" i="4"/>
  <c r="AA112" i="4" s="1"/>
  <c r="T112" i="4"/>
  <c r="U112" i="4" s="1"/>
  <c r="L112" i="4"/>
  <c r="M112" i="4" s="1"/>
  <c r="AV112" i="4"/>
  <c r="AW112" i="4" s="1"/>
  <c r="AJ112" i="4"/>
  <c r="AK112" i="4" s="1"/>
  <c r="AH112" i="4"/>
  <c r="AI112" i="4" s="1"/>
  <c r="V112" i="4"/>
  <c r="W112" i="4" s="1"/>
  <c r="N112" i="4"/>
  <c r="O112" i="4" s="1"/>
  <c r="I112" i="4"/>
  <c r="DN111" i="4"/>
  <c r="DO111" i="4" s="1"/>
  <c r="DJ111" i="4"/>
  <c r="DK111" i="4" s="1"/>
  <c r="DF111" i="4"/>
  <c r="DG111" i="4" s="1"/>
  <c r="DB111" i="4"/>
  <c r="DC111" i="4" s="1"/>
  <c r="CX111" i="4"/>
  <c r="CY111" i="4" s="1"/>
  <c r="CT111" i="4"/>
  <c r="CU111" i="4" s="1"/>
  <c r="CP111" i="4"/>
  <c r="CQ111" i="4" s="1"/>
  <c r="CL111" i="4"/>
  <c r="CM111" i="4" s="1"/>
  <c r="CH111" i="4"/>
  <c r="CI111" i="4" s="1"/>
  <c r="CD111" i="4"/>
  <c r="CE111" i="4" s="1"/>
  <c r="CA111" i="4"/>
  <c r="DD111" i="4"/>
  <c r="DE111" i="4" s="1"/>
  <c r="CN111" i="4"/>
  <c r="CO111" i="4" s="1"/>
  <c r="DP111" i="4"/>
  <c r="DQ111" i="4" s="1"/>
  <c r="CZ111" i="4"/>
  <c r="DA111" i="4" s="1"/>
  <c r="CJ111" i="4"/>
  <c r="CK111" i="4" s="1"/>
  <c r="DL111" i="4"/>
  <c r="DM111" i="4" s="1"/>
  <c r="CV111" i="4"/>
  <c r="CW111" i="4" s="1"/>
  <c r="CF111" i="4"/>
  <c r="CG111" i="4" s="1"/>
  <c r="DH111" i="4"/>
  <c r="DI111" i="4" s="1"/>
  <c r="CR111" i="4"/>
  <c r="CS111" i="4" s="1"/>
  <c r="CB111" i="4"/>
  <c r="CC111" i="4" s="1"/>
  <c r="EQ112" i="4"/>
  <c r="ER112" i="4" s="1"/>
  <c r="BZ112" i="4"/>
  <c r="GF111" i="4"/>
  <c r="GG111" i="4" s="1"/>
  <c r="GB111" i="4"/>
  <c r="GC111" i="4" s="1"/>
  <c r="FX111" i="4"/>
  <c r="FY111" i="4" s="1"/>
  <c r="FT111" i="4"/>
  <c r="FU111" i="4" s="1"/>
  <c r="FP111" i="4"/>
  <c r="FQ111" i="4" s="1"/>
  <c r="FL111" i="4"/>
  <c r="FM111" i="4" s="1"/>
  <c r="FH111" i="4"/>
  <c r="FI111" i="4" s="1"/>
  <c r="FD111" i="4"/>
  <c r="FE111" i="4" s="1"/>
  <c r="EZ111" i="4"/>
  <c r="FA111" i="4" s="1"/>
  <c r="EV111" i="4"/>
  <c r="EW111" i="4" s="1"/>
  <c r="ES111" i="4"/>
  <c r="GH111" i="4"/>
  <c r="GI111" i="4" s="1"/>
  <c r="FR111" i="4"/>
  <c r="FS111" i="4" s="1"/>
  <c r="FB111" i="4"/>
  <c r="FC111" i="4" s="1"/>
  <c r="GD111" i="4"/>
  <c r="GE111" i="4" s="1"/>
  <c r="FN111" i="4"/>
  <c r="FO111" i="4" s="1"/>
  <c r="EX111" i="4"/>
  <c r="EY111" i="4" s="1"/>
  <c r="FZ111" i="4"/>
  <c r="GA111" i="4" s="1"/>
  <c r="FJ111" i="4"/>
  <c r="FK111" i="4" s="1"/>
  <c r="ET111" i="4"/>
  <c r="EU111" i="4" s="1"/>
  <c r="FF111" i="4"/>
  <c r="FG111" i="4" s="1"/>
  <c r="FV111" i="4"/>
  <c r="FW111" i="4" s="1"/>
  <c r="G22" i="4"/>
  <c r="D27" i="4"/>
  <c r="BY113" i="4"/>
  <c r="H113" i="4"/>
  <c r="D28" i="4" l="1"/>
  <c r="G28" i="4" s="1"/>
  <c r="H28" i="4" s="1"/>
  <c r="AD28" i="4" s="1"/>
  <c r="AE28" i="4" s="1"/>
  <c r="E27" i="4"/>
  <c r="E28" i="4" s="1"/>
  <c r="AF28" i="4"/>
  <c r="AG28" i="4" s="1"/>
  <c r="Z28" i="4"/>
  <c r="AA28" i="4" s="1"/>
  <c r="AV28" i="4"/>
  <c r="AW28" i="4" s="1"/>
  <c r="P28" i="4"/>
  <c r="Q28" i="4" s="1"/>
  <c r="AP28" i="4"/>
  <c r="AQ28" i="4" s="1"/>
  <c r="AR28" i="4"/>
  <c r="AS28" i="4" s="1"/>
  <c r="AJ28" i="4"/>
  <c r="AK28" i="4" s="1"/>
  <c r="X28" i="4"/>
  <c r="Y28" i="4" s="1"/>
  <c r="BY22" i="4"/>
  <c r="H22" i="4"/>
  <c r="DP112" i="4"/>
  <c r="DQ112" i="4" s="1"/>
  <c r="DL112" i="4"/>
  <c r="DM112" i="4" s="1"/>
  <c r="DH112" i="4"/>
  <c r="DI112" i="4" s="1"/>
  <c r="DD112" i="4"/>
  <c r="DE112" i="4" s="1"/>
  <c r="CZ112" i="4"/>
  <c r="DA112" i="4" s="1"/>
  <c r="CV112" i="4"/>
  <c r="CW112" i="4" s="1"/>
  <c r="CR112" i="4"/>
  <c r="CS112" i="4" s="1"/>
  <c r="CN112" i="4"/>
  <c r="CO112" i="4" s="1"/>
  <c r="CJ112" i="4"/>
  <c r="CK112" i="4" s="1"/>
  <c r="CF112" i="4"/>
  <c r="CG112" i="4" s="1"/>
  <c r="CB112" i="4"/>
  <c r="CC112" i="4" s="1"/>
  <c r="DN112" i="4"/>
  <c r="DO112" i="4" s="1"/>
  <c r="CX112" i="4"/>
  <c r="CY112" i="4" s="1"/>
  <c r="CH112" i="4"/>
  <c r="CI112" i="4" s="1"/>
  <c r="DJ112" i="4"/>
  <c r="DK112" i="4" s="1"/>
  <c r="CT112" i="4"/>
  <c r="CU112" i="4" s="1"/>
  <c r="CD112" i="4"/>
  <c r="CE112" i="4" s="1"/>
  <c r="DF112" i="4"/>
  <c r="DG112" i="4" s="1"/>
  <c r="CP112" i="4"/>
  <c r="CQ112" i="4" s="1"/>
  <c r="CA112" i="4"/>
  <c r="DB112" i="4"/>
  <c r="DC112" i="4" s="1"/>
  <c r="CL112" i="4"/>
  <c r="CM112" i="4" s="1"/>
  <c r="G27" i="4"/>
  <c r="AR113" i="4"/>
  <c r="AS113" i="4" s="1"/>
  <c r="AN113" i="4"/>
  <c r="AO113" i="4" s="1"/>
  <c r="X113" i="4"/>
  <c r="Y113" i="4" s="1"/>
  <c r="AX113" i="4"/>
  <c r="AY113" i="4" s="1"/>
  <c r="AT113" i="4"/>
  <c r="AU113" i="4" s="1"/>
  <c r="AL113" i="4"/>
  <c r="AM113" i="4" s="1"/>
  <c r="AF113" i="4"/>
  <c r="AG113" i="4" s="1"/>
  <c r="AB113" i="4"/>
  <c r="AC113" i="4" s="1"/>
  <c r="Z113" i="4"/>
  <c r="AA113" i="4" s="1"/>
  <c r="T113" i="4"/>
  <c r="U113" i="4" s="1"/>
  <c r="J113" i="4"/>
  <c r="K113" i="4" s="1"/>
  <c r="AV113" i="4"/>
  <c r="AW113" i="4" s="1"/>
  <c r="AJ113" i="4"/>
  <c r="AK113" i="4" s="1"/>
  <c r="AH113" i="4"/>
  <c r="AI113" i="4" s="1"/>
  <c r="V113" i="4"/>
  <c r="W113" i="4" s="1"/>
  <c r="N113" i="4"/>
  <c r="O113" i="4" s="1"/>
  <c r="AP113" i="4"/>
  <c r="AQ113" i="4" s="1"/>
  <c r="AD113" i="4"/>
  <c r="AE113" i="4" s="1"/>
  <c r="R113" i="4"/>
  <c r="S113" i="4" s="1"/>
  <c r="P113" i="4"/>
  <c r="Q113" i="4" s="1"/>
  <c r="L113" i="4"/>
  <c r="M113" i="4" s="1"/>
  <c r="I113" i="4"/>
  <c r="BZ113" i="4"/>
  <c r="EQ113" i="4"/>
  <c r="ER113" i="4" s="1"/>
  <c r="GH112" i="4"/>
  <c r="GI112" i="4" s="1"/>
  <c r="GD112" i="4"/>
  <c r="GE112" i="4" s="1"/>
  <c r="FZ112" i="4"/>
  <c r="GA112" i="4" s="1"/>
  <c r="FV112" i="4"/>
  <c r="FW112" i="4" s="1"/>
  <c r="FR112" i="4"/>
  <c r="FS112" i="4" s="1"/>
  <c r="FN112" i="4"/>
  <c r="FO112" i="4" s="1"/>
  <c r="FJ112" i="4"/>
  <c r="FK112" i="4" s="1"/>
  <c r="FF112" i="4"/>
  <c r="FG112" i="4" s="1"/>
  <c r="FB112" i="4"/>
  <c r="FC112" i="4" s="1"/>
  <c r="EX112" i="4"/>
  <c r="EY112" i="4" s="1"/>
  <c r="ET112" i="4"/>
  <c r="EU112" i="4" s="1"/>
  <c r="GF112" i="4"/>
  <c r="GG112" i="4" s="1"/>
  <c r="GB112" i="4"/>
  <c r="GC112" i="4" s="1"/>
  <c r="FX112" i="4"/>
  <c r="FY112" i="4" s="1"/>
  <c r="FT112" i="4"/>
  <c r="FU112" i="4" s="1"/>
  <c r="FP112" i="4"/>
  <c r="FQ112" i="4" s="1"/>
  <c r="FL112" i="4"/>
  <c r="FM112" i="4" s="1"/>
  <c r="FH112" i="4"/>
  <c r="FI112" i="4" s="1"/>
  <c r="FD112" i="4"/>
  <c r="FE112" i="4" s="1"/>
  <c r="EZ112" i="4"/>
  <c r="FA112" i="4" s="1"/>
  <c r="EV112" i="4"/>
  <c r="EW112" i="4" s="1"/>
  <c r="ES112" i="4"/>
  <c r="AT28" i="4" l="1"/>
  <c r="AU28" i="4" s="1"/>
  <c r="AN28" i="4"/>
  <c r="AO28" i="4" s="1"/>
  <c r="N28" i="4"/>
  <c r="O28" i="4" s="1"/>
  <c r="V28" i="4"/>
  <c r="W28" i="4" s="1"/>
  <c r="J28" i="4"/>
  <c r="K28" i="4" s="1"/>
  <c r="L28" i="4"/>
  <c r="M28" i="4" s="1"/>
  <c r="T28" i="4"/>
  <c r="U28" i="4" s="1"/>
  <c r="AL28" i="4"/>
  <c r="AM28" i="4" s="1"/>
  <c r="AB28" i="4"/>
  <c r="AC28" i="4" s="1"/>
  <c r="AX28" i="4"/>
  <c r="AY28" i="4" s="1"/>
  <c r="R28" i="4"/>
  <c r="S28" i="4" s="1"/>
  <c r="I28" i="4"/>
  <c r="AH28" i="4"/>
  <c r="AI28" i="4" s="1"/>
  <c r="GH113" i="4"/>
  <c r="GI113" i="4" s="1"/>
  <c r="GD113" i="4"/>
  <c r="GE113" i="4" s="1"/>
  <c r="FZ113" i="4"/>
  <c r="GA113" i="4" s="1"/>
  <c r="FV113" i="4"/>
  <c r="FW113" i="4" s="1"/>
  <c r="FR113" i="4"/>
  <c r="FS113" i="4" s="1"/>
  <c r="FN113" i="4"/>
  <c r="FO113" i="4" s="1"/>
  <c r="FJ113" i="4"/>
  <c r="FK113" i="4" s="1"/>
  <c r="FF113" i="4"/>
  <c r="FG113" i="4" s="1"/>
  <c r="FB113" i="4"/>
  <c r="FC113" i="4" s="1"/>
  <c r="EX113" i="4"/>
  <c r="EY113" i="4" s="1"/>
  <c r="ET113" i="4"/>
  <c r="EU113" i="4" s="1"/>
  <c r="GF113" i="4"/>
  <c r="GG113" i="4" s="1"/>
  <c r="FP113" i="4"/>
  <c r="FQ113" i="4" s="1"/>
  <c r="EZ113" i="4"/>
  <c r="FA113" i="4" s="1"/>
  <c r="GB113" i="4"/>
  <c r="GC113" i="4" s="1"/>
  <c r="FL113" i="4"/>
  <c r="FM113" i="4" s="1"/>
  <c r="EV113" i="4"/>
  <c r="EW113" i="4" s="1"/>
  <c r="FX113" i="4"/>
  <c r="FY113" i="4" s="1"/>
  <c r="FH113" i="4"/>
  <c r="FI113" i="4" s="1"/>
  <c r="ES113" i="4"/>
  <c r="FD113" i="4"/>
  <c r="FE113" i="4" s="1"/>
  <c r="FT113" i="4"/>
  <c r="FU113" i="4" s="1"/>
  <c r="BY27" i="4"/>
  <c r="H27" i="4"/>
  <c r="AJ22" i="4"/>
  <c r="AK22" i="4" s="1"/>
  <c r="X22" i="4"/>
  <c r="Y22" i="4" s="1"/>
  <c r="V22" i="4"/>
  <c r="W22" i="4" s="1"/>
  <c r="P22" i="4"/>
  <c r="Q22" i="4" s="1"/>
  <c r="AT22" i="4"/>
  <c r="AU22" i="4" s="1"/>
  <c r="AR22" i="4"/>
  <c r="AS22" i="4" s="1"/>
  <c r="AF22" i="4"/>
  <c r="AG22" i="4" s="1"/>
  <c r="T22" i="4"/>
  <c r="U22" i="4" s="1"/>
  <c r="R22" i="4"/>
  <c r="S22" i="4" s="1"/>
  <c r="AP22" i="4"/>
  <c r="AQ22" i="4" s="1"/>
  <c r="AL22" i="4"/>
  <c r="AM22" i="4" s="1"/>
  <c r="AD22" i="4"/>
  <c r="AE22" i="4" s="1"/>
  <c r="Z22" i="4"/>
  <c r="AA22" i="4" s="1"/>
  <c r="N22" i="4"/>
  <c r="O22" i="4" s="1"/>
  <c r="AX22" i="4"/>
  <c r="AY22" i="4" s="1"/>
  <c r="AV22" i="4"/>
  <c r="AW22" i="4" s="1"/>
  <c r="AN22" i="4"/>
  <c r="AO22" i="4" s="1"/>
  <c r="AH22" i="4"/>
  <c r="AI22" i="4" s="1"/>
  <c r="AB22" i="4"/>
  <c r="AC22" i="4" s="1"/>
  <c r="L22" i="4"/>
  <c r="M22" i="4" s="1"/>
  <c r="I22" i="4"/>
  <c r="J22" i="4"/>
  <c r="K22" i="4" s="1"/>
  <c r="DN113" i="4"/>
  <c r="DO113" i="4" s="1"/>
  <c r="DJ113" i="4"/>
  <c r="DK113" i="4" s="1"/>
  <c r="DF113" i="4"/>
  <c r="DG113" i="4" s="1"/>
  <c r="DB113" i="4"/>
  <c r="DC113" i="4" s="1"/>
  <c r="CX113" i="4"/>
  <c r="CY113" i="4" s="1"/>
  <c r="CT113" i="4"/>
  <c r="CU113" i="4" s="1"/>
  <c r="CP113" i="4"/>
  <c r="CQ113" i="4" s="1"/>
  <c r="CL113" i="4"/>
  <c r="CM113" i="4" s="1"/>
  <c r="CH113" i="4"/>
  <c r="CI113" i="4" s="1"/>
  <c r="CD113" i="4"/>
  <c r="CE113" i="4" s="1"/>
  <c r="CA113" i="4"/>
  <c r="DL113" i="4"/>
  <c r="DM113" i="4" s="1"/>
  <c r="CV113" i="4"/>
  <c r="CW113" i="4" s="1"/>
  <c r="CF113" i="4"/>
  <c r="CG113" i="4" s="1"/>
  <c r="DH113" i="4"/>
  <c r="DI113" i="4" s="1"/>
  <c r="CR113" i="4"/>
  <c r="CS113" i="4" s="1"/>
  <c r="CB113" i="4"/>
  <c r="CC113" i="4" s="1"/>
  <c r="DD113" i="4"/>
  <c r="DE113" i="4" s="1"/>
  <c r="CN113" i="4"/>
  <c r="CO113" i="4" s="1"/>
  <c r="DP113" i="4"/>
  <c r="DQ113" i="4" s="1"/>
  <c r="CZ113" i="4"/>
  <c r="DA113" i="4" s="1"/>
  <c r="CJ113" i="4"/>
  <c r="CK113" i="4" s="1"/>
  <c r="EQ22" i="4"/>
  <c r="BZ22" i="4"/>
  <c r="BY28" i="4"/>
  <c r="BZ28" i="4" s="1"/>
  <c r="CV28" i="4" l="1"/>
  <c r="CW28" i="4" s="1"/>
  <c r="DH28" i="4"/>
  <c r="DI28" i="4" s="1"/>
  <c r="CJ28" i="4"/>
  <c r="CK28" i="4" s="1"/>
  <c r="DN28" i="4"/>
  <c r="DO28" i="4" s="1"/>
  <c r="DJ28" i="4"/>
  <c r="DK28" i="4" s="1"/>
  <c r="CF28" i="4"/>
  <c r="CG28" i="4" s="1"/>
  <c r="DP28" i="4"/>
  <c r="DQ28" i="4" s="1"/>
  <c r="CZ28" i="4"/>
  <c r="DA28" i="4" s="1"/>
  <c r="DF28" i="4"/>
  <c r="DG28" i="4" s="1"/>
  <c r="CP28" i="4"/>
  <c r="CQ28" i="4" s="1"/>
  <c r="CB28" i="4"/>
  <c r="CC28" i="4" s="1"/>
  <c r="CD28" i="4"/>
  <c r="CE28" i="4" s="1"/>
  <c r="DL28" i="4"/>
  <c r="DM28" i="4" s="1"/>
  <c r="DB28" i="4"/>
  <c r="DC28" i="4" s="1"/>
  <c r="CN28" i="4"/>
  <c r="CO28" i="4" s="1"/>
  <c r="CR28" i="4"/>
  <c r="CS28" i="4" s="1"/>
  <c r="CA28" i="4"/>
  <c r="CX28" i="4"/>
  <c r="CY28" i="4" s="1"/>
  <c r="CL28" i="4"/>
  <c r="CM28" i="4" s="1"/>
  <c r="DD28" i="4"/>
  <c r="DE28" i="4" s="1"/>
  <c r="CT28" i="4"/>
  <c r="CU28" i="4" s="1"/>
  <c r="CH28" i="4"/>
  <c r="CI28" i="4" s="1"/>
  <c r="DN22" i="4"/>
  <c r="DO22" i="4" s="1"/>
  <c r="DJ22" i="4"/>
  <c r="DK22" i="4" s="1"/>
  <c r="DF22" i="4"/>
  <c r="DG22" i="4" s="1"/>
  <c r="DB22" i="4"/>
  <c r="DC22" i="4" s="1"/>
  <c r="CX22" i="4"/>
  <c r="CY22" i="4" s="1"/>
  <c r="CT22" i="4"/>
  <c r="CU22" i="4" s="1"/>
  <c r="CP22" i="4"/>
  <c r="CQ22" i="4" s="1"/>
  <c r="CL22" i="4"/>
  <c r="CM22" i="4" s="1"/>
  <c r="CH22" i="4"/>
  <c r="CI22" i="4" s="1"/>
  <c r="CD22" i="4"/>
  <c r="CE22" i="4" s="1"/>
  <c r="CA22" i="4"/>
  <c r="DP22" i="4"/>
  <c r="DQ22" i="4" s="1"/>
  <c r="DL22" i="4"/>
  <c r="DM22" i="4" s="1"/>
  <c r="DH22" i="4"/>
  <c r="DI22" i="4" s="1"/>
  <c r="DD22" i="4"/>
  <c r="DE22" i="4" s="1"/>
  <c r="CZ22" i="4"/>
  <c r="DA22" i="4" s="1"/>
  <c r="CV22" i="4"/>
  <c r="CW22" i="4" s="1"/>
  <c r="CR22" i="4"/>
  <c r="CS22" i="4" s="1"/>
  <c r="CN22" i="4"/>
  <c r="CO22" i="4" s="1"/>
  <c r="CJ22" i="4"/>
  <c r="CK22" i="4" s="1"/>
  <c r="CF22" i="4"/>
  <c r="CG22" i="4" s="1"/>
  <c r="CB22" i="4"/>
  <c r="CC22" i="4" s="1"/>
  <c r="ER22" i="4"/>
  <c r="AR27" i="4"/>
  <c r="AS27" i="4" s="1"/>
  <c r="AJ27" i="4"/>
  <c r="AK27" i="4" s="1"/>
  <c r="AL27" i="4"/>
  <c r="AM27" i="4" s="1"/>
  <c r="AV27" i="4"/>
  <c r="AW27" i="4" s="1"/>
  <c r="P27" i="4"/>
  <c r="Q27" i="4" s="1"/>
  <c r="AH27" i="4"/>
  <c r="AI27" i="4" s="1"/>
  <c r="AB27" i="4"/>
  <c r="AC27" i="4" s="1"/>
  <c r="AD27" i="4"/>
  <c r="AE27" i="4" s="1"/>
  <c r="AN27" i="4"/>
  <c r="AO27" i="4" s="1"/>
  <c r="AP27" i="4"/>
  <c r="AQ27" i="4" s="1"/>
  <c r="R27" i="4"/>
  <c r="S27" i="4" s="1"/>
  <c r="AX27" i="4"/>
  <c r="AY27" i="4" s="1"/>
  <c r="T27" i="4"/>
  <c r="U27" i="4" s="1"/>
  <c r="V27" i="4"/>
  <c r="W27" i="4" s="1"/>
  <c r="AF27" i="4"/>
  <c r="AG27" i="4" s="1"/>
  <c r="Z27" i="4"/>
  <c r="AA27" i="4" s="1"/>
  <c r="J27" i="4"/>
  <c r="K27" i="4" s="1"/>
  <c r="AT27" i="4"/>
  <c r="AU27" i="4" s="1"/>
  <c r="N27" i="4"/>
  <c r="O27" i="4" s="1"/>
  <c r="X27" i="4"/>
  <c r="Y27" i="4" s="1"/>
  <c r="L27" i="4"/>
  <c r="M27" i="4" s="1"/>
  <c r="I27" i="4"/>
  <c r="BZ27" i="4"/>
  <c r="EQ27" i="4"/>
  <c r="ER27" i="4" s="1"/>
  <c r="CD27" i="4" l="1"/>
  <c r="CE27" i="4" s="1"/>
  <c r="CA27" i="4"/>
  <c r="CN27" i="4"/>
  <c r="CO27" i="4" s="1"/>
  <c r="DP27" i="4"/>
  <c r="DQ27" i="4" s="1"/>
  <c r="DF27" i="4"/>
  <c r="DG27" i="4" s="1"/>
  <c r="DB27" i="4"/>
  <c r="DC27" i="4" s="1"/>
  <c r="CZ27" i="4"/>
  <c r="DA27" i="4" s="1"/>
  <c r="DN27" i="4"/>
  <c r="DO27" i="4" s="1"/>
  <c r="CX27" i="4"/>
  <c r="CY27" i="4" s="1"/>
  <c r="CH27" i="4"/>
  <c r="CI27" i="4" s="1"/>
  <c r="DL27" i="4"/>
  <c r="DM27" i="4" s="1"/>
  <c r="CV27" i="4"/>
  <c r="CW27" i="4" s="1"/>
  <c r="CF27" i="4"/>
  <c r="CG27" i="4" s="1"/>
  <c r="DJ27" i="4"/>
  <c r="DK27" i="4" s="1"/>
  <c r="CT27" i="4"/>
  <c r="CU27" i="4" s="1"/>
  <c r="DH27" i="4"/>
  <c r="DI27" i="4" s="1"/>
  <c r="CR27" i="4"/>
  <c r="CS27" i="4" s="1"/>
  <c r="CB27" i="4"/>
  <c r="CC27" i="4" s="1"/>
  <c r="CP27" i="4"/>
  <c r="CQ27" i="4" s="1"/>
  <c r="DD27" i="4"/>
  <c r="DE27" i="4" s="1"/>
  <c r="CL27" i="4"/>
  <c r="CM27" i="4" s="1"/>
  <c r="CJ27" i="4"/>
  <c r="CK27" i="4" s="1"/>
  <c r="GF22" i="4"/>
  <c r="GG22" i="4" s="1"/>
  <c r="GB22" i="4"/>
  <c r="GC22" i="4" s="1"/>
  <c r="FX22" i="4"/>
  <c r="FY22" i="4" s="1"/>
  <c r="FT22" i="4"/>
  <c r="FU22" i="4" s="1"/>
  <c r="FP22" i="4"/>
  <c r="FQ22" i="4" s="1"/>
  <c r="FL22" i="4"/>
  <c r="FM22" i="4" s="1"/>
  <c r="FH22" i="4"/>
  <c r="FI22" i="4" s="1"/>
  <c r="FD22" i="4"/>
  <c r="FE22" i="4" s="1"/>
  <c r="EZ22" i="4"/>
  <c r="FA22" i="4" s="1"/>
  <c r="EV22" i="4"/>
  <c r="EW22" i="4" s="1"/>
  <c r="ES22" i="4"/>
  <c r="GH22" i="4"/>
  <c r="GI22" i="4" s="1"/>
  <c r="FR22" i="4"/>
  <c r="FS22" i="4" s="1"/>
  <c r="FB22" i="4"/>
  <c r="FC22" i="4" s="1"/>
  <c r="GD22" i="4"/>
  <c r="GE22" i="4" s="1"/>
  <c r="FN22" i="4"/>
  <c r="FO22" i="4" s="1"/>
  <c r="EX22" i="4"/>
  <c r="EY22" i="4" s="1"/>
  <c r="FZ22" i="4"/>
  <c r="GA22" i="4" s="1"/>
  <c r="FJ22" i="4"/>
  <c r="FK22" i="4" s="1"/>
  <c r="ET22" i="4"/>
  <c r="EU22" i="4" s="1"/>
  <c r="FV22" i="4"/>
  <c r="FW22" i="4" s="1"/>
  <c r="FF22" i="4"/>
  <c r="FG22" i="4" s="1"/>
  <c r="EQ28" i="4"/>
  <c r="ER28" i="4" s="1"/>
  <c r="EV27" i="4"/>
  <c r="EW27" i="4" s="1"/>
  <c r="FH27" i="4"/>
  <c r="FI27" i="4" s="1"/>
  <c r="FV27" i="4"/>
  <c r="FW27" i="4" s="1"/>
  <c r="FT27" i="4"/>
  <c r="FU27" i="4" s="1"/>
  <c r="FF27" i="4"/>
  <c r="FG27" i="4" s="1"/>
  <c r="FD27" i="4"/>
  <c r="FE27" i="4" s="1"/>
  <c r="FB27" i="4"/>
  <c r="FC27" i="4" s="1"/>
  <c r="GH27" i="4"/>
  <c r="GI27" i="4" s="1"/>
  <c r="GF27" i="4"/>
  <c r="GG27" i="4" s="1"/>
  <c r="FP27" i="4"/>
  <c r="FQ27" i="4" s="1"/>
  <c r="EZ27" i="4"/>
  <c r="FA27" i="4" s="1"/>
  <c r="GD27" i="4"/>
  <c r="GE27" i="4" s="1"/>
  <c r="FN27" i="4"/>
  <c r="FO27" i="4" s="1"/>
  <c r="EX27" i="4"/>
  <c r="EY27" i="4" s="1"/>
  <c r="GB27" i="4"/>
  <c r="GC27" i="4" s="1"/>
  <c r="FL27" i="4"/>
  <c r="FM27" i="4" s="1"/>
  <c r="FZ27" i="4"/>
  <c r="GA27" i="4" s="1"/>
  <c r="FJ27" i="4"/>
  <c r="FK27" i="4" s="1"/>
  <c r="ET27" i="4"/>
  <c r="EU27" i="4" s="1"/>
  <c r="FX27" i="4"/>
  <c r="FY27" i="4" s="1"/>
  <c r="ES27" i="4"/>
  <c r="FR27" i="4"/>
  <c r="FS27" i="4" s="1"/>
  <c r="FT28" i="4" l="1"/>
  <c r="FU28" i="4" s="1"/>
  <c r="ET28" i="4"/>
  <c r="EU28" i="4" s="1"/>
  <c r="EX28" i="4"/>
  <c r="EY28" i="4" s="1"/>
  <c r="EZ28" i="4"/>
  <c r="FA28" i="4" s="1"/>
  <c r="FN28" i="4"/>
  <c r="FO28" i="4" s="1"/>
  <c r="FJ28" i="4"/>
  <c r="FK28" i="4" s="1"/>
  <c r="FL28" i="4"/>
  <c r="FM28" i="4" s="1"/>
  <c r="FX28" i="4"/>
  <c r="FY28" i="4" s="1"/>
  <c r="FH28" i="4"/>
  <c r="FI28" i="4" s="1"/>
  <c r="FV28" i="4"/>
  <c r="FW28" i="4" s="1"/>
  <c r="FF28" i="4"/>
  <c r="FG28" i="4" s="1"/>
  <c r="FD28" i="4"/>
  <c r="FE28" i="4" s="1"/>
  <c r="GH28" i="4"/>
  <c r="GI28" i="4" s="1"/>
  <c r="FR28" i="4"/>
  <c r="FS28" i="4" s="1"/>
  <c r="FB28" i="4"/>
  <c r="FC28" i="4" s="1"/>
  <c r="GF28" i="4"/>
  <c r="GG28" i="4" s="1"/>
  <c r="FP28" i="4"/>
  <c r="FQ28" i="4" s="1"/>
  <c r="GD28" i="4"/>
  <c r="GE28" i="4" s="1"/>
  <c r="EV28" i="4"/>
  <c r="EW28" i="4" s="1"/>
  <c r="GB28" i="4"/>
  <c r="GC28" i="4" s="1"/>
  <c r="FZ28" i="4"/>
  <c r="GA28" i="4" s="1"/>
  <c r="ES28" i="4"/>
</calcChain>
</file>

<file path=xl/sharedStrings.xml><?xml version="1.0" encoding="utf-8"?>
<sst xmlns="http://schemas.openxmlformats.org/spreadsheetml/2006/main" count="714" uniqueCount="374">
  <si>
    <t>건물종류</t>
  </si>
  <si>
    <t>면적(평)</t>
  </si>
  <si>
    <t>지역</t>
  </si>
  <si>
    <t>착공년도</t>
  </si>
  <si>
    <t>설계가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</si>
  <si>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</si>
  <si>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</si>
  <si>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</si>
  <si>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</si>
  <si>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</si>
  <si>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</si>
  <si>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</si>
  <si>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</si>
  <si>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</si>
  <si>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</si>
  <si>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</si>
  <si>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</si>
  <si>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</si>
  <si>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</si>
  <si>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</si>
  <si>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</si>
  <si>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</si>
  <si>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</si>
  <si>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</si>
  <si>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</si>
  <si>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</si>
  <si>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</si>
  <si>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</si>
  <si>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</si>
  <si>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</si>
  <si>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</si>
  <si>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</si>
  <si>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</si>
  <si>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</si>
  <si>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</si>
  <si>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</si>
  <si>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</si>
  <si>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</si>
  <si>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</si>
  <si>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</si>
  <si>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</si>
  <si>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</si>
  <si>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</si>
  <si>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</si>
  <si>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</si>
  <si>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</si>
  <si>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</si>
  <si>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</si>
  <si>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</si>
  <si>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</si>
  <si>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</si>
  <si>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</si>
  <si>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</si>
  <si>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</si>
  <si>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</si>
  <si>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</si>
  <si>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</si>
  <si>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</si>
  <si>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</si>
  <si>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</si>
  <si>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</si>
  <si>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</si>
  <si>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</si>
  <si>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2020 년</t>
    <phoneticPr fontId="2" type="noConversion"/>
  </si>
  <si>
    <t>2019년</t>
    <phoneticPr fontId="2" type="noConversion"/>
  </si>
  <si>
    <t>2018년</t>
  </si>
  <si>
    <t>2018년</t>
    <phoneticPr fontId="2" type="noConversion"/>
  </si>
  <si>
    <t>2017년</t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</si>
  <si>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</si>
  <si>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</si>
  <si>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</si>
  <si>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</si>
  <si>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</si>
  <si>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</si>
  <si>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</si>
  <si>
    <t>2011년</t>
    <phoneticPr fontId="2" type="noConversion"/>
  </si>
  <si>
    <t>2010년</t>
  </si>
  <si>
    <t>2010년</t>
    <phoneticPr fontId="2" type="noConversion"/>
  </si>
  <si>
    <t>2009년</t>
  </si>
  <si>
    <t>2009년</t>
    <phoneticPr fontId="2" type="noConversion"/>
  </si>
  <si>
    <t>2007년</t>
  </si>
  <si>
    <t>2007년</t>
    <phoneticPr fontId="2" type="noConversion"/>
  </si>
  <si>
    <t>2008년</t>
  </si>
  <si>
    <t>2008년</t>
    <phoneticPr fontId="2" type="noConversion"/>
  </si>
  <si>
    <t>2006년</t>
  </si>
  <si>
    <t>2006년</t>
    <phoneticPr fontId="2" type="noConversion"/>
  </si>
  <si>
    <t>2005년</t>
  </si>
  <si>
    <t>2005년</t>
    <phoneticPr fontId="2" type="noConversion"/>
  </si>
  <si>
    <t>2004년</t>
  </si>
  <si>
    <t>2004년</t>
    <phoneticPr fontId="2" type="noConversion"/>
  </si>
  <si>
    <t>2003년</t>
  </si>
  <si>
    <t>2003년</t>
    <phoneticPr fontId="2" type="noConversion"/>
  </si>
  <si>
    <t>2002년</t>
  </si>
  <si>
    <t>2002년</t>
    <phoneticPr fontId="2" type="noConversion"/>
  </si>
  <si>
    <t>2001년</t>
  </si>
  <si>
    <t>2001년</t>
    <phoneticPr fontId="2" type="noConversion"/>
  </si>
  <si>
    <t>2000년</t>
  </si>
  <si>
    <t>2000년</t>
    <phoneticPr fontId="2" type="noConversion"/>
  </si>
  <si>
    <t>1999년</t>
  </si>
  <si>
    <t>1999년</t>
    <phoneticPr fontId="2" type="noConversion"/>
  </si>
  <si>
    <t>설계가</t>
    <phoneticPr fontId="2" type="noConversion"/>
  </si>
  <si>
    <t>2020년</t>
    <phoneticPr fontId="2" type="noConversion"/>
  </si>
  <si>
    <t>2016년</t>
  </si>
  <si>
    <t>2015년</t>
  </si>
  <si>
    <t>2014년</t>
  </si>
  <si>
    <t>2013년</t>
  </si>
  <si>
    <t>2012년</t>
  </si>
  <si>
    <t>물가인상율</t>
    <phoneticPr fontId="2" type="noConversion"/>
  </si>
  <si>
    <t>2020 추정</t>
    <phoneticPr fontId="2" type="noConversion"/>
  </si>
  <si>
    <t>도 급 가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</si>
  <si>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</si>
  <si>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</si>
  <si>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</si>
  <si>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</si>
  <si>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</si>
  <si>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</si>
  <si>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</si>
  <si>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</si>
  <si>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</si>
  <si>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</si>
  <si>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</si>
  <si>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</si>
  <si>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</si>
  <si>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</si>
  <si>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</si>
  <si>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</si>
  <si>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</si>
  <si>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</si>
  <si>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TLF GOD RK</t>
    <phoneticPr fontId="2" type="noConversion"/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</si>
  <si>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</si>
  <si>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</si>
  <si>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</si>
  <si>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</si>
  <si>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</si>
  <si>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</si>
  <si>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</si>
  <si>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</si>
  <si>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</si>
  <si>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</si>
  <si>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</si>
  <si>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</si>
  <si>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</si>
  <si>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</si>
  <si>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</si>
  <si>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</si>
  <si>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</si>
  <si>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</si>
  <si>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</si>
  <si>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</si>
  <si>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</si>
  <si>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</si>
  <si>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</si>
  <si>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</si>
  <si>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</si>
  <si>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</si>
  <si>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</si>
  <si>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</si>
  <si>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</si>
  <si>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</si>
  <si>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</si>
  <si>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</si>
  <si>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</si>
  <si>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</si>
  <si>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</si>
  <si>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</si>
  <si>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</si>
  <si>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</si>
  <si>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</si>
  <si>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</si>
  <si>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</si>
  <si>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</si>
  <si>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</si>
  <si>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</si>
  <si>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</si>
  <si>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</si>
  <si>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</si>
  <si>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</si>
  <si>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</si>
  <si>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</si>
  <si>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</si>
  <si>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</si>
  <si>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</si>
  <si>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</si>
  <si>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</si>
  <si>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</si>
  <si>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</si>
  <si>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</si>
  <si>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</si>
  <si>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</si>
  <si>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</si>
  <si>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</si>
  <si>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</si>
  <si>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</si>
  <si>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</si>
  <si>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</si>
  <si>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</si>
  <si>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</si>
  <si>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</si>
  <si>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</si>
  <si>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</si>
  <si>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</si>
  <si>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</si>
  <si>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</si>
  <si>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</si>
  <si>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</si>
  <si>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</si>
  <si>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</si>
  <si>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</si>
  <si>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</si>
  <si>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</si>
  <si>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</si>
  <si>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</si>
  <si>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</si>
  <si>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</si>
  <si>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</si>
  <si>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</si>
  <si>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</si>
  <si>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1000 M2 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</si>
  <si>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</si>
  <si>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</si>
  <si>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</si>
  <si>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</si>
  <si>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</si>
  <si>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</si>
  <si>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</si>
  <si>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</si>
  <si>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</si>
  <si>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</si>
  <si>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</si>
  <si>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</si>
  <si>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</si>
  <si>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</si>
  <si>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</si>
  <si>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</si>
  <si>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</si>
  <si>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</si>
  <si>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</si>
  <si>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</si>
  <si>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</si>
  <si>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</si>
  <si>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</si>
  <si>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</si>
  <si>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</si>
  <si>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</si>
  <si>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</si>
  <si>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</si>
  <si>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</si>
  <si>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</si>
  <si>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</si>
  <si>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</si>
  <si>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</si>
  <si>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</si>
  <si>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</si>
  <si>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</si>
  <si>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</si>
  <si>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</si>
  <si>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</si>
  <si>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</si>
  <si>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</si>
  <si>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</si>
  <si>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</si>
  <si>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</si>
  <si>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</si>
  <si>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</si>
  <si>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</si>
  <si>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</si>
  <si>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</si>
  <si>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</si>
  <si>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</si>
  <si>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</si>
  <si>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</si>
  <si>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</si>
  <si>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</si>
  <si>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</si>
  <si>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</si>
  <si>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</si>
  <si>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</si>
  <si>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</si>
  <si>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</si>
  <si>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</si>
  <si>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</si>
  <si>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</si>
  <si>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</si>
  <si>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</si>
  <si>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</si>
  <si>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</si>
  <si>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</si>
  <si>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</si>
  <si>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</si>
  <si>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</si>
  <si>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</si>
  <si>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</si>
  <si>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</si>
  <si>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</si>
  <si>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</si>
  <si>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</si>
  <si>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</si>
  <si>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</si>
  <si>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</si>
  <si>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</si>
  <si>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</si>
  <si>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</si>
  <si>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</si>
  <si>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</si>
  <si>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</si>
  <si>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</si>
  <si>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</si>
  <si>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</si>
  <si>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</si>
  <si>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</si>
  <si>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</si>
  <si>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</si>
  <si>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</si>
  <si>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</si>
  <si>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</si>
  <si>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</si>
  <si>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</si>
  <si>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</si>
  <si>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</si>
  <si>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</si>
  <si>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</si>
  <si>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</si>
  <si>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</si>
  <si>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</si>
  <si>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</si>
  <si>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</si>
  <si>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</si>
  <si>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</si>
  <si>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</si>
  <si>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</si>
  <si>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</si>
  <si>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</si>
  <si>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</si>
  <si>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</si>
  <si>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</si>
  <si>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</si>
  <si>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</si>
  <si>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</si>
  <si>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</si>
  <si>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</si>
  <si>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</si>
  <si>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</si>
  <si>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</si>
  <si>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</si>
  <si>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</si>
  <si>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</si>
  <si>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</si>
  <si>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</si>
  <si>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</si>
  <si>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</si>
  <si>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</si>
  <si>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</si>
  <si>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</si>
  <si>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</si>
  <si>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</si>
  <si>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</si>
  <si>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</si>
  <si>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</si>
  <si>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</si>
  <si>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</si>
  <si>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</si>
  <si>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</si>
  <si>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</si>
  <si>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00시립도서관 신축공사</t>
  </si>
  <si>
    <t>교육연구</t>
  </si>
  <si>
    <t>전라도</t>
  </si>
  <si>
    <t>CABLE DUCT 설치공사</t>
  </si>
  <si>
    <t>CCTV 설비공사</t>
  </si>
  <si>
    <t>RACE WAY 설치공사,GHP 실내기 제어배관 설치공사,경관조명설비공사</t>
    <phoneticPr fontId="2" type="noConversion"/>
  </si>
  <si>
    <t>포장공사,수반공사</t>
    <phoneticPr fontId="2" type="noConversion"/>
  </si>
  <si>
    <t>상수도공,부대공</t>
    <phoneticPr fontId="2" type="noConversion"/>
  </si>
  <si>
    <t>홈통/잡공사</t>
  </si>
  <si>
    <t>기초/토공사,자재대/운반비,사급자재비,품질시험비</t>
    <phoneticPr fontId="2" type="noConversion"/>
  </si>
  <si>
    <t>공조실배관공사,위생공사,공동PS가대및 장비기초공사, 난방공사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</si>
</sst>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4" fillId="0" borderId="0" xfId="1" applyNumberFormat="1" applyFont="1" applyFill="1" applyAlignment="1">
      <alignment vertical="center" shrinkToFit="1"/>
    </xf>
    <xf numFmtId="0" fontId="0" fillId="4" borderId="0" xfId="0" applyFill="1">
      <alignment vertical="center"/>
    </xf>
    <xf numFmtId="41" fontId="0" fillId="4" borderId="0" xfId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178" fontId="5" fillId="4" borderId="0" xfId="1" applyNumberFormat="1" applyFont="1" applyFill="1" applyAlignment="1">
      <alignment vertical="center" shrinkToFit="1"/>
    </xf>
    <xf numFmtId="178" fontId="4" fillId="4" borderId="0" xfId="1" applyNumberFormat="1" applyFont="1" applyFill="1" applyAlignment="1">
      <alignment vertical="center" shrinkToFit="1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5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E8" sqref="E8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9" t="s">
        <v>208</v>
      </c>
      <c r="B2" s="82" t="s">
        <v>0</v>
      </c>
      <c r="C2" s="83"/>
      <c r="D2" s="82" t="s">
        <v>1</v>
      </c>
      <c r="E2" s="83"/>
      <c r="F2" s="82" t="s">
        <v>209</v>
      </c>
      <c r="G2" s="83"/>
      <c r="H2" s="82" t="s">
        <v>2</v>
      </c>
      <c r="I2" s="83"/>
      <c r="J2" s="82" t="s">
        <v>3</v>
      </c>
      <c r="K2" s="83"/>
      <c r="L2" s="82" t="s">
        <v>210</v>
      </c>
      <c r="M2" s="83"/>
      <c r="N2" s="82" t="s">
        <v>211</v>
      </c>
      <c r="O2" s="83"/>
      <c r="P2" s="82" t="s">
        <v>212</v>
      </c>
      <c r="Q2" s="83"/>
      <c r="R2" s="76" t="s">
        <v>213</v>
      </c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8"/>
    </row>
    <row r="3" spans="1:33" x14ac:dyDescent="0.3">
      <c r="A3" s="80"/>
      <c r="B3" s="84"/>
      <c r="C3" s="85"/>
      <c r="D3" s="84"/>
      <c r="E3" s="85"/>
      <c r="F3" s="84"/>
      <c r="G3" s="85"/>
      <c r="H3" s="84"/>
      <c r="I3" s="85"/>
      <c r="J3" s="84"/>
      <c r="K3" s="85"/>
      <c r="L3" s="84"/>
      <c r="M3" s="85"/>
      <c r="N3" s="84"/>
      <c r="O3" s="85"/>
      <c r="P3" s="84"/>
      <c r="Q3" s="85"/>
      <c r="R3" s="59" t="s">
        <v>214</v>
      </c>
      <c r="S3" s="60"/>
      <c r="T3" s="59" t="s">
        <v>30</v>
      </c>
      <c r="U3" s="60"/>
      <c r="V3" s="59" t="s">
        <v>31</v>
      </c>
      <c r="W3" s="60"/>
      <c r="X3" s="59" t="s">
        <v>32</v>
      </c>
      <c r="Y3" s="60"/>
      <c r="Z3" s="59" t="s">
        <v>33</v>
      </c>
      <c r="AA3" s="60"/>
      <c r="AB3" s="59" t="s">
        <v>34</v>
      </c>
      <c r="AC3" s="60"/>
      <c r="AD3" s="59" t="s">
        <v>35</v>
      </c>
      <c r="AE3" s="60"/>
      <c r="AF3" s="59" t="s">
        <v>36</v>
      </c>
      <c r="AG3" s="60"/>
    </row>
    <row r="4" spans="1:33" x14ac:dyDescent="0.3">
      <c r="A4" s="81"/>
      <c r="B4" s="86"/>
      <c r="C4" s="87"/>
      <c r="D4" s="86"/>
      <c r="E4" s="87"/>
      <c r="F4" s="86"/>
      <c r="G4" s="87"/>
      <c r="H4" s="86"/>
      <c r="I4" s="87"/>
      <c r="J4" s="86"/>
      <c r="K4" s="87"/>
      <c r="L4" s="86"/>
      <c r="M4" s="87"/>
      <c r="N4" s="86"/>
      <c r="O4" s="87"/>
      <c r="P4" s="86"/>
      <c r="Q4" s="87"/>
      <c r="R4" s="61"/>
      <c r="S4" s="62"/>
      <c r="T4" s="61"/>
      <c r="U4" s="62"/>
      <c r="V4" s="61"/>
      <c r="W4" s="62"/>
      <c r="X4" s="61"/>
      <c r="Y4" s="62"/>
      <c r="Z4" s="61"/>
      <c r="AA4" s="62"/>
      <c r="AB4" s="61"/>
      <c r="AC4" s="62"/>
      <c r="AD4" s="61"/>
      <c r="AE4" s="62"/>
      <c r="AF4" s="61"/>
      <c r="AG4" s="62"/>
    </row>
    <row r="5" spans="1:33" x14ac:dyDescent="0.3">
      <c r="A5" s="4">
        <v>1</v>
      </c>
      <c r="B5" s="5">
        <v>1</v>
      </c>
      <c r="C5" s="17" t="s">
        <v>215</v>
      </c>
      <c r="D5" s="5">
        <v>1</v>
      </c>
      <c r="E5" s="1" t="s">
        <v>216</v>
      </c>
      <c r="F5" s="5">
        <v>1</v>
      </c>
      <c r="G5" s="17" t="s">
        <v>217</v>
      </c>
      <c r="H5" s="5">
        <v>1</v>
      </c>
      <c r="I5" s="1" t="s">
        <v>29</v>
      </c>
      <c r="J5" s="19">
        <v>1</v>
      </c>
      <c r="K5" s="1" t="s">
        <v>218</v>
      </c>
      <c r="L5" s="5">
        <v>1</v>
      </c>
      <c r="M5" s="6" t="s">
        <v>4</v>
      </c>
      <c r="N5" s="5">
        <v>1</v>
      </c>
      <c r="O5" s="6" t="s">
        <v>28</v>
      </c>
      <c r="P5" s="5">
        <v>1</v>
      </c>
      <c r="Q5" s="1" t="s">
        <v>6</v>
      </c>
      <c r="R5" s="28">
        <v>1</v>
      </c>
      <c r="S5" s="29" t="s">
        <v>129</v>
      </c>
      <c r="T5" s="28">
        <v>1</v>
      </c>
      <c r="U5" s="29" t="s">
        <v>21</v>
      </c>
      <c r="V5" s="28">
        <v>1</v>
      </c>
      <c r="W5" s="29" t="s">
        <v>24</v>
      </c>
      <c r="X5" s="28">
        <v>1</v>
      </c>
      <c r="Y5" s="29" t="s">
        <v>25</v>
      </c>
      <c r="Z5" s="28">
        <v>1</v>
      </c>
      <c r="AA5" s="29" t="s">
        <v>27</v>
      </c>
      <c r="AB5" s="28">
        <v>1</v>
      </c>
      <c r="AC5" s="29" t="s">
        <v>219</v>
      </c>
      <c r="AD5" s="28">
        <v>1</v>
      </c>
      <c r="AE5" s="29" t="s">
        <v>26</v>
      </c>
      <c r="AF5" s="28">
        <v>1</v>
      </c>
      <c r="AG5" s="39" t="s">
        <v>220</v>
      </c>
    </row>
    <row r="6" spans="1:33" x14ac:dyDescent="0.3">
      <c r="A6" s="4">
        <f>+A5+1</f>
        <v>2</v>
      </c>
      <c r="B6" s="5">
        <f>+B5+1</f>
        <v>2</v>
      </c>
      <c r="C6" s="17" t="s">
        <v>221</v>
      </c>
      <c r="D6" s="5">
        <v>2</v>
      </c>
      <c r="E6" s="1" t="s">
        <v>222</v>
      </c>
      <c r="F6" s="5">
        <v>2</v>
      </c>
      <c r="G6" s="17" t="s">
        <v>223</v>
      </c>
      <c r="H6" s="5">
        <v>2</v>
      </c>
      <c r="I6" s="1" t="s">
        <v>224</v>
      </c>
      <c r="J6" s="19">
        <v>2</v>
      </c>
      <c r="K6" s="1" t="s">
        <v>225</v>
      </c>
      <c r="L6" s="5">
        <v>2</v>
      </c>
      <c r="M6" s="6" t="s">
        <v>226</v>
      </c>
      <c r="N6" s="5">
        <v>2</v>
      </c>
      <c r="O6" s="6" t="s">
        <v>227</v>
      </c>
      <c r="P6" s="5">
        <v>2</v>
      </c>
      <c r="Q6" s="1" t="s">
        <v>214</v>
      </c>
      <c r="R6" s="28">
        <v>2</v>
      </c>
      <c r="S6" s="29" t="s">
        <v>228</v>
      </c>
      <c r="T6" s="28">
        <v>2</v>
      </c>
      <c r="U6" s="29" t="s">
        <v>229</v>
      </c>
      <c r="V6" s="28">
        <v>2</v>
      </c>
      <c r="W6" s="29" t="s">
        <v>230</v>
      </c>
      <c r="X6" s="28">
        <v>2</v>
      </c>
      <c r="Y6" s="29" t="s">
        <v>231</v>
      </c>
      <c r="Z6" s="28">
        <v>2</v>
      </c>
      <c r="AA6" s="29" t="s">
        <v>232</v>
      </c>
      <c r="AB6" s="28">
        <v>2</v>
      </c>
      <c r="AC6" s="29" t="s">
        <v>233</v>
      </c>
      <c r="AD6" s="28">
        <v>2</v>
      </c>
      <c r="AE6" s="29" t="s">
        <v>234</v>
      </c>
      <c r="AF6" s="28">
        <v>2</v>
      </c>
      <c r="AG6" s="39" t="s">
        <v>235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236</v>
      </c>
      <c r="D7" s="5">
        <v>3</v>
      </c>
      <c r="E7" s="1" t="s">
        <v>237</v>
      </c>
      <c r="F7" s="5">
        <v>3</v>
      </c>
      <c r="G7" s="17" t="s">
        <v>238</v>
      </c>
      <c r="H7" s="5">
        <v>3</v>
      </c>
      <c r="I7" s="1" t="s">
        <v>239</v>
      </c>
      <c r="J7" s="19">
        <v>3</v>
      </c>
      <c r="K7" s="1" t="s">
        <v>240</v>
      </c>
      <c r="L7" s="5">
        <v>3</v>
      </c>
      <c r="M7" s="6" t="s">
        <v>241</v>
      </c>
      <c r="N7" s="5">
        <v>3</v>
      </c>
      <c r="O7" s="6" t="s">
        <v>242</v>
      </c>
      <c r="P7" s="5">
        <v>3</v>
      </c>
      <c r="Q7" s="1" t="s">
        <v>243</v>
      </c>
      <c r="R7" s="28">
        <v>3</v>
      </c>
      <c r="S7" s="29" t="s">
        <v>244</v>
      </c>
      <c r="T7" s="28">
        <v>3</v>
      </c>
      <c r="U7" s="29" t="s">
        <v>245</v>
      </c>
      <c r="V7" s="28">
        <v>3</v>
      </c>
      <c r="W7" s="29" t="s">
        <v>246</v>
      </c>
      <c r="X7" s="28">
        <v>3</v>
      </c>
      <c r="Y7" s="29" t="s">
        <v>247</v>
      </c>
      <c r="Z7" s="28">
        <v>3</v>
      </c>
      <c r="AA7" s="29" t="s">
        <v>248</v>
      </c>
      <c r="AB7" s="28">
        <v>3</v>
      </c>
      <c r="AC7" s="29" t="s">
        <v>249</v>
      </c>
      <c r="AD7" s="28">
        <v>3</v>
      </c>
      <c r="AE7" s="29" t="s">
        <v>250</v>
      </c>
      <c r="AF7" s="28">
        <v>3</v>
      </c>
      <c r="AG7" s="39" t="s">
        <v>233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251</v>
      </c>
      <c r="D8" s="5">
        <v>4</v>
      </c>
      <c r="E8" s="1" t="s">
        <v>252</v>
      </c>
      <c r="F8" s="5">
        <v>4</v>
      </c>
      <c r="G8" s="17" t="s">
        <v>253</v>
      </c>
      <c r="H8" s="5">
        <v>4</v>
      </c>
      <c r="I8" s="1" t="s">
        <v>254</v>
      </c>
      <c r="J8" s="19">
        <v>4</v>
      </c>
      <c r="K8" s="1" t="s">
        <v>255</v>
      </c>
      <c r="L8" s="5"/>
      <c r="M8" s="6"/>
      <c r="N8" s="5"/>
      <c r="O8" s="6"/>
      <c r="P8" s="5">
        <v>4</v>
      </c>
      <c r="Q8" s="1" t="s">
        <v>256</v>
      </c>
      <c r="R8" s="28">
        <v>4</v>
      </c>
      <c r="S8" s="29" t="s">
        <v>257</v>
      </c>
      <c r="T8" s="28"/>
      <c r="U8" s="29"/>
      <c r="V8" s="28">
        <v>4</v>
      </c>
      <c r="W8" s="29" t="s">
        <v>258</v>
      </c>
      <c r="X8" s="28">
        <v>4</v>
      </c>
      <c r="Y8" s="29" t="s">
        <v>259</v>
      </c>
      <c r="Z8" s="28">
        <v>4</v>
      </c>
      <c r="AA8" s="29" t="s">
        <v>260</v>
      </c>
      <c r="AB8" s="28">
        <v>4</v>
      </c>
      <c r="AC8" s="29" t="s">
        <v>261</v>
      </c>
      <c r="AD8" s="28">
        <v>4</v>
      </c>
      <c r="AE8" s="29" t="s">
        <v>233</v>
      </c>
      <c r="AF8" s="28">
        <v>4</v>
      </c>
      <c r="AG8" s="39" t="s">
        <v>262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263</v>
      </c>
      <c r="D9" s="5">
        <v>5</v>
      </c>
      <c r="E9" s="1" t="s">
        <v>264</v>
      </c>
      <c r="F9" s="5">
        <v>5</v>
      </c>
      <c r="G9" s="17" t="s">
        <v>265</v>
      </c>
      <c r="H9" s="5">
        <v>5</v>
      </c>
      <c r="I9" s="1" t="s">
        <v>266</v>
      </c>
      <c r="J9" s="19">
        <v>5</v>
      </c>
      <c r="K9" s="1" t="s">
        <v>267</v>
      </c>
      <c r="L9" s="5"/>
      <c r="M9" s="6"/>
      <c r="N9" s="5"/>
      <c r="O9" s="6"/>
      <c r="P9" s="5">
        <v>5</v>
      </c>
      <c r="Q9" s="1" t="s">
        <v>268</v>
      </c>
      <c r="R9" s="28">
        <v>5</v>
      </c>
      <c r="S9" s="29" t="s">
        <v>269</v>
      </c>
      <c r="T9" s="28"/>
      <c r="U9" s="29"/>
      <c r="V9" s="28">
        <v>5</v>
      </c>
      <c r="W9" s="29" t="s">
        <v>270</v>
      </c>
      <c r="X9" s="28">
        <v>5</v>
      </c>
      <c r="Y9" s="29" t="s">
        <v>271</v>
      </c>
      <c r="Z9" s="28">
        <v>5</v>
      </c>
      <c r="AA9" s="29" t="s">
        <v>272</v>
      </c>
      <c r="AB9" s="28">
        <v>5</v>
      </c>
      <c r="AC9" s="29" t="s">
        <v>273</v>
      </c>
      <c r="AD9" s="28">
        <v>5</v>
      </c>
      <c r="AE9" s="29" t="s">
        <v>262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274</v>
      </c>
      <c r="D10" s="5">
        <v>6</v>
      </c>
      <c r="E10" s="1" t="s">
        <v>275</v>
      </c>
      <c r="F10" s="5">
        <v>6</v>
      </c>
      <c r="G10" s="17" t="s">
        <v>276</v>
      </c>
      <c r="H10" s="5">
        <v>6</v>
      </c>
      <c r="I10" s="1" t="s">
        <v>277</v>
      </c>
      <c r="J10" s="19">
        <v>6</v>
      </c>
      <c r="K10" s="1" t="s">
        <v>278</v>
      </c>
      <c r="L10" s="5"/>
      <c r="M10" s="6"/>
      <c r="N10" s="5"/>
      <c r="O10" s="6"/>
      <c r="P10" s="5">
        <v>6</v>
      </c>
      <c r="Q10" s="1" t="s">
        <v>279</v>
      </c>
      <c r="R10" s="28">
        <v>6</v>
      </c>
      <c r="S10" s="29" t="s">
        <v>280</v>
      </c>
      <c r="T10" s="28"/>
      <c r="U10" s="29"/>
      <c r="V10" s="28">
        <v>6</v>
      </c>
      <c r="W10" s="29" t="s">
        <v>281</v>
      </c>
      <c r="X10" s="28">
        <v>6</v>
      </c>
      <c r="Y10" s="29" t="s">
        <v>282</v>
      </c>
      <c r="Z10" s="28">
        <v>6</v>
      </c>
      <c r="AA10" s="29" t="s">
        <v>283</v>
      </c>
      <c r="AB10" s="28">
        <v>6</v>
      </c>
      <c r="AC10" s="29" t="s">
        <v>284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285</v>
      </c>
      <c r="D11" s="5">
        <v>7</v>
      </c>
      <c r="E11" s="1" t="s">
        <v>286</v>
      </c>
      <c r="F11" s="5">
        <v>7</v>
      </c>
      <c r="G11" s="17" t="s">
        <v>287</v>
      </c>
      <c r="H11" s="5">
        <v>7</v>
      </c>
      <c r="I11" s="1" t="s">
        <v>288</v>
      </c>
      <c r="J11" s="19">
        <v>7</v>
      </c>
      <c r="K11" s="1" t="s">
        <v>86</v>
      </c>
      <c r="L11" s="5"/>
      <c r="M11" s="6"/>
      <c r="N11" s="5"/>
      <c r="O11" s="6"/>
      <c r="P11" s="5">
        <v>7</v>
      </c>
      <c r="Q11" s="1" t="s">
        <v>289</v>
      </c>
      <c r="R11" s="28">
        <v>7</v>
      </c>
      <c r="S11" s="29" t="s">
        <v>290</v>
      </c>
      <c r="T11" s="28"/>
      <c r="U11" s="29"/>
      <c r="V11" s="28">
        <v>7</v>
      </c>
      <c r="W11" s="29" t="s">
        <v>291</v>
      </c>
      <c r="X11" s="28">
        <v>7</v>
      </c>
      <c r="Y11" s="29" t="s">
        <v>292</v>
      </c>
      <c r="Z11" s="28">
        <v>7</v>
      </c>
      <c r="AA11" s="29" t="s">
        <v>293</v>
      </c>
      <c r="AB11" s="28">
        <v>7</v>
      </c>
      <c r="AC11" s="29" t="s">
        <v>294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295</v>
      </c>
      <c r="D12" s="5">
        <v>8</v>
      </c>
      <c r="E12" s="1" t="s">
        <v>296</v>
      </c>
      <c r="F12" s="5">
        <v>8</v>
      </c>
      <c r="G12" s="17" t="s">
        <v>297</v>
      </c>
      <c r="H12" s="5">
        <v>8</v>
      </c>
      <c r="I12" s="1" t="s">
        <v>298</v>
      </c>
      <c r="J12" s="19">
        <v>8</v>
      </c>
      <c r="K12" s="1" t="s">
        <v>84</v>
      </c>
      <c r="L12" s="5"/>
      <c r="M12" s="6"/>
      <c r="N12" s="5"/>
      <c r="O12" s="6"/>
      <c r="P12" s="5">
        <v>8</v>
      </c>
      <c r="Q12" s="1" t="s">
        <v>299</v>
      </c>
      <c r="R12" s="28">
        <v>8</v>
      </c>
      <c r="S12" s="29" t="s">
        <v>300</v>
      </c>
      <c r="T12" s="28"/>
      <c r="U12" s="29"/>
      <c r="V12" s="28">
        <v>8</v>
      </c>
      <c r="W12" s="29" t="s">
        <v>301</v>
      </c>
      <c r="X12" s="28">
        <v>8</v>
      </c>
      <c r="Y12" s="29" t="s">
        <v>293</v>
      </c>
      <c r="Z12" s="28">
        <v>8</v>
      </c>
      <c r="AA12" s="29" t="s">
        <v>302</v>
      </c>
      <c r="AB12" s="28">
        <v>8</v>
      </c>
      <c r="AC12" s="29" t="s">
        <v>303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304</v>
      </c>
      <c r="D13" s="5">
        <v>9</v>
      </c>
      <c r="E13" s="1" t="s">
        <v>305</v>
      </c>
      <c r="F13" s="5"/>
      <c r="G13" s="17"/>
      <c r="H13" s="5">
        <v>9</v>
      </c>
      <c r="I13" s="1" t="s">
        <v>306</v>
      </c>
      <c r="J13" s="19">
        <v>9</v>
      </c>
      <c r="K13" s="1" t="s">
        <v>80</v>
      </c>
      <c r="L13" s="5"/>
      <c r="M13" s="6"/>
      <c r="N13" s="5"/>
      <c r="O13" s="6"/>
      <c r="P13" s="5">
        <v>9</v>
      </c>
      <c r="Q13" s="1" t="s">
        <v>307</v>
      </c>
      <c r="R13" s="28">
        <v>9</v>
      </c>
      <c r="S13" s="29" t="s">
        <v>308</v>
      </c>
      <c r="T13" s="28"/>
      <c r="U13" s="29"/>
      <c r="V13" s="28">
        <v>9</v>
      </c>
      <c r="W13" s="29" t="s">
        <v>309</v>
      </c>
      <c r="X13" s="28">
        <v>9</v>
      </c>
      <c r="Y13" s="29" t="s">
        <v>310</v>
      </c>
      <c r="Z13" s="28">
        <v>9</v>
      </c>
      <c r="AA13" s="29" t="s">
        <v>311</v>
      </c>
      <c r="AB13" s="28">
        <v>9</v>
      </c>
      <c r="AC13" s="29" t="s">
        <v>312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313</v>
      </c>
      <c r="D14" s="5">
        <v>10</v>
      </c>
      <c r="E14" s="1" t="s">
        <v>314</v>
      </c>
      <c r="F14" s="5"/>
      <c r="G14" s="17"/>
      <c r="H14" s="5">
        <v>10</v>
      </c>
      <c r="I14" s="1" t="s">
        <v>315</v>
      </c>
      <c r="J14" s="19">
        <v>10</v>
      </c>
      <c r="K14" s="1" t="s">
        <v>82</v>
      </c>
      <c r="L14" s="5"/>
      <c r="M14" s="6"/>
      <c r="N14" s="5"/>
      <c r="O14" s="6"/>
      <c r="P14" s="5"/>
      <c r="Q14" s="1"/>
      <c r="R14" s="28">
        <v>10</v>
      </c>
      <c r="S14" s="29" t="s">
        <v>316</v>
      </c>
      <c r="T14" s="28"/>
      <c r="U14" s="29"/>
      <c r="V14" s="28">
        <v>10</v>
      </c>
      <c r="W14" s="29" t="s">
        <v>317</v>
      </c>
      <c r="X14" s="28">
        <v>10</v>
      </c>
      <c r="Y14" s="29" t="s">
        <v>318</v>
      </c>
      <c r="Z14" s="28">
        <v>10</v>
      </c>
      <c r="AA14" s="29" t="s">
        <v>262</v>
      </c>
      <c r="AB14" s="28">
        <v>10</v>
      </c>
      <c r="AC14" s="29" t="s">
        <v>262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319</v>
      </c>
      <c r="D15" s="5"/>
      <c r="E15" s="1"/>
      <c r="F15" s="17"/>
      <c r="G15" s="17"/>
      <c r="H15" s="5">
        <v>11</v>
      </c>
      <c r="I15" s="1" t="s">
        <v>320</v>
      </c>
      <c r="J15" s="19">
        <v>11</v>
      </c>
      <c r="K15" s="1" t="s">
        <v>78</v>
      </c>
      <c r="L15" s="5"/>
      <c r="M15" s="6"/>
      <c r="N15" s="5"/>
      <c r="O15" s="6"/>
      <c r="P15" s="5"/>
      <c r="Q15" s="1"/>
      <c r="R15" s="28">
        <v>11</v>
      </c>
      <c r="S15" s="29" t="s">
        <v>321</v>
      </c>
      <c r="T15" s="28"/>
      <c r="U15" s="29"/>
      <c r="V15" s="28">
        <v>11</v>
      </c>
      <c r="W15" s="29" t="s">
        <v>322</v>
      </c>
      <c r="X15" s="28">
        <v>11</v>
      </c>
      <c r="Y15" s="29" t="s">
        <v>323</v>
      </c>
      <c r="Z15" s="28">
        <v>11</v>
      </c>
      <c r="AA15" s="29" t="s">
        <v>233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324</v>
      </c>
      <c r="D16" s="5"/>
      <c r="E16" s="1"/>
      <c r="F16" s="17"/>
      <c r="G16" s="22"/>
      <c r="H16" s="5">
        <v>12</v>
      </c>
      <c r="I16" s="1" t="s">
        <v>325</v>
      </c>
      <c r="J16" s="19">
        <v>12</v>
      </c>
      <c r="K16" s="1" t="s">
        <v>76</v>
      </c>
      <c r="L16" s="5"/>
      <c r="M16" s="6"/>
      <c r="N16" s="5"/>
      <c r="O16" s="6"/>
      <c r="P16" s="5"/>
      <c r="Q16" s="1"/>
      <c r="R16" s="28">
        <v>12</v>
      </c>
      <c r="S16" s="29" t="s">
        <v>326</v>
      </c>
      <c r="T16" s="28"/>
      <c r="U16" s="29"/>
      <c r="V16" s="28">
        <v>12</v>
      </c>
      <c r="W16" s="29" t="s">
        <v>327</v>
      </c>
      <c r="X16" s="28">
        <v>12</v>
      </c>
      <c r="Y16" s="29" t="s">
        <v>328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329</v>
      </c>
      <c r="D17" s="5"/>
      <c r="E17" s="1"/>
      <c r="F17" s="17"/>
      <c r="G17" s="17"/>
      <c r="H17" s="5">
        <v>13</v>
      </c>
      <c r="I17" s="1" t="s">
        <v>330</v>
      </c>
      <c r="J17" s="19">
        <v>13</v>
      </c>
      <c r="K17" s="1" t="s">
        <v>74</v>
      </c>
      <c r="L17" s="5"/>
      <c r="M17" s="6"/>
      <c r="N17" s="5"/>
      <c r="O17" s="6"/>
      <c r="P17" s="5"/>
      <c r="Q17" s="1"/>
      <c r="R17" s="28">
        <v>13</v>
      </c>
      <c r="S17" s="29" t="s">
        <v>331</v>
      </c>
      <c r="T17" s="28"/>
      <c r="U17" s="29"/>
      <c r="V17" s="28">
        <v>13</v>
      </c>
      <c r="W17" s="29" t="s">
        <v>332</v>
      </c>
      <c r="X17" s="28">
        <v>13</v>
      </c>
      <c r="Y17" s="29" t="s">
        <v>333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334</v>
      </c>
      <c r="D18" s="17"/>
      <c r="E18" s="1"/>
      <c r="F18" s="17"/>
      <c r="G18" s="23"/>
      <c r="H18" s="5">
        <v>14</v>
      </c>
      <c r="I18" s="1" t="s">
        <v>335</v>
      </c>
      <c r="J18" s="19">
        <v>14</v>
      </c>
      <c r="K18" s="1" t="s">
        <v>106</v>
      </c>
      <c r="L18" s="5"/>
      <c r="M18" s="6"/>
      <c r="N18" s="5"/>
      <c r="O18" s="6"/>
      <c r="P18" s="5"/>
      <c r="Q18" s="1"/>
      <c r="R18" s="28">
        <v>14</v>
      </c>
      <c r="S18" s="29" t="s">
        <v>336</v>
      </c>
      <c r="T18" s="28"/>
      <c r="U18" s="29"/>
      <c r="V18" s="28">
        <v>14</v>
      </c>
      <c r="W18" s="29" t="s">
        <v>337</v>
      </c>
      <c r="X18" s="28">
        <v>14</v>
      </c>
      <c r="Y18" s="29" t="s">
        <v>338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339</v>
      </c>
      <c r="D19" s="5"/>
      <c r="E19" s="1"/>
      <c r="F19" s="17"/>
      <c r="G19" s="17"/>
      <c r="H19" s="5"/>
      <c r="I19" s="1"/>
      <c r="J19" s="19">
        <v>15</v>
      </c>
      <c r="K19" s="1" t="s">
        <v>105</v>
      </c>
      <c r="L19" s="5"/>
      <c r="M19" s="6"/>
      <c r="N19" s="5"/>
      <c r="O19" s="6"/>
      <c r="P19" s="5"/>
      <c r="Q19" s="1"/>
      <c r="R19" s="28">
        <v>15</v>
      </c>
      <c r="S19" s="29" t="s">
        <v>340</v>
      </c>
      <c r="T19" s="28"/>
      <c r="U19" s="29"/>
      <c r="V19" s="28">
        <v>15</v>
      </c>
      <c r="W19" s="29" t="s">
        <v>341</v>
      </c>
      <c r="X19" s="28">
        <v>15</v>
      </c>
      <c r="Y19" s="29" t="s">
        <v>342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343</v>
      </c>
      <c r="D20" s="5"/>
      <c r="E20" s="1"/>
      <c r="F20" s="17"/>
      <c r="G20" s="17"/>
      <c r="H20" s="5"/>
      <c r="I20" s="1"/>
      <c r="J20" s="19">
        <v>16</v>
      </c>
      <c r="K20" s="1" t="s">
        <v>104</v>
      </c>
      <c r="L20" s="5"/>
      <c r="M20" s="6"/>
      <c r="N20" s="5"/>
      <c r="O20" s="6"/>
      <c r="P20" s="5"/>
      <c r="Q20" s="1"/>
      <c r="R20" s="28">
        <v>16</v>
      </c>
      <c r="S20" s="29" t="s">
        <v>344</v>
      </c>
      <c r="T20" s="28"/>
      <c r="U20" s="29"/>
      <c r="V20" s="28">
        <v>16</v>
      </c>
      <c r="W20" s="29" t="s">
        <v>345</v>
      </c>
      <c r="X20" s="28">
        <v>16</v>
      </c>
      <c r="Y20" s="29" t="s">
        <v>346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233</v>
      </c>
      <c r="D21" s="5"/>
      <c r="E21" s="1"/>
      <c r="F21" s="17"/>
      <c r="G21" s="17"/>
      <c r="H21" s="5"/>
      <c r="I21" s="1"/>
      <c r="J21" s="19">
        <v>17</v>
      </c>
      <c r="K21" s="1" t="s">
        <v>103</v>
      </c>
      <c r="L21" s="5"/>
      <c r="M21" s="6"/>
      <c r="N21" s="5"/>
      <c r="O21" s="6"/>
      <c r="P21" s="5"/>
      <c r="Q21" s="1"/>
      <c r="R21" s="28">
        <v>17</v>
      </c>
      <c r="S21" s="29" t="s">
        <v>347</v>
      </c>
      <c r="T21" s="28"/>
      <c r="U21" s="29"/>
      <c r="V21" s="28">
        <v>17</v>
      </c>
      <c r="W21" s="29" t="s">
        <v>348</v>
      </c>
      <c r="X21" s="28">
        <v>17</v>
      </c>
      <c r="Y21" s="29" t="s">
        <v>349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102</v>
      </c>
      <c r="L22" s="5"/>
      <c r="M22" s="6"/>
      <c r="N22" s="5"/>
      <c r="O22" s="6"/>
      <c r="P22" s="5"/>
      <c r="Q22" s="1"/>
      <c r="R22" s="28">
        <v>18</v>
      </c>
      <c r="S22" s="29" t="s">
        <v>350</v>
      </c>
      <c r="T22" s="28"/>
      <c r="U22" s="29"/>
      <c r="V22" s="28">
        <v>18</v>
      </c>
      <c r="W22" s="29" t="s">
        <v>351</v>
      </c>
      <c r="X22" s="28">
        <v>18</v>
      </c>
      <c r="Y22" s="29" t="s">
        <v>352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67</v>
      </c>
      <c r="L23" s="5"/>
      <c r="M23" s="6"/>
      <c r="N23" s="5"/>
      <c r="O23" s="6"/>
      <c r="P23" s="5"/>
      <c r="Q23" s="1"/>
      <c r="R23" s="28">
        <v>19</v>
      </c>
      <c r="S23" s="29" t="s">
        <v>353</v>
      </c>
      <c r="T23" s="28"/>
      <c r="U23" s="29"/>
      <c r="V23" s="28">
        <v>19</v>
      </c>
      <c r="W23" s="29" t="s">
        <v>354</v>
      </c>
      <c r="X23" s="28">
        <v>19</v>
      </c>
      <c r="Y23" s="29" t="s">
        <v>355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65</v>
      </c>
      <c r="L24" s="5"/>
      <c r="M24" s="6"/>
      <c r="N24" s="5"/>
      <c r="O24" s="6"/>
      <c r="P24" s="5"/>
      <c r="Q24" s="1"/>
      <c r="R24" s="28">
        <v>20</v>
      </c>
      <c r="S24" s="29" t="s">
        <v>262</v>
      </c>
      <c r="T24" s="28"/>
      <c r="U24" s="29"/>
      <c r="V24" s="28">
        <v>20</v>
      </c>
      <c r="W24" s="29" t="s">
        <v>356</v>
      </c>
      <c r="X24" s="28">
        <v>20</v>
      </c>
      <c r="Y24" s="29" t="s">
        <v>262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357</v>
      </c>
      <c r="L25" s="7"/>
      <c r="M25" s="6"/>
      <c r="N25" s="7"/>
      <c r="O25" s="6"/>
      <c r="P25" s="8"/>
      <c r="Q25" s="1"/>
      <c r="R25" s="30"/>
      <c r="S25" s="29"/>
      <c r="T25" s="66"/>
      <c r="U25" s="29"/>
      <c r="V25" s="28">
        <v>21</v>
      </c>
      <c r="W25" s="29" t="s">
        <v>358</v>
      </c>
      <c r="X25" s="28">
        <v>21</v>
      </c>
      <c r="Y25" s="29" t="s">
        <v>233</v>
      </c>
      <c r="Z25" s="66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359</v>
      </c>
      <c r="L26" s="7"/>
      <c r="M26" s="9"/>
      <c r="N26" s="7"/>
      <c r="O26" s="9"/>
      <c r="P26" s="10"/>
      <c r="Q26" s="1"/>
      <c r="R26" s="31"/>
      <c r="S26" s="29"/>
      <c r="T26" s="67"/>
      <c r="U26" s="29"/>
      <c r="V26" s="28">
        <v>22</v>
      </c>
      <c r="W26" s="29" t="s">
        <v>360</v>
      </c>
      <c r="X26" s="67"/>
      <c r="Y26" s="29"/>
      <c r="Z26" s="67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7"/>
      <c r="U27" s="29"/>
      <c r="V27" s="28">
        <v>23</v>
      </c>
      <c r="W27" s="29" t="s">
        <v>361</v>
      </c>
      <c r="X27" s="67"/>
      <c r="Y27" s="29"/>
      <c r="Z27" s="67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362</v>
      </c>
      <c r="X28" s="67"/>
      <c r="Y28" s="29"/>
      <c r="Z28" s="67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262</v>
      </c>
      <c r="X29" s="66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233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P302"/>
  <sheetViews>
    <sheetView tabSelected="1" zoomScale="90" zoomScaleNormal="90" workbookViewId="0"/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48" customWidth="1"/>
    <col min="8" max="8" width="7.5" style="48" customWidth="1"/>
    <col min="9" max="9" width="7.5" style="49" customWidth="1"/>
    <col min="10" max="15" width="7.5" style="48" customWidth="1"/>
    <col min="16" max="16" width="7.5" style="52" customWidth="1"/>
    <col min="17" max="19" width="7.5" style="48" customWidth="1"/>
    <col min="20" max="20" width="7.5" style="52" customWidth="1"/>
    <col min="21" max="23" width="7.5" style="48" customWidth="1"/>
    <col min="24" max="24" width="7.5" style="52" customWidth="1"/>
    <col min="25" max="74" width="7.5" style="48" customWidth="1"/>
    <col min="75" max="75" width="9.25" style="48" bestFit="1" customWidth="1"/>
    <col min="76" max="76" width="9" style="48"/>
    <col min="77" max="83" width="12.375" style="48" bestFit="1" customWidth="1"/>
    <col min="84" max="84" width="9.75" style="48" bestFit="1" customWidth="1"/>
    <col min="85" max="85" width="10.875" style="48" bestFit="1" customWidth="1"/>
    <col min="86" max="86" width="9.75" style="48" bestFit="1" customWidth="1"/>
    <col min="87" max="87" width="10.875" style="48" bestFit="1" customWidth="1"/>
    <col min="88" max="88" width="9.75" style="48" bestFit="1" customWidth="1"/>
    <col min="89" max="89" width="10.875" style="48" bestFit="1" customWidth="1"/>
    <col min="90" max="90" width="9.75" style="48" bestFit="1" customWidth="1"/>
    <col min="91" max="91" width="10.875" style="48" bestFit="1" customWidth="1"/>
    <col min="92" max="92" width="9.75" style="48" bestFit="1" customWidth="1"/>
    <col min="93" max="93" width="10.875" style="48" bestFit="1" customWidth="1"/>
    <col min="94" max="121" width="9.75" style="48" bestFit="1" customWidth="1"/>
    <col min="122" max="123" width="9" style="48"/>
    <col min="124" max="145" width="9.25" style="48" bestFit="1" customWidth="1"/>
    <col min="146" max="16384" width="9" style="2"/>
  </cols>
  <sheetData>
    <row r="1" spans="1:215" ht="17.25" thickBot="1" x14ac:dyDescent="0.35"/>
    <row r="2" spans="1:215" ht="17.25" thickBot="1" x14ac:dyDescent="0.35">
      <c r="A2" s="2">
        <v>1</v>
      </c>
      <c r="B2" s="2" t="s">
        <v>37</v>
      </c>
      <c r="C2" s="36" t="s">
        <v>363</v>
      </c>
    </row>
    <row r="3" spans="1:215" ht="17.25" thickBot="1" x14ac:dyDescent="0.35"/>
    <row r="4" spans="1:215" ht="17.25" thickBot="1" x14ac:dyDescent="0.35">
      <c r="A4" s="2">
        <v>2</v>
      </c>
      <c r="B4" s="2" t="s">
        <v>38</v>
      </c>
      <c r="C4" s="36" t="s">
        <v>364</v>
      </c>
    </row>
    <row r="6" spans="1:215" ht="17.25" thickBot="1" x14ac:dyDescent="0.35">
      <c r="A6" s="2">
        <v>3</v>
      </c>
      <c r="B6" s="2" t="s">
        <v>59</v>
      </c>
      <c r="C6" s="2" t="s">
        <v>39</v>
      </c>
      <c r="D6" s="35" t="s">
        <v>204</v>
      </c>
    </row>
    <row r="7" spans="1:215" ht="17.25" thickBot="1" x14ac:dyDescent="0.35">
      <c r="C7" s="38">
        <v>5508</v>
      </c>
      <c r="D7" s="36">
        <f>+C7/3.3058</f>
        <v>1666.1625022687397</v>
      </c>
    </row>
    <row r="8" spans="1:215" ht="17.25" thickBot="1" x14ac:dyDescent="0.35"/>
    <row r="9" spans="1:215" ht="17.25" thickBot="1" x14ac:dyDescent="0.35">
      <c r="A9" s="2">
        <v>4</v>
      </c>
      <c r="B9" s="2" t="s">
        <v>40</v>
      </c>
      <c r="C9" s="36" t="s">
        <v>365</v>
      </c>
    </row>
    <row r="10" spans="1:215" ht="17.25" thickBot="1" x14ac:dyDescent="0.35"/>
    <row r="11" spans="1:215" ht="17.25" thickBot="1" x14ac:dyDescent="0.35">
      <c r="A11" s="2">
        <v>5</v>
      </c>
      <c r="B11" s="2" t="s">
        <v>41</v>
      </c>
      <c r="C11" s="36" t="s">
        <v>80</v>
      </c>
    </row>
    <row r="12" spans="1:215" ht="17.25" thickBot="1" x14ac:dyDescent="0.35"/>
    <row r="13" spans="1:215" ht="17.25" thickBot="1" x14ac:dyDescent="0.35">
      <c r="A13" s="2">
        <v>6</v>
      </c>
      <c r="B13" s="2" t="s">
        <v>42</v>
      </c>
      <c r="C13" s="36" t="s">
        <v>51</v>
      </c>
    </row>
    <row r="14" spans="1:215" ht="17.25" thickBot="1" x14ac:dyDescent="0.35"/>
    <row r="15" spans="1:215" ht="17.25" thickBot="1" x14ac:dyDescent="0.35">
      <c r="A15" s="2">
        <v>7</v>
      </c>
      <c r="B15" s="2" t="s">
        <v>43</v>
      </c>
      <c r="C15" s="36" t="s">
        <v>58</v>
      </c>
      <c r="H15" s="89" t="s">
        <v>100</v>
      </c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BB15" s="89" t="s">
        <v>107</v>
      </c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Z15" s="90" t="s">
        <v>109</v>
      </c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  <c r="CT15" s="90"/>
      <c r="CU15" s="90"/>
      <c r="CV15" s="90"/>
      <c r="CW15" s="90"/>
      <c r="CX15" s="90"/>
      <c r="CY15" s="90"/>
      <c r="CZ15" s="90"/>
      <c r="DA15" s="90"/>
      <c r="DB15" s="90"/>
      <c r="DC15" s="90"/>
      <c r="DD15" s="90"/>
      <c r="DE15" s="90"/>
      <c r="DF15" s="90"/>
      <c r="DG15" s="90"/>
      <c r="DH15" s="90"/>
      <c r="DI15" s="90"/>
      <c r="DJ15" s="90"/>
      <c r="DK15" s="90"/>
      <c r="DL15" s="90"/>
      <c r="DM15" s="90"/>
      <c r="DN15" s="90"/>
      <c r="DO15" s="90"/>
      <c r="DP15" s="90"/>
      <c r="DQ15" s="90"/>
      <c r="DT15" s="90" t="s">
        <v>107</v>
      </c>
      <c r="DU15" s="90"/>
      <c r="DV15" s="90"/>
      <c r="DW15" s="90"/>
      <c r="DX15" s="90"/>
      <c r="DY15" s="90"/>
      <c r="DZ15" s="90"/>
      <c r="EA15" s="90"/>
      <c r="EB15" s="90"/>
      <c r="EC15" s="90"/>
      <c r="ED15" s="90"/>
      <c r="EE15" s="90"/>
      <c r="EF15" s="90"/>
      <c r="EG15" s="90"/>
      <c r="EH15" s="90"/>
      <c r="EI15" s="90"/>
      <c r="EJ15" s="90"/>
      <c r="EK15" s="90"/>
      <c r="EL15" s="90"/>
      <c r="EM15" s="90"/>
      <c r="EN15" s="90"/>
      <c r="EO15" s="90"/>
      <c r="EQ15" s="48"/>
      <c r="ER15" s="88" t="s">
        <v>128</v>
      </c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  <c r="FU15" s="88"/>
      <c r="FV15" s="88"/>
      <c r="FW15" s="88"/>
      <c r="FX15" s="88"/>
      <c r="FY15" s="88"/>
      <c r="FZ15" s="88"/>
      <c r="GA15" s="88"/>
      <c r="GB15" s="88"/>
      <c r="GC15" s="88"/>
      <c r="GD15" s="88"/>
      <c r="GE15" s="88"/>
      <c r="GF15" s="88"/>
      <c r="GG15" s="88"/>
      <c r="GH15" s="88"/>
      <c r="GI15" s="88"/>
      <c r="GJ15" s="48"/>
      <c r="GK15" s="48"/>
      <c r="GL15" s="88" t="s">
        <v>107</v>
      </c>
      <c r="GM15" s="88"/>
      <c r="GN15" s="88"/>
      <c r="GO15" s="88"/>
      <c r="GP15" s="88"/>
      <c r="GQ15" s="88"/>
      <c r="GR15" s="88"/>
      <c r="GS15" s="88"/>
      <c r="GT15" s="88"/>
      <c r="GU15" s="88"/>
      <c r="GV15" s="88"/>
      <c r="GW15" s="88"/>
      <c r="GX15" s="88"/>
      <c r="GY15" s="88"/>
      <c r="GZ15" s="88"/>
      <c r="HA15" s="88"/>
      <c r="HB15" s="88"/>
      <c r="HC15" s="88"/>
      <c r="HD15" s="88"/>
      <c r="HE15" s="88"/>
      <c r="HF15" s="88"/>
      <c r="HG15" s="88"/>
    </row>
    <row r="16" spans="1:215" x14ac:dyDescent="0.3">
      <c r="G16" s="48" t="s">
        <v>108</v>
      </c>
      <c r="H16" s="48" t="s">
        <v>63</v>
      </c>
      <c r="I16" s="48"/>
      <c r="J16" s="48" t="s">
        <v>64</v>
      </c>
      <c r="L16" s="48" t="s">
        <v>66</v>
      </c>
      <c r="N16" s="48" t="s">
        <v>68</v>
      </c>
      <c r="P16" s="52" t="s">
        <v>69</v>
      </c>
      <c r="Q16" s="49"/>
      <c r="R16" s="50" t="s">
        <v>70</v>
      </c>
      <c r="T16" s="52" t="s">
        <v>71</v>
      </c>
      <c r="V16" s="48" t="s">
        <v>72</v>
      </c>
      <c r="X16" s="52" t="s">
        <v>73</v>
      </c>
      <c r="Z16" s="48" t="s">
        <v>75</v>
      </c>
      <c r="AB16" s="48" t="s">
        <v>77</v>
      </c>
      <c r="AD16" s="48" t="s">
        <v>79</v>
      </c>
      <c r="AF16" s="48" t="s">
        <v>83</v>
      </c>
      <c r="AG16" s="49"/>
      <c r="AH16" s="50" t="s">
        <v>81</v>
      </c>
      <c r="AJ16" s="48" t="s">
        <v>85</v>
      </c>
      <c r="AL16" s="48" t="s">
        <v>87</v>
      </c>
      <c r="AN16" s="48" t="s">
        <v>89</v>
      </c>
      <c r="AP16" s="48" t="s">
        <v>91</v>
      </c>
      <c r="AQ16" s="49"/>
      <c r="AR16" s="50" t="s">
        <v>93</v>
      </c>
      <c r="AT16" s="48" t="s">
        <v>95</v>
      </c>
      <c r="AV16" s="48" t="s">
        <v>97</v>
      </c>
      <c r="AX16" s="48" t="s">
        <v>99</v>
      </c>
      <c r="BB16" s="48" t="s">
        <v>101</v>
      </c>
      <c r="BC16" s="48" t="s">
        <v>64</v>
      </c>
      <c r="BD16" s="48" t="s">
        <v>65</v>
      </c>
      <c r="BE16" s="48" t="s">
        <v>67</v>
      </c>
      <c r="BF16" s="48" t="s">
        <v>102</v>
      </c>
      <c r="BG16" s="48" t="s">
        <v>103</v>
      </c>
      <c r="BH16" s="48" t="s">
        <v>104</v>
      </c>
      <c r="BI16" s="48" t="s">
        <v>105</v>
      </c>
      <c r="BJ16" s="48" t="s">
        <v>106</v>
      </c>
      <c r="BK16" s="48" t="s">
        <v>74</v>
      </c>
      <c r="BL16" s="48" t="s">
        <v>76</v>
      </c>
      <c r="BM16" s="48" t="s">
        <v>78</v>
      </c>
      <c r="BN16" s="48" t="s">
        <v>82</v>
      </c>
      <c r="BO16" s="48" t="s">
        <v>80</v>
      </c>
      <c r="BP16" s="48" t="s">
        <v>84</v>
      </c>
      <c r="BQ16" s="48" t="s">
        <v>86</v>
      </c>
      <c r="BR16" s="48" t="s">
        <v>88</v>
      </c>
      <c r="BS16" s="48" t="s">
        <v>90</v>
      </c>
      <c r="BT16" s="48" t="s">
        <v>92</v>
      </c>
      <c r="BU16" s="48" t="s">
        <v>94</v>
      </c>
      <c r="BV16" s="48" t="s">
        <v>96</v>
      </c>
      <c r="BW16" s="48" t="s">
        <v>98</v>
      </c>
      <c r="BY16" s="48" t="s">
        <v>108</v>
      </c>
      <c r="BZ16" s="48" t="s">
        <v>63</v>
      </c>
      <c r="CB16" s="48" t="s">
        <v>64</v>
      </c>
      <c r="CD16" s="48" t="s">
        <v>66</v>
      </c>
      <c r="CF16" s="48" t="s">
        <v>68</v>
      </c>
      <c r="CH16" s="48" t="s">
        <v>69</v>
      </c>
      <c r="CI16" s="49"/>
      <c r="CJ16" s="50" t="s">
        <v>70</v>
      </c>
      <c r="CL16" s="48" t="s">
        <v>71</v>
      </c>
      <c r="CN16" s="48" t="s">
        <v>72</v>
      </c>
      <c r="CP16" s="48" t="s">
        <v>73</v>
      </c>
      <c r="CR16" s="48" t="s">
        <v>75</v>
      </c>
      <c r="CT16" s="48" t="s">
        <v>77</v>
      </c>
      <c r="CV16" s="48" t="s">
        <v>79</v>
      </c>
      <c r="CX16" s="48" t="s">
        <v>83</v>
      </c>
      <c r="CY16" s="49"/>
      <c r="CZ16" s="50" t="s">
        <v>81</v>
      </c>
      <c r="DB16" s="48" t="s">
        <v>85</v>
      </c>
      <c r="DD16" s="48" t="s">
        <v>87</v>
      </c>
      <c r="DF16" s="48" t="s">
        <v>89</v>
      </c>
      <c r="DH16" s="48" t="s">
        <v>91</v>
      </c>
      <c r="DI16" s="49"/>
      <c r="DJ16" s="50" t="s">
        <v>93</v>
      </c>
      <c r="DL16" s="48" t="s">
        <v>95</v>
      </c>
      <c r="DN16" s="48" t="s">
        <v>97</v>
      </c>
      <c r="DP16" s="48" t="s">
        <v>99</v>
      </c>
      <c r="DT16" s="48" t="s">
        <v>101</v>
      </c>
      <c r="DU16" s="48" t="s">
        <v>64</v>
      </c>
      <c r="DV16" s="48" t="s">
        <v>65</v>
      </c>
      <c r="DW16" s="48" t="s">
        <v>67</v>
      </c>
      <c r="DX16" s="48" t="s">
        <v>102</v>
      </c>
      <c r="DY16" s="48" t="s">
        <v>103</v>
      </c>
      <c r="DZ16" s="48" t="s">
        <v>104</v>
      </c>
      <c r="EA16" s="48" t="s">
        <v>105</v>
      </c>
      <c r="EB16" s="48" t="s">
        <v>106</v>
      </c>
      <c r="EC16" s="48" t="s">
        <v>74</v>
      </c>
      <c r="ED16" s="48" t="s">
        <v>76</v>
      </c>
      <c r="EE16" s="48" t="s">
        <v>78</v>
      </c>
      <c r="EF16" s="48" t="s">
        <v>82</v>
      </c>
      <c r="EG16" s="48" t="s">
        <v>80</v>
      </c>
      <c r="EH16" s="48" t="s">
        <v>84</v>
      </c>
      <c r="EI16" s="48" t="s">
        <v>86</v>
      </c>
      <c r="EJ16" s="48" t="s">
        <v>88</v>
      </c>
      <c r="EK16" s="48" t="s">
        <v>90</v>
      </c>
      <c r="EL16" s="48" t="s">
        <v>92</v>
      </c>
      <c r="EM16" s="48" t="s">
        <v>94</v>
      </c>
      <c r="EN16" s="48" t="s">
        <v>96</v>
      </c>
      <c r="EO16" s="48" t="s">
        <v>98</v>
      </c>
      <c r="EQ16" s="48" t="s">
        <v>108</v>
      </c>
      <c r="ER16" s="48" t="s">
        <v>63</v>
      </c>
      <c r="ES16" s="48"/>
      <c r="ET16" s="48" t="s">
        <v>64</v>
      </c>
      <c r="EU16" s="48"/>
      <c r="EV16" s="48" t="s">
        <v>66</v>
      </c>
      <c r="EW16" s="48"/>
      <c r="EX16" s="48" t="s">
        <v>68</v>
      </c>
      <c r="EY16" s="48"/>
      <c r="EZ16" s="48" t="s">
        <v>69</v>
      </c>
      <c r="FA16" s="49"/>
      <c r="FB16" s="50" t="s">
        <v>70</v>
      </c>
      <c r="FC16" s="48"/>
      <c r="FD16" s="48" t="s">
        <v>71</v>
      </c>
      <c r="FE16" s="48"/>
      <c r="FF16" s="48" t="s">
        <v>72</v>
      </c>
      <c r="FG16" s="48"/>
      <c r="FH16" s="48" t="s">
        <v>73</v>
      </c>
      <c r="FI16" s="48"/>
      <c r="FJ16" s="48" t="s">
        <v>75</v>
      </c>
      <c r="FK16" s="48"/>
      <c r="FL16" s="48" t="s">
        <v>77</v>
      </c>
      <c r="FM16" s="48"/>
      <c r="FN16" s="48" t="s">
        <v>79</v>
      </c>
      <c r="FO16" s="48"/>
      <c r="FP16" s="48" t="s">
        <v>83</v>
      </c>
      <c r="FQ16" s="49"/>
      <c r="FR16" s="50" t="s">
        <v>81</v>
      </c>
      <c r="FS16" s="48"/>
      <c r="FT16" s="48" t="s">
        <v>85</v>
      </c>
      <c r="FU16" s="48"/>
      <c r="FV16" s="48" t="s">
        <v>87</v>
      </c>
      <c r="FW16" s="48"/>
      <c r="FX16" s="48" t="s">
        <v>89</v>
      </c>
      <c r="FY16" s="48"/>
      <c r="FZ16" s="48" t="s">
        <v>91</v>
      </c>
      <c r="GA16" s="49"/>
      <c r="GB16" s="50" t="s">
        <v>93</v>
      </c>
      <c r="GC16" s="48"/>
      <c r="GD16" s="48" t="s">
        <v>95</v>
      </c>
      <c r="GE16" s="48"/>
      <c r="GF16" s="48" t="s">
        <v>97</v>
      </c>
      <c r="GG16" s="48"/>
      <c r="GH16" s="48" t="s">
        <v>99</v>
      </c>
      <c r="GI16" s="48"/>
      <c r="GJ16" s="48"/>
      <c r="GK16" s="48"/>
      <c r="GL16" s="48" t="s">
        <v>101</v>
      </c>
      <c r="GM16" s="48" t="s">
        <v>64</v>
      </c>
      <c r="GN16" s="48" t="s">
        <v>65</v>
      </c>
      <c r="GO16" s="48" t="s">
        <v>67</v>
      </c>
      <c r="GP16" s="48" t="s">
        <v>102</v>
      </c>
      <c r="GQ16" s="48" t="s">
        <v>103</v>
      </c>
      <c r="GR16" s="48" t="s">
        <v>104</v>
      </c>
      <c r="GS16" s="48" t="s">
        <v>105</v>
      </c>
      <c r="GT16" s="48" t="s">
        <v>106</v>
      </c>
      <c r="GU16" s="48" t="s">
        <v>74</v>
      </c>
      <c r="GV16" s="48" t="s">
        <v>76</v>
      </c>
      <c r="GW16" s="48" t="s">
        <v>78</v>
      </c>
      <c r="GX16" s="48" t="s">
        <v>82</v>
      </c>
      <c r="GY16" s="48" t="s">
        <v>80</v>
      </c>
      <c r="GZ16" s="48" t="s">
        <v>84</v>
      </c>
      <c r="HA16" s="48" t="s">
        <v>86</v>
      </c>
      <c r="HB16" s="48" t="s">
        <v>88</v>
      </c>
      <c r="HC16" s="48" t="s">
        <v>90</v>
      </c>
      <c r="HD16" s="48" t="s">
        <v>92</v>
      </c>
      <c r="HE16" s="48" t="s">
        <v>94</v>
      </c>
      <c r="HF16" s="48" t="s">
        <v>96</v>
      </c>
      <c r="HG16" s="48" t="s">
        <v>98</v>
      </c>
    </row>
    <row r="17" spans="1:215" x14ac:dyDescent="0.3">
      <c r="A17" s="2">
        <v>8</v>
      </c>
      <c r="B17" s="2" t="s">
        <v>44</v>
      </c>
      <c r="C17" s="2" t="s">
        <v>48</v>
      </c>
      <c r="D17" s="2" t="s">
        <v>205</v>
      </c>
      <c r="E17" s="35" t="s">
        <v>61</v>
      </c>
      <c r="H17" s="48" t="s">
        <v>49</v>
      </c>
      <c r="I17" s="48" t="s">
        <v>60</v>
      </c>
      <c r="J17" s="48" t="s">
        <v>49</v>
      </c>
      <c r="K17" s="48" t="s">
        <v>60</v>
      </c>
      <c r="L17" s="48" t="s">
        <v>49</v>
      </c>
      <c r="M17" s="48" t="s">
        <v>60</v>
      </c>
      <c r="N17" s="48" t="s">
        <v>49</v>
      </c>
      <c r="O17" s="48" t="s">
        <v>60</v>
      </c>
      <c r="P17" s="52" t="s">
        <v>49</v>
      </c>
      <c r="Q17" s="48" t="s">
        <v>60</v>
      </c>
      <c r="R17" s="48" t="s">
        <v>49</v>
      </c>
      <c r="S17" s="48" t="s">
        <v>60</v>
      </c>
      <c r="T17" s="52" t="s">
        <v>49</v>
      </c>
      <c r="U17" s="48" t="s">
        <v>60</v>
      </c>
      <c r="V17" s="48" t="s">
        <v>49</v>
      </c>
      <c r="W17" s="48" t="s">
        <v>60</v>
      </c>
      <c r="X17" s="52" t="s">
        <v>49</v>
      </c>
      <c r="Y17" s="48" t="s">
        <v>60</v>
      </c>
      <c r="Z17" s="48" t="s">
        <v>49</v>
      </c>
      <c r="AA17" s="48" t="s">
        <v>60</v>
      </c>
      <c r="AB17" s="48" t="s">
        <v>49</v>
      </c>
      <c r="AC17" s="48" t="s">
        <v>60</v>
      </c>
      <c r="AD17" s="48" t="s">
        <v>49</v>
      </c>
      <c r="AE17" s="48" t="s">
        <v>60</v>
      </c>
      <c r="AF17" s="48" t="s">
        <v>49</v>
      </c>
      <c r="AG17" s="48" t="s">
        <v>60</v>
      </c>
      <c r="AH17" s="48" t="s">
        <v>49</v>
      </c>
      <c r="AI17" s="48" t="s">
        <v>60</v>
      </c>
      <c r="AJ17" s="48" t="s">
        <v>49</v>
      </c>
      <c r="AK17" s="48" t="s">
        <v>60</v>
      </c>
      <c r="AL17" s="48" t="s">
        <v>49</v>
      </c>
      <c r="AM17" s="48" t="s">
        <v>60</v>
      </c>
      <c r="AN17" s="48" t="s">
        <v>49</v>
      </c>
      <c r="AO17" s="48" t="s">
        <v>60</v>
      </c>
      <c r="AP17" s="48" t="s">
        <v>49</v>
      </c>
      <c r="AQ17" s="48" t="s">
        <v>60</v>
      </c>
      <c r="AR17" s="48" t="s">
        <v>49</v>
      </c>
      <c r="AS17" s="48" t="s">
        <v>60</v>
      </c>
      <c r="AT17" s="48" t="s">
        <v>49</v>
      </c>
      <c r="AU17" s="48" t="s">
        <v>60</v>
      </c>
      <c r="AV17" s="48" t="s">
        <v>49</v>
      </c>
      <c r="AW17" s="48" t="s">
        <v>60</v>
      </c>
      <c r="AX17" s="48" t="s">
        <v>49</v>
      </c>
      <c r="AY17" s="48" t="s">
        <v>60</v>
      </c>
      <c r="BZ17" s="48" t="s">
        <v>49</v>
      </c>
      <c r="CA17" s="48" t="s">
        <v>60</v>
      </c>
      <c r="CB17" s="48" t="s">
        <v>49</v>
      </c>
      <c r="CC17" s="48" t="s">
        <v>60</v>
      </c>
      <c r="CD17" s="48" t="s">
        <v>49</v>
      </c>
      <c r="CE17" s="48" t="s">
        <v>60</v>
      </c>
      <c r="CF17" s="48" t="s">
        <v>49</v>
      </c>
      <c r="CG17" s="48" t="s">
        <v>60</v>
      </c>
      <c r="CH17" s="48" t="s">
        <v>49</v>
      </c>
      <c r="CI17" s="48" t="s">
        <v>60</v>
      </c>
      <c r="CJ17" s="48" t="s">
        <v>49</v>
      </c>
      <c r="CK17" s="48" t="s">
        <v>60</v>
      </c>
      <c r="CL17" s="48" t="s">
        <v>49</v>
      </c>
      <c r="CM17" s="48" t="s">
        <v>60</v>
      </c>
      <c r="CN17" s="48" t="s">
        <v>49</v>
      </c>
      <c r="CO17" s="48" t="s">
        <v>60</v>
      </c>
      <c r="CP17" s="48" t="s">
        <v>49</v>
      </c>
      <c r="CQ17" s="48" t="s">
        <v>60</v>
      </c>
      <c r="CR17" s="48" t="s">
        <v>49</v>
      </c>
      <c r="CS17" s="48" t="s">
        <v>60</v>
      </c>
      <c r="CT17" s="48" t="s">
        <v>49</v>
      </c>
      <c r="CU17" s="48" t="s">
        <v>60</v>
      </c>
      <c r="CV17" s="48" t="s">
        <v>49</v>
      </c>
      <c r="CW17" s="48" t="s">
        <v>60</v>
      </c>
      <c r="CX17" s="48" t="s">
        <v>49</v>
      </c>
      <c r="CY17" s="48" t="s">
        <v>60</v>
      </c>
      <c r="CZ17" s="48" t="s">
        <v>49</v>
      </c>
      <c r="DA17" s="48" t="s">
        <v>60</v>
      </c>
      <c r="DB17" s="48" t="s">
        <v>49</v>
      </c>
      <c r="DC17" s="48" t="s">
        <v>60</v>
      </c>
      <c r="DD17" s="48" t="s">
        <v>49</v>
      </c>
      <c r="DE17" s="48" t="s">
        <v>60</v>
      </c>
      <c r="DF17" s="48" t="s">
        <v>49</v>
      </c>
      <c r="DG17" s="48" t="s">
        <v>60</v>
      </c>
      <c r="DH17" s="48" t="s">
        <v>49</v>
      </c>
      <c r="DI17" s="48" t="s">
        <v>60</v>
      </c>
      <c r="DJ17" s="48" t="s">
        <v>49</v>
      </c>
      <c r="DK17" s="48" t="s">
        <v>60</v>
      </c>
      <c r="DL17" s="48" t="s">
        <v>49</v>
      </c>
      <c r="DM17" s="48" t="s">
        <v>60</v>
      </c>
      <c r="DN17" s="48" t="s">
        <v>49</v>
      </c>
      <c r="DO17" s="48" t="s">
        <v>60</v>
      </c>
      <c r="DP17" s="48" t="s">
        <v>49</v>
      </c>
      <c r="DQ17" s="48" t="s">
        <v>60</v>
      </c>
      <c r="EQ17" s="48"/>
      <c r="ER17" s="48" t="s">
        <v>49</v>
      </c>
      <c r="ES17" s="48" t="s">
        <v>60</v>
      </c>
      <c r="ET17" s="48" t="s">
        <v>49</v>
      </c>
      <c r="EU17" s="48" t="s">
        <v>60</v>
      </c>
      <c r="EV17" s="48" t="s">
        <v>49</v>
      </c>
      <c r="EW17" s="48" t="s">
        <v>60</v>
      </c>
      <c r="EX17" s="48" t="s">
        <v>49</v>
      </c>
      <c r="EY17" s="48" t="s">
        <v>60</v>
      </c>
      <c r="EZ17" s="48" t="s">
        <v>49</v>
      </c>
      <c r="FA17" s="48" t="s">
        <v>60</v>
      </c>
      <c r="FB17" s="48" t="s">
        <v>49</v>
      </c>
      <c r="FC17" s="48" t="s">
        <v>60</v>
      </c>
      <c r="FD17" s="48" t="s">
        <v>49</v>
      </c>
      <c r="FE17" s="48" t="s">
        <v>60</v>
      </c>
      <c r="FF17" s="48" t="s">
        <v>49</v>
      </c>
      <c r="FG17" s="48" t="s">
        <v>60</v>
      </c>
      <c r="FH17" s="48" t="s">
        <v>49</v>
      </c>
      <c r="FI17" s="48" t="s">
        <v>60</v>
      </c>
      <c r="FJ17" s="48" t="s">
        <v>49</v>
      </c>
      <c r="FK17" s="48" t="s">
        <v>60</v>
      </c>
      <c r="FL17" s="48" t="s">
        <v>49</v>
      </c>
      <c r="FM17" s="48" t="s">
        <v>60</v>
      </c>
      <c r="FN17" s="48" t="s">
        <v>49</v>
      </c>
      <c r="FO17" s="48" t="s">
        <v>60</v>
      </c>
      <c r="FP17" s="48" t="s">
        <v>49</v>
      </c>
      <c r="FQ17" s="48" t="s">
        <v>60</v>
      </c>
      <c r="FR17" s="48" t="s">
        <v>49</v>
      </c>
      <c r="FS17" s="48" t="s">
        <v>60</v>
      </c>
      <c r="FT17" s="48" t="s">
        <v>49</v>
      </c>
      <c r="FU17" s="48" t="s">
        <v>60</v>
      </c>
      <c r="FV17" s="48" t="s">
        <v>49</v>
      </c>
      <c r="FW17" s="48" t="s">
        <v>60</v>
      </c>
      <c r="FX17" s="48" t="s">
        <v>49</v>
      </c>
      <c r="FY17" s="48" t="s">
        <v>60</v>
      </c>
      <c r="FZ17" s="48" t="s">
        <v>49</v>
      </c>
      <c r="GA17" s="48" t="s">
        <v>60</v>
      </c>
      <c r="GB17" s="48" t="s">
        <v>49</v>
      </c>
      <c r="GC17" s="48" t="s">
        <v>60</v>
      </c>
      <c r="GD17" s="48" t="s">
        <v>49</v>
      </c>
      <c r="GE17" s="48" t="s">
        <v>60</v>
      </c>
      <c r="GF17" s="48" t="s">
        <v>49</v>
      </c>
      <c r="GG17" s="48" t="s">
        <v>60</v>
      </c>
      <c r="GH17" s="48" t="s">
        <v>49</v>
      </c>
      <c r="GI17" s="48" t="s">
        <v>60</v>
      </c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</row>
    <row r="18" spans="1:215" x14ac:dyDescent="0.3">
      <c r="B18" s="2">
        <v>1</v>
      </c>
      <c r="C18" s="35" t="s">
        <v>45</v>
      </c>
      <c r="D18" s="43">
        <f>+D31</f>
        <v>3660</v>
      </c>
      <c r="E18" s="68">
        <f t="shared" ref="E18:E27" si="0">TRUNC(+D18*3.3058,-1)</f>
        <v>12090</v>
      </c>
      <c r="G18" s="48">
        <f>+D18*1.1</f>
        <v>4026.0000000000005</v>
      </c>
      <c r="H18" s="48">
        <f>+G18</f>
        <v>4026.0000000000005</v>
      </c>
      <c r="I18" s="51">
        <f>+H18*3.3058</f>
        <v>13309.150800000001</v>
      </c>
      <c r="J18" s="48">
        <f>+H18*BC18</f>
        <v>3905.2200000000003</v>
      </c>
      <c r="K18" s="51">
        <f>+J18*3.3058</f>
        <v>12909.876276000001</v>
      </c>
      <c r="L18" s="48">
        <f>+H18*BD18</f>
        <v>3824.7000000000003</v>
      </c>
      <c r="M18" s="51">
        <f>+L18*3.3058</f>
        <v>12643.693260000002</v>
      </c>
      <c r="N18" s="48">
        <f t="shared" ref="N18:N28" si="1">+H18*BE18</f>
        <v>3744.1800000000007</v>
      </c>
      <c r="O18" s="51">
        <f>+N18*3.3058</f>
        <v>12377.510244000003</v>
      </c>
      <c r="P18" s="52">
        <f t="shared" ref="P18:P28" si="2">+H18*BF18</f>
        <v>3663.6600000000008</v>
      </c>
      <c r="Q18" s="51">
        <f>+P18*3.3058</f>
        <v>12111.327228000002</v>
      </c>
      <c r="R18" s="48">
        <f t="shared" ref="R18:R28" si="3">+H18*BG18</f>
        <v>3583.1400000000003</v>
      </c>
      <c r="S18" s="51">
        <f>+R18*3.3058</f>
        <v>11845.144212000001</v>
      </c>
      <c r="T18" s="52">
        <f t="shared" ref="T18:T28" si="4">+H18*BH18</f>
        <v>3502.6200000000003</v>
      </c>
      <c r="U18" s="51">
        <f>+T18*3.3058</f>
        <v>11578.961196000002</v>
      </c>
      <c r="V18" s="53">
        <f t="shared" ref="V18:V28" si="5">+H18*BI18</f>
        <v>3422.1000000000004</v>
      </c>
      <c r="W18" s="51">
        <f>+V18*3.3058</f>
        <v>11312.778180000001</v>
      </c>
      <c r="X18" s="52">
        <f t="shared" ref="X18:X28" si="6">+H18*BJ18</f>
        <v>3341.5800000000004</v>
      </c>
      <c r="Y18" s="51">
        <f>+X18*3.3058</f>
        <v>11046.595164000002</v>
      </c>
      <c r="Z18" s="48">
        <f t="shared" ref="Z18:Z28" si="7">+H18*BK18</f>
        <v>3261.06</v>
      </c>
      <c r="AA18" s="51">
        <f>+Z18*3.3058</f>
        <v>10780.412147999999</v>
      </c>
      <c r="AB18" s="53">
        <f t="shared" ref="AB18:AB28" si="8">+H18*BL18</f>
        <v>3180.54</v>
      </c>
      <c r="AC18" s="51">
        <f>+AB18*3.3058</f>
        <v>10514.229132</v>
      </c>
      <c r="AD18" s="53">
        <f t="shared" ref="AD18:AD28" si="9">+H18*BM18</f>
        <v>3100.02</v>
      </c>
      <c r="AE18" s="51">
        <f>+AD18*3.3058</f>
        <v>10248.046116</v>
      </c>
      <c r="AF18" s="53">
        <f t="shared" ref="AF18:AF28" si="10">+H18*BN18</f>
        <v>3019.5</v>
      </c>
      <c r="AG18" s="51">
        <f>+AF18*3.3058</f>
        <v>9981.8631000000005</v>
      </c>
      <c r="AH18" s="48">
        <f t="shared" ref="AH18:AH28" si="11">+H18*BO18</f>
        <v>2938.98</v>
      </c>
      <c r="AI18" s="51">
        <f>+AH18*3.3058</f>
        <v>9715.6800839999996</v>
      </c>
      <c r="AJ18" s="53">
        <f t="shared" ref="AJ18:AJ28" si="12">+H18*BP18</f>
        <v>2858.4599999999996</v>
      </c>
      <c r="AK18" s="51">
        <f>+AJ18*3.3058</f>
        <v>9449.4970679999988</v>
      </c>
      <c r="AL18" s="53">
        <f t="shared" ref="AL18:AL28" si="13">+H18*BQ18</f>
        <v>2777.9399999999996</v>
      </c>
      <c r="AM18" s="51">
        <f>+AL18*3.3058</f>
        <v>9183.3140519999997</v>
      </c>
      <c r="AN18" s="53">
        <f t="shared" ref="AN18:AN28" si="14">+H18*BR18</f>
        <v>2697.4199999999996</v>
      </c>
      <c r="AO18" s="51">
        <f>+AN18*3.3058</f>
        <v>8917.1310359999989</v>
      </c>
      <c r="AP18" s="53">
        <f t="shared" ref="AP18:AP28" si="15">+H18*BS18</f>
        <v>2616.8999999999996</v>
      </c>
      <c r="AQ18" s="51">
        <f>+AP18*3.3058</f>
        <v>8650.9480199999998</v>
      </c>
      <c r="AR18" s="48">
        <f t="shared" ref="AR18:AR28" si="16">+H18*BT18</f>
        <v>2536.3799999999992</v>
      </c>
      <c r="AS18" s="51">
        <f>+AR18*3.3058</f>
        <v>8384.7650039999971</v>
      </c>
      <c r="AT18" s="53">
        <f t="shared" ref="AT18:AT28" si="17">+H18*BU18</f>
        <v>2455.8599999999992</v>
      </c>
      <c r="AU18" s="51">
        <f>+AT18*3.3058</f>
        <v>8118.5819879999972</v>
      </c>
      <c r="AV18" s="53">
        <f t="shared" ref="AV18:AV28" si="18">+H18*BV18</f>
        <v>2375.3399999999992</v>
      </c>
      <c r="AW18" s="51">
        <f>+AV18*3.3058</f>
        <v>7852.3989719999972</v>
      </c>
      <c r="AX18" s="48">
        <f t="shared" ref="AX18:AX28" si="19">+H18*BW18</f>
        <v>2294.8199999999993</v>
      </c>
      <c r="AY18" s="51">
        <f>+AX18*3.3058</f>
        <v>7586.2159559999973</v>
      </c>
      <c r="BB18" s="48">
        <v>1</v>
      </c>
      <c r="BC18" s="48">
        <v>0.97</v>
      </c>
      <c r="BD18" s="48">
        <v>0.95</v>
      </c>
      <c r="BE18" s="48">
        <v>0.93</v>
      </c>
      <c r="BF18" s="48">
        <f>+BE18-0.02</f>
        <v>0.91</v>
      </c>
      <c r="BG18" s="48">
        <f t="shared" ref="BG18:BW18" si="20">+BF18-0.02</f>
        <v>0.89</v>
      </c>
      <c r="BH18" s="48">
        <f t="shared" si="20"/>
        <v>0.87</v>
      </c>
      <c r="BI18" s="48">
        <f t="shared" si="20"/>
        <v>0.85</v>
      </c>
      <c r="BJ18" s="48">
        <f t="shared" si="20"/>
        <v>0.83</v>
      </c>
      <c r="BK18" s="48">
        <f t="shared" si="20"/>
        <v>0.80999999999999994</v>
      </c>
      <c r="BL18" s="48">
        <f t="shared" si="20"/>
        <v>0.78999999999999992</v>
      </c>
      <c r="BM18" s="48">
        <f t="shared" si="20"/>
        <v>0.76999999999999991</v>
      </c>
      <c r="BN18" s="48">
        <f t="shared" si="20"/>
        <v>0.74999999999999989</v>
      </c>
      <c r="BO18" s="48">
        <f t="shared" si="20"/>
        <v>0.72999999999999987</v>
      </c>
      <c r="BP18" s="48">
        <f t="shared" si="20"/>
        <v>0.70999999999999985</v>
      </c>
      <c r="BQ18" s="48">
        <f t="shared" si="20"/>
        <v>0.68999999999999984</v>
      </c>
      <c r="BR18" s="48">
        <f t="shared" si="20"/>
        <v>0.66999999999999982</v>
      </c>
      <c r="BS18" s="48">
        <f t="shared" si="20"/>
        <v>0.6499999999999998</v>
      </c>
      <c r="BT18" s="48">
        <f t="shared" si="20"/>
        <v>0.62999999999999978</v>
      </c>
      <c r="BU18" s="48">
        <f t="shared" si="20"/>
        <v>0.60999999999999976</v>
      </c>
      <c r="BV18" s="48">
        <f t="shared" si="20"/>
        <v>0.58999999999999975</v>
      </c>
      <c r="BW18" s="48">
        <f t="shared" si="20"/>
        <v>0.56999999999999973</v>
      </c>
      <c r="BY18" s="48">
        <f>+G18*0.91</f>
        <v>3663.6600000000008</v>
      </c>
      <c r="BZ18" s="48">
        <f>+BY18</f>
        <v>3663.6600000000008</v>
      </c>
      <c r="CA18" s="51">
        <f>+BZ18*3.3058</f>
        <v>12111.327228000002</v>
      </c>
      <c r="CB18" s="48">
        <f>+BZ18*DU18</f>
        <v>3553.7502000000009</v>
      </c>
      <c r="CC18" s="51">
        <f>+CB18*3.3058</f>
        <v>11747.987411160004</v>
      </c>
      <c r="CD18" s="48">
        <f>+BZ18*DV18</f>
        <v>3480.4770000000008</v>
      </c>
      <c r="CE18" s="51">
        <f>+CD18*3.3058</f>
        <v>11505.760866600003</v>
      </c>
      <c r="CF18" s="48">
        <f t="shared" ref="CF18:CF28" si="21">+BZ18*DW18</f>
        <v>3407.2038000000007</v>
      </c>
      <c r="CG18" s="51">
        <f>+CF18*3.3058</f>
        <v>11263.534322040003</v>
      </c>
      <c r="CH18" s="52">
        <f t="shared" ref="CH18:CH28" si="22">+BZ18*DX18</f>
        <v>3333.9306000000006</v>
      </c>
      <c r="CI18" s="51">
        <f>+CH18*3.3058</f>
        <v>11021.307777480002</v>
      </c>
      <c r="CJ18" s="48">
        <f t="shared" ref="CJ18:CJ28" si="23">+BZ18*DY18</f>
        <v>3260.6574000000005</v>
      </c>
      <c r="CK18" s="51">
        <f>+CJ18*3.3058</f>
        <v>10779.081232920002</v>
      </c>
      <c r="CL18" s="52">
        <f t="shared" ref="CL18:CL28" si="24">+BZ18*DZ18</f>
        <v>3187.3842000000009</v>
      </c>
      <c r="CM18" s="51">
        <f>+CL18*3.3058</f>
        <v>10536.854688360003</v>
      </c>
      <c r="CN18" s="53">
        <f t="shared" ref="CN18:CN28" si="25">+BZ18*EA18</f>
        <v>3114.1110000000008</v>
      </c>
      <c r="CO18" s="51">
        <f>+CN18*3.3058</f>
        <v>10294.628143800002</v>
      </c>
      <c r="CP18" s="52">
        <f t="shared" ref="CP18:CP28" si="26">+BZ18*EB18</f>
        <v>3040.8378000000007</v>
      </c>
      <c r="CQ18" s="51">
        <f>+CP18*3.3058</f>
        <v>10052.401599240002</v>
      </c>
      <c r="CR18" s="48">
        <f t="shared" ref="CR18:CR28" si="27">+BZ18*EC18</f>
        <v>2967.5646000000006</v>
      </c>
      <c r="CS18" s="51">
        <f>+CR18*3.3058</f>
        <v>9810.1750546800031</v>
      </c>
      <c r="CT18" s="53">
        <f t="shared" ref="CT18:CT28" si="28">+BZ18*ED18</f>
        <v>2894.2914000000005</v>
      </c>
      <c r="CU18" s="51">
        <f>+CT18*3.3058</f>
        <v>9567.9485101200025</v>
      </c>
      <c r="CV18" s="53">
        <f t="shared" ref="CV18:CV28" si="29">+BZ18*EE18</f>
        <v>2821.0182000000004</v>
      </c>
      <c r="CW18" s="51">
        <f>+CV18*3.3058</f>
        <v>9325.721965560002</v>
      </c>
      <c r="CX18" s="53">
        <f t="shared" ref="CX18:CX28" si="30">+BZ18*EF18</f>
        <v>2747.7450000000003</v>
      </c>
      <c r="CY18" s="51">
        <f>+CX18*3.3058</f>
        <v>9083.4954210000014</v>
      </c>
      <c r="CZ18" s="48">
        <f t="shared" ref="CZ18:CZ28" si="31">+BZ18*EG18</f>
        <v>2674.4718000000003</v>
      </c>
      <c r="DA18" s="51">
        <f>+CZ18*3.3058</f>
        <v>8841.2688764400009</v>
      </c>
      <c r="DB18" s="53">
        <f t="shared" ref="DB18:DB28" si="32">+BZ18*EH18</f>
        <v>2601.1986000000002</v>
      </c>
      <c r="DC18" s="51">
        <f>+DB18*3.3058</f>
        <v>8599.0423318800003</v>
      </c>
      <c r="DD18" s="53">
        <f t="shared" ref="DD18:DD28" si="33">+BZ18*EI18</f>
        <v>2527.9254000000001</v>
      </c>
      <c r="DE18" s="51">
        <f>+DD18*3.3058</f>
        <v>8356.8157873199998</v>
      </c>
      <c r="DF18" s="53">
        <f t="shared" ref="DF18:DF28" si="34">+BZ18*EJ18</f>
        <v>2454.6522</v>
      </c>
      <c r="DG18" s="51">
        <f>+DF18*3.3058</f>
        <v>8114.5892427600002</v>
      </c>
      <c r="DH18" s="53">
        <f t="shared" ref="DH18:DH28" si="35">+BZ18*EK18</f>
        <v>2381.3789999999999</v>
      </c>
      <c r="DI18" s="51">
        <f>+DH18*3.3058</f>
        <v>7872.3626981999996</v>
      </c>
      <c r="DJ18" s="48">
        <f t="shared" ref="DJ18:DJ28" si="36">+BZ18*EL18</f>
        <v>2308.1057999999998</v>
      </c>
      <c r="DK18" s="51">
        <f>+DJ18*3.3058</f>
        <v>7630.13615364</v>
      </c>
      <c r="DL18" s="53">
        <f t="shared" ref="DL18:DL28" si="37">+BZ18*EM18</f>
        <v>2234.8325999999997</v>
      </c>
      <c r="DM18" s="51">
        <f>+DL18*3.3058</f>
        <v>7387.9096090799994</v>
      </c>
      <c r="DN18" s="53">
        <f t="shared" ref="DN18:DN28" si="38">+BZ18*EN18</f>
        <v>2161.5593999999996</v>
      </c>
      <c r="DO18" s="51">
        <f>+DN18*3.3058</f>
        <v>7145.6830645199989</v>
      </c>
      <c r="DP18" s="48">
        <f t="shared" ref="DP18:DP28" si="39">+BZ18*EO18</f>
        <v>2088.2861999999996</v>
      </c>
      <c r="DQ18" s="51">
        <f>+DP18*3.3058</f>
        <v>6903.4565199599983</v>
      </c>
      <c r="DT18" s="48">
        <v>1</v>
      </c>
      <c r="DU18" s="48">
        <v>0.97</v>
      </c>
      <c r="DV18" s="48">
        <v>0.95</v>
      </c>
      <c r="DW18" s="48">
        <v>0.93</v>
      </c>
      <c r="DX18" s="48">
        <f>+DW18-0.02</f>
        <v>0.91</v>
      </c>
      <c r="DY18" s="48">
        <f t="shared" ref="DY18:EO18" si="40">+DX18-0.02</f>
        <v>0.89</v>
      </c>
      <c r="DZ18" s="48">
        <f t="shared" si="40"/>
        <v>0.87</v>
      </c>
      <c r="EA18" s="48">
        <f t="shared" si="40"/>
        <v>0.85</v>
      </c>
      <c r="EB18" s="48">
        <f t="shared" si="40"/>
        <v>0.83</v>
      </c>
      <c r="EC18" s="48">
        <f t="shared" si="40"/>
        <v>0.80999999999999994</v>
      </c>
      <c r="ED18" s="48">
        <f t="shared" si="40"/>
        <v>0.78999999999999992</v>
      </c>
      <c r="EE18" s="48">
        <f t="shared" si="40"/>
        <v>0.76999999999999991</v>
      </c>
      <c r="EF18" s="48">
        <f t="shared" si="40"/>
        <v>0.74999999999999989</v>
      </c>
      <c r="EG18" s="48">
        <f t="shared" si="40"/>
        <v>0.72999999999999987</v>
      </c>
      <c r="EH18" s="48">
        <f t="shared" si="40"/>
        <v>0.70999999999999985</v>
      </c>
      <c r="EI18" s="48">
        <f t="shared" si="40"/>
        <v>0.68999999999999984</v>
      </c>
      <c r="EJ18" s="48">
        <f t="shared" si="40"/>
        <v>0.66999999999999982</v>
      </c>
      <c r="EK18" s="48">
        <f t="shared" si="40"/>
        <v>0.6499999999999998</v>
      </c>
      <c r="EL18" s="48">
        <f t="shared" si="40"/>
        <v>0.62999999999999978</v>
      </c>
      <c r="EM18" s="48">
        <f t="shared" si="40"/>
        <v>0.60999999999999976</v>
      </c>
      <c r="EN18" s="48">
        <f t="shared" si="40"/>
        <v>0.58999999999999975</v>
      </c>
      <c r="EO18" s="48">
        <f t="shared" si="40"/>
        <v>0.56999999999999973</v>
      </c>
      <c r="EQ18" s="48">
        <f>+BY18*0.91</f>
        <v>3333.9306000000006</v>
      </c>
      <c r="ER18" s="48">
        <f>+EQ18</f>
        <v>3333.9306000000006</v>
      </c>
      <c r="ES18" s="51">
        <f>+ER18*3.3058</f>
        <v>11021.307777480002</v>
      </c>
      <c r="ET18" s="48">
        <f>+ER18*GM18</f>
        <v>3233.9126820000006</v>
      </c>
      <c r="EU18" s="51">
        <f>+ET18*3.3058</f>
        <v>10690.668544155602</v>
      </c>
      <c r="EV18" s="48">
        <f>+ER18*GN18</f>
        <v>3167.2340700000004</v>
      </c>
      <c r="EW18" s="51">
        <f>+EV18*3.3058</f>
        <v>10470.242388606002</v>
      </c>
      <c r="EX18" s="48">
        <f t="shared" ref="EX18:EX28" si="41">+ER18*GO18</f>
        <v>3100.5554580000007</v>
      </c>
      <c r="EY18" s="51">
        <f>+EX18*3.3058</f>
        <v>10249.816233056403</v>
      </c>
      <c r="EZ18" s="52">
        <f t="shared" ref="EZ18:EZ28" si="42">+ER18*GP18</f>
        <v>3033.8768460000006</v>
      </c>
      <c r="FA18" s="51">
        <f>+EZ18*3.3058</f>
        <v>10029.390077506801</v>
      </c>
      <c r="FB18" s="48">
        <f t="shared" ref="FB18:FB28" si="43">+ER18*GQ18</f>
        <v>2967.1982340000004</v>
      </c>
      <c r="FC18" s="51">
        <f>+FB18*3.3058</f>
        <v>9808.9639219572018</v>
      </c>
      <c r="FD18" s="52">
        <f t="shared" ref="FD18:FD28" si="44">+ER18*GR18</f>
        <v>2900.5196220000007</v>
      </c>
      <c r="FE18" s="51">
        <f>+FD18*3.3058</f>
        <v>9588.5377664076022</v>
      </c>
      <c r="FF18" s="53">
        <f t="shared" ref="FF18:FF28" si="45">+ER18*GS18</f>
        <v>2833.8410100000006</v>
      </c>
      <c r="FG18" s="51">
        <f>+FF18*3.3058</f>
        <v>9368.1116108580027</v>
      </c>
      <c r="FH18" s="52">
        <f t="shared" ref="FH18:FH28" si="46">+ER18*GT18</f>
        <v>2767.1623980000004</v>
      </c>
      <c r="FI18" s="51">
        <f>+FH18*3.3058</f>
        <v>9147.6854553084013</v>
      </c>
      <c r="FJ18" s="48">
        <f t="shared" ref="FJ18:FJ28" si="47">+ER18*GU18</f>
        <v>2700.4837860000002</v>
      </c>
      <c r="FK18" s="51">
        <f>+FJ18*3.3058</f>
        <v>8927.2592997588017</v>
      </c>
      <c r="FL18" s="53">
        <f t="shared" ref="FL18:FL28" si="48">+ER18*GV18</f>
        <v>2633.8051740000001</v>
      </c>
      <c r="FM18" s="51">
        <f>+FL18*3.3058</f>
        <v>8706.8331442092003</v>
      </c>
      <c r="FN18" s="53">
        <f t="shared" ref="FN18:FN28" si="49">+ER18*GW18</f>
        <v>2567.1265619999999</v>
      </c>
      <c r="FO18" s="51">
        <f>+FN18*3.3058</f>
        <v>8486.4069886596008</v>
      </c>
      <c r="FP18" s="53">
        <f t="shared" ref="FP18:FP28" si="50">+ER18*GX18</f>
        <v>2500.4479500000002</v>
      </c>
      <c r="FQ18" s="51">
        <f>+FP18*3.3058</f>
        <v>8265.9808331100012</v>
      </c>
      <c r="FR18" s="48">
        <f t="shared" ref="FR18:FR28" si="51">+ER18*GY18</f>
        <v>2433.7693380000001</v>
      </c>
      <c r="FS18" s="51">
        <f>+FR18*3.3058</f>
        <v>8045.5546775604007</v>
      </c>
      <c r="FT18" s="53">
        <f t="shared" ref="FT18:FT28" si="52">+ER18*GZ18</f>
        <v>2367.0907259999999</v>
      </c>
      <c r="FU18" s="51">
        <f>+FT18*3.3058</f>
        <v>7825.1285220108002</v>
      </c>
      <c r="FV18" s="53">
        <f t="shared" ref="FV18:FV28" si="53">+ER18*HA18</f>
        <v>2300.4121139999997</v>
      </c>
      <c r="FW18" s="51">
        <f>+FV18*3.3058</f>
        <v>7604.7023664611997</v>
      </c>
      <c r="FX18" s="53">
        <f t="shared" ref="FX18:FX28" si="54">+ER18*HB18</f>
        <v>2233.7335019999996</v>
      </c>
      <c r="FY18" s="51">
        <f>+FX18*3.3058</f>
        <v>7384.2762109115984</v>
      </c>
      <c r="FZ18" s="53">
        <f t="shared" ref="FZ18:FZ28" si="55">+ER18*HC18</f>
        <v>2167.0548899999999</v>
      </c>
      <c r="GA18" s="51">
        <f>+FZ18*3.3058</f>
        <v>7163.8500553619997</v>
      </c>
      <c r="GB18" s="48">
        <f t="shared" ref="GB18:GB28" si="56">+ER18*HD18</f>
        <v>2100.3762779999997</v>
      </c>
      <c r="GC18" s="51">
        <f>+GB18*3.3058</f>
        <v>6943.4238998123992</v>
      </c>
      <c r="GD18" s="53">
        <f t="shared" ref="GD18:GD28" si="57">+ER18*HE18</f>
        <v>2033.6976659999996</v>
      </c>
      <c r="GE18" s="51">
        <f>+GD18*3.3058</f>
        <v>6722.9977442627987</v>
      </c>
      <c r="GF18" s="53">
        <f t="shared" ref="GF18:GF28" si="58">+ER18*HF18</f>
        <v>1967.0190539999994</v>
      </c>
      <c r="GG18" s="51">
        <f>+GF18*3.3058</f>
        <v>6502.5715887131983</v>
      </c>
      <c r="GH18" s="48">
        <f t="shared" ref="GH18:GH28" si="59">+ER18*HG18</f>
        <v>1900.3404419999995</v>
      </c>
      <c r="GI18" s="51">
        <f>+GH18*3.3058</f>
        <v>6282.1454331635987</v>
      </c>
      <c r="GJ18" s="48"/>
      <c r="GK18" s="48"/>
      <c r="GL18" s="48">
        <v>1</v>
      </c>
      <c r="GM18" s="48">
        <v>0.97</v>
      </c>
      <c r="GN18" s="48">
        <v>0.95</v>
      </c>
      <c r="GO18" s="48">
        <v>0.93</v>
      </c>
      <c r="GP18" s="48">
        <f>+GO18-0.02</f>
        <v>0.91</v>
      </c>
      <c r="GQ18" s="48">
        <f t="shared" ref="GQ18:HG18" si="60">+GP18-0.02</f>
        <v>0.89</v>
      </c>
      <c r="GR18" s="48">
        <f t="shared" si="60"/>
        <v>0.87</v>
      </c>
      <c r="GS18" s="48">
        <f t="shared" si="60"/>
        <v>0.85</v>
      </c>
      <c r="GT18" s="48">
        <f t="shared" si="60"/>
        <v>0.83</v>
      </c>
      <c r="GU18" s="48">
        <f t="shared" si="60"/>
        <v>0.80999999999999994</v>
      </c>
      <c r="GV18" s="48">
        <f t="shared" si="60"/>
        <v>0.78999999999999992</v>
      </c>
      <c r="GW18" s="48">
        <f t="shared" si="60"/>
        <v>0.76999999999999991</v>
      </c>
      <c r="GX18" s="48">
        <f t="shared" si="60"/>
        <v>0.74999999999999989</v>
      </c>
      <c r="GY18" s="48">
        <f t="shared" si="60"/>
        <v>0.72999999999999987</v>
      </c>
      <c r="GZ18" s="48">
        <f t="shared" si="60"/>
        <v>0.70999999999999985</v>
      </c>
      <c r="HA18" s="48">
        <f t="shared" si="60"/>
        <v>0.68999999999999984</v>
      </c>
      <c r="HB18" s="48">
        <f t="shared" si="60"/>
        <v>0.66999999999999982</v>
      </c>
      <c r="HC18" s="48">
        <f t="shared" si="60"/>
        <v>0.6499999999999998</v>
      </c>
      <c r="HD18" s="48">
        <f t="shared" si="60"/>
        <v>0.62999999999999978</v>
      </c>
      <c r="HE18" s="48">
        <f t="shared" si="60"/>
        <v>0.60999999999999976</v>
      </c>
      <c r="HF18" s="48">
        <f t="shared" si="60"/>
        <v>0.58999999999999975</v>
      </c>
      <c r="HG18" s="48">
        <f t="shared" si="60"/>
        <v>0.56999999999999973</v>
      </c>
    </row>
    <row r="19" spans="1:215" x14ac:dyDescent="0.3">
      <c r="B19" s="2">
        <v>2</v>
      </c>
      <c r="C19" s="35" t="s">
        <v>46</v>
      </c>
      <c r="D19" s="47">
        <f>+D54</f>
        <v>733490</v>
      </c>
      <c r="E19" s="69">
        <f t="shared" si="0"/>
        <v>2424770</v>
      </c>
      <c r="G19" s="48">
        <f t="shared" ref="G19:G83" si="61">+D19*1.1</f>
        <v>806839.00000000012</v>
      </c>
      <c r="H19" s="48">
        <f t="shared" ref="H19:H83" si="62">+G19</f>
        <v>806839.00000000012</v>
      </c>
      <c r="I19" s="51">
        <f t="shared" ref="I19:I83" si="63">+H19*3.3058</f>
        <v>2667248.3662000005</v>
      </c>
      <c r="J19" s="48">
        <f t="shared" ref="J19:J28" si="64">+H19*BC19</f>
        <v>782633.83000000007</v>
      </c>
      <c r="K19" s="51">
        <f t="shared" ref="K19:K28" si="65">+J19*3.3058</f>
        <v>2587230.9152140003</v>
      </c>
      <c r="L19" s="48">
        <f t="shared" ref="L19:L28" si="66">+H19*BD19</f>
        <v>766497.05</v>
      </c>
      <c r="M19" s="51">
        <f t="shared" ref="M19:M28" si="67">+L19*3.3058</f>
        <v>2533885.9478900004</v>
      </c>
      <c r="N19" s="48">
        <f t="shared" si="1"/>
        <v>750360.27000000014</v>
      </c>
      <c r="O19" s="51">
        <f t="shared" ref="O19:O28" si="68">+N19*3.3058</f>
        <v>2480540.9805660006</v>
      </c>
      <c r="P19" s="52">
        <f t="shared" si="2"/>
        <v>734223.49000000011</v>
      </c>
      <c r="Q19" s="51">
        <f t="shared" ref="Q19:Q28" si="69">+P19*3.3058</f>
        <v>2427196.0132420002</v>
      </c>
      <c r="R19" s="48">
        <f t="shared" si="3"/>
        <v>718086.71000000008</v>
      </c>
      <c r="S19" s="51">
        <f t="shared" ref="S19:S28" si="70">+R19*3.3058</f>
        <v>2373851.0459180004</v>
      </c>
      <c r="T19" s="52">
        <f t="shared" si="4"/>
        <v>701949.93</v>
      </c>
      <c r="U19" s="51">
        <f t="shared" ref="U19:U28" si="71">+T19*3.3058</f>
        <v>2320506.0785940001</v>
      </c>
      <c r="V19" s="53">
        <f t="shared" si="5"/>
        <v>685813.15</v>
      </c>
      <c r="W19" s="51">
        <f t="shared" ref="W19:W28" si="72">+V19*3.3058</f>
        <v>2267161.1112700002</v>
      </c>
      <c r="X19" s="52">
        <f t="shared" si="6"/>
        <v>669676.37000000011</v>
      </c>
      <c r="Y19" s="51">
        <f t="shared" ref="Y19:Y28" si="73">+X19*3.3058</f>
        <v>2213816.1439460004</v>
      </c>
      <c r="Z19" s="48">
        <f t="shared" si="7"/>
        <v>653539.59000000008</v>
      </c>
      <c r="AA19" s="51">
        <f t="shared" ref="AA19:AA28" si="74">+Z19*3.3058</f>
        <v>2160471.1766220005</v>
      </c>
      <c r="AB19" s="53">
        <f t="shared" si="8"/>
        <v>637402.81000000006</v>
      </c>
      <c r="AC19" s="51">
        <f t="shared" ref="AC19:AC28" si="75">+AB19*3.3058</f>
        <v>2107126.2092980002</v>
      </c>
      <c r="AD19" s="53">
        <f t="shared" si="9"/>
        <v>621266.03</v>
      </c>
      <c r="AE19" s="51">
        <f t="shared" ref="AE19:AE28" si="76">+AD19*3.3058</f>
        <v>2053781.2419740001</v>
      </c>
      <c r="AF19" s="53">
        <f t="shared" si="10"/>
        <v>605129.25</v>
      </c>
      <c r="AG19" s="51">
        <f t="shared" ref="AG19:AG28" si="77">+AF19*3.3058</f>
        <v>2000436.27465</v>
      </c>
      <c r="AH19" s="48">
        <f t="shared" si="11"/>
        <v>588992.47</v>
      </c>
      <c r="AI19" s="51">
        <f t="shared" ref="AI19:AI28" si="78">+AH19*3.3058</f>
        <v>1947091.307326</v>
      </c>
      <c r="AJ19" s="53">
        <f t="shared" si="12"/>
        <v>572855.68999999994</v>
      </c>
      <c r="AK19" s="51">
        <f t="shared" ref="AK19:AK28" si="79">+AJ19*3.3058</f>
        <v>1893746.3400019999</v>
      </c>
      <c r="AL19" s="53">
        <f t="shared" si="13"/>
        <v>556718.90999999992</v>
      </c>
      <c r="AM19" s="51">
        <f t="shared" ref="AM19:AM28" si="80">+AL19*3.3058</f>
        <v>1840401.3726779998</v>
      </c>
      <c r="AN19" s="53">
        <f t="shared" si="14"/>
        <v>540582.12999999989</v>
      </c>
      <c r="AO19" s="51">
        <f t="shared" ref="AO19:AO28" si="81">+AN19*3.3058</f>
        <v>1787056.4053539997</v>
      </c>
      <c r="AP19" s="53">
        <f t="shared" si="15"/>
        <v>524445.34999999986</v>
      </c>
      <c r="AQ19" s="51">
        <f t="shared" ref="AQ19:AQ28" si="82">+AP19*3.3058</f>
        <v>1733711.4380299996</v>
      </c>
      <c r="AR19" s="48">
        <f t="shared" si="16"/>
        <v>508308.56999999989</v>
      </c>
      <c r="AS19" s="51">
        <f t="shared" ref="AS19:AS28" si="83">+AR19*3.3058</f>
        <v>1680366.4707059998</v>
      </c>
      <c r="AT19" s="53">
        <f t="shared" si="17"/>
        <v>492171.78999999986</v>
      </c>
      <c r="AU19" s="51">
        <f t="shared" ref="AU19:AU28" si="84">+AT19*3.3058</f>
        <v>1627021.5033819997</v>
      </c>
      <c r="AV19" s="53">
        <f t="shared" si="18"/>
        <v>476035.00999999989</v>
      </c>
      <c r="AW19" s="51">
        <f t="shared" ref="AW19:AW28" si="85">+AV19*3.3058</f>
        <v>1573676.5360579996</v>
      </c>
      <c r="AX19" s="48">
        <f t="shared" si="19"/>
        <v>459898.22999999986</v>
      </c>
      <c r="AY19" s="51">
        <f t="shared" ref="AY19:AY28" si="86">+AX19*3.3058</f>
        <v>1520331.5687339995</v>
      </c>
      <c r="BB19" s="48">
        <v>1</v>
      </c>
      <c r="BC19" s="48">
        <v>0.97</v>
      </c>
      <c r="BD19" s="48">
        <v>0.95</v>
      </c>
      <c r="BE19" s="48">
        <v>0.93</v>
      </c>
      <c r="BF19" s="48">
        <f t="shared" ref="BF19:BW19" si="87">+BE19-0.02</f>
        <v>0.91</v>
      </c>
      <c r="BG19" s="48">
        <f t="shared" si="87"/>
        <v>0.89</v>
      </c>
      <c r="BH19" s="48">
        <f t="shared" si="87"/>
        <v>0.87</v>
      </c>
      <c r="BI19" s="48">
        <f t="shared" si="87"/>
        <v>0.85</v>
      </c>
      <c r="BJ19" s="48">
        <f t="shared" si="87"/>
        <v>0.83</v>
      </c>
      <c r="BK19" s="48">
        <f t="shared" si="87"/>
        <v>0.80999999999999994</v>
      </c>
      <c r="BL19" s="48">
        <f t="shared" si="87"/>
        <v>0.78999999999999992</v>
      </c>
      <c r="BM19" s="48">
        <f t="shared" si="87"/>
        <v>0.76999999999999991</v>
      </c>
      <c r="BN19" s="48">
        <f t="shared" si="87"/>
        <v>0.74999999999999989</v>
      </c>
      <c r="BO19" s="48">
        <f t="shared" si="87"/>
        <v>0.72999999999999987</v>
      </c>
      <c r="BP19" s="48">
        <f t="shared" si="87"/>
        <v>0.70999999999999985</v>
      </c>
      <c r="BQ19" s="48">
        <f t="shared" si="87"/>
        <v>0.68999999999999984</v>
      </c>
      <c r="BR19" s="48">
        <f t="shared" si="87"/>
        <v>0.66999999999999982</v>
      </c>
      <c r="BS19" s="48">
        <f t="shared" si="87"/>
        <v>0.6499999999999998</v>
      </c>
      <c r="BT19" s="48">
        <f t="shared" si="87"/>
        <v>0.62999999999999978</v>
      </c>
      <c r="BU19" s="48">
        <f t="shared" si="87"/>
        <v>0.60999999999999976</v>
      </c>
      <c r="BV19" s="48">
        <f t="shared" si="87"/>
        <v>0.58999999999999975</v>
      </c>
      <c r="BW19" s="48">
        <f t="shared" si="87"/>
        <v>0.56999999999999973</v>
      </c>
      <c r="BY19" s="48">
        <f t="shared" ref="BY19:BY83" si="88">+G19*0.91</f>
        <v>734223.49000000011</v>
      </c>
      <c r="BZ19" s="48">
        <f t="shared" ref="BZ19:BZ83" si="89">+BY19</f>
        <v>734223.49000000011</v>
      </c>
      <c r="CA19" s="51">
        <f t="shared" ref="CA19" si="90">+BZ19*3.3058</f>
        <v>2427196.0132420002</v>
      </c>
      <c r="CB19" s="48">
        <f t="shared" ref="CB19:CB28" si="91">+BZ19*DU19</f>
        <v>712196.78530000011</v>
      </c>
      <c r="CC19" s="51">
        <f t="shared" ref="CC19:CC28" si="92">+CB19*3.3058</f>
        <v>2354380.1328447405</v>
      </c>
      <c r="CD19" s="48">
        <f t="shared" ref="CD19:CD28" si="93">+BZ19*DV19</f>
        <v>697512.31550000003</v>
      </c>
      <c r="CE19" s="51">
        <f t="shared" ref="CE19:CE28" si="94">+CD19*3.3058</f>
        <v>2305836.2125798999</v>
      </c>
      <c r="CF19" s="48">
        <f t="shared" si="21"/>
        <v>682827.84570000018</v>
      </c>
      <c r="CG19" s="51">
        <f t="shared" ref="CG19:CG28" si="95">+CF19*3.3058</f>
        <v>2257292.2923150607</v>
      </c>
      <c r="CH19" s="52">
        <f t="shared" si="22"/>
        <v>668143.3759000001</v>
      </c>
      <c r="CI19" s="51">
        <f t="shared" ref="CI19:CI28" si="96">+CH19*3.3058</f>
        <v>2208748.3720502206</v>
      </c>
      <c r="CJ19" s="48">
        <f t="shared" si="23"/>
        <v>653458.90610000014</v>
      </c>
      <c r="CK19" s="51">
        <f t="shared" ref="CK19:CK28" si="97">+CJ19*3.3058</f>
        <v>2160204.4517853805</v>
      </c>
      <c r="CL19" s="52">
        <f t="shared" si="24"/>
        <v>638774.43630000006</v>
      </c>
      <c r="CM19" s="51">
        <f t="shared" ref="CM19:CM28" si="98">+CL19*3.3058</f>
        <v>2111660.5315205404</v>
      </c>
      <c r="CN19" s="53">
        <f t="shared" si="25"/>
        <v>624089.9665000001</v>
      </c>
      <c r="CO19" s="51">
        <f t="shared" ref="CO19:CO28" si="99">+CN19*3.3058</f>
        <v>2063116.6112557005</v>
      </c>
      <c r="CP19" s="52">
        <f t="shared" si="26"/>
        <v>609405.49670000002</v>
      </c>
      <c r="CQ19" s="51">
        <f t="shared" ref="CQ19:CQ28" si="100">+CP19*3.3058</f>
        <v>2014572.6909908601</v>
      </c>
      <c r="CR19" s="48">
        <f t="shared" si="27"/>
        <v>594721.02690000006</v>
      </c>
      <c r="CS19" s="51">
        <f t="shared" ref="CS19:CS28" si="101">+CR19*3.3058</f>
        <v>1966028.7707260202</v>
      </c>
      <c r="CT19" s="53">
        <f t="shared" si="28"/>
        <v>580036.55709999998</v>
      </c>
      <c r="CU19" s="51">
        <f t="shared" ref="CU19:CU28" si="102">+CT19*3.3058</f>
        <v>1917484.8504611799</v>
      </c>
      <c r="CV19" s="53">
        <f t="shared" si="29"/>
        <v>565352.08730000001</v>
      </c>
      <c r="CW19" s="51">
        <f t="shared" ref="CW19:CW28" si="103">+CV19*3.3058</f>
        <v>1868940.9301963402</v>
      </c>
      <c r="CX19" s="53">
        <f t="shared" si="30"/>
        <v>550667.61750000005</v>
      </c>
      <c r="CY19" s="51">
        <f t="shared" ref="CY19:CY28" si="104">+CX19*3.3058</f>
        <v>1820397.0099315003</v>
      </c>
      <c r="CZ19" s="48">
        <f t="shared" si="31"/>
        <v>535983.14769999997</v>
      </c>
      <c r="DA19" s="51">
        <f t="shared" ref="DA19:DA28" si="105">+CZ19*3.3058</f>
        <v>1771853.0896666599</v>
      </c>
      <c r="DB19" s="53">
        <f t="shared" si="32"/>
        <v>521298.67789999995</v>
      </c>
      <c r="DC19" s="51">
        <f t="shared" ref="DC19:DC28" si="106">+DB19*3.3058</f>
        <v>1723309.1694018198</v>
      </c>
      <c r="DD19" s="53">
        <f t="shared" si="33"/>
        <v>506614.20809999993</v>
      </c>
      <c r="DE19" s="51">
        <f t="shared" ref="DE19:DE28" si="107">+DD19*3.3058</f>
        <v>1674765.2491369797</v>
      </c>
      <c r="DF19" s="53">
        <f t="shared" si="34"/>
        <v>491929.73829999991</v>
      </c>
      <c r="DG19" s="51">
        <f t="shared" ref="DG19:DG28" si="108">+DF19*3.3058</f>
        <v>1626221.3288721398</v>
      </c>
      <c r="DH19" s="53">
        <f t="shared" si="35"/>
        <v>477245.26849999995</v>
      </c>
      <c r="DI19" s="51">
        <f t="shared" ref="DI19:DI28" si="109">+DH19*3.3058</f>
        <v>1577677.4086072999</v>
      </c>
      <c r="DJ19" s="48">
        <f t="shared" si="36"/>
        <v>462560.79869999993</v>
      </c>
      <c r="DK19" s="51">
        <f t="shared" ref="DK19:DK28" si="110">+DJ19*3.3058</f>
        <v>1529133.4883424598</v>
      </c>
      <c r="DL19" s="53">
        <f t="shared" si="37"/>
        <v>447876.32889999991</v>
      </c>
      <c r="DM19" s="51">
        <f t="shared" ref="DM19:DM28" si="111">+DL19*3.3058</f>
        <v>1480589.5680776197</v>
      </c>
      <c r="DN19" s="53">
        <f t="shared" si="38"/>
        <v>433191.85909999989</v>
      </c>
      <c r="DO19" s="51">
        <f t="shared" ref="DO19:DO28" si="112">+DN19*3.3058</f>
        <v>1432045.6478127798</v>
      </c>
      <c r="DP19" s="48">
        <f t="shared" si="39"/>
        <v>418507.38929999986</v>
      </c>
      <c r="DQ19" s="51">
        <f t="shared" ref="DQ19:DQ28" si="113">+DP19*3.3058</f>
        <v>1383501.7275479396</v>
      </c>
      <c r="DT19" s="48">
        <v>1</v>
      </c>
      <c r="DU19" s="48">
        <v>0.97</v>
      </c>
      <c r="DV19" s="48">
        <v>0.95</v>
      </c>
      <c r="DW19" s="48">
        <v>0.93</v>
      </c>
      <c r="DX19" s="48">
        <f t="shared" ref="DX19:EO19" si="114">+DW19-0.02</f>
        <v>0.91</v>
      </c>
      <c r="DY19" s="48">
        <f t="shared" si="114"/>
        <v>0.89</v>
      </c>
      <c r="DZ19" s="48">
        <f t="shared" si="114"/>
        <v>0.87</v>
      </c>
      <c r="EA19" s="48">
        <f t="shared" si="114"/>
        <v>0.85</v>
      </c>
      <c r="EB19" s="48">
        <f t="shared" si="114"/>
        <v>0.83</v>
      </c>
      <c r="EC19" s="48">
        <f t="shared" si="114"/>
        <v>0.80999999999999994</v>
      </c>
      <c r="ED19" s="48">
        <f t="shared" si="114"/>
        <v>0.78999999999999992</v>
      </c>
      <c r="EE19" s="48">
        <f t="shared" si="114"/>
        <v>0.76999999999999991</v>
      </c>
      <c r="EF19" s="48">
        <f t="shared" si="114"/>
        <v>0.74999999999999989</v>
      </c>
      <c r="EG19" s="48">
        <f t="shared" si="114"/>
        <v>0.72999999999999987</v>
      </c>
      <c r="EH19" s="48">
        <f t="shared" si="114"/>
        <v>0.70999999999999985</v>
      </c>
      <c r="EI19" s="48">
        <f t="shared" si="114"/>
        <v>0.68999999999999984</v>
      </c>
      <c r="EJ19" s="48">
        <f t="shared" si="114"/>
        <v>0.66999999999999982</v>
      </c>
      <c r="EK19" s="48">
        <f t="shared" si="114"/>
        <v>0.6499999999999998</v>
      </c>
      <c r="EL19" s="48">
        <f t="shared" si="114"/>
        <v>0.62999999999999978</v>
      </c>
      <c r="EM19" s="48">
        <f t="shared" si="114"/>
        <v>0.60999999999999976</v>
      </c>
      <c r="EN19" s="48">
        <f t="shared" si="114"/>
        <v>0.58999999999999975</v>
      </c>
      <c r="EO19" s="48">
        <f t="shared" si="114"/>
        <v>0.56999999999999973</v>
      </c>
      <c r="EQ19" s="48">
        <f t="shared" ref="EQ19:EQ26" si="115">+BY19*0.91</f>
        <v>668143.3759000001</v>
      </c>
      <c r="ER19" s="48">
        <f t="shared" ref="ER19:ER83" si="116">+EQ19</f>
        <v>668143.3759000001</v>
      </c>
      <c r="ES19" s="51">
        <f t="shared" ref="ES19" si="117">+ER19*3.3058</f>
        <v>2208748.3720502206</v>
      </c>
      <c r="ET19" s="48">
        <f t="shared" ref="ET19:ET28" si="118">+ER19*GM19</f>
        <v>648099.07462300011</v>
      </c>
      <c r="EU19" s="51">
        <f t="shared" ref="EU19:EU28" si="119">+ET19*3.3058</f>
        <v>2142485.920888714</v>
      </c>
      <c r="EV19" s="48">
        <f t="shared" ref="EV19:EV28" si="120">+ER19*GN19</f>
        <v>634736.20710500004</v>
      </c>
      <c r="EW19" s="51">
        <f t="shared" ref="EW19:EW28" si="121">+EV19*3.3058</f>
        <v>2098310.9534477093</v>
      </c>
      <c r="EX19" s="48">
        <f t="shared" si="41"/>
        <v>621373.33958700008</v>
      </c>
      <c r="EY19" s="51">
        <f t="shared" ref="EY19:EY28" si="122">+EX19*3.3058</f>
        <v>2054135.9860067049</v>
      </c>
      <c r="EZ19" s="52">
        <f t="shared" si="42"/>
        <v>608010.47206900013</v>
      </c>
      <c r="FA19" s="51">
        <f t="shared" ref="FA19:FA28" si="123">+EZ19*3.3058</f>
        <v>2009961.0185657006</v>
      </c>
      <c r="FB19" s="48">
        <f t="shared" si="43"/>
        <v>594647.60455100005</v>
      </c>
      <c r="FC19" s="51">
        <f t="shared" ref="FC19:FC28" si="124">+FB19*3.3058</f>
        <v>1965786.0511246959</v>
      </c>
      <c r="FD19" s="52">
        <f t="shared" si="44"/>
        <v>581284.7370330001</v>
      </c>
      <c r="FE19" s="51">
        <f t="shared" ref="FE19:FE28" si="125">+FD19*3.3058</f>
        <v>1921611.0836836917</v>
      </c>
      <c r="FF19" s="53">
        <f t="shared" si="45"/>
        <v>567921.86951500003</v>
      </c>
      <c r="FG19" s="51">
        <f t="shared" ref="FG19:FG28" si="126">+FF19*3.3058</f>
        <v>1877436.1162426872</v>
      </c>
      <c r="FH19" s="52">
        <f t="shared" si="46"/>
        <v>554559.00199700007</v>
      </c>
      <c r="FI19" s="51">
        <f t="shared" ref="FI19:FI28" si="127">+FH19*3.3058</f>
        <v>1833261.148801683</v>
      </c>
      <c r="FJ19" s="48">
        <f t="shared" si="47"/>
        <v>541196.134479</v>
      </c>
      <c r="FK19" s="51">
        <f t="shared" ref="FK19:FK28" si="128">+FJ19*3.3058</f>
        <v>1789086.1813606783</v>
      </c>
      <c r="FL19" s="53">
        <f t="shared" si="48"/>
        <v>527833.26696100004</v>
      </c>
      <c r="FM19" s="51">
        <f t="shared" ref="FM19:FM28" si="129">+FL19*3.3058</f>
        <v>1744911.213919674</v>
      </c>
      <c r="FN19" s="53">
        <f t="shared" si="49"/>
        <v>514470.39944300003</v>
      </c>
      <c r="FO19" s="51">
        <f t="shared" ref="FO19:FO28" si="130">+FN19*3.3058</f>
        <v>1700736.2464786696</v>
      </c>
      <c r="FP19" s="53">
        <f t="shared" si="50"/>
        <v>501107.53192500002</v>
      </c>
      <c r="FQ19" s="51">
        <f t="shared" ref="FQ19:FQ28" si="131">+FP19*3.3058</f>
        <v>1656561.2790376651</v>
      </c>
      <c r="FR19" s="48">
        <f t="shared" si="51"/>
        <v>487744.664407</v>
      </c>
      <c r="FS19" s="51">
        <f t="shared" ref="FS19:FS28" si="132">+FR19*3.3058</f>
        <v>1612386.3115966606</v>
      </c>
      <c r="FT19" s="53">
        <f t="shared" si="52"/>
        <v>474381.79688899999</v>
      </c>
      <c r="FU19" s="51">
        <f t="shared" ref="FU19:FU28" si="133">+FT19*3.3058</f>
        <v>1568211.3441556562</v>
      </c>
      <c r="FV19" s="53">
        <f t="shared" si="53"/>
        <v>461018.92937099998</v>
      </c>
      <c r="FW19" s="51">
        <f t="shared" ref="FW19:FW28" si="134">+FV19*3.3058</f>
        <v>1524036.3767146517</v>
      </c>
      <c r="FX19" s="53">
        <f t="shared" si="54"/>
        <v>447656.06185299996</v>
      </c>
      <c r="FY19" s="51">
        <f t="shared" ref="FY19:FY28" si="135">+FX19*3.3058</f>
        <v>1479861.4092736472</v>
      </c>
      <c r="FZ19" s="53">
        <f t="shared" si="55"/>
        <v>434293.19433499995</v>
      </c>
      <c r="GA19" s="51">
        <f t="shared" ref="GA19:GA28" si="136">+FZ19*3.3058</f>
        <v>1435686.4418326428</v>
      </c>
      <c r="GB19" s="48">
        <f t="shared" si="56"/>
        <v>420930.32681699994</v>
      </c>
      <c r="GC19" s="51">
        <f t="shared" ref="GC19:GC28" si="137">+GB19*3.3058</f>
        <v>1391511.4743916383</v>
      </c>
      <c r="GD19" s="53">
        <f t="shared" si="57"/>
        <v>407567.45929899992</v>
      </c>
      <c r="GE19" s="51">
        <f t="shared" ref="GE19:GE28" si="138">+GD19*3.3058</f>
        <v>1347336.5069506341</v>
      </c>
      <c r="GF19" s="53">
        <f t="shared" si="58"/>
        <v>394204.59178099991</v>
      </c>
      <c r="GG19" s="51">
        <f t="shared" ref="GG19:GG28" si="139">+GF19*3.3058</f>
        <v>1303161.5395096296</v>
      </c>
      <c r="GH19" s="48">
        <f t="shared" si="59"/>
        <v>380841.72426299989</v>
      </c>
      <c r="GI19" s="51">
        <f t="shared" ref="GI19:GI28" si="140">+GH19*3.3058</f>
        <v>1258986.5720686251</v>
      </c>
      <c r="GJ19" s="48"/>
      <c r="GK19" s="48"/>
      <c r="GL19" s="48">
        <v>1</v>
      </c>
      <c r="GM19" s="48">
        <v>0.97</v>
      </c>
      <c r="GN19" s="48">
        <v>0.95</v>
      </c>
      <c r="GO19" s="48">
        <v>0.93</v>
      </c>
      <c r="GP19" s="48">
        <f t="shared" ref="GP19:HG19" si="141">+GO19-0.02</f>
        <v>0.91</v>
      </c>
      <c r="GQ19" s="48">
        <f t="shared" si="141"/>
        <v>0.89</v>
      </c>
      <c r="GR19" s="48">
        <f t="shared" si="141"/>
        <v>0.87</v>
      </c>
      <c r="GS19" s="48">
        <f t="shared" si="141"/>
        <v>0.85</v>
      </c>
      <c r="GT19" s="48">
        <f t="shared" si="141"/>
        <v>0.83</v>
      </c>
      <c r="GU19" s="48">
        <f t="shared" si="141"/>
        <v>0.80999999999999994</v>
      </c>
      <c r="GV19" s="48">
        <f t="shared" si="141"/>
        <v>0.78999999999999992</v>
      </c>
      <c r="GW19" s="48">
        <f t="shared" si="141"/>
        <v>0.76999999999999991</v>
      </c>
      <c r="GX19" s="48">
        <f t="shared" si="141"/>
        <v>0.74999999999999989</v>
      </c>
      <c r="GY19" s="48">
        <f t="shared" si="141"/>
        <v>0.72999999999999987</v>
      </c>
      <c r="GZ19" s="48">
        <f t="shared" si="141"/>
        <v>0.70999999999999985</v>
      </c>
      <c r="HA19" s="48">
        <f t="shared" si="141"/>
        <v>0.68999999999999984</v>
      </c>
      <c r="HB19" s="48">
        <f t="shared" si="141"/>
        <v>0.66999999999999982</v>
      </c>
      <c r="HC19" s="48">
        <f t="shared" si="141"/>
        <v>0.6499999999999998</v>
      </c>
      <c r="HD19" s="48">
        <f t="shared" si="141"/>
        <v>0.62999999999999978</v>
      </c>
      <c r="HE19" s="48">
        <f t="shared" si="141"/>
        <v>0.60999999999999976</v>
      </c>
      <c r="HF19" s="48">
        <f t="shared" si="141"/>
        <v>0.58999999999999975</v>
      </c>
      <c r="HG19" s="48">
        <f t="shared" si="141"/>
        <v>0.56999999999999973</v>
      </c>
    </row>
    <row r="20" spans="1:215" x14ac:dyDescent="0.3">
      <c r="B20" s="2">
        <v>3</v>
      </c>
      <c r="C20" s="35" t="s">
        <v>30</v>
      </c>
      <c r="D20" s="47">
        <f>+D60</f>
        <v>37570</v>
      </c>
      <c r="E20" s="69">
        <f t="shared" si="0"/>
        <v>124190</v>
      </c>
      <c r="G20" s="48">
        <f t="shared" si="61"/>
        <v>41327</v>
      </c>
      <c r="H20" s="48">
        <f t="shared" si="62"/>
        <v>41327</v>
      </c>
      <c r="I20" s="51">
        <f t="shared" si="63"/>
        <v>136618.7966</v>
      </c>
      <c r="J20" s="48">
        <f t="shared" si="64"/>
        <v>40087.19</v>
      </c>
      <c r="K20" s="51">
        <f t="shared" si="65"/>
        <v>132520.23270200001</v>
      </c>
      <c r="L20" s="48">
        <f t="shared" si="66"/>
        <v>39260.65</v>
      </c>
      <c r="M20" s="51">
        <f t="shared" si="67"/>
        <v>129787.85677000001</v>
      </c>
      <c r="N20" s="48">
        <f t="shared" si="1"/>
        <v>38434.11</v>
      </c>
      <c r="O20" s="51">
        <f t="shared" si="68"/>
        <v>127055.480838</v>
      </c>
      <c r="P20" s="52">
        <f t="shared" si="2"/>
        <v>37607.57</v>
      </c>
      <c r="Q20" s="51">
        <f t="shared" si="69"/>
        <v>124323.10490600001</v>
      </c>
      <c r="R20" s="48">
        <f t="shared" si="3"/>
        <v>36781.03</v>
      </c>
      <c r="S20" s="51">
        <f t="shared" si="70"/>
        <v>121590.728974</v>
      </c>
      <c r="T20" s="52">
        <f t="shared" si="4"/>
        <v>35954.49</v>
      </c>
      <c r="U20" s="51">
        <f t="shared" si="71"/>
        <v>118858.353042</v>
      </c>
      <c r="V20" s="53">
        <f t="shared" si="5"/>
        <v>35127.949999999997</v>
      </c>
      <c r="W20" s="51">
        <f t="shared" si="72"/>
        <v>116125.97710999999</v>
      </c>
      <c r="X20" s="52">
        <f t="shared" si="6"/>
        <v>34301.409999999996</v>
      </c>
      <c r="Y20" s="51">
        <f t="shared" si="73"/>
        <v>113393.601178</v>
      </c>
      <c r="Z20" s="48">
        <f t="shared" si="7"/>
        <v>33474.869999999995</v>
      </c>
      <c r="AA20" s="51">
        <f t="shared" si="74"/>
        <v>110661.22524599999</v>
      </c>
      <c r="AB20" s="53">
        <f t="shared" si="8"/>
        <v>32648.329999999998</v>
      </c>
      <c r="AC20" s="51">
        <f t="shared" si="75"/>
        <v>107928.84931399999</v>
      </c>
      <c r="AD20" s="53">
        <f t="shared" si="9"/>
        <v>31821.789999999997</v>
      </c>
      <c r="AE20" s="51">
        <f t="shared" si="76"/>
        <v>105196.473382</v>
      </c>
      <c r="AF20" s="53">
        <f t="shared" si="10"/>
        <v>30995.249999999996</v>
      </c>
      <c r="AG20" s="51">
        <f t="shared" si="77"/>
        <v>102464.09744999999</v>
      </c>
      <c r="AH20" s="48">
        <f t="shared" si="11"/>
        <v>30168.709999999995</v>
      </c>
      <c r="AI20" s="51">
        <f t="shared" si="78"/>
        <v>99731.721517999991</v>
      </c>
      <c r="AJ20" s="53">
        <f t="shared" si="12"/>
        <v>29342.169999999995</v>
      </c>
      <c r="AK20" s="51">
        <f t="shared" si="79"/>
        <v>96999.345585999981</v>
      </c>
      <c r="AL20" s="53">
        <f t="shared" si="13"/>
        <v>28515.629999999994</v>
      </c>
      <c r="AM20" s="51">
        <f t="shared" si="80"/>
        <v>94266.969653999986</v>
      </c>
      <c r="AN20" s="53">
        <f t="shared" si="14"/>
        <v>27689.089999999993</v>
      </c>
      <c r="AO20" s="51">
        <f t="shared" si="81"/>
        <v>91534.593721999976</v>
      </c>
      <c r="AP20" s="53">
        <f t="shared" si="15"/>
        <v>26862.549999999992</v>
      </c>
      <c r="AQ20" s="51">
        <f t="shared" si="82"/>
        <v>88802.217789999981</v>
      </c>
      <c r="AR20" s="48">
        <f t="shared" si="16"/>
        <v>26036.009999999991</v>
      </c>
      <c r="AS20" s="51">
        <f t="shared" si="83"/>
        <v>86069.841857999971</v>
      </c>
      <c r="AT20" s="53">
        <f t="shared" si="17"/>
        <v>25209.46999999999</v>
      </c>
      <c r="AU20" s="51">
        <f t="shared" si="84"/>
        <v>83337.465925999975</v>
      </c>
      <c r="AV20" s="53">
        <f t="shared" si="18"/>
        <v>24382.929999999989</v>
      </c>
      <c r="AW20" s="51">
        <f t="shared" si="85"/>
        <v>80605.089993999965</v>
      </c>
      <c r="AX20" s="48">
        <f t="shared" si="19"/>
        <v>23556.389999999989</v>
      </c>
      <c r="AY20" s="51">
        <f t="shared" si="86"/>
        <v>77872.71406199997</v>
      </c>
      <c r="BB20" s="48">
        <v>1</v>
      </c>
      <c r="BC20" s="48">
        <v>0.97</v>
      </c>
      <c r="BD20" s="48">
        <v>0.95</v>
      </c>
      <c r="BE20" s="48">
        <v>0.93</v>
      </c>
      <c r="BF20" s="48">
        <f t="shared" ref="BF20:BW20" si="142">+BE20-0.02</f>
        <v>0.91</v>
      </c>
      <c r="BG20" s="48">
        <f t="shared" si="142"/>
        <v>0.89</v>
      </c>
      <c r="BH20" s="48">
        <f t="shared" si="142"/>
        <v>0.87</v>
      </c>
      <c r="BI20" s="48">
        <f t="shared" si="142"/>
        <v>0.85</v>
      </c>
      <c r="BJ20" s="48">
        <f t="shared" si="142"/>
        <v>0.83</v>
      </c>
      <c r="BK20" s="48">
        <f t="shared" si="142"/>
        <v>0.80999999999999994</v>
      </c>
      <c r="BL20" s="48">
        <f t="shared" si="142"/>
        <v>0.78999999999999992</v>
      </c>
      <c r="BM20" s="48">
        <f t="shared" si="142"/>
        <v>0.76999999999999991</v>
      </c>
      <c r="BN20" s="48">
        <f t="shared" si="142"/>
        <v>0.74999999999999989</v>
      </c>
      <c r="BO20" s="48">
        <f t="shared" si="142"/>
        <v>0.72999999999999987</v>
      </c>
      <c r="BP20" s="48">
        <f t="shared" si="142"/>
        <v>0.70999999999999985</v>
      </c>
      <c r="BQ20" s="48">
        <f t="shared" si="142"/>
        <v>0.68999999999999984</v>
      </c>
      <c r="BR20" s="48">
        <f t="shared" si="142"/>
        <v>0.66999999999999982</v>
      </c>
      <c r="BS20" s="48">
        <f t="shared" si="142"/>
        <v>0.6499999999999998</v>
      </c>
      <c r="BT20" s="48">
        <f t="shared" si="142"/>
        <v>0.62999999999999978</v>
      </c>
      <c r="BU20" s="48">
        <f t="shared" si="142"/>
        <v>0.60999999999999976</v>
      </c>
      <c r="BV20" s="48">
        <f t="shared" si="142"/>
        <v>0.58999999999999975</v>
      </c>
      <c r="BW20" s="48">
        <f t="shared" si="142"/>
        <v>0.56999999999999973</v>
      </c>
      <c r="BY20" s="48">
        <f t="shared" si="88"/>
        <v>37607.57</v>
      </c>
      <c r="BZ20" s="48">
        <f t="shared" si="89"/>
        <v>37607.57</v>
      </c>
      <c r="CA20" s="51">
        <f t="shared" ref="CA20" si="143">+BZ20*3.3058</f>
        <v>124323.10490600001</v>
      </c>
      <c r="CB20" s="48">
        <f t="shared" si="91"/>
        <v>36479.342899999996</v>
      </c>
      <c r="CC20" s="51">
        <f t="shared" si="92"/>
        <v>120593.41175881999</v>
      </c>
      <c r="CD20" s="48">
        <f t="shared" si="93"/>
        <v>35727.191500000001</v>
      </c>
      <c r="CE20" s="51">
        <f t="shared" si="94"/>
        <v>118106.9496607</v>
      </c>
      <c r="CF20" s="48">
        <f t="shared" si="21"/>
        <v>34975.040099999998</v>
      </c>
      <c r="CG20" s="51">
        <f t="shared" si="95"/>
        <v>115620.48756257999</v>
      </c>
      <c r="CH20" s="52">
        <f t="shared" si="22"/>
        <v>34222.888700000003</v>
      </c>
      <c r="CI20" s="51">
        <f t="shared" si="96"/>
        <v>113134.02546446001</v>
      </c>
      <c r="CJ20" s="48">
        <f t="shared" si="23"/>
        <v>33470.737300000001</v>
      </c>
      <c r="CK20" s="51">
        <f t="shared" si="97"/>
        <v>110647.56336634001</v>
      </c>
      <c r="CL20" s="52">
        <f t="shared" si="24"/>
        <v>32718.585899999998</v>
      </c>
      <c r="CM20" s="51">
        <f t="shared" si="98"/>
        <v>108161.10126821999</v>
      </c>
      <c r="CN20" s="53">
        <f t="shared" si="25"/>
        <v>31966.434499999999</v>
      </c>
      <c r="CO20" s="51">
        <f t="shared" si="99"/>
        <v>105674.6391701</v>
      </c>
      <c r="CP20" s="52">
        <f t="shared" si="26"/>
        <v>31214.283099999997</v>
      </c>
      <c r="CQ20" s="51">
        <f t="shared" si="100"/>
        <v>103188.17707198</v>
      </c>
      <c r="CR20" s="48">
        <f t="shared" si="27"/>
        <v>30462.131699999998</v>
      </c>
      <c r="CS20" s="51">
        <f t="shared" si="101"/>
        <v>100701.71497386</v>
      </c>
      <c r="CT20" s="53">
        <f t="shared" si="28"/>
        <v>29709.980299999996</v>
      </c>
      <c r="CU20" s="51">
        <f t="shared" si="102"/>
        <v>98215.252875739985</v>
      </c>
      <c r="CV20" s="53">
        <f t="shared" si="29"/>
        <v>28957.828899999997</v>
      </c>
      <c r="CW20" s="51">
        <f t="shared" si="103"/>
        <v>95728.790777619986</v>
      </c>
      <c r="CX20" s="53">
        <f t="shared" si="30"/>
        <v>28205.677499999994</v>
      </c>
      <c r="CY20" s="51">
        <f t="shared" si="104"/>
        <v>93242.328679499988</v>
      </c>
      <c r="CZ20" s="48">
        <f t="shared" si="31"/>
        <v>27453.526099999995</v>
      </c>
      <c r="DA20" s="51">
        <f t="shared" si="105"/>
        <v>90755.866581379989</v>
      </c>
      <c r="DB20" s="53">
        <f t="shared" si="32"/>
        <v>26701.374699999993</v>
      </c>
      <c r="DC20" s="51">
        <f t="shared" si="106"/>
        <v>88269.404483259976</v>
      </c>
      <c r="DD20" s="53">
        <f t="shared" si="33"/>
        <v>25949.223299999994</v>
      </c>
      <c r="DE20" s="51">
        <f t="shared" si="107"/>
        <v>85782.942385139977</v>
      </c>
      <c r="DF20" s="53">
        <f t="shared" si="34"/>
        <v>25197.071899999992</v>
      </c>
      <c r="DG20" s="51">
        <f t="shared" si="108"/>
        <v>83296.480287019978</v>
      </c>
      <c r="DH20" s="53">
        <f t="shared" si="35"/>
        <v>24444.920499999993</v>
      </c>
      <c r="DI20" s="51">
        <f t="shared" si="109"/>
        <v>80810.01818889998</v>
      </c>
      <c r="DJ20" s="48">
        <f t="shared" si="36"/>
        <v>23692.76909999999</v>
      </c>
      <c r="DK20" s="51">
        <f t="shared" si="110"/>
        <v>78323.556090779966</v>
      </c>
      <c r="DL20" s="53">
        <f t="shared" si="37"/>
        <v>22940.617699999992</v>
      </c>
      <c r="DM20" s="51">
        <f t="shared" si="111"/>
        <v>75837.093992659968</v>
      </c>
      <c r="DN20" s="53">
        <f t="shared" si="38"/>
        <v>22188.466299999989</v>
      </c>
      <c r="DO20" s="51">
        <f t="shared" si="112"/>
        <v>73350.631894539969</v>
      </c>
      <c r="DP20" s="48">
        <f t="shared" si="39"/>
        <v>21436.31489999999</v>
      </c>
      <c r="DQ20" s="51">
        <f t="shared" si="113"/>
        <v>70864.16979641997</v>
      </c>
      <c r="DT20" s="48">
        <v>1</v>
      </c>
      <c r="DU20" s="48">
        <v>0.97</v>
      </c>
      <c r="DV20" s="48">
        <v>0.95</v>
      </c>
      <c r="DW20" s="48">
        <v>0.93</v>
      </c>
      <c r="DX20" s="48">
        <f t="shared" ref="DX20:EO20" si="144">+DW20-0.02</f>
        <v>0.91</v>
      </c>
      <c r="DY20" s="48">
        <f t="shared" si="144"/>
        <v>0.89</v>
      </c>
      <c r="DZ20" s="48">
        <f t="shared" si="144"/>
        <v>0.87</v>
      </c>
      <c r="EA20" s="48">
        <f t="shared" si="144"/>
        <v>0.85</v>
      </c>
      <c r="EB20" s="48">
        <f t="shared" si="144"/>
        <v>0.83</v>
      </c>
      <c r="EC20" s="48">
        <f t="shared" si="144"/>
        <v>0.80999999999999994</v>
      </c>
      <c r="ED20" s="48">
        <f t="shared" si="144"/>
        <v>0.78999999999999992</v>
      </c>
      <c r="EE20" s="48">
        <f t="shared" si="144"/>
        <v>0.76999999999999991</v>
      </c>
      <c r="EF20" s="48">
        <f t="shared" si="144"/>
        <v>0.74999999999999989</v>
      </c>
      <c r="EG20" s="48">
        <f t="shared" si="144"/>
        <v>0.72999999999999987</v>
      </c>
      <c r="EH20" s="48">
        <f t="shared" si="144"/>
        <v>0.70999999999999985</v>
      </c>
      <c r="EI20" s="48">
        <f t="shared" si="144"/>
        <v>0.68999999999999984</v>
      </c>
      <c r="EJ20" s="48">
        <f t="shared" si="144"/>
        <v>0.66999999999999982</v>
      </c>
      <c r="EK20" s="48">
        <f t="shared" si="144"/>
        <v>0.6499999999999998</v>
      </c>
      <c r="EL20" s="48">
        <f t="shared" si="144"/>
        <v>0.62999999999999978</v>
      </c>
      <c r="EM20" s="48">
        <f t="shared" si="144"/>
        <v>0.60999999999999976</v>
      </c>
      <c r="EN20" s="48">
        <f t="shared" si="144"/>
        <v>0.58999999999999975</v>
      </c>
      <c r="EO20" s="48">
        <f t="shared" si="144"/>
        <v>0.56999999999999973</v>
      </c>
      <c r="EQ20" s="48">
        <f t="shared" si="115"/>
        <v>34222.888700000003</v>
      </c>
      <c r="ER20" s="48">
        <f t="shared" si="116"/>
        <v>34222.888700000003</v>
      </c>
      <c r="ES20" s="51">
        <f t="shared" ref="ES20" si="145">+ER20*3.3058</f>
        <v>113134.02546446001</v>
      </c>
      <c r="ET20" s="48">
        <f t="shared" si="118"/>
        <v>33196.202039000003</v>
      </c>
      <c r="EU20" s="51">
        <f t="shared" si="119"/>
        <v>109740.00470052622</v>
      </c>
      <c r="EV20" s="48">
        <f t="shared" si="120"/>
        <v>32511.744265000001</v>
      </c>
      <c r="EW20" s="51">
        <f t="shared" si="121"/>
        <v>107477.324191237</v>
      </c>
      <c r="EX20" s="48">
        <f t="shared" si="41"/>
        <v>31827.286491000006</v>
      </c>
      <c r="EY20" s="51">
        <f t="shared" si="122"/>
        <v>105214.64368194783</v>
      </c>
      <c r="EZ20" s="52">
        <f t="shared" si="42"/>
        <v>31142.828717000004</v>
      </c>
      <c r="FA20" s="51">
        <f t="shared" si="123"/>
        <v>102951.96317265861</v>
      </c>
      <c r="FB20" s="48">
        <f t="shared" si="43"/>
        <v>30458.370943000002</v>
      </c>
      <c r="FC20" s="51">
        <f t="shared" si="124"/>
        <v>100689.28266336941</v>
      </c>
      <c r="FD20" s="52">
        <f t="shared" si="44"/>
        <v>29773.913169000003</v>
      </c>
      <c r="FE20" s="51">
        <f t="shared" si="125"/>
        <v>98426.602154080218</v>
      </c>
      <c r="FF20" s="53">
        <f t="shared" si="45"/>
        <v>29089.455395000001</v>
      </c>
      <c r="FG20" s="51">
        <f t="shared" si="126"/>
        <v>96163.921644791</v>
      </c>
      <c r="FH20" s="52">
        <f t="shared" si="46"/>
        <v>28404.997621000002</v>
      </c>
      <c r="FI20" s="51">
        <f t="shared" si="127"/>
        <v>93901.241135501812</v>
      </c>
      <c r="FJ20" s="48">
        <f t="shared" si="47"/>
        <v>27720.539847</v>
      </c>
      <c r="FK20" s="51">
        <f t="shared" si="128"/>
        <v>91638.560626212595</v>
      </c>
      <c r="FL20" s="53">
        <f t="shared" si="48"/>
        <v>27036.082073000001</v>
      </c>
      <c r="FM20" s="51">
        <f t="shared" si="129"/>
        <v>89375.880116923407</v>
      </c>
      <c r="FN20" s="53">
        <f t="shared" si="49"/>
        <v>26351.624298999999</v>
      </c>
      <c r="FO20" s="51">
        <f t="shared" si="130"/>
        <v>87113.199607634204</v>
      </c>
      <c r="FP20" s="53">
        <f t="shared" si="50"/>
        <v>25667.166524999997</v>
      </c>
      <c r="FQ20" s="51">
        <f t="shared" si="131"/>
        <v>84850.519098344987</v>
      </c>
      <c r="FR20" s="48">
        <f t="shared" si="51"/>
        <v>24982.708750999998</v>
      </c>
      <c r="FS20" s="51">
        <f t="shared" si="132"/>
        <v>82587.838589055798</v>
      </c>
      <c r="FT20" s="53">
        <f t="shared" si="52"/>
        <v>24298.250976999996</v>
      </c>
      <c r="FU20" s="51">
        <f t="shared" si="133"/>
        <v>80325.158079766596</v>
      </c>
      <c r="FV20" s="53">
        <f t="shared" si="53"/>
        <v>23613.793202999997</v>
      </c>
      <c r="FW20" s="51">
        <f t="shared" si="134"/>
        <v>78062.477570477393</v>
      </c>
      <c r="FX20" s="53">
        <f t="shared" si="54"/>
        <v>22929.335428999995</v>
      </c>
      <c r="FY20" s="51">
        <f t="shared" si="135"/>
        <v>75799.79706118819</v>
      </c>
      <c r="FZ20" s="53">
        <f t="shared" si="55"/>
        <v>22244.877654999997</v>
      </c>
      <c r="GA20" s="51">
        <f t="shared" si="136"/>
        <v>73537.116551898987</v>
      </c>
      <c r="GB20" s="48">
        <f t="shared" si="56"/>
        <v>21560.419880999994</v>
      </c>
      <c r="GC20" s="51">
        <f t="shared" si="137"/>
        <v>71274.436042609785</v>
      </c>
      <c r="GD20" s="53">
        <f t="shared" si="57"/>
        <v>20875.962106999992</v>
      </c>
      <c r="GE20" s="51">
        <f t="shared" si="138"/>
        <v>69011.755533320582</v>
      </c>
      <c r="GF20" s="53">
        <f t="shared" si="58"/>
        <v>20191.504332999993</v>
      </c>
      <c r="GG20" s="51">
        <f t="shared" si="139"/>
        <v>66749.075024031379</v>
      </c>
      <c r="GH20" s="48">
        <f t="shared" si="59"/>
        <v>19507.046558999991</v>
      </c>
      <c r="GI20" s="51">
        <f t="shared" si="140"/>
        <v>64486.394514742169</v>
      </c>
      <c r="GJ20" s="48"/>
      <c r="GK20" s="48"/>
      <c r="GL20" s="48">
        <v>1</v>
      </c>
      <c r="GM20" s="48">
        <v>0.97</v>
      </c>
      <c r="GN20" s="48">
        <v>0.95</v>
      </c>
      <c r="GO20" s="48">
        <v>0.93</v>
      </c>
      <c r="GP20" s="48">
        <f t="shared" ref="GP20:HG20" si="146">+GO20-0.02</f>
        <v>0.91</v>
      </c>
      <c r="GQ20" s="48">
        <f t="shared" si="146"/>
        <v>0.89</v>
      </c>
      <c r="GR20" s="48">
        <f t="shared" si="146"/>
        <v>0.87</v>
      </c>
      <c r="GS20" s="48">
        <f t="shared" si="146"/>
        <v>0.85</v>
      </c>
      <c r="GT20" s="48">
        <f t="shared" si="146"/>
        <v>0.83</v>
      </c>
      <c r="GU20" s="48">
        <f t="shared" si="146"/>
        <v>0.80999999999999994</v>
      </c>
      <c r="GV20" s="48">
        <f t="shared" si="146"/>
        <v>0.78999999999999992</v>
      </c>
      <c r="GW20" s="48">
        <f t="shared" si="146"/>
        <v>0.76999999999999991</v>
      </c>
      <c r="GX20" s="48">
        <f t="shared" si="146"/>
        <v>0.74999999999999989</v>
      </c>
      <c r="GY20" s="48">
        <f t="shared" si="146"/>
        <v>0.72999999999999987</v>
      </c>
      <c r="GZ20" s="48">
        <f t="shared" si="146"/>
        <v>0.70999999999999985</v>
      </c>
      <c r="HA20" s="48">
        <f t="shared" si="146"/>
        <v>0.68999999999999984</v>
      </c>
      <c r="HB20" s="48">
        <f t="shared" si="146"/>
        <v>0.66999999999999982</v>
      </c>
      <c r="HC20" s="48">
        <f t="shared" si="146"/>
        <v>0.6499999999999998</v>
      </c>
      <c r="HD20" s="48">
        <f t="shared" si="146"/>
        <v>0.62999999999999978</v>
      </c>
      <c r="HE20" s="48">
        <f t="shared" si="146"/>
        <v>0.60999999999999976</v>
      </c>
      <c r="HF20" s="48">
        <f t="shared" si="146"/>
        <v>0.58999999999999975</v>
      </c>
      <c r="HG20" s="48">
        <f t="shared" si="146"/>
        <v>0.56999999999999973</v>
      </c>
    </row>
    <row r="21" spans="1:215" x14ac:dyDescent="0.3">
      <c r="B21" s="2">
        <v>4</v>
      </c>
      <c r="C21" s="35" t="s">
        <v>31</v>
      </c>
      <c r="D21" s="47">
        <f>+D89</f>
        <v>329550</v>
      </c>
      <c r="E21" s="69">
        <f t="shared" si="0"/>
        <v>1089420</v>
      </c>
      <c r="G21" s="48">
        <f t="shared" si="61"/>
        <v>362505.00000000006</v>
      </c>
      <c r="H21" s="48">
        <f t="shared" si="62"/>
        <v>362505.00000000006</v>
      </c>
      <c r="I21" s="51">
        <f t="shared" si="63"/>
        <v>1198369.0290000003</v>
      </c>
      <c r="J21" s="48">
        <f t="shared" si="64"/>
        <v>351629.85000000003</v>
      </c>
      <c r="K21" s="51">
        <f t="shared" si="65"/>
        <v>1162417.9581300002</v>
      </c>
      <c r="L21" s="48">
        <f t="shared" si="66"/>
        <v>344379.75000000006</v>
      </c>
      <c r="M21" s="51">
        <f t="shared" si="67"/>
        <v>1138450.5775500003</v>
      </c>
      <c r="N21" s="48">
        <f t="shared" si="1"/>
        <v>337129.65000000008</v>
      </c>
      <c r="O21" s="51">
        <f t="shared" si="68"/>
        <v>1114483.1969700004</v>
      </c>
      <c r="P21" s="52">
        <f t="shared" si="2"/>
        <v>329879.55000000005</v>
      </c>
      <c r="Q21" s="51">
        <f t="shared" si="69"/>
        <v>1090515.8163900003</v>
      </c>
      <c r="R21" s="48">
        <f t="shared" si="3"/>
        <v>322629.45000000007</v>
      </c>
      <c r="S21" s="51">
        <f t="shared" si="70"/>
        <v>1066548.4358100002</v>
      </c>
      <c r="T21" s="52">
        <f t="shared" si="4"/>
        <v>315379.35000000003</v>
      </c>
      <c r="U21" s="51">
        <f t="shared" si="71"/>
        <v>1042581.0552300002</v>
      </c>
      <c r="V21" s="53">
        <f t="shared" si="5"/>
        <v>308129.25000000006</v>
      </c>
      <c r="W21" s="51">
        <f t="shared" si="72"/>
        <v>1018613.6746500002</v>
      </c>
      <c r="X21" s="52">
        <f t="shared" si="6"/>
        <v>300879.15000000002</v>
      </c>
      <c r="Y21" s="51">
        <f t="shared" si="73"/>
        <v>994646.29407000006</v>
      </c>
      <c r="Z21" s="48">
        <f t="shared" si="7"/>
        <v>293629.05000000005</v>
      </c>
      <c r="AA21" s="51">
        <f t="shared" si="74"/>
        <v>970678.91349000018</v>
      </c>
      <c r="AB21" s="53">
        <f t="shared" si="8"/>
        <v>286378.95</v>
      </c>
      <c r="AC21" s="51">
        <f t="shared" si="75"/>
        <v>946711.53291000007</v>
      </c>
      <c r="AD21" s="53">
        <f t="shared" si="9"/>
        <v>279128.85000000003</v>
      </c>
      <c r="AE21" s="51">
        <f t="shared" si="76"/>
        <v>922744.15233000019</v>
      </c>
      <c r="AF21" s="53">
        <f t="shared" si="10"/>
        <v>271878.75</v>
      </c>
      <c r="AG21" s="51">
        <f t="shared" si="77"/>
        <v>898776.77175000007</v>
      </c>
      <c r="AH21" s="48">
        <f t="shared" si="11"/>
        <v>264628.65000000002</v>
      </c>
      <c r="AI21" s="51">
        <f t="shared" si="78"/>
        <v>874809.39117000008</v>
      </c>
      <c r="AJ21" s="53">
        <f t="shared" si="12"/>
        <v>257378.55</v>
      </c>
      <c r="AK21" s="51">
        <f t="shared" si="79"/>
        <v>850842.01058999996</v>
      </c>
      <c r="AL21" s="53">
        <f t="shared" si="13"/>
        <v>250128.44999999998</v>
      </c>
      <c r="AM21" s="51">
        <f t="shared" si="80"/>
        <v>826874.63000999996</v>
      </c>
      <c r="AN21" s="53">
        <f t="shared" si="14"/>
        <v>242878.34999999998</v>
      </c>
      <c r="AO21" s="51">
        <f t="shared" si="81"/>
        <v>802907.24942999997</v>
      </c>
      <c r="AP21" s="53">
        <f t="shared" si="15"/>
        <v>235628.24999999997</v>
      </c>
      <c r="AQ21" s="51">
        <f t="shared" si="82"/>
        <v>778939.86884999997</v>
      </c>
      <c r="AR21" s="48">
        <f t="shared" si="16"/>
        <v>228378.14999999997</v>
      </c>
      <c r="AS21" s="51">
        <f t="shared" si="83"/>
        <v>754972.48826999986</v>
      </c>
      <c r="AT21" s="53">
        <f t="shared" si="17"/>
        <v>221128.04999999996</v>
      </c>
      <c r="AU21" s="51">
        <f t="shared" si="84"/>
        <v>731005.10768999986</v>
      </c>
      <c r="AV21" s="53">
        <f t="shared" si="18"/>
        <v>213877.94999999995</v>
      </c>
      <c r="AW21" s="51">
        <f t="shared" si="85"/>
        <v>707037.72710999986</v>
      </c>
      <c r="AX21" s="48">
        <f t="shared" si="19"/>
        <v>206627.84999999995</v>
      </c>
      <c r="AY21" s="51">
        <f t="shared" si="86"/>
        <v>683070.34652999986</v>
      </c>
      <c r="BB21" s="48">
        <v>1</v>
      </c>
      <c r="BC21" s="48">
        <v>0.97</v>
      </c>
      <c r="BD21" s="48">
        <v>0.95</v>
      </c>
      <c r="BE21" s="48">
        <v>0.93</v>
      </c>
      <c r="BF21" s="48">
        <f t="shared" ref="BF21:BW21" si="147">+BE21-0.02</f>
        <v>0.91</v>
      </c>
      <c r="BG21" s="48">
        <f t="shared" si="147"/>
        <v>0.89</v>
      </c>
      <c r="BH21" s="48">
        <f t="shared" si="147"/>
        <v>0.87</v>
      </c>
      <c r="BI21" s="48">
        <f t="shared" si="147"/>
        <v>0.85</v>
      </c>
      <c r="BJ21" s="48">
        <f t="shared" si="147"/>
        <v>0.83</v>
      </c>
      <c r="BK21" s="48">
        <f t="shared" si="147"/>
        <v>0.80999999999999994</v>
      </c>
      <c r="BL21" s="48">
        <f t="shared" si="147"/>
        <v>0.78999999999999992</v>
      </c>
      <c r="BM21" s="48">
        <f t="shared" si="147"/>
        <v>0.76999999999999991</v>
      </c>
      <c r="BN21" s="48">
        <f t="shared" si="147"/>
        <v>0.74999999999999989</v>
      </c>
      <c r="BO21" s="48">
        <f t="shared" si="147"/>
        <v>0.72999999999999987</v>
      </c>
      <c r="BP21" s="48">
        <f t="shared" si="147"/>
        <v>0.70999999999999985</v>
      </c>
      <c r="BQ21" s="48">
        <f t="shared" si="147"/>
        <v>0.68999999999999984</v>
      </c>
      <c r="BR21" s="48">
        <f t="shared" si="147"/>
        <v>0.66999999999999982</v>
      </c>
      <c r="BS21" s="48">
        <f t="shared" si="147"/>
        <v>0.6499999999999998</v>
      </c>
      <c r="BT21" s="48">
        <f t="shared" si="147"/>
        <v>0.62999999999999978</v>
      </c>
      <c r="BU21" s="48">
        <f t="shared" si="147"/>
        <v>0.60999999999999976</v>
      </c>
      <c r="BV21" s="48">
        <f t="shared" si="147"/>
        <v>0.58999999999999975</v>
      </c>
      <c r="BW21" s="48">
        <f t="shared" si="147"/>
        <v>0.56999999999999973</v>
      </c>
      <c r="BY21" s="48">
        <f t="shared" si="88"/>
        <v>329879.55000000005</v>
      </c>
      <c r="BZ21" s="48">
        <f t="shared" si="89"/>
        <v>329879.55000000005</v>
      </c>
      <c r="CA21" s="51">
        <f t="shared" ref="CA21" si="148">+BZ21*3.3058</f>
        <v>1090515.8163900003</v>
      </c>
      <c r="CB21" s="48">
        <f t="shared" si="91"/>
        <v>319983.16350000002</v>
      </c>
      <c r="CC21" s="51">
        <f t="shared" si="92"/>
        <v>1057800.3418983002</v>
      </c>
      <c r="CD21" s="48">
        <f t="shared" si="93"/>
        <v>313385.57250000001</v>
      </c>
      <c r="CE21" s="51">
        <f t="shared" si="94"/>
        <v>1035990.0255705001</v>
      </c>
      <c r="CF21" s="48">
        <f t="shared" si="21"/>
        <v>306787.98150000005</v>
      </c>
      <c r="CG21" s="51">
        <f t="shared" si="95"/>
        <v>1014179.7092427002</v>
      </c>
      <c r="CH21" s="52">
        <f t="shared" si="22"/>
        <v>300190.39050000004</v>
      </c>
      <c r="CI21" s="51">
        <f t="shared" si="96"/>
        <v>992369.39291490009</v>
      </c>
      <c r="CJ21" s="48">
        <f t="shared" si="23"/>
        <v>293592.79950000002</v>
      </c>
      <c r="CK21" s="51">
        <f t="shared" si="97"/>
        <v>970559.07658710005</v>
      </c>
      <c r="CL21" s="52">
        <f t="shared" si="24"/>
        <v>286995.20850000007</v>
      </c>
      <c r="CM21" s="51">
        <f t="shared" si="98"/>
        <v>948748.76025930024</v>
      </c>
      <c r="CN21" s="53">
        <f t="shared" si="25"/>
        <v>280397.61750000005</v>
      </c>
      <c r="CO21" s="51">
        <f t="shared" si="99"/>
        <v>926938.44393150019</v>
      </c>
      <c r="CP21" s="52">
        <f t="shared" si="26"/>
        <v>273800.02650000004</v>
      </c>
      <c r="CQ21" s="51">
        <f t="shared" si="100"/>
        <v>905128.12760370015</v>
      </c>
      <c r="CR21" s="48">
        <f t="shared" si="27"/>
        <v>267202.43550000002</v>
      </c>
      <c r="CS21" s="51">
        <f t="shared" si="101"/>
        <v>883317.81127590011</v>
      </c>
      <c r="CT21" s="53">
        <f t="shared" si="28"/>
        <v>260604.84450000001</v>
      </c>
      <c r="CU21" s="51">
        <f t="shared" si="102"/>
        <v>861507.49494810007</v>
      </c>
      <c r="CV21" s="53">
        <f t="shared" si="29"/>
        <v>254007.25349999999</v>
      </c>
      <c r="CW21" s="51">
        <f t="shared" si="103"/>
        <v>839697.17862030002</v>
      </c>
      <c r="CX21" s="53">
        <f t="shared" si="30"/>
        <v>247409.66250000001</v>
      </c>
      <c r="CY21" s="51">
        <f t="shared" si="104"/>
        <v>817886.86229249998</v>
      </c>
      <c r="CZ21" s="48">
        <f t="shared" si="31"/>
        <v>240812.07149999999</v>
      </c>
      <c r="DA21" s="51">
        <f t="shared" si="105"/>
        <v>796076.54596469994</v>
      </c>
      <c r="DB21" s="53">
        <f t="shared" si="32"/>
        <v>234214.48049999998</v>
      </c>
      <c r="DC21" s="51">
        <f t="shared" si="106"/>
        <v>774266.22963689989</v>
      </c>
      <c r="DD21" s="53">
        <f t="shared" si="33"/>
        <v>227616.88949999999</v>
      </c>
      <c r="DE21" s="51">
        <f t="shared" si="107"/>
        <v>752455.91330909997</v>
      </c>
      <c r="DF21" s="53">
        <f t="shared" si="34"/>
        <v>221019.29849999998</v>
      </c>
      <c r="DG21" s="51">
        <f t="shared" si="108"/>
        <v>730645.59698129992</v>
      </c>
      <c r="DH21" s="53">
        <f t="shared" si="35"/>
        <v>214421.70749999996</v>
      </c>
      <c r="DI21" s="51">
        <f t="shared" si="109"/>
        <v>708835.28065349988</v>
      </c>
      <c r="DJ21" s="48">
        <f t="shared" si="36"/>
        <v>207824.11649999995</v>
      </c>
      <c r="DK21" s="51">
        <f t="shared" si="110"/>
        <v>687024.96432569984</v>
      </c>
      <c r="DL21" s="53">
        <f t="shared" si="37"/>
        <v>201226.52549999996</v>
      </c>
      <c r="DM21" s="51">
        <f t="shared" si="111"/>
        <v>665214.64799789991</v>
      </c>
      <c r="DN21" s="53">
        <f t="shared" si="38"/>
        <v>194628.93449999994</v>
      </c>
      <c r="DO21" s="51">
        <f t="shared" si="112"/>
        <v>643404.33167009987</v>
      </c>
      <c r="DP21" s="48">
        <f t="shared" si="39"/>
        <v>188031.34349999993</v>
      </c>
      <c r="DQ21" s="51">
        <f t="shared" si="113"/>
        <v>621594.01534229983</v>
      </c>
      <c r="DT21" s="48">
        <v>1</v>
      </c>
      <c r="DU21" s="48">
        <v>0.97</v>
      </c>
      <c r="DV21" s="48">
        <v>0.95</v>
      </c>
      <c r="DW21" s="48">
        <v>0.93</v>
      </c>
      <c r="DX21" s="48">
        <f t="shared" ref="DX21:EO21" si="149">+DW21-0.02</f>
        <v>0.91</v>
      </c>
      <c r="DY21" s="48">
        <f t="shared" si="149"/>
        <v>0.89</v>
      </c>
      <c r="DZ21" s="48">
        <f t="shared" si="149"/>
        <v>0.87</v>
      </c>
      <c r="EA21" s="48">
        <f t="shared" si="149"/>
        <v>0.85</v>
      </c>
      <c r="EB21" s="48">
        <f t="shared" si="149"/>
        <v>0.83</v>
      </c>
      <c r="EC21" s="48">
        <f t="shared" si="149"/>
        <v>0.80999999999999994</v>
      </c>
      <c r="ED21" s="48">
        <f t="shared" si="149"/>
        <v>0.78999999999999992</v>
      </c>
      <c r="EE21" s="48">
        <f t="shared" si="149"/>
        <v>0.76999999999999991</v>
      </c>
      <c r="EF21" s="48">
        <f t="shared" si="149"/>
        <v>0.74999999999999989</v>
      </c>
      <c r="EG21" s="48">
        <f t="shared" si="149"/>
        <v>0.72999999999999987</v>
      </c>
      <c r="EH21" s="48">
        <f t="shared" si="149"/>
        <v>0.70999999999999985</v>
      </c>
      <c r="EI21" s="48">
        <f t="shared" si="149"/>
        <v>0.68999999999999984</v>
      </c>
      <c r="EJ21" s="48">
        <f t="shared" si="149"/>
        <v>0.66999999999999982</v>
      </c>
      <c r="EK21" s="48">
        <f t="shared" si="149"/>
        <v>0.6499999999999998</v>
      </c>
      <c r="EL21" s="48">
        <f t="shared" si="149"/>
        <v>0.62999999999999978</v>
      </c>
      <c r="EM21" s="48">
        <f t="shared" si="149"/>
        <v>0.60999999999999976</v>
      </c>
      <c r="EN21" s="48">
        <f t="shared" si="149"/>
        <v>0.58999999999999975</v>
      </c>
      <c r="EO21" s="48">
        <f t="shared" si="149"/>
        <v>0.56999999999999973</v>
      </c>
      <c r="EQ21" s="48">
        <f t="shared" si="115"/>
        <v>300190.39050000004</v>
      </c>
      <c r="ER21" s="48">
        <f t="shared" si="116"/>
        <v>300190.39050000004</v>
      </c>
      <c r="ES21" s="51">
        <f t="shared" ref="ES21" si="150">+ER21*3.3058</f>
        <v>992369.39291490009</v>
      </c>
      <c r="ET21" s="48">
        <f t="shared" si="118"/>
        <v>291184.67878500005</v>
      </c>
      <c r="EU21" s="51">
        <f t="shared" si="119"/>
        <v>962598.31112745323</v>
      </c>
      <c r="EV21" s="48">
        <f t="shared" si="120"/>
        <v>285180.87097500003</v>
      </c>
      <c r="EW21" s="51">
        <f t="shared" si="121"/>
        <v>942750.92326915509</v>
      </c>
      <c r="EX21" s="48">
        <f t="shared" si="41"/>
        <v>279177.06316500006</v>
      </c>
      <c r="EY21" s="51">
        <f t="shared" si="122"/>
        <v>922903.53541085718</v>
      </c>
      <c r="EZ21" s="52">
        <f t="shared" si="42"/>
        <v>273173.25535500003</v>
      </c>
      <c r="FA21" s="51">
        <f t="shared" si="123"/>
        <v>903056.14755255915</v>
      </c>
      <c r="FB21" s="48">
        <f t="shared" si="43"/>
        <v>267169.44754500006</v>
      </c>
      <c r="FC21" s="51">
        <f t="shared" si="124"/>
        <v>883208.75969426124</v>
      </c>
      <c r="FD21" s="52">
        <f t="shared" si="44"/>
        <v>261165.63973500003</v>
      </c>
      <c r="FE21" s="51">
        <f t="shared" si="125"/>
        <v>863361.3718359631</v>
      </c>
      <c r="FF21" s="53">
        <f t="shared" si="45"/>
        <v>255161.83192500003</v>
      </c>
      <c r="FG21" s="51">
        <f t="shared" si="126"/>
        <v>843513.98397766508</v>
      </c>
      <c r="FH21" s="52">
        <f t="shared" si="46"/>
        <v>249158.02411500001</v>
      </c>
      <c r="FI21" s="51">
        <f t="shared" si="127"/>
        <v>823666.59611936705</v>
      </c>
      <c r="FJ21" s="48">
        <f t="shared" si="47"/>
        <v>243154.21630500001</v>
      </c>
      <c r="FK21" s="51">
        <f t="shared" si="128"/>
        <v>803819.20826106903</v>
      </c>
      <c r="FL21" s="53">
        <f t="shared" si="48"/>
        <v>237150.40849500001</v>
      </c>
      <c r="FM21" s="51">
        <f t="shared" si="129"/>
        <v>783971.820402771</v>
      </c>
      <c r="FN21" s="53">
        <f t="shared" si="49"/>
        <v>231146.60068500001</v>
      </c>
      <c r="FO21" s="51">
        <f t="shared" si="130"/>
        <v>764124.43254447309</v>
      </c>
      <c r="FP21" s="53">
        <f t="shared" si="50"/>
        <v>225142.79287499998</v>
      </c>
      <c r="FQ21" s="51">
        <f t="shared" si="131"/>
        <v>744277.04468617495</v>
      </c>
      <c r="FR21" s="48">
        <f t="shared" si="51"/>
        <v>219138.98506499999</v>
      </c>
      <c r="FS21" s="51">
        <f t="shared" si="132"/>
        <v>724429.65682787693</v>
      </c>
      <c r="FT21" s="53">
        <f t="shared" si="52"/>
        <v>213135.17725499999</v>
      </c>
      <c r="FU21" s="51">
        <f t="shared" si="133"/>
        <v>704582.26896957902</v>
      </c>
      <c r="FV21" s="53">
        <f t="shared" si="53"/>
        <v>207131.36944499999</v>
      </c>
      <c r="FW21" s="51">
        <f t="shared" si="134"/>
        <v>684734.88111128099</v>
      </c>
      <c r="FX21" s="53">
        <f t="shared" si="54"/>
        <v>201127.56163499996</v>
      </c>
      <c r="FY21" s="51">
        <f t="shared" si="135"/>
        <v>664887.49325298285</v>
      </c>
      <c r="FZ21" s="53">
        <f t="shared" si="55"/>
        <v>195123.75382499996</v>
      </c>
      <c r="GA21" s="51">
        <f t="shared" si="136"/>
        <v>645040.10539468494</v>
      </c>
      <c r="GB21" s="48">
        <f t="shared" si="56"/>
        <v>189119.94601499996</v>
      </c>
      <c r="GC21" s="51">
        <f t="shared" si="137"/>
        <v>625192.71753638692</v>
      </c>
      <c r="GD21" s="53">
        <f t="shared" si="57"/>
        <v>183116.13820499997</v>
      </c>
      <c r="GE21" s="51">
        <f t="shared" si="138"/>
        <v>605345.32967808889</v>
      </c>
      <c r="GF21" s="53">
        <f t="shared" si="58"/>
        <v>177112.33039499994</v>
      </c>
      <c r="GG21" s="51">
        <f t="shared" si="139"/>
        <v>585497.94181979087</v>
      </c>
      <c r="GH21" s="48">
        <f t="shared" si="59"/>
        <v>171108.52258499994</v>
      </c>
      <c r="GI21" s="51">
        <f t="shared" si="140"/>
        <v>565650.55396149284</v>
      </c>
      <c r="GJ21" s="48"/>
      <c r="GK21" s="48"/>
      <c r="GL21" s="48">
        <v>1</v>
      </c>
      <c r="GM21" s="48">
        <v>0.97</v>
      </c>
      <c r="GN21" s="48">
        <v>0.95</v>
      </c>
      <c r="GO21" s="48">
        <v>0.93</v>
      </c>
      <c r="GP21" s="48">
        <f t="shared" ref="GP21:HG21" si="151">+GO21-0.02</f>
        <v>0.91</v>
      </c>
      <c r="GQ21" s="48">
        <f t="shared" si="151"/>
        <v>0.89</v>
      </c>
      <c r="GR21" s="48">
        <f t="shared" si="151"/>
        <v>0.87</v>
      </c>
      <c r="GS21" s="48">
        <f t="shared" si="151"/>
        <v>0.85</v>
      </c>
      <c r="GT21" s="48">
        <f t="shared" si="151"/>
        <v>0.83</v>
      </c>
      <c r="GU21" s="48">
        <f t="shared" si="151"/>
        <v>0.80999999999999994</v>
      </c>
      <c r="GV21" s="48">
        <f t="shared" si="151"/>
        <v>0.78999999999999992</v>
      </c>
      <c r="GW21" s="48">
        <f t="shared" si="151"/>
        <v>0.76999999999999991</v>
      </c>
      <c r="GX21" s="48">
        <f t="shared" si="151"/>
        <v>0.74999999999999989</v>
      </c>
      <c r="GY21" s="48">
        <f t="shared" si="151"/>
        <v>0.72999999999999987</v>
      </c>
      <c r="GZ21" s="48">
        <f t="shared" si="151"/>
        <v>0.70999999999999985</v>
      </c>
      <c r="HA21" s="48">
        <f t="shared" si="151"/>
        <v>0.68999999999999984</v>
      </c>
      <c r="HB21" s="48">
        <f t="shared" si="151"/>
        <v>0.66999999999999982</v>
      </c>
      <c r="HC21" s="48">
        <f t="shared" si="151"/>
        <v>0.6499999999999998</v>
      </c>
      <c r="HD21" s="48">
        <f t="shared" si="151"/>
        <v>0.62999999999999978</v>
      </c>
      <c r="HE21" s="48">
        <f t="shared" si="151"/>
        <v>0.60999999999999976</v>
      </c>
      <c r="HF21" s="48">
        <f t="shared" si="151"/>
        <v>0.58999999999999975</v>
      </c>
      <c r="HG21" s="48">
        <f t="shared" si="151"/>
        <v>0.56999999999999973</v>
      </c>
    </row>
    <row r="22" spans="1:215" x14ac:dyDescent="0.3">
      <c r="B22" s="2">
        <v>5</v>
      </c>
      <c r="C22" s="35" t="s">
        <v>32</v>
      </c>
      <c r="D22" s="47">
        <f>+D113</f>
        <v>134870</v>
      </c>
      <c r="E22" s="69">
        <f t="shared" si="0"/>
        <v>445850</v>
      </c>
      <c r="G22" s="48">
        <f t="shared" si="61"/>
        <v>148357</v>
      </c>
      <c r="H22" s="48">
        <f t="shared" si="62"/>
        <v>148357</v>
      </c>
      <c r="I22" s="51">
        <f t="shared" si="63"/>
        <v>490438.57060000004</v>
      </c>
      <c r="J22" s="48">
        <f t="shared" si="64"/>
        <v>143906.29</v>
      </c>
      <c r="K22" s="51">
        <f t="shared" si="65"/>
        <v>475725.41348200006</v>
      </c>
      <c r="L22" s="48">
        <f t="shared" si="66"/>
        <v>140939.15</v>
      </c>
      <c r="M22" s="51">
        <f t="shared" si="67"/>
        <v>465916.64207</v>
      </c>
      <c r="N22" s="48">
        <f t="shared" si="1"/>
        <v>137972.01</v>
      </c>
      <c r="O22" s="51">
        <f t="shared" si="68"/>
        <v>456107.87065800006</v>
      </c>
      <c r="P22" s="52">
        <f t="shared" si="2"/>
        <v>135004.87</v>
      </c>
      <c r="Q22" s="51">
        <f t="shared" si="69"/>
        <v>446299.099246</v>
      </c>
      <c r="R22" s="48">
        <f t="shared" si="3"/>
        <v>132037.73000000001</v>
      </c>
      <c r="S22" s="51">
        <f t="shared" si="70"/>
        <v>436490.32783400005</v>
      </c>
      <c r="T22" s="52">
        <f t="shared" si="4"/>
        <v>129070.59</v>
      </c>
      <c r="U22" s="51">
        <f t="shared" si="71"/>
        <v>426681.55642199999</v>
      </c>
      <c r="V22" s="53">
        <f t="shared" si="5"/>
        <v>126103.45</v>
      </c>
      <c r="W22" s="51">
        <f t="shared" si="72"/>
        <v>416872.78500999999</v>
      </c>
      <c r="X22" s="52">
        <f t="shared" si="6"/>
        <v>123136.31</v>
      </c>
      <c r="Y22" s="51">
        <f t="shared" si="73"/>
        <v>407064.01359799999</v>
      </c>
      <c r="Z22" s="48">
        <f t="shared" si="7"/>
        <v>120169.17</v>
      </c>
      <c r="AA22" s="51">
        <f t="shared" si="74"/>
        <v>397255.24218599999</v>
      </c>
      <c r="AB22" s="53">
        <f t="shared" si="8"/>
        <v>117202.02999999998</v>
      </c>
      <c r="AC22" s="51">
        <f t="shared" si="75"/>
        <v>387446.47077399993</v>
      </c>
      <c r="AD22" s="53">
        <f t="shared" si="9"/>
        <v>114234.88999999998</v>
      </c>
      <c r="AE22" s="51">
        <f t="shared" si="76"/>
        <v>377637.69936199998</v>
      </c>
      <c r="AF22" s="53">
        <f t="shared" si="10"/>
        <v>111267.74999999999</v>
      </c>
      <c r="AG22" s="51">
        <f t="shared" si="77"/>
        <v>367828.92794999998</v>
      </c>
      <c r="AH22" s="48">
        <f t="shared" si="11"/>
        <v>108300.60999999999</v>
      </c>
      <c r="AI22" s="51">
        <f t="shared" si="78"/>
        <v>358020.15653799998</v>
      </c>
      <c r="AJ22" s="53">
        <f t="shared" si="12"/>
        <v>105333.46999999997</v>
      </c>
      <c r="AK22" s="51">
        <f t="shared" si="79"/>
        <v>348211.38512599992</v>
      </c>
      <c r="AL22" s="53">
        <f t="shared" si="13"/>
        <v>102366.32999999997</v>
      </c>
      <c r="AM22" s="51">
        <f t="shared" si="80"/>
        <v>338402.61371399992</v>
      </c>
      <c r="AN22" s="53">
        <f t="shared" si="14"/>
        <v>99399.189999999973</v>
      </c>
      <c r="AO22" s="51">
        <f t="shared" si="81"/>
        <v>328593.84230199992</v>
      </c>
      <c r="AP22" s="53">
        <f t="shared" si="15"/>
        <v>96432.049999999974</v>
      </c>
      <c r="AQ22" s="51">
        <f t="shared" si="82"/>
        <v>318785.07088999992</v>
      </c>
      <c r="AR22" s="48">
        <f t="shared" si="16"/>
        <v>93464.909999999974</v>
      </c>
      <c r="AS22" s="51">
        <f t="shared" si="83"/>
        <v>308976.29947799991</v>
      </c>
      <c r="AT22" s="53">
        <f t="shared" si="17"/>
        <v>90497.76999999996</v>
      </c>
      <c r="AU22" s="51">
        <f t="shared" si="84"/>
        <v>299167.52806599985</v>
      </c>
      <c r="AV22" s="53">
        <f t="shared" si="18"/>
        <v>87530.629999999961</v>
      </c>
      <c r="AW22" s="51">
        <f t="shared" si="85"/>
        <v>289358.75665399985</v>
      </c>
      <c r="AX22" s="48">
        <f t="shared" si="19"/>
        <v>84563.489999999962</v>
      </c>
      <c r="AY22" s="51">
        <f t="shared" si="86"/>
        <v>279549.98524199991</v>
      </c>
      <c r="BB22" s="48">
        <v>1</v>
      </c>
      <c r="BC22" s="48">
        <v>0.97</v>
      </c>
      <c r="BD22" s="48">
        <v>0.95</v>
      </c>
      <c r="BE22" s="48">
        <v>0.93</v>
      </c>
      <c r="BF22" s="48">
        <f t="shared" ref="BF22:BW22" si="152">+BE22-0.02</f>
        <v>0.91</v>
      </c>
      <c r="BG22" s="48">
        <f t="shared" si="152"/>
        <v>0.89</v>
      </c>
      <c r="BH22" s="48">
        <f t="shared" si="152"/>
        <v>0.87</v>
      </c>
      <c r="BI22" s="48">
        <f t="shared" si="152"/>
        <v>0.85</v>
      </c>
      <c r="BJ22" s="48">
        <f t="shared" si="152"/>
        <v>0.83</v>
      </c>
      <c r="BK22" s="48">
        <f t="shared" si="152"/>
        <v>0.80999999999999994</v>
      </c>
      <c r="BL22" s="48">
        <f t="shared" si="152"/>
        <v>0.78999999999999992</v>
      </c>
      <c r="BM22" s="48">
        <f t="shared" si="152"/>
        <v>0.76999999999999991</v>
      </c>
      <c r="BN22" s="48">
        <f t="shared" si="152"/>
        <v>0.74999999999999989</v>
      </c>
      <c r="BO22" s="48">
        <f t="shared" si="152"/>
        <v>0.72999999999999987</v>
      </c>
      <c r="BP22" s="48">
        <f t="shared" si="152"/>
        <v>0.70999999999999985</v>
      </c>
      <c r="BQ22" s="48">
        <f t="shared" si="152"/>
        <v>0.68999999999999984</v>
      </c>
      <c r="BR22" s="48">
        <f t="shared" si="152"/>
        <v>0.66999999999999982</v>
      </c>
      <c r="BS22" s="48">
        <f t="shared" si="152"/>
        <v>0.6499999999999998</v>
      </c>
      <c r="BT22" s="48">
        <f t="shared" si="152"/>
        <v>0.62999999999999978</v>
      </c>
      <c r="BU22" s="48">
        <f t="shared" si="152"/>
        <v>0.60999999999999976</v>
      </c>
      <c r="BV22" s="48">
        <f t="shared" si="152"/>
        <v>0.58999999999999975</v>
      </c>
      <c r="BW22" s="48">
        <f t="shared" si="152"/>
        <v>0.56999999999999973</v>
      </c>
      <c r="BY22" s="48">
        <f t="shared" si="88"/>
        <v>135004.87</v>
      </c>
      <c r="BZ22" s="48">
        <f t="shared" si="89"/>
        <v>135004.87</v>
      </c>
      <c r="CA22" s="51">
        <f t="shared" ref="CA22" si="153">+BZ22*3.3058</f>
        <v>446299.099246</v>
      </c>
      <c r="CB22" s="48">
        <f t="shared" si="91"/>
        <v>130954.7239</v>
      </c>
      <c r="CC22" s="51">
        <f t="shared" si="92"/>
        <v>432910.12626862002</v>
      </c>
      <c r="CD22" s="48">
        <f t="shared" si="93"/>
        <v>128254.62649999998</v>
      </c>
      <c r="CE22" s="51">
        <f t="shared" si="94"/>
        <v>423984.14428369998</v>
      </c>
      <c r="CF22" s="48">
        <f t="shared" si="21"/>
        <v>125554.5291</v>
      </c>
      <c r="CG22" s="51">
        <f t="shared" si="95"/>
        <v>415058.16229877999</v>
      </c>
      <c r="CH22" s="52">
        <f t="shared" si="22"/>
        <v>122854.4317</v>
      </c>
      <c r="CI22" s="51">
        <f t="shared" si="96"/>
        <v>406132.18031386001</v>
      </c>
      <c r="CJ22" s="48">
        <f t="shared" si="23"/>
        <v>120154.3343</v>
      </c>
      <c r="CK22" s="51">
        <f t="shared" si="97"/>
        <v>397206.19832894002</v>
      </c>
      <c r="CL22" s="52">
        <f t="shared" si="24"/>
        <v>117454.23689999999</v>
      </c>
      <c r="CM22" s="51">
        <f t="shared" si="98"/>
        <v>388280.21634401998</v>
      </c>
      <c r="CN22" s="53">
        <f t="shared" si="25"/>
        <v>114754.13949999999</v>
      </c>
      <c r="CO22" s="51">
        <f t="shared" si="99"/>
        <v>379354.2343591</v>
      </c>
      <c r="CP22" s="52">
        <f t="shared" si="26"/>
        <v>112054.04209999999</v>
      </c>
      <c r="CQ22" s="51">
        <f t="shared" si="100"/>
        <v>370428.25237417995</v>
      </c>
      <c r="CR22" s="48">
        <f t="shared" si="27"/>
        <v>109353.94469999999</v>
      </c>
      <c r="CS22" s="51">
        <f t="shared" si="101"/>
        <v>361502.27038925997</v>
      </c>
      <c r="CT22" s="53">
        <f t="shared" si="28"/>
        <v>106653.84729999998</v>
      </c>
      <c r="CU22" s="51">
        <f t="shared" si="102"/>
        <v>352576.28840433992</v>
      </c>
      <c r="CV22" s="53">
        <f t="shared" si="29"/>
        <v>103953.74989999998</v>
      </c>
      <c r="CW22" s="51">
        <f t="shared" si="103"/>
        <v>343650.30641941994</v>
      </c>
      <c r="CX22" s="53">
        <f t="shared" si="30"/>
        <v>101253.65249999998</v>
      </c>
      <c r="CY22" s="51">
        <f t="shared" si="104"/>
        <v>334724.32443449995</v>
      </c>
      <c r="CZ22" s="48">
        <f t="shared" si="31"/>
        <v>98553.555099999983</v>
      </c>
      <c r="DA22" s="51">
        <f t="shared" si="105"/>
        <v>325798.34244957997</v>
      </c>
      <c r="DB22" s="53">
        <f t="shared" si="32"/>
        <v>95853.45769999997</v>
      </c>
      <c r="DC22" s="51">
        <f t="shared" si="106"/>
        <v>316872.36046465993</v>
      </c>
      <c r="DD22" s="53">
        <f t="shared" si="33"/>
        <v>93153.360299999971</v>
      </c>
      <c r="DE22" s="51">
        <f t="shared" si="107"/>
        <v>307946.37847973988</v>
      </c>
      <c r="DF22" s="53">
        <f t="shared" si="34"/>
        <v>90453.262899999972</v>
      </c>
      <c r="DG22" s="51">
        <f t="shared" si="108"/>
        <v>299020.3964948199</v>
      </c>
      <c r="DH22" s="53">
        <f t="shared" si="35"/>
        <v>87753.165499999974</v>
      </c>
      <c r="DI22" s="51">
        <f t="shared" si="109"/>
        <v>290094.41450989991</v>
      </c>
      <c r="DJ22" s="48">
        <f t="shared" si="36"/>
        <v>85053.068099999975</v>
      </c>
      <c r="DK22" s="51">
        <f t="shared" si="110"/>
        <v>281168.43252497993</v>
      </c>
      <c r="DL22" s="53">
        <f t="shared" si="37"/>
        <v>82352.970699999962</v>
      </c>
      <c r="DM22" s="51">
        <f t="shared" si="111"/>
        <v>272242.45054005989</v>
      </c>
      <c r="DN22" s="53">
        <f t="shared" si="38"/>
        <v>79652.873299999963</v>
      </c>
      <c r="DO22" s="51">
        <f t="shared" si="112"/>
        <v>263316.4685551399</v>
      </c>
      <c r="DP22" s="48">
        <f t="shared" si="39"/>
        <v>76952.775899999964</v>
      </c>
      <c r="DQ22" s="51">
        <f t="shared" si="113"/>
        <v>254390.48657021989</v>
      </c>
      <c r="DT22" s="48">
        <v>1</v>
      </c>
      <c r="DU22" s="48">
        <v>0.97</v>
      </c>
      <c r="DV22" s="48">
        <v>0.95</v>
      </c>
      <c r="DW22" s="48">
        <v>0.93</v>
      </c>
      <c r="DX22" s="48">
        <f t="shared" ref="DX22:EO22" si="154">+DW22-0.02</f>
        <v>0.91</v>
      </c>
      <c r="DY22" s="48">
        <f t="shared" si="154"/>
        <v>0.89</v>
      </c>
      <c r="DZ22" s="48">
        <f t="shared" si="154"/>
        <v>0.87</v>
      </c>
      <c r="EA22" s="48">
        <f t="shared" si="154"/>
        <v>0.85</v>
      </c>
      <c r="EB22" s="48">
        <f t="shared" si="154"/>
        <v>0.83</v>
      </c>
      <c r="EC22" s="48">
        <f t="shared" si="154"/>
        <v>0.80999999999999994</v>
      </c>
      <c r="ED22" s="48">
        <f t="shared" si="154"/>
        <v>0.78999999999999992</v>
      </c>
      <c r="EE22" s="48">
        <f t="shared" si="154"/>
        <v>0.76999999999999991</v>
      </c>
      <c r="EF22" s="48">
        <f t="shared" si="154"/>
        <v>0.74999999999999989</v>
      </c>
      <c r="EG22" s="48">
        <f t="shared" si="154"/>
        <v>0.72999999999999987</v>
      </c>
      <c r="EH22" s="48">
        <f t="shared" si="154"/>
        <v>0.70999999999999985</v>
      </c>
      <c r="EI22" s="48">
        <f t="shared" si="154"/>
        <v>0.68999999999999984</v>
      </c>
      <c r="EJ22" s="48">
        <f t="shared" si="154"/>
        <v>0.66999999999999982</v>
      </c>
      <c r="EK22" s="48">
        <f t="shared" si="154"/>
        <v>0.6499999999999998</v>
      </c>
      <c r="EL22" s="48">
        <f t="shared" si="154"/>
        <v>0.62999999999999978</v>
      </c>
      <c r="EM22" s="48">
        <f t="shared" si="154"/>
        <v>0.60999999999999976</v>
      </c>
      <c r="EN22" s="48">
        <f t="shared" si="154"/>
        <v>0.58999999999999975</v>
      </c>
      <c r="EO22" s="48">
        <f t="shared" si="154"/>
        <v>0.56999999999999973</v>
      </c>
      <c r="EQ22" s="48">
        <f t="shared" si="115"/>
        <v>122854.4317</v>
      </c>
      <c r="ER22" s="48">
        <f t="shared" si="116"/>
        <v>122854.4317</v>
      </c>
      <c r="ES22" s="51">
        <f t="shared" ref="ES22" si="155">+ER22*3.3058</f>
        <v>406132.18031386001</v>
      </c>
      <c r="ET22" s="48">
        <f t="shared" si="118"/>
        <v>119168.79874899999</v>
      </c>
      <c r="EU22" s="51">
        <f t="shared" si="119"/>
        <v>393948.21490444418</v>
      </c>
      <c r="EV22" s="48">
        <f t="shared" si="120"/>
        <v>116711.71011499999</v>
      </c>
      <c r="EW22" s="51">
        <f t="shared" si="121"/>
        <v>385825.57129816699</v>
      </c>
      <c r="EX22" s="48">
        <f t="shared" si="41"/>
        <v>114254.62148100001</v>
      </c>
      <c r="EY22" s="51">
        <f t="shared" si="122"/>
        <v>377702.92769188981</v>
      </c>
      <c r="EZ22" s="52">
        <f t="shared" si="42"/>
        <v>111797.53284700001</v>
      </c>
      <c r="FA22" s="51">
        <f t="shared" si="123"/>
        <v>369580.28408561263</v>
      </c>
      <c r="FB22" s="48">
        <f t="shared" si="43"/>
        <v>109340.44421300001</v>
      </c>
      <c r="FC22" s="51">
        <f t="shared" si="124"/>
        <v>361457.64047933544</v>
      </c>
      <c r="FD22" s="52">
        <f t="shared" si="44"/>
        <v>106883.355579</v>
      </c>
      <c r="FE22" s="51">
        <f t="shared" si="125"/>
        <v>353334.9968730582</v>
      </c>
      <c r="FF22" s="53">
        <f t="shared" si="45"/>
        <v>104426.266945</v>
      </c>
      <c r="FG22" s="51">
        <f t="shared" si="126"/>
        <v>345212.35326678102</v>
      </c>
      <c r="FH22" s="52">
        <f t="shared" si="46"/>
        <v>101969.178311</v>
      </c>
      <c r="FI22" s="51">
        <f t="shared" si="127"/>
        <v>337089.70966050378</v>
      </c>
      <c r="FJ22" s="48">
        <f t="shared" si="47"/>
        <v>99512.089676999996</v>
      </c>
      <c r="FK22" s="51">
        <f t="shared" si="128"/>
        <v>328967.0660542266</v>
      </c>
      <c r="FL22" s="53">
        <f t="shared" si="48"/>
        <v>97055.001042999997</v>
      </c>
      <c r="FM22" s="51">
        <f t="shared" si="129"/>
        <v>320844.42244794942</v>
      </c>
      <c r="FN22" s="53">
        <f t="shared" si="49"/>
        <v>94597.912408999982</v>
      </c>
      <c r="FO22" s="51">
        <f t="shared" si="130"/>
        <v>312721.77884167217</v>
      </c>
      <c r="FP22" s="53">
        <f t="shared" si="50"/>
        <v>92140.823774999983</v>
      </c>
      <c r="FQ22" s="51">
        <f t="shared" si="131"/>
        <v>304599.13523539493</v>
      </c>
      <c r="FR22" s="48">
        <f t="shared" si="51"/>
        <v>89683.735140999983</v>
      </c>
      <c r="FS22" s="51">
        <f t="shared" si="132"/>
        <v>296476.49162911775</v>
      </c>
      <c r="FT22" s="53">
        <f t="shared" si="52"/>
        <v>87226.646506999983</v>
      </c>
      <c r="FU22" s="51">
        <f t="shared" si="133"/>
        <v>288353.84802284057</v>
      </c>
      <c r="FV22" s="53">
        <f t="shared" si="53"/>
        <v>84769.557872999983</v>
      </c>
      <c r="FW22" s="51">
        <f t="shared" si="134"/>
        <v>280231.20441656333</v>
      </c>
      <c r="FX22" s="53">
        <f t="shared" si="54"/>
        <v>82312.469238999984</v>
      </c>
      <c r="FY22" s="51">
        <f t="shared" si="135"/>
        <v>272108.56081028614</v>
      </c>
      <c r="FZ22" s="53">
        <f t="shared" si="55"/>
        <v>79855.380604999969</v>
      </c>
      <c r="GA22" s="51">
        <f t="shared" si="136"/>
        <v>263985.9172040089</v>
      </c>
      <c r="GB22" s="48">
        <f t="shared" si="56"/>
        <v>77398.29197099997</v>
      </c>
      <c r="GC22" s="51">
        <f t="shared" si="137"/>
        <v>255863.27359773169</v>
      </c>
      <c r="GD22" s="53">
        <f t="shared" si="57"/>
        <v>74941.20333699997</v>
      </c>
      <c r="GE22" s="51">
        <f t="shared" si="138"/>
        <v>247740.62999145451</v>
      </c>
      <c r="GF22" s="53">
        <f t="shared" si="58"/>
        <v>72484.11470299997</v>
      </c>
      <c r="GG22" s="51">
        <f t="shared" si="139"/>
        <v>239617.9863851773</v>
      </c>
      <c r="GH22" s="48">
        <f t="shared" si="59"/>
        <v>70027.02606899997</v>
      </c>
      <c r="GI22" s="51">
        <f t="shared" si="140"/>
        <v>231495.34277890011</v>
      </c>
      <c r="GJ22" s="48"/>
      <c r="GK22" s="48"/>
      <c r="GL22" s="48">
        <v>1</v>
      </c>
      <c r="GM22" s="48">
        <v>0.97</v>
      </c>
      <c r="GN22" s="48">
        <v>0.95</v>
      </c>
      <c r="GO22" s="48">
        <v>0.93</v>
      </c>
      <c r="GP22" s="48">
        <f t="shared" ref="GP22:HG22" si="156">+GO22-0.02</f>
        <v>0.91</v>
      </c>
      <c r="GQ22" s="48">
        <f t="shared" si="156"/>
        <v>0.89</v>
      </c>
      <c r="GR22" s="48">
        <f t="shared" si="156"/>
        <v>0.87</v>
      </c>
      <c r="GS22" s="48">
        <f t="shared" si="156"/>
        <v>0.85</v>
      </c>
      <c r="GT22" s="48">
        <f t="shared" si="156"/>
        <v>0.83</v>
      </c>
      <c r="GU22" s="48">
        <f t="shared" si="156"/>
        <v>0.80999999999999994</v>
      </c>
      <c r="GV22" s="48">
        <f t="shared" si="156"/>
        <v>0.78999999999999992</v>
      </c>
      <c r="GW22" s="48">
        <f t="shared" si="156"/>
        <v>0.76999999999999991</v>
      </c>
      <c r="GX22" s="48">
        <f t="shared" si="156"/>
        <v>0.74999999999999989</v>
      </c>
      <c r="GY22" s="48">
        <f t="shared" si="156"/>
        <v>0.72999999999999987</v>
      </c>
      <c r="GZ22" s="48">
        <f t="shared" si="156"/>
        <v>0.70999999999999985</v>
      </c>
      <c r="HA22" s="48">
        <f t="shared" si="156"/>
        <v>0.68999999999999984</v>
      </c>
      <c r="HB22" s="48">
        <f t="shared" si="156"/>
        <v>0.66999999999999982</v>
      </c>
      <c r="HC22" s="48">
        <f t="shared" si="156"/>
        <v>0.6499999999999998</v>
      </c>
      <c r="HD22" s="48">
        <f t="shared" si="156"/>
        <v>0.62999999999999978</v>
      </c>
      <c r="HE22" s="48">
        <f t="shared" si="156"/>
        <v>0.60999999999999976</v>
      </c>
      <c r="HF22" s="48">
        <f t="shared" si="156"/>
        <v>0.58999999999999975</v>
      </c>
      <c r="HG22" s="48">
        <f t="shared" si="156"/>
        <v>0.56999999999999973</v>
      </c>
    </row>
    <row r="23" spans="1:215" x14ac:dyDescent="0.3">
      <c r="B23" s="2">
        <v>6</v>
      </c>
      <c r="C23" s="35" t="s">
        <v>33</v>
      </c>
      <c r="D23" s="47">
        <f>+D127</f>
        <v>31670</v>
      </c>
      <c r="E23" s="69">
        <f t="shared" si="0"/>
        <v>104690</v>
      </c>
      <c r="G23" s="48">
        <f t="shared" si="61"/>
        <v>34837</v>
      </c>
      <c r="H23" s="48">
        <f t="shared" si="62"/>
        <v>34837</v>
      </c>
      <c r="I23" s="51">
        <f t="shared" si="63"/>
        <v>115164.15460000001</v>
      </c>
      <c r="J23" s="48">
        <f t="shared" si="64"/>
        <v>33791.89</v>
      </c>
      <c r="K23" s="51">
        <f t="shared" si="65"/>
        <v>111709.229962</v>
      </c>
      <c r="L23" s="48">
        <f t="shared" si="66"/>
        <v>33095.15</v>
      </c>
      <c r="M23" s="51">
        <f t="shared" si="67"/>
        <v>109405.94687000001</v>
      </c>
      <c r="N23" s="48">
        <f t="shared" si="1"/>
        <v>32398.410000000003</v>
      </c>
      <c r="O23" s="51">
        <f t="shared" si="68"/>
        <v>107102.66377800002</v>
      </c>
      <c r="P23" s="52">
        <f t="shared" si="2"/>
        <v>31701.670000000002</v>
      </c>
      <c r="Q23" s="51">
        <f t="shared" si="69"/>
        <v>104799.380686</v>
      </c>
      <c r="R23" s="48">
        <f t="shared" si="3"/>
        <v>31004.93</v>
      </c>
      <c r="S23" s="51">
        <f t="shared" si="70"/>
        <v>102496.09759400001</v>
      </c>
      <c r="T23" s="52">
        <f t="shared" si="4"/>
        <v>30308.19</v>
      </c>
      <c r="U23" s="51">
        <f t="shared" si="71"/>
        <v>100192.81450199999</v>
      </c>
      <c r="V23" s="53">
        <f t="shared" si="5"/>
        <v>29611.45</v>
      </c>
      <c r="W23" s="51">
        <f t="shared" si="72"/>
        <v>97889.531410000011</v>
      </c>
      <c r="X23" s="52">
        <f t="shared" si="6"/>
        <v>28914.71</v>
      </c>
      <c r="Y23" s="51">
        <f t="shared" si="73"/>
        <v>95586.248317999998</v>
      </c>
      <c r="Z23" s="48">
        <f t="shared" si="7"/>
        <v>28217.969999999998</v>
      </c>
      <c r="AA23" s="51">
        <f t="shared" si="74"/>
        <v>93282.965226</v>
      </c>
      <c r="AB23" s="53">
        <f t="shared" si="8"/>
        <v>27521.229999999996</v>
      </c>
      <c r="AC23" s="51">
        <f t="shared" si="75"/>
        <v>90979.682133999988</v>
      </c>
      <c r="AD23" s="53">
        <f t="shared" si="9"/>
        <v>26824.489999999998</v>
      </c>
      <c r="AE23" s="51">
        <f t="shared" si="76"/>
        <v>88676.39904199999</v>
      </c>
      <c r="AF23" s="53">
        <f t="shared" si="10"/>
        <v>26127.749999999996</v>
      </c>
      <c r="AG23" s="51">
        <f t="shared" si="77"/>
        <v>86373.115949999992</v>
      </c>
      <c r="AH23" s="48">
        <f t="shared" si="11"/>
        <v>25431.009999999995</v>
      </c>
      <c r="AI23" s="51">
        <f t="shared" si="78"/>
        <v>84069.83285799998</v>
      </c>
      <c r="AJ23" s="53">
        <f t="shared" si="12"/>
        <v>24734.269999999993</v>
      </c>
      <c r="AK23" s="51">
        <f t="shared" si="79"/>
        <v>81766.549765999982</v>
      </c>
      <c r="AL23" s="53">
        <f t="shared" si="13"/>
        <v>24037.529999999995</v>
      </c>
      <c r="AM23" s="51">
        <f t="shared" si="80"/>
        <v>79463.266673999984</v>
      </c>
      <c r="AN23" s="53">
        <f t="shared" si="14"/>
        <v>23340.789999999994</v>
      </c>
      <c r="AO23" s="51">
        <f t="shared" si="81"/>
        <v>77159.983581999986</v>
      </c>
      <c r="AP23" s="53">
        <f t="shared" si="15"/>
        <v>22644.049999999992</v>
      </c>
      <c r="AQ23" s="51">
        <f t="shared" si="82"/>
        <v>74856.700489999974</v>
      </c>
      <c r="AR23" s="48">
        <f t="shared" si="16"/>
        <v>21947.309999999994</v>
      </c>
      <c r="AS23" s="51">
        <f t="shared" si="83"/>
        <v>72553.417397999976</v>
      </c>
      <c r="AT23" s="53">
        <f t="shared" si="17"/>
        <v>21250.569999999992</v>
      </c>
      <c r="AU23" s="51">
        <f t="shared" si="84"/>
        <v>70250.134305999978</v>
      </c>
      <c r="AV23" s="53">
        <f t="shared" si="18"/>
        <v>20553.829999999991</v>
      </c>
      <c r="AW23" s="51">
        <f t="shared" si="85"/>
        <v>67946.851213999966</v>
      </c>
      <c r="AX23" s="48">
        <f t="shared" si="19"/>
        <v>19857.089999999989</v>
      </c>
      <c r="AY23" s="51">
        <f t="shared" si="86"/>
        <v>65643.568121999968</v>
      </c>
      <c r="BB23" s="48">
        <v>1</v>
      </c>
      <c r="BC23" s="48">
        <v>0.97</v>
      </c>
      <c r="BD23" s="48">
        <v>0.95</v>
      </c>
      <c r="BE23" s="48">
        <v>0.93</v>
      </c>
      <c r="BF23" s="48">
        <f t="shared" ref="BF23:BW23" si="157">+BE23-0.02</f>
        <v>0.91</v>
      </c>
      <c r="BG23" s="48">
        <f t="shared" si="157"/>
        <v>0.89</v>
      </c>
      <c r="BH23" s="48">
        <f t="shared" si="157"/>
        <v>0.87</v>
      </c>
      <c r="BI23" s="48">
        <f t="shared" si="157"/>
        <v>0.85</v>
      </c>
      <c r="BJ23" s="48">
        <f t="shared" si="157"/>
        <v>0.83</v>
      </c>
      <c r="BK23" s="48">
        <f t="shared" si="157"/>
        <v>0.80999999999999994</v>
      </c>
      <c r="BL23" s="48">
        <f t="shared" si="157"/>
        <v>0.78999999999999992</v>
      </c>
      <c r="BM23" s="48">
        <f t="shared" si="157"/>
        <v>0.76999999999999991</v>
      </c>
      <c r="BN23" s="48">
        <f t="shared" si="157"/>
        <v>0.74999999999999989</v>
      </c>
      <c r="BO23" s="48">
        <f t="shared" si="157"/>
        <v>0.72999999999999987</v>
      </c>
      <c r="BP23" s="48">
        <f t="shared" si="157"/>
        <v>0.70999999999999985</v>
      </c>
      <c r="BQ23" s="48">
        <f t="shared" si="157"/>
        <v>0.68999999999999984</v>
      </c>
      <c r="BR23" s="48">
        <f t="shared" si="157"/>
        <v>0.66999999999999982</v>
      </c>
      <c r="BS23" s="48">
        <f t="shared" si="157"/>
        <v>0.6499999999999998</v>
      </c>
      <c r="BT23" s="48">
        <f t="shared" si="157"/>
        <v>0.62999999999999978</v>
      </c>
      <c r="BU23" s="48">
        <f t="shared" si="157"/>
        <v>0.60999999999999976</v>
      </c>
      <c r="BV23" s="48">
        <f t="shared" si="157"/>
        <v>0.58999999999999975</v>
      </c>
      <c r="BW23" s="48">
        <f t="shared" si="157"/>
        <v>0.56999999999999973</v>
      </c>
      <c r="BY23" s="48">
        <f t="shared" si="88"/>
        <v>31701.670000000002</v>
      </c>
      <c r="BZ23" s="48">
        <f t="shared" si="89"/>
        <v>31701.670000000002</v>
      </c>
      <c r="CA23" s="51">
        <f t="shared" ref="CA23" si="158">+BZ23*3.3058</f>
        <v>104799.380686</v>
      </c>
      <c r="CB23" s="48">
        <f t="shared" si="91"/>
        <v>30750.619900000002</v>
      </c>
      <c r="CC23" s="51">
        <f t="shared" si="92"/>
        <v>101655.39926542001</v>
      </c>
      <c r="CD23" s="48">
        <f t="shared" si="93"/>
        <v>30116.586500000001</v>
      </c>
      <c r="CE23" s="51">
        <f t="shared" si="94"/>
        <v>99559.411651700007</v>
      </c>
      <c r="CF23" s="48">
        <f t="shared" si="21"/>
        <v>29482.553100000005</v>
      </c>
      <c r="CG23" s="51">
        <f t="shared" si="95"/>
        <v>97463.424037980018</v>
      </c>
      <c r="CH23" s="52">
        <f t="shared" si="22"/>
        <v>28848.519700000004</v>
      </c>
      <c r="CI23" s="51">
        <f t="shared" si="96"/>
        <v>95367.436424260013</v>
      </c>
      <c r="CJ23" s="48">
        <f t="shared" si="23"/>
        <v>28214.4863</v>
      </c>
      <c r="CK23" s="51">
        <f t="shared" si="97"/>
        <v>93271.448810540009</v>
      </c>
      <c r="CL23" s="52">
        <f t="shared" si="24"/>
        <v>27580.4529</v>
      </c>
      <c r="CM23" s="51">
        <f t="shared" si="98"/>
        <v>91175.461196820004</v>
      </c>
      <c r="CN23" s="53">
        <f t="shared" si="25"/>
        <v>26946.4195</v>
      </c>
      <c r="CO23" s="51">
        <f t="shared" si="99"/>
        <v>89079.4735831</v>
      </c>
      <c r="CP23" s="52">
        <f t="shared" si="26"/>
        <v>26312.3861</v>
      </c>
      <c r="CQ23" s="51">
        <f t="shared" si="100"/>
        <v>86983.485969379995</v>
      </c>
      <c r="CR23" s="48">
        <f t="shared" si="27"/>
        <v>25678.352699999999</v>
      </c>
      <c r="CS23" s="51">
        <f t="shared" si="101"/>
        <v>84887.498355660005</v>
      </c>
      <c r="CT23" s="53">
        <f t="shared" si="28"/>
        <v>25044.319299999999</v>
      </c>
      <c r="CU23" s="51">
        <f t="shared" si="102"/>
        <v>82791.510741940001</v>
      </c>
      <c r="CV23" s="53">
        <f t="shared" si="29"/>
        <v>24410.285899999999</v>
      </c>
      <c r="CW23" s="51">
        <f t="shared" si="103"/>
        <v>80695.523128219997</v>
      </c>
      <c r="CX23" s="53">
        <f t="shared" si="30"/>
        <v>23776.252499999999</v>
      </c>
      <c r="CY23" s="51">
        <f t="shared" si="104"/>
        <v>78599.535514499992</v>
      </c>
      <c r="CZ23" s="48">
        <f t="shared" si="31"/>
        <v>23142.219099999998</v>
      </c>
      <c r="DA23" s="51">
        <f t="shared" si="105"/>
        <v>76503.547900780002</v>
      </c>
      <c r="DB23" s="53">
        <f t="shared" si="32"/>
        <v>22508.185699999998</v>
      </c>
      <c r="DC23" s="51">
        <f t="shared" si="106"/>
        <v>74407.560287059998</v>
      </c>
      <c r="DD23" s="53">
        <f t="shared" si="33"/>
        <v>21874.152299999994</v>
      </c>
      <c r="DE23" s="51">
        <f t="shared" si="107"/>
        <v>72311.572673339979</v>
      </c>
      <c r="DF23" s="53">
        <f t="shared" si="34"/>
        <v>21240.118899999994</v>
      </c>
      <c r="DG23" s="51">
        <f t="shared" si="108"/>
        <v>70215.585059619989</v>
      </c>
      <c r="DH23" s="53">
        <f t="shared" si="35"/>
        <v>20606.085499999994</v>
      </c>
      <c r="DI23" s="51">
        <f t="shared" si="109"/>
        <v>68119.597445899984</v>
      </c>
      <c r="DJ23" s="48">
        <f t="shared" si="36"/>
        <v>19972.052099999994</v>
      </c>
      <c r="DK23" s="51">
        <f t="shared" si="110"/>
        <v>66023.60983217998</v>
      </c>
      <c r="DL23" s="53">
        <f t="shared" si="37"/>
        <v>19338.018699999993</v>
      </c>
      <c r="DM23" s="51">
        <f t="shared" si="111"/>
        <v>63927.622218459976</v>
      </c>
      <c r="DN23" s="53">
        <f t="shared" si="38"/>
        <v>18703.985299999993</v>
      </c>
      <c r="DO23" s="51">
        <f t="shared" si="112"/>
        <v>61831.634604739978</v>
      </c>
      <c r="DP23" s="48">
        <f t="shared" si="39"/>
        <v>18069.951899999993</v>
      </c>
      <c r="DQ23" s="51">
        <f t="shared" si="113"/>
        <v>59735.646991019974</v>
      </c>
      <c r="DT23" s="48">
        <v>1</v>
      </c>
      <c r="DU23" s="48">
        <v>0.97</v>
      </c>
      <c r="DV23" s="48">
        <v>0.95</v>
      </c>
      <c r="DW23" s="48">
        <v>0.93</v>
      </c>
      <c r="DX23" s="48">
        <f t="shared" ref="DX23:EO23" si="159">+DW23-0.02</f>
        <v>0.91</v>
      </c>
      <c r="DY23" s="48">
        <f t="shared" si="159"/>
        <v>0.89</v>
      </c>
      <c r="DZ23" s="48">
        <f t="shared" si="159"/>
        <v>0.87</v>
      </c>
      <c r="EA23" s="48">
        <f t="shared" si="159"/>
        <v>0.85</v>
      </c>
      <c r="EB23" s="48">
        <f t="shared" si="159"/>
        <v>0.83</v>
      </c>
      <c r="EC23" s="48">
        <f t="shared" si="159"/>
        <v>0.80999999999999994</v>
      </c>
      <c r="ED23" s="48">
        <f t="shared" si="159"/>
        <v>0.78999999999999992</v>
      </c>
      <c r="EE23" s="48">
        <f t="shared" si="159"/>
        <v>0.76999999999999991</v>
      </c>
      <c r="EF23" s="48">
        <f t="shared" si="159"/>
        <v>0.74999999999999989</v>
      </c>
      <c r="EG23" s="48">
        <f t="shared" si="159"/>
        <v>0.72999999999999987</v>
      </c>
      <c r="EH23" s="48">
        <f t="shared" si="159"/>
        <v>0.70999999999999985</v>
      </c>
      <c r="EI23" s="48">
        <f t="shared" si="159"/>
        <v>0.68999999999999984</v>
      </c>
      <c r="EJ23" s="48">
        <f t="shared" si="159"/>
        <v>0.66999999999999982</v>
      </c>
      <c r="EK23" s="48">
        <f t="shared" si="159"/>
        <v>0.6499999999999998</v>
      </c>
      <c r="EL23" s="48">
        <f t="shared" si="159"/>
        <v>0.62999999999999978</v>
      </c>
      <c r="EM23" s="48">
        <f t="shared" si="159"/>
        <v>0.60999999999999976</v>
      </c>
      <c r="EN23" s="48">
        <f t="shared" si="159"/>
        <v>0.58999999999999975</v>
      </c>
      <c r="EO23" s="48">
        <f t="shared" si="159"/>
        <v>0.56999999999999973</v>
      </c>
      <c r="EQ23" s="48">
        <f t="shared" si="115"/>
        <v>28848.519700000004</v>
      </c>
      <c r="ER23" s="48">
        <f t="shared" si="116"/>
        <v>28848.519700000004</v>
      </c>
      <c r="ES23" s="51">
        <f t="shared" ref="ES23" si="160">+ER23*3.3058</f>
        <v>95367.436424260013</v>
      </c>
      <c r="ET23" s="48">
        <f t="shared" si="118"/>
        <v>27983.064109000003</v>
      </c>
      <c r="EU23" s="51">
        <f t="shared" si="119"/>
        <v>92506.413331532211</v>
      </c>
      <c r="EV23" s="48">
        <f t="shared" si="120"/>
        <v>27406.093715000003</v>
      </c>
      <c r="EW23" s="51">
        <f t="shared" si="121"/>
        <v>90599.064603047009</v>
      </c>
      <c r="EX23" s="48">
        <f t="shared" si="41"/>
        <v>26829.123321000006</v>
      </c>
      <c r="EY23" s="51">
        <f t="shared" si="122"/>
        <v>88691.715874561822</v>
      </c>
      <c r="EZ23" s="52">
        <f t="shared" si="42"/>
        <v>26252.152927000006</v>
      </c>
      <c r="FA23" s="51">
        <f t="shared" si="123"/>
        <v>86784.36714607662</v>
      </c>
      <c r="FB23" s="48">
        <f t="shared" si="43"/>
        <v>25675.182533000003</v>
      </c>
      <c r="FC23" s="51">
        <f t="shared" si="124"/>
        <v>84877.018417591418</v>
      </c>
      <c r="FD23" s="52">
        <f t="shared" si="44"/>
        <v>25098.212139000003</v>
      </c>
      <c r="FE23" s="51">
        <f t="shared" si="125"/>
        <v>82969.669689106217</v>
      </c>
      <c r="FF23" s="53">
        <f t="shared" si="45"/>
        <v>24521.241745000003</v>
      </c>
      <c r="FG23" s="51">
        <f t="shared" si="126"/>
        <v>81062.320960621015</v>
      </c>
      <c r="FH23" s="52">
        <f t="shared" si="46"/>
        <v>23944.271351000003</v>
      </c>
      <c r="FI23" s="51">
        <f t="shared" si="127"/>
        <v>79154.972232135813</v>
      </c>
      <c r="FJ23" s="48">
        <f t="shared" si="47"/>
        <v>23367.300957000003</v>
      </c>
      <c r="FK23" s="51">
        <f t="shared" si="128"/>
        <v>77247.623503650611</v>
      </c>
      <c r="FL23" s="53">
        <f t="shared" si="48"/>
        <v>22790.330563</v>
      </c>
      <c r="FM23" s="51">
        <f t="shared" si="129"/>
        <v>75340.274775165395</v>
      </c>
      <c r="FN23" s="53">
        <f t="shared" si="49"/>
        <v>22213.360169</v>
      </c>
      <c r="FO23" s="51">
        <f t="shared" si="130"/>
        <v>73432.926046680193</v>
      </c>
      <c r="FP23" s="53">
        <f t="shared" si="50"/>
        <v>21636.389775</v>
      </c>
      <c r="FQ23" s="51">
        <f t="shared" si="131"/>
        <v>71525.577318195006</v>
      </c>
      <c r="FR23" s="48">
        <f t="shared" si="51"/>
        <v>21059.419381</v>
      </c>
      <c r="FS23" s="51">
        <f t="shared" si="132"/>
        <v>69618.228589709805</v>
      </c>
      <c r="FT23" s="53">
        <f t="shared" si="52"/>
        <v>20482.448987</v>
      </c>
      <c r="FU23" s="51">
        <f t="shared" si="133"/>
        <v>67710.879861224603</v>
      </c>
      <c r="FV23" s="53">
        <f t="shared" si="53"/>
        <v>19905.478593</v>
      </c>
      <c r="FW23" s="51">
        <f t="shared" si="134"/>
        <v>65803.531132739401</v>
      </c>
      <c r="FX23" s="53">
        <f t="shared" si="54"/>
        <v>19328.508198999996</v>
      </c>
      <c r="FY23" s="51">
        <f t="shared" si="135"/>
        <v>63896.182404254192</v>
      </c>
      <c r="FZ23" s="53">
        <f t="shared" si="55"/>
        <v>18751.537804999996</v>
      </c>
      <c r="GA23" s="51">
        <f t="shared" si="136"/>
        <v>61988.83367576899</v>
      </c>
      <c r="GB23" s="48">
        <f t="shared" si="56"/>
        <v>18174.567410999996</v>
      </c>
      <c r="GC23" s="51">
        <f t="shared" si="137"/>
        <v>60081.484947283789</v>
      </c>
      <c r="GD23" s="53">
        <f t="shared" si="57"/>
        <v>17597.597016999996</v>
      </c>
      <c r="GE23" s="51">
        <f t="shared" si="138"/>
        <v>58174.136218798587</v>
      </c>
      <c r="GF23" s="53">
        <f t="shared" si="58"/>
        <v>17020.626622999996</v>
      </c>
      <c r="GG23" s="51">
        <f t="shared" si="139"/>
        <v>56266.787490313392</v>
      </c>
      <c r="GH23" s="48">
        <f t="shared" si="59"/>
        <v>16443.656228999993</v>
      </c>
      <c r="GI23" s="51">
        <f t="shared" si="140"/>
        <v>54359.438761828176</v>
      </c>
      <c r="GJ23" s="48"/>
      <c r="GK23" s="48"/>
      <c r="GL23" s="48">
        <v>1</v>
      </c>
      <c r="GM23" s="48">
        <v>0.97</v>
      </c>
      <c r="GN23" s="48">
        <v>0.95</v>
      </c>
      <c r="GO23" s="48">
        <v>0.93</v>
      </c>
      <c r="GP23" s="48">
        <f t="shared" ref="GP23:HG23" si="161">+GO23-0.02</f>
        <v>0.91</v>
      </c>
      <c r="GQ23" s="48">
        <f t="shared" si="161"/>
        <v>0.89</v>
      </c>
      <c r="GR23" s="48">
        <f t="shared" si="161"/>
        <v>0.87</v>
      </c>
      <c r="GS23" s="48">
        <f t="shared" si="161"/>
        <v>0.85</v>
      </c>
      <c r="GT23" s="48">
        <f t="shared" si="161"/>
        <v>0.83</v>
      </c>
      <c r="GU23" s="48">
        <f t="shared" si="161"/>
        <v>0.80999999999999994</v>
      </c>
      <c r="GV23" s="48">
        <f t="shared" si="161"/>
        <v>0.78999999999999992</v>
      </c>
      <c r="GW23" s="48">
        <f t="shared" si="161"/>
        <v>0.76999999999999991</v>
      </c>
      <c r="GX23" s="48">
        <f t="shared" si="161"/>
        <v>0.74999999999999989</v>
      </c>
      <c r="GY23" s="48">
        <f t="shared" si="161"/>
        <v>0.72999999999999987</v>
      </c>
      <c r="GZ23" s="48">
        <f t="shared" si="161"/>
        <v>0.70999999999999985</v>
      </c>
      <c r="HA23" s="48">
        <f t="shared" si="161"/>
        <v>0.68999999999999984</v>
      </c>
      <c r="HB23" s="48">
        <f t="shared" si="161"/>
        <v>0.66999999999999982</v>
      </c>
      <c r="HC23" s="48">
        <f t="shared" si="161"/>
        <v>0.6499999999999998</v>
      </c>
      <c r="HD23" s="48">
        <f t="shared" si="161"/>
        <v>0.62999999999999978</v>
      </c>
      <c r="HE23" s="48">
        <f t="shared" si="161"/>
        <v>0.60999999999999976</v>
      </c>
      <c r="HF23" s="48">
        <f t="shared" si="161"/>
        <v>0.58999999999999975</v>
      </c>
      <c r="HG23" s="48">
        <f t="shared" si="161"/>
        <v>0.56999999999999973</v>
      </c>
    </row>
    <row r="24" spans="1:215" x14ac:dyDescent="0.3">
      <c r="B24" s="2">
        <v>7</v>
      </c>
      <c r="C24" s="35" t="s">
        <v>34</v>
      </c>
      <c r="D24" s="47">
        <f>+D140</f>
        <v>13310</v>
      </c>
      <c r="E24" s="69">
        <f t="shared" si="0"/>
        <v>44000</v>
      </c>
      <c r="G24" s="48">
        <f t="shared" si="61"/>
        <v>14641.000000000002</v>
      </c>
      <c r="H24" s="48">
        <f t="shared" si="62"/>
        <v>14641.000000000002</v>
      </c>
      <c r="I24" s="51">
        <f t="shared" si="63"/>
        <v>48400.217800000006</v>
      </c>
      <c r="J24" s="48">
        <f t="shared" si="64"/>
        <v>14201.770000000002</v>
      </c>
      <c r="K24" s="51">
        <f t="shared" si="65"/>
        <v>46948.211266000006</v>
      </c>
      <c r="L24" s="48">
        <f t="shared" si="66"/>
        <v>13908.95</v>
      </c>
      <c r="M24" s="51">
        <f t="shared" si="67"/>
        <v>45980.206910000001</v>
      </c>
      <c r="N24" s="48">
        <f t="shared" si="1"/>
        <v>13616.130000000003</v>
      </c>
      <c r="O24" s="51">
        <f t="shared" si="68"/>
        <v>45012.20255400001</v>
      </c>
      <c r="P24" s="52">
        <f t="shared" si="2"/>
        <v>13323.310000000001</v>
      </c>
      <c r="Q24" s="51">
        <f t="shared" si="69"/>
        <v>44044.198198000006</v>
      </c>
      <c r="R24" s="48">
        <f t="shared" si="3"/>
        <v>13030.490000000002</v>
      </c>
      <c r="S24" s="51">
        <f t="shared" si="70"/>
        <v>43076.193842000008</v>
      </c>
      <c r="T24" s="52">
        <f t="shared" si="4"/>
        <v>12737.670000000002</v>
      </c>
      <c r="U24" s="51">
        <f t="shared" si="71"/>
        <v>42108.18948600001</v>
      </c>
      <c r="V24" s="53">
        <f t="shared" si="5"/>
        <v>12444.85</v>
      </c>
      <c r="W24" s="51">
        <f t="shared" si="72"/>
        <v>41140.185130000005</v>
      </c>
      <c r="X24" s="52">
        <f t="shared" si="6"/>
        <v>12152.03</v>
      </c>
      <c r="Y24" s="51">
        <f t="shared" si="73"/>
        <v>40172.180774</v>
      </c>
      <c r="Z24" s="48">
        <f t="shared" si="7"/>
        <v>11859.210000000001</v>
      </c>
      <c r="AA24" s="51">
        <f t="shared" si="74"/>
        <v>39204.176418000003</v>
      </c>
      <c r="AB24" s="53">
        <f t="shared" si="8"/>
        <v>11566.390000000001</v>
      </c>
      <c r="AC24" s="51">
        <f t="shared" si="75"/>
        <v>38236.172062000005</v>
      </c>
      <c r="AD24" s="53">
        <f t="shared" si="9"/>
        <v>11273.57</v>
      </c>
      <c r="AE24" s="51">
        <f t="shared" si="76"/>
        <v>37268.167706</v>
      </c>
      <c r="AF24" s="53">
        <f t="shared" si="10"/>
        <v>10980.75</v>
      </c>
      <c r="AG24" s="51">
        <f t="shared" si="77"/>
        <v>36300.163350000003</v>
      </c>
      <c r="AH24" s="48">
        <f t="shared" si="11"/>
        <v>10687.93</v>
      </c>
      <c r="AI24" s="51">
        <f t="shared" si="78"/>
        <v>35332.158994000005</v>
      </c>
      <c r="AJ24" s="53">
        <f t="shared" si="12"/>
        <v>10395.109999999999</v>
      </c>
      <c r="AK24" s="51">
        <f t="shared" si="79"/>
        <v>34364.154638</v>
      </c>
      <c r="AL24" s="53">
        <f t="shared" si="13"/>
        <v>10102.289999999999</v>
      </c>
      <c r="AM24" s="51">
        <f t="shared" si="80"/>
        <v>33396.150281999995</v>
      </c>
      <c r="AN24" s="53">
        <f t="shared" si="14"/>
        <v>9809.4699999999993</v>
      </c>
      <c r="AO24" s="51">
        <f t="shared" si="81"/>
        <v>32428.145925999997</v>
      </c>
      <c r="AP24" s="53">
        <f t="shared" si="15"/>
        <v>9516.6499999999978</v>
      </c>
      <c r="AQ24" s="51">
        <f t="shared" si="82"/>
        <v>31460.141569999992</v>
      </c>
      <c r="AR24" s="48">
        <f t="shared" si="16"/>
        <v>9223.8299999999981</v>
      </c>
      <c r="AS24" s="51">
        <f t="shared" si="83"/>
        <v>30492.137213999995</v>
      </c>
      <c r="AT24" s="53">
        <f t="shared" si="17"/>
        <v>8931.0099999999984</v>
      </c>
      <c r="AU24" s="51">
        <f t="shared" si="84"/>
        <v>29524.132857999994</v>
      </c>
      <c r="AV24" s="53">
        <f t="shared" si="18"/>
        <v>8638.1899999999969</v>
      </c>
      <c r="AW24" s="51">
        <f t="shared" si="85"/>
        <v>28556.128501999989</v>
      </c>
      <c r="AX24" s="48">
        <f t="shared" si="19"/>
        <v>8345.3699999999972</v>
      </c>
      <c r="AY24" s="51">
        <f t="shared" si="86"/>
        <v>27588.124145999991</v>
      </c>
      <c r="BB24" s="48">
        <v>1</v>
      </c>
      <c r="BC24" s="48">
        <v>0.97</v>
      </c>
      <c r="BD24" s="48">
        <v>0.95</v>
      </c>
      <c r="BE24" s="48">
        <v>0.93</v>
      </c>
      <c r="BF24" s="48">
        <f t="shared" ref="BF24:BW24" si="162">+BE24-0.02</f>
        <v>0.91</v>
      </c>
      <c r="BG24" s="48">
        <f t="shared" si="162"/>
        <v>0.89</v>
      </c>
      <c r="BH24" s="48">
        <f t="shared" si="162"/>
        <v>0.87</v>
      </c>
      <c r="BI24" s="48">
        <f t="shared" si="162"/>
        <v>0.85</v>
      </c>
      <c r="BJ24" s="48">
        <f t="shared" si="162"/>
        <v>0.83</v>
      </c>
      <c r="BK24" s="48">
        <f t="shared" si="162"/>
        <v>0.80999999999999994</v>
      </c>
      <c r="BL24" s="48">
        <f t="shared" si="162"/>
        <v>0.78999999999999992</v>
      </c>
      <c r="BM24" s="48">
        <f t="shared" si="162"/>
        <v>0.76999999999999991</v>
      </c>
      <c r="BN24" s="48">
        <f t="shared" si="162"/>
        <v>0.74999999999999989</v>
      </c>
      <c r="BO24" s="48">
        <f t="shared" si="162"/>
        <v>0.72999999999999987</v>
      </c>
      <c r="BP24" s="48">
        <f t="shared" si="162"/>
        <v>0.70999999999999985</v>
      </c>
      <c r="BQ24" s="48">
        <f t="shared" si="162"/>
        <v>0.68999999999999984</v>
      </c>
      <c r="BR24" s="48">
        <f t="shared" si="162"/>
        <v>0.66999999999999982</v>
      </c>
      <c r="BS24" s="48">
        <f t="shared" si="162"/>
        <v>0.6499999999999998</v>
      </c>
      <c r="BT24" s="48">
        <f t="shared" si="162"/>
        <v>0.62999999999999978</v>
      </c>
      <c r="BU24" s="48">
        <f t="shared" si="162"/>
        <v>0.60999999999999976</v>
      </c>
      <c r="BV24" s="48">
        <f t="shared" si="162"/>
        <v>0.58999999999999975</v>
      </c>
      <c r="BW24" s="48">
        <f t="shared" si="162"/>
        <v>0.56999999999999973</v>
      </c>
      <c r="BY24" s="48">
        <f t="shared" si="88"/>
        <v>13323.310000000001</v>
      </c>
      <c r="BZ24" s="48">
        <f t="shared" si="89"/>
        <v>13323.310000000001</v>
      </c>
      <c r="CA24" s="51">
        <f t="shared" ref="CA24" si="163">+BZ24*3.3058</f>
        <v>44044.198198000006</v>
      </c>
      <c r="CB24" s="48">
        <f t="shared" si="91"/>
        <v>12923.610700000001</v>
      </c>
      <c r="CC24" s="51">
        <f t="shared" si="92"/>
        <v>42722.872252060006</v>
      </c>
      <c r="CD24" s="48">
        <f t="shared" si="93"/>
        <v>12657.1445</v>
      </c>
      <c r="CE24" s="51">
        <f t="shared" si="94"/>
        <v>41841.988288100001</v>
      </c>
      <c r="CF24" s="48">
        <f t="shared" si="21"/>
        <v>12390.678300000001</v>
      </c>
      <c r="CG24" s="51">
        <f t="shared" si="95"/>
        <v>40961.104324140004</v>
      </c>
      <c r="CH24" s="52">
        <f t="shared" si="22"/>
        <v>12124.212100000002</v>
      </c>
      <c r="CI24" s="51">
        <f t="shared" si="96"/>
        <v>40080.220360180007</v>
      </c>
      <c r="CJ24" s="48">
        <f t="shared" si="23"/>
        <v>11857.745900000002</v>
      </c>
      <c r="CK24" s="51">
        <f t="shared" si="97"/>
        <v>39199.336396220009</v>
      </c>
      <c r="CL24" s="52">
        <f t="shared" si="24"/>
        <v>11591.279700000001</v>
      </c>
      <c r="CM24" s="51">
        <f t="shared" si="98"/>
        <v>38318.452432260005</v>
      </c>
      <c r="CN24" s="53">
        <f t="shared" si="25"/>
        <v>11324.8135</v>
      </c>
      <c r="CO24" s="51">
        <f t="shared" si="99"/>
        <v>37437.5684683</v>
      </c>
      <c r="CP24" s="52">
        <f t="shared" si="26"/>
        <v>11058.347300000001</v>
      </c>
      <c r="CQ24" s="51">
        <f t="shared" si="100"/>
        <v>36556.684504340003</v>
      </c>
      <c r="CR24" s="48">
        <f t="shared" si="27"/>
        <v>10791.881100000001</v>
      </c>
      <c r="CS24" s="51">
        <f t="shared" si="101"/>
        <v>35675.800540380005</v>
      </c>
      <c r="CT24" s="53">
        <f t="shared" si="28"/>
        <v>10525.4149</v>
      </c>
      <c r="CU24" s="51">
        <f t="shared" si="102"/>
        <v>34794.916576420001</v>
      </c>
      <c r="CV24" s="53">
        <f t="shared" si="29"/>
        <v>10258.948699999999</v>
      </c>
      <c r="CW24" s="51">
        <f t="shared" si="103"/>
        <v>33914.032612459996</v>
      </c>
      <c r="CX24" s="53">
        <f t="shared" si="30"/>
        <v>9992.4825000000001</v>
      </c>
      <c r="CY24" s="51">
        <f t="shared" si="104"/>
        <v>33033.148648499999</v>
      </c>
      <c r="CZ24" s="48">
        <f t="shared" si="31"/>
        <v>9726.0162999999993</v>
      </c>
      <c r="DA24" s="51">
        <f t="shared" si="105"/>
        <v>32152.264684539998</v>
      </c>
      <c r="DB24" s="53">
        <f t="shared" si="32"/>
        <v>9459.5500999999986</v>
      </c>
      <c r="DC24" s="51">
        <f t="shared" si="106"/>
        <v>31271.380720579997</v>
      </c>
      <c r="DD24" s="53">
        <f t="shared" si="33"/>
        <v>9193.0838999999978</v>
      </c>
      <c r="DE24" s="51">
        <f t="shared" si="107"/>
        <v>30390.496756619992</v>
      </c>
      <c r="DF24" s="53">
        <f t="shared" si="34"/>
        <v>8926.6176999999989</v>
      </c>
      <c r="DG24" s="51">
        <f t="shared" si="108"/>
        <v>29509.612792659998</v>
      </c>
      <c r="DH24" s="53">
        <f t="shared" si="35"/>
        <v>8660.1514999999981</v>
      </c>
      <c r="DI24" s="51">
        <f t="shared" si="109"/>
        <v>28628.728828699994</v>
      </c>
      <c r="DJ24" s="48">
        <f t="shared" si="36"/>
        <v>8393.6852999999974</v>
      </c>
      <c r="DK24" s="51">
        <f t="shared" si="110"/>
        <v>27747.844864739993</v>
      </c>
      <c r="DL24" s="53">
        <f t="shared" si="37"/>
        <v>8127.2190999999975</v>
      </c>
      <c r="DM24" s="51">
        <f t="shared" si="111"/>
        <v>26866.960900779992</v>
      </c>
      <c r="DN24" s="53">
        <f t="shared" si="38"/>
        <v>7860.7528999999977</v>
      </c>
      <c r="DO24" s="51">
        <f t="shared" si="112"/>
        <v>25986.076936819994</v>
      </c>
      <c r="DP24" s="48">
        <f t="shared" si="39"/>
        <v>7594.2866999999969</v>
      </c>
      <c r="DQ24" s="51">
        <f t="shared" si="113"/>
        <v>25105.19297285999</v>
      </c>
      <c r="DT24" s="48">
        <v>1</v>
      </c>
      <c r="DU24" s="48">
        <v>0.97</v>
      </c>
      <c r="DV24" s="48">
        <v>0.95</v>
      </c>
      <c r="DW24" s="48">
        <v>0.93</v>
      </c>
      <c r="DX24" s="48">
        <f t="shared" ref="DX24:EO24" si="164">+DW24-0.02</f>
        <v>0.91</v>
      </c>
      <c r="DY24" s="48">
        <f t="shared" si="164"/>
        <v>0.89</v>
      </c>
      <c r="DZ24" s="48">
        <f t="shared" si="164"/>
        <v>0.87</v>
      </c>
      <c r="EA24" s="48">
        <f t="shared" si="164"/>
        <v>0.85</v>
      </c>
      <c r="EB24" s="48">
        <f t="shared" si="164"/>
        <v>0.83</v>
      </c>
      <c r="EC24" s="48">
        <f t="shared" si="164"/>
        <v>0.80999999999999994</v>
      </c>
      <c r="ED24" s="48">
        <f t="shared" si="164"/>
        <v>0.78999999999999992</v>
      </c>
      <c r="EE24" s="48">
        <f t="shared" si="164"/>
        <v>0.76999999999999991</v>
      </c>
      <c r="EF24" s="48">
        <f t="shared" si="164"/>
        <v>0.74999999999999989</v>
      </c>
      <c r="EG24" s="48">
        <f t="shared" si="164"/>
        <v>0.72999999999999987</v>
      </c>
      <c r="EH24" s="48">
        <f t="shared" si="164"/>
        <v>0.70999999999999985</v>
      </c>
      <c r="EI24" s="48">
        <f t="shared" si="164"/>
        <v>0.68999999999999984</v>
      </c>
      <c r="EJ24" s="48">
        <f t="shared" si="164"/>
        <v>0.66999999999999982</v>
      </c>
      <c r="EK24" s="48">
        <f t="shared" si="164"/>
        <v>0.6499999999999998</v>
      </c>
      <c r="EL24" s="48">
        <f t="shared" si="164"/>
        <v>0.62999999999999978</v>
      </c>
      <c r="EM24" s="48">
        <f t="shared" si="164"/>
        <v>0.60999999999999976</v>
      </c>
      <c r="EN24" s="48">
        <f t="shared" si="164"/>
        <v>0.58999999999999975</v>
      </c>
      <c r="EO24" s="48">
        <f t="shared" si="164"/>
        <v>0.56999999999999973</v>
      </c>
      <c r="EQ24" s="48">
        <f t="shared" si="115"/>
        <v>12124.212100000002</v>
      </c>
      <c r="ER24" s="48">
        <f t="shared" si="116"/>
        <v>12124.212100000002</v>
      </c>
      <c r="ES24" s="51">
        <f t="shared" ref="ES24" si="165">+ER24*3.3058</f>
        <v>40080.220360180007</v>
      </c>
      <c r="ET24" s="48">
        <f t="shared" si="118"/>
        <v>11760.485737000003</v>
      </c>
      <c r="EU24" s="51">
        <f t="shared" si="119"/>
        <v>38877.813749374611</v>
      </c>
      <c r="EV24" s="48">
        <f t="shared" si="120"/>
        <v>11518.001495000002</v>
      </c>
      <c r="EW24" s="51">
        <f t="shared" si="121"/>
        <v>38076.209342171009</v>
      </c>
      <c r="EX24" s="48">
        <f t="shared" si="41"/>
        <v>11275.517253000004</v>
      </c>
      <c r="EY24" s="51">
        <f t="shared" si="122"/>
        <v>37274.604934967414</v>
      </c>
      <c r="EZ24" s="52">
        <f t="shared" si="42"/>
        <v>11033.033011000003</v>
      </c>
      <c r="FA24" s="51">
        <f t="shared" si="123"/>
        <v>36473.000527763812</v>
      </c>
      <c r="FB24" s="48">
        <f t="shared" si="43"/>
        <v>10790.548769000003</v>
      </c>
      <c r="FC24" s="51">
        <f t="shared" si="124"/>
        <v>35671.39612056021</v>
      </c>
      <c r="FD24" s="52">
        <f t="shared" si="44"/>
        <v>10548.064527000002</v>
      </c>
      <c r="FE24" s="51">
        <f t="shared" si="125"/>
        <v>34869.791713356608</v>
      </c>
      <c r="FF24" s="53">
        <f t="shared" si="45"/>
        <v>10305.580285000002</v>
      </c>
      <c r="FG24" s="51">
        <f t="shared" si="126"/>
        <v>34068.187306153006</v>
      </c>
      <c r="FH24" s="52">
        <f t="shared" si="46"/>
        <v>10063.096043000001</v>
      </c>
      <c r="FI24" s="51">
        <f t="shared" si="127"/>
        <v>33266.582898949404</v>
      </c>
      <c r="FJ24" s="48">
        <f t="shared" si="47"/>
        <v>9820.6118010000009</v>
      </c>
      <c r="FK24" s="51">
        <f t="shared" si="128"/>
        <v>32464.978491745806</v>
      </c>
      <c r="FL24" s="53">
        <f t="shared" si="48"/>
        <v>9578.1275590000005</v>
      </c>
      <c r="FM24" s="51">
        <f t="shared" si="129"/>
        <v>31663.374084542203</v>
      </c>
      <c r="FN24" s="53">
        <f t="shared" si="49"/>
        <v>9335.643317</v>
      </c>
      <c r="FO24" s="51">
        <f t="shared" si="130"/>
        <v>30861.769677338601</v>
      </c>
      <c r="FP24" s="53">
        <f t="shared" si="50"/>
        <v>9093.1590750000014</v>
      </c>
      <c r="FQ24" s="51">
        <f t="shared" si="131"/>
        <v>30060.165270135007</v>
      </c>
      <c r="FR24" s="48">
        <f t="shared" si="51"/>
        <v>8850.6748330000009</v>
      </c>
      <c r="FS24" s="51">
        <f t="shared" si="132"/>
        <v>29258.560862931405</v>
      </c>
      <c r="FT24" s="53">
        <f t="shared" si="52"/>
        <v>8608.1905910000005</v>
      </c>
      <c r="FU24" s="51">
        <f t="shared" si="133"/>
        <v>28456.956455727803</v>
      </c>
      <c r="FV24" s="53">
        <f t="shared" si="53"/>
        <v>8365.706349</v>
      </c>
      <c r="FW24" s="51">
        <f t="shared" si="134"/>
        <v>27655.352048524201</v>
      </c>
      <c r="FX24" s="53">
        <f t="shared" si="54"/>
        <v>8123.2221069999996</v>
      </c>
      <c r="FY24" s="51">
        <f t="shared" si="135"/>
        <v>26853.747641320599</v>
      </c>
      <c r="FZ24" s="53">
        <f t="shared" si="55"/>
        <v>7880.7378649999991</v>
      </c>
      <c r="GA24" s="51">
        <f t="shared" si="136"/>
        <v>26052.143234116997</v>
      </c>
      <c r="GB24" s="48">
        <f t="shared" si="56"/>
        <v>7638.2536229999987</v>
      </c>
      <c r="GC24" s="51">
        <f t="shared" si="137"/>
        <v>25250.538826913395</v>
      </c>
      <c r="GD24" s="53">
        <f t="shared" si="57"/>
        <v>7395.7693809999982</v>
      </c>
      <c r="GE24" s="51">
        <f t="shared" si="138"/>
        <v>24448.934419709796</v>
      </c>
      <c r="GF24" s="53">
        <f t="shared" si="58"/>
        <v>7153.2851389999987</v>
      </c>
      <c r="GG24" s="51">
        <f t="shared" si="139"/>
        <v>23647.330012506198</v>
      </c>
      <c r="GH24" s="48">
        <f t="shared" si="59"/>
        <v>6910.8008969999983</v>
      </c>
      <c r="GI24" s="51">
        <f t="shared" si="140"/>
        <v>22845.725605302596</v>
      </c>
      <c r="GJ24" s="48"/>
      <c r="GK24" s="48"/>
      <c r="GL24" s="48">
        <v>1</v>
      </c>
      <c r="GM24" s="48">
        <v>0.97</v>
      </c>
      <c r="GN24" s="48">
        <v>0.95</v>
      </c>
      <c r="GO24" s="48">
        <v>0.93</v>
      </c>
      <c r="GP24" s="48">
        <f t="shared" ref="GP24:HG24" si="166">+GO24-0.02</f>
        <v>0.91</v>
      </c>
      <c r="GQ24" s="48">
        <f t="shared" si="166"/>
        <v>0.89</v>
      </c>
      <c r="GR24" s="48">
        <f t="shared" si="166"/>
        <v>0.87</v>
      </c>
      <c r="GS24" s="48">
        <f t="shared" si="166"/>
        <v>0.85</v>
      </c>
      <c r="GT24" s="48">
        <f t="shared" si="166"/>
        <v>0.83</v>
      </c>
      <c r="GU24" s="48">
        <f t="shared" si="166"/>
        <v>0.80999999999999994</v>
      </c>
      <c r="GV24" s="48">
        <f t="shared" si="166"/>
        <v>0.78999999999999992</v>
      </c>
      <c r="GW24" s="48">
        <f t="shared" si="166"/>
        <v>0.76999999999999991</v>
      </c>
      <c r="GX24" s="48">
        <f t="shared" si="166"/>
        <v>0.74999999999999989</v>
      </c>
      <c r="GY24" s="48">
        <f t="shared" si="166"/>
        <v>0.72999999999999987</v>
      </c>
      <c r="GZ24" s="48">
        <f t="shared" si="166"/>
        <v>0.70999999999999985</v>
      </c>
      <c r="HA24" s="48">
        <f t="shared" si="166"/>
        <v>0.68999999999999984</v>
      </c>
      <c r="HB24" s="48">
        <f t="shared" si="166"/>
        <v>0.66999999999999982</v>
      </c>
      <c r="HC24" s="48">
        <f t="shared" si="166"/>
        <v>0.6499999999999998</v>
      </c>
      <c r="HD24" s="48">
        <f t="shared" si="166"/>
        <v>0.62999999999999978</v>
      </c>
      <c r="HE24" s="48">
        <f t="shared" si="166"/>
        <v>0.60999999999999976</v>
      </c>
      <c r="HF24" s="48">
        <f t="shared" si="166"/>
        <v>0.58999999999999975</v>
      </c>
      <c r="HG24" s="48">
        <f t="shared" si="166"/>
        <v>0.56999999999999973</v>
      </c>
    </row>
    <row r="25" spans="1:215" x14ac:dyDescent="0.3">
      <c r="B25" s="2">
        <v>8</v>
      </c>
      <c r="C25" s="35" t="s">
        <v>35</v>
      </c>
      <c r="D25" s="47">
        <f>+D148</f>
        <v>5780</v>
      </c>
      <c r="E25" s="69">
        <f t="shared" si="0"/>
        <v>19100</v>
      </c>
      <c r="G25" s="48">
        <f t="shared" si="61"/>
        <v>6358.0000000000009</v>
      </c>
      <c r="H25" s="48">
        <f t="shared" si="62"/>
        <v>6358.0000000000009</v>
      </c>
      <c r="I25" s="51">
        <f t="shared" si="63"/>
        <v>21018.276400000002</v>
      </c>
      <c r="J25" s="48">
        <f t="shared" si="64"/>
        <v>6167.2600000000011</v>
      </c>
      <c r="K25" s="51">
        <f t="shared" si="65"/>
        <v>20387.728108000003</v>
      </c>
      <c r="L25" s="48">
        <f t="shared" si="66"/>
        <v>6040.1</v>
      </c>
      <c r="M25" s="51">
        <f t="shared" si="67"/>
        <v>19967.362580000001</v>
      </c>
      <c r="N25" s="48">
        <f t="shared" si="1"/>
        <v>5912.9400000000014</v>
      </c>
      <c r="O25" s="51">
        <f t="shared" si="68"/>
        <v>19546.997052000006</v>
      </c>
      <c r="P25" s="52">
        <f t="shared" si="2"/>
        <v>5785.7800000000007</v>
      </c>
      <c r="Q25" s="51">
        <f t="shared" si="69"/>
        <v>19126.631524000004</v>
      </c>
      <c r="R25" s="48">
        <f t="shared" si="3"/>
        <v>5658.6200000000008</v>
      </c>
      <c r="S25" s="51">
        <f t="shared" si="70"/>
        <v>18706.265996000002</v>
      </c>
      <c r="T25" s="52">
        <f t="shared" si="4"/>
        <v>5531.4600000000009</v>
      </c>
      <c r="U25" s="51">
        <f t="shared" si="71"/>
        <v>18285.900468000003</v>
      </c>
      <c r="V25" s="53">
        <f t="shared" si="5"/>
        <v>5404.3</v>
      </c>
      <c r="W25" s="51">
        <f t="shared" si="72"/>
        <v>17865.534940000001</v>
      </c>
      <c r="X25" s="52">
        <f t="shared" si="6"/>
        <v>5277.14</v>
      </c>
      <c r="Y25" s="51">
        <f t="shared" si="73"/>
        <v>17445.169412000003</v>
      </c>
      <c r="Z25" s="48">
        <f t="shared" si="7"/>
        <v>5149.9800000000005</v>
      </c>
      <c r="AA25" s="51">
        <f t="shared" si="74"/>
        <v>17024.803884000001</v>
      </c>
      <c r="AB25" s="53">
        <f t="shared" si="8"/>
        <v>5022.8200000000006</v>
      </c>
      <c r="AC25" s="51">
        <f t="shared" si="75"/>
        <v>16604.438356000002</v>
      </c>
      <c r="AD25" s="53">
        <f t="shared" si="9"/>
        <v>4895.66</v>
      </c>
      <c r="AE25" s="51">
        <f t="shared" si="76"/>
        <v>16184.072828</v>
      </c>
      <c r="AF25" s="53">
        <f t="shared" si="10"/>
        <v>4768.5</v>
      </c>
      <c r="AG25" s="51">
        <f t="shared" si="77"/>
        <v>15763.7073</v>
      </c>
      <c r="AH25" s="48">
        <f t="shared" si="11"/>
        <v>4641.34</v>
      </c>
      <c r="AI25" s="51">
        <f t="shared" si="78"/>
        <v>15343.341772000002</v>
      </c>
      <c r="AJ25" s="53">
        <f t="shared" si="12"/>
        <v>4514.1799999999994</v>
      </c>
      <c r="AK25" s="51">
        <f t="shared" si="79"/>
        <v>14922.976243999998</v>
      </c>
      <c r="AL25" s="53">
        <f t="shared" si="13"/>
        <v>4387.0199999999995</v>
      </c>
      <c r="AM25" s="51">
        <f t="shared" si="80"/>
        <v>14502.610715999999</v>
      </c>
      <c r="AN25" s="53">
        <f t="shared" si="14"/>
        <v>4259.8599999999997</v>
      </c>
      <c r="AO25" s="51">
        <f t="shared" si="81"/>
        <v>14082.245187999999</v>
      </c>
      <c r="AP25" s="53">
        <f t="shared" si="15"/>
        <v>4132.6999999999989</v>
      </c>
      <c r="AQ25" s="51">
        <f t="shared" si="82"/>
        <v>13661.879659999997</v>
      </c>
      <c r="AR25" s="48">
        <f t="shared" si="16"/>
        <v>4005.5399999999991</v>
      </c>
      <c r="AS25" s="51">
        <f t="shared" si="83"/>
        <v>13241.514131999997</v>
      </c>
      <c r="AT25" s="53">
        <f t="shared" si="17"/>
        <v>3878.3799999999992</v>
      </c>
      <c r="AU25" s="51">
        <f t="shared" si="84"/>
        <v>12821.148603999998</v>
      </c>
      <c r="AV25" s="53">
        <f t="shared" si="18"/>
        <v>3751.2199999999989</v>
      </c>
      <c r="AW25" s="51">
        <f t="shared" si="85"/>
        <v>12400.783075999996</v>
      </c>
      <c r="AX25" s="48">
        <f t="shared" si="19"/>
        <v>3624.0599999999986</v>
      </c>
      <c r="AY25" s="51">
        <f t="shared" si="86"/>
        <v>11980.417547999996</v>
      </c>
      <c r="BB25" s="48">
        <v>1</v>
      </c>
      <c r="BC25" s="48">
        <v>0.97</v>
      </c>
      <c r="BD25" s="48">
        <v>0.95</v>
      </c>
      <c r="BE25" s="48">
        <v>0.93</v>
      </c>
      <c r="BF25" s="48">
        <f t="shared" ref="BF25:BW25" si="167">+BE25-0.02</f>
        <v>0.91</v>
      </c>
      <c r="BG25" s="48">
        <f t="shared" si="167"/>
        <v>0.89</v>
      </c>
      <c r="BH25" s="48">
        <f t="shared" si="167"/>
        <v>0.87</v>
      </c>
      <c r="BI25" s="48">
        <f t="shared" si="167"/>
        <v>0.85</v>
      </c>
      <c r="BJ25" s="48">
        <f t="shared" si="167"/>
        <v>0.83</v>
      </c>
      <c r="BK25" s="48">
        <f t="shared" si="167"/>
        <v>0.80999999999999994</v>
      </c>
      <c r="BL25" s="48">
        <f t="shared" si="167"/>
        <v>0.78999999999999992</v>
      </c>
      <c r="BM25" s="48">
        <f t="shared" si="167"/>
        <v>0.76999999999999991</v>
      </c>
      <c r="BN25" s="48">
        <f t="shared" si="167"/>
        <v>0.74999999999999989</v>
      </c>
      <c r="BO25" s="48">
        <f t="shared" si="167"/>
        <v>0.72999999999999987</v>
      </c>
      <c r="BP25" s="48">
        <f t="shared" si="167"/>
        <v>0.70999999999999985</v>
      </c>
      <c r="BQ25" s="48">
        <f t="shared" si="167"/>
        <v>0.68999999999999984</v>
      </c>
      <c r="BR25" s="48">
        <f t="shared" si="167"/>
        <v>0.66999999999999982</v>
      </c>
      <c r="BS25" s="48">
        <f t="shared" si="167"/>
        <v>0.6499999999999998</v>
      </c>
      <c r="BT25" s="48">
        <f t="shared" si="167"/>
        <v>0.62999999999999978</v>
      </c>
      <c r="BU25" s="48">
        <f t="shared" si="167"/>
        <v>0.60999999999999976</v>
      </c>
      <c r="BV25" s="48">
        <f t="shared" si="167"/>
        <v>0.58999999999999975</v>
      </c>
      <c r="BW25" s="48">
        <f t="shared" si="167"/>
        <v>0.56999999999999973</v>
      </c>
      <c r="BY25" s="48">
        <f t="shared" si="88"/>
        <v>5785.7800000000007</v>
      </c>
      <c r="BZ25" s="48">
        <f t="shared" si="89"/>
        <v>5785.7800000000007</v>
      </c>
      <c r="CA25" s="51">
        <f t="shared" ref="CA25" si="168">+BZ25*3.3058</f>
        <v>19126.631524000004</v>
      </c>
      <c r="CB25" s="48">
        <f t="shared" si="91"/>
        <v>5612.2066000000004</v>
      </c>
      <c r="CC25" s="51">
        <f t="shared" si="92"/>
        <v>18552.832578280002</v>
      </c>
      <c r="CD25" s="48">
        <f t="shared" si="93"/>
        <v>5496.491</v>
      </c>
      <c r="CE25" s="51">
        <f t="shared" si="94"/>
        <v>18170.299947800002</v>
      </c>
      <c r="CF25" s="48">
        <f t="shared" si="21"/>
        <v>5380.7754000000004</v>
      </c>
      <c r="CG25" s="51">
        <f t="shared" si="95"/>
        <v>17787.767317320002</v>
      </c>
      <c r="CH25" s="52">
        <f t="shared" si="22"/>
        <v>5265.0598000000009</v>
      </c>
      <c r="CI25" s="51">
        <f t="shared" si="96"/>
        <v>17405.234686840002</v>
      </c>
      <c r="CJ25" s="48">
        <f t="shared" si="23"/>
        <v>5149.3442000000005</v>
      </c>
      <c r="CK25" s="51">
        <f t="shared" si="97"/>
        <v>17022.702056360002</v>
      </c>
      <c r="CL25" s="52">
        <f t="shared" si="24"/>
        <v>5033.6286000000009</v>
      </c>
      <c r="CM25" s="51">
        <f t="shared" si="98"/>
        <v>16640.169425880002</v>
      </c>
      <c r="CN25" s="53">
        <f t="shared" si="25"/>
        <v>4917.9130000000005</v>
      </c>
      <c r="CO25" s="51">
        <f t="shared" si="99"/>
        <v>16257.636795400002</v>
      </c>
      <c r="CP25" s="52">
        <f t="shared" si="26"/>
        <v>4802.1974</v>
      </c>
      <c r="CQ25" s="51">
        <f t="shared" si="100"/>
        <v>15875.10416492</v>
      </c>
      <c r="CR25" s="48">
        <f t="shared" si="27"/>
        <v>4686.4818000000005</v>
      </c>
      <c r="CS25" s="51">
        <f t="shared" si="101"/>
        <v>15492.571534440001</v>
      </c>
      <c r="CT25" s="53">
        <f t="shared" si="28"/>
        <v>4570.7662</v>
      </c>
      <c r="CU25" s="51">
        <f t="shared" si="102"/>
        <v>15110.03890396</v>
      </c>
      <c r="CV25" s="53">
        <f t="shared" si="29"/>
        <v>4455.0505999999996</v>
      </c>
      <c r="CW25" s="51">
        <f t="shared" si="103"/>
        <v>14727.506273479999</v>
      </c>
      <c r="CX25" s="53">
        <f t="shared" si="30"/>
        <v>4339.335</v>
      </c>
      <c r="CY25" s="51">
        <f t="shared" si="104"/>
        <v>14344.973643000001</v>
      </c>
      <c r="CZ25" s="48">
        <f t="shared" si="31"/>
        <v>4223.6193999999996</v>
      </c>
      <c r="DA25" s="51">
        <f t="shared" si="105"/>
        <v>13962.441012519999</v>
      </c>
      <c r="DB25" s="53">
        <f t="shared" si="32"/>
        <v>4107.9038</v>
      </c>
      <c r="DC25" s="51">
        <f t="shared" si="106"/>
        <v>13579.908382040001</v>
      </c>
      <c r="DD25" s="53">
        <f t="shared" si="33"/>
        <v>3992.1881999999996</v>
      </c>
      <c r="DE25" s="51">
        <f t="shared" si="107"/>
        <v>13197.375751559999</v>
      </c>
      <c r="DF25" s="53">
        <f t="shared" si="34"/>
        <v>3876.4725999999996</v>
      </c>
      <c r="DG25" s="51">
        <f t="shared" si="108"/>
        <v>12814.843121079999</v>
      </c>
      <c r="DH25" s="53">
        <f t="shared" si="35"/>
        <v>3760.7569999999992</v>
      </c>
      <c r="DI25" s="51">
        <f t="shared" si="109"/>
        <v>12432.310490599997</v>
      </c>
      <c r="DJ25" s="48">
        <f t="shared" si="36"/>
        <v>3645.0413999999992</v>
      </c>
      <c r="DK25" s="51">
        <f t="shared" si="110"/>
        <v>12049.777860119997</v>
      </c>
      <c r="DL25" s="53">
        <f t="shared" si="37"/>
        <v>3529.3257999999992</v>
      </c>
      <c r="DM25" s="51">
        <f t="shared" si="111"/>
        <v>11667.245229639997</v>
      </c>
      <c r="DN25" s="53">
        <f t="shared" si="38"/>
        <v>3413.6101999999987</v>
      </c>
      <c r="DO25" s="51">
        <f t="shared" si="112"/>
        <v>11284.712599159997</v>
      </c>
      <c r="DP25" s="48">
        <f t="shared" si="39"/>
        <v>3297.8945999999987</v>
      </c>
      <c r="DQ25" s="51">
        <f t="shared" si="113"/>
        <v>10902.179968679997</v>
      </c>
      <c r="DT25" s="48">
        <v>1</v>
      </c>
      <c r="DU25" s="48">
        <v>0.97</v>
      </c>
      <c r="DV25" s="48">
        <v>0.95</v>
      </c>
      <c r="DW25" s="48">
        <v>0.93</v>
      </c>
      <c r="DX25" s="48">
        <f t="shared" ref="DX25:EO25" si="169">+DW25-0.02</f>
        <v>0.91</v>
      </c>
      <c r="DY25" s="48">
        <f t="shared" si="169"/>
        <v>0.89</v>
      </c>
      <c r="DZ25" s="48">
        <f t="shared" si="169"/>
        <v>0.87</v>
      </c>
      <c r="EA25" s="48">
        <f t="shared" si="169"/>
        <v>0.85</v>
      </c>
      <c r="EB25" s="48">
        <f t="shared" si="169"/>
        <v>0.83</v>
      </c>
      <c r="EC25" s="48">
        <f t="shared" si="169"/>
        <v>0.80999999999999994</v>
      </c>
      <c r="ED25" s="48">
        <f t="shared" si="169"/>
        <v>0.78999999999999992</v>
      </c>
      <c r="EE25" s="48">
        <f t="shared" si="169"/>
        <v>0.76999999999999991</v>
      </c>
      <c r="EF25" s="48">
        <f t="shared" si="169"/>
        <v>0.74999999999999989</v>
      </c>
      <c r="EG25" s="48">
        <f t="shared" si="169"/>
        <v>0.72999999999999987</v>
      </c>
      <c r="EH25" s="48">
        <f t="shared" si="169"/>
        <v>0.70999999999999985</v>
      </c>
      <c r="EI25" s="48">
        <f t="shared" si="169"/>
        <v>0.68999999999999984</v>
      </c>
      <c r="EJ25" s="48">
        <f t="shared" si="169"/>
        <v>0.66999999999999982</v>
      </c>
      <c r="EK25" s="48">
        <f t="shared" si="169"/>
        <v>0.6499999999999998</v>
      </c>
      <c r="EL25" s="48">
        <f t="shared" si="169"/>
        <v>0.62999999999999978</v>
      </c>
      <c r="EM25" s="48">
        <f t="shared" si="169"/>
        <v>0.60999999999999976</v>
      </c>
      <c r="EN25" s="48">
        <f t="shared" si="169"/>
        <v>0.58999999999999975</v>
      </c>
      <c r="EO25" s="48">
        <f t="shared" si="169"/>
        <v>0.56999999999999973</v>
      </c>
      <c r="EQ25" s="48">
        <f t="shared" si="115"/>
        <v>5265.0598000000009</v>
      </c>
      <c r="ER25" s="48">
        <f t="shared" si="116"/>
        <v>5265.0598000000009</v>
      </c>
      <c r="ES25" s="51">
        <f t="shared" ref="ES25" si="170">+ER25*3.3058</f>
        <v>17405.234686840002</v>
      </c>
      <c r="ET25" s="48">
        <f t="shared" si="118"/>
        <v>5107.1080060000004</v>
      </c>
      <c r="EU25" s="51">
        <f t="shared" si="119"/>
        <v>16883.0776462348</v>
      </c>
      <c r="EV25" s="48">
        <f t="shared" si="120"/>
        <v>5001.806810000001</v>
      </c>
      <c r="EW25" s="51">
        <f t="shared" si="121"/>
        <v>16534.972952498003</v>
      </c>
      <c r="EX25" s="48">
        <f t="shared" si="41"/>
        <v>4896.5056140000015</v>
      </c>
      <c r="EY25" s="51">
        <f t="shared" si="122"/>
        <v>16186.868258761206</v>
      </c>
      <c r="EZ25" s="52">
        <f t="shared" si="42"/>
        <v>4791.2044180000012</v>
      </c>
      <c r="FA25" s="51">
        <f t="shared" si="123"/>
        <v>15838.763565024405</v>
      </c>
      <c r="FB25" s="48">
        <f t="shared" si="43"/>
        <v>4685.9032220000008</v>
      </c>
      <c r="FC25" s="51">
        <f t="shared" si="124"/>
        <v>15490.658871287604</v>
      </c>
      <c r="FD25" s="52">
        <f t="shared" si="44"/>
        <v>4580.6020260000005</v>
      </c>
      <c r="FE25" s="51">
        <f t="shared" si="125"/>
        <v>15142.554177550803</v>
      </c>
      <c r="FF25" s="53">
        <f t="shared" si="45"/>
        <v>4475.300830000001</v>
      </c>
      <c r="FG25" s="51">
        <f t="shared" si="126"/>
        <v>14794.449483814004</v>
      </c>
      <c r="FH25" s="52">
        <f t="shared" si="46"/>
        <v>4369.9996340000007</v>
      </c>
      <c r="FI25" s="51">
        <f t="shared" si="127"/>
        <v>14446.344790077203</v>
      </c>
      <c r="FJ25" s="48">
        <f t="shared" si="47"/>
        <v>4264.6984380000004</v>
      </c>
      <c r="FK25" s="51">
        <f t="shared" si="128"/>
        <v>14098.240096340402</v>
      </c>
      <c r="FL25" s="53">
        <f t="shared" si="48"/>
        <v>4159.397242</v>
      </c>
      <c r="FM25" s="51">
        <f t="shared" si="129"/>
        <v>13750.135402603601</v>
      </c>
      <c r="FN25" s="53">
        <f t="shared" si="49"/>
        <v>4054.0960460000001</v>
      </c>
      <c r="FO25" s="51">
        <f t="shared" si="130"/>
        <v>13402.030708866801</v>
      </c>
      <c r="FP25" s="53">
        <f t="shared" si="50"/>
        <v>3948.7948500000002</v>
      </c>
      <c r="FQ25" s="51">
        <f t="shared" si="131"/>
        <v>13053.92601513</v>
      </c>
      <c r="FR25" s="48">
        <f t="shared" si="51"/>
        <v>3843.4936539999999</v>
      </c>
      <c r="FS25" s="51">
        <f t="shared" si="132"/>
        <v>12705.821321393199</v>
      </c>
      <c r="FT25" s="53">
        <f t="shared" si="52"/>
        <v>3738.192458</v>
      </c>
      <c r="FU25" s="51">
        <f t="shared" si="133"/>
        <v>12357.7166276564</v>
      </c>
      <c r="FV25" s="53">
        <f t="shared" si="53"/>
        <v>3632.8912619999996</v>
      </c>
      <c r="FW25" s="51">
        <f t="shared" si="134"/>
        <v>12009.611933919599</v>
      </c>
      <c r="FX25" s="53">
        <f t="shared" si="54"/>
        <v>3527.5900659999998</v>
      </c>
      <c r="FY25" s="51">
        <f t="shared" si="135"/>
        <v>11661.5072401828</v>
      </c>
      <c r="FZ25" s="53">
        <f t="shared" si="55"/>
        <v>3422.2888699999994</v>
      </c>
      <c r="GA25" s="51">
        <f t="shared" si="136"/>
        <v>11313.402546445999</v>
      </c>
      <c r="GB25" s="48">
        <f t="shared" si="56"/>
        <v>3316.9876739999995</v>
      </c>
      <c r="GC25" s="51">
        <f t="shared" si="137"/>
        <v>10965.297852709198</v>
      </c>
      <c r="GD25" s="53">
        <f t="shared" si="57"/>
        <v>3211.6864779999992</v>
      </c>
      <c r="GE25" s="51">
        <f t="shared" si="138"/>
        <v>10617.193158972397</v>
      </c>
      <c r="GF25" s="53">
        <f t="shared" si="58"/>
        <v>3106.3852819999993</v>
      </c>
      <c r="GG25" s="51">
        <f t="shared" si="139"/>
        <v>10269.088465235598</v>
      </c>
      <c r="GH25" s="48">
        <f t="shared" si="59"/>
        <v>3001.0840859999989</v>
      </c>
      <c r="GI25" s="51">
        <f t="shared" si="140"/>
        <v>9920.9837714987971</v>
      </c>
      <c r="GJ25" s="48"/>
      <c r="GK25" s="48"/>
      <c r="GL25" s="48">
        <v>1</v>
      </c>
      <c r="GM25" s="48">
        <v>0.97</v>
      </c>
      <c r="GN25" s="48">
        <v>0.95</v>
      </c>
      <c r="GO25" s="48">
        <v>0.93</v>
      </c>
      <c r="GP25" s="48">
        <f t="shared" ref="GP25:HG25" si="171">+GO25-0.02</f>
        <v>0.91</v>
      </c>
      <c r="GQ25" s="48">
        <f t="shared" si="171"/>
        <v>0.89</v>
      </c>
      <c r="GR25" s="48">
        <f t="shared" si="171"/>
        <v>0.87</v>
      </c>
      <c r="GS25" s="48">
        <f t="shared" si="171"/>
        <v>0.85</v>
      </c>
      <c r="GT25" s="48">
        <f t="shared" si="171"/>
        <v>0.83</v>
      </c>
      <c r="GU25" s="48">
        <f t="shared" si="171"/>
        <v>0.80999999999999994</v>
      </c>
      <c r="GV25" s="48">
        <f t="shared" si="171"/>
        <v>0.78999999999999992</v>
      </c>
      <c r="GW25" s="48">
        <f t="shared" si="171"/>
        <v>0.76999999999999991</v>
      </c>
      <c r="GX25" s="48">
        <f t="shared" si="171"/>
        <v>0.74999999999999989</v>
      </c>
      <c r="GY25" s="48">
        <f t="shared" si="171"/>
        <v>0.72999999999999987</v>
      </c>
      <c r="GZ25" s="48">
        <f t="shared" si="171"/>
        <v>0.70999999999999985</v>
      </c>
      <c r="HA25" s="48">
        <f t="shared" si="171"/>
        <v>0.68999999999999984</v>
      </c>
      <c r="HB25" s="48">
        <f t="shared" si="171"/>
        <v>0.66999999999999982</v>
      </c>
      <c r="HC25" s="48">
        <f t="shared" si="171"/>
        <v>0.6499999999999998</v>
      </c>
      <c r="HD25" s="48">
        <f t="shared" si="171"/>
        <v>0.62999999999999978</v>
      </c>
      <c r="HE25" s="48">
        <f t="shared" si="171"/>
        <v>0.60999999999999976</v>
      </c>
      <c r="HF25" s="48">
        <f t="shared" si="171"/>
        <v>0.58999999999999975</v>
      </c>
      <c r="HG25" s="48">
        <f t="shared" si="171"/>
        <v>0.56999999999999973</v>
      </c>
    </row>
    <row r="26" spans="1:215" x14ac:dyDescent="0.3">
      <c r="B26" s="2">
        <v>9</v>
      </c>
      <c r="C26" s="35" t="s">
        <v>36</v>
      </c>
      <c r="D26" s="47">
        <f>+D155</f>
        <v>44810</v>
      </c>
      <c r="E26" s="69">
        <f t="shared" si="0"/>
        <v>148130</v>
      </c>
      <c r="G26" s="48">
        <f t="shared" si="61"/>
        <v>49291.000000000007</v>
      </c>
      <c r="H26" s="48">
        <f t="shared" si="62"/>
        <v>49291.000000000007</v>
      </c>
      <c r="I26" s="51">
        <f t="shared" si="63"/>
        <v>162946.18780000001</v>
      </c>
      <c r="J26" s="48">
        <f t="shared" si="64"/>
        <v>47812.270000000004</v>
      </c>
      <c r="K26" s="51">
        <f t="shared" si="65"/>
        <v>158057.80216600001</v>
      </c>
      <c r="L26" s="48">
        <f t="shared" si="66"/>
        <v>46826.450000000004</v>
      </c>
      <c r="M26" s="51">
        <f t="shared" si="67"/>
        <v>154798.87841</v>
      </c>
      <c r="N26" s="48">
        <f t="shared" si="1"/>
        <v>45840.630000000012</v>
      </c>
      <c r="O26" s="51">
        <f t="shared" si="68"/>
        <v>151539.95465400003</v>
      </c>
      <c r="P26" s="52">
        <f t="shared" si="2"/>
        <v>44854.810000000005</v>
      </c>
      <c r="Q26" s="51">
        <f t="shared" si="69"/>
        <v>148281.03089800003</v>
      </c>
      <c r="R26" s="48">
        <f t="shared" si="3"/>
        <v>43868.990000000005</v>
      </c>
      <c r="S26" s="51">
        <f t="shared" si="70"/>
        <v>145022.10714200002</v>
      </c>
      <c r="T26" s="52">
        <f t="shared" si="4"/>
        <v>42883.170000000006</v>
      </c>
      <c r="U26" s="51">
        <f t="shared" si="71"/>
        <v>141763.18338600002</v>
      </c>
      <c r="V26" s="53">
        <f t="shared" si="5"/>
        <v>41897.350000000006</v>
      </c>
      <c r="W26" s="51">
        <f t="shared" si="72"/>
        <v>138504.25963000002</v>
      </c>
      <c r="X26" s="52">
        <f t="shared" si="6"/>
        <v>40911.530000000006</v>
      </c>
      <c r="Y26" s="51">
        <f t="shared" si="73"/>
        <v>135245.33587400001</v>
      </c>
      <c r="Z26" s="48">
        <f t="shared" si="7"/>
        <v>39925.710000000006</v>
      </c>
      <c r="AA26" s="51">
        <f t="shared" si="74"/>
        <v>131986.41211800004</v>
      </c>
      <c r="AB26" s="53">
        <f t="shared" si="8"/>
        <v>38939.89</v>
      </c>
      <c r="AC26" s="51">
        <f t="shared" si="75"/>
        <v>128727.488362</v>
      </c>
      <c r="AD26" s="53">
        <f t="shared" si="9"/>
        <v>37954.07</v>
      </c>
      <c r="AE26" s="51">
        <f t="shared" si="76"/>
        <v>125468.564606</v>
      </c>
      <c r="AF26" s="53">
        <f t="shared" si="10"/>
        <v>36968.25</v>
      </c>
      <c r="AG26" s="51">
        <f t="shared" si="77"/>
        <v>122209.64085</v>
      </c>
      <c r="AH26" s="48">
        <f t="shared" si="11"/>
        <v>35982.43</v>
      </c>
      <c r="AI26" s="51">
        <f t="shared" si="78"/>
        <v>118950.71709400001</v>
      </c>
      <c r="AJ26" s="53">
        <f t="shared" si="12"/>
        <v>34996.61</v>
      </c>
      <c r="AK26" s="51">
        <f t="shared" si="79"/>
        <v>115691.793338</v>
      </c>
      <c r="AL26" s="53">
        <f t="shared" si="13"/>
        <v>34010.789999999994</v>
      </c>
      <c r="AM26" s="51">
        <f t="shared" si="80"/>
        <v>112432.86958199998</v>
      </c>
      <c r="AN26" s="53">
        <f t="shared" si="14"/>
        <v>33024.969999999994</v>
      </c>
      <c r="AO26" s="51">
        <f t="shared" si="81"/>
        <v>109173.94582599998</v>
      </c>
      <c r="AP26" s="53">
        <f t="shared" si="15"/>
        <v>32039.149999999994</v>
      </c>
      <c r="AQ26" s="51">
        <f t="shared" si="82"/>
        <v>105915.02206999998</v>
      </c>
      <c r="AR26" s="48">
        <f t="shared" si="16"/>
        <v>31053.329999999994</v>
      </c>
      <c r="AS26" s="51">
        <f t="shared" si="83"/>
        <v>102656.09831399999</v>
      </c>
      <c r="AT26" s="53">
        <f t="shared" si="17"/>
        <v>30067.509999999991</v>
      </c>
      <c r="AU26" s="51">
        <f t="shared" si="84"/>
        <v>99397.17455799997</v>
      </c>
      <c r="AV26" s="53">
        <f t="shared" si="18"/>
        <v>29081.689999999991</v>
      </c>
      <c r="AW26" s="51">
        <f t="shared" si="85"/>
        <v>96138.25080199998</v>
      </c>
      <c r="AX26" s="48">
        <f t="shared" si="19"/>
        <v>28095.869999999992</v>
      </c>
      <c r="AY26" s="51">
        <f t="shared" si="86"/>
        <v>92879.327045999977</v>
      </c>
      <c r="BB26" s="48">
        <v>1</v>
      </c>
      <c r="BC26" s="48">
        <v>0.97</v>
      </c>
      <c r="BD26" s="48">
        <v>0.95</v>
      </c>
      <c r="BE26" s="48">
        <v>0.93</v>
      </c>
      <c r="BF26" s="48">
        <f t="shared" ref="BF26:BW26" si="172">+BE26-0.02</f>
        <v>0.91</v>
      </c>
      <c r="BG26" s="48">
        <f t="shared" si="172"/>
        <v>0.89</v>
      </c>
      <c r="BH26" s="48">
        <f t="shared" si="172"/>
        <v>0.87</v>
      </c>
      <c r="BI26" s="48">
        <f t="shared" si="172"/>
        <v>0.85</v>
      </c>
      <c r="BJ26" s="48">
        <f t="shared" si="172"/>
        <v>0.83</v>
      </c>
      <c r="BK26" s="48">
        <f t="shared" si="172"/>
        <v>0.80999999999999994</v>
      </c>
      <c r="BL26" s="48">
        <f t="shared" si="172"/>
        <v>0.78999999999999992</v>
      </c>
      <c r="BM26" s="48">
        <f t="shared" si="172"/>
        <v>0.76999999999999991</v>
      </c>
      <c r="BN26" s="48">
        <f t="shared" si="172"/>
        <v>0.74999999999999989</v>
      </c>
      <c r="BO26" s="48">
        <f t="shared" si="172"/>
        <v>0.72999999999999987</v>
      </c>
      <c r="BP26" s="48">
        <f t="shared" si="172"/>
        <v>0.70999999999999985</v>
      </c>
      <c r="BQ26" s="48">
        <f t="shared" si="172"/>
        <v>0.68999999999999984</v>
      </c>
      <c r="BR26" s="48">
        <f t="shared" si="172"/>
        <v>0.66999999999999982</v>
      </c>
      <c r="BS26" s="48">
        <f t="shared" si="172"/>
        <v>0.6499999999999998</v>
      </c>
      <c r="BT26" s="48">
        <f t="shared" si="172"/>
        <v>0.62999999999999978</v>
      </c>
      <c r="BU26" s="48">
        <f t="shared" si="172"/>
        <v>0.60999999999999976</v>
      </c>
      <c r="BV26" s="48">
        <f t="shared" si="172"/>
        <v>0.58999999999999975</v>
      </c>
      <c r="BW26" s="48">
        <f t="shared" si="172"/>
        <v>0.56999999999999973</v>
      </c>
      <c r="BY26" s="48">
        <f t="shared" si="88"/>
        <v>44854.810000000005</v>
      </c>
      <c r="BZ26" s="48">
        <f t="shared" si="89"/>
        <v>44854.810000000005</v>
      </c>
      <c r="CA26" s="51">
        <f t="shared" ref="CA26" si="173">+BZ26*3.3058</f>
        <v>148281.03089800003</v>
      </c>
      <c r="CB26" s="48">
        <f t="shared" si="91"/>
        <v>43509.165700000005</v>
      </c>
      <c r="CC26" s="51">
        <f t="shared" si="92"/>
        <v>143832.59997106003</v>
      </c>
      <c r="CD26" s="48">
        <f t="shared" si="93"/>
        <v>42612.069500000005</v>
      </c>
      <c r="CE26" s="51">
        <f t="shared" si="94"/>
        <v>140866.97935310003</v>
      </c>
      <c r="CF26" s="48">
        <f t="shared" si="21"/>
        <v>41714.973300000005</v>
      </c>
      <c r="CG26" s="51">
        <f t="shared" si="95"/>
        <v>137901.35873514001</v>
      </c>
      <c r="CH26" s="52">
        <f t="shared" si="22"/>
        <v>40817.877100000005</v>
      </c>
      <c r="CI26" s="51">
        <f t="shared" si="96"/>
        <v>134935.73811718001</v>
      </c>
      <c r="CJ26" s="48">
        <f t="shared" si="23"/>
        <v>39920.780900000005</v>
      </c>
      <c r="CK26" s="51">
        <f t="shared" si="97"/>
        <v>131970.11749922001</v>
      </c>
      <c r="CL26" s="52">
        <f t="shared" si="24"/>
        <v>39023.684700000005</v>
      </c>
      <c r="CM26" s="51">
        <f t="shared" si="98"/>
        <v>129004.49688126003</v>
      </c>
      <c r="CN26" s="53">
        <f t="shared" si="25"/>
        <v>38126.588500000005</v>
      </c>
      <c r="CO26" s="51">
        <f t="shared" si="99"/>
        <v>126038.87626330002</v>
      </c>
      <c r="CP26" s="52">
        <f t="shared" si="26"/>
        <v>37229.492300000005</v>
      </c>
      <c r="CQ26" s="51">
        <f t="shared" si="100"/>
        <v>123073.25564534002</v>
      </c>
      <c r="CR26" s="48">
        <f t="shared" si="27"/>
        <v>36332.396099999998</v>
      </c>
      <c r="CS26" s="51">
        <f t="shared" si="101"/>
        <v>120107.63502737999</v>
      </c>
      <c r="CT26" s="53">
        <f t="shared" si="28"/>
        <v>35435.299899999998</v>
      </c>
      <c r="CU26" s="51">
        <f t="shared" si="102"/>
        <v>117142.01440941999</v>
      </c>
      <c r="CV26" s="53">
        <f t="shared" si="29"/>
        <v>34538.203699999998</v>
      </c>
      <c r="CW26" s="51">
        <f t="shared" si="103"/>
        <v>114176.39379146</v>
      </c>
      <c r="CX26" s="53">
        <f t="shared" si="30"/>
        <v>33641.107499999998</v>
      </c>
      <c r="CY26" s="51">
        <f t="shared" si="104"/>
        <v>111210.7731735</v>
      </c>
      <c r="CZ26" s="48">
        <f t="shared" si="31"/>
        <v>32744.011299999998</v>
      </c>
      <c r="DA26" s="51">
        <f t="shared" si="105"/>
        <v>108245.15255554</v>
      </c>
      <c r="DB26" s="53">
        <f t="shared" si="32"/>
        <v>31846.915099999998</v>
      </c>
      <c r="DC26" s="51">
        <f t="shared" si="106"/>
        <v>105279.53193758</v>
      </c>
      <c r="DD26" s="53">
        <f t="shared" si="33"/>
        <v>30949.818899999995</v>
      </c>
      <c r="DE26" s="51">
        <f t="shared" si="107"/>
        <v>102313.91131961999</v>
      </c>
      <c r="DF26" s="53">
        <f t="shared" si="34"/>
        <v>30052.722699999995</v>
      </c>
      <c r="DG26" s="51">
        <f t="shared" si="108"/>
        <v>99348.290701659978</v>
      </c>
      <c r="DH26" s="53">
        <f t="shared" si="35"/>
        <v>29155.626499999995</v>
      </c>
      <c r="DI26" s="51">
        <f t="shared" si="109"/>
        <v>96382.670083699981</v>
      </c>
      <c r="DJ26" s="48">
        <f t="shared" si="36"/>
        <v>28258.530299999995</v>
      </c>
      <c r="DK26" s="51">
        <f t="shared" si="110"/>
        <v>93417.049465739983</v>
      </c>
      <c r="DL26" s="53">
        <f t="shared" si="37"/>
        <v>27361.434099999991</v>
      </c>
      <c r="DM26" s="51">
        <f t="shared" si="111"/>
        <v>90451.428847779971</v>
      </c>
      <c r="DN26" s="53">
        <f t="shared" si="38"/>
        <v>26464.337899999991</v>
      </c>
      <c r="DO26" s="51">
        <f t="shared" si="112"/>
        <v>87485.808229819973</v>
      </c>
      <c r="DP26" s="48">
        <f t="shared" si="39"/>
        <v>25567.241699999991</v>
      </c>
      <c r="DQ26" s="51">
        <f t="shared" si="113"/>
        <v>84520.187611859976</v>
      </c>
      <c r="DT26" s="48">
        <v>1</v>
      </c>
      <c r="DU26" s="48">
        <v>0.97</v>
      </c>
      <c r="DV26" s="48">
        <v>0.95</v>
      </c>
      <c r="DW26" s="48">
        <v>0.93</v>
      </c>
      <c r="DX26" s="48">
        <f t="shared" ref="DX26:EO26" si="174">+DW26-0.02</f>
        <v>0.91</v>
      </c>
      <c r="DY26" s="48">
        <f t="shared" si="174"/>
        <v>0.89</v>
      </c>
      <c r="DZ26" s="48">
        <f t="shared" si="174"/>
        <v>0.87</v>
      </c>
      <c r="EA26" s="48">
        <f t="shared" si="174"/>
        <v>0.85</v>
      </c>
      <c r="EB26" s="48">
        <f t="shared" si="174"/>
        <v>0.83</v>
      </c>
      <c r="EC26" s="48">
        <f t="shared" si="174"/>
        <v>0.80999999999999994</v>
      </c>
      <c r="ED26" s="48">
        <f t="shared" si="174"/>
        <v>0.78999999999999992</v>
      </c>
      <c r="EE26" s="48">
        <f t="shared" si="174"/>
        <v>0.76999999999999991</v>
      </c>
      <c r="EF26" s="48">
        <f t="shared" si="174"/>
        <v>0.74999999999999989</v>
      </c>
      <c r="EG26" s="48">
        <f t="shared" si="174"/>
        <v>0.72999999999999987</v>
      </c>
      <c r="EH26" s="48">
        <f t="shared" si="174"/>
        <v>0.70999999999999985</v>
      </c>
      <c r="EI26" s="48">
        <f t="shared" si="174"/>
        <v>0.68999999999999984</v>
      </c>
      <c r="EJ26" s="48">
        <f t="shared" si="174"/>
        <v>0.66999999999999982</v>
      </c>
      <c r="EK26" s="48">
        <f t="shared" si="174"/>
        <v>0.6499999999999998</v>
      </c>
      <c r="EL26" s="48">
        <f t="shared" si="174"/>
        <v>0.62999999999999978</v>
      </c>
      <c r="EM26" s="48">
        <f t="shared" si="174"/>
        <v>0.60999999999999976</v>
      </c>
      <c r="EN26" s="48">
        <f t="shared" si="174"/>
        <v>0.58999999999999975</v>
      </c>
      <c r="EO26" s="48">
        <f t="shared" si="174"/>
        <v>0.56999999999999973</v>
      </c>
      <c r="EQ26" s="48">
        <f t="shared" si="115"/>
        <v>40817.877100000005</v>
      </c>
      <c r="ER26" s="48">
        <f t="shared" si="116"/>
        <v>40817.877100000005</v>
      </c>
      <c r="ES26" s="51">
        <f t="shared" ref="ES26" si="175">+ER26*3.3058</f>
        <v>134935.73811718001</v>
      </c>
      <c r="ET26" s="48">
        <f t="shared" si="118"/>
        <v>39593.340787000001</v>
      </c>
      <c r="EU26" s="51">
        <f t="shared" si="119"/>
        <v>130887.66597366461</v>
      </c>
      <c r="EV26" s="48">
        <f t="shared" si="120"/>
        <v>38776.983245000003</v>
      </c>
      <c r="EW26" s="51">
        <f t="shared" si="121"/>
        <v>128188.95121132101</v>
      </c>
      <c r="EX26" s="48">
        <f t="shared" si="41"/>
        <v>37960.625703000005</v>
      </c>
      <c r="EY26" s="51">
        <f t="shared" si="122"/>
        <v>125490.23644897742</v>
      </c>
      <c r="EZ26" s="52">
        <f t="shared" si="42"/>
        <v>37144.268161000007</v>
      </c>
      <c r="FA26" s="51">
        <f t="shared" si="123"/>
        <v>122791.52168663383</v>
      </c>
      <c r="FB26" s="48">
        <f t="shared" si="43"/>
        <v>36327.910619000002</v>
      </c>
      <c r="FC26" s="51">
        <f t="shared" si="124"/>
        <v>120092.80692429021</v>
      </c>
      <c r="FD26" s="52">
        <f t="shared" si="44"/>
        <v>35511.553077000004</v>
      </c>
      <c r="FE26" s="51">
        <f t="shared" si="125"/>
        <v>117394.09216194661</v>
      </c>
      <c r="FF26" s="53">
        <f t="shared" si="45"/>
        <v>34695.195535000006</v>
      </c>
      <c r="FG26" s="51">
        <f t="shared" si="126"/>
        <v>114695.37739960302</v>
      </c>
      <c r="FH26" s="52">
        <f t="shared" si="46"/>
        <v>33878.837993000001</v>
      </c>
      <c r="FI26" s="51">
        <f t="shared" si="127"/>
        <v>111996.6626372594</v>
      </c>
      <c r="FJ26" s="48">
        <f t="shared" si="47"/>
        <v>33062.480451000003</v>
      </c>
      <c r="FK26" s="51">
        <f t="shared" si="128"/>
        <v>109297.94787491582</v>
      </c>
      <c r="FL26" s="53">
        <f t="shared" si="48"/>
        <v>32246.122909000002</v>
      </c>
      <c r="FM26" s="51">
        <f t="shared" si="129"/>
        <v>106599.23311257221</v>
      </c>
      <c r="FN26" s="53">
        <f t="shared" si="49"/>
        <v>31429.765367</v>
      </c>
      <c r="FO26" s="51">
        <f t="shared" si="130"/>
        <v>103900.51835022861</v>
      </c>
      <c r="FP26" s="53">
        <f t="shared" si="50"/>
        <v>30613.407824999998</v>
      </c>
      <c r="FQ26" s="51">
        <f t="shared" si="131"/>
        <v>101201.80358788499</v>
      </c>
      <c r="FR26" s="48">
        <f t="shared" si="51"/>
        <v>29797.050282999997</v>
      </c>
      <c r="FS26" s="51">
        <f t="shared" si="132"/>
        <v>98503.088825541388</v>
      </c>
      <c r="FT26" s="53">
        <f t="shared" si="52"/>
        <v>28980.692740999999</v>
      </c>
      <c r="FU26" s="51">
        <f t="shared" si="133"/>
        <v>95804.3740631978</v>
      </c>
      <c r="FV26" s="53">
        <f t="shared" si="53"/>
        <v>28164.335198999997</v>
      </c>
      <c r="FW26" s="51">
        <f t="shared" si="134"/>
        <v>93105.659300854197</v>
      </c>
      <c r="FX26" s="53">
        <f t="shared" si="54"/>
        <v>27347.977656999996</v>
      </c>
      <c r="FY26" s="51">
        <f t="shared" si="135"/>
        <v>90406.944538510594</v>
      </c>
      <c r="FZ26" s="53">
        <f t="shared" si="55"/>
        <v>26531.620114999994</v>
      </c>
      <c r="GA26" s="51">
        <f t="shared" si="136"/>
        <v>87708.229776166976</v>
      </c>
      <c r="GB26" s="48">
        <f t="shared" si="56"/>
        <v>25715.262572999993</v>
      </c>
      <c r="GC26" s="51">
        <f t="shared" si="137"/>
        <v>85009.515013823373</v>
      </c>
      <c r="GD26" s="53">
        <f t="shared" si="57"/>
        <v>24898.905030999995</v>
      </c>
      <c r="GE26" s="51">
        <f t="shared" si="138"/>
        <v>82310.800251479784</v>
      </c>
      <c r="GF26" s="53">
        <f t="shared" si="58"/>
        <v>24082.547488999993</v>
      </c>
      <c r="GG26" s="51">
        <f t="shared" si="139"/>
        <v>79612.085489136181</v>
      </c>
      <c r="GH26" s="48">
        <f t="shared" si="59"/>
        <v>23266.189946999992</v>
      </c>
      <c r="GI26" s="51">
        <f t="shared" si="140"/>
        <v>76913.370726792578</v>
      </c>
      <c r="GJ26" s="48"/>
      <c r="GK26" s="48"/>
      <c r="GL26" s="48">
        <v>1</v>
      </c>
      <c r="GM26" s="48">
        <v>0.97</v>
      </c>
      <c r="GN26" s="48">
        <v>0.95</v>
      </c>
      <c r="GO26" s="48">
        <v>0.93</v>
      </c>
      <c r="GP26" s="48">
        <f t="shared" ref="GP26:HG26" si="176">+GO26-0.02</f>
        <v>0.91</v>
      </c>
      <c r="GQ26" s="48">
        <f t="shared" si="176"/>
        <v>0.89</v>
      </c>
      <c r="GR26" s="48">
        <f t="shared" si="176"/>
        <v>0.87</v>
      </c>
      <c r="GS26" s="48">
        <f t="shared" si="176"/>
        <v>0.85</v>
      </c>
      <c r="GT26" s="48">
        <f t="shared" si="176"/>
        <v>0.83</v>
      </c>
      <c r="GU26" s="48">
        <f t="shared" si="176"/>
        <v>0.80999999999999994</v>
      </c>
      <c r="GV26" s="48">
        <f t="shared" si="176"/>
        <v>0.78999999999999992</v>
      </c>
      <c r="GW26" s="48">
        <f t="shared" si="176"/>
        <v>0.76999999999999991</v>
      </c>
      <c r="GX26" s="48">
        <f t="shared" si="176"/>
        <v>0.74999999999999989</v>
      </c>
      <c r="GY26" s="48">
        <f t="shared" si="176"/>
        <v>0.72999999999999987</v>
      </c>
      <c r="GZ26" s="48">
        <f t="shared" si="176"/>
        <v>0.70999999999999985</v>
      </c>
      <c r="HA26" s="48">
        <f t="shared" si="176"/>
        <v>0.68999999999999984</v>
      </c>
      <c r="HB26" s="48">
        <f t="shared" si="176"/>
        <v>0.66999999999999982</v>
      </c>
      <c r="HC26" s="48">
        <f t="shared" si="176"/>
        <v>0.6499999999999998</v>
      </c>
      <c r="HD26" s="48">
        <f t="shared" si="176"/>
        <v>0.62999999999999978</v>
      </c>
      <c r="HE26" s="48">
        <f t="shared" si="176"/>
        <v>0.60999999999999976</v>
      </c>
      <c r="HF26" s="48">
        <f t="shared" si="176"/>
        <v>0.58999999999999975</v>
      </c>
      <c r="HG26" s="48">
        <f t="shared" si="176"/>
        <v>0.56999999999999973</v>
      </c>
    </row>
    <row r="27" spans="1:215" x14ac:dyDescent="0.3">
      <c r="B27" s="2">
        <v>10</v>
      </c>
      <c r="C27" s="35" t="s">
        <v>62</v>
      </c>
      <c r="D27" s="64">
        <f>TRUNC(SUM(D18:D26)*0.275,-1)</f>
        <v>367040</v>
      </c>
      <c r="E27" s="70">
        <f t="shared" si="0"/>
        <v>1213360</v>
      </c>
      <c r="G27" s="48">
        <f t="shared" si="61"/>
        <v>403744.00000000006</v>
      </c>
      <c r="H27" s="48">
        <f t="shared" si="62"/>
        <v>403744.00000000006</v>
      </c>
      <c r="I27" s="51">
        <f t="shared" si="63"/>
        <v>1334696.9152000002</v>
      </c>
      <c r="J27" s="48">
        <f t="shared" si="64"/>
        <v>391631.68000000005</v>
      </c>
      <c r="K27" s="51">
        <f t="shared" si="65"/>
        <v>1294656.0077440003</v>
      </c>
      <c r="L27" s="48">
        <f t="shared" si="66"/>
        <v>383556.80000000005</v>
      </c>
      <c r="M27" s="51">
        <f t="shared" si="67"/>
        <v>1267962.0694400002</v>
      </c>
      <c r="N27" s="48">
        <f t="shared" si="1"/>
        <v>375481.9200000001</v>
      </c>
      <c r="O27" s="51">
        <f t="shared" si="68"/>
        <v>1241268.1311360004</v>
      </c>
      <c r="P27" s="52">
        <f t="shared" si="2"/>
        <v>367407.04000000004</v>
      </c>
      <c r="Q27" s="51">
        <f t="shared" si="69"/>
        <v>1214574.1928320001</v>
      </c>
      <c r="R27" s="48">
        <f t="shared" si="3"/>
        <v>359332.16000000003</v>
      </c>
      <c r="S27" s="51">
        <f t="shared" si="70"/>
        <v>1187880.254528</v>
      </c>
      <c r="T27" s="52">
        <f t="shared" si="4"/>
        <v>351257.28</v>
      </c>
      <c r="U27" s="51">
        <f t="shared" si="71"/>
        <v>1161186.3162240002</v>
      </c>
      <c r="V27" s="53">
        <f t="shared" si="5"/>
        <v>343182.4</v>
      </c>
      <c r="W27" s="51">
        <f t="shared" si="72"/>
        <v>1134492.3779200001</v>
      </c>
      <c r="X27" s="52">
        <f t="shared" si="6"/>
        <v>335107.52</v>
      </c>
      <c r="Y27" s="51">
        <f t="shared" si="73"/>
        <v>1107798.439616</v>
      </c>
      <c r="Z27" s="48">
        <f t="shared" si="7"/>
        <v>327032.64</v>
      </c>
      <c r="AA27" s="51">
        <f t="shared" si="74"/>
        <v>1081104.501312</v>
      </c>
      <c r="AB27" s="53">
        <f t="shared" si="8"/>
        <v>318957.76</v>
      </c>
      <c r="AC27" s="51">
        <f t="shared" si="75"/>
        <v>1054410.5630080001</v>
      </c>
      <c r="AD27" s="53">
        <f t="shared" si="9"/>
        <v>310882.88</v>
      </c>
      <c r="AE27" s="51">
        <f t="shared" si="76"/>
        <v>1027716.6247040001</v>
      </c>
      <c r="AF27" s="53">
        <f t="shared" si="10"/>
        <v>302808</v>
      </c>
      <c r="AG27" s="51">
        <f t="shared" si="77"/>
        <v>1001022.6864</v>
      </c>
      <c r="AH27" s="48">
        <f t="shared" si="11"/>
        <v>294733.12</v>
      </c>
      <c r="AI27" s="51">
        <f t="shared" si="78"/>
        <v>974328.74809600005</v>
      </c>
      <c r="AJ27" s="53">
        <f t="shared" si="12"/>
        <v>286658.24</v>
      </c>
      <c r="AK27" s="51">
        <f t="shared" si="79"/>
        <v>947634.80979199999</v>
      </c>
      <c r="AL27" s="53">
        <f t="shared" si="13"/>
        <v>278583.36</v>
      </c>
      <c r="AM27" s="51">
        <f t="shared" si="80"/>
        <v>920940.87148799992</v>
      </c>
      <c r="AN27" s="53">
        <f t="shared" si="14"/>
        <v>270508.48</v>
      </c>
      <c r="AO27" s="51">
        <f t="shared" si="81"/>
        <v>894246.93318399996</v>
      </c>
      <c r="AP27" s="53">
        <f t="shared" si="15"/>
        <v>262433.59999999998</v>
      </c>
      <c r="AQ27" s="51">
        <f t="shared" si="82"/>
        <v>867552.9948799999</v>
      </c>
      <c r="AR27" s="48">
        <f t="shared" si="16"/>
        <v>254358.71999999994</v>
      </c>
      <c r="AS27" s="51">
        <f t="shared" si="83"/>
        <v>840859.05657599983</v>
      </c>
      <c r="AT27" s="53">
        <f t="shared" si="17"/>
        <v>246283.83999999994</v>
      </c>
      <c r="AU27" s="51">
        <f t="shared" si="84"/>
        <v>814165.11827199976</v>
      </c>
      <c r="AV27" s="53">
        <f t="shared" si="18"/>
        <v>238208.95999999993</v>
      </c>
      <c r="AW27" s="51">
        <f t="shared" si="85"/>
        <v>787471.17996799981</v>
      </c>
      <c r="AX27" s="48">
        <f t="shared" si="19"/>
        <v>230134.07999999993</v>
      </c>
      <c r="AY27" s="51">
        <f t="shared" si="86"/>
        <v>760777.24166399974</v>
      </c>
      <c r="BB27" s="48">
        <v>1</v>
      </c>
      <c r="BC27" s="48">
        <v>0.97</v>
      </c>
      <c r="BD27" s="48">
        <v>0.95</v>
      </c>
      <c r="BE27" s="48">
        <v>0.93</v>
      </c>
      <c r="BF27" s="48">
        <f t="shared" ref="BF27:BW27" si="177">+BE27-0.02</f>
        <v>0.91</v>
      </c>
      <c r="BG27" s="48">
        <f t="shared" si="177"/>
        <v>0.89</v>
      </c>
      <c r="BH27" s="48">
        <f t="shared" si="177"/>
        <v>0.87</v>
      </c>
      <c r="BI27" s="48">
        <f t="shared" si="177"/>
        <v>0.85</v>
      </c>
      <c r="BJ27" s="48">
        <f t="shared" si="177"/>
        <v>0.83</v>
      </c>
      <c r="BK27" s="48">
        <f t="shared" si="177"/>
        <v>0.80999999999999994</v>
      </c>
      <c r="BL27" s="48">
        <f t="shared" si="177"/>
        <v>0.78999999999999992</v>
      </c>
      <c r="BM27" s="48">
        <f t="shared" si="177"/>
        <v>0.76999999999999991</v>
      </c>
      <c r="BN27" s="48">
        <f t="shared" si="177"/>
        <v>0.74999999999999989</v>
      </c>
      <c r="BO27" s="48">
        <f t="shared" si="177"/>
        <v>0.72999999999999987</v>
      </c>
      <c r="BP27" s="48">
        <f t="shared" si="177"/>
        <v>0.70999999999999985</v>
      </c>
      <c r="BQ27" s="48">
        <f t="shared" si="177"/>
        <v>0.68999999999999984</v>
      </c>
      <c r="BR27" s="48">
        <f t="shared" si="177"/>
        <v>0.66999999999999982</v>
      </c>
      <c r="BS27" s="48">
        <f t="shared" si="177"/>
        <v>0.6499999999999998</v>
      </c>
      <c r="BT27" s="48">
        <f t="shared" si="177"/>
        <v>0.62999999999999978</v>
      </c>
      <c r="BU27" s="48">
        <f t="shared" si="177"/>
        <v>0.60999999999999976</v>
      </c>
      <c r="BV27" s="48">
        <f t="shared" si="177"/>
        <v>0.58999999999999975</v>
      </c>
      <c r="BW27" s="48">
        <f t="shared" si="177"/>
        <v>0.56999999999999973</v>
      </c>
      <c r="BY27" s="48">
        <f>+G27*0.7</f>
        <v>282620.80000000005</v>
      </c>
      <c r="BZ27" s="48">
        <f t="shared" si="89"/>
        <v>282620.80000000005</v>
      </c>
      <c r="CA27" s="51">
        <f t="shared" ref="CA27" si="178">+BZ27*3.3058</f>
        <v>934287.84064000018</v>
      </c>
      <c r="CB27" s="48">
        <f t="shared" si="91"/>
        <v>274142.17600000004</v>
      </c>
      <c r="CC27" s="51">
        <f t="shared" si="92"/>
        <v>906259.20542080014</v>
      </c>
      <c r="CD27" s="48">
        <f t="shared" si="93"/>
        <v>268489.76</v>
      </c>
      <c r="CE27" s="51">
        <f t="shared" si="94"/>
        <v>887573.44860800006</v>
      </c>
      <c r="CF27" s="48">
        <f t="shared" si="21"/>
        <v>262837.34400000004</v>
      </c>
      <c r="CG27" s="51">
        <f t="shared" si="95"/>
        <v>868887.69179520011</v>
      </c>
      <c r="CH27" s="52">
        <f t="shared" si="22"/>
        <v>257184.92800000004</v>
      </c>
      <c r="CI27" s="51">
        <f t="shared" si="96"/>
        <v>850201.93498240015</v>
      </c>
      <c r="CJ27" s="48">
        <f t="shared" si="23"/>
        <v>251532.51200000005</v>
      </c>
      <c r="CK27" s="51">
        <f t="shared" si="97"/>
        <v>831516.1781696002</v>
      </c>
      <c r="CL27" s="52">
        <f t="shared" si="24"/>
        <v>245880.09600000005</v>
      </c>
      <c r="CM27" s="51">
        <f t="shared" si="98"/>
        <v>812830.42135680013</v>
      </c>
      <c r="CN27" s="53">
        <f t="shared" si="25"/>
        <v>240227.68000000002</v>
      </c>
      <c r="CO27" s="51">
        <f t="shared" si="99"/>
        <v>794144.66454400006</v>
      </c>
      <c r="CP27" s="52">
        <f t="shared" si="26"/>
        <v>234575.26400000002</v>
      </c>
      <c r="CQ27" s="51">
        <f t="shared" si="100"/>
        <v>775458.9077312001</v>
      </c>
      <c r="CR27" s="48">
        <f t="shared" si="27"/>
        <v>228922.84800000003</v>
      </c>
      <c r="CS27" s="51">
        <f t="shared" si="101"/>
        <v>756773.15091840015</v>
      </c>
      <c r="CT27" s="53">
        <f t="shared" si="28"/>
        <v>223270.43200000003</v>
      </c>
      <c r="CU27" s="51">
        <f t="shared" si="102"/>
        <v>738087.39410560008</v>
      </c>
      <c r="CV27" s="53">
        <f t="shared" si="29"/>
        <v>217618.016</v>
      </c>
      <c r="CW27" s="51">
        <f t="shared" si="103"/>
        <v>719401.63729280001</v>
      </c>
      <c r="CX27" s="53">
        <f t="shared" si="30"/>
        <v>211965.6</v>
      </c>
      <c r="CY27" s="51">
        <f t="shared" si="104"/>
        <v>700715.88048000005</v>
      </c>
      <c r="CZ27" s="48">
        <f t="shared" si="31"/>
        <v>206313.18400000001</v>
      </c>
      <c r="DA27" s="51">
        <f t="shared" si="105"/>
        <v>682030.1236672001</v>
      </c>
      <c r="DB27" s="53">
        <f t="shared" si="32"/>
        <v>200660.76799999998</v>
      </c>
      <c r="DC27" s="51">
        <f t="shared" si="106"/>
        <v>663344.36685439991</v>
      </c>
      <c r="DD27" s="53">
        <f t="shared" si="33"/>
        <v>195008.35199999998</v>
      </c>
      <c r="DE27" s="51">
        <f t="shared" si="107"/>
        <v>644658.61004159995</v>
      </c>
      <c r="DF27" s="53">
        <f t="shared" si="34"/>
        <v>189355.93599999999</v>
      </c>
      <c r="DG27" s="51">
        <f t="shared" si="108"/>
        <v>625972.8532288</v>
      </c>
      <c r="DH27" s="53">
        <f t="shared" si="35"/>
        <v>183703.51999999996</v>
      </c>
      <c r="DI27" s="51">
        <f t="shared" si="109"/>
        <v>607287.09641599993</v>
      </c>
      <c r="DJ27" s="48">
        <f t="shared" si="36"/>
        <v>178051.10399999996</v>
      </c>
      <c r="DK27" s="51">
        <f t="shared" si="110"/>
        <v>588601.33960319986</v>
      </c>
      <c r="DL27" s="53">
        <f t="shared" si="37"/>
        <v>172398.68799999997</v>
      </c>
      <c r="DM27" s="51">
        <f t="shared" si="111"/>
        <v>569915.5827903999</v>
      </c>
      <c r="DN27" s="53">
        <f t="shared" si="38"/>
        <v>166746.27199999997</v>
      </c>
      <c r="DO27" s="51">
        <f t="shared" si="112"/>
        <v>551229.82597759995</v>
      </c>
      <c r="DP27" s="48">
        <f t="shared" si="39"/>
        <v>161093.85599999994</v>
      </c>
      <c r="DQ27" s="51">
        <f t="shared" si="113"/>
        <v>532544.06916479988</v>
      </c>
      <c r="DT27" s="48">
        <v>1</v>
      </c>
      <c r="DU27" s="48">
        <v>0.97</v>
      </c>
      <c r="DV27" s="48">
        <v>0.95</v>
      </c>
      <c r="DW27" s="48">
        <v>0.93</v>
      </c>
      <c r="DX27" s="48">
        <f t="shared" ref="DX27:EO27" si="179">+DW27-0.02</f>
        <v>0.91</v>
      </c>
      <c r="DY27" s="48">
        <f t="shared" si="179"/>
        <v>0.89</v>
      </c>
      <c r="DZ27" s="48">
        <f t="shared" si="179"/>
        <v>0.87</v>
      </c>
      <c r="EA27" s="48">
        <f t="shared" si="179"/>
        <v>0.85</v>
      </c>
      <c r="EB27" s="48">
        <f t="shared" si="179"/>
        <v>0.83</v>
      </c>
      <c r="EC27" s="48">
        <f t="shared" si="179"/>
        <v>0.80999999999999994</v>
      </c>
      <c r="ED27" s="48">
        <f t="shared" si="179"/>
        <v>0.78999999999999992</v>
      </c>
      <c r="EE27" s="48">
        <f t="shared" si="179"/>
        <v>0.76999999999999991</v>
      </c>
      <c r="EF27" s="48">
        <f t="shared" si="179"/>
        <v>0.74999999999999989</v>
      </c>
      <c r="EG27" s="48">
        <f t="shared" si="179"/>
        <v>0.72999999999999987</v>
      </c>
      <c r="EH27" s="48">
        <f t="shared" si="179"/>
        <v>0.70999999999999985</v>
      </c>
      <c r="EI27" s="48">
        <f t="shared" si="179"/>
        <v>0.68999999999999984</v>
      </c>
      <c r="EJ27" s="48">
        <f t="shared" si="179"/>
        <v>0.66999999999999982</v>
      </c>
      <c r="EK27" s="48">
        <f t="shared" si="179"/>
        <v>0.6499999999999998</v>
      </c>
      <c r="EL27" s="48">
        <f t="shared" si="179"/>
        <v>0.62999999999999978</v>
      </c>
      <c r="EM27" s="48">
        <f t="shared" si="179"/>
        <v>0.60999999999999976</v>
      </c>
      <c r="EN27" s="48">
        <f t="shared" si="179"/>
        <v>0.58999999999999975</v>
      </c>
      <c r="EO27" s="48">
        <f t="shared" si="179"/>
        <v>0.56999999999999973</v>
      </c>
      <c r="EQ27" s="48">
        <f>+BY27*0.7</f>
        <v>197834.56000000003</v>
      </c>
      <c r="ER27" s="48">
        <f t="shared" si="116"/>
        <v>197834.56000000003</v>
      </c>
      <c r="ES27" s="51">
        <f t="shared" ref="ES27" si="180">+ER27*3.3058</f>
        <v>654001.48844800005</v>
      </c>
      <c r="ET27" s="48">
        <f t="shared" si="118"/>
        <v>191899.52320000003</v>
      </c>
      <c r="EU27" s="51">
        <f t="shared" si="119"/>
        <v>634381.44379456015</v>
      </c>
      <c r="EV27" s="48">
        <f t="shared" si="120"/>
        <v>187942.83200000002</v>
      </c>
      <c r="EW27" s="51">
        <f t="shared" si="121"/>
        <v>621301.41402560007</v>
      </c>
      <c r="EX27" s="48">
        <f t="shared" si="41"/>
        <v>183986.14080000002</v>
      </c>
      <c r="EY27" s="51">
        <f t="shared" si="122"/>
        <v>608221.3842566401</v>
      </c>
      <c r="EZ27" s="52">
        <f t="shared" si="42"/>
        <v>180029.44960000002</v>
      </c>
      <c r="FA27" s="51">
        <f t="shared" si="123"/>
        <v>595141.35448768013</v>
      </c>
      <c r="FB27" s="48">
        <f t="shared" si="43"/>
        <v>176072.75840000002</v>
      </c>
      <c r="FC27" s="51">
        <f t="shared" si="124"/>
        <v>582061.32471872005</v>
      </c>
      <c r="FD27" s="52">
        <f t="shared" si="44"/>
        <v>172116.06720000002</v>
      </c>
      <c r="FE27" s="51">
        <f t="shared" si="125"/>
        <v>568981.29494976008</v>
      </c>
      <c r="FF27" s="53">
        <f t="shared" si="45"/>
        <v>168159.37600000002</v>
      </c>
      <c r="FG27" s="51">
        <f t="shared" si="126"/>
        <v>555901.26518080011</v>
      </c>
      <c r="FH27" s="52">
        <f t="shared" si="46"/>
        <v>164202.68480000002</v>
      </c>
      <c r="FI27" s="51">
        <f t="shared" si="127"/>
        <v>542821.23541184003</v>
      </c>
      <c r="FJ27" s="48">
        <f t="shared" si="47"/>
        <v>160245.99360000002</v>
      </c>
      <c r="FK27" s="51">
        <f t="shared" si="128"/>
        <v>529741.20564288006</v>
      </c>
      <c r="FL27" s="53">
        <f t="shared" si="48"/>
        <v>156289.30240000002</v>
      </c>
      <c r="FM27" s="51">
        <f t="shared" si="129"/>
        <v>516661.17587392009</v>
      </c>
      <c r="FN27" s="53">
        <f t="shared" si="49"/>
        <v>152332.61120000001</v>
      </c>
      <c r="FO27" s="51">
        <f t="shared" si="130"/>
        <v>503581.14610496006</v>
      </c>
      <c r="FP27" s="53">
        <f t="shared" si="50"/>
        <v>148375.91999999998</v>
      </c>
      <c r="FQ27" s="51">
        <f t="shared" si="131"/>
        <v>490501.11633599998</v>
      </c>
      <c r="FR27" s="48">
        <f t="shared" si="51"/>
        <v>144419.22879999998</v>
      </c>
      <c r="FS27" s="51">
        <f t="shared" si="132"/>
        <v>477421.08656703995</v>
      </c>
      <c r="FT27" s="53">
        <f t="shared" si="52"/>
        <v>140462.53759999998</v>
      </c>
      <c r="FU27" s="51">
        <f t="shared" si="133"/>
        <v>464341.05679807992</v>
      </c>
      <c r="FV27" s="53">
        <f t="shared" si="53"/>
        <v>136505.84639999998</v>
      </c>
      <c r="FW27" s="51">
        <f t="shared" si="134"/>
        <v>451261.02702911996</v>
      </c>
      <c r="FX27" s="53">
        <f t="shared" si="54"/>
        <v>132549.15519999998</v>
      </c>
      <c r="FY27" s="51">
        <f t="shared" si="135"/>
        <v>438180.99726015993</v>
      </c>
      <c r="FZ27" s="53">
        <f t="shared" si="55"/>
        <v>128592.46399999998</v>
      </c>
      <c r="GA27" s="51">
        <f t="shared" si="136"/>
        <v>425100.96749119996</v>
      </c>
      <c r="GB27" s="48">
        <f t="shared" si="56"/>
        <v>124635.77279999998</v>
      </c>
      <c r="GC27" s="51">
        <f t="shared" si="137"/>
        <v>412020.93772223993</v>
      </c>
      <c r="GD27" s="53">
        <f t="shared" si="57"/>
        <v>120679.08159999998</v>
      </c>
      <c r="GE27" s="51">
        <f t="shared" si="138"/>
        <v>398940.90795327991</v>
      </c>
      <c r="GF27" s="53">
        <f t="shared" si="58"/>
        <v>116722.39039999996</v>
      </c>
      <c r="GG27" s="51">
        <f t="shared" si="139"/>
        <v>385860.87818431988</v>
      </c>
      <c r="GH27" s="48">
        <f t="shared" si="59"/>
        <v>112765.69919999996</v>
      </c>
      <c r="GI27" s="51">
        <f t="shared" si="140"/>
        <v>372780.84841535985</v>
      </c>
      <c r="GJ27" s="48"/>
      <c r="GK27" s="48"/>
      <c r="GL27" s="48">
        <v>1</v>
      </c>
      <c r="GM27" s="48">
        <v>0.97</v>
      </c>
      <c r="GN27" s="48">
        <v>0.95</v>
      </c>
      <c r="GO27" s="48">
        <v>0.93</v>
      </c>
      <c r="GP27" s="48">
        <f t="shared" ref="GP27:HG27" si="181">+GO27-0.02</f>
        <v>0.91</v>
      </c>
      <c r="GQ27" s="48">
        <f t="shared" si="181"/>
        <v>0.89</v>
      </c>
      <c r="GR27" s="48">
        <f t="shared" si="181"/>
        <v>0.87</v>
      </c>
      <c r="GS27" s="48">
        <f t="shared" si="181"/>
        <v>0.85</v>
      </c>
      <c r="GT27" s="48">
        <f t="shared" si="181"/>
        <v>0.83</v>
      </c>
      <c r="GU27" s="48">
        <f t="shared" si="181"/>
        <v>0.80999999999999994</v>
      </c>
      <c r="GV27" s="48">
        <f t="shared" si="181"/>
        <v>0.78999999999999992</v>
      </c>
      <c r="GW27" s="48">
        <f t="shared" si="181"/>
        <v>0.76999999999999991</v>
      </c>
      <c r="GX27" s="48">
        <f t="shared" si="181"/>
        <v>0.74999999999999989</v>
      </c>
      <c r="GY27" s="48">
        <f t="shared" si="181"/>
        <v>0.72999999999999987</v>
      </c>
      <c r="GZ27" s="48">
        <f t="shared" si="181"/>
        <v>0.70999999999999985</v>
      </c>
      <c r="HA27" s="48">
        <f t="shared" si="181"/>
        <v>0.68999999999999984</v>
      </c>
      <c r="HB27" s="48">
        <f t="shared" si="181"/>
        <v>0.66999999999999982</v>
      </c>
      <c r="HC27" s="48">
        <f t="shared" si="181"/>
        <v>0.6499999999999998</v>
      </c>
      <c r="HD27" s="48">
        <f t="shared" si="181"/>
        <v>0.62999999999999978</v>
      </c>
      <c r="HE27" s="48">
        <f t="shared" si="181"/>
        <v>0.60999999999999976</v>
      </c>
      <c r="HF27" s="48">
        <f t="shared" si="181"/>
        <v>0.58999999999999975</v>
      </c>
      <c r="HG27" s="48">
        <f t="shared" si="181"/>
        <v>0.56999999999999973</v>
      </c>
    </row>
    <row r="28" spans="1:215" x14ac:dyDescent="0.3">
      <c r="C28" s="35" t="s">
        <v>47</v>
      </c>
      <c r="D28" s="46">
        <f>SUM(D18:D27)</f>
        <v>1701750</v>
      </c>
      <c r="E28" s="46">
        <f>SUM(E18:E27)</f>
        <v>5625600</v>
      </c>
      <c r="G28" s="48">
        <f t="shared" si="61"/>
        <v>1871925.0000000002</v>
      </c>
      <c r="H28" s="48">
        <f t="shared" si="62"/>
        <v>1871925.0000000002</v>
      </c>
      <c r="I28" s="51">
        <f t="shared" si="63"/>
        <v>6188209.665000001</v>
      </c>
      <c r="J28" s="48">
        <f t="shared" si="64"/>
        <v>1815767.2500000002</v>
      </c>
      <c r="K28" s="51">
        <f t="shared" si="65"/>
        <v>6002563.3750500008</v>
      </c>
      <c r="L28" s="48">
        <f t="shared" si="66"/>
        <v>1778328.7500000002</v>
      </c>
      <c r="M28" s="51">
        <f t="shared" si="67"/>
        <v>5878799.1817500005</v>
      </c>
      <c r="N28" s="48">
        <f t="shared" si="1"/>
        <v>1740890.2500000002</v>
      </c>
      <c r="O28" s="51">
        <f t="shared" si="68"/>
        <v>5755034.988450001</v>
      </c>
      <c r="P28" s="52">
        <f t="shared" si="2"/>
        <v>1703451.7500000002</v>
      </c>
      <c r="Q28" s="51">
        <f t="shared" si="69"/>
        <v>5631270.7951500006</v>
      </c>
      <c r="R28" s="48">
        <f t="shared" si="3"/>
        <v>1666013.2500000002</v>
      </c>
      <c r="S28" s="51">
        <f t="shared" si="70"/>
        <v>5507506.6018500011</v>
      </c>
      <c r="T28" s="52">
        <f t="shared" si="4"/>
        <v>1628574.7500000002</v>
      </c>
      <c r="U28" s="51">
        <f t="shared" si="71"/>
        <v>5383742.4085500007</v>
      </c>
      <c r="V28" s="53">
        <f t="shared" si="5"/>
        <v>1591136.2500000002</v>
      </c>
      <c r="W28" s="51">
        <f t="shared" si="72"/>
        <v>5259978.2152500013</v>
      </c>
      <c r="X28" s="52">
        <f t="shared" si="6"/>
        <v>1553697.7500000002</v>
      </c>
      <c r="Y28" s="51">
        <f t="shared" si="73"/>
        <v>5136214.0219500009</v>
      </c>
      <c r="Z28" s="48">
        <f t="shared" si="7"/>
        <v>1516259.25</v>
      </c>
      <c r="AA28" s="51">
        <f t="shared" si="74"/>
        <v>5012449.8286500005</v>
      </c>
      <c r="AB28" s="53">
        <f t="shared" si="8"/>
        <v>1478820.75</v>
      </c>
      <c r="AC28" s="51">
        <f t="shared" si="75"/>
        <v>4888685.6353500001</v>
      </c>
      <c r="AD28" s="53">
        <f t="shared" si="9"/>
        <v>1441382.25</v>
      </c>
      <c r="AE28" s="51">
        <f t="shared" si="76"/>
        <v>4764921.4420499997</v>
      </c>
      <c r="AF28" s="53">
        <f t="shared" si="10"/>
        <v>1403943.75</v>
      </c>
      <c r="AG28" s="51">
        <f t="shared" si="77"/>
        <v>4641157.2487500003</v>
      </c>
      <c r="AH28" s="48">
        <f t="shared" si="11"/>
        <v>1366505.25</v>
      </c>
      <c r="AI28" s="51">
        <f t="shared" si="78"/>
        <v>4517393.0554499999</v>
      </c>
      <c r="AJ28" s="53">
        <f t="shared" si="12"/>
        <v>1329066.75</v>
      </c>
      <c r="AK28" s="51">
        <f t="shared" si="79"/>
        <v>4393628.8621500004</v>
      </c>
      <c r="AL28" s="53">
        <f t="shared" si="13"/>
        <v>1291628.2499999998</v>
      </c>
      <c r="AM28" s="51">
        <f t="shared" si="80"/>
        <v>4269864.6688499991</v>
      </c>
      <c r="AN28" s="53">
        <f t="shared" si="14"/>
        <v>1254189.7499999998</v>
      </c>
      <c r="AO28" s="51">
        <f t="shared" si="81"/>
        <v>4146100.4755499992</v>
      </c>
      <c r="AP28" s="53">
        <f t="shared" si="15"/>
        <v>1216751.2499999998</v>
      </c>
      <c r="AQ28" s="51">
        <f t="shared" si="82"/>
        <v>4022336.2822499992</v>
      </c>
      <c r="AR28" s="48">
        <f t="shared" si="16"/>
        <v>1179312.7499999998</v>
      </c>
      <c r="AS28" s="51">
        <f t="shared" si="83"/>
        <v>3898572.0889499993</v>
      </c>
      <c r="AT28" s="53">
        <f t="shared" si="17"/>
        <v>1141874.2499999998</v>
      </c>
      <c r="AU28" s="51">
        <f t="shared" si="84"/>
        <v>3774807.8956499994</v>
      </c>
      <c r="AV28" s="53">
        <f t="shared" si="18"/>
        <v>1104435.7499999998</v>
      </c>
      <c r="AW28" s="51">
        <f t="shared" si="85"/>
        <v>3651043.7023499995</v>
      </c>
      <c r="AX28" s="48">
        <f t="shared" si="19"/>
        <v>1066997.2499999995</v>
      </c>
      <c r="AY28" s="51">
        <f t="shared" si="86"/>
        <v>3527279.5090499986</v>
      </c>
      <c r="BB28" s="48">
        <v>1</v>
      </c>
      <c r="BC28" s="48">
        <v>0.97</v>
      </c>
      <c r="BD28" s="48">
        <v>0.95</v>
      </c>
      <c r="BE28" s="48">
        <v>0.93</v>
      </c>
      <c r="BF28" s="48">
        <f t="shared" ref="BF28:BW28" si="182">+BE28-0.02</f>
        <v>0.91</v>
      </c>
      <c r="BG28" s="48">
        <f t="shared" si="182"/>
        <v>0.89</v>
      </c>
      <c r="BH28" s="48">
        <f t="shared" si="182"/>
        <v>0.87</v>
      </c>
      <c r="BI28" s="48">
        <f t="shared" si="182"/>
        <v>0.85</v>
      </c>
      <c r="BJ28" s="48">
        <f t="shared" si="182"/>
        <v>0.83</v>
      </c>
      <c r="BK28" s="48">
        <f t="shared" si="182"/>
        <v>0.80999999999999994</v>
      </c>
      <c r="BL28" s="48">
        <f t="shared" si="182"/>
        <v>0.78999999999999992</v>
      </c>
      <c r="BM28" s="48">
        <f t="shared" si="182"/>
        <v>0.76999999999999991</v>
      </c>
      <c r="BN28" s="48">
        <f t="shared" si="182"/>
        <v>0.74999999999999989</v>
      </c>
      <c r="BO28" s="48">
        <f t="shared" si="182"/>
        <v>0.72999999999999987</v>
      </c>
      <c r="BP28" s="48">
        <f t="shared" si="182"/>
        <v>0.70999999999999985</v>
      </c>
      <c r="BQ28" s="48">
        <f t="shared" si="182"/>
        <v>0.68999999999999984</v>
      </c>
      <c r="BR28" s="48">
        <f t="shared" si="182"/>
        <v>0.66999999999999982</v>
      </c>
      <c r="BS28" s="48">
        <f t="shared" si="182"/>
        <v>0.6499999999999998</v>
      </c>
      <c r="BT28" s="48">
        <f t="shared" si="182"/>
        <v>0.62999999999999978</v>
      </c>
      <c r="BU28" s="48">
        <f t="shared" si="182"/>
        <v>0.60999999999999976</v>
      </c>
      <c r="BV28" s="48">
        <f t="shared" si="182"/>
        <v>0.58999999999999975</v>
      </c>
      <c r="BW28" s="48">
        <f t="shared" si="182"/>
        <v>0.56999999999999973</v>
      </c>
      <c r="BY28" s="48">
        <f>SUM(BY18:BY27)</f>
        <v>1618665.5100000002</v>
      </c>
      <c r="BZ28" s="48">
        <f t="shared" si="89"/>
        <v>1618665.5100000002</v>
      </c>
      <c r="CA28" s="51">
        <f t="shared" ref="CA28" si="183">+BZ28*3.3058</f>
        <v>5350984.442958001</v>
      </c>
      <c r="CB28" s="48">
        <f t="shared" si="91"/>
        <v>1570105.5447000002</v>
      </c>
      <c r="CC28" s="51">
        <f t="shared" si="92"/>
        <v>5190454.9096692605</v>
      </c>
      <c r="CD28" s="48">
        <f t="shared" si="93"/>
        <v>1537732.2345000003</v>
      </c>
      <c r="CE28" s="51">
        <f t="shared" si="94"/>
        <v>5083435.2208101014</v>
      </c>
      <c r="CF28" s="48">
        <f t="shared" si="21"/>
        <v>1505358.9243000003</v>
      </c>
      <c r="CG28" s="51">
        <f t="shared" si="95"/>
        <v>4976415.5319509413</v>
      </c>
      <c r="CH28" s="52">
        <f t="shared" si="22"/>
        <v>1472985.6141000004</v>
      </c>
      <c r="CI28" s="51">
        <f t="shared" si="96"/>
        <v>4869395.8430917813</v>
      </c>
      <c r="CJ28" s="48">
        <f t="shared" si="23"/>
        <v>1440612.3039000002</v>
      </c>
      <c r="CK28" s="51">
        <f t="shared" si="97"/>
        <v>4762376.1542326203</v>
      </c>
      <c r="CL28" s="52">
        <f t="shared" si="24"/>
        <v>1408238.9937000002</v>
      </c>
      <c r="CM28" s="51">
        <f t="shared" si="98"/>
        <v>4655356.4653734611</v>
      </c>
      <c r="CN28" s="53">
        <f t="shared" si="25"/>
        <v>1375865.6835000003</v>
      </c>
      <c r="CO28" s="51">
        <f t="shared" si="99"/>
        <v>4548336.7765143011</v>
      </c>
      <c r="CP28" s="52">
        <f t="shared" si="26"/>
        <v>1343492.3733000001</v>
      </c>
      <c r="CQ28" s="51">
        <f t="shared" si="100"/>
        <v>4441317.0876551401</v>
      </c>
      <c r="CR28" s="48">
        <f t="shared" si="27"/>
        <v>1311119.0631000001</v>
      </c>
      <c r="CS28" s="51">
        <f t="shared" si="101"/>
        <v>4334297.398795981</v>
      </c>
      <c r="CT28" s="53">
        <f t="shared" si="28"/>
        <v>1278745.7529</v>
      </c>
      <c r="CU28" s="51">
        <f t="shared" si="102"/>
        <v>4227277.70993682</v>
      </c>
      <c r="CV28" s="53">
        <f t="shared" si="29"/>
        <v>1246372.4427</v>
      </c>
      <c r="CW28" s="51">
        <f t="shared" si="103"/>
        <v>4120258.0210776599</v>
      </c>
      <c r="CX28" s="53">
        <f t="shared" si="30"/>
        <v>1213999.1325000001</v>
      </c>
      <c r="CY28" s="51">
        <f t="shared" si="104"/>
        <v>4013238.3322185003</v>
      </c>
      <c r="CZ28" s="48">
        <f t="shared" si="31"/>
        <v>1181625.8222999999</v>
      </c>
      <c r="DA28" s="51">
        <f t="shared" si="105"/>
        <v>3906218.6433593398</v>
      </c>
      <c r="DB28" s="53">
        <f t="shared" si="32"/>
        <v>1149252.5120999999</v>
      </c>
      <c r="DC28" s="51">
        <f t="shared" si="106"/>
        <v>3799198.9545001797</v>
      </c>
      <c r="DD28" s="53">
        <f t="shared" si="33"/>
        <v>1116879.2019</v>
      </c>
      <c r="DE28" s="51">
        <f t="shared" si="107"/>
        <v>3692179.2656410201</v>
      </c>
      <c r="DF28" s="53">
        <f t="shared" si="34"/>
        <v>1084505.8916999998</v>
      </c>
      <c r="DG28" s="51">
        <f t="shared" si="108"/>
        <v>3585159.5767818596</v>
      </c>
      <c r="DH28" s="53">
        <f t="shared" si="35"/>
        <v>1052132.5814999999</v>
      </c>
      <c r="DI28" s="51">
        <f t="shared" si="109"/>
        <v>3478139.8879226996</v>
      </c>
      <c r="DJ28" s="48">
        <f t="shared" si="36"/>
        <v>1019759.2712999998</v>
      </c>
      <c r="DK28" s="51">
        <f t="shared" si="110"/>
        <v>3371120.1990635395</v>
      </c>
      <c r="DL28" s="53">
        <f t="shared" si="37"/>
        <v>987385.96109999972</v>
      </c>
      <c r="DM28" s="51">
        <f t="shared" si="111"/>
        <v>3264100.510204379</v>
      </c>
      <c r="DN28" s="53">
        <f t="shared" si="38"/>
        <v>955012.65089999977</v>
      </c>
      <c r="DO28" s="51">
        <f t="shared" si="112"/>
        <v>3157080.8213452194</v>
      </c>
      <c r="DP28" s="48">
        <f t="shared" si="39"/>
        <v>922639.34069999971</v>
      </c>
      <c r="DQ28" s="51">
        <f t="shared" si="113"/>
        <v>3050061.1324860593</v>
      </c>
      <c r="DT28" s="48">
        <v>1</v>
      </c>
      <c r="DU28" s="48">
        <v>0.97</v>
      </c>
      <c r="DV28" s="48">
        <v>0.95</v>
      </c>
      <c r="DW28" s="48">
        <v>0.93</v>
      </c>
      <c r="DX28" s="48">
        <f t="shared" ref="DX28:EO28" si="184">+DW28-0.02</f>
        <v>0.91</v>
      </c>
      <c r="DY28" s="48">
        <f t="shared" si="184"/>
        <v>0.89</v>
      </c>
      <c r="DZ28" s="48">
        <f t="shared" si="184"/>
        <v>0.87</v>
      </c>
      <c r="EA28" s="48">
        <f t="shared" si="184"/>
        <v>0.85</v>
      </c>
      <c r="EB28" s="48">
        <f t="shared" si="184"/>
        <v>0.83</v>
      </c>
      <c r="EC28" s="48">
        <f t="shared" si="184"/>
        <v>0.80999999999999994</v>
      </c>
      <c r="ED28" s="48">
        <f t="shared" si="184"/>
        <v>0.78999999999999992</v>
      </c>
      <c r="EE28" s="48">
        <f t="shared" si="184"/>
        <v>0.76999999999999991</v>
      </c>
      <c r="EF28" s="48">
        <f t="shared" si="184"/>
        <v>0.74999999999999989</v>
      </c>
      <c r="EG28" s="48">
        <f t="shared" si="184"/>
        <v>0.72999999999999987</v>
      </c>
      <c r="EH28" s="48">
        <f t="shared" si="184"/>
        <v>0.70999999999999985</v>
      </c>
      <c r="EI28" s="48">
        <f t="shared" si="184"/>
        <v>0.68999999999999984</v>
      </c>
      <c r="EJ28" s="48">
        <f t="shared" si="184"/>
        <v>0.66999999999999982</v>
      </c>
      <c r="EK28" s="48">
        <f t="shared" si="184"/>
        <v>0.6499999999999998</v>
      </c>
      <c r="EL28" s="48">
        <f t="shared" si="184"/>
        <v>0.62999999999999978</v>
      </c>
      <c r="EM28" s="48">
        <f t="shared" si="184"/>
        <v>0.60999999999999976</v>
      </c>
      <c r="EN28" s="48">
        <f t="shared" si="184"/>
        <v>0.58999999999999975</v>
      </c>
      <c r="EO28" s="48">
        <f t="shared" si="184"/>
        <v>0.56999999999999973</v>
      </c>
      <c r="EQ28" s="48">
        <f>SUM(EQ18:EQ27)</f>
        <v>1413635.2461000001</v>
      </c>
      <c r="ER28" s="48">
        <f t="shared" si="116"/>
        <v>1413635.2461000001</v>
      </c>
      <c r="ES28" s="51">
        <f t="shared" ref="ES28" si="185">+ER28*3.3058</f>
        <v>4673195.3965573804</v>
      </c>
      <c r="ET28" s="48">
        <f t="shared" si="118"/>
        <v>1371226.188717</v>
      </c>
      <c r="EU28" s="51">
        <f t="shared" si="119"/>
        <v>4532999.5346606588</v>
      </c>
      <c r="EV28" s="48">
        <f t="shared" si="120"/>
        <v>1342953.483795</v>
      </c>
      <c r="EW28" s="51">
        <f t="shared" si="121"/>
        <v>4439535.6267295107</v>
      </c>
      <c r="EX28" s="48">
        <f t="shared" si="41"/>
        <v>1314680.7788730001</v>
      </c>
      <c r="EY28" s="51">
        <f t="shared" si="122"/>
        <v>4346071.7187983636</v>
      </c>
      <c r="EZ28" s="52">
        <f t="shared" si="42"/>
        <v>1286408.0739510001</v>
      </c>
      <c r="FA28" s="51">
        <f t="shared" si="123"/>
        <v>4252607.8108672164</v>
      </c>
      <c r="FB28" s="48">
        <f t="shared" si="43"/>
        <v>1258135.3690290002</v>
      </c>
      <c r="FC28" s="51">
        <f t="shared" si="124"/>
        <v>4159143.9029360688</v>
      </c>
      <c r="FD28" s="52">
        <f t="shared" si="44"/>
        <v>1229862.664107</v>
      </c>
      <c r="FE28" s="51">
        <f t="shared" si="125"/>
        <v>4065679.9950049208</v>
      </c>
      <c r="FF28" s="53">
        <f t="shared" si="45"/>
        <v>1201589.959185</v>
      </c>
      <c r="FG28" s="51">
        <f t="shared" si="126"/>
        <v>3972216.0870737731</v>
      </c>
      <c r="FH28" s="52">
        <f t="shared" si="46"/>
        <v>1173317.2542630001</v>
      </c>
      <c r="FI28" s="51">
        <f t="shared" si="127"/>
        <v>3878752.179142626</v>
      </c>
      <c r="FJ28" s="48">
        <f t="shared" si="47"/>
        <v>1145044.5493409999</v>
      </c>
      <c r="FK28" s="51">
        <f t="shared" si="128"/>
        <v>3785288.2712114775</v>
      </c>
      <c r="FL28" s="53">
        <f t="shared" si="48"/>
        <v>1116771.844419</v>
      </c>
      <c r="FM28" s="51">
        <f t="shared" si="129"/>
        <v>3691824.3632803303</v>
      </c>
      <c r="FN28" s="53">
        <f t="shared" si="49"/>
        <v>1088499.139497</v>
      </c>
      <c r="FO28" s="51">
        <f t="shared" si="130"/>
        <v>3598360.4553491827</v>
      </c>
      <c r="FP28" s="53">
        <f t="shared" si="50"/>
        <v>1060226.4345749998</v>
      </c>
      <c r="FQ28" s="51">
        <f t="shared" si="131"/>
        <v>3504896.5474180346</v>
      </c>
      <c r="FR28" s="48">
        <f t="shared" si="51"/>
        <v>1031953.7296529999</v>
      </c>
      <c r="FS28" s="51">
        <f t="shared" si="132"/>
        <v>3411432.639486887</v>
      </c>
      <c r="FT28" s="53">
        <f t="shared" si="52"/>
        <v>1003681.0247309998</v>
      </c>
      <c r="FU28" s="51">
        <f t="shared" si="133"/>
        <v>3317968.7315557394</v>
      </c>
      <c r="FV28" s="53">
        <f t="shared" si="53"/>
        <v>975408.31980899989</v>
      </c>
      <c r="FW28" s="51">
        <f t="shared" si="134"/>
        <v>3224504.8236245918</v>
      </c>
      <c r="FX28" s="53">
        <f t="shared" si="54"/>
        <v>947135.61488699983</v>
      </c>
      <c r="FY28" s="51">
        <f t="shared" si="135"/>
        <v>3131040.9156934442</v>
      </c>
      <c r="FZ28" s="53">
        <f t="shared" si="55"/>
        <v>918862.90996499977</v>
      </c>
      <c r="GA28" s="51">
        <f t="shared" si="136"/>
        <v>3037577.0077622961</v>
      </c>
      <c r="GB28" s="48">
        <f t="shared" si="56"/>
        <v>890590.2050429997</v>
      </c>
      <c r="GC28" s="51">
        <f t="shared" si="137"/>
        <v>2944113.0998311485</v>
      </c>
      <c r="GD28" s="53">
        <f t="shared" si="57"/>
        <v>862317.50012099976</v>
      </c>
      <c r="GE28" s="51">
        <f t="shared" si="138"/>
        <v>2850649.1919000009</v>
      </c>
      <c r="GF28" s="53">
        <f t="shared" si="58"/>
        <v>834044.79519899969</v>
      </c>
      <c r="GG28" s="51">
        <f t="shared" si="139"/>
        <v>2757185.2839688533</v>
      </c>
      <c r="GH28" s="48">
        <f t="shared" si="59"/>
        <v>805772.09027699963</v>
      </c>
      <c r="GI28" s="51">
        <f t="shared" si="140"/>
        <v>2663721.3760377052</v>
      </c>
      <c r="GJ28" s="48"/>
      <c r="GK28" s="48"/>
      <c r="GL28" s="48">
        <v>1</v>
      </c>
      <c r="GM28" s="48">
        <v>0.97</v>
      </c>
      <c r="GN28" s="48">
        <v>0.95</v>
      </c>
      <c r="GO28" s="48">
        <v>0.93</v>
      </c>
      <c r="GP28" s="48">
        <f t="shared" ref="GP28:HG28" si="186">+GO28-0.02</f>
        <v>0.91</v>
      </c>
      <c r="GQ28" s="48">
        <f t="shared" si="186"/>
        <v>0.89</v>
      </c>
      <c r="GR28" s="48">
        <f t="shared" si="186"/>
        <v>0.87</v>
      </c>
      <c r="GS28" s="48">
        <f t="shared" si="186"/>
        <v>0.85</v>
      </c>
      <c r="GT28" s="48">
        <f t="shared" si="186"/>
        <v>0.83</v>
      </c>
      <c r="GU28" s="48">
        <f t="shared" si="186"/>
        <v>0.80999999999999994</v>
      </c>
      <c r="GV28" s="48">
        <f t="shared" si="186"/>
        <v>0.78999999999999992</v>
      </c>
      <c r="GW28" s="48">
        <f t="shared" si="186"/>
        <v>0.76999999999999991</v>
      </c>
      <c r="GX28" s="48">
        <f t="shared" si="186"/>
        <v>0.74999999999999989</v>
      </c>
      <c r="GY28" s="48">
        <f t="shared" si="186"/>
        <v>0.72999999999999987</v>
      </c>
      <c r="GZ28" s="48">
        <f t="shared" si="186"/>
        <v>0.70999999999999985</v>
      </c>
      <c r="HA28" s="48">
        <f t="shared" si="186"/>
        <v>0.68999999999999984</v>
      </c>
      <c r="HB28" s="48">
        <f t="shared" si="186"/>
        <v>0.66999999999999982</v>
      </c>
      <c r="HC28" s="48">
        <f t="shared" si="186"/>
        <v>0.6499999999999998</v>
      </c>
      <c r="HD28" s="48">
        <f t="shared" si="186"/>
        <v>0.62999999999999978</v>
      </c>
      <c r="HE28" s="48">
        <f t="shared" si="186"/>
        <v>0.60999999999999976</v>
      </c>
      <c r="HF28" s="48">
        <f t="shared" si="186"/>
        <v>0.58999999999999975</v>
      </c>
      <c r="HG28" s="48">
        <f t="shared" si="186"/>
        <v>0.56999999999999973</v>
      </c>
    </row>
    <row r="29" spans="1:215" s="54" customFormat="1" x14ac:dyDescent="0.3">
      <c r="C29" s="55"/>
      <c r="D29" s="55"/>
      <c r="E29" s="55"/>
      <c r="G29" s="56"/>
      <c r="H29" s="56"/>
      <c r="I29" s="56"/>
      <c r="J29" s="56"/>
      <c r="K29" s="56"/>
      <c r="L29" s="56"/>
      <c r="M29" s="56"/>
      <c r="N29" s="56"/>
      <c r="O29" s="56"/>
      <c r="P29" s="57" t="s">
        <v>110</v>
      </c>
      <c r="Q29" s="56"/>
      <c r="R29" s="56" t="s">
        <v>111</v>
      </c>
      <c r="S29" s="56"/>
      <c r="T29" s="57" t="s">
        <v>112</v>
      </c>
      <c r="U29" s="56"/>
      <c r="V29" s="58" t="s">
        <v>113</v>
      </c>
      <c r="W29" s="56"/>
      <c r="X29" s="57" t="s">
        <v>114</v>
      </c>
      <c r="Y29" s="56"/>
      <c r="Z29" s="56" t="s">
        <v>115</v>
      </c>
      <c r="AA29" s="56"/>
      <c r="AB29" s="58" t="s">
        <v>116</v>
      </c>
      <c r="AC29" s="56"/>
      <c r="AD29" s="58" t="s">
        <v>117</v>
      </c>
      <c r="AE29" s="56"/>
      <c r="AF29" s="58" t="s">
        <v>118</v>
      </c>
      <c r="AG29" s="56"/>
      <c r="AH29" s="56" t="s">
        <v>119</v>
      </c>
      <c r="AI29" s="56"/>
      <c r="AJ29" s="58" t="s">
        <v>120</v>
      </c>
      <c r="AK29" s="56"/>
      <c r="AL29" s="58" t="s">
        <v>121</v>
      </c>
      <c r="AM29" s="56"/>
      <c r="AN29" s="58" t="s">
        <v>122</v>
      </c>
      <c r="AO29" s="56"/>
      <c r="AP29" s="58" t="s">
        <v>123</v>
      </c>
      <c r="AQ29" s="56"/>
      <c r="AR29" s="56" t="s">
        <v>124</v>
      </c>
      <c r="AS29" s="56"/>
      <c r="AT29" s="58" t="s">
        <v>125</v>
      </c>
      <c r="AU29" s="56"/>
      <c r="AV29" s="58" t="s">
        <v>126</v>
      </c>
      <c r="AW29" s="56"/>
      <c r="AX29" s="56" t="s">
        <v>127</v>
      </c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>
        <f t="shared" si="88"/>
        <v>0</v>
      </c>
      <c r="BZ29" s="56"/>
      <c r="CA29" s="56"/>
      <c r="CB29" s="56"/>
      <c r="CC29" s="56"/>
      <c r="CD29" s="56"/>
      <c r="CE29" s="56"/>
      <c r="CF29" s="56"/>
      <c r="CG29" s="56"/>
      <c r="CH29" s="57" t="s">
        <v>110</v>
      </c>
      <c r="CI29" s="56"/>
      <c r="CJ29" s="56" t="s">
        <v>111</v>
      </c>
      <c r="CK29" s="56"/>
      <c r="CL29" s="57" t="s">
        <v>112</v>
      </c>
      <c r="CM29" s="56"/>
      <c r="CN29" s="58" t="s">
        <v>113</v>
      </c>
      <c r="CO29" s="56"/>
      <c r="CP29" s="57" t="s">
        <v>114</v>
      </c>
      <c r="CQ29" s="56"/>
      <c r="CR29" s="56" t="s">
        <v>115</v>
      </c>
      <c r="CS29" s="56"/>
      <c r="CT29" s="58" t="s">
        <v>116</v>
      </c>
      <c r="CU29" s="56"/>
      <c r="CV29" s="58" t="s">
        <v>117</v>
      </c>
      <c r="CW29" s="56"/>
      <c r="CX29" s="58" t="s">
        <v>118</v>
      </c>
      <c r="CY29" s="56"/>
      <c r="CZ29" s="56" t="s">
        <v>119</v>
      </c>
      <c r="DA29" s="56"/>
      <c r="DB29" s="58" t="s">
        <v>120</v>
      </c>
      <c r="DC29" s="56"/>
      <c r="DD29" s="58" t="s">
        <v>121</v>
      </c>
      <c r="DE29" s="56"/>
      <c r="DF29" s="58" t="s">
        <v>122</v>
      </c>
      <c r="DG29" s="56"/>
      <c r="DH29" s="58" t="s">
        <v>123</v>
      </c>
      <c r="DI29" s="56"/>
      <c r="DJ29" s="56" t="s">
        <v>124</v>
      </c>
      <c r="DK29" s="56"/>
      <c r="DL29" s="58" t="s">
        <v>125</v>
      </c>
      <c r="DM29" s="56"/>
      <c r="DN29" s="58" t="s">
        <v>126</v>
      </c>
      <c r="DO29" s="56"/>
      <c r="DP29" s="56" t="s">
        <v>127</v>
      </c>
      <c r="DQ29" s="56"/>
      <c r="DR29" s="56"/>
      <c r="DS29" s="56"/>
      <c r="DT29" s="56">
        <v>1</v>
      </c>
      <c r="DU29" s="56">
        <v>0.97</v>
      </c>
      <c r="DV29" s="56">
        <v>0.95</v>
      </c>
      <c r="DW29" s="56">
        <v>0.93</v>
      </c>
      <c r="DX29" s="56">
        <f t="shared" ref="DX29:EO29" si="187">+DW29-0.02</f>
        <v>0.91</v>
      </c>
      <c r="DY29" s="56">
        <f t="shared" si="187"/>
        <v>0.89</v>
      </c>
      <c r="DZ29" s="56">
        <f t="shared" si="187"/>
        <v>0.87</v>
      </c>
      <c r="EA29" s="56">
        <f t="shared" si="187"/>
        <v>0.85</v>
      </c>
      <c r="EB29" s="56">
        <f t="shared" si="187"/>
        <v>0.83</v>
      </c>
      <c r="EC29" s="56">
        <f t="shared" si="187"/>
        <v>0.80999999999999994</v>
      </c>
      <c r="ED29" s="56">
        <f t="shared" si="187"/>
        <v>0.78999999999999992</v>
      </c>
      <c r="EE29" s="56">
        <f t="shared" si="187"/>
        <v>0.76999999999999991</v>
      </c>
      <c r="EF29" s="56">
        <f t="shared" si="187"/>
        <v>0.74999999999999989</v>
      </c>
      <c r="EG29" s="56">
        <f t="shared" si="187"/>
        <v>0.72999999999999987</v>
      </c>
      <c r="EH29" s="56">
        <f t="shared" si="187"/>
        <v>0.70999999999999985</v>
      </c>
      <c r="EI29" s="56">
        <f t="shared" si="187"/>
        <v>0.68999999999999984</v>
      </c>
      <c r="EJ29" s="56">
        <f t="shared" si="187"/>
        <v>0.66999999999999982</v>
      </c>
      <c r="EK29" s="56">
        <f t="shared" si="187"/>
        <v>0.6499999999999998</v>
      </c>
      <c r="EL29" s="56">
        <f t="shared" si="187"/>
        <v>0.62999999999999978</v>
      </c>
      <c r="EM29" s="56">
        <f t="shared" si="187"/>
        <v>0.60999999999999976</v>
      </c>
      <c r="EN29" s="56">
        <f t="shared" si="187"/>
        <v>0.58999999999999975</v>
      </c>
      <c r="EO29" s="56">
        <f t="shared" si="187"/>
        <v>0.56999999999999973</v>
      </c>
      <c r="EQ29" s="56">
        <f t="shared" ref="EQ29:EQ93" si="188">+BY29*0.91</f>
        <v>0</v>
      </c>
      <c r="ER29" s="56"/>
      <c r="ES29" s="56"/>
      <c r="ET29" s="56"/>
      <c r="EU29" s="56"/>
      <c r="EV29" s="56"/>
      <c r="EW29" s="56"/>
      <c r="EX29" s="56"/>
      <c r="EY29" s="56"/>
      <c r="EZ29" s="57" t="s">
        <v>110</v>
      </c>
      <c r="FA29" s="56"/>
      <c r="FB29" s="56" t="s">
        <v>111</v>
      </c>
      <c r="FC29" s="56"/>
      <c r="FD29" s="57" t="s">
        <v>112</v>
      </c>
      <c r="FE29" s="56"/>
      <c r="FF29" s="58" t="s">
        <v>113</v>
      </c>
      <c r="FG29" s="56"/>
      <c r="FH29" s="57" t="s">
        <v>114</v>
      </c>
      <c r="FI29" s="56"/>
      <c r="FJ29" s="56" t="s">
        <v>115</v>
      </c>
      <c r="FK29" s="56"/>
      <c r="FL29" s="58" t="s">
        <v>116</v>
      </c>
      <c r="FM29" s="56"/>
      <c r="FN29" s="58" t="s">
        <v>117</v>
      </c>
      <c r="FO29" s="56"/>
      <c r="FP29" s="58" t="s">
        <v>118</v>
      </c>
      <c r="FQ29" s="56"/>
      <c r="FR29" s="56" t="s">
        <v>119</v>
      </c>
      <c r="FS29" s="56"/>
      <c r="FT29" s="58" t="s">
        <v>120</v>
      </c>
      <c r="FU29" s="56"/>
      <c r="FV29" s="58" t="s">
        <v>121</v>
      </c>
      <c r="FW29" s="56"/>
      <c r="FX29" s="58" t="s">
        <v>122</v>
      </c>
      <c r="FY29" s="56"/>
      <c r="FZ29" s="58" t="s">
        <v>123</v>
      </c>
      <c r="GA29" s="56"/>
      <c r="GB29" s="56" t="s">
        <v>124</v>
      </c>
      <c r="GC29" s="56"/>
      <c r="GD29" s="58" t="s">
        <v>125</v>
      </c>
      <c r="GE29" s="56"/>
      <c r="GF29" s="58" t="s">
        <v>126</v>
      </c>
      <c r="GG29" s="56"/>
      <c r="GH29" s="56" t="s">
        <v>127</v>
      </c>
      <c r="GI29" s="56"/>
      <c r="GJ29" s="56"/>
      <c r="GK29" s="56"/>
      <c r="GL29" s="56">
        <v>1</v>
      </c>
      <c r="GM29" s="56">
        <v>0.97</v>
      </c>
      <c r="GN29" s="56">
        <v>0.95</v>
      </c>
      <c r="GO29" s="56">
        <v>0.93</v>
      </c>
      <c r="GP29" s="56">
        <f t="shared" ref="GP29:HG29" si="189">+GO29-0.02</f>
        <v>0.91</v>
      </c>
      <c r="GQ29" s="56">
        <f t="shared" si="189"/>
        <v>0.89</v>
      </c>
      <c r="GR29" s="56">
        <f t="shared" si="189"/>
        <v>0.87</v>
      </c>
      <c r="GS29" s="56">
        <f t="shared" si="189"/>
        <v>0.85</v>
      </c>
      <c r="GT29" s="56">
        <f t="shared" si="189"/>
        <v>0.83</v>
      </c>
      <c r="GU29" s="56">
        <f t="shared" si="189"/>
        <v>0.80999999999999994</v>
      </c>
      <c r="GV29" s="56">
        <f t="shared" si="189"/>
        <v>0.78999999999999992</v>
      </c>
      <c r="GW29" s="56">
        <f t="shared" si="189"/>
        <v>0.76999999999999991</v>
      </c>
      <c r="GX29" s="56">
        <f t="shared" si="189"/>
        <v>0.74999999999999989</v>
      </c>
      <c r="GY29" s="56">
        <f t="shared" si="189"/>
        <v>0.72999999999999987</v>
      </c>
      <c r="GZ29" s="56">
        <f t="shared" si="189"/>
        <v>0.70999999999999985</v>
      </c>
      <c r="HA29" s="56">
        <f t="shared" si="189"/>
        <v>0.68999999999999984</v>
      </c>
      <c r="HB29" s="56">
        <f t="shared" si="189"/>
        <v>0.66999999999999982</v>
      </c>
      <c r="HC29" s="56">
        <f t="shared" si="189"/>
        <v>0.6499999999999998</v>
      </c>
      <c r="HD29" s="56">
        <f t="shared" si="189"/>
        <v>0.62999999999999978</v>
      </c>
      <c r="HE29" s="56">
        <f t="shared" si="189"/>
        <v>0.60999999999999976</v>
      </c>
      <c r="HF29" s="56">
        <f t="shared" si="189"/>
        <v>0.58999999999999975</v>
      </c>
      <c r="HG29" s="56">
        <f t="shared" si="189"/>
        <v>0.56999999999999973</v>
      </c>
    </row>
    <row r="30" spans="1:215" s="54" customFormat="1" ht="17.25" thickBot="1" x14ac:dyDescent="0.35">
      <c r="B30" s="54" t="s">
        <v>52</v>
      </c>
      <c r="C30" s="54" t="s">
        <v>48</v>
      </c>
      <c r="D30" s="55" t="s">
        <v>205</v>
      </c>
      <c r="E30" s="55" t="s">
        <v>61</v>
      </c>
      <c r="G30" s="56"/>
      <c r="H30" s="56"/>
      <c r="I30" s="56"/>
      <c r="J30" s="56"/>
      <c r="K30" s="56"/>
      <c r="L30" s="56"/>
      <c r="M30" s="56"/>
      <c r="N30" s="56"/>
      <c r="O30" s="56"/>
      <c r="P30" s="57"/>
      <c r="Q30" s="56"/>
      <c r="R30" s="56"/>
      <c r="S30" s="56"/>
      <c r="T30" s="57"/>
      <c r="U30" s="56"/>
      <c r="V30" s="58"/>
      <c r="W30" s="56"/>
      <c r="X30" s="57"/>
      <c r="Y30" s="56"/>
      <c r="Z30" s="56"/>
      <c r="AA30" s="56"/>
      <c r="AB30" s="58"/>
      <c r="AC30" s="56"/>
      <c r="AD30" s="58"/>
      <c r="AE30" s="56"/>
      <c r="AF30" s="58"/>
      <c r="AG30" s="56"/>
      <c r="AH30" s="56"/>
      <c r="AI30" s="56"/>
      <c r="AJ30" s="58"/>
      <c r="AK30" s="56"/>
      <c r="AL30" s="58"/>
      <c r="AM30" s="56"/>
      <c r="AN30" s="58"/>
      <c r="AO30" s="56"/>
      <c r="AP30" s="58"/>
      <c r="AQ30" s="56"/>
      <c r="AR30" s="56"/>
      <c r="AS30" s="56"/>
      <c r="AT30" s="58"/>
      <c r="AU30" s="56"/>
      <c r="AV30" s="58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>
        <f t="shared" si="88"/>
        <v>0</v>
      </c>
      <c r="BZ30" s="56"/>
      <c r="CA30" s="56"/>
      <c r="CB30" s="56"/>
      <c r="CC30" s="56"/>
      <c r="CD30" s="56"/>
      <c r="CE30" s="56"/>
      <c r="CF30" s="56"/>
      <c r="CG30" s="56"/>
      <c r="CH30" s="57"/>
      <c r="CI30" s="56"/>
      <c r="CJ30" s="56"/>
      <c r="CK30" s="56"/>
      <c r="CL30" s="57"/>
      <c r="CM30" s="56"/>
      <c r="CN30" s="58"/>
      <c r="CO30" s="56"/>
      <c r="CP30" s="57"/>
      <c r="CQ30" s="56"/>
      <c r="CR30" s="56"/>
      <c r="CS30" s="56"/>
      <c r="CT30" s="58"/>
      <c r="CU30" s="56"/>
      <c r="CV30" s="58"/>
      <c r="CW30" s="56"/>
      <c r="CX30" s="58"/>
      <c r="CY30" s="56"/>
      <c r="CZ30" s="56"/>
      <c r="DA30" s="56"/>
      <c r="DB30" s="58"/>
      <c r="DC30" s="56"/>
      <c r="DD30" s="58"/>
      <c r="DE30" s="56"/>
      <c r="DF30" s="58"/>
      <c r="DG30" s="56"/>
      <c r="DH30" s="58"/>
      <c r="DI30" s="56"/>
      <c r="DJ30" s="56"/>
      <c r="DK30" s="56"/>
      <c r="DL30" s="58"/>
      <c r="DM30" s="56"/>
      <c r="DN30" s="58"/>
      <c r="DO30" s="56"/>
      <c r="DP30" s="56"/>
      <c r="DQ30" s="56"/>
      <c r="DR30" s="56"/>
      <c r="DS30" s="56"/>
      <c r="DT30" s="56">
        <v>1</v>
      </c>
      <c r="DU30" s="56">
        <v>0.97</v>
      </c>
      <c r="DV30" s="56">
        <v>0.95</v>
      </c>
      <c r="DW30" s="56">
        <v>0.93</v>
      </c>
      <c r="DX30" s="56">
        <f t="shared" ref="DX30:EO30" si="190">+DW30-0.02</f>
        <v>0.91</v>
      </c>
      <c r="DY30" s="56">
        <f t="shared" si="190"/>
        <v>0.89</v>
      </c>
      <c r="DZ30" s="56">
        <f t="shared" si="190"/>
        <v>0.87</v>
      </c>
      <c r="EA30" s="56">
        <f t="shared" si="190"/>
        <v>0.85</v>
      </c>
      <c r="EB30" s="56">
        <f t="shared" si="190"/>
        <v>0.83</v>
      </c>
      <c r="EC30" s="56">
        <f t="shared" si="190"/>
        <v>0.80999999999999994</v>
      </c>
      <c r="ED30" s="56">
        <f t="shared" si="190"/>
        <v>0.78999999999999992</v>
      </c>
      <c r="EE30" s="56">
        <f t="shared" si="190"/>
        <v>0.76999999999999991</v>
      </c>
      <c r="EF30" s="56">
        <f t="shared" si="190"/>
        <v>0.74999999999999989</v>
      </c>
      <c r="EG30" s="56">
        <f t="shared" si="190"/>
        <v>0.72999999999999987</v>
      </c>
      <c r="EH30" s="56">
        <f t="shared" si="190"/>
        <v>0.70999999999999985</v>
      </c>
      <c r="EI30" s="56">
        <f t="shared" si="190"/>
        <v>0.68999999999999984</v>
      </c>
      <c r="EJ30" s="56">
        <f t="shared" si="190"/>
        <v>0.66999999999999982</v>
      </c>
      <c r="EK30" s="56">
        <f t="shared" si="190"/>
        <v>0.6499999999999998</v>
      </c>
      <c r="EL30" s="56">
        <f t="shared" si="190"/>
        <v>0.62999999999999978</v>
      </c>
      <c r="EM30" s="56">
        <f t="shared" si="190"/>
        <v>0.60999999999999976</v>
      </c>
      <c r="EN30" s="56">
        <f t="shared" si="190"/>
        <v>0.58999999999999975</v>
      </c>
      <c r="EO30" s="56">
        <f t="shared" si="190"/>
        <v>0.56999999999999973</v>
      </c>
      <c r="EQ30" s="56">
        <f t="shared" si="188"/>
        <v>0</v>
      </c>
      <c r="ER30" s="56"/>
      <c r="ES30" s="56"/>
      <c r="ET30" s="56"/>
      <c r="EU30" s="56"/>
      <c r="EV30" s="56"/>
      <c r="EW30" s="56"/>
      <c r="EX30" s="56"/>
      <c r="EY30" s="56"/>
      <c r="EZ30" s="57"/>
      <c r="FA30" s="56"/>
      <c r="FB30" s="56"/>
      <c r="FC30" s="56"/>
      <c r="FD30" s="57"/>
      <c r="FE30" s="56"/>
      <c r="FF30" s="58"/>
      <c r="FG30" s="56"/>
      <c r="FH30" s="57"/>
      <c r="FI30" s="56"/>
      <c r="FJ30" s="56"/>
      <c r="FK30" s="56"/>
      <c r="FL30" s="58"/>
      <c r="FM30" s="56"/>
      <c r="FN30" s="58"/>
      <c r="FO30" s="56"/>
      <c r="FP30" s="58"/>
      <c r="FQ30" s="56"/>
      <c r="FR30" s="56"/>
      <c r="FS30" s="56"/>
      <c r="FT30" s="58"/>
      <c r="FU30" s="56"/>
      <c r="FV30" s="58"/>
      <c r="FW30" s="56"/>
      <c r="FX30" s="58"/>
      <c r="FY30" s="56"/>
      <c r="FZ30" s="58"/>
      <c r="GA30" s="56"/>
      <c r="GB30" s="56"/>
      <c r="GC30" s="56"/>
      <c r="GD30" s="58"/>
      <c r="GE30" s="56"/>
      <c r="GF30" s="58"/>
      <c r="GG30" s="56"/>
      <c r="GH30" s="56"/>
      <c r="GI30" s="56"/>
      <c r="GJ30" s="56"/>
      <c r="GK30" s="56"/>
      <c r="GL30" s="56">
        <v>1</v>
      </c>
      <c r="GM30" s="56">
        <v>0.97</v>
      </c>
      <c r="GN30" s="56">
        <v>0.95</v>
      </c>
      <c r="GO30" s="56">
        <v>0.93</v>
      </c>
      <c r="GP30" s="56">
        <f t="shared" ref="GP30:HG30" si="191">+GO30-0.02</f>
        <v>0.91</v>
      </c>
      <c r="GQ30" s="56">
        <f t="shared" si="191"/>
        <v>0.89</v>
      </c>
      <c r="GR30" s="56">
        <f t="shared" si="191"/>
        <v>0.87</v>
      </c>
      <c r="GS30" s="56">
        <f t="shared" si="191"/>
        <v>0.85</v>
      </c>
      <c r="GT30" s="56">
        <f t="shared" si="191"/>
        <v>0.83</v>
      </c>
      <c r="GU30" s="56">
        <f t="shared" si="191"/>
        <v>0.80999999999999994</v>
      </c>
      <c r="GV30" s="56">
        <f t="shared" si="191"/>
        <v>0.78999999999999992</v>
      </c>
      <c r="GW30" s="56">
        <f t="shared" si="191"/>
        <v>0.76999999999999991</v>
      </c>
      <c r="GX30" s="56">
        <f t="shared" si="191"/>
        <v>0.74999999999999989</v>
      </c>
      <c r="GY30" s="56">
        <f t="shared" si="191"/>
        <v>0.72999999999999987</v>
      </c>
      <c r="GZ30" s="56">
        <f t="shared" si="191"/>
        <v>0.70999999999999985</v>
      </c>
      <c r="HA30" s="56">
        <f t="shared" si="191"/>
        <v>0.68999999999999984</v>
      </c>
      <c r="HB30" s="56">
        <f t="shared" si="191"/>
        <v>0.66999999999999982</v>
      </c>
      <c r="HC30" s="56">
        <f t="shared" si="191"/>
        <v>0.6499999999999998</v>
      </c>
      <c r="HD30" s="56">
        <f t="shared" si="191"/>
        <v>0.62999999999999978</v>
      </c>
      <c r="HE30" s="56">
        <f t="shared" si="191"/>
        <v>0.60999999999999976</v>
      </c>
      <c r="HF30" s="56">
        <f t="shared" si="191"/>
        <v>0.58999999999999975</v>
      </c>
      <c r="HG30" s="56">
        <f t="shared" si="191"/>
        <v>0.56999999999999973</v>
      </c>
    </row>
    <row r="31" spans="1:215" ht="17.25" thickBot="1" x14ac:dyDescent="0.35">
      <c r="C31" s="39" t="s">
        <v>52</v>
      </c>
      <c r="D31" s="65">
        <f>TRUNC(3665.42047930283,-1)</f>
        <v>3660</v>
      </c>
      <c r="E31" s="71">
        <f>TRUNC(+D31*3.3058,-1)</f>
        <v>12090</v>
      </c>
      <c r="G31" s="48">
        <f t="shared" si="61"/>
        <v>4026.0000000000005</v>
      </c>
      <c r="H31" s="48">
        <f t="shared" si="62"/>
        <v>4026.0000000000005</v>
      </c>
      <c r="I31" s="51">
        <f t="shared" si="63"/>
        <v>13309.150800000001</v>
      </c>
      <c r="J31" s="48">
        <f>+H31*BC31</f>
        <v>3905.2200000000003</v>
      </c>
      <c r="K31" s="51">
        <f>+J31*3.3058</f>
        <v>12909.876276000001</v>
      </c>
      <c r="L31" s="48">
        <f>+H31*BD31</f>
        <v>3824.7000000000003</v>
      </c>
      <c r="M31" s="51">
        <f>+L31*3.3058</f>
        <v>12643.693260000002</v>
      </c>
      <c r="N31" s="48">
        <f>+H31*BE31</f>
        <v>3744.1800000000007</v>
      </c>
      <c r="O31" s="51">
        <f>+N31*3.3058</f>
        <v>12377.510244000003</v>
      </c>
      <c r="P31" s="52">
        <f>+H31*BF31</f>
        <v>3663.6600000000008</v>
      </c>
      <c r="Q31" s="51">
        <f>+P31*3.3058</f>
        <v>12111.327228000002</v>
      </c>
      <c r="R31" s="48">
        <f>+H31*BG31</f>
        <v>3583.1400000000003</v>
      </c>
      <c r="S31" s="51">
        <f>+R31*3.3058</f>
        <v>11845.144212000001</v>
      </c>
      <c r="T31" s="52">
        <f>+H31*BH31</f>
        <v>3502.6200000000003</v>
      </c>
      <c r="U31" s="51">
        <f>+T31*3.3058</f>
        <v>11578.961196000002</v>
      </c>
      <c r="V31" s="53">
        <f>+H31*BI31</f>
        <v>3422.1000000000004</v>
      </c>
      <c r="W31" s="51">
        <f>+V31*3.3058</f>
        <v>11312.778180000001</v>
      </c>
      <c r="X31" s="52">
        <f>+H31*BJ31</f>
        <v>3341.5800000000004</v>
      </c>
      <c r="Y31" s="51">
        <f>+X31*3.3058</f>
        <v>11046.595164000002</v>
      </c>
      <c r="Z31" s="48">
        <f>+H31*BK31</f>
        <v>3261.06</v>
      </c>
      <c r="AA31" s="51">
        <f>+Z31*3.3058</f>
        <v>10780.412147999999</v>
      </c>
      <c r="AB31" s="53">
        <f>+H31*BL31</f>
        <v>3180.54</v>
      </c>
      <c r="AC31" s="51">
        <f>+AB31*3.3058</f>
        <v>10514.229132</v>
      </c>
      <c r="AD31" s="53">
        <f>+H31*BM31</f>
        <v>3100.02</v>
      </c>
      <c r="AE31" s="51">
        <f>+AD31*3.3058</f>
        <v>10248.046116</v>
      </c>
      <c r="AF31" s="53">
        <f>+H31*BN31</f>
        <v>3019.5</v>
      </c>
      <c r="AG31" s="51">
        <f>+AF31*3.3058</f>
        <v>9981.8631000000005</v>
      </c>
      <c r="AH31" s="48">
        <f>+H31*BO31</f>
        <v>2938.98</v>
      </c>
      <c r="AI31" s="51">
        <f>+AH31*3.3058</f>
        <v>9715.6800839999996</v>
      </c>
      <c r="AJ31" s="53">
        <f>+H31*BP31</f>
        <v>2858.4599999999996</v>
      </c>
      <c r="AK31" s="51">
        <f>+AJ31*3.3058</f>
        <v>9449.4970679999988</v>
      </c>
      <c r="AL31" s="53">
        <f>+H31*BQ31</f>
        <v>2777.9399999999996</v>
      </c>
      <c r="AM31" s="51">
        <f>+AL31*3.3058</f>
        <v>9183.3140519999997</v>
      </c>
      <c r="AN31" s="53">
        <f>+H31*BR31</f>
        <v>2697.4199999999996</v>
      </c>
      <c r="AO31" s="51">
        <f>+AN31*3.3058</f>
        <v>8917.1310359999989</v>
      </c>
      <c r="AP31" s="53">
        <f>+H31*BS31</f>
        <v>2616.8999999999996</v>
      </c>
      <c r="AQ31" s="51">
        <f>+AP31*3.3058</f>
        <v>8650.9480199999998</v>
      </c>
      <c r="AR31" s="48">
        <f>+H31*BT31</f>
        <v>2536.3799999999992</v>
      </c>
      <c r="AS31" s="51">
        <f>+AR31*3.3058</f>
        <v>8384.7650039999971</v>
      </c>
      <c r="AT31" s="53">
        <f>+H31*BU31</f>
        <v>2455.8599999999992</v>
      </c>
      <c r="AU31" s="51">
        <f>+AT31*3.3058</f>
        <v>8118.5819879999972</v>
      </c>
      <c r="AV31" s="53">
        <f>+H31*BV31</f>
        <v>2375.3399999999992</v>
      </c>
      <c r="AW31" s="51">
        <f>+AV31*3.3058</f>
        <v>7852.3989719999972</v>
      </c>
      <c r="AX31" s="48">
        <f>+H31*BW31</f>
        <v>2294.8199999999993</v>
      </c>
      <c r="AY31" s="51">
        <f>+AX31*3.3058</f>
        <v>7586.2159559999973</v>
      </c>
      <c r="BB31" s="48">
        <v>1</v>
      </c>
      <c r="BC31" s="48">
        <v>0.97</v>
      </c>
      <c r="BD31" s="48">
        <v>0.95</v>
      </c>
      <c r="BE31" s="48">
        <v>0.93</v>
      </c>
      <c r="BF31" s="48">
        <f t="shared" ref="BF31:BW31" si="192">+BE31-0.02</f>
        <v>0.91</v>
      </c>
      <c r="BG31" s="48">
        <f t="shared" si="192"/>
        <v>0.89</v>
      </c>
      <c r="BH31" s="48">
        <f t="shared" si="192"/>
        <v>0.87</v>
      </c>
      <c r="BI31" s="48">
        <f t="shared" si="192"/>
        <v>0.85</v>
      </c>
      <c r="BJ31" s="48">
        <f t="shared" si="192"/>
        <v>0.83</v>
      </c>
      <c r="BK31" s="48">
        <f t="shared" si="192"/>
        <v>0.80999999999999994</v>
      </c>
      <c r="BL31" s="48">
        <f t="shared" si="192"/>
        <v>0.78999999999999992</v>
      </c>
      <c r="BM31" s="48">
        <f t="shared" si="192"/>
        <v>0.76999999999999991</v>
      </c>
      <c r="BN31" s="48">
        <f t="shared" si="192"/>
        <v>0.74999999999999989</v>
      </c>
      <c r="BO31" s="48">
        <f t="shared" si="192"/>
        <v>0.72999999999999987</v>
      </c>
      <c r="BP31" s="48">
        <f t="shared" si="192"/>
        <v>0.70999999999999985</v>
      </c>
      <c r="BQ31" s="48">
        <f t="shared" si="192"/>
        <v>0.68999999999999984</v>
      </c>
      <c r="BR31" s="48">
        <f t="shared" si="192"/>
        <v>0.66999999999999982</v>
      </c>
      <c r="BS31" s="48">
        <f t="shared" si="192"/>
        <v>0.6499999999999998</v>
      </c>
      <c r="BT31" s="48">
        <f t="shared" si="192"/>
        <v>0.62999999999999978</v>
      </c>
      <c r="BU31" s="48">
        <f t="shared" si="192"/>
        <v>0.60999999999999976</v>
      </c>
      <c r="BV31" s="48">
        <f t="shared" si="192"/>
        <v>0.58999999999999975</v>
      </c>
      <c r="BW31" s="48">
        <f t="shared" si="192"/>
        <v>0.56999999999999973</v>
      </c>
      <c r="BY31" s="48">
        <f t="shared" si="88"/>
        <v>3663.6600000000008</v>
      </c>
      <c r="BZ31" s="48">
        <f t="shared" si="89"/>
        <v>3663.6600000000008</v>
      </c>
      <c r="CA31" s="51">
        <f t="shared" ref="CA31" si="193">+BZ31*3.3058</f>
        <v>12111.327228000002</v>
      </c>
      <c r="CB31" s="48">
        <f>+BZ31*DU31</f>
        <v>3553.7502000000009</v>
      </c>
      <c r="CC31" s="51">
        <f>+CB31*3.3058</f>
        <v>11747.987411160004</v>
      </c>
      <c r="CD31" s="48">
        <f>+BZ31*DV31</f>
        <v>3480.4770000000008</v>
      </c>
      <c r="CE31" s="51">
        <f>+CD31*3.3058</f>
        <v>11505.760866600003</v>
      </c>
      <c r="CF31" s="48">
        <f>+BZ31*DW31</f>
        <v>3407.2038000000007</v>
      </c>
      <c r="CG31" s="51">
        <f>+CF31*3.3058</f>
        <v>11263.534322040003</v>
      </c>
      <c r="CH31" s="52">
        <f>+BZ31*DX31</f>
        <v>3333.9306000000006</v>
      </c>
      <c r="CI31" s="51">
        <f>+CH31*3.3058</f>
        <v>11021.307777480002</v>
      </c>
      <c r="CJ31" s="48">
        <f>+BZ31*DY31</f>
        <v>3260.6574000000005</v>
      </c>
      <c r="CK31" s="51">
        <f>+CJ31*3.3058</f>
        <v>10779.081232920002</v>
      </c>
      <c r="CL31" s="52">
        <f>+BZ31*DZ31</f>
        <v>3187.3842000000009</v>
      </c>
      <c r="CM31" s="51">
        <f>+CL31*3.3058</f>
        <v>10536.854688360003</v>
      </c>
      <c r="CN31" s="53">
        <f>+BZ31*EA31</f>
        <v>3114.1110000000008</v>
      </c>
      <c r="CO31" s="51">
        <f>+CN31*3.3058</f>
        <v>10294.628143800002</v>
      </c>
      <c r="CP31" s="52">
        <f>+BZ31*EB31</f>
        <v>3040.8378000000007</v>
      </c>
      <c r="CQ31" s="51">
        <f>+CP31*3.3058</f>
        <v>10052.401599240002</v>
      </c>
      <c r="CR31" s="48">
        <f>+BZ31*EC31</f>
        <v>2967.5646000000006</v>
      </c>
      <c r="CS31" s="51">
        <f>+CR31*3.3058</f>
        <v>9810.1750546800031</v>
      </c>
      <c r="CT31" s="53">
        <f>+BZ31*ED31</f>
        <v>2894.2914000000005</v>
      </c>
      <c r="CU31" s="51">
        <f>+CT31*3.3058</f>
        <v>9567.9485101200025</v>
      </c>
      <c r="CV31" s="53">
        <f>+BZ31*EE31</f>
        <v>2821.0182000000004</v>
      </c>
      <c r="CW31" s="51">
        <f>+CV31*3.3058</f>
        <v>9325.721965560002</v>
      </c>
      <c r="CX31" s="53">
        <f>+BZ31*EF31</f>
        <v>2747.7450000000003</v>
      </c>
      <c r="CY31" s="51">
        <f>+CX31*3.3058</f>
        <v>9083.4954210000014</v>
      </c>
      <c r="CZ31" s="48">
        <f>+BZ31*EG31</f>
        <v>2674.4718000000003</v>
      </c>
      <c r="DA31" s="51">
        <f>+CZ31*3.3058</f>
        <v>8841.2688764400009</v>
      </c>
      <c r="DB31" s="53">
        <f>+BZ31*EH31</f>
        <v>2601.1986000000002</v>
      </c>
      <c r="DC31" s="51">
        <f>+DB31*3.3058</f>
        <v>8599.0423318800003</v>
      </c>
      <c r="DD31" s="53">
        <f>+BZ31*EI31</f>
        <v>2527.9254000000001</v>
      </c>
      <c r="DE31" s="51">
        <f>+DD31*3.3058</f>
        <v>8356.8157873199998</v>
      </c>
      <c r="DF31" s="53">
        <f>+BZ31*EJ31</f>
        <v>2454.6522</v>
      </c>
      <c r="DG31" s="51">
        <f>+DF31*3.3058</f>
        <v>8114.5892427600002</v>
      </c>
      <c r="DH31" s="53">
        <f>+BZ31*EK31</f>
        <v>2381.3789999999999</v>
      </c>
      <c r="DI31" s="51">
        <f>+DH31*3.3058</f>
        <v>7872.3626981999996</v>
      </c>
      <c r="DJ31" s="48">
        <f>+BZ31*EL31</f>
        <v>2308.1057999999998</v>
      </c>
      <c r="DK31" s="51">
        <f>+DJ31*3.3058</f>
        <v>7630.13615364</v>
      </c>
      <c r="DL31" s="53">
        <f>+BZ31*EM31</f>
        <v>2234.8325999999997</v>
      </c>
      <c r="DM31" s="51">
        <f>+DL31*3.3058</f>
        <v>7387.9096090799994</v>
      </c>
      <c r="DN31" s="53">
        <f>+BZ31*EN31</f>
        <v>2161.5593999999996</v>
      </c>
      <c r="DO31" s="51">
        <f>+DN31*3.3058</f>
        <v>7145.6830645199989</v>
      </c>
      <c r="DP31" s="48">
        <f>+BZ31*EO31</f>
        <v>2088.2861999999996</v>
      </c>
      <c r="DQ31" s="51">
        <f>+DP31*3.3058</f>
        <v>6903.4565199599983</v>
      </c>
      <c r="DT31" s="48">
        <v>1</v>
      </c>
      <c r="DU31" s="48">
        <v>0.97</v>
      </c>
      <c r="DV31" s="48">
        <v>0.95</v>
      </c>
      <c r="DW31" s="48">
        <v>0.93</v>
      </c>
      <c r="DX31" s="48">
        <f t="shared" ref="DX31:EO31" si="194">+DW31-0.02</f>
        <v>0.91</v>
      </c>
      <c r="DY31" s="48">
        <f t="shared" si="194"/>
        <v>0.89</v>
      </c>
      <c r="DZ31" s="48">
        <f t="shared" si="194"/>
        <v>0.87</v>
      </c>
      <c r="EA31" s="48">
        <f t="shared" si="194"/>
        <v>0.85</v>
      </c>
      <c r="EB31" s="48">
        <f t="shared" si="194"/>
        <v>0.83</v>
      </c>
      <c r="EC31" s="48">
        <f t="shared" si="194"/>
        <v>0.80999999999999994</v>
      </c>
      <c r="ED31" s="48">
        <f t="shared" si="194"/>
        <v>0.78999999999999992</v>
      </c>
      <c r="EE31" s="48">
        <f t="shared" si="194"/>
        <v>0.76999999999999991</v>
      </c>
      <c r="EF31" s="48">
        <f t="shared" si="194"/>
        <v>0.74999999999999989</v>
      </c>
      <c r="EG31" s="48">
        <f t="shared" si="194"/>
        <v>0.72999999999999987</v>
      </c>
      <c r="EH31" s="48">
        <f t="shared" si="194"/>
        <v>0.70999999999999985</v>
      </c>
      <c r="EI31" s="48">
        <f t="shared" si="194"/>
        <v>0.68999999999999984</v>
      </c>
      <c r="EJ31" s="48">
        <f t="shared" si="194"/>
        <v>0.66999999999999982</v>
      </c>
      <c r="EK31" s="48">
        <f t="shared" si="194"/>
        <v>0.6499999999999998</v>
      </c>
      <c r="EL31" s="48">
        <f t="shared" si="194"/>
        <v>0.62999999999999978</v>
      </c>
      <c r="EM31" s="48">
        <f t="shared" si="194"/>
        <v>0.60999999999999976</v>
      </c>
      <c r="EN31" s="48">
        <f t="shared" si="194"/>
        <v>0.58999999999999975</v>
      </c>
      <c r="EO31" s="48">
        <f t="shared" si="194"/>
        <v>0.56999999999999973</v>
      </c>
      <c r="EQ31" s="48">
        <f t="shared" si="188"/>
        <v>3333.9306000000006</v>
      </c>
      <c r="ER31" s="48">
        <f t="shared" si="116"/>
        <v>3333.9306000000006</v>
      </c>
      <c r="ES31" s="51">
        <f t="shared" ref="ES31" si="195">+ER31*3.3058</f>
        <v>11021.307777480002</v>
      </c>
      <c r="ET31" s="48">
        <f>+ER31*GM31</f>
        <v>3233.9126820000006</v>
      </c>
      <c r="EU31" s="51">
        <f>+ET31*3.3058</f>
        <v>10690.668544155602</v>
      </c>
      <c r="EV31" s="48">
        <f>+ER31*GN31</f>
        <v>3167.2340700000004</v>
      </c>
      <c r="EW31" s="51">
        <f>+EV31*3.3058</f>
        <v>10470.242388606002</v>
      </c>
      <c r="EX31" s="48">
        <f>+ER31*GO31</f>
        <v>3100.5554580000007</v>
      </c>
      <c r="EY31" s="51">
        <f>+EX31*3.3058</f>
        <v>10249.816233056403</v>
      </c>
      <c r="EZ31" s="52">
        <f>+ER31*GP31</f>
        <v>3033.8768460000006</v>
      </c>
      <c r="FA31" s="51">
        <f>+EZ31*3.3058</f>
        <v>10029.390077506801</v>
      </c>
      <c r="FB31" s="48">
        <f>+ER31*GQ31</f>
        <v>2967.1982340000004</v>
      </c>
      <c r="FC31" s="51">
        <f>+FB31*3.3058</f>
        <v>9808.9639219572018</v>
      </c>
      <c r="FD31" s="52">
        <f>+ER31*GR31</f>
        <v>2900.5196220000007</v>
      </c>
      <c r="FE31" s="51">
        <f>+FD31*3.3058</f>
        <v>9588.5377664076022</v>
      </c>
      <c r="FF31" s="53">
        <f>+ER31*GS31</f>
        <v>2833.8410100000006</v>
      </c>
      <c r="FG31" s="51">
        <f>+FF31*3.3058</f>
        <v>9368.1116108580027</v>
      </c>
      <c r="FH31" s="52">
        <f>+ER31*GT31</f>
        <v>2767.1623980000004</v>
      </c>
      <c r="FI31" s="51">
        <f>+FH31*3.3058</f>
        <v>9147.6854553084013</v>
      </c>
      <c r="FJ31" s="48">
        <f>+ER31*GU31</f>
        <v>2700.4837860000002</v>
      </c>
      <c r="FK31" s="51">
        <f>+FJ31*3.3058</f>
        <v>8927.2592997588017</v>
      </c>
      <c r="FL31" s="53">
        <f>+ER31*GV31</f>
        <v>2633.8051740000001</v>
      </c>
      <c r="FM31" s="51">
        <f>+FL31*3.3058</f>
        <v>8706.8331442092003</v>
      </c>
      <c r="FN31" s="53">
        <f>+ER31*GW31</f>
        <v>2567.1265619999999</v>
      </c>
      <c r="FO31" s="51">
        <f>+FN31*3.3058</f>
        <v>8486.4069886596008</v>
      </c>
      <c r="FP31" s="53">
        <f>+ER31*GX31</f>
        <v>2500.4479500000002</v>
      </c>
      <c r="FQ31" s="51">
        <f>+FP31*3.3058</f>
        <v>8265.9808331100012</v>
      </c>
      <c r="FR31" s="48">
        <f>+ER31*GY31</f>
        <v>2433.7693380000001</v>
      </c>
      <c r="FS31" s="51">
        <f>+FR31*3.3058</f>
        <v>8045.5546775604007</v>
      </c>
      <c r="FT31" s="53">
        <f>+ER31*GZ31</f>
        <v>2367.0907259999999</v>
      </c>
      <c r="FU31" s="51">
        <f>+FT31*3.3058</f>
        <v>7825.1285220108002</v>
      </c>
      <c r="FV31" s="53">
        <f>+ER31*HA31</f>
        <v>2300.4121139999997</v>
      </c>
      <c r="FW31" s="51">
        <f>+FV31*3.3058</f>
        <v>7604.7023664611997</v>
      </c>
      <c r="FX31" s="53">
        <f>+ER31*HB31</f>
        <v>2233.7335019999996</v>
      </c>
      <c r="FY31" s="51">
        <f>+FX31*3.3058</f>
        <v>7384.2762109115984</v>
      </c>
      <c r="FZ31" s="53">
        <f>+ER31*HC31</f>
        <v>2167.0548899999999</v>
      </c>
      <c r="GA31" s="51">
        <f>+FZ31*3.3058</f>
        <v>7163.8500553619997</v>
      </c>
      <c r="GB31" s="48">
        <f>+ER31*HD31</f>
        <v>2100.3762779999997</v>
      </c>
      <c r="GC31" s="51">
        <f>+GB31*3.3058</f>
        <v>6943.4238998123992</v>
      </c>
      <c r="GD31" s="53">
        <f>+ER31*HE31</f>
        <v>2033.6976659999996</v>
      </c>
      <c r="GE31" s="51">
        <f>+GD31*3.3058</f>
        <v>6722.9977442627987</v>
      </c>
      <c r="GF31" s="53">
        <f>+ER31*HF31</f>
        <v>1967.0190539999994</v>
      </c>
      <c r="GG31" s="51">
        <f>+GF31*3.3058</f>
        <v>6502.5715887131983</v>
      </c>
      <c r="GH31" s="48">
        <f>+ER31*HG31</f>
        <v>1900.3404419999995</v>
      </c>
      <c r="GI31" s="51">
        <f>+GH31*3.3058</f>
        <v>6282.1454331635987</v>
      </c>
      <c r="GJ31" s="48"/>
      <c r="GK31" s="48"/>
      <c r="GL31" s="48">
        <v>1</v>
      </c>
      <c r="GM31" s="48">
        <v>0.97</v>
      </c>
      <c r="GN31" s="48">
        <v>0.95</v>
      </c>
      <c r="GO31" s="48">
        <v>0.93</v>
      </c>
      <c r="GP31" s="48">
        <f t="shared" ref="GP31:HG31" si="196">+GO31-0.02</f>
        <v>0.91</v>
      </c>
      <c r="GQ31" s="48">
        <f t="shared" si="196"/>
        <v>0.89</v>
      </c>
      <c r="GR31" s="48">
        <f t="shared" si="196"/>
        <v>0.87</v>
      </c>
      <c r="GS31" s="48">
        <f t="shared" si="196"/>
        <v>0.85</v>
      </c>
      <c r="GT31" s="48">
        <f t="shared" si="196"/>
        <v>0.83</v>
      </c>
      <c r="GU31" s="48">
        <f t="shared" si="196"/>
        <v>0.80999999999999994</v>
      </c>
      <c r="GV31" s="48">
        <f t="shared" si="196"/>
        <v>0.78999999999999992</v>
      </c>
      <c r="GW31" s="48">
        <f t="shared" si="196"/>
        <v>0.76999999999999991</v>
      </c>
      <c r="GX31" s="48">
        <f t="shared" si="196"/>
        <v>0.74999999999999989</v>
      </c>
      <c r="GY31" s="48">
        <f t="shared" si="196"/>
        <v>0.72999999999999987</v>
      </c>
      <c r="GZ31" s="48">
        <f t="shared" si="196"/>
        <v>0.70999999999999985</v>
      </c>
      <c r="HA31" s="48">
        <f t="shared" si="196"/>
        <v>0.68999999999999984</v>
      </c>
      <c r="HB31" s="48">
        <f t="shared" si="196"/>
        <v>0.66999999999999982</v>
      </c>
      <c r="HC31" s="48">
        <f t="shared" si="196"/>
        <v>0.6499999999999998</v>
      </c>
      <c r="HD31" s="48">
        <f t="shared" si="196"/>
        <v>0.62999999999999978</v>
      </c>
      <c r="HE31" s="48">
        <f t="shared" si="196"/>
        <v>0.60999999999999976</v>
      </c>
      <c r="HF31" s="48">
        <f t="shared" si="196"/>
        <v>0.58999999999999975</v>
      </c>
      <c r="HG31" s="48">
        <f t="shared" si="196"/>
        <v>0.56999999999999973</v>
      </c>
    </row>
    <row r="32" spans="1:215" x14ac:dyDescent="0.3">
      <c r="I32" s="48"/>
      <c r="V32" s="53"/>
      <c r="AB32" s="53"/>
      <c r="AD32" s="53"/>
      <c r="AF32" s="53"/>
      <c r="AJ32" s="53"/>
      <c r="AL32" s="53"/>
      <c r="AN32" s="53"/>
      <c r="AP32" s="53"/>
      <c r="AT32" s="53"/>
      <c r="AV32" s="53"/>
      <c r="BB32" s="48">
        <v>1</v>
      </c>
      <c r="BC32" s="48">
        <v>0.97</v>
      </c>
      <c r="BD32" s="48">
        <v>0.95</v>
      </c>
      <c r="BE32" s="48">
        <v>0.93</v>
      </c>
      <c r="BF32" s="48">
        <f t="shared" ref="BF32:BW32" si="197">+BE32-0.02</f>
        <v>0.91</v>
      </c>
      <c r="BG32" s="48">
        <f t="shared" si="197"/>
        <v>0.89</v>
      </c>
      <c r="BH32" s="48">
        <f t="shared" si="197"/>
        <v>0.87</v>
      </c>
      <c r="BI32" s="48">
        <f t="shared" si="197"/>
        <v>0.85</v>
      </c>
      <c r="BJ32" s="48">
        <f t="shared" si="197"/>
        <v>0.83</v>
      </c>
      <c r="BK32" s="48">
        <f t="shared" si="197"/>
        <v>0.80999999999999994</v>
      </c>
      <c r="BL32" s="48">
        <f t="shared" si="197"/>
        <v>0.78999999999999992</v>
      </c>
      <c r="BM32" s="48">
        <f t="shared" si="197"/>
        <v>0.76999999999999991</v>
      </c>
      <c r="BN32" s="48">
        <f t="shared" si="197"/>
        <v>0.74999999999999989</v>
      </c>
      <c r="BO32" s="48">
        <f t="shared" si="197"/>
        <v>0.72999999999999987</v>
      </c>
      <c r="BP32" s="48">
        <f t="shared" si="197"/>
        <v>0.70999999999999985</v>
      </c>
      <c r="BQ32" s="48">
        <f t="shared" si="197"/>
        <v>0.68999999999999984</v>
      </c>
      <c r="BR32" s="48">
        <f t="shared" si="197"/>
        <v>0.66999999999999982</v>
      </c>
      <c r="BS32" s="48">
        <f t="shared" si="197"/>
        <v>0.6499999999999998</v>
      </c>
      <c r="BT32" s="48">
        <f t="shared" si="197"/>
        <v>0.62999999999999978</v>
      </c>
      <c r="BU32" s="48">
        <f t="shared" si="197"/>
        <v>0.60999999999999976</v>
      </c>
      <c r="BV32" s="48">
        <f t="shared" si="197"/>
        <v>0.58999999999999975</v>
      </c>
      <c r="BW32" s="48">
        <f t="shared" si="197"/>
        <v>0.56999999999999973</v>
      </c>
      <c r="BY32" s="48">
        <f t="shared" si="88"/>
        <v>0</v>
      </c>
      <c r="CH32" s="52"/>
      <c r="CL32" s="52"/>
      <c r="CN32" s="53"/>
      <c r="CP32" s="52"/>
      <c r="CT32" s="53"/>
      <c r="CV32" s="53"/>
      <c r="CX32" s="53"/>
      <c r="DB32" s="53"/>
      <c r="DD32" s="53"/>
      <c r="DF32" s="53"/>
      <c r="DH32" s="53"/>
      <c r="DL32" s="53"/>
      <c r="DN32" s="53"/>
      <c r="DT32" s="48">
        <v>1</v>
      </c>
      <c r="DU32" s="48">
        <v>0.97</v>
      </c>
      <c r="DV32" s="48">
        <v>0.95</v>
      </c>
      <c r="DW32" s="48">
        <v>0.93</v>
      </c>
      <c r="DX32" s="48">
        <f t="shared" ref="DX32:EO32" si="198">+DW32-0.02</f>
        <v>0.91</v>
      </c>
      <c r="DY32" s="48">
        <f t="shared" si="198"/>
        <v>0.89</v>
      </c>
      <c r="DZ32" s="48">
        <f t="shared" si="198"/>
        <v>0.87</v>
      </c>
      <c r="EA32" s="48">
        <f t="shared" si="198"/>
        <v>0.85</v>
      </c>
      <c r="EB32" s="48">
        <f t="shared" si="198"/>
        <v>0.83</v>
      </c>
      <c r="EC32" s="48">
        <f t="shared" si="198"/>
        <v>0.80999999999999994</v>
      </c>
      <c r="ED32" s="48">
        <f t="shared" si="198"/>
        <v>0.78999999999999992</v>
      </c>
      <c r="EE32" s="48">
        <f t="shared" si="198"/>
        <v>0.76999999999999991</v>
      </c>
      <c r="EF32" s="48">
        <f t="shared" si="198"/>
        <v>0.74999999999999989</v>
      </c>
      <c r="EG32" s="48">
        <f t="shared" si="198"/>
        <v>0.72999999999999987</v>
      </c>
      <c r="EH32" s="48">
        <f t="shared" si="198"/>
        <v>0.70999999999999985</v>
      </c>
      <c r="EI32" s="48">
        <f t="shared" si="198"/>
        <v>0.68999999999999984</v>
      </c>
      <c r="EJ32" s="48">
        <f t="shared" si="198"/>
        <v>0.66999999999999982</v>
      </c>
      <c r="EK32" s="48">
        <f t="shared" si="198"/>
        <v>0.6499999999999998</v>
      </c>
      <c r="EL32" s="48">
        <f t="shared" si="198"/>
        <v>0.62999999999999978</v>
      </c>
      <c r="EM32" s="48">
        <f t="shared" si="198"/>
        <v>0.60999999999999976</v>
      </c>
      <c r="EN32" s="48">
        <f t="shared" si="198"/>
        <v>0.58999999999999975</v>
      </c>
      <c r="EO32" s="48">
        <f t="shared" si="198"/>
        <v>0.56999999999999973</v>
      </c>
      <c r="EQ32" s="48">
        <f t="shared" si="188"/>
        <v>0</v>
      </c>
      <c r="ER32" s="48"/>
      <c r="ES32" s="48"/>
      <c r="ET32" s="48"/>
      <c r="EU32" s="48"/>
      <c r="EV32" s="48"/>
      <c r="EW32" s="48"/>
      <c r="EX32" s="48"/>
      <c r="EY32" s="48"/>
      <c r="EZ32" s="52"/>
      <c r="FA32" s="48"/>
      <c r="FB32" s="48"/>
      <c r="FC32" s="48"/>
      <c r="FD32" s="52"/>
      <c r="FE32" s="48"/>
      <c r="FF32" s="53"/>
      <c r="FG32" s="48"/>
      <c r="FH32" s="52"/>
      <c r="FI32" s="48"/>
      <c r="FJ32" s="48"/>
      <c r="FK32" s="48"/>
      <c r="FL32" s="53"/>
      <c r="FM32" s="48"/>
      <c r="FN32" s="53"/>
      <c r="FO32" s="48"/>
      <c r="FP32" s="53"/>
      <c r="FQ32" s="48"/>
      <c r="FR32" s="48"/>
      <c r="FS32" s="48"/>
      <c r="FT32" s="53"/>
      <c r="FU32" s="48"/>
      <c r="FV32" s="53"/>
      <c r="FW32" s="48"/>
      <c r="FX32" s="53"/>
      <c r="FY32" s="48"/>
      <c r="FZ32" s="53"/>
      <c r="GA32" s="48"/>
      <c r="GB32" s="48"/>
      <c r="GC32" s="48"/>
      <c r="GD32" s="53"/>
      <c r="GE32" s="48"/>
      <c r="GF32" s="53"/>
      <c r="GG32" s="48"/>
      <c r="GH32" s="48"/>
      <c r="GI32" s="48"/>
      <c r="GJ32" s="48"/>
      <c r="GK32" s="48"/>
      <c r="GL32" s="48">
        <v>1</v>
      </c>
      <c r="GM32" s="48">
        <v>0.97</v>
      </c>
      <c r="GN32" s="48">
        <v>0.95</v>
      </c>
      <c r="GO32" s="48">
        <v>0.93</v>
      </c>
      <c r="GP32" s="48">
        <f t="shared" ref="GP32:HG32" si="199">+GO32-0.02</f>
        <v>0.91</v>
      </c>
      <c r="GQ32" s="48">
        <f t="shared" si="199"/>
        <v>0.89</v>
      </c>
      <c r="GR32" s="48">
        <f t="shared" si="199"/>
        <v>0.87</v>
      </c>
      <c r="GS32" s="48">
        <f t="shared" si="199"/>
        <v>0.85</v>
      </c>
      <c r="GT32" s="48">
        <f t="shared" si="199"/>
        <v>0.83</v>
      </c>
      <c r="GU32" s="48">
        <f t="shared" si="199"/>
        <v>0.80999999999999994</v>
      </c>
      <c r="GV32" s="48">
        <f t="shared" si="199"/>
        <v>0.78999999999999992</v>
      </c>
      <c r="GW32" s="48">
        <f t="shared" si="199"/>
        <v>0.76999999999999991</v>
      </c>
      <c r="GX32" s="48">
        <f t="shared" si="199"/>
        <v>0.74999999999999989</v>
      </c>
      <c r="GY32" s="48">
        <f t="shared" si="199"/>
        <v>0.72999999999999987</v>
      </c>
      <c r="GZ32" s="48">
        <f t="shared" si="199"/>
        <v>0.70999999999999985</v>
      </c>
      <c r="HA32" s="48">
        <f t="shared" si="199"/>
        <v>0.68999999999999984</v>
      </c>
      <c r="HB32" s="48">
        <f t="shared" si="199"/>
        <v>0.66999999999999982</v>
      </c>
      <c r="HC32" s="48">
        <f t="shared" si="199"/>
        <v>0.6499999999999998</v>
      </c>
      <c r="HD32" s="48">
        <f t="shared" si="199"/>
        <v>0.62999999999999978</v>
      </c>
      <c r="HE32" s="48">
        <f t="shared" si="199"/>
        <v>0.60999999999999976</v>
      </c>
      <c r="HF32" s="48">
        <f t="shared" si="199"/>
        <v>0.58999999999999975</v>
      </c>
      <c r="HG32" s="48">
        <f t="shared" si="199"/>
        <v>0.56999999999999973</v>
      </c>
    </row>
    <row r="33" spans="1:250" ht="17.25" thickBot="1" x14ac:dyDescent="0.35">
      <c r="B33" s="2" t="s">
        <v>5</v>
      </c>
      <c r="C33" s="2" t="s">
        <v>48</v>
      </c>
      <c r="D33" s="2" t="s">
        <v>49</v>
      </c>
      <c r="E33" s="35" t="s">
        <v>61</v>
      </c>
      <c r="I33" s="48"/>
      <c r="V33" s="53"/>
      <c r="AB33" s="53"/>
      <c r="AD33" s="53"/>
      <c r="AF33" s="53"/>
      <c r="AJ33" s="53"/>
      <c r="AL33" s="53"/>
      <c r="AN33" s="53"/>
      <c r="AP33" s="53"/>
      <c r="AT33" s="53"/>
      <c r="AV33" s="53"/>
      <c r="BB33" s="48">
        <v>1</v>
      </c>
      <c r="BC33" s="48">
        <v>0.97</v>
      </c>
      <c r="BD33" s="48">
        <v>0.95</v>
      </c>
      <c r="BE33" s="48">
        <v>0.93</v>
      </c>
      <c r="BF33" s="48">
        <f t="shared" ref="BF33:BW33" si="200">+BE33-0.02</f>
        <v>0.91</v>
      </c>
      <c r="BG33" s="48">
        <f t="shared" si="200"/>
        <v>0.89</v>
      </c>
      <c r="BH33" s="48">
        <f t="shared" si="200"/>
        <v>0.87</v>
      </c>
      <c r="BI33" s="48">
        <f t="shared" si="200"/>
        <v>0.85</v>
      </c>
      <c r="BJ33" s="48">
        <f t="shared" si="200"/>
        <v>0.83</v>
      </c>
      <c r="BK33" s="48">
        <f t="shared" si="200"/>
        <v>0.80999999999999994</v>
      </c>
      <c r="BL33" s="48">
        <f t="shared" si="200"/>
        <v>0.78999999999999992</v>
      </c>
      <c r="BM33" s="48">
        <f t="shared" si="200"/>
        <v>0.76999999999999991</v>
      </c>
      <c r="BN33" s="48">
        <f t="shared" si="200"/>
        <v>0.74999999999999989</v>
      </c>
      <c r="BO33" s="48">
        <f t="shared" si="200"/>
        <v>0.72999999999999987</v>
      </c>
      <c r="BP33" s="48">
        <f t="shared" si="200"/>
        <v>0.70999999999999985</v>
      </c>
      <c r="BQ33" s="48">
        <f t="shared" si="200"/>
        <v>0.68999999999999984</v>
      </c>
      <c r="BR33" s="48">
        <f t="shared" si="200"/>
        <v>0.66999999999999982</v>
      </c>
      <c r="BS33" s="48">
        <f t="shared" si="200"/>
        <v>0.6499999999999998</v>
      </c>
      <c r="BT33" s="48">
        <f t="shared" si="200"/>
        <v>0.62999999999999978</v>
      </c>
      <c r="BU33" s="48">
        <f t="shared" si="200"/>
        <v>0.60999999999999976</v>
      </c>
      <c r="BV33" s="48">
        <f t="shared" si="200"/>
        <v>0.58999999999999975</v>
      </c>
      <c r="BW33" s="48">
        <f t="shared" si="200"/>
        <v>0.56999999999999973</v>
      </c>
      <c r="BY33" s="48">
        <f t="shared" si="88"/>
        <v>0</v>
      </c>
      <c r="CH33" s="52"/>
      <c r="CL33" s="52"/>
      <c r="CN33" s="53"/>
      <c r="CP33" s="52"/>
      <c r="CT33" s="53"/>
      <c r="CV33" s="53"/>
      <c r="CX33" s="53"/>
      <c r="DB33" s="53"/>
      <c r="DD33" s="53"/>
      <c r="DF33" s="53"/>
      <c r="DH33" s="53"/>
      <c r="DL33" s="53"/>
      <c r="DN33" s="53"/>
      <c r="DT33" s="48">
        <v>1</v>
      </c>
      <c r="DU33" s="48">
        <v>0.97</v>
      </c>
      <c r="DV33" s="48">
        <v>0.95</v>
      </c>
      <c r="DW33" s="48">
        <v>0.93</v>
      </c>
      <c r="DX33" s="48">
        <f t="shared" ref="DX33:EO33" si="201">+DW33-0.02</f>
        <v>0.91</v>
      </c>
      <c r="DY33" s="48">
        <f t="shared" si="201"/>
        <v>0.89</v>
      </c>
      <c r="DZ33" s="48">
        <f t="shared" si="201"/>
        <v>0.87</v>
      </c>
      <c r="EA33" s="48">
        <f t="shared" si="201"/>
        <v>0.85</v>
      </c>
      <c r="EB33" s="48">
        <f t="shared" si="201"/>
        <v>0.83</v>
      </c>
      <c r="EC33" s="48">
        <f t="shared" si="201"/>
        <v>0.80999999999999994</v>
      </c>
      <c r="ED33" s="48">
        <f t="shared" si="201"/>
        <v>0.78999999999999992</v>
      </c>
      <c r="EE33" s="48">
        <f t="shared" si="201"/>
        <v>0.76999999999999991</v>
      </c>
      <c r="EF33" s="48">
        <f t="shared" si="201"/>
        <v>0.74999999999999989</v>
      </c>
      <c r="EG33" s="48">
        <f t="shared" si="201"/>
        <v>0.72999999999999987</v>
      </c>
      <c r="EH33" s="48">
        <f t="shared" si="201"/>
        <v>0.70999999999999985</v>
      </c>
      <c r="EI33" s="48">
        <f t="shared" si="201"/>
        <v>0.68999999999999984</v>
      </c>
      <c r="EJ33" s="48">
        <f t="shared" si="201"/>
        <v>0.66999999999999982</v>
      </c>
      <c r="EK33" s="48">
        <f t="shared" si="201"/>
        <v>0.6499999999999998</v>
      </c>
      <c r="EL33" s="48">
        <f t="shared" si="201"/>
        <v>0.62999999999999978</v>
      </c>
      <c r="EM33" s="48">
        <f t="shared" si="201"/>
        <v>0.60999999999999976</v>
      </c>
      <c r="EN33" s="48">
        <f t="shared" si="201"/>
        <v>0.58999999999999975</v>
      </c>
      <c r="EO33" s="48">
        <f t="shared" si="201"/>
        <v>0.56999999999999973</v>
      </c>
      <c r="EQ33" s="48">
        <f t="shared" si="188"/>
        <v>0</v>
      </c>
      <c r="ER33" s="48"/>
      <c r="ES33" s="48"/>
      <c r="ET33" s="48"/>
      <c r="EU33" s="48"/>
      <c r="EV33" s="48"/>
      <c r="EW33" s="48"/>
      <c r="EX33" s="48"/>
      <c r="EY33" s="48"/>
      <c r="EZ33" s="52"/>
      <c r="FA33" s="48"/>
      <c r="FB33" s="48"/>
      <c r="FC33" s="48"/>
      <c r="FD33" s="52"/>
      <c r="FE33" s="48"/>
      <c r="FF33" s="53"/>
      <c r="FG33" s="48"/>
      <c r="FH33" s="52"/>
      <c r="FI33" s="48"/>
      <c r="FJ33" s="48"/>
      <c r="FK33" s="48"/>
      <c r="FL33" s="53"/>
      <c r="FM33" s="48"/>
      <c r="FN33" s="53"/>
      <c r="FO33" s="48"/>
      <c r="FP33" s="53"/>
      <c r="FQ33" s="48"/>
      <c r="FR33" s="48"/>
      <c r="FS33" s="48"/>
      <c r="FT33" s="53"/>
      <c r="FU33" s="48"/>
      <c r="FV33" s="53"/>
      <c r="FW33" s="48"/>
      <c r="FX33" s="53"/>
      <c r="FY33" s="48"/>
      <c r="FZ33" s="53"/>
      <c r="GA33" s="48"/>
      <c r="GB33" s="48"/>
      <c r="GC33" s="48"/>
      <c r="GD33" s="53"/>
      <c r="GE33" s="48"/>
      <c r="GF33" s="53"/>
      <c r="GG33" s="48"/>
      <c r="GH33" s="48"/>
      <c r="GI33" s="48"/>
      <c r="GJ33" s="48"/>
      <c r="GK33" s="48"/>
      <c r="GL33" s="48">
        <v>1</v>
      </c>
      <c r="GM33" s="48">
        <v>0.97</v>
      </c>
      <c r="GN33" s="48">
        <v>0.95</v>
      </c>
      <c r="GO33" s="48">
        <v>0.93</v>
      </c>
      <c r="GP33" s="48">
        <f t="shared" ref="GP33:HG33" si="202">+GO33-0.02</f>
        <v>0.91</v>
      </c>
      <c r="GQ33" s="48">
        <f t="shared" si="202"/>
        <v>0.89</v>
      </c>
      <c r="GR33" s="48">
        <f t="shared" si="202"/>
        <v>0.87</v>
      </c>
      <c r="GS33" s="48">
        <f t="shared" si="202"/>
        <v>0.85</v>
      </c>
      <c r="GT33" s="48">
        <f t="shared" si="202"/>
        <v>0.83</v>
      </c>
      <c r="GU33" s="48">
        <f t="shared" si="202"/>
        <v>0.80999999999999994</v>
      </c>
      <c r="GV33" s="48">
        <f t="shared" si="202"/>
        <v>0.78999999999999992</v>
      </c>
      <c r="GW33" s="48">
        <f t="shared" si="202"/>
        <v>0.76999999999999991</v>
      </c>
      <c r="GX33" s="48">
        <f t="shared" si="202"/>
        <v>0.74999999999999989</v>
      </c>
      <c r="GY33" s="48">
        <f t="shared" si="202"/>
        <v>0.72999999999999987</v>
      </c>
      <c r="GZ33" s="48">
        <f t="shared" si="202"/>
        <v>0.70999999999999985</v>
      </c>
      <c r="HA33" s="48">
        <f t="shared" si="202"/>
        <v>0.68999999999999984</v>
      </c>
      <c r="HB33" s="48">
        <f t="shared" si="202"/>
        <v>0.66999999999999982</v>
      </c>
      <c r="HC33" s="48">
        <f t="shared" si="202"/>
        <v>0.6499999999999998</v>
      </c>
      <c r="HD33" s="48">
        <f t="shared" si="202"/>
        <v>0.62999999999999978</v>
      </c>
      <c r="HE33" s="48">
        <f t="shared" si="202"/>
        <v>0.60999999999999976</v>
      </c>
      <c r="HF33" s="48">
        <f t="shared" si="202"/>
        <v>0.58999999999999975</v>
      </c>
      <c r="HG33" s="48">
        <f t="shared" si="202"/>
        <v>0.56999999999999973</v>
      </c>
    </row>
    <row r="34" spans="1:250" x14ac:dyDescent="0.3">
      <c r="A34" s="2">
        <v>1</v>
      </c>
      <c r="C34" s="39" t="s">
        <v>129</v>
      </c>
      <c r="D34" s="42">
        <f>TRUNC(40078.0989469862,-1)</f>
        <v>40070</v>
      </c>
      <c r="E34" s="72">
        <f t="shared" ref="E34:E53" si="203">TRUNC(+D34*3.3058,-1)</f>
        <v>132460</v>
      </c>
      <c r="G34" s="48">
        <f t="shared" si="61"/>
        <v>44077</v>
      </c>
      <c r="H34" s="48">
        <f t="shared" si="62"/>
        <v>44077</v>
      </c>
      <c r="I34" s="51">
        <f t="shared" si="63"/>
        <v>145709.74660000001</v>
      </c>
      <c r="J34" s="48">
        <f t="shared" ref="J34:J54" si="204">+H34*BC34</f>
        <v>42754.69</v>
      </c>
      <c r="K34" s="51">
        <f t="shared" ref="K34:K54" si="205">+J34*3.3058</f>
        <v>141338.45420200002</v>
      </c>
      <c r="L34" s="48">
        <f t="shared" ref="L34:L54" si="206">+H34*BD34</f>
        <v>41873.15</v>
      </c>
      <c r="M34" s="51">
        <f t="shared" ref="M34:M54" si="207">+L34*3.3058</f>
        <v>138424.25927000001</v>
      </c>
      <c r="N34" s="48">
        <f t="shared" ref="N34:N54" si="208">+H34*BE34</f>
        <v>40991.61</v>
      </c>
      <c r="O34" s="51">
        <f t="shared" ref="O34:O54" si="209">+N34*3.3058</f>
        <v>135510.064338</v>
      </c>
      <c r="P34" s="52">
        <f t="shared" ref="P34:P54" si="210">+H34*BF34</f>
        <v>40110.07</v>
      </c>
      <c r="Q34" s="51">
        <f t="shared" ref="Q34:Q54" si="211">+P34*3.3058</f>
        <v>132595.86940600001</v>
      </c>
      <c r="R34" s="48">
        <f t="shared" ref="R34:R54" si="212">+H34*BG34</f>
        <v>39228.53</v>
      </c>
      <c r="S34" s="51">
        <f t="shared" ref="S34:S54" si="213">+R34*3.3058</f>
        <v>129681.674474</v>
      </c>
      <c r="T34" s="52">
        <f t="shared" ref="T34:T54" si="214">+H34*BH34</f>
        <v>38346.99</v>
      </c>
      <c r="U34" s="51">
        <f t="shared" ref="U34:U54" si="215">+T34*3.3058</f>
        <v>126767.479542</v>
      </c>
      <c r="V34" s="53">
        <f t="shared" ref="V34:V54" si="216">+H34*BI34</f>
        <v>37465.449999999997</v>
      </c>
      <c r="W34" s="51">
        <f t="shared" ref="W34:W54" si="217">+V34*3.3058</f>
        <v>123853.28460999999</v>
      </c>
      <c r="X34" s="52">
        <f t="shared" ref="X34:X54" si="218">+H34*BJ34</f>
        <v>36583.909999999996</v>
      </c>
      <c r="Y34" s="51">
        <f t="shared" ref="Y34:Y54" si="219">+X34*3.3058</f>
        <v>120939.08967799999</v>
      </c>
      <c r="Z34" s="48">
        <f t="shared" ref="Z34:Z54" si="220">+H34*BK34</f>
        <v>35702.369999999995</v>
      </c>
      <c r="AA34" s="51">
        <f t="shared" ref="AA34:AA54" si="221">+Z34*3.3058</f>
        <v>118024.89474599999</v>
      </c>
      <c r="AB34" s="53">
        <f t="shared" ref="AB34:AB54" si="222">+H34*BL34</f>
        <v>34820.829999999994</v>
      </c>
      <c r="AC34" s="51">
        <f t="shared" ref="AC34:AC54" si="223">+AB34*3.3058</f>
        <v>115110.69981399998</v>
      </c>
      <c r="AD34" s="53">
        <f t="shared" ref="AD34:AD54" si="224">+H34*BM34</f>
        <v>33939.289999999994</v>
      </c>
      <c r="AE34" s="51">
        <f t="shared" ref="AE34:AE54" si="225">+AD34*3.3058</f>
        <v>112196.50488199998</v>
      </c>
      <c r="AF34" s="53">
        <f t="shared" ref="AF34:AF54" si="226">+H34*BN34</f>
        <v>33057.749999999993</v>
      </c>
      <c r="AG34" s="51">
        <f t="shared" ref="AG34:AG54" si="227">+AF34*3.3058</f>
        <v>109282.30994999998</v>
      </c>
      <c r="AH34" s="48">
        <f t="shared" ref="AH34:AH54" si="228">+H34*BO34</f>
        <v>32176.209999999995</v>
      </c>
      <c r="AI34" s="51">
        <f t="shared" ref="AI34:AI54" si="229">+AH34*3.3058</f>
        <v>106368.11501799998</v>
      </c>
      <c r="AJ34" s="53">
        <f t="shared" ref="AJ34:AJ54" si="230">+H34*BP34</f>
        <v>31294.669999999995</v>
      </c>
      <c r="AK34" s="51">
        <f t="shared" ref="AK34:AK54" si="231">+AJ34*3.3058</f>
        <v>103453.92008599998</v>
      </c>
      <c r="AL34" s="53">
        <f t="shared" ref="AL34:AL54" si="232">+H34*BQ34</f>
        <v>30413.129999999994</v>
      </c>
      <c r="AM34" s="51">
        <f t="shared" ref="AM34:AM54" si="233">+AL34*3.3058</f>
        <v>100539.72515399999</v>
      </c>
      <c r="AN34" s="53">
        <f t="shared" ref="AN34:AN54" si="234">+H34*BR34</f>
        <v>29531.589999999993</v>
      </c>
      <c r="AO34" s="51">
        <f t="shared" ref="AO34:AO54" si="235">+AN34*3.3058</f>
        <v>97625.530221999972</v>
      </c>
      <c r="AP34" s="53">
        <f t="shared" ref="AP34:AP54" si="236">+H34*BS34</f>
        <v>28650.049999999992</v>
      </c>
      <c r="AQ34" s="51">
        <f t="shared" ref="AQ34:AQ54" si="237">+AP34*3.3058</f>
        <v>94711.335289999974</v>
      </c>
      <c r="AR34" s="48">
        <f t="shared" ref="AR34:AR54" si="238">+H34*BT34</f>
        <v>27768.509999999991</v>
      </c>
      <c r="AS34" s="51">
        <f t="shared" ref="AS34:AS54" si="239">+AR34*3.3058</f>
        <v>91797.140357999975</v>
      </c>
      <c r="AT34" s="53">
        <f t="shared" ref="AT34:AT54" si="240">+H34*BU34</f>
        <v>26886.96999999999</v>
      </c>
      <c r="AU34" s="51">
        <f t="shared" ref="AU34:AU54" si="241">+AT34*3.3058</f>
        <v>88882.945425999977</v>
      </c>
      <c r="AV34" s="53">
        <f t="shared" ref="AV34:AV54" si="242">+H34*BV34</f>
        <v>26005.429999999989</v>
      </c>
      <c r="AW34" s="51">
        <f t="shared" ref="AW34:AW54" si="243">+AV34*3.3058</f>
        <v>85968.750493999964</v>
      </c>
      <c r="AX34" s="48">
        <f t="shared" ref="AX34:AX54" si="244">+H34*BW34</f>
        <v>25123.889999999989</v>
      </c>
      <c r="AY34" s="51">
        <f t="shared" ref="AY34:AY54" si="245">+AX34*3.3058</f>
        <v>83054.555561999965</v>
      </c>
      <c r="BB34" s="48">
        <v>1</v>
      </c>
      <c r="BC34" s="48">
        <v>0.97</v>
      </c>
      <c r="BD34" s="48">
        <v>0.95</v>
      </c>
      <c r="BE34" s="48">
        <v>0.93</v>
      </c>
      <c r="BF34" s="48">
        <f t="shared" ref="BF34:BW34" si="246">+BE34-0.02</f>
        <v>0.91</v>
      </c>
      <c r="BG34" s="48">
        <f t="shared" si="246"/>
        <v>0.89</v>
      </c>
      <c r="BH34" s="48">
        <f t="shared" si="246"/>
        <v>0.87</v>
      </c>
      <c r="BI34" s="48">
        <f t="shared" si="246"/>
        <v>0.85</v>
      </c>
      <c r="BJ34" s="48">
        <f t="shared" si="246"/>
        <v>0.83</v>
      </c>
      <c r="BK34" s="48">
        <f t="shared" si="246"/>
        <v>0.80999999999999994</v>
      </c>
      <c r="BL34" s="48">
        <f t="shared" si="246"/>
        <v>0.78999999999999992</v>
      </c>
      <c r="BM34" s="48">
        <f t="shared" si="246"/>
        <v>0.76999999999999991</v>
      </c>
      <c r="BN34" s="48">
        <f t="shared" si="246"/>
        <v>0.74999999999999989</v>
      </c>
      <c r="BO34" s="48">
        <f t="shared" si="246"/>
        <v>0.72999999999999987</v>
      </c>
      <c r="BP34" s="48">
        <f t="shared" si="246"/>
        <v>0.70999999999999985</v>
      </c>
      <c r="BQ34" s="48">
        <f t="shared" si="246"/>
        <v>0.68999999999999984</v>
      </c>
      <c r="BR34" s="48">
        <f t="shared" si="246"/>
        <v>0.66999999999999982</v>
      </c>
      <c r="BS34" s="48">
        <f t="shared" si="246"/>
        <v>0.6499999999999998</v>
      </c>
      <c r="BT34" s="48">
        <f t="shared" si="246"/>
        <v>0.62999999999999978</v>
      </c>
      <c r="BU34" s="48">
        <f t="shared" si="246"/>
        <v>0.60999999999999976</v>
      </c>
      <c r="BV34" s="48">
        <f t="shared" si="246"/>
        <v>0.58999999999999975</v>
      </c>
      <c r="BW34" s="48">
        <f t="shared" si="246"/>
        <v>0.56999999999999973</v>
      </c>
      <c r="BY34" s="48">
        <f t="shared" si="88"/>
        <v>40110.07</v>
      </c>
      <c r="BZ34" s="48">
        <f t="shared" si="89"/>
        <v>40110.07</v>
      </c>
      <c r="CA34" s="51">
        <f t="shared" ref="CA34" si="247">+BZ34*3.3058</f>
        <v>132595.86940600001</v>
      </c>
      <c r="CB34" s="48">
        <f t="shared" ref="CB34:CB54" si="248">+BZ34*DU34</f>
        <v>38906.767899999999</v>
      </c>
      <c r="CC34" s="51">
        <f t="shared" ref="CC34:CC54" si="249">+CB34*3.3058</f>
        <v>128617.99332382</v>
      </c>
      <c r="CD34" s="48">
        <f t="shared" ref="CD34:CD54" si="250">+BZ34*DV34</f>
        <v>38104.566500000001</v>
      </c>
      <c r="CE34" s="51">
        <f t="shared" ref="CE34:CE54" si="251">+CD34*3.3058</f>
        <v>125966.07593570001</v>
      </c>
      <c r="CF34" s="48">
        <f t="shared" ref="CF34:CF54" si="252">+BZ34*DW34</f>
        <v>37302.365100000003</v>
      </c>
      <c r="CG34" s="51">
        <f t="shared" ref="CG34:CG54" si="253">+CF34*3.3058</f>
        <v>123314.15854758001</v>
      </c>
      <c r="CH34" s="52">
        <f t="shared" ref="CH34:CH54" si="254">+BZ34*DX34</f>
        <v>36500.163700000005</v>
      </c>
      <c r="CI34" s="51">
        <f t="shared" ref="CI34:CI54" si="255">+CH34*3.3058</f>
        <v>120662.24115946001</v>
      </c>
      <c r="CJ34" s="48">
        <f t="shared" ref="CJ34:CJ54" si="256">+BZ34*DY34</f>
        <v>35697.962299999999</v>
      </c>
      <c r="CK34" s="51">
        <f t="shared" ref="CK34:CK54" si="257">+CJ34*3.3058</f>
        <v>118010.32377134</v>
      </c>
      <c r="CL34" s="52">
        <f t="shared" ref="CL34:CL54" si="258">+BZ34*DZ34</f>
        <v>34895.760900000001</v>
      </c>
      <c r="CM34" s="51">
        <f t="shared" ref="CM34:CM54" si="259">+CL34*3.3058</f>
        <v>115358.40638322</v>
      </c>
      <c r="CN34" s="53">
        <f t="shared" ref="CN34:CN54" si="260">+BZ34*EA34</f>
        <v>34093.559499999996</v>
      </c>
      <c r="CO34" s="51">
        <f t="shared" ref="CO34:CO54" si="261">+CN34*3.3058</f>
        <v>112706.48899509999</v>
      </c>
      <c r="CP34" s="52">
        <f t="shared" ref="CP34:CP54" si="262">+BZ34*EB34</f>
        <v>33291.358099999998</v>
      </c>
      <c r="CQ34" s="51">
        <f t="shared" ref="CQ34:CQ54" si="263">+CP34*3.3058</f>
        <v>110054.57160698</v>
      </c>
      <c r="CR34" s="48">
        <f t="shared" ref="CR34:CR54" si="264">+BZ34*EC34</f>
        <v>32489.156699999996</v>
      </c>
      <c r="CS34" s="51">
        <f t="shared" ref="CS34:CS54" si="265">+CR34*3.3058</f>
        <v>107402.65421885999</v>
      </c>
      <c r="CT34" s="53">
        <f t="shared" ref="CT34:CT54" si="266">+BZ34*ED34</f>
        <v>31686.955299999998</v>
      </c>
      <c r="CU34" s="51">
        <f t="shared" ref="CU34:CU54" si="267">+CT34*3.3058</f>
        <v>104750.73683073999</v>
      </c>
      <c r="CV34" s="53">
        <f t="shared" ref="CV34:CV54" si="268">+BZ34*EE34</f>
        <v>30884.753899999996</v>
      </c>
      <c r="CW34" s="51">
        <f t="shared" ref="CW34:CW54" si="269">+CV34*3.3058</f>
        <v>102098.81944261999</v>
      </c>
      <c r="CX34" s="53">
        <f t="shared" ref="CX34:CX54" si="270">+BZ34*EF34</f>
        <v>30082.552499999994</v>
      </c>
      <c r="CY34" s="51">
        <f t="shared" ref="CY34:CY54" si="271">+CX34*3.3058</f>
        <v>99446.90205449998</v>
      </c>
      <c r="CZ34" s="48">
        <f t="shared" ref="CZ34:CZ54" si="272">+BZ34*EG34</f>
        <v>29280.351099999996</v>
      </c>
      <c r="DA34" s="51">
        <f t="shared" ref="DA34:DA54" si="273">+CZ34*3.3058</f>
        <v>96794.984666379984</v>
      </c>
      <c r="DB34" s="53">
        <f t="shared" ref="DB34:DB54" si="274">+BZ34*EH34</f>
        <v>28478.149699999994</v>
      </c>
      <c r="DC34" s="51">
        <f t="shared" ref="DC34:DC54" si="275">+DB34*3.3058</f>
        <v>94143.067278259987</v>
      </c>
      <c r="DD34" s="53">
        <f t="shared" ref="DD34:DD54" si="276">+BZ34*EI34</f>
        <v>27675.948299999993</v>
      </c>
      <c r="DE34" s="51">
        <f t="shared" ref="DE34:DE54" si="277">+DD34*3.3058</f>
        <v>91491.149890139975</v>
      </c>
      <c r="DF34" s="53">
        <f t="shared" ref="DF34:DF54" si="278">+BZ34*EJ34</f>
        <v>26873.746899999991</v>
      </c>
      <c r="DG34" s="51">
        <f t="shared" ref="DG34:DG54" si="279">+DF34*3.3058</f>
        <v>88839.232502019979</v>
      </c>
      <c r="DH34" s="53">
        <f t="shared" ref="DH34:DH54" si="280">+BZ34*EK34</f>
        <v>26071.545499999993</v>
      </c>
      <c r="DI34" s="51">
        <f t="shared" ref="DI34:DI54" si="281">+DH34*3.3058</f>
        <v>86187.315113899982</v>
      </c>
      <c r="DJ34" s="48">
        <f t="shared" ref="DJ34:DJ54" si="282">+BZ34*EL34</f>
        <v>25269.344099999991</v>
      </c>
      <c r="DK34" s="51">
        <f t="shared" ref="DK34:DK54" si="283">+DJ34*3.3058</f>
        <v>83535.397725779971</v>
      </c>
      <c r="DL34" s="53">
        <f t="shared" ref="DL34:DL54" si="284">+BZ34*EM34</f>
        <v>24467.142699999989</v>
      </c>
      <c r="DM34" s="51">
        <f t="shared" ref="DM34:DM54" si="285">+DL34*3.3058</f>
        <v>80883.480337659974</v>
      </c>
      <c r="DN34" s="53">
        <f t="shared" ref="DN34:DN54" si="286">+BZ34*EN34</f>
        <v>23664.941299999991</v>
      </c>
      <c r="DO34" s="51">
        <f t="shared" ref="DO34:DO54" si="287">+DN34*3.3058</f>
        <v>78231.562949539977</v>
      </c>
      <c r="DP34" s="48">
        <f t="shared" ref="DP34:DP54" si="288">+BZ34*EO34</f>
        <v>22862.73989999999</v>
      </c>
      <c r="DQ34" s="51">
        <f t="shared" ref="DQ34:DQ54" si="289">+DP34*3.3058</f>
        <v>75579.645561419966</v>
      </c>
      <c r="DT34" s="48">
        <v>1</v>
      </c>
      <c r="DU34" s="48">
        <v>0.97</v>
      </c>
      <c r="DV34" s="48">
        <v>0.95</v>
      </c>
      <c r="DW34" s="48">
        <v>0.93</v>
      </c>
      <c r="DX34" s="48">
        <f t="shared" ref="DX34:EO34" si="290">+DW34-0.02</f>
        <v>0.91</v>
      </c>
      <c r="DY34" s="48">
        <f t="shared" si="290"/>
        <v>0.89</v>
      </c>
      <c r="DZ34" s="48">
        <f t="shared" si="290"/>
        <v>0.87</v>
      </c>
      <c r="EA34" s="48">
        <f t="shared" si="290"/>
        <v>0.85</v>
      </c>
      <c r="EB34" s="48">
        <f t="shared" si="290"/>
        <v>0.83</v>
      </c>
      <c r="EC34" s="48">
        <f t="shared" si="290"/>
        <v>0.80999999999999994</v>
      </c>
      <c r="ED34" s="48">
        <f t="shared" si="290"/>
        <v>0.78999999999999992</v>
      </c>
      <c r="EE34" s="48">
        <f t="shared" si="290"/>
        <v>0.76999999999999991</v>
      </c>
      <c r="EF34" s="48">
        <f t="shared" si="290"/>
        <v>0.74999999999999989</v>
      </c>
      <c r="EG34" s="48">
        <f t="shared" si="290"/>
        <v>0.72999999999999987</v>
      </c>
      <c r="EH34" s="48">
        <f t="shared" si="290"/>
        <v>0.70999999999999985</v>
      </c>
      <c r="EI34" s="48">
        <f t="shared" si="290"/>
        <v>0.68999999999999984</v>
      </c>
      <c r="EJ34" s="48">
        <f t="shared" si="290"/>
        <v>0.66999999999999982</v>
      </c>
      <c r="EK34" s="48">
        <f t="shared" si="290"/>
        <v>0.6499999999999998</v>
      </c>
      <c r="EL34" s="48">
        <f t="shared" si="290"/>
        <v>0.62999999999999978</v>
      </c>
      <c r="EM34" s="48">
        <f t="shared" si="290"/>
        <v>0.60999999999999976</v>
      </c>
      <c r="EN34" s="48">
        <f t="shared" si="290"/>
        <v>0.58999999999999975</v>
      </c>
      <c r="EO34" s="48">
        <f t="shared" si="290"/>
        <v>0.56999999999999973</v>
      </c>
      <c r="EQ34" s="48">
        <f t="shared" si="188"/>
        <v>36500.163700000005</v>
      </c>
      <c r="ER34" s="48">
        <f t="shared" si="116"/>
        <v>36500.163700000005</v>
      </c>
      <c r="ES34" s="51">
        <f t="shared" ref="ES34" si="291">+ER34*3.3058</f>
        <v>120662.24115946001</v>
      </c>
      <c r="ET34" s="48">
        <f t="shared" ref="ET34:ET54" si="292">+ER34*GM34</f>
        <v>35405.158789000001</v>
      </c>
      <c r="EU34" s="51">
        <f t="shared" ref="EU34:EU54" si="293">+ET34*3.3058</f>
        <v>117042.37392467621</v>
      </c>
      <c r="EV34" s="48">
        <f t="shared" ref="EV34:EV54" si="294">+ER34*GN34</f>
        <v>34675.155515000006</v>
      </c>
      <c r="EW34" s="51">
        <f t="shared" ref="EW34:EW54" si="295">+EV34*3.3058</f>
        <v>114629.12910148702</v>
      </c>
      <c r="EX34" s="48">
        <f t="shared" ref="EX34:EX54" si="296">+ER34*GO34</f>
        <v>33945.152241000003</v>
      </c>
      <c r="EY34" s="51">
        <f t="shared" ref="EY34:EY54" si="297">+EX34*3.3058</f>
        <v>112215.88427829782</v>
      </c>
      <c r="EZ34" s="52">
        <f t="shared" ref="EZ34:EZ54" si="298">+ER34*GP34</f>
        <v>33215.148967000008</v>
      </c>
      <c r="FA34" s="51">
        <f t="shared" ref="FA34:FA54" si="299">+EZ34*3.3058</f>
        <v>109802.63945510863</v>
      </c>
      <c r="FB34" s="48">
        <f t="shared" ref="FB34:FB54" si="300">+ER34*GQ34</f>
        <v>32485.145693000006</v>
      </c>
      <c r="FC34" s="51">
        <f t="shared" ref="FC34:FC54" si="301">+FB34*3.3058</f>
        <v>107389.39463191942</v>
      </c>
      <c r="FD34" s="52">
        <f t="shared" ref="FD34:FD54" si="302">+ER34*GR34</f>
        <v>31755.142419000003</v>
      </c>
      <c r="FE34" s="51">
        <f t="shared" ref="FE34:FE54" si="303">+FD34*3.3058</f>
        <v>104976.14980873022</v>
      </c>
      <c r="FF34" s="53">
        <f t="shared" ref="FF34:FF54" si="304">+ER34*GS34</f>
        <v>31025.139145000005</v>
      </c>
      <c r="FG34" s="51">
        <f t="shared" ref="FG34:FG54" si="305">+FF34*3.3058</f>
        <v>102562.90498554101</v>
      </c>
      <c r="FH34" s="52">
        <f t="shared" ref="FH34:FH54" si="306">+ER34*GT34</f>
        <v>30295.135871000002</v>
      </c>
      <c r="FI34" s="51">
        <f t="shared" ref="FI34:FI54" si="307">+FH34*3.3058</f>
        <v>100149.66016235181</v>
      </c>
      <c r="FJ34" s="48">
        <f t="shared" ref="FJ34:FJ54" si="308">+ER34*GU34</f>
        <v>29565.132597000003</v>
      </c>
      <c r="FK34" s="51">
        <f t="shared" ref="FK34:FK54" si="309">+FJ34*3.3058</f>
        <v>97736.415339162617</v>
      </c>
      <c r="FL34" s="53">
        <f t="shared" ref="FL34:FL54" si="310">+ER34*GV34</f>
        <v>28835.129323000001</v>
      </c>
      <c r="FM34" s="51">
        <f t="shared" ref="FM34:FM54" si="311">+FL34*3.3058</f>
        <v>95323.170515973412</v>
      </c>
      <c r="FN34" s="53">
        <f t="shared" ref="FN34:FN54" si="312">+ER34*GW34</f>
        <v>28105.126048999999</v>
      </c>
      <c r="FO34" s="51">
        <f t="shared" ref="FO34:FO54" si="313">+FN34*3.3058</f>
        <v>92909.925692784193</v>
      </c>
      <c r="FP34" s="53">
        <f t="shared" ref="FP34:FP54" si="314">+ER34*GX34</f>
        <v>27375.122775</v>
      </c>
      <c r="FQ34" s="51">
        <f t="shared" ref="FQ34:FQ54" si="315">+FP34*3.3058</f>
        <v>90496.680869595002</v>
      </c>
      <c r="FR34" s="48">
        <f t="shared" ref="FR34:FR54" si="316">+ER34*GY34</f>
        <v>26645.119500999997</v>
      </c>
      <c r="FS34" s="51">
        <f t="shared" ref="FS34:FS54" si="317">+FR34*3.3058</f>
        <v>88083.436046405797</v>
      </c>
      <c r="FT34" s="53">
        <f t="shared" ref="FT34:FT54" si="318">+ER34*GZ34</f>
        <v>25915.116226999999</v>
      </c>
      <c r="FU34" s="51">
        <f t="shared" ref="FU34:FU54" si="319">+FT34*3.3058</f>
        <v>85670.191223216592</v>
      </c>
      <c r="FV34" s="53">
        <f t="shared" ref="FV34:FV54" si="320">+ER34*HA34</f>
        <v>25185.112952999996</v>
      </c>
      <c r="FW34" s="51">
        <f t="shared" ref="FW34:FW54" si="321">+FV34*3.3058</f>
        <v>83256.946400027387</v>
      </c>
      <c r="FX34" s="53">
        <f t="shared" ref="FX34:FX54" si="322">+ER34*HB34</f>
        <v>24455.109678999997</v>
      </c>
      <c r="FY34" s="51">
        <f t="shared" ref="FY34:FY54" si="323">+FX34*3.3058</f>
        <v>80843.701576838197</v>
      </c>
      <c r="FZ34" s="53">
        <f t="shared" ref="FZ34:FZ54" si="324">+ER34*HC34</f>
        <v>23725.106404999995</v>
      </c>
      <c r="GA34" s="51">
        <f t="shared" ref="GA34:GA54" si="325">+FZ34*3.3058</f>
        <v>78430.456753648992</v>
      </c>
      <c r="GB34" s="48">
        <f t="shared" ref="GB34:GB54" si="326">+ER34*HD34</f>
        <v>22995.103130999996</v>
      </c>
      <c r="GC34" s="51">
        <f t="shared" ref="GC34:GC54" si="327">+GB34*3.3058</f>
        <v>76017.211930459787</v>
      </c>
      <c r="GD34" s="53">
        <f t="shared" ref="GD34:GD54" si="328">+ER34*HE34</f>
        <v>22265.099856999994</v>
      </c>
      <c r="GE34" s="51">
        <f t="shared" ref="GE34:GE54" si="329">+GD34*3.3058</f>
        <v>73603.967107270582</v>
      </c>
      <c r="GF34" s="53">
        <f t="shared" ref="GF34:GF54" si="330">+ER34*HF34</f>
        <v>21535.096582999995</v>
      </c>
      <c r="GG34" s="51">
        <f t="shared" ref="GG34:GG54" si="331">+GF34*3.3058</f>
        <v>71190.722284081392</v>
      </c>
      <c r="GH34" s="48">
        <f t="shared" ref="GH34:GH54" si="332">+ER34*HG34</f>
        <v>20805.093308999993</v>
      </c>
      <c r="GI34" s="51">
        <f t="shared" ref="GI34:GI54" si="333">+GH34*3.3058</f>
        <v>68777.477460892173</v>
      </c>
      <c r="GJ34" s="48"/>
      <c r="GK34" s="48"/>
      <c r="GL34" s="48">
        <v>1</v>
      </c>
      <c r="GM34" s="48">
        <v>0.97</v>
      </c>
      <c r="GN34" s="48">
        <v>0.95</v>
      </c>
      <c r="GO34" s="48">
        <v>0.93</v>
      </c>
      <c r="GP34" s="48">
        <f t="shared" ref="GP34:HG34" si="334">+GO34-0.02</f>
        <v>0.91</v>
      </c>
      <c r="GQ34" s="48">
        <f t="shared" si="334"/>
        <v>0.89</v>
      </c>
      <c r="GR34" s="48">
        <f t="shared" si="334"/>
        <v>0.87</v>
      </c>
      <c r="GS34" s="48">
        <f t="shared" si="334"/>
        <v>0.85</v>
      </c>
      <c r="GT34" s="48">
        <f t="shared" si="334"/>
        <v>0.83</v>
      </c>
      <c r="GU34" s="48">
        <f t="shared" si="334"/>
        <v>0.80999999999999994</v>
      </c>
      <c r="GV34" s="48">
        <f t="shared" si="334"/>
        <v>0.78999999999999992</v>
      </c>
      <c r="GW34" s="48">
        <f t="shared" si="334"/>
        <v>0.76999999999999991</v>
      </c>
      <c r="GX34" s="48">
        <f t="shared" si="334"/>
        <v>0.74999999999999989</v>
      </c>
      <c r="GY34" s="48">
        <f t="shared" si="334"/>
        <v>0.72999999999999987</v>
      </c>
      <c r="GZ34" s="48">
        <f t="shared" si="334"/>
        <v>0.70999999999999985</v>
      </c>
      <c r="HA34" s="48">
        <f t="shared" si="334"/>
        <v>0.68999999999999984</v>
      </c>
      <c r="HB34" s="48">
        <f t="shared" si="334"/>
        <v>0.66999999999999982</v>
      </c>
      <c r="HC34" s="48">
        <f t="shared" si="334"/>
        <v>0.6499999999999998</v>
      </c>
      <c r="HD34" s="48">
        <f t="shared" si="334"/>
        <v>0.62999999999999978</v>
      </c>
      <c r="HE34" s="48">
        <f t="shared" si="334"/>
        <v>0.60999999999999976</v>
      </c>
      <c r="HF34" s="48">
        <f t="shared" si="334"/>
        <v>0.58999999999999975</v>
      </c>
      <c r="HG34" s="48">
        <f t="shared" si="334"/>
        <v>0.56999999999999973</v>
      </c>
    </row>
    <row r="35" spans="1:250" x14ac:dyDescent="0.3">
      <c r="A35" s="2">
        <v>2</v>
      </c>
      <c r="C35" s="39" t="s">
        <v>7</v>
      </c>
      <c r="D35" s="44">
        <f>TRUNC(122110.178830792,-1)</f>
        <v>122110</v>
      </c>
      <c r="E35" s="73">
        <f t="shared" si="203"/>
        <v>403670</v>
      </c>
      <c r="G35" s="48">
        <f t="shared" si="61"/>
        <v>134321</v>
      </c>
      <c r="H35" s="48">
        <f t="shared" si="62"/>
        <v>134321</v>
      </c>
      <c r="I35" s="51">
        <f t="shared" si="63"/>
        <v>444038.36180000001</v>
      </c>
      <c r="J35" s="48">
        <f t="shared" si="204"/>
        <v>130291.37</v>
      </c>
      <c r="K35" s="51">
        <f t="shared" si="205"/>
        <v>430717.21094600001</v>
      </c>
      <c r="L35" s="48">
        <f t="shared" si="206"/>
        <v>127604.95</v>
      </c>
      <c r="M35" s="51">
        <f t="shared" si="207"/>
        <v>421836.44371000002</v>
      </c>
      <c r="N35" s="48">
        <f t="shared" si="208"/>
        <v>124918.53000000001</v>
      </c>
      <c r="O35" s="51">
        <f t="shared" si="209"/>
        <v>412955.67647400004</v>
      </c>
      <c r="P35" s="52">
        <f t="shared" si="210"/>
        <v>122232.11</v>
      </c>
      <c r="Q35" s="51">
        <f t="shared" si="211"/>
        <v>404074.90923799999</v>
      </c>
      <c r="R35" s="48">
        <f t="shared" si="212"/>
        <v>119545.69</v>
      </c>
      <c r="S35" s="51">
        <f t="shared" si="213"/>
        <v>395194.14200200001</v>
      </c>
      <c r="T35" s="52">
        <f t="shared" si="214"/>
        <v>116859.27</v>
      </c>
      <c r="U35" s="51">
        <f t="shared" si="215"/>
        <v>386313.37476600002</v>
      </c>
      <c r="V35" s="53">
        <f t="shared" si="216"/>
        <v>114172.84999999999</v>
      </c>
      <c r="W35" s="51">
        <f t="shared" si="217"/>
        <v>377432.60752999998</v>
      </c>
      <c r="X35" s="52">
        <f t="shared" si="218"/>
        <v>111486.43</v>
      </c>
      <c r="Y35" s="51">
        <f t="shared" si="219"/>
        <v>368551.84029399999</v>
      </c>
      <c r="Z35" s="48">
        <f t="shared" si="220"/>
        <v>108800.01</v>
      </c>
      <c r="AA35" s="51">
        <f t="shared" si="221"/>
        <v>359671.07305800001</v>
      </c>
      <c r="AB35" s="53">
        <f t="shared" si="222"/>
        <v>106113.59</v>
      </c>
      <c r="AC35" s="51">
        <f t="shared" si="223"/>
        <v>350790.30582200002</v>
      </c>
      <c r="AD35" s="53">
        <f t="shared" si="224"/>
        <v>103427.16999999998</v>
      </c>
      <c r="AE35" s="51">
        <f t="shared" si="225"/>
        <v>341909.53858599998</v>
      </c>
      <c r="AF35" s="53">
        <f t="shared" si="226"/>
        <v>100740.74999999999</v>
      </c>
      <c r="AG35" s="51">
        <f t="shared" si="227"/>
        <v>333028.77134999994</v>
      </c>
      <c r="AH35" s="48">
        <f t="shared" si="228"/>
        <v>98054.329999999987</v>
      </c>
      <c r="AI35" s="51">
        <f t="shared" si="229"/>
        <v>324148.00411399995</v>
      </c>
      <c r="AJ35" s="53">
        <f t="shared" si="230"/>
        <v>95367.909999999974</v>
      </c>
      <c r="AK35" s="51">
        <f t="shared" si="231"/>
        <v>315267.23687799991</v>
      </c>
      <c r="AL35" s="53">
        <f t="shared" si="232"/>
        <v>92681.489999999976</v>
      </c>
      <c r="AM35" s="51">
        <f t="shared" si="233"/>
        <v>306386.46964199992</v>
      </c>
      <c r="AN35" s="53">
        <f t="shared" si="234"/>
        <v>89995.069999999978</v>
      </c>
      <c r="AO35" s="51">
        <f t="shared" si="235"/>
        <v>297505.70240599994</v>
      </c>
      <c r="AP35" s="53">
        <f t="shared" si="236"/>
        <v>87308.64999999998</v>
      </c>
      <c r="AQ35" s="51">
        <f t="shared" si="237"/>
        <v>288624.93516999995</v>
      </c>
      <c r="AR35" s="48">
        <f t="shared" si="238"/>
        <v>84622.229999999967</v>
      </c>
      <c r="AS35" s="51">
        <f t="shared" si="239"/>
        <v>279744.16793399991</v>
      </c>
      <c r="AT35" s="53">
        <f t="shared" si="240"/>
        <v>81935.809999999969</v>
      </c>
      <c r="AU35" s="51">
        <f t="shared" si="241"/>
        <v>270863.40069799992</v>
      </c>
      <c r="AV35" s="53">
        <f t="shared" si="242"/>
        <v>79249.38999999997</v>
      </c>
      <c r="AW35" s="51">
        <f t="shared" si="243"/>
        <v>261982.63346199991</v>
      </c>
      <c r="AX35" s="48">
        <f t="shared" si="244"/>
        <v>76562.969999999958</v>
      </c>
      <c r="AY35" s="51">
        <f t="shared" si="245"/>
        <v>253101.86622599987</v>
      </c>
      <c r="BB35" s="48">
        <v>1</v>
      </c>
      <c r="BC35" s="48">
        <v>0.97</v>
      </c>
      <c r="BD35" s="48">
        <v>0.95</v>
      </c>
      <c r="BE35" s="48">
        <v>0.93</v>
      </c>
      <c r="BF35" s="48">
        <f t="shared" ref="BF35:BW35" si="335">+BE35-0.02</f>
        <v>0.91</v>
      </c>
      <c r="BG35" s="48">
        <f t="shared" si="335"/>
        <v>0.89</v>
      </c>
      <c r="BH35" s="48">
        <f t="shared" si="335"/>
        <v>0.87</v>
      </c>
      <c r="BI35" s="48">
        <f t="shared" si="335"/>
        <v>0.85</v>
      </c>
      <c r="BJ35" s="48">
        <f t="shared" si="335"/>
        <v>0.83</v>
      </c>
      <c r="BK35" s="48">
        <f t="shared" si="335"/>
        <v>0.80999999999999994</v>
      </c>
      <c r="BL35" s="48">
        <f t="shared" si="335"/>
        <v>0.78999999999999992</v>
      </c>
      <c r="BM35" s="48">
        <f t="shared" si="335"/>
        <v>0.76999999999999991</v>
      </c>
      <c r="BN35" s="48">
        <f t="shared" si="335"/>
        <v>0.74999999999999989</v>
      </c>
      <c r="BO35" s="48">
        <f t="shared" si="335"/>
        <v>0.72999999999999987</v>
      </c>
      <c r="BP35" s="48">
        <f t="shared" si="335"/>
        <v>0.70999999999999985</v>
      </c>
      <c r="BQ35" s="48">
        <f t="shared" si="335"/>
        <v>0.68999999999999984</v>
      </c>
      <c r="BR35" s="48">
        <f t="shared" si="335"/>
        <v>0.66999999999999982</v>
      </c>
      <c r="BS35" s="48">
        <f t="shared" si="335"/>
        <v>0.6499999999999998</v>
      </c>
      <c r="BT35" s="48">
        <f t="shared" si="335"/>
        <v>0.62999999999999978</v>
      </c>
      <c r="BU35" s="48">
        <f t="shared" si="335"/>
        <v>0.60999999999999976</v>
      </c>
      <c r="BV35" s="48">
        <f t="shared" si="335"/>
        <v>0.58999999999999975</v>
      </c>
      <c r="BW35" s="48">
        <f t="shared" si="335"/>
        <v>0.56999999999999973</v>
      </c>
      <c r="BY35" s="48">
        <f t="shared" si="88"/>
        <v>122232.11</v>
      </c>
      <c r="BZ35" s="48">
        <f t="shared" si="89"/>
        <v>122232.11</v>
      </c>
      <c r="CA35" s="51">
        <f t="shared" ref="CA35" si="336">+BZ35*3.3058</f>
        <v>404074.90923799999</v>
      </c>
      <c r="CB35" s="48">
        <f t="shared" si="248"/>
        <v>118565.1467</v>
      </c>
      <c r="CC35" s="51">
        <f t="shared" si="249"/>
        <v>391952.66196086002</v>
      </c>
      <c r="CD35" s="48">
        <f t="shared" si="250"/>
        <v>116120.5045</v>
      </c>
      <c r="CE35" s="51">
        <f t="shared" si="251"/>
        <v>383871.16377609997</v>
      </c>
      <c r="CF35" s="48">
        <f t="shared" si="252"/>
        <v>113675.86230000001</v>
      </c>
      <c r="CG35" s="51">
        <f t="shared" si="253"/>
        <v>375789.66559134005</v>
      </c>
      <c r="CH35" s="52">
        <f t="shared" si="254"/>
        <v>111231.22010000001</v>
      </c>
      <c r="CI35" s="51">
        <f t="shared" si="255"/>
        <v>367708.16740658</v>
      </c>
      <c r="CJ35" s="48">
        <f t="shared" si="256"/>
        <v>108786.5779</v>
      </c>
      <c r="CK35" s="51">
        <f t="shared" si="257"/>
        <v>359626.66922182002</v>
      </c>
      <c r="CL35" s="52">
        <f t="shared" si="258"/>
        <v>106341.9357</v>
      </c>
      <c r="CM35" s="51">
        <f t="shared" si="259"/>
        <v>351545.17103706003</v>
      </c>
      <c r="CN35" s="53">
        <f t="shared" si="260"/>
        <v>103897.2935</v>
      </c>
      <c r="CO35" s="51">
        <f t="shared" si="261"/>
        <v>343463.67285229999</v>
      </c>
      <c r="CP35" s="52">
        <f t="shared" si="262"/>
        <v>101452.6513</v>
      </c>
      <c r="CQ35" s="51">
        <f t="shared" si="263"/>
        <v>335382.17466754001</v>
      </c>
      <c r="CR35" s="48">
        <f t="shared" si="264"/>
        <v>99008.009099999996</v>
      </c>
      <c r="CS35" s="51">
        <f t="shared" si="265"/>
        <v>327300.67648278002</v>
      </c>
      <c r="CT35" s="53">
        <f t="shared" si="266"/>
        <v>96563.366899999994</v>
      </c>
      <c r="CU35" s="51">
        <f t="shared" si="267"/>
        <v>319219.17829801998</v>
      </c>
      <c r="CV35" s="53">
        <f t="shared" si="268"/>
        <v>94118.724699999992</v>
      </c>
      <c r="CW35" s="51">
        <f t="shared" si="269"/>
        <v>311137.68011325999</v>
      </c>
      <c r="CX35" s="53">
        <f t="shared" si="270"/>
        <v>91674.08249999999</v>
      </c>
      <c r="CY35" s="51">
        <f t="shared" si="271"/>
        <v>303056.18192849995</v>
      </c>
      <c r="CZ35" s="48">
        <f t="shared" si="272"/>
        <v>89229.440299999987</v>
      </c>
      <c r="DA35" s="51">
        <f t="shared" si="273"/>
        <v>294974.68374373997</v>
      </c>
      <c r="DB35" s="53">
        <f t="shared" si="274"/>
        <v>86784.798099999985</v>
      </c>
      <c r="DC35" s="51">
        <f t="shared" si="275"/>
        <v>286893.18555897998</v>
      </c>
      <c r="DD35" s="53">
        <f t="shared" si="276"/>
        <v>84340.155899999983</v>
      </c>
      <c r="DE35" s="51">
        <f t="shared" si="277"/>
        <v>278811.68737421994</v>
      </c>
      <c r="DF35" s="53">
        <f t="shared" si="278"/>
        <v>81895.513699999981</v>
      </c>
      <c r="DG35" s="51">
        <f t="shared" si="279"/>
        <v>270730.18918945995</v>
      </c>
      <c r="DH35" s="53">
        <f t="shared" si="280"/>
        <v>79450.871499999979</v>
      </c>
      <c r="DI35" s="51">
        <f t="shared" si="281"/>
        <v>262648.69100469991</v>
      </c>
      <c r="DJ35" s="48">
        <f t="shared" si="282"/>
        <v>77006.229299999977</v>
      </c>
      <c r="DK35" s="51">
        <f t="shared" si="283"/>
        <v>254567.19281993993</v>
      </c>
      <c r="DL35" s="53">
        <f t="shared" si="284"/>
        <v>74561.587099999975</v>
      </c>
      <c r="DM35" s="51">
        <f t="shared" si="285"/>
        <v>246485.69463517991</v>
      </c>
      <c r="DN35" s="53">
        <f t="shared" si="286"/>
        <v>72116.944899999973</v>
      </c>
      <c r="DO35" s="51">
        <f t="shared" si="287"/>
        <v>238404.19645041993</v>
      </c>
      <c r="DP35" s="48">
        <f t="shared" si="288"/>
        <v>69672.302699999971</v>
      </c>
      <c r="DQ35" s="51">
        <f t="shared" si="289"/>
        <v>230322.69826565991</v>
      </c>
      <c r="DT35" s="48">
        <v>1</v>
      </c>
      <c r="DU35" s="48">
        <v>0.97</v>
      </c>
      <c r="DV35" s="48">
        <v>0.95</v>
      </c>
      <c r="DW35" s="48">
        <v>0.93</v>
      </c>
      <c r="DX35" s="48">
        <f t="shared" ref="DX35:EO35" si="337">+DW35-0.02</f>
        <v>0.91</v>
      </c>
      <c r="DY35" s="48">
        <f t="shared" si="337"/>
        <v>0.89</v>
      </c>
      <c r="DZ35" s="48">
        <f t="shared" si="337"/>
        <v>0.87</v>
      </c>
      <c r="EA35" s="48">
        <f t="shared" si="337"/>
        <v>0.85</v>
      </c>
      <c r="EB35" s="48">
        <f t="shared" si="337"/>
        <v>0.83</v>
      </c>
      <c r="EC35" s="48">
        <f t="shared" si="337"/>
        <v>0.80999999999999994</v>
      </c>
      <c r="ED35" s="48">
        <f t="shared" si="337"/>
        <v>0.78999999999999992</v>
      </c>
      <c r="EE35" s="48">
        <f t="shared" si="337"/>
        <v>0.76999999999999991</v>
      </c>
      <c r="EF35" s="48">
        <f t="shared" si="337"/>
        <v>0.74999999999999989</v>
      </c>
      <c r="EG35" s="48">
        <f t="shared" si="337"/>
        <v>0.72999999999999987</v>
      </c>
      <c r="EH35" s="48">
        <f t="shared" si="337"/>
        <v>0.70999999999999985</v>
      </c>
      <c r="EI35" s="48">
        <f t="shared" si="337"/>
        <v>0.68999999999999984</v>
      </c>
      <c r="EJ35" s="48">
        <f t="shared" si="337"/>
        <v>0.66999999999999982</v>
      </c>
      <c r="EK35" s="48">
        <f t="shared" si="337"/>
        <v>0.6499999999999998</v>
      </c>
      <c r="EL35" s="48">
        <f t="shared" si="337"/>
        <v>0.62999999999999978</v>
      </c>
      <c r="EM35" s="48">
        <f t="shared" si="337"/>
        <v>0.60999999999999976</v>
      </c>
      <c r="EN35" s="48">
        <f t="shared" si="337"/>
        <v>0.58999999999999975</v>
      </c>
      <c r="EO35" s="48">
        <f t="shared" si="337"/>
        <v>0.56999999999999973</v>
      </c>
      <c r="EQ35" s="48">
        <f t="shared" si="188"/>
        <v>111231.22010000001</v>
      </c>
      <c r="ER35" s="48">
        <f t="shared" si="116"/>
        <v>111231.22010000001</v>
      </c>
      <c r="ES35" s="51">
        <f t="shared" ref="ES35" si="338">+ER35*3.3058</f>
        <v>367708.16740658</v>
      </c>
      <c r="ET35" s="48">
        <f t="shared" si="292"/>
        <v>107894.283497</v>
      </c>
      <c r="EU35" s="51">
        <f t="shared" si="293"/>
        <v>356676.92238438257</v>
      </c>
      <c r="EV35" s="48">
        <f t="shared" si="294"/>
        <v>105669.659095</v>
      </c>
      <c r="EW35" s="51">
        <f t="shared" si="295"/>
        <v>349322.75903625099</v>
      </c>
      <c r="EX35" s="48">
        <f t="shared" si="296"/>
        <v>103445.03469300001</v>
      </c>
      <c r="EY35" s="51">
        <f t="shared" si="297"/>
        <v>341968.59568811941</v>
      </c>
      <c r="EZ35" s="52">
        <f t="shared" si="298"/>
        <v>101220.41029100001</v>
      </c>
      <c r="FA35" s="51">
        <f t="shared" si="299"/>
        <v>334614.43233998783</v>
      </c>
      <c r="FB35" s="48">
        <f t="shared" si="300"/>
        <v>98995.785889000006</v>
      </c>
      <c r="FC35" s="51">
        <f t="shared" si="301"/>
        <v>327260.26899185625</v>
      </c>
      <c r="FD35" s="52">
        <f t="shared" si="302"/>
        <v>96771.161487000005</v>
      </c>
      <c r="FE35" s="51">
        <f t="shared" si="303"/>
        <v>319906.10564372462</v>
      </c>
      <c r="FF35" s="53">
        <f t="shared" si="304"/>
        <v>94546.537085000004</v>
      </c>
      <c r="FG35" s="51">
        <f t="shared" si="305"/>
        <v>312551.94229559303</v>
      </c>
      <c r="FH35" s="52">
        <f t="shared" si="306"/>
        <v>92321.912683000002</v>
      </c>
      <c r="FI35" s="51">
        <f t="shared" si="307"/>
        <v>305197.7789474614</v>
      </c>
      <c r="FJ35" s="48">
        <f t="shared" si="308"/>
        <v>90097.288281000001</v>
      </c>
      <c r="FK35" s="51">
        <f t="shared" si="309"/>
        <v>297843.61559932982</v>
      </c>
      <c r="FL35" s="53">
        <f t="shared" si="310"/>
        <v>87872.663879</v>
      </c>
      <c r="FM35" s="51">
        <f t="shared" si="311"/>
        <v>290489.45225119818</v>
      </c>
      <c r="FN35" s="53">
        <f t="shared" si="312"/>
        <v>85648.039476999998</v>
      </c>
      <c r="FO35" s="51">
        <f t="shared" si="313"/>
        <v>283135.2889030666</v>
      </c>
      <c r="FP35" s="53">
        <f t="shared" si="314"/>
        <v>83423.415074999997</v>
      </c>
      <c r="FQ35" s="51">
        <f t="shared" si="315"/>
        <v>275781.12555493502</v>
      </c>
      <c r="FR35" s="48">
        <f t="shared" si="316"/>
        <v>81198.790672999996</v>
      </c>
      <c r="FS35" s="51">
        <f t="shared" si="317"/>
        <v>268426.96220680338</v>
      </c>
      <c r="FT35" s="53">
        <f t="shared" si="318"/>
        <v>78974.166270999995</v>
      </c>
      <c r="FU35" s="51">
        <f t="shared" si="319"/>
        <v>261072.7988586718</v>
      </c>
      <c r="FV35" s="53">
        <f t="shared" si="320"/>
        <v>76749.541868999979</v>
      </c>
      <c r="FW35" s="51">
        <f t="shared" si="321"/>
        <v>253718.63551054013</v>
      </c>
      <c r="FX35" s="53">
        <f t="shared" si="322"/>
        <v>74524.917466999977</v>
      </c>
      <c r="FY35" s="51">
        <f t="shared" si="323"/>
        <v>246364.47216240852</v>
      </c>
      <c r="FZ35" s="53">
        <f t="shared" si="324"/>
        <v>72300.293064999976</v>
      </c>
      <c r="GA35" s="51">
        <f t="shared" si="325"/>
        <v>239010.30881427691</v>
      </c>
      <c r="GB35" s="48">
        <f t="shared" si="326"/>
        <v>70075.668662999975</v>
      </c>
      <c r="GC35" s="51">
        <f t="shared" si="327"/>
        <v>231656.14546614533</v>
      </c>
      <c r="GD35" s="53">
        <f t="shared" si="328"/>
        <v>67851.044260999974</v>
      </c>
      <c r="GE35" s="51">
        <f t="shared" si="329"/>
        <v>224301.98211801372</v>
      </c>
      <c r="GF35" s="53">
        <f t="shared" si="330"/>
        <v>65626.419858999972</v>
      </c>
      <c r="GG35" s="51">
        <f t="shared" si="331"/>
        <v>216947.81876988211</v>
      </c>
      <c r="GH35" s="48">
        <f t="shared" si="332"/>
        <v>63401.795456999971</v>
      </c>
      <c r="GI35" s="51">
        <f t="shared" si="333"/>
        <v>209593.6554217505</v>
      </c>
      <c r="GJ35" s="48"/>
      <c r="GK35" s="48"/>
      <c r="GL35" s="48">
        <v>1</v>
      </c>
      <c r="GM35" s="48">
        <v>0.97</v>
      </c>
      <c r="GN35" s="48">
        <v>0.95</v>
      </c>
      <c r="GO35" s="48">
        <v>0.93</v>
      </c>
      <c r="GP35" s="48">
        <f t="shared" ref="GP35:HG35" si="339">+GO35-0.02</f>
        <v>0.91</v>
      </c>
      <c r="GQ35" s="48">
        <f t="shared" si="339"/>
        <v>0.89</v>
      </c>
      <c r="GR35" s="48">
        <f t="shared" si="339"/>
        <v>0.87</v>
      </c>
      <c r="GS35" s="48">
        <f t="shared" si="339"/>
        <v>0.85</v>
      </c>
      <c r="GT35" s="48">
        <f t="shared" si="339"/>
        <v>0.83</v>
      </c>
      <c r="GU35" s="48">
        <f t="shared" si="339"/>
        <v>0.80999999999999994</v>
      </c>
      <c r="GV35" s="48">
        <f t="shared" si="339"/>
        <v>0.78999999999999992</v>
      </c>
      <c r="GW35" s="48">
        <f t="shared" si="339"/>
        <v>0.76999999999999991</v>
      </c>
      <c r="GX35" s="48">
        <f t="shared" si="339"/>
        <v>0.74999999999999989</v>
      </c>
      <c r="GY35" s="48">
        <f t="shared" si="339"/>
        <v>0.72999999999999987</v>
      </c>
      <c r="GZ35" s="48">
        <f t="shared" si="339"/>
        <v>0.70999999999999985</v>
      </c>
      <c r="HA35" s="48">
        <f t="shared" si="339"/>
        <v>0.68999999999999984</v>
      </c>
      <c r="HB35" s="48">
        <f t="shared" si="339"/>
        <v>0.66999999999999982</v>
      </c>
      <c r="HC35" s="48">
        <f t="shared" si="339"/>
        <v>0.6499999999999998</v>
      </c>
      <c r="HD35" s="48">
        <f t="shared" si="339"/>
        <v>0.62999999999999978</v>
      </c>
      <c r="HE35" s="48">
        <f t="shared" si="339"/>
        <v>0.60999999999999976</v>
      </c>
      <c r="HF35" s="48">
        <f t="shared" si="339"/>
        <v>0.58999999999999975</v>
      </c>
      <c r="HG35" s="48">
        <f t="shared" si="339"/>
        <v>0.56999999999999973</v>
      </c>
    </row>
    <row r="36" spans="1:250" x14ac:dyDescent="0.3">
      <c r="A36" s="2">
        <v>3</v>
      </c>
      <c r="C36" s="39" t="s">
        <v>8</v>
      </c>
      <c r="D36" s="44">
        <f>TRUNC(11916.3444081336,-1)</f>
        <v>11910</v>
      </c>
      <c r="E36" s="73">
        <f t="shared" si="203"/>
        <v>39370</v>
      </c>
      <c r="G36" s="48">
        <f t="shared" si="61"/>
        <v>13101.000000000002</v>
      </c>
      <c r="H36" s="48">
        <f t="shared" si="62"/>
        <v>13101.000000000002</v>
      </c>
      <c r="I36" s="51">
        <f t="shared" si="63"/>
        <v>43309.285800000005</v>
      </c>
      <c r="J36" s="48">
        <f t="shared" si="204"/>
        <v>12707.970000000001</v>
      </c>
      <c r="K36" s="51">
        <f t="shared" si="205"/>
        <v>42010.007226000002</v>
      </c>
      <c r="L36" s="48">
        <f t="shared" si="206"/>
        <v>12445.95</v>
      </c>
      <c r="M36" s="51">
        <f t="shared" si="207"/>
        <v>41143.821510000002</v>
      </c>
      <c r="N36" s="48">
        <f t="shared" si="208"/>
        <v>12183.930000000002</v>
      </c>
      <c r="O36" s="51">
        <f t="shared" si="209"/>
        <v>40277.635794000009</v>
      </c>
      <c r="P36" s="52">
        <f t="shared" si="210"/>
        <v>11921.910000000002</v>
      </c>
      <c r="Q36" s="51">
        <f t="shared" si="211"/>
        <v>39411.450078000009</v>
      </c>
      <c r="R36" s="48">
        <f t="shared" si="212"/>
        <v>11659.890000000001</v>
      </c>
      <c r="S36" s="51">
        <f t="shared" si="213"/>
        <v>38545.264362000002</v>
      </c>
      <c r="T36" s="52">
        <f t="shared" si="214"/>
        <v>11397.87</v>
      </c>
      <c r="U36" s="51">
        <f t="shared" si="215"/>
        <v>37679.078646000002</v>
      </c>
      <c r="V36" s="53">
        <f t="shared" si="216"/>
        <v>11135.85</v>
      </c>
      <c r="W36" s="51">
        <f t="shared" si="217"/>
        <v>36812.892930000002</v>
      </c>
      <c r="X36" s="52">
        <f t="shared" si="218"/>
        <v>10873.830000000002</v>
      </c>
      <c r="Y36" s="51">
        <f t="shared" si="219"/>
        <v>35946.707214000009</v>
      </c>
      <c r="Z36" s="48">
        <f t="shared" si="220"/>
        <v>10611.810000000001</v>
      </c>
      <c r="AA36" s="51">
        <f t="shared" si="221"/>
        <v>35080.521498000002</v>
      </c>
      <c r="AB36" s="53">
        <f t="shared" si="222"/>
        <v>10349.790000000001</v>
      </c>
      <c r="AC36" s="51">
        <f t="shared" si="223"/>
        <v>34214.335782000002</v>
      </c>
      <c r="AD36" s="53">
        <f t="shared" si="224"/>
        <v>10087.77</v>
      </c>
      <c r="AE36" s="51">
        <f t="shared" si="225"/>
        <v>33348.150066000002</v>
      </c>
      <c r="AF36" s="53">
        <f t="shared" si="226"/>
        <v>9825.75</v>
      </c>
      <c r="AG36" s="51">
        <f t="shared" si="227"/>
        <v>32481.964350000002</v>
      </c>
      <c r="AH36" s="48">
        <f t="shared" si="228"/>
        <v>9563.73</v>
      </c>
      <c r="AI36" s="51">
        <f t="shared" si="229"/>
        <v>31615.778633999998</v>
      </c>
      <c r="AJ36" s="53">
        <f t="shared" si="230"/>
        <v>9301.7099999999991</v>
      </c>
      <c r="AK36" s="51">
        <f t="shared" si="231"/>
        <v>30749.592917999998</v>
      </c>
      <c r="AL36" s="53">
        <f t="shared" si="232"/>
        <v>9039.6899999999987</v>
      </c>
      <c r="AM36" s="51">
        <f t="shared" si="233"/>
        <v>29883.407201999995</v>
      </c>
      <c r="AN36" s="53">
        <f t="shared" si="234"/>
        <v>8777.6699999999983</v>
      </c>
      <c r="AO36" s="51">
        <f t="shared" si="235"/>
        <v>29017.221485999995</v>
      </c>
      <c r="AP36" s="53">
        <f t="shared" si="236"/>
        <v>8515.6499999999978</v>
      </c>
      <c r="AQ36" s="51">
        <f t="shared" si="237"/>
        <v>28151.035769999995</v>
      </c>
      <c r="AR36" s="48">
        <f t="shared" si="238"/>
        <v>8253.6299999999992</v>
      </c>
      <c r="AS36" s="51">
        <f t="shared" si="239"/>
        <v>27284.850053999999</v>
      </c>
      <c r="AT36" s="53">
        <f t="shared" si="240"/>
        <v>7991.6099999999979</v>
      </c>
      <c r="AU36" s="51">
        <f t="shared" si="241"/>
        <v>26418.664337999995</v>
      </c>
      <c r="AV36" s="53">
        <f t="shared" si="242"/>
        <v>7729.5899999999974</v>
      </c>
      <c r="AW36" s="51">
        <f t="shared" si="243"/>
        <v>25552.478621999991</v>
      </c>
      <c r="AX36" s="48">
        <f t="shared" si="244"/>
        <v>7467.5699999999979</v>
      </c>
      <c r="AY36" s="51">
        <f t="shared" si="245"/>
        <v>24686.292905999995</v>
      </c>
      <c r="BB36" s="48">
        <v>1</v>
      </c>
      <c r="BC36" s="48">
        <v>0.97</v>
      </c>
      <c r="BD36" s="48">
        <v>0.95</v>
      </c>
      <c r="BE36" s="48">
        <v>0.93</v>
      </c>
      <c r="BF36" s="48">
        <f t="shared" ref="BF36:BW36" si="340">+BE36-0.02</f>
        <v>0.91</v>
      </c>
      <c r="BG36" s="48">
        <f t="shared" si="340"/>
        <v>0.89</v>
      </c>
      <c r="BH36" s="48">
        <f t="shared" si="340"/>
        <v>0.87</v>
      </c>
      <c r="BI36" s="48">
        <f t="shared" si="340"/>
        <v>0.85</v>
      </c>
      <c r="BJ36" s="48">
        <f t="shared" si="340"/>
        <v>0.83</v>
      </c>
      <c r="BK36" s="48">
        <f t="shared" si="340"/>
        <v>0.80999999999999994</v>
      </c>
      <c r="BL36" s="48">
        <f t="shared" si="340"/>
        <v>0.78999999999999992</v>
      </c>
      <c r="BM36" s="48">
        <f t="shared" si="340"/>
        <v>0.76999999999999991</v>
      </c>
      <c r="BN36" s="48">
        <f t="shared" si="340"/>
        <v>0.74999999999999989</v>
      </c>
      <c r="BO36" s="48">
        <f t="shared" si="340"/>
        <v>0.72999999999999987</v>
      </c>
      <c r="BP36" s="48">
        <f t="shared" si="340"/>
        <v>0.70999999999999985</v>
      </c>
      <c r="BQ36" s="48">
        <f t="shared" si="340"/>
        <v>0.68999999999999984</v>
      </c>
      <c r="BR36" s="48">
        <f t="shared" si="340"/>
        <v>0.66999999999999982</v>
      </c>
      <c r="BS36" s="48">
        <f t="shared" si="340"/>
        <v>0.6499999999999998</v>
      </c>
      <c r="BT36" s="48">
        <f t="shared" si="340"/>
        <v>0.62999999999999978</v>
      </c>
      <c r="BU36" s="48">
        <f t="shared" si="340"/>
        <v>0.60999999999999976</v>
      </c>
      <c r="BV36" s="48">
        <f t="shared" si="340"/>
        <v>0.58999999999999975</v>
      </c>
      <c r="BW36" s="48">
        <f t="shared" si="340"/>
        <v>0.56999999999999973</v>
      </c>
      <c r="BY36" s="48">
        <f t="shared" si="88"/>
        <v>11921.910000000002</v>
      </c>
      <c r="BZ36" s="48">
        <f t="shared" si="89"/>
        <v>11921.910000000002</v>
      </c>
      <c r="CA36" s="51">
        <f t="shared" ref="CA36" si="341">+BZ36*3.3058</f>
        <v>39411.450078000009</v>
      </c>
      <c r="CB36" s="48">
        <f t="shared" si="248"/>
        <v>11564.252700000001</v>
      </c>
      <c r="CC36" s="51">
        <f t="shared" si="249"/>
        <v>38229.106575660007</v>
      </c>
      <c r="CD36" s="48">
        <f t="shared" si="250"/>
        <v>11325.8145</v>
      </c>
      <c r="CE36" s="51">
        <f t="shared" si="251"/>
        <v>37440.877574099999</v>
      </c>
      <c r="CF36" s="48">
        <f t="shared" si="252"/>
        <v>11087.376300000002</v>
      </c>
      <c r="CG36" s="51">
        <f t="shared" si="253"/>
        <v>36652.648572540005</v>
      </c>
      <c r="CH36" s="52">
        <f t="shared" si="254"/>
        <v>10848.938100000001</v>
      </c>
      <c r="CI36" s="51">
        <f t="shared" si="255"/>
        <v>35864.419570980004</v>
      </c>
      <c r="CJ36" s="48">
        <f t="shared" si="256"/>
        <v>10610.499900000003</v>
      </c>
      <c r="CK36" s="51">
        <f t="shared" si="257"/>
        <v>35076.19056942001</v>
      </c>
      <c r="CL36" s="52">
        <f t="shared" si="258"/>
        <v>10372.061700000002</v>
      </c>
      <c r="CM36" s="51">
        <f t="shared" si="259"/>
        <v>34287.961567860009</v>
      </c>
      <c r="CN36" s="53">
        <f t="shared" si="260"/>
        <v>10133.623500000002</v>
      </c>
      <c r="CO36" s="51">
        <f t="shared" si="261"/>
        <v>33499.732566300008</v>
      </c>
      <c r="CP36" s="52">
        <f t="shared" si="262"/>
        <v>9895.185300000001</v>
      </c>
      <c r="CQ36" s="51">
        <f t="shared" si="263"/>
        <v>32711.503564740004</v>
      </c>
      <c r="CR36" s="48">
        <f t="shared" si="264"/>
        <v>9656.7471000000005</v>
      </c>
      <c r="CS36" s="51">
        <f t="shared" si="265"/>
        <v>31923.274563180003</v>
      </c>
      <c r="CT36" s="53">
        <f t="shared" si="266"/>
        <v>9418.3089</v>
      </c>
      <c r="CU36" s="51">
        <f t="shared" si="267"/>
        <v>31135.045561620002</v>
      </c>
      <c r="CV36" s="53">
        <f t="shared" si="268"/>
        <v>9179.8706999999995</v>
      </c>
      <c r="CW36" s="51">
        <f t="shared" si="269"/>
        <v>30346.81656006</v>
      </c>
      <c r="CX36" s="53">
        <f t="shared" si="270"/>
        <v>8941.4325000000008</v>
      </c>
      <c r="CY36" s="51">
        <f t="shared" si="271"/>
        <v>29558.587558500003</v>
      </c>
      <c r="CZ36" s="48">
        <f t="shared" si="272"/>
        <v>8702.9943000000003</v>
      </c>
      <c r="DA36" s="51">
        <f t="shared" si="273"/>
        <v>28770.358556940002</v>
      </c>
      <c r="DB36" s="53">
        <f t="shared" si="274"/>
        <v>8464.5560999999998</v>
      </c>
      <c r="DC36" s="51">
        <f t="shared" si="275"/>
        <v>27982.129555380001</v>
      </c>
      <c r="DD36" s="53">
        <f t="shared" si="276"/>
        <v>8226.1178999999993</v>
      </c>
      <c r="DE36" s="51">
        <f t="shared" si="277"/>
        <v>27193.90055382</v>
      </c>
      <c r="DF36" s="53">
        <f t="shared" si="278"/>
        <v>7987.6796999999988</v>
      </c>
      <c r="DG36" s="51">
        <f t="shared" si="279"/>
        <v>26405.671552259995</v>
      </c>
      <c r="DH36" s="53">
        <f t="shared" si="280"/>
        <v>7749.2414999999983</v>
      </c>
      <c r="DI36" s="51">
        <f t="shared" si="281"/>
        <v>25617.442550699994</v>
      </c>
      <c r="DJ36" s="48">
        <f t="shared" si="282"/>
        <v>7510.8032999999987</v>
      </c>
      <c r="DK36" s="51">
        <f t="shared" si="283"/>
        <v>24829.213549139997</v>
      </c>
      <c r="DL36" s="53">
        <f t="shared" si="284"/>
        <v>7272.3650999999982</v>
      </c>
      <c r="DM36" s="51">
        <f t="shared" si="285"/>
        <v>24040.984547579996</v>
      </c>
      <c r="DN36" s="53">
        <f t="shared" si="286"/>
        <v>7033.9268999999977</v>
      </c>
      <c r="DO36" s="51">
        <f t="shared" si="287"/>
        <v>23252.755546019991</v>
      </c>
      <c r="DP36" s="48">
        <f t="shared" si="288"/>
        <v>6795.4886999999981</v>
      </c>
      <c r="DQ36" s="51">
        <f t="shared" si="289"/>
        <v>22464.526544459994</v>
      </c>
      <c r="DT36" s="48">
        <v>1</v>
      </c>
      <c r="DU36" s="48">
        <v>0.97</v>
      </c>
      <c r="DV36" s="48">
        <v>0.95</v>
      </c>
      <c r="DW36" s="48">
        <v>0.93</v>
      </c>
      <c r="DX36" s="48">
        <f t="shared" ref="DX36:EO36" si="342">+DW36-0.02</f>
        <v>0.91</v>
      </c>
      <c r="DY36" s="48">
        <f t="shared" si="342"/>
        <v>0.89</v>
      </c>
      <c r="DZ36" s="48">
        <f t="shared" si="342"/>
        <v>0.87</v>
      </c>
      <c r="EA36" s="48">
        <f t="shared" si="342"/>
        <v>0.85</v>
      </c>
      <c r="EB36" s="48">
        <f t="shared" si="342"/>
        <v>0.83</v>
      </c>
      <c r="EC36" s="48">
        <f t="shared" si="342"/>
        <v>0.80999999999999994</v>
      </c>
      <c r="ED36" s="48">
        <f t="shared" si="342"/>
        <v>0.78999999999999992</v>
      </c>
      <c r="EE36" s="48">
        <f t="shared" si="342"/>
        <v>0.76999999999999991</v>
      </c>
      <c r="EF36" s="48">
        <f t="shared" si="342"/>
        <v>0.74999999999999989</v>
      </c>
      <c r="EG36" s="48">
        <f t="shared" si="342"/>
        <v>0.72999999999999987</v>
      </c>
      <c r="EH36" s="48">
        <f t="shared" si="342"/>
        <v>0.70999999999999985</v>
      </c>
      <c r="EI36" s="48">
        <f t="shared" si="342"/>
        <v>0.68999999999999984</v>
      </c>
      <c r="EJ36" s="48">
        <f t="shared" si="342"/>
        <v>0.66999999999999982</v>
      </c>
      <c r="EK36" s="48">
        <f t="shared" si="342"/>
        <v>0.6499999999999998</v>
      </c>
      <c r="EL36" s="48">
        <f t="shared" si="342"/>
        <v>0.62999999999999978</v>
      </c>
      <c r="EM36" s="48">
        <f t="shared" si="342"/>
        <v>0.60999999999999976</v>
      </c>
      <c r="EN36" s="48">
        <f t="shared" si="342"/>
        <v>0.58999999999999975</v>
      </c>
      <c r="EO36" s="48">
        <f t="shared" si="342"/>
        <v>0.56999999999999973</v>
      </c>
      <c r="EQ36" s="48">
        <f t="shared" si="188"/>
        <v>10848.938100000001</v>
      </c>
      <c r="ER36" s="48">
        <f t="shared" si="116"/>
        <v>10848.938100000001</v>
      </c>
      <c r="ES36" s="51">
        <f t="shared" ref="ES36" si="343">+ER36*3.3058</f>
        <v>35864.419570980004</v>
      </c>
      <c r="ET36" s="48">
        <f t="shared" si="292"/>
        <v>10523.469957000001</v>
      </c>
      <c r="EU36" s="51">
        <f t="shared" si="293"/>
        <v>34788.486983850606</v>
      </c>
      <c r="EV36" s="48">
        <f t="shared" si="294"/>
        <v>10306.491195000001</v>
      </c>
      <c r="EW36" s="51">
        <f t="shared" si="295"/>
        <v>34071.198592430999</v>
      </c>
      <c r="EX36" s="48">
        <f t="shared" si="296"/>
        <v>10089.512433000002</v>
      </c>
      <c r="EY36" s="51">
        <f t="shared" si="297"/>
        <v>33353.910201011407</v>
      </c>
      <c r="EZ36" s="52">
        <f t="shared" si="298"/>
        <v>9872.533671000001</v>
      </c>
      <c r="FA36" s="51">
        <f t="shared" si="299"/>
        <v>32636.621809591805</v>
      </c>
      <c r="FB36" s="48">
        <f t="shared" si="300"/>
        <v>9655.5549090000004</v>
      </c>
      <c r="FC36" s="51">
        <f t="shared" si="301"/>
        <v>31919.333418172202</v>
      </c>
      <c r="FD36" s="52">
        <f t="shared" si="302"/>
        <v>9438.5761470000016</v>
      </c>
      <c r="FE36" s="51">
        <f t="shared" si="303"/>
        <v>31202.045026752607</v>
      </c>
      <c r="FF36" s="53">
        <f t="shared" si="304"/>
        <v>9221.5973850000009</v>
      </c>
      <c r="FG36" s="51">
        <f t="shared" si="305"/>
        <v>30484.756635333004</v>
      </c>
      <c r="FH36" s="52">
        <f t="shared" si="306"/>
        <v>9004.6186230000003</v>
      </c>
      <c r="FI36" s="51">
        <f t="shared" si="307"/>
        <v>29767.468243913401</v>
      </c>
      <c r="FJ36" s="48">
        <f t="shared" si="308"/>
        <v>8787.6398609999997</v>
      </c>
      <c r="FK36" s="51">
        <f t="shared" si="309"/>
        <v>29050.179852493799</v>
      </c>
      <c r="FL36" s="53">
        <f t="shared" si="310"/>
        <v>8570.6610990000008</v>
      </c>
      <c r="FM36" s="51">
        <f t="shared" si="311"/>
        <v>28332.891461074203</v>
      </c>
      <c r="FN36" s="53">
        <f t="shared" si="312"/>
        <v>8353.6823370000002</v>
      </c>
      <c r="FO36" s="51">
        <f t="shared" si="313"/>
        <v>27615.6030696546</v>
      </c>
      <c r="FP36" s="53">
        <f t="shared" si="314"/>
        <v>8136.7035749999995</v>
      </c>
      <c r="FQ36" s="51">
        <f t="shared" si="315"/>
        <v>26898.314678234998</v>
      </c>
      <c r="FR36" s="48">
        <f t="shared" si="316"/>
        <v>7919.7248129999998</v>
      </c>
      <c r="FS36" s="51">
        <f t="shared" si="317"/>
        <v>26181.026286815399</v>
      </c>
      <c r="FT36" s="53">
        <f t="shared" si="318"/>
        <v>7702.7460509999992</v>
      </c>
      <c r="FU36" s="51">
        <f t="shared" si="319"/>
        <v>25463.7378953958</v>
      </c>
      <c r="FV36" s="53">
        <f t="shared" si="320"/>
        <v>7485.7672889999994</v>
      </c>
      <c r="FW36" s="51">
        <f t="shared" si="321"/>
        <v>24746.449503976197</v>
      </c>
      <c r="FX36" s="53">
        <f t="shared" si="322"/>
        <v>7268.7885269999988</v>
      </c>
      <c r="FY36" s="51">
        <f t="shared" si="323"/>
        <v>24029.161112556598</v>
      </c>
      <c r="FZ36" s="53">
        <f t="shared" si="324"/>
        <v>7051.8097649999991</v>
      </c>
      <c r="GA36" s="51">
        <f t="shared" si="325"/>
        <v>23311.872721136999</v>
      </c>
      <c r="GB36" s="48">
        <f t="shared" si="326"/>
        <v>6834.8310029999984</v>
      </c>
      <c r="GC36" s="51">
        <f t="shared" si="327"/>
        <v>22594.584329717396</v>
      </c>
      <c r="GD36" s="53">
        <f t="shared" si="328"/>
        <v>6617.8522409999978</v>
      </c>
      <c r="GE36" s="51">
        <f t="shared" si="329"/>
        <v>21877.295938297793</v>
      </c>
      <c r="GF36" s="53">
        <f t="shared" si="330"/>
        <v>6400.873478999998</v>
      </c>
      <c r="GG36" s="51">
        <f t="shared" si="331"/>
        <v>21160.007546878194</v>
      </c>
      <c r="GH36" s="48">
        <f t="shared" si="332"/>
        <v>6183.8947169999974</v>
      </c>
      <c r="GI36" s="51">
        <f t="shared" si="333"/>
        <v>20442.719155458592</v>
      </c>
      <c r="GJ36" s="48"/>
      <c r="GK36" s="48"/>
      <c r="GL36" s="48">
        <v>1</v>
      </c>
      <c r="GM36" s="48">
        <v>0.97</v>
      </c>
      <c r="GN36" s="48">
        <v>0.95</v>
      </c>
      <c r="GO36" s="48">
        <v>0.93</v>
      </c>
      <c r="GP36" s="48">
        <f t="shared" ref="GP36:HG36" si="344">+GO36-0.02</f>
        <v>0.91</v>
      </c>
      <c r="GQ36" s="48">
        <f t="shared" si="344"/>
        <v>0.89</v>
      </c>
      <c r="GR36" s="48">
        <f t="shared" si="344"/>
        <v>0.87</v>
      </c>
      <c r="GS36" s="48">
        <f t="shared" si="344"/>
        <v>0.85</v>
      </c>
      <c r="GT36" s="48">
        <f t="shared" si="344"/>
        <v>0.83</v>
      </c>
      <c r="GU36" s="48">
        <f t="shared" si="344"/>
        <v>0.80999999999999994</v>
      </c>
      <c r="GV36" s="48">
        <f t="shared" si="344"/>
        <v>0.78999999999999992</v>
      </c>
      <c r="GW36" s="48">
        <f t="shared" si="344"/>
        <v>0.76999999999999991</v>
      </c>
      <c r="GX36" s="48">
        <f t="shared" si="344"/>
        <v>0.74999999999999989</v>
      </c>
      <c r="GY36" s="48">
        <f t="shared" si="344"/>
        <v>0.72999999999999987</v>
      </c>
      <c r="GZ36" s="48">
        <f t="shared" si="344"/>
        <v>0.70999999999999985</v>
      </c>
      <c r="HA36" s="48">
        <f t="shared" si="344"/>
        <v>0.68999999999999984</v>
      </c>
      <c r="HB36" s="48">
        <f t="shared" si="344"/>
        <v>0.66999999999999982</v>
      </c>
      <c r="HC36" s="48">
        <f t="shared" si="344"/>
        <v>0.6499999999999998</v>
      </c>
      <c r="HD36" s="48">
        <f t="shared" si="344"/>
        <v>0.62999999999999978</v>
      </c>
      <c r="HE36" s="48">
        <f t="shared" si="344"/>
        <v>0.60999999999999976</v>
      </c>
      <c r="HF36" s="48">
        <f t="shared" si="344"/>
        <v>0.58999999999999975</v>
      </c>
      <c r="HG36" s="48">
        <f t="shared" si="344"/>
        <v>0.56999999999999973</v>
      </c>
    </row>
    <row r="37" spans="1:250" x14ac:dyDescent="0.3">
      <c r="A37" s="2">
        <v>4</v>
      </c>
      <c r="C37" s="39" t="s">
        <v>9</v>
      </c>
      <c r="D37" s="44">
        <f>TRUNC(10399.6465141612,-1)</f>
        <v>10390</v>
      </c>
      <c r="E37" s="73">
        <f t="shared" si="203"/>
        <v>34340</v>
      </c>
      <c r="G37" s="48">
        <f t="shared" si="61"/>
        <v>11429.000000000002</v>
      </c>
      <c r="H37" s="48">
        <f t="shared" si="62"/>
        <v>11429.000000000002</v>
      </c>
      <c r="I37" s="51">
        <f t="shared" si="63"/>
        <v>37781.988200000007</v>
      </c>
      <c r="J37" s="48">
        <f t="shared" si="204"/>
        <v>11086.130000000001</v>
      </c>
      <c r="K37" s="51">
        <f t="shared" si="205"/>
        <v>36648.528554000004</v>
      </c>
      <c r="L37" s="48">
        <f t="shared" si="206"/>
        <v>10857.550000000001</v>
      </c>
      <c r="M37" s="51">
        <f t="shared" si="207"/>
        <v>35892.888790000005</v>
      </c>
      <c r="N37" s="48">
        <f t="shared" si="208"/>
        <v>10628.970000000003</v>
      </c>
      <c r="O37" s="51">
        <f t="shared" si="209"/>
        <v>35137.249026000012</v>
      </c>
      <c r="P37" s="52">
        <f t="shared" si="210"/>
        <v>10400.390000000001</v>
      </c>
      <c r="Q37" s="51">
        <f t="shared" si="211"/>
        <v>34381.609262000005</v>
      </c>
      <c r="R37" s="48">
        <f t="shared" si="212"/>
        <v>10171.810000000001</v>
      </c>
      <c r="S37" s="51">
        <f t="shared" si="213"/>
        <v>33625.969498000006</v>
      </c>
      <c r="T37" s="52">
        <f t="shared" si="214"/>
        <v>9943.2300000000014</v>
      </c>
      <c r="U37" s="51">
        <f t="shared" si="215"/>
        <v>32870.329734000006</v>
      </c>
      <c r="V37" s="53">
        <f t="shared" si="216"/>
        <v>9714.6500000000015</v>
      </c>
      <c r="W37" s="51">
        <f t="shared" si="217"/>
        <v>32114.689970000007</v>
      </c>
      <c r="X37" s="52">
        <f t="shared" si="218"/>
        <v>9486.0700000000015</v>
      </c>
      <c r="Y37" s="51">
        <f t="shared" si="219"/>
        <v>31359.050206000007</v>
      </c>
      <c r="Z37" s="48">
        <f t="shared" si="220"/>
        <v>9257.4900000000016</v>
      </c>
      <c r="AA37" s="51">
        <f t="shared" si="221"/>
        <v>30603.410442000008</v>
      </c>
      <c r="AB37" s="53">
        <f t="shared" si="222"/>
        <v>9028.91</v>
      </c>
      <c r="AC37" s="51">
        <f t="shared" si="223"/>
        <v>29847.770678000001</v>
      </c>
      <c r="AD37" s="53">
        <f t="shared" si="224"/>
        <v>8800.33</v>
      </c>
      <c r="AE37" s="51">
        <f t="shared" si="225"/>
        <v>29092.130914000001</v>
      </c>
      <c r="AF37" s="53">
        <f t="shared" si="226"/>
        <v>8571.75</v>
      </c>
      <c r="AG37" s="51">
        <f t="shared" si="227"/>
        <v>28336.491150000002</v>
      </c>
      <c r="AH37" s="48">
        <f t="shared" si="228"/>
        <v>8343.17</v>
      </c>
      <c r="AI37" s="51">
        <f t="shared" si="229"/>
        <v>27580.851386000002</v>
      </c>
      <c r="AJ37" s="53">
        <f t="shared" si="230"/>
        <v>8114.5899999999992</v>
      </c>
      <c r="AK37" s="51">
        <f t="shared" si="231"/>
        <v>26825.211621999999</v>
      </c>
      <c r="AL37" s="53">
        <f t="shared" si="232"/>
        <v>7886.0099999999993</v>
      </c>
      <c r="AM37" s="51">
        <f t="shared" si="233"/>
        <v>26069.571857999999</v>
      </c>
      <c r="AN37" s="53">
        <f t="shared" si="234"/>
        <v>7657.4299999999994</v>
      </c>
      <c r="AO37" s="51">
        <f t="shared" si="235"/>
        <v>25313.932094</v>
      </c>
      <c r="AP37" s="53">
        <f t="shared" si="236"/>
        <v>7428.8499999999985</v>
      </c>
      <c r="AQ37" s="51">
        <f t="shared" si="237"/>
        <v>24558.292329999997</v>
      </c>
      <c r="AR37" s="48">
        <f t="shared" si="238"/>
        <v>7200.2699999999986</v>
      </c>
      <c r="AS37" s="51">
        <f t="shared" si="239"/>
        <v>23802.652565999997</v>
      </c>
      <c r="AT37" s="53">
        <f t="shared" si="240"/>
        <v>6971.6899999999987</v>
      </c>
      <c r="AU37" s="51">
        <f t="shared" si="241"/>
        <v>23047.012801999997</v>
      </c>
      <c r="AV37" s="53">
        <f t="shared" si="242"/>
        <v>6743.1099999999979</v>
      </c>
      <c r="AW37" s="51">
        <f t="shared" si="243"/>
        <v>22291.373037999994</v>
      </c>
      <c r="AX37" s="48">
        <f t="shared" si="244"/>
        <v>6514.5299999999979</v>
      </c>
      <c r="AY37" s="51">
        <f t="shared" si="245"/>
        <v>21535.733273999995</v>
      </c>
      <c r="BB37" s="48">
        <v>1</v>
      </c>
      <c r="BC37" s="48">
        <v>0.97</v>
      </c>
      <c r="BD37" s="48">
        <v>0.95</v>
      </c>
      <c r="BE37" s="48">
        <v>0.93</v>
      </c>
      <c r="BF37" s="48">
        <f t="shared" ref="BF37:BW37" si="345">+BE37-0.02</f>
        <v>0.91</v>
      </c>
      <c r="BG37" s="48">
        <f t="shared" si="345"/>
        <v>0.89</v>
      </c>
      <c r="BH37" s="48">
        <f t="shared" si="345"/>
        <v>0.87</v>
      </c>
      <c r="BI37" s="48">
        <f t="shared" si="345"/>
        <v>0.85</v>
      </c>
      <c r="BJ37" s="48">
        <f t="shared" si="345"/>
        <v>0.83</v>
      </c>
      <c r="BK37" s="48">
        <f t="shared" si="345"/>
        <v>0.80999999999999994</v>
      </c>
      <c r="BL37" s="48">
        <f t="shared" si="345"/>
        <v>0.78999999999999992</v>
      </c>
      <c r="BM37" s="48">
        <f t="shared" si="345"/>
        <v>0.76999999999999991</v>
      </c>
      <c r="BN37" s="48">
        <f t="shared" si="345"/>
        <v>0.74999999999999989</v>
      </c>
      <c r="BO37" s="48">
        <f t="shared" si="345"/>
        <v>0.72999999999999987</v>
      </c>
      <c r="BP37" s="48">
        <f t="shared" si="345"/>
        <v>0.70999999999999985</v>
      </c>
      <c r="BQ37" s="48">
        <f t="shared" si="345"/>
        <v>0.68999999999999984</v>
      </c>
      <c r="BR37" s="48">
        <f t="shared" si="345"/>
        <v>0.66999999999999982</v>
      </c>
      <c r="BS37" s="48">
        <f t="shared" si="345"/>
        <v>0.6499999999999998</v>
      </c>
      <c r="BT37" s="48">
        <f t="shared" si="345"/>
        <v>0.62999999999999978</v>
      </c>
      <c r="BU37" s="48">
        <f t="shared" si="345"/>
        <v>0.60999999999999976</v>
      </c>
      <c r="BV37" s="48">
        <f t="shared" si="345"/>
        <v>0.58999999999999975</v>
      </c>
      <c r="BW37" s="48">
        <f t="shared" si="345"/>
        <v>0.56999999999999973</v>
      </c>
      <c r="BY37" s="48">
        <f t="shared" si="88"/>
        <v>10400.390000000001</v>
      </c>
      <c r="BZ37" s="48">
        <f t="shared" si="89"/>
        <v>10400.390000000001</v>
      </c>
      <c r="CA37" s="51">
        <f t="shared" ref="CA37" si="346">+BZ37*3.3058</f>
        <v>34381.609262000005</v>
      </c>
      <c r="CB37" s="48">
        <f t="shared" si="248"/>
        <v>10088.3783</v>
      </c>
      <c r="CC37" s="51">
        <f t="shared" si="249"/>
        <v>33350.160984139999</v>
      </c>
      <c r="CD37" s="48">
        <f t="shared" si="250"/>
        <v>9880.3705000000009</v>
      </c>
      <c r="CE37" s="51">
        <f t="shared" si="251"/>
        <v>32662.528798900003</v>
      </c>
      <c r="CF37" s="48">
        <f t="shared" si="252"/>
        <v>9672.3627000000015</v>
      </c>
      <c r="CG37" s="51">
        <f t="shared" si="253"/>
        <v>31974.896613660007</v>
      </c>
      <c r="CH37" s="52">
        <f t="shared" si="254"/>
        <v>9464.3549000000021</v>
      </c>
      <c r="CI37" s="51">
        <f t="shared" si="255"/>
        <v>31287.264428420007</v>
      </c>
      <c r="CJ37" s="48">
        <f t="shared" si="256"/>
        <v>9256.3471000000009</v>
      </c>
      <c r="CK37" s="51">
        <f t="shared" si="257"/>
        <v>30599.632243180004</v>
      </c>
      <c r="CL37" s="52">
        <f t="shared" si="258"/>
        <v>9048.3393000000015</v>
      </c>
      <c r="CM37" s="51">
        <f t="shared" si="259"/>
        <v>29912.000057940004</v>
      </c>
      <c r="CN37" s="53">
        <f t="shared" si="260"/>
        <v>8840.3315000000002</v>
      </c>
      <c r="CO37" s="51">
        <f t="shared" si="261"/>
        <v>29224.367872700001</v>
      </c>
      <c r="CP37" s="52">
        <f t="shared" si="262"/>
        <v>8632.3237000000008</v>
      </c>
      <c r="CQ37" s="51">
        <f t="shared" si="263"/>
        <v>28536.735687460005</v>
      </c>
      <c r="CR37" s="48">
        <f t="shared" si="264"/>
        <v>8424.3158999999996</v>
      </c>
      <c r="CS37" s="51">
        <f t="shared" si="265"/>
        <v>27849.103502219998</v>
      </c>
      <c r="CT37" s="53">
        <f t="shared" si="266"/>
        <v>8216.3081000000002</v>
      </c>
      <c r="CU37" s="51">
        <f t="shared" si="267"/>
        <v>27161.471316980002</v>
      </c>
      <c r="CV37" s="53">
        <f t="shared" si="268"/>
        <v>8008.3002999999999</v>
      </c>
      <c r="CW37" s="51">
        <f t="shared" si="269"/>
        <v>26473.839131740002</v>
      </c>
      <c r="CX37" s="53">
        <f t="shared" si="270"/>
        <v>7800.2924999999996</v>
      </c>
      <c r="CY37" s="51">
        <f t="shared" si="271"/>
        <v>25786.206946499999</v>
      </c>
      <c r="CZ37" s="48">
        <f t="shared" si="272"/>
        <v>7592.2846999999992</v>
      </c>
      <c r="DA37" s="51">
        <f t="shared" si="273"/>
        <v>25098.574761259999</v>
      </c>
      <c r="DB37" s="53">
        <f t="shared" si="274"/>
        <v>7384.2768999999989</v>
      </c>
      <c r="DC37" s="51">
        <f t="shared" si="275"/>
        <v>24410.942576019996</v>
      </c>
      <c r="DD37" s="53">
        <f t="shared" si="276"/>
        <v>7176.2690999999995</v>
      </c>
      <c r="DE37" s="51">
        <f t="shared" si="277"/>
        <v>23723.31039078</v>
      </c>
      <c r="DF37" s="53">
        <f t="shared" si="278"/>
        <v>6968.2612999999992</v>
      </c>
      <c r="DG37" s="51">
        <f t="shared" si="279"/>
        <v>23035.678205539996</v>
      </c>
      <c r="DH37" s="53">
        <f t="shared" si="280"/>
        <v>6760.2534999999989</v>
      </c>
      <c r="DI37" s="51">
        <f t="shared" si="281"/>
        <v>22348.046020299997</v>
      </c>
      <c r="DJ37" s="48">
        <f t="shared" si="282"/>
        <v>6552.2456999999986</v>
      </c>
      <c r="DK37" s="51">
        <f t="shared" si="283"/>
        <v>21660.413835059997</v>
      </c>
      <c r="DL37" s="53">
        <f t="shared" si="284"/>
        <v>6344.2378999999983</v>
      </c>
      <c r="DM37" s="51">
        <f t="shared" si="285"/>
        <v>20972.781649819994</v>
      </c>
      <c r="DN37" s="53">
        <f t="shared" si="286"/>
        <v>6136.2300999999979</v>
      </c>
      <c r="DO37" s="51">
        <f t="shared" si="287"/>
        <v>20285.149464579994</v>
      </c>
      <c r="DP37" s="48">
        <f t="shared" si="288"/>
        <v>5928.2222999999976</v>
      </c>
      <c r="DQ37" s="51">
        <f t="shared" si="289"/>
        <v>19597.517279339994</v>
      </c>
      <c r="DT37" s="48">
        <v>1</v>
      </c>
      <c r="DU37" s="48">
        <v>0.97</v>
      </c>
      <c r="DV37" s="48">
        <v>0.95</v>
      </c>
      <c r="DW37" s="48">
        <v>0.93</v>
      </c>
      <c r="DX37" s="48">
        <f t="shared" ref="DX37:EO37" si="347">+DW37-0.02</f>
        <v>0.91</v>
      </c>
      <c r="DY37" s="48">
        <f t="shared" si="347"/>
        <v>0.89</v>
      </c>
      <c r="DZ37" s="48">
        <f t="shared" si="347"/>
        <v>0.87</v>
      </c>
      <c r="EA37" s="48">
        <f t="shared" si="347"/>
        <v>0.85</v>
      </c>
      <c r="EB37" s="48">
        <f t="shared" si="347"/>
        <v>0.83</v>
      </c>
      <c r="EC37" s="48">
        <f t="shared" si="347"/>
        <v>0.80999999999999994</v>
      </c>
      <c r="ED37" s="48">
        <f t="shared" si="347"/>
        <v>0.78999999999999992</v>
      </c>
      <c r="EE37" s="48">
        <f t="shared" si="347"/>
        <v>0.76999999999999991</v>
      </c>
      <c r="EF37" s="48">
        <f t="shared" si="347"/>
        <v>0.74999999999999989</v>
      </c>
      <c r="EG37" s="48">
        <f t="shared" si="347"/>
        <v>0.72999999999999987</v>
      </c>
      <c r="EH37" s="48">
        <f t="shared" si="347"/>
        <v>0.70999999999999985</v>
      </c>
      <c r="EI37" s="48">
        <f t="shared" si="347"/>
        <v>0.68999999999999984</v>
      </c>
      <c r="EJ37" s="48">
        <f t="shared" si="347"/>
        <v>0.66999999999999982</v>
      </c>
      <c r="EK37" s="48">
        <f t="shared" si="347"/>
        <v>0.6499999999999998</v>
      </c>
      <c r="EL37" s="48">
        <f t="shared" si="347"/>
        <v>0.62999999999999978</v>
      </c>
      <c r="EM37" s="48">
        <f t="shared" si="347"/>
        <v>0.60999999999999976</v>
      </c>
      <c r="EN37" s="48">
        <f t="shared" si="347"/>
        <v>0.58999999999999975</v>
      </c>
      <c r="EO37" s="48">
        <f t="shared" si="347"/>
        <v>0.56999999999999973</v>
      </c>
      <c r="EQ37" s="48">
        <f t="shared" si="188"/>
        <v>9464.3549000000021</v>
      </c>
      <c r="ER37" s="48">
        <f t="shared" si="116"/>
        <v>9464.3549000000021</v>
      </c>
      <c r="ES37" s="51">
        <f t="shared" ref="ES37" si="348">+ER37*3.3058</f>
        <v>31287.264428420007</v>
      </c>
      <c r="ET37" s="48">
        <f t="shared" si="292"/>
        <v>9180.424253000001</v>
      </c>
      <c r="EU37" s="51">
        <f t="shared" si="293"/>
        <v>30348.646495567406</v>
      </c>
      <c r="EV37" s="48">
        <f t="shared" si="294"/>
        <v>8991.1371550000022</v>
      </c>
      <c r="EW37" s="51">
        <f t="shared" si="295"/>
        <v>29722.901206999009</v>
      </c>
      <c r="EX37" s="48">
        <f t="shared" si="296"/>
        <v>8801.8500570000033</v>
      </c>
      <c r="EY37" s="51">
        <f t="shared" si="297"/>
        <v>29097.15591843061</v>
      </c>
      <c r="EZ37" s="52">
        <f t="shared" si="298"/>
        <v>8612.5629590000026</v>
      </c>
      <c r="FA37" s="51">
        <f t="shared" si="299"/>
        <v>28471.41062986221</v>
      </c>
      <c r="FB37" s="48">
        <f t="shared" si="300"/>
        <v>8423.2758610000019</v>
      </c>
      <c r="FC37" s="51">
        <f t="shared" si="301"/>
        <v>27845.665341293807</v>
      </c>
      <c r="FD37" s="52">
        <f t="shared" si="302"/>
        <v>8233.9887630000012</v>
      </c>
      <c r="FE37" s="51">
        <f t="shared" si="303"/>
        <v>27219.920052725403</v>
      </c>
      <c r="FF37" s="53">
        <f t="shared" si="304"/>
        <v>8044.7016650000014</v>
      </c>
      <c r="FG37" s="51">
        <f t="shared" si="305"/>
        <v>26594.174764157004</v>
      </c>
      <c r="FH37" s="52">
        <f t="shared" si="306"/>
        <v>7855.4145670000016</v>
      </c>
      <c r="FI37" s="51">
        <f t="shared" si="307"/>
        <v>25968.429475588608</v>
      </c>
      <c r="FJ37" s="48">
        <f t="shared" si="308"/>
        <v>7666.1274690000009</v>
      </c>
      <c r="FK37" s="51">
        <f t="shared" si="309"/>
        <v>25342.684187020204</v>
      </c>
      <c r="FL37" s="53">
        <f t="shared" si="310"/>
        <v>7476.8403710000011</v>
      </c>
      <c r="FM37" s="51">
        <f t="shared" si="311"/>
        <v>24716.938898451805</v>
      </c>
      <c r="FN37" s="53">
        <f t="shared" si="312"/>
        <v>7287.5532730000004</v>
      </c>
      <c r="FO37" s="51">
        <f t="shared" si="313"/>
        <v>24091.193609883401</v>
      </c>
      <c r="FP37" s="53">
        <f t="shared" si="314"/>
        <v>7098.2661750000007</v>
      </c>
      <c r="FQ37" s="51">
        <f t="shared" si="315"/>
        <v>23465.448321315002</v>
      </c>
      <c r="FR37" s="48">
        <f t="shared" si="316"/>
        <v>6908.979077</v>
      </c>
      <c r="FS37" s="51">
        <f t="shared" si="317"/>
        <v>22839.703032746602</v>
      </c>
      <c r="FT37" s="53">
        <f t="shared" si="318"/>
        <v>6719.6919790000002</v>
      </c>
      <c r="FU37" s="51">
        <f t="shared" si="319"/>
        <v>22213.957744178202</v>
      </c>
      <c r="FV37" s="53">
        <f t="shared" si="320"/>
        <v>6530.4048809999995</v>
      </c>
      <c r="FW37" s="51">
        <f t="shared" si="321"/>
        <v>21588.212455609799</v>
      </c>
      <c r="FX37" s="53">
        <f t="shared" si="322"/>
        <v>6341.1177829999997</v>
      </c>
      <c r="FY37" s="51">
        <f t="shared" si="323"/>
        <v>20962.467167041399</v>
      </c>
      <c r="FZ37" s="53">
        <f t="shared" si="324"/>
        <v>6151.8306849999999</v>
      </c>
      <c r="GA37" s="51">
        <f t="shared" si="325"/>
        <v>20336.721878472999</v>
      </c>
      <c r="GB37" s="48">
        <f t="shared" si="326"/>
        <v>5962.5435869999992</v>
      </c>
      <c r="GC37" s="51">
        <f t="shared" si="327"/>
        <v>19710.976589904596</v>
      </c>
      <c r="GD37" s="53">
        <f t="shared" si="328"/>
        <v>5773.2564889999994</v>
      </c>
      <c r="GE37" s="51">
        <f t="shared" si="329"/>
        <v>19085.2313013362</v>
      </c>
      <c r="GF37" s="53">
        <f t="shared" si="330"/>
        <v>5583.9693909999987</v>
      </c>
      <c r="GG37" s="51">
        <f t="shared" si="331"/>
        <v>18459.486012767797</v>
      </c>
      <c r="GH37" s="48">
        <f t="shared" si="332"/>
        <v>5394.6822929999989</v>
      </c>
      <c r="GI37" s="51">
        <f t="shared" si="333"/>
        <v>17833.740724199397</v>
      </c>
      <c r="GJ37" s="48"/>
      <c r="GK37" s="48"/>
      <c r="GL37" s="48">
        <v>1</v>
      </c>
      <c r="GM37" s="48">
        <v>0.97</v>
      </c>
      <c r="GN37" s="48">
        <v>0.95</v>
      </c>
      <c r="GO37" s="48">
        <v>0.93</v>
      </c>
      <c r="GP37" s="48">
        <f t="shared" ref="GP37:HG37" si="349">+GO37-0.02</f>
        <v>0.91</v>
      </c>
      <c r="GQ37" s="48">
        <f t="shared" si="349"/>
        <v>0.89</v>
      </c>
      <c r="GR37" s="48">
        <f t="shared" si="349"/>
        <v>0.87</v>
      </c>
      <c r="GS37" s="48">
        <f t="shared" si="349"/>
        <v>0.85</v>
      </c>
      <c r="GT37" s="48">
        <f t="shared" si="349"/>
        <v>0.83</v>
      </c>
      <c r="GU37" s="48">
        <f t="shared" si="349"/>
        <v>0.80999999999999994</v>
      </c>
      <c r="GV37" s="48">
        <f t="shared" si="349"/>
        <v>0.78999999999999992</v>
      </c>
      <c r="GW37" s="48">
        <f t="shared" si="349"/>
        <v>0.76999999999999991</v>
      </c>
      <c r="GX37" s="48">
        <f t="shared" si="349"/>
        <v>0.74999999999999989</v>
      </c>
      <c r="GY37" s="48">
        <f t="shared" si="349"/>
        <v>0.72999999999999987</v>
      </c>
      <c r="GZ37" s="48">
        <f t="shared" si="349"/>
        <v>0.70999999999999985</v>
      </c>
      <c r="HA37" s="48">
        <f t="shared" si="349"/>
        <v>0.68999999999999984</v>
      </c>
      <c r="HB37" s="48">
        <f t="shared" si="349"/>
        <v>0.66999999999999982</v>
      </c>
      <c r="HC37" s="48">
        <f t="shared" si="349"/>
        <v>0.6499999999999998</v>
      </c>
      <c r="HD37" s="48">
        <f t="shared" si="349"/>
        <v>0.62999999999999978</v>
      </c>
      <c r="HE37" s="48">
        <f t="shared" si="349"/>
        <v>0.60999999999999976</v>
      </c>
      <c r="HF37" s="48">
        <f t="shared" si="349"/>
        <v>0.58999999999999975</v>
      </c>
      <c r="HG37" s="48">
        <f t="shared" si="349"/>
        <v>0.56999999999999973</v>
      </c>
    </row>
    <row r="38" spans="1:250" x14ac:dyDescent="0.3">
      <c r="A38" s="2">
        <v>5</v>
      </c>
      <c r="C38" s="39" t="s">
        <v>10</v>
      </c>
      <c r="D38" s="44">
        <f>TRUNC(28717.0212418301,-1)</f>
        <v>28710</v>
      </c>
      <c r="E38" s="73">
        <f t="shared" si="203"/>
        <v>94900</v>
      </c>
      <c r="G38" s="48">
        <f t="shared" si="61"/>
        <v>31581.000000000004</v>
      </c>
      <c r="H38" s="48">
        <f t="shared" si="62"/>
        <v>31581.000000000004</v>
      </c>
      <c r="I38" s="51">
        <f t="shared" si="63"/>
        <v>104400.46980000002</v>
      </c>
      <c r="J38" s="48">
        <f t="shared" si="204"/>
        <v>30633.570000000003</v>
      </c>
      <c r="K38" s="51">
        <f t="shared" si="205"/>
        <v>101268.45570600001</v>
      </c>
      <c r="L38" s="48">
        <f t="shared" si="206"/>
        <v>30001.95</v>
      </c>
      <c r="M38" s="51">
        <f t="shared" si="207"/>
        <v>99180.446309999999</v>
      </c>
      <c r="N38" s="48">
        <f t="shared" si="208"/>
        <v>29370.330000000005</v>
      </c>
      <c r="O38" s="51">
        <f t="shared" si="209"/>
        <v>97092.43691400002</v>
      </c>
      <c r="P38" s="52">
        <f t="shared" si="210"/>
        <v>28738.710000000003</v>
      </c>
      <c r="Q38" s="51">
        <f t="shared" si="211"/>
        <v>95004.427518000011</v>
      </c>
      <c r="R38" s="48">
        <f t="shared" si="212"/>
        <v>28107.090000000004</v>
      </c>
      <c r="S38" s="51">
        <f t="shared" si="213"/>
        <v>92916.418122000017</v>
      </c>
      <c r="T38" s="52">
        <f t="shared" si="214"/>
        <v>27475.470000000005</v>
      </c>
      <c r="U38" s="51">
        <f t="shared" si="215"/>
        <v>90828.408726000023</v>
      </c>
      <c r="V38" s="53">
        <f t="shared" si="216"/>
        <v>26843.850000000002</v>
      </c>
      <c r="W38" s="51">
        <f t="shared" si="217"/>
        <v>88740.399330000015</v>
      </c>
      <c r="X38" s="52">
        <f t="shared" si="218"/>
        <v>26212.230000000003</v>
      </c>
      <c r="Y38" s="51">
        <f t="shared" si="219"/>
        <v>86652.389934000006</v>
      </c>
      <c r="Z38" s="48">
        <f t="shared" si="220"/>
        <v>25580.61</v>
      </c>
      <c r="AA38" s="51">
        <f t="shared" si="221"/>
        <v>84564.380537999998</v>
      </c>
      <c r="AB38" s="53">
        <f t="shared" si="222"/>
        <v>24948.99</v>
      </c>
      <c r="AC38" s="51">
        <f t="shared" si="223"/>
        <v>82476.371142000004</v>
      </c>
      <c r="AD38" s="53">
        <f t="shared" si="224"/>
        <v>24317.37</v>
      </c>
      <c r="AE38" s="51">
        <f t="shared" si="225"/>
        <v>80388.361745999995</v>
      </c>
      <c r="AF38" s="53">
        <f t="shared" si="226"/>
        <v>23685.75</v>
      </c>
      <c r="AG38" s="51">
        <f t="shared" si="227"/>
        <v>78300.352350000001</v>
      </c>
      <c r="AH38" s="48">
        <f t="shared" si="228"/>
        <v>23054.129999999997</v>
      </c>
      <c r="AI38" s="51">
        <f t="shared" si="229"/>
        <v>76212.342953999992</v>
      </c>
      <c r="AJ38" s="53">
        <f t="shared" si="230"/>
        <v>22422.51</v>
      </c>
      <c r="AK38" s="51">
        <f t="shared" si="231"/>
        <v>74124.333557999998</v>
      </c>
      <c r="AL38" s="53">
        <f t="shared" si="232"/>
        <v>21790.889999999996</v>
      </c>
      <c r="AM38" s="51">
        <f t="shared" si="233"/>
        <v>72036.32416199999</v>
      </c>
      <c r="AN38" s="53">
        <f t="shared" si="234"/>
        <v>21159.269999999997</v>
      </c>
      <c r="AO38" s="51">
        <f t="shared" si="235"/>
        <v>69948.314765999996</v>
      </c>
      <c r="AP38" s="53">
        <f t="shared" si="236"/>
        <v>20527.649999999998</v>
      </c>
      <c r="AQ38" s="51">
        <f t="shared" si="237"/>
        <v>67860.305369999987</v>
      </c>
      <c r="AR38" s="48">
        <f t="shared" si="238"/>
        <v>19896.029999999995</v>
      </c>
      <c r="AS38" s="51">
        <f t="shared" si="239"/>
        <v>65772.295973999979</v>
      </c>
      <c r="AT38" s="53">
        <f t="shared" si="240"/>
        <v>19264.409999999996</v>
      </c>
      <c r="AU38" s="51">
        <f t="shared" si="241"/>
        <v>63684.286577999992</v>
      </c>
      <c r="AV38" s="53">
        <f t="shared" si="242"/>
        <v>18632.789999999994</v>
      </c>
      <c r="AW38" s="51">
        <f t="shared" si="243"/>
        <v>61596.277181999983</v>
      </c>
      <c r="AX38" s="48">
        <f t="shared" si="244"/>
        <v>18001.169999999995</v>
      </c>
      <c r="AY38" s="51">
        <f t="shared" si="245"/>
        <v>59508.267785999982</v>
      </c>
      <c r="BB38" s="48">
        <v>1</v>
      </c>
      <c r="BC38" s="48">
        <v>0.97</v>
      </c>
      <c r="BD38" s="48">
        <v>0.95</v>
      </c>
      <c r="BE38" s="48">
        <v>0.93</v>
      </c>
      <c r="BF38" s="48">
        <f t="shared" ref="BF38:BW38" si="350">+BE38-0.02</f>
        <v>0.91</v>
      </c>
      <c r="BG38" s="48">
        <f t="shared" si="350"/>
        <v>0.89</v>
      </c>
      <c r="BH38" s="48">
        <f t="shared" si="350"/>
        <v>0.87</v>
      </c>
      <c r="BI38" s="48">
        <f t="shared" si="350"/>
        <v>0.85</v>
      </c>
      <c r="BJ38" s="48">
        <f t="shared" si="350"/>
        <v>0.83</v>
      </c>
      <c r="BK38" s="48">
        <f t="shared" si="350"/>
        <v>0.80999999999999994</v>
      </c>
      <c r="BL38" s="48">
        <f t="shared" si="350"/>
        <v>0.78999999999999992</v>
      </c>
      <c r="BM38" s="48">
        <f t="shared" si="350"/>
        <v>0.76999999999999991</v>
      </c>
      <c r="BN38" s="48">
        <f t="shared" si="350"/>
        <v>0.74999999999999989</v>
      </c>
      <c r="BO38" s="48">
        <f t="shared" si="350"/>
        <v>0.72999999999999987</v>
      </c>
      <c r="BP38" s="48">
        <f t="shared" si="350"/>
        <v>0.70999999999999985</v>
      </c>
      <c r="BQ38" s="48">
        <f t="shared" si="350"/>
        <v>0.68999999999999984</v>
      </c>
      <c r="BR38" s="48">
        <f t="shared" si="350"/>
        <v>0.66999999999999982</v>
      </c>
      <c r="BS38" s="48">
        <f t="shared" si="350"/>
        <v>0.6499999999999998</v>
      </c>
      <c r="BT38" s="48">
        <f t="shared" si="350"/>
        <v>0.62999999999999978</v>
      </c>
      <c r="BU38" s="48">
        <f t="shared" si="350"/>
        <v>0.60999999999999976</v>
      </c>
      <c r="BV38" s="48">
        <f t="shared" si="350"/>
        <v>0.58999999999999975</v>
      </c>
      <c r="BW38" s="48">
        <f t="shared" si="350"/>
        <v>0.56999999999999973</v>
      </c>
      <c r="BY38" s="48">
        <f t="shared" si="88"/>
        <v>28738.710000000003</v>
      </c>
      <c r="BZ38" s="48">
        <f t="shared" si="89"/>
        <v>28738.710000000003</v>
      </c>
      <c r="CA38" s="51">
        <f t="shared" ref="CA38" si="351">+BZ38*3.3058</f>
        <v>95004.427518000011</v>
      </c>
      <c r="CB38" s="48">
        <f t="shared" si="248"/>
        <v>27876.548700000003</v>
      </c>
      <c r="CC38" s="51">
        <f t="shared" si="249"/>
        <v>92154.294692460011</v>
      </c>
      <c r="CD38" s="48">
        <f t="shared" si="250"/>
        <v>27301.7745</v>
      </c>
      <c r="CE38" s="51">
        <f t="shared" si="251"/>
        <v>90254.206142099996</v>
      </c>
      <c r="CF38" s="48">
        <f t="shared" si="252"/>
        <v>26727.000300000003</v>
      </c>
      <c r="CG38" s="51">
        <f t="shared" si="253"/>
        <v>88354.117591740011</v>
      </c>
      <c r="CH38" s="52">
        <f t="shared" si="254"/>
        <v>26152.226100000003</v>
      </c>
      <c r="CI38" s="51">
        <f t="shared" si="255"/>
        <v>86454.02904138001</v>
      </c>
      <c r="CJ38" s="48">
        <f t="shared" si="256"/>
        <v>25577.451900000004</v>
      </c>
      <c r="CK38" s="51">
        <f t="shared" si="257"/>
        <v>84553.94049102001</v>
      </c>
      <c r="CL38" s="52">
        <f t="shared" si="258"/>
        <v>25002.677700000004</v>
      </c>
      <c r="CM38" s="51">
        <f t="shared" si="259"/>
        <v>82653.85194066001</v>
      </c>
      <c r="CN38" s="53">
        <f t="shared" si="260"/>
        <v>24427.9035</v>
      </c>
      <c r="CO38" s="51">
        <f t="shared" si="261"/>
        <v>80753.76339030001</v>
      </c>
      <c r="CP38" s="52">
        <f t="shared" si="262"/>
        <v>23853.129300000001</v>
      </c>
      <c r="CQ38" s="51">
        <f t="shared" si="263"/>
        <v>78853.674839940009</v>
      </c>
      <c r="CR38" s="48">
        <f t="shared" si="264"/>
        <v>23278.355100000001</v>
      </c>
      <c r="CS38" s="51">
        <f t="shared" si="265"/>
        <v>76953.586289580009</v>
      </c>
      <c r="CT38" s="53">
        <f t="shared" si="266"/>
        <v>22703.580900000001</v>
      </c>
      <c r="CU38" s="51">
        <f t="shared" si="267"/>
        <v>75053.497739220009</v>
      </c>
      <c r="CV38" s="53">
        <f t="shared" si="268"/>
        <v>22128.806700000001</v>
      </c>
      <c r="CW38" s="51">
        <f t="shared" si="269"/>
        <v>73153.409188860009</v>
      </c>
      <c r="CX38" s="53">
        <f t="shared" si="270"/>
        <v>21554.032499999998</v>
      </c>
      <c r="CY38" s="51">
        <f t="shared" si="271"/>
        <v>71253.320638499994</v>
      </c>
      <c r="CZ38" s="48">
        <f t="shared" si="272"/>
        <v>20979.258299999998</v>
      </c>
      <c r="DA38" s="51">
        <f t="shared" si="273"/>
        <v>69353.232088139994</v>
      </c>
      <c r="DB38" s="53">
        <f t="shared" si="274"/>
        <v>20404.484099999998</v>
      </c>
      <c r="DC38" s="51">
        <f t="shared" si="275"/>
        <v>67453.143537779993</v>
      </c>
      <c r="DD38" s="53">
        <f t="shared" si="276"/>
        <v>19829.709899999998</v>
      </c>
      <c r="DE38" s="51">
        <f t="shared" si="277"/>
        <v>65553.054987419993</v>
      </c>
      <c r="DF38" s="53">
        <f t="shared" si="278"/>
        <v>19254.935699999998</v>
      </c>
      <c r="DG38" s="51">
        <f t="shared" si="279"/>
        <v>63652.966437059993</v>
      </c>
      <c r="DH38" s="53">
        <f t="shared" si="280"/>
        <v>18680.161499999995</v>
      </c>
      <c r="DI38" s="51">
        <f t="shared" si="281"/>
        <v>61752.877886699986</v>
      </c>
      <c r="DJ38" s="48">
        <f t="shared" si="282"/>
        <v>18105.387299999995</v>
      </c>
      <c r="DK38" s="51">
        <f t="shared" si="283"/>
        <v>59852.789336339985</v>
      </c>
      <c r="DL38" s="53">
        <f t="shared" si="284"/>
        <v>17530.613099999995</v>
      </c>
      <c r="DM38" s="51">
        <f t="shared" si="285"/>
        <v>57952.700785979985</v>
      </c>
      <c r="DN38" s="53">
        <f t="shared" si="286"/>
        <v>16955.838899999995</v>
      </c>
      <c r="DO38" s="51">
        <f t="shared" si="287"/>
        <v>56052.612235619985</v>
      </c>
      <c r="DP38" s="48">
        <f t="shared" si="288"/>
        <v>16381.064699999994</v>
      </c>
      <c r="DQ38" s="51">
        <f t="shared" si="289"/>
        <v>54152.523685259977</v>
      </c>
      <c r="DT38" s="48">
        <v>1</v>
      </c>
      <c r="DU38" s="48">
        <v>0.97</v>
      </c>
      <c r="DV38" s="48">
        <v>0.95</v>
      </c>
      <c r="DW38" s="48">
        <v>0.93</v>
      </c>
      <c r="DX38" s="48">
        <f t="shared" ref="DX38:EO38" si="352">+DW38-0.02</f>
        <v>0.91</v>
      </c>
      <c r="DY38" s="48">
        <f t="shared" si="352"/>
        <v>0.89</v>
      </c>
      <c r="DZ38" s="48">
        <f t="shared" si="352"/>
        <v>0.87</v>
      </c>
      <c r="EA38" s="48">
        <f t="shared" si="352"/>
        <v>0.85</v>
      </c>
      <c r="EB38" s="48">
        <f t="shared" si="352"/>
        <v>0.83</v>
      </c>
      <c r="EC38" s="48">
        <f t="shared" si="352"/>
        <v>0.80999999999999994</v>
      </c>
      <c r="ED38" s="48">
        <f t="shared" si="352"/>
        <v>0.78999999999999992</v>
      </c>
      <c r="EE38" s="48">
        <f t="shared" si="352"/>
        <v>0.76999999999999991</v>
      </c>
      <c r="EF38" s="48">
        <f t="shared" si="352"/>
        <v>0.74999999999999989</v>
      </c>
      <c r="EG38" s="48">
        <f t="shared" si="352"/>
        <v>0.72999999999999987</v>
      </c>
      <c r="EH38" s="48">
        <f t="shared" si="352"/>
        <v>0.70999999999999985</v>
      </c>
      <c r="EI38" s="48">
        <f t="shared" si="352"/>
        <v>0.68999999999999984</v>
      </c>
      <c r="EJ38" s="48">
        <f t="shared" si="352"/>
        <v>0.66999999999999982</v>
      </c>
      <c r="EK38" s="48">
        <f t="shared" si="352"/>
        <v>0.6499999999999998</v>
      </c>
      <c r="EL38" s="48">
        <f t="shared" si="352"/>
        <v>0.62999999999999978</v>
      </c>
      <c r="EM38" s="48">
        <f t="shared" si="352"/>
        <v>0.60999999999999976</v>
      </c>
      <c r="EN38" s="48">
        <f t="shared" si="352"/>
        <v>0.58999999999999975</v>
      </c>
      <c r="EO38" s="48">
        <f t="shared" si="352"/>
        <v>0.56999999999999973</v>
      </c>
      <c r="EQ38" s="48">
        <f t="shared" si="188"/>
        <v>26152.226100000003</v>
      </c>
      <c r="ER38" s="48">
        <f t="shared" si="116"/>
        <v>26152.226100000003</v>
      </c>
      <c r="ES38" s="51">
        <f t="shared" ref="ES38" si="353">+ER38*3.3058</f>
        <v>86454.02904138001</v>
      </c>
      <c r="ET38" s="48">
        <f t="shared" si="292"/>
        <v>25367.659317000001</v>
      </c>
      <c r="EU38" s="51">
        <f t="shared" si="293"/>
        <v>83860.408170138602</v>
      </c>
      <c r="EV38" s="48">
        <f t="shared" si="294"/>
        <v>24844.614795000001</v>
      </c>
      <c r="EW38" s="51">
        <f t="shared" si="295"/>
        <v>82131.327589311011</v>
      </c>
      <c r="EX38" s="48">
        <f t="shared" si="296"/>
        <v>24321.570273000005</v>
      </c>
      <c r="EY38" s="51">
        <f t="shared" si="297"/>
        <v>80402.24700848342</v>
      </c>
      <c r="EZ38" s="52">
        <f t="shared" si="298"/>
        <v>23798.525751000005</v>
      </c>
      <c r="FA38" s="51">
        <f t="shared" si="299"/>
        <v>78673.166427655815</v>
      </c>
      <c r="FB38" s="48">
        <f t="shared" si="300"/>
        <v>23275.481229000005</v>
      </c>
      <c r="FC38" s="51">
        <f t="shared" si="301"/>
        <v>76944.085846828209</v>
      </c>
      <c r="FD38" s="52">
        <f t="shared" si="302"/>
        <v>22752.436707000004</v>
      </c>
      <c r="FE38" s="51">
        <f t="shared" si="303"/>
        <v>75215.005266000619</v>
      </c>
      <c r="FF38" s="53">
        <f t="shared" si="304"/>
        <v>22229.392185000001</v>
      </c>
      <c r="FG38" s="51">
        <f t="shared" si="305"/>
        <v>73485.924685172999</v>
      </c>
      <c r="FH38" s="52">
        <f t="shared" si="306"/>
        <v>21706.347663</v>
      </c>
      <c r="FI38" s="51">
        <f t="shared" si="307"/>
        <v>71756.844104345408</v>
      </c>
      <c r="FJ38" s="48">
        <f t="shared" si="308"/>
        <v>21183.303141</v>
      </c>
      <c r="FK38" s="51">
        <f t="shared" si="309"/>
        <v>70027.763523517802</v>
      </c>
      <c r="FL38" s="53">
        <f t="shared" si="310"/>
        <v>20660.258619</v>
      </c>
      <c r="FM38" s="51">
        <f t="shared" si="311"/>
        <v>68298.682942690197</v>
      </c>
      <c r="FN38" s="53">
        <f t="shared" si="312"/>
        <v>20137.214097</v>
      </c>
      <c r="FO38" s="51">
        <f t="shared" si="313"/>
        <v>66569.602361862606</v>
      </c>
      <c r="FP38" s="53">
        <f t="shared" si="314"/>
        <v>19614.169575</v>
      </c>
      <c r="FQ38" s="51">
        <f t="shared" si="315"/>
        <v>64840.521781035</v>
      </c>
      <c r="FR38" s="48">
        <f t="shared" si="316"/>
        <v>19091.125053</v>
      </c>
      <c r="FS38" s="51">
        <f t="shared" si="317"/>
        <v>63111.441200207402</v>
      </c>
      <c r="FT38" s="53">
        <f t="shared" si="318"/>
        <v>18568.080531</v>
      </c>
      <c r="FU38" s="51">
        <f t="shared" si="319"/>
        <v>61382.360619379797</v>
      </c>
      <c r="FV38" s="53">
        <f t="shared" si="320"/>
        <v>18045.036008999999</v>
      </c>
      <c r="FW38" s="51">
        <f t="shared" si="321"/>
        <v>59653.280038552199</v>
      </c>
      <c r="FX38" s="53">
        <f t="shared" si="322"/>
        <v>17521.991486999999</v>
      </c>
      <c r="FY38" s="51">
        <f t="shared" si="323"/>
        <v>57924.199457724601</v>
      </c>
      <c r="FZ38" s="53">
        <f t="shared" si="324"/>
        <v>16998.946964999996</v>
      </c>
      <c r="GA38" s="51">
        <f t="shared" si="325"/>
        <v>56195.118876896988</v>
      </c>
      <c r="GB38" s="48">
        <f t="shared" si="326"/>
        <v>16475.902442999995</v>
      </c>
      <c r="GC38" s="51">
        <f t="shared" si="327"/>
        <v>54466.038296069382</v>
      </c>
      <c r="GD38" s="53">
        <f t="shared" si="328"/>
        <v>15952.857920999995</v>
      </c>
      <c r="GE38" s="51">
        <f t="shared" si="329"/>
        <v>52736.957715241784</v>
      </c>
      <c r="GF38" s="53">
        <f t="shared" si="330"/>
        <v>15429.813398999995</v>
      </c>
      <c r="GG38" s="51">
        <f t="shared" si="331"/>
        <v>51007.877134414186</v>
      </c>
      <c r="GH38" s="48">
        <f t="shared" si="332"/>
        <v>14906.768876999995</v>
      </c>
      <c r="GI38" s="51">
        <f t="shared" si="333"/>
        <v>49278.796553586588</v>
      </c>
      <c r="GJ38" s="48"/>
      <c r="GK38" s="48"/>
      <c r="GL38" s="48">
        <v>1</v>
      </c>
      <c r="GM38" s="48">
        <v>0.97</v>
      </c>
      <c r="GN38" s="48">
        <v>0.95</v>
      </c>
      <c r="GO38" s="48">
        <v>0.93</v>
      </c>
      <c r="GP38" s="48">
        <f t="shared" ref="GP38:HG38" si="354">+GO38-0.02</f>
        <v>0.91</v>
      </c>
      <c r="GQ38" s="48">
        <f t="shared" si="354"/>
        <v>0.89</v>
      </c>
      <c r="GR38" s="48">
        <f t="shared" si="354"/>
        <v>0.87</v>
      </c>
      <c r="GS38" s="48">
        <f t="shared" si="354"/>
        <v>0.85</v>
      </c>
      <c r="GT38" s="48">
        <f t="shared" si="354"/>
        <v>0.83</v>
      </c>
      <c r="GU38" s="48">
        <f t="shared" si="354"/>
        <v>0.80999999999999994</v>
      </c>
      <c r="GV38" s="48">
        <f t="shared" si="354"/>
        <v>0.78999999999999992</v>
      </c>
      <c r="GW38" s="48">
        <f t="shared" si="354"/>
        <v>0.76999999999999991</v>
      </c>
      <c r="GX38" s="48">
        <f t="shared" si="354"/>
        <v>0.74999999999999989</v>
      </c>
      <c r="GY38" s="48">
        <f t="shared" si="354"/>
        <v>0.72999999999999987</v>
      </c>
      <c r="GZ38" s="48">
        <f t="shared" si="354"/>
        <v>0.70999999999999985</v>
      </c>
      <c r="HA38" s="48">
        <f t="shared" si="354"/>
        <v>0.68999999999999984</v>
      </c>
      <c r="HB38" s="48">
        <f t="shared" si="354"/>
        <v>0.66999999999999982</v>
      </c>
      <c r="HC38" s="48">
        <f t="shared" si="354"/>
        <v>0.6499999999999998</v>
      </c>
      <c r="HD38" s="48">
        <f t="shared" si="354"/>
        <v>0.62999999999999978</v>
      </c>
      <c r="HE38" s="48">
        <f t="shared" si="354"/>
        <v>0.60999999999999976</v>
      </c>
      <c r="HF38" s="48">
        <f t="shared" si="354"/>
        <v>0.58999999999999975</v>
      </c>
      <c r="HG38" s="48">
        <f t="shared" si="354"/>
        <v>0.56999999999999973</v>
      </c>
    </row>
    <row r="39" spans="1:250" x14ac:dyDescent="0.3">
      <c r="A39" s="2">
        <v>6</v>
      </c>
      <c r="C39" s="39" t="s">
        <v>11</v>
      </c>
      <c r="D39" s="44">
        <f>TRUNC(8342.50835148874,-1)</f>
        <v>8340</v>
      </c>
      <c r="E39" s="73">
        <f t="shared" si="203"/>
        <v>27570</v>
      </c>
      <c r="G39" s="48">
        <f t="shared" si="61"/>
        <v>9174</v>
      </c>
      <c r="H39" s="48">
        <f t="shared" si="62"/>
        <v>9174</v>
      </c>
      <c r="I39" s="51">
        <f t="shared" si="63"/>
        <v>30327.409200000002</v>
      </c>
      <c r="J39" s="48">
        <f t="shared" si="204"/>
        <v>8898.7800000000007</v>
      </c>
      <c r="K39" s="51">
        <f t="shared" si="205"/>
        <v>29417.586924000003</v>
      </c>
      <c r="L39" s="48">
        <f t="shared" si="206"/>
        <v>8715.2999999999993</v>
      </c>
      <c r="M39" s="51">
        <f t="shared" si="207"/>
        <v>28811.03874</v>
      </c>
      <c r="N39" s="48">
        <f t="shared" si="208"/>
        <v>8531.82</v>
      </c>
      <c r="O39" s="51">
        <f t="shared" si="209"/>
        <v>28204.490556000001</v>
      </c>
      <c r="P39" s="52">
        <f t="shared" si="210"/>
        <v>8348.34</v>
      </c>
      <c r="Q39" s="51">
        <f t="shared" si="211"/>
        <v>27597.942372000001</v>
      </c>
      <c r="R39" s="48">
        <f t="shared" si="212"/>
        <v>8164.86</v>
      </c>
      <c r="S39" s="51">
        <f t="shared" si="213"/>
        <v>26991.394187999998</v>
      </c>
      <c r="T39" s="52">
        <f t="shared" si="214"/>
        <v>7981.38</v>
      </c>
      <c r="U39" s="51">
        <f t="shared" si="215"/>
        <v>26384.846004000003</v>
      </c>
      <c r="V39" s="53">
        <f t="shared" si="216"/>
        <v>7797.9</v>
      </c>
      <c r="W39" s="51">
        <f t="shared" si="217"/>
        <v>25778.29782</v>
      </c>
      <c r="X39" s="52">
        <f t="shared" si="218"/>
        <v>7614.42</v>
      </c>
      <c r="Y39" s="51">
        <f t="shared" si="219"/>
        <v>25171.749636</v>
      </c>
      <c r="Z39" s="48">
        <f t="shared" si="220"/>
        <v>7430.94</v>
      </c>
      <c r="AA39" s="51">
        <f t="shared" si="221"/>
        <v>24565.201451999998</v>
      </c>
      <c r="AB39" s="53">
        <f t="shared" si="222"/>
        <v>7247.4599999999991</v>
      </c>
      <c r="AC39" s="51">
        <f t="shared" si="223"/>
        <v>23958.653267999998</v>
      </c>
      <c r="AD39" s="53">
        <f t="shared" si="224"/>
        <v>7063.98</v>
      </c>
      <c r="AE39" s="51">
        <f t="shared" si="225"/>
        <v>23352.105083999999</v>
      </c>
      <c r="AF39" s="53">
        <f t="shared" si="226"/>
        <v>6880.4999999999991</v>
      </c>
      <c r="AG39" s="51">
        <f t="shared" si="227"/>
        <v>22745.556899999996</v>
      </c>
      <c r="AH39" s="48">
        <f t="shared" si="228"/>
        <v>6697.0199999999986</v>
      </c>
      <c r="AI39" s="51">
        <f t="shared" si="229"/>
        <v>22139.008715999997</v>
      </c>
      <c r="AJ39" s="53">
        <f t="shared" si="230"/>
        <v>6513.5399999999991</v>
      </c>
      <c r="AK39" s="51">
        <f t="shared" si="231"/>
        <v>21532.460531999997</v>
      </c>
      <c r="AL39" s="53">
        <f t="shared" si="232"/>
        <v>6330.0599999999986</v>
      </c>
      <c r="AM39" s="51">
        <f t="shared" si="233"/>
        <v>20925.912347999994</v>
      </c>
      <c r="AN39" s="53">
        <f t="shared" si="234"/>
        <v>6146.5799999999981</v>
      </c>
      <c r="AO39" s="51">
        <f t="shared" si="235"/>
        <v>20319.364163999995</v>
      </c>
      <c r="AP39" s="53">
        <f t="shared" si="236"/>
        <v>5963.0999999999985</v>
      </c>
      <c r="AQ39" s="51">
        <f t="shared" si="237"/>
        <v>19712.815979999996</v>
      </c>
      <c r="AR39" s="48">
        <f t="shared" si="238"/>
        <v>5779.6199999999981</v>
      </c>
      <c r="AS39" s="51">
        <f t="shared" si="239"/>
        <v>19106.267795999993</v>
      </c>
      <c r="AT39" s="53">
        <f t="shared" si="240"/>
        <v>5596.1399999999976</v>
      </c>
      <c r="AU39" s="51">
        <f t="shared" si="241"/>
        <v>18499.719611999994</v>
      </c>
      <c r="AV39" s="53">
        <f t="shared" si="242"/>
        <v>5412.659999999998</v>
      </c>
      <c r="AW39" s="51">
        <f t="shared" si="243"/>
        <v>17893.171427999994</v>
      </c>
      <c r="AX39" s="48">
        <f t="shared" si="244"/>
        <v>5229.1799999999976</v>
      </c>
      <c r="AY39" s="51">
        <f t="shared" si="245"/>
        <v>17286.623243999991</v>
      </c>
      <c r="BB39" s="48">
        <v>1</v>
      </c>
      <c r="BC39" s="48">
        <v>0.97</v>
      </c>
      <c r="BD39" s="48">
        <v>0.95</v>
      </c>
      <c r="BE39" s="48">
        <v>0.93</v>
      </c>
      <c r="BF39" s="48">
        <f t="shared" ref="BF39:BW39" si="355">+BE39-0.02</f>
        <v>0.91</v>
      </c>
      <c r="BG39" s="48">
        <f t="shared" si="355"/>
        <v>0.89</v>
      </c>
      <c r="BH39" s="48">
        <f t="shared" si="355"/>
        <v>0.87</v>
      </c>
      <c r="BI39" s="48">
        <f t="shared" si="355"/>
        <v>0.85</v>
      </c>
      <c r="BJ39" s="48">
        <f t="shared" si="355"/>
        <v>0.83</v>
      </c>
      <c r="BK39" s="48">
        <f t="shared" si="355"/>
        <v>0.80999999999999994</v>
      </c>
      <c r="BL39" s="48">
        <f t="shared" si="355"/>
        <v>0.78999999999999992</v>
      </c>
      <c r="BM39" s="48">
        <f t="shared" si="355"/>
        <v>0.76999999999999991</v>
      </c>
      <c r="BN39" s="48">
        <f t="shared" si="355"/>
        <v>0.74999999999999989</v>
      </c>
      <c r="BO39" s="48">
        <f t="shared" si="355"/>
        <v>0.72999999999999987</v>
      </c>
      <c r="BP39" s="48">
        <f t="shared" si="355"/>
        <v>0.70999999999999985</v>
      </c>
      <c r="BQ39" s="48">
        <f t="shared" si="355"/>
        <v>0.68999999999999984</v>
      </c>
      <c r="BR39" s="48">
        <f t="shared" si="355"/>
        <v>0.66999999999999982</v>
      </c>
      <c r="BS39" s="48">
        <f t="shared" si="355"/>
        <v>0.6499999999999998</v>
      </c>
      <c r="BT39" s="48">
        <f t="shared" si="355"/>
        <v>0.62999999999999978</v>
      </c>
      <c r="BU39" s="48">
        <f t="shared" si="355"/>
        <v>0.60999999999999976</v>
      </c>
      <c r="BV39" s="48">
        <f t="shared" si="355"/>
        <v>0.58999999999999975</v>
      </c>
      <c r="BW39" s="48">
        <f t="shared" si="355"/>
        <v>0.56999999999999973</v>
      </c>
      <c r="BY39" s="48">
        <f t="shared" si="88"/>
        <v>8348.34</v>
      </c>
      <c r="BZ39" s="48">
        <f t="shared" si="89"/>
        <v>8348.34</v>
      </c>
      <c r="CA39" s="51">
        <f t="shared" ref="CA39" si="356">+BZ39*3.3058</f>
        <v>27597.942372000001</v>
      </c>
      <c r="CB39" s="48">
        <f t="shared" si="248"/>
        <v>8097.8897999999999</v>
      </c>
      <c r="CC39" s="51">
        <f t="shared" si="249"/>
        <v>26770.00410084</v>
      </c>
      <c r="CD39" s="48">
        <f t="shared" si="250"/>
        <v>7930.9229999999998</v>
      </c>
      <c r="CE39" s="51">
        <f t="shared" si="251"/>
        <v>26218.0452534</v>
      </c>
      <c r="CF39" s="48">
        <f t="shared" si="252"/>
        <v>7763.9562000000005</v>
      </c>
      <c r="CG39" s="51">
        <f t="shared" si="253"/>
        <v>25666.086405960003</v>
      </c>
      <c r="CH39" s="52">
        <f t="shared" si="254"/>
        <v>7596.9894000000004</v>
      </c>
      <c r="CI39" s="51">
        <f t="shared" si="255"/>
        <v>25114.127558520002</v>
      </c>
      <c r="CJ39" s="48">
        <f t="shared" si="256"/>
        <v>7430.0226000000002</v>
      </c>
      <c r="CK39" s="51">
        <f t="shared" si="257"/>
        <v>24562.168711080001</v>
      </c>
      <c r="CL39" s="52">
        <f t="shared" si="258"/>
        <v>7263.0558000000001</v>
      </c>
      <c r="CM39" s="51">
        <f t="shared" si="259"/>
        <v>24010.209863640001</v>
      </c>
      <c r="CN39" s="53">
        <f t="shared" si="260"/>
        <v>7096.0889999999999</v>
      </c>
      <c r="CO39" s="51">
        <f t="shared" si="261"/>
        <v>23458.2510162</v>
      </c>
      <c r="CP39" s="52">
        <f t="shared" si="262"/>
        <v>6929.1221999999998</v>
      </c>
      <c r="CQ39" s="51">
        <f t="shared" si="263"/>
        <v>22906.292168759999</v>
      </c>
      <c r="CR39" s="48">
        <f t="shared" si="264"/>
        <v>6762.1553999999996</v>
      </c>
      <c r="CS39" s="51">
        <f t="shared" si="265"/>
        <v>22354.333321319999</v>
      </c>
      <c r="CT39" s="53">
        <f t="shared" si="266"/>
        <v>6595.1885999999995</v>
      </c>
      <c r="CU39" s="51">
        <f t="shared" si="267"/>
        <v>21802.374473879998</v>
      </c>
      <c r="CV39" s="53">
        <f t="shared" si="268"/>
        <v>6428.2217999999993</v>
      </c>
      <c r="CW39" s="51">
        <f t="shared" si="269"/>
        <v>21250.415626439997</v>
      </c>
      <c r="CX39" s="53">
        <f t="shared" si="270"/>
        <v>6261.2549999999992</v>
      </c>
      <c r="CY39" s="51">
        <f t="shared" si="271"/>
        <v>20698.456778999996</v>
      </c>
      <c r="CZ39" s="48">
        <f t="shared" si="272"/>
        <v>6094.2881999999991</v>
      </c>
      <c r="DA39" s="51">
        <f t="shared" si="273"/>
        <v>20146.497931559996</v>
      </c>
      <c r="DB39" s="53">
        <f t="shared" si="274"/>
        <v>5927.3213999999989</v>
      </c>
      <c r="DC39" s="51">
        <f t="shared" si="275"/>
        <v>19594.539084119995</v>
      </c>
      <c r="DD39" s="53">
        <f t="shared" si="276"/>
        <v>5760.3545999999988</v>
      </c>
      <c r="DE39" s="51">
        <f t="shared" si="277"/>
        <v>19042.580236679998</v>
      </c>
      <c r="DF39" s="53">
        <f t="shared" si="278"/>
        <v>5593.3877999999986</v>
      </c>
      <c r="DG39" s="51">
        <f t="shared" si="279"/>
        <v>18490.621389239997</v>
      </c>
      <c r="DH39" s="53">
        <f t="shared" si="280"/>
        <v>5426.4209999999985</v>
      </c>
      <c r="DI39" s="51">
        <f t="shared" si="281"/>
        <v>17938.662541799997</v>
      </c>
      <c r="DJ39" s="48">
        <f t="shared" si="282"/>
        <v>5259.4541999999983</v>
      </c>
      <c r="DK39" s="51">
        <f t="shared" si="283"/>
        <v>17386.703694359996</v>
      </c>
      <c r="DL39" s="53">
        <f t="shared" si="284"/>
        <v>5092.4873999999982</v>
      </c>
      <c r="DM39" s="51">
        <f t="shared" si="285"/>
        <v>16834.744846919995</v>
      </c>
      <c r="DN39" s="53">
        <f t="shared" si="286"/>
        <v>4925.520599999998</v>
      </c>
      <c r="DO39" s="51">
        <f t="shared" si="287"/>
        <v>16282.785999479995</v>
      </c>
      <c r="DP39" s="48">
        <f t="shared" si="288"/>
        <v>4758.5537999999979</v>
      </c>
      <c r="DQ39" s="51">
        <f t="shared" si="289"/>
        <v>15730.827152039994</v>
      </c>
      <c r="DT39" s="48">
        <v>1</v>
      </c>
      <c r="DU39" s="48">
        <v>0.97</v>
      </c>
      <c r="DV39" s="48">
        <v>0.95</v>
      </c>
      <c r="DW39" s="48">
        <v>0.93</v>
      </c>
      <c r="DX39" s="48">
        <f t="shared" ref="DX39:EO39" si="357">+DW39-0.02</f>
        <v>0.91</v>
      </c>
      <c r="DY39" s="48">
        <f t="shared" si="357"/>
        <v>0.89</v>
      </c>
      <c r="DZ39" s="48">
        <f t="shared" si="357"/>
        <v>0.87</v>
      </c>
      <c r="EA39" s="48">
        <f t="shared" si="357"/>
        <v>0.85</v>
      </c>
      <c r="EB39" s="48">
        <f t="shared" si="357"/>
        <v>0.83</v>
      </c>
      <c r="EC39" s="48">
        <f t="shared" si="357"/>
        <v>0.80999999999999994</v>
      </c>
      <c r="ED39" s="48">
        <f t="shared" si="357"/>
        <v>0.78999999999999992</v>
      </c>
      <c r="EE39" s="48">
        <f t="shared" si="357"/>
        <v>0.76999999999999991</v>
      </c>
      <c r="EF39" s="48">
        <f t="shared" si="357"/>
        <v>0.74999999999999989</v>
      </c>
      <c r="EG39" s="48">
        <f t="shared" si="357"/>
        <v>0.72999999999999987</v>
      </c>
      <c r="EH39" s="48">
        <f t="shared" si="357"/>
        <v>0.70999999999999985</v>
      </c>
      <c r="EI39" s="48">
        <f t="shared" si="357"/>
        <v>0.68999999999999984</v>
      </c>
      <c r="EJ39" s="48">
        <f t="shared" si="357"/>
        <v>0.66999999999999982</v>
      </c>
      <c r="EK39" s="48">
        <f t="shared" si="357"/>
        <v>0.6499999999999998</v>
      </c>
      <c r="EL39" s="48">
        <f t="shared" si="357"/>
        <v>0.62999999999999978</v>
      </c>
      <c r="EM39" s="48">
        <f t="shared" si="357"/>
        <v>0.60999999999999976</v>
      </c>
      <c r="EN39" s="48">
        <f t="shared" si="357"/>
        <v>0.58999999999999975</v>
      </c>
      <c r="EO39" s="48">
        <f t="shared" si="357"/>
        <v>0.56999999999999973</v>
      </c>
      <c r="EQ39" s="48">
        <f t="shared" si="188"/>
        <v>7596.9894000000004</v>
      </c>
      <c r="ER39" s="48">
        <f t="shared" si="116"/>
        <v>7596.9894000000004</v>
      </c>
      <c r="ES39" s="51">
        <f t="shared" ref="ES39" si="358">+ER39*3.3058</f>
        <v>25114.127558520002</v>
      </c>
      <c r="ET39" s="48">
        <f t="shared" si="292"/>
        <v>7369.079718</v>
      </c>
      <c r="EU39" s="51">
        <f t="shared" si="293"/>
        <v>24360.703731764399</v>
      </c>
      <c r="EV39" s="48">
        <f t="shared" si="294"/>
        <v>7217.1399300000003</v>
      </c>
      <c r="EW39" s="51">
        <f t="shared" si="295"/>
        <v>23858.421180594003</v>
      </c>
      <c r="EX39" s="48">
        <f t="shared" si="296"/>
        <v>7065.2001420000006</v>
      </c>
      <c r="EY39" s="51">
        <f t="shared" si="297"/>
        <v>23356.138629423604</v>
      </c>
      <c r="EZ39" s="52">
        <f t="shared" si="298"/>
        <v>6913.2603540000009</v>
      </c>
      <c r="FA39" s="51">
        <f t="shared" si="299"/>
        <v>22853.856078253204</v>
      </c>
      <c r="FB39" s="48">
        <f t="shared" si="300"/>
        <v>6761.3205660000003</v>
      </c>
      <c r="FC39" s="51">
        <f t="shared" si="301"/>
        <v>22351.573527082801</v>
      </c>
      <c r="FD39" s="52">
        <f t="shared" si="302"/>
        <v>6609.3807780000006</v>
      </c>
      <c r="FE39" s="51">
        <f t="shared" si="303"/>
        <v>21849.290975912401</v>
      </c>
      <c r="FF39" s="53">
        <f t="shared" si="304"/>
        <v>6457.4409900000001</v>
      </c>
      <c r="FG39" s="51">
        <f t="shared" si="305"/>
        <v>21347.008424742002</v>
      </c>
      <c r="FH39" s="52">
        <f t="shared" si="306"/>
        <v>6305.5012020000004</v>
      </c>
      <c r="FI39" s="51">
        <f t="shared" si="307"/>
        <v>20844.725873571602</v>
      </c>
      <c r="FJ39" s="48">
        <f t="shared" si="308"/>
        <v>6153.5614139999998</v>
      </c>
      <c r="FK39" s="51">
        <f t="shared" si="309"/>
        <v>20342.443322401199</v>
      </c>
      <c r="FL39" s="53">
        <f t="shared" si="310"/>
        <v>6001.6216260000001</v>
      </c>
      <c r="FM39" s="51">
        <f t="shared" si="311"/>
        <v>19840.1607712308</v>
      </c>
      <c r="FN39" s="53">
        <f t="shared" si="312"/>
        <v>5849.6818379999995</v>
      </c>
      <c r="FO39" s="51">
        <f t="shared" si="313"/>
        <v>19337.8782200604</v>
      </c>
      <c r="FP39" s="53">
        <f t="shared" si="314"/>
        <v>5697.7420499999998</v>
      </c>
      <c r="FQ39" s="51">
        <f t="shared" si="315"/>
        <v>18835.595668890001</v>
      </c>
      <c r="FR39" s="48">
        <f t="shared" si="316"/>
        <v>5545.8022619999992</v>
      </c>
      <c r="FS39" s="51">
        <f t="shared" si="317"/>
        <v>18333.313117719597</v>
      </c>
      <c r="FT39" s="53">
        <f t="shared" si="318"/>
        <v>5393.8624739999996</v>
      </c>
      <c r="FU39" s="51">
        <f t="shared" si="319"/>
        <v>17831.030566549198</v>
      </c>
      <c r="FV39" s="53">
        <f t="shared" si="320"/>
        <v>5241.922685999999</v>
      </c>
      <c r="FW39" s="51">
        <f t="shared" si="321"/>
        <v>17328.748015378798</v>
      </c>
      <c r="FX39" s="53">
        <f t="shared" si="322"/>
        <v>5089.9828979999993</v>
      </c>
      <c r="FY39" s="51">
        <f t="shared" si="323"/>
        <v>16826.465464208399</v>
      </c>
      <c r="FZ39" s="53">
        <f t="shared" si="324"/>
        <v>4938.0431099999987</v>
      </c>
      <c r="GA39" s="51">
        <f t="shared" si="325"/>
        <v>16324.182913037996</v>
      </c>
      <c r="GB39" s="48">
        <f t="shared" si="326"/>
        <v>4786.103321999999</v>
      </c>
      <c r="GC39" s="51">
        <f t="shared" si="327"/>
        <v>15821.900361867598</v>
      </c>
      <c r="GD39" s="53">
        <f t="shared" si="328"/>
        <v>4634.1635339999984</v>
      </c>
      <c r="GE39" s="51">
        <f t="shared" si="329"/>
        <v>15319.617810697195</v>
      </c>
      <c r="GF39" s="53">
        <f t="shared" si="330"/>
        <v>4482.2237459999988</v>
      </c>
      <c r="GG39" s="51">
        <f t="shared" si="331"/>
        <v>14817.335259526797</v>
      </c>
      <c r="GH39" s="48">
        <f t="shared" si="332"/>
        <v>4330.2839579999982</v>
      </c>
      <c r="GI39" s="51">
        <f t="shared" si="333"/>
        <v>14315.052708356394</v>
      </c>
      <c r="GJ39" s="48"/>
      <c r="GK39" s="48"/>
      <c r="GL39" s="48">
        <v>1</v>
      </c>
      <c r="GM39" s="48">
        <v>0.97</v>
      </c>
      <c r="GN39" s="48">
        <v>0.95</v>
      </c>
      <c r="GO39" s="48">
        <v>0.93</v>
      </c>
      <c r="GP39" s="48">
        <f t="shared" ref="GP39:HG39" si="359">+GO39-0.02</f>
        <v>0.91</v>
      </c>
      <c r="GQ39" s="48">
        <f t="shared" si="359"/>
        <v>0.89</v>
      </c>
      <c r="GR39" s="48">
        <f t="shared" si="359"/>
        <v>0.87</v>
      </c>
      <c r="GS39" s="48">
        <f t="shared" si="359"/>
        <v>0.85</v>
      </c>
      <c r="GT39" s="48">
        <f t="shared" si="359"/>
        <v>0.83</v>
      </c>
      <c r="GU39" s="48">
        <f t="shared" si="359"/>
        <v>0.80999999999999994</v>
      </c>
      <c r="GV39" s="48">
        <f t="shared" si="359"/>
        <v>0.78999999999999992</v>
      </c>
      <c r="GW39" s="48">
        <f t="shared" si="359"/>
        <v>0.76999999999999991</v>
      </c>
      <c r="GX39" s="48">
        <f t="shared" si="359"/>
        <v>0.74999999999999989</v>
      </c>
      <c r="GY39" s="48">
        <f t="shared" si="359"/>
        <v>0.72999999999999987</v>
      </c>
      <c r="GZ39" s="48">
        <f t="shared" si="359"/>
        <v>0.70999999999999985</v>
      </c>
      <c r="HA39" s="48">
        <f t="shared" si="359"/>
        <v>0.68999999999999984</v>
      </c>
      <c r="HB39" s="48">
        <f t="shared" si="359"/>
        <v>0.66999999999999982</v>
      </c>
      <c r="HC39" s="48">
        <f t="shared" si="359"/>
        <v>0.6499999999999998</v>
      </c>
      <c r="HD39" s="48">
        <f t="shared" si="359"/>
        <v>0.62999999999999978</v>
      </c>
      <c r="HE39" s="48">
        <f t="shared" si="359"/>
        <v>0.60999999999999976</v>
      </c>
      <c r="HF39" s="48">
        <f t="shared" si="359"/>
        <v>0.58999999999999975</v>
      </c>
      <c r="HG39" s="48">
        <f t="shared" si="359"/>
        <v>0.56999999999999973</v>
      </c>
    </row>
    <row r="40" spans="1:250" x14ac:dyDescent="0.3">
      <c r="A40" s="2">
        <v>7</v>
      </c>
      <c r="C40" s="39" t="s">
        <v>12</v>
      </c>
      <c r="D40" s="44">
        <f>TRUNC(50542.2322076979,-1)</f>
        <v>50540</v>
      </c>
      <c r="E40" s="73">
        <f t="shared" si="203"/>
        <v>167070</v>
      </c>
      <c r="G40" s="48">
        <f t="shared" si="61"/>
        <v>55594.000000000007</v>
      </c>
      <c r="H40" s="48">
        <f t="shared" si="62"/>
        <v>55594.000000000007</v>
      </c>
      <c r="I40" s="51">
        <f t="shared" si="63"/>
        <v>183782.64520000003</v>
      </c>
      <c r="J40" s="48">
        <f t="shared" si="204"/>
        <v>53926.180000000008</v>
      </c>
      <c r="K40" s="51">
        <f t="shared" si="205"/>
        <v>178269.16584400003</v>
      </c>
      <c r="L40" s="48">
        <f t="shared" si="206"/>
        <v>52814.3</v>
      </c>
      <c r="M40" s="51">
        <f t="shared" si="207"/>
        <v>174593.51294000002</v>
      </c>
      <c r="N40" s="48">
        <f t="shared" si="208"/>
        <v>51702.420000000013</v>
      </c>
      <c r="O40" s="51">
        <f t="shared" si="209"/>
        <v>170917.86003600006</v>
      </c>
      <c r="P40" s="52">
        <f t="shared" si="210"/>
        <v>50590.540000000008</v>
      </c>
      <c r="Q40" s="51">
        <f t="shared" si="211"/>
        <v>167242.20713200004</v>
      </c>
      <c r="R40" s="48">
        <f t="shared" si="212"/>
        <v>49478.660000000011</v>
      </c>
      <c r="S40" s="51">
        <f t="shared" si="213"/>
        <v>163566.55422800005</v>
      </c>
      <c r="T40" s="52">
        <f t="shared" si="214"/>
        <v>48366.780000000006</v>
      </c>
      <c r="U40" s="51">
        <f t="shared" si="215"/>
        <v>159890.90132400003</v>
      </c>
      <c r="V40" s="53">
        <f t="shared" si="216"/>
        <v>47254.9</v>
      </c>
      <c r="W40" s="51">
        <f t="shared" si="217"/>
        <v>156215.24842000002</v>
      </c>
      <c r="X40" s="52">
        <f t="shared" si="218"/>
        <v>46143.020000000004</v>
      </c>
      <c r="Y40" s="51">
        <f t="shared" si="219"/>
        <v>152539.59551600003</v>
      </c>
      <c r="Z40" s="48">
        <f t="shared" si="220"/>
        <v>45031.14</v>
      </c>
      <c r="AA40" s="51">
        <f t="shared" si="221"/>
        <v>148863.94261200001</v>
      </c>
      <c r="AB40" s="53">
        <f t="shared" si="222"/>
        <v>43919.26</v>
      </c>
      <c r="AC40" s="51">
        <f t="shared" si="223"/>
        <v>145188.289708</v>
      </c>
      <c r="AD40" s="53">
        <f t="shared" si="224"/>
        <v>42807.38</v>
      </c>
      <c r="AE40" s="51">
        <f t="shared" si="225"/>
        <v>141512.63680400001</v>
      </c>
      <c r="AF40" s="53">
        <f t="shared" si="226"/>
        <v>41695.5</v>
      </c>
      <c r="AG40" s="51">
        <f t="shared" si="227"/>
        <v>137836.98389999999</v>
      </c>
      <c r="AH40" s="48">
        <f t="shared" si="228"/>
        <v>40583.619999999995</v>
      </c>
      <c r="AI40" s="51">
        <f t="shared" si="229"/>
        <v>134161.33099599998</v>
      </c>
      <c r="AJ40" s="53">
        <f t="shared" si="230"/>
        <v>39471.74</v>
      </c>
      <c r="AK40" s="51">
        <f t="shared" si="231"/>
        <v>130485.678092</v>
      </c>
      <c r="AL40" s="53">
        <f t="shared" si="232"/>
        <v>38359.859999999993</v>
      </c>
      <c r="AM40" s="51">
        <f t="shared" si="233"/>
        <v>126810.02518799999</v>
      </c>
      <c r="AN40" s="53">
        <f t="shared" si="234"/>
        <v>37247.979999999996</v>
      </c>
      <c r="AO40" s="51">
        <f t="shared" si="235"/>
        <v>123134.37228399998</v>
      </c>
      <c r="AP40" s="53">
        <f t="shared" si="236"/>
        <v>36136.099999999991</v>
      </c>
      <c r="AQ40" s="51">
        <f t="shared" si="237"/>
        <v>119458.71937999998</v>
      </c>
      <c r="AR40" s="48">
        <f t="shared" si="238"/>
        <v>35024.219999999994</v>
      </c>
      <c r="AS40" s="51">
        <f t="shared" si="239"/>
        <v>115783.06647599998</v>
      </c>
      <c r="AT40" s="53">
        <f t="shared" si="240"/>
        <v>33912.339999999989</v>
      </c>
      <c r="AU40" s="51">
        <f t="shared" si="241"/>
        <v>112107.41357199996</v>
      </c>
      <c r="AV40" s="53">
        <f t="shared" si="242"/>
        <v>32800.459999999992</v>
      </c>
      <c r="AW40" s="51">
        <f t="shared" si="243"/>
        <v>108431.76066799997</v>
      </c>
      <c r="AX40" s="48">
        <f t="shared" si="244"/>
        <v>31688.579999999991</v>
      </c>
      <c r="AY40" s="51">
        <f t="shared" si="245"/>
        <v>104756.10776399997</v>
      </c>
      <c r="BB40" s="48">
        <v>1</v>
      </c>
      <c r="BC40" s="48">
        <v>0.97</v>
      </c>
      <c r="BD40" s="48">
        <v>0.95</v>
      </c>
      <c r="BE40" s="48">
        <v>0.93</v>
      </c>
      <c r="BF40" s="48">
        <f t="shared" ref="BF40:BW40" si="360">+BE40-0.02</f>
        <v>0.91</v>
      </c>
      <c r="BG40" s="48">
        <f t="shared" si="360"/>
        <v>0.89</v>
      </c>
      <c r="BH40" s="48">
        <f t="shared" si="360"/>
        <v>0.87</v>
      </c>
      <c r="BI40" s="48">
        <f t="shared" si="360"/>
        <v>0.85</v>
      </c>
      <c r="BJ40" s="48">
        <f t="shared" si="360"/>
        <v>0.83</v>
      </c>
      <c r="BK40" s="48">
        <f t="shared" si="360"/>
        <v>0.80999999999999994</v>
      </c>
      <c r="BL40" s="48">
        <f t="shared" si="360"/>
        <v>0.78999999999999992</v>
      </c>
      <c r="BM40" s="48">
        <f t="shared" si="360"/>
        <v>0.76999999999999991</v>
      </c>
      <c r="BN40" s="48">
        <f t="shared" si="360"/>
        <v>0.74999999999999989</v>
      </c>
      <c r="BO40" s="48">
        <f t="shared" si="360"/>
        <v>0.72999999999999987</v>
      </c>
      <c r="BP40" s="48">
        <f t="shared" si="360"/>
        <v>0.70999999999999985</v>
      </c>
      <c r="BQ40" s="48">
        <f t="shared" si="360"/>
        <v>0.68999999999999984</v>
      </c>
      <c r="BR40" s="48">
        <f t="shared" si="360"/>
        <v>0.66999999999999982</v>
      </c>
      <c r="BS40" s="48">
        <f t="shared" si="360"/>
        <v>0.6499999999999998</v>
      </c>
      <c r="BT40" s="48">
        <f t="shared" si="360"/>
        <v>0.62999999999999978</v>
      </c>
      <c r="BU40" s="48">
        <f t="shared" si="360"/>
        <v>0.60999999999999976</v>
      </c>
      <c r="BV40" s="48">
        <f t="shared" si="360"/>
        <v>0.58999999999999975</v>
      </c>
      <c r="BW40" s="48">
        <f t="shared" si="360"/>
        <v>0.56999999999999973</v>
      </c>
      <c r="BY40" s="48">
        <f t="shared" si="88"/>
        <v>50590.540000000008</v>
      </c>
      <c r="BZ40" s="48">
        <f t="shared" si="89"/>
        <v>50590.540000000008</v>
      </c>
      <c r="CA40" s="51">
        <f t="shared" ref="CA40" si="361">+BZ40*3.3058</f>
        <v>167242.20713200004</v>
      </c>
      <c r="CB40" s="48">
        <f t="shared" si="248"/>
        <v>49072.823800000006</v>
      </c>
      <c r="CC40" s="51">
        <f t="shared" si="249"/>
        <v>162224.94091804003</v>
      </c>
      <c r="CD40" s="48">
        <f t="shared" si="250"/>
        <v>48061.013000000006</v>
      </c>
      <c r="CE40" s="51">
        <f t="shared" si="251"/>
        <v>158880.09677540002</v>
      </c>
      <c r="CF40" s="48">
        <f t="shared" si="252"/>
        <v>47049.202200000007</v>
      </c>
      <c r="CG40" s="51">
        <f t="shared" si="253"/>
        <v>155535.25263276004</v>
      </c>
      <c r="CH40" s="52">
        <f t="shared" si="254"/>
        <v>46037.391400000008</v>
      </c>
      <c r="CI40" s="51">
        <f t="shared" si="255"/>
        <v>152190.40849012003</v>
      </c>
      <c r="CJ40" s="48">
        <f t="shared" si="256"/>
        <v>45025.580600000008</v>
      </c>
      <c r="CK40" s="51">
        <f t="shared" si="257"/>
        <v>148845.56434748005</v>
      </c>
      <c r="CL40" s="52">
        <f t="shared" si="258"/>
        <v>44013.769800000009</v>
      </c>
      <c r="CM40" s="51">
        <f t="shared" si="259"/>
        <v>145500.72020484004</v>
      </c>
      <c r="CN40" s="53">
        <f t="shared" si="260"/>
        <v>43001.959000000003</v>
      </c>
      <c r="CO40" s="51">
        <f t="shared" si="261"/>
        <v>142155.8760622</v>
      </c>
      <c r="CP40" s="52">
        <f t="shared" si="262"/>
        <v>41990.148200000003</v>
      </c>
      <c r="CQ40" s="51">
        <f t="shared" si="263"/>
        <v>138811.03191956002</v>
      </c>
      <c r="CR40" s="48">
        <f t="shared" si="264"/>
        <v>40978.337400000004</v>
      </c>
      <c r="CS40" s="51">
        <f t="shared" si="265"/>
        <v>135466.18777692001</v>
      </c>
      <c r="CT40" s="53">
        <f t="shared" si="266"/>
        <v>39966.526600000005</v>
      </c>
      <c r="CU40" s="51">
        <f t="shared" si="267"/>
        <v>132121.34363428003</v>
      </c>
      <c r="CV40" s="53">
        <f t="shared" si="268"/>
        <v>38954.715799999998</v>
      </c>
      <c r="CW40" s="51">
        <f t="shared" si="269"/>
        <v>128776.49949164</v>
      </c>
      <c r="CX40" s="53">
        <f t="shared" si="270"/>
        <v>37942.904999999999</v>
      </c>
      <c r="CY40" s="51">
        <f t="shared" si="271"/>
        <v>125431.65534899999</v>
      </c>
      <c r="CZ40" s="48">
        <f t="shared" si="272"/>
        <v>36931.0942</v>
      </c>
      <c r="DA40" s="51">
        <f t="shared" si="273"/>
        <v>122086.81120636</v>
      </c>
      <c r="DB40" s="53">
        <f t="shared" si="274"/>
        <v>35919.2834</v>
      </c>
      <c r="DC40" s="51">
        <f t="shared" si="275"/>
        <v>118741.96706372</v>
      </c>
      <c r="DD40" s="53">
        <f t="shared" si="276"/>
        <v>34907.472599999994</v>
      </c>
      <c r="DE40" s="51">
        <f t="shared" si="277"/>
        <v>115397.12292107998</v>
      </c>
      <c r="DF40" s="53">
        <f t="shared" si="278"/>
        <v>33895.661799999994</v>
      </c>
      <c r="DG40" s="51">
        <f t="shared" si="279"/>
        <v>112052.27877843998</v>
      </c>
      <c r="DH40" s="53">
        <f t="shared" si="280"/>
        <v>32883.850999999995</v>
      </c>
      <c r="DI40" s="51">
        <f t="shared" si="281"/>
        <v>108707.43463579999</v>
      </c>
      <c r="DJ40" s="48">
        <f t="shared" si="282"/>
        <v>31872.040199999996</v>
      </c>
      <c r="DK40" s="51">
        <f t="shared" si="283"/>
        <v>105362.59049315999</v>
      </c>
      <c r="DL40" s="53">
        <f t="shared" si="284"/>
        <v>30860.229399999993</v>
      </c>
      <c r="DM40" s="51">
        <f t="shared" si="285"/>
        <v>102017.74635051998</v>
      </c>
      <c r="DN40" s="53">
        <f t="shared" si="286"/>
        <v>29848.418599999994</v>
      </c>
      <c r="DO40" s="51">
        <f t="shared" si="287"/>
        <v>98672.902207879975</v>
      </c>
      <c r="DP40" s="48">
        <f t="shared" si="288"/>
        <v>28836.607799999991</v>
      </c>
      <c r="DQ40" s="51">
        <f t="shared" si="289"/>
        <v>95328.058065239966</v>
      </c>
      <c r="DT40" s="48">
        <v>1</v>
      </c>
      <c r="DU40" s="48">
        <v>0.97</v>
      </c>
      <c r="DV40" s="48">
        <v>0.95</v>
      </c>
      <c r="DW40" s="48">
        <v>0.93</v>
      </c>
      <c r="DX40" s="48">
        <f t="shared" ref="DX40:EO40" si="362">+DW40-0.02</f>
        <v>0.91</v>
      </c>
      <c r="DY40" s="48">
        <f t="shared" si="362"/>
        <v>0.89</v>
      </c>
      <c r="DZ40" s="48">
        <f t="shared" si="362"/>
        <v>0.87</v>
      </c>
      <c r="EA40" s="48">
        <f t="shared" si="362"/>
        <v>0.85</v>
      </c>
      <c r="EB40" s="48">
        <f t="shared" si="362"/>
        <v>0.83</v>
      </c>
      <c r="EC40" s="48">
        <f t="shared" si="362"/>
        <v>0.80999999999999994</v>
      </c>
      <c r="ED40" s="48">
        <f t="shared" si="362"/>
        <v>0.78999999999999992</v>
      </c>
      <c r="EE40" s="48">
        <f t="shared" si="362"/>
        <v>0.76999999999999991</v>
      </c>
      <c r="EF40" s="48">
        <f t="shared" si="362"/>
        <v>0.74999999999999989</v>
      </c>
      <c r="EG40" s="48">
        <f t="shared" si="362"/>
        <v>0.72999999999999987</v>
      </c>
      <c r="EH40" s="48">
        <f t="shared" si="362"/>
        <v>0.70999999999999985</v>
      </c>
      <c r="EI40" s="48">
        <f t="shared" si="362"/>
        <v>0.68999999999999984</v>
      </c>
      <c r="EJ40" s="48">
        <f t="shared" si="362"/>
        <v>0.66999999999999982</v>
      </c>
      <c r="EK40" s="48">
        <f t="shared" si="362"/>
        <v>0.6499999999999998</v>
      </c>
      <c r="EL40" s="48">
        <f t="shared" si="362"/>
        <v>0.62999999999999978</v>
      </c>
      <c r="EM40" s="48">
        <f t="shared" si="362"/>
        <v>0.60999999999999976</v>
      </c>
      <c r="EN40" s="48">
        <f t="shared" si="362"/>
        <v>0.58999999999999975</v>
      </c>
      <c r="EO40" s="48">
        <f t="shared" si="362"/>
        <v>0.56999999999999973</v>
      </c>
      <c r="EQ40" s="48">
        <f t="shared" si="188"/>
        <v>46037.391400000008</v>
      </c>
      <c r="ER40" s="48">
        <f t="shared" si="116"/>
        <v>46037.391400000008</v>
      </c>
      <c r="ES40" s="51">
        <f t="shared" ref="ES40" si="363">+ER40*3.3058</f>
        <v>152190.40849012003</v>
      </c>
      <c r="ET40" s="48">
        <f t="shared" si="292"/>
        <v>44656.269658000005</v>
      </c>
      <c r="EU40" s="51">
        <f t="shared" si="293"/>
        <v>147624.69623541643</v>
      </c>
      <c r="EV40" s="48">
        <f t="shared" si="294"/>
        <v>43735.521830000005</v>
      </c>
      <c r="EW40" s="51">
        <f t="shared" si="295"/>
        <v>144580.88806561401</v>
      </c>
      <c r="EX40" s="48">
        <f t="shared" si="296"/>
        <v>42814.774002000013</v>
      </c>
      <c r="EY40" s="51">
        <f t="shared" si="297"/>
        <v>141537.07989581165</v>
      </c>
      <c r="EZ40" s="52">
        <f t="shared" si="298"/>
        <v>41894.026174000006</v>
      </c>
      <c r="FA40" s="51">
        <f t="shared" si="299"/>
        <v>138493.27172600923</v>
      </c>
      <c r="FB40" s="48">
        <f t="shared" si="300"/>
        <v>40973.278346000006</v>
      </c>
      <c r="FC40" s="51">
        <f t="shared" si="301"/>
        <v>135449.46355620681</v>
      </c>
      <c r="FD40" s="52">
        <f t="shared" si="302"/>
        <v>40052.530518000007</v>
      </c>
      <c r="FE40" s="51">
        <f t="shared" si="303"/>
        <v>132405.65538640443</v>
      </c>
      <c r="FF40" s="53">
        <f t="shared" si="304"/>
        <v>39131.782690000007</v>
      </c>
      <c r="FG40" s="51">
        <f t="shared" si="305"/>
        <v>129361.84721660202</v>
      </c>
      <c r="FH40" s="52">
        <f t="shared" si="306"/>
        <v>38211.034862000008</v>
      </c>
      <c r="FI40" s="51">
        <f t="shared" si="307"/>
        <v>126318.03904679963</v>
      </c>
      <c r="FJ40" s="48">
        <f t="shared" si="308"/>
        <v>37290.287034000001</v>
      </c>
      <c r="FK40" s="51">
        <f t="shared" si="309"/>
        <v>123274.2308769972</v>
      </c>
      <c r="FL40" s="53">
        <f t="shared" si="310"/>
        <v>36369.539206000001</v>
      </c>
      <c r="FM40" s="51">
        <f t="shared" si="311"/>
        <v>120230.42270719481</v>
      </c>
      <c r="FN40" s="53">
        <f t="shared" si="312"/>
        <v>35448.791378000002</v>
      </c>
      <c r="FO40" s="51">
        <f t="shared" si="313"/>
        <v>117186.61453739241</v>
      </c>
      <c r="FP40" s="53">
        <f t="shared" si="314"/>
        <v>34528.043550000002</v>
      </c>
      <c r="FQ40" s="51">
        <f t="shared" si="315"/>
        <v>114142.80636759</v>
      </c>
      <c r="FR40" s="48">
        <f t="shared" si="316"/>
        <v>33607.295722000003</v>
      </c>
      <c r="FS40" s="51">
        <f t="shared" si="317"/>
        <v>111098.99819778762</v>
      </c>
      <c r="FT40" s="53">
        <f t="shared" si="318"/>
        <v>32686.547893999999</v>
      </c>
      <c r="FU40" s="51">
        <f t="shared" si="319"/>
        <v>108055.1900279852</v>
      </c>
      <c r="FV40" s="53">
        <f t="shared" si="320"/>
        <v>31765.800065999996</v>
      </c>
      <c r="FW40" s="51">
        <f t="shared" si="321"/>
        <v>105011.38185818279</v>
      </c>
      <c r="FX40" s="53">
        <f t="shared" si="322"/>
        <v>30845.052237999997</v>
      </c>
      <c r="FY40" s="51">
        <f t="shared" si="323"/>
        <v>101967.57368838039</v>
      </c>
      <c r="FZ40" s="53">
        <f t="shared" si="324"/>
        <v>29924.304409999997</v>
      </c>
      <c r="GA40" s="51">
        <f t="shared" si="325"/>
        <v>98923.765518577988</v>
      </c>
      <c r="GB40" s="48">
        <f t="shared" si="326"/>
        <v>29003.556581999994</v>
      </c>
      <c r="GC40" s="51">
        <f t="shared" si="327"/>
        <v>95879.957348775584</v>
      </c>
      <c r="GD40" s="53">
        <f t="shared" si="328"/>
        <v>28082.808753999994</v>
      </c>
      <c r="GE40" s="51">
        <f t="shared" si="329"/>
        <v>92836.149178973181</v>
      </c>
      <c r="GF40" s="53">
        <f t="shared" si="330"/>
        <v>27162.060925999995</v>
      </c>
      <c r="GG40" s="51">
        <f t="shared" si="331"/>
        <v>89792.341009170777</v>
      </c>
      <c r="GH40" s="48">
        <f t="shared" si="332"/>
        <v>26241.313097999991</v>
      </c>
      <c r="GI40" s="51">
        <f t="shared" si="333"/>
        <v>86748.532839368374</v>
      </c>
      <c r="GJ40" s="48"/>
      <c r="GK40" s="48"/>
      <c r="GL40" s="48">
        <v>1</v>
      </c>
      <c r="GM40" s="48">
        <v>0.97</v>
      </c>
      <c r="GN40" s="48">
        <v>0.95</v>
      </c>
      <c r="GO40" s="48">
        <v>0.93</v>
      </c>
      <c r="GP40" s="48">
        <f t="shared" ref="GP40:HG40" si="364">+GO40-0.02</f>
        <v>0.91</v>
      </c>
      <c r="GQ40" s="48">
        <f t="shared" si="364"/>
        <v>0.89</v>
      </c>
      <c r="GR40" s="48">
        <f t="shared" si="364"/>
        <v>0.87</v>
      </c>
      <c r="GS40" s="48">
        <f t="shared" si="364"/>
        <v>0.85</v>
      </c>
      <c r="GT40" s="48">
        <f t="shared" si="364"/>
        <v>0.83</v>
      </c>
      <c r="GU40" s="48">
        <f t="shared" si="364"/>
        <v>0.80999999999999994</v>
      </c>
      <c r="GV40" s="48">
        <f t="shared" si="364"/>
        <v>0.78999999999999992</v>
      </c>
      <c r="GW40" s="48">
        <f t="shared" si="364"/>
        <v>0.76999999999999991</v>
      </c>
      <c r="GX40" s="48">
        <f t="shared" si="364"/>
        <v>0.74999999999999989</v>
      </c>
      <c r="GY40" s="48">
        <f t="shared" si="364"/>
        <v>0.72999999999999987</v>
      </c>
      <c r="GZ40" s="48">
        <f t="shared" si="364"/>
        <v>0.70999999999999985</v>
      </c>
      <c r="HA40" s="48">
        <f t="shared" si="364"/>
        <v>0.68999999999999984</v>
      </c>
      <c r="HB40" s="48">
        <f t="shared" si="364"/>
        <v>0.66999999999999982</v>
      </c>
      <c r="HC40" s="48">
        <f t="shared" si="364"/>
        <v>0.6499999999999998</v>
      </c>
      <c r="HD40" s="48">
        <f t="shared" si="364"/>
        <v>0.62999999999999978</v>
      </c>
      <c r="HE40" s="48">
        <f t="shared" si="364"/>
        <v>0.60999999999999976</v>
      </c>
      <c r="HF40" s="48">
        <f t="shared" si="364"/>
        <v>0.58999999999999975</v>
      </c>
      <c r="HG40" s="48">
        <f t="shared" si="364"/>
        <v>0.56999999999999973</v>
      </c>
    </row>
    <row r="41" spans="1:250" x14ac:dyDescent="0.3">
      <c r="A41" s="2">
        <v>8</v>
      </c>
      <c r="C41" s="39" t="s">
        <v>13</v>
      </c>
      <c r="D41" s="44">
        <f>TRUNC(7032.97821350763,-1)</f>
        <v>7030</v>
      </c>
      <c r="E41" s="73">
        <f t="shared" si="203"/>
        <v>23230</v>
      </c>
      <c r="G41" s="48">
        <f t="shared" si="61"/>
        <v>7733.0000000000009</v>
      </c>
      <c r="H41" s="48">
        <f t="shared" si="62"/>
        <v>7733.0000000000009</v>
      </c>
      <c r="I41" s="51">
        <f t="shared" si="63"/>
        <v>25563.751400000005</v>
      </c>
      <c r="J41" s="48">
        <f t="shared" si="204"/>
        <v>7501.0100000000011</v>
      </c>
      <c r="K41" s="51">
        <f t="shared" si="205"/>
        <v>24796.838858000003</v>
      </c>
      <c r="L41" s="48">
        <f t="shared" si="206"/>
        <v>7346.35</v>
      </c>
      <c r="M41" s="51">
        <f t="shared" si="207"/>
        <v>24285.563830000003</v>
      </c>
      <c r="N41" s="48">
        <f t="shared" si="208"/>
        <v>7191.6900000000014</v>
      </c>
      <c r="O41" s="51">
        <f t="shared" si="209"/>
        <v>23774.288802000006</v>
      </c>
      <c r="P41" s="52">
        <f t="shared" si="210"/>
        <v>7037.0300000000007</v>
      </c>
      <c r="Q41" s="51">
        <f t="shared" si="211"/>
        <v>23263.013774000003</v>
      </c>
      <c r="R41" s="48">
        <f t="shared" si="212"/>
        <v>6882.3700000000008</v>
      </c>
      <c r="S41" s="51">
        <f t="shared" si="213"/>
        <v>22751.738746000003</v>
      </c>
      <c r="T41" s="52">
        <f t="shared" si="214"/>
        <v>6727.7100000000009</v>
      </c>
      <c r="U41" s="51">
        <f t="shared" si="215"/>
        <v>22240.463718000003</v>
      </c>
      <c r="V41" s="53">
        <f t="shared" si="216"/>
        <v>6573.05</v>
      </c>
      <c r="W41" s="51">
        <f t="shared" si="217"/>
        <v>21729.188690000003</v>
      </c>
      <c r="X41" s="52">
        <f t="shared" si="218"/>
        <v>6418.39</v>
      </c>
      <c r="Y41" s="51">
        <f t="shared" si="219"/>
        <v>21217.913662000003</v>
      </c>
      <c r="Z41" s="48">
        <f t="shared" si="220"/>
        <v>6263.7300000000005</v>
      </c>
      <c r="AA41" s="51">
        <f t="shared" si="221"/>
        <v>20706.638634000003</v>
      </c>
      <c r="AB41" s="53">
        <f t="shared" si="222"/>
        <v>6109.07</v>
      </c>
      <c r="AC41" s="51">
        <f t="shared" si="223"/>
        <v>20195.363605999999</v>
      </c>
      <c r="AD41" s="53">
        <f t="shared" si="224"/>
        <v>5954.41</v>
      </c>
      <c r="AE41" s="51">
        <f t="shared" si="225"/>
        <v>19684.088577999999</v>
      </c>
      <c r="AF41" s="53">
        <f t="shared" si="226"/>
        <v>5799.75</v>
      </c>
      <c r="AG41" s="51">
        <f t="shared" si="227"/>
        <v>19172.813549999999</v>
      </c>
      <c r="AH41" s="48">
        <f t="shared" si="228"/>
        <v>5645.0899999999992</v>
      </c>
      <c r="AI41" s="51">
        <f t="shared" si="229"/>
        <v>18661.538521999999</v>
      </c>
      <c r="AJ41" s="53">
        <f t="shared" si="230"/>
        <v>5490.4299999999994</v>
      </c>
      <c r="AK41" s="51">
        <f t="shared" si="231"/>
        <v>18150.263493999999</v>
      </c>
      <c r="AL41" s="53">
        <f t="shared" si="232"/>
        <v>5335.7699999999995</v>
      </c>
      <c r="AM41" s="51">
        <f t="shared" si="233"/>
        <v>17638.988465999999</v>
      </c>
      <c r="AN41" s="53">
        <f t="shared" si="234"/>
        <v>5181.1099999999988</v>
      </c>
      <c r="AO41" s="51">
        <f t="shared" si="235"/>
        <v>17127.713437999995</v>
      </c>
      <c r="AP41" s="53">
        <f t="shared" si="236"/>
        <v>5026.4499999999989</v>
      </c>
      <c r="AQ41" s="51">
        <f t="shared" si="237"/>
        <v>16616.438409999995</v>
      </c>
      <c r="AR41" s="48">
        <f t="shared" si="238"/>
        <v>4871.7899999999991</v>
      </c>
      <c r="AS41" s="51">
        <f t="shared" si="239"/>
        <v>16105.163381999997</v>
      </c>
      <c r="AT41" s="53">
        <f t="shared" si="240"/>
        <v>4717.1299999999983</v>
      </c>
      <c r="AU41" s="51">
        <f t="shared" si="241"/>
        <v>15593.888353999995</v>
      </c>
      <c r="AV41" s="53">
        <f t="shared" si="242"/>
        <v>4562.4699999999984</v>
      </c>
      <c r="AW41" s="51">
        <f t="shared" si="243"/>
        <v>15082.613325999995</v>
      </c>
      <c r="AX41" s="48">
        <f t="shared" si="244"/>
        <v>4407.8099999999986</v>
      </c>
      <c r="AY41" s="51">
        <f t="shared" si="245"/>
        <v>14571.338297999995</v>
      </c>
      <c r="BB41" s="48">
        <v>1</v>
      </c>
      <c r="BC41" s="48">
        <v>0.97</v>
      </c>
      <c r="BD41" s="48">
        <v>0.95</v>
      </c>
      <c r="BE41" s="48">
        <v>0.93</v>
      </c>
      <c r="BF41" s="48">
        <f t="shared" ref="BF41:BW41" si="365">+BE41-0.02</f>
        <v>0.91</v>
      </c>
      <c r="BG41" s="48">
        <f t="shared" si="365"/>
        <v>0.89</v>
      </c>
      <c r="BH41" s="48">
        <f t="shared" si="365"/>
        <v>0.87</v>
      </c>
      <c r="BI41" s="48">
        <f t="shared" si="365"/>
        <v>0.85</v>
      </c>
      <c r="BJ41" s="48">
        <f t="shared" si="365"/>
        <v>0.83</v>
      </c>
      <c r="BK41" s="48">
        <f t="shared" si="365"/>
        <v>0.80999999999999994</v>
      </c>
      <c r="BL41" s="48">
        <f t="shared" si="365"/>
        <v>0.78999999999999992</v>
      </c>
      <c r="BM41" s="48">
        <f t="shared" si="365"/>
        <v>0.76999999999999991</v>
      </c>
      <c r="BN41" s="48">
        <f t="shared" si="365"/>
        <v>0.74999999999999989</v>
      </c>
      <c r="BO41" s="48">
        <f t="shared" si="365"/>
        <v>0.72999999999999987</v>
      </c>
      <c r="BP41" s="48">
        <f t="shared" si="365"/>
        <v>0.70999999999999985</v>
      </c>
      <c r="BQ41" s="48">
        <f t="shared" si="365"/>
        <v>0.68999999999999984</v>
      </c>
      <c r="BR41" s="48">
        <f t="shared" si="365"/>
        <v>0.66999999999999982</v>
      </c>
      <c r="BS41" s="48">
        <f t="shared" si="365"/>
        <v>0.6499999999999998</v>
      </c>
      <c r="BT41" s="48">
        <f t="shared" si="365"/>
        <v>0.62999999999999978</v>
      </c>
      <c r="BU41" s="48">
        <f t="shared" si="365"/>
        <v>0.60999999999999976</v>
      </c>
      <c r="BV41" s="48">
        <f t="shared" si="365"/>
        <v>0.58999999999999975</v>
      </c>
      <c r="BW41" s="48">
        <f t="shared" si="365"/>
        <v>0.56999999999999973</v>
      </c>
      <c r="BY41" s="48">
        <f t="shared" si="88"/>
        <v>7037.0300000000007</v>
      </c>
      <c r="BZ41" s="48">
        <f t="shared" si="89"/>
        <v>7037.0300000000007</v>
      </c>
      <c r="CA41" s="51">
        <f t="shared" ref="CA41" si="366">+BZ41*3.3058</f>
        <v>23263.013774000003</v>
      </c>
      <c r="CB41" s="48">
        <f t="shared" si="248"/>
        <v>6825.9191000000001</v>
      </c>
      <c r="CC41" s="51">
        <f t="shared" si="249"/>
        <v>22565.123360780002</v>
      </c>
      <c r="CD41" s="48">
        <f t="shared" si="250"/>
        <v>6685.1785</v>
      </c>
      <c r="CE41" s="51">
        <f t="shared" si="251"/>
        <v>22099.8630853</v>
      </c>
      <c r="CF41" s="48">
        <f t="shared" si="252"/>
        <v>6544.4379000000008</v>
      </c>
      <c r="CG41" s="51">
        <f t="shared" si="253"/>
        <v>21634.602809820004</v>
      </c>
      <c r="CH41" s="52">
        <f t="shared" si="254"/>
        <v>6403.6973000000007</v>
      </c>
      <c r="CI41" s="51">
        <f t="shared" si="255"/>
        <v>21169.342534340001</v>
      </c>
      <c r="CJ41" s="48">
        <f t="shared" si="256"/>
        <v>6262.9567000000006</v>
      </c>
      <c r="CK41" s="51">
        <f t="shared" si="257"/>
        <v>20704.082258860002</v>
      </c>
      <c r="CL41" s="52">
        <f t="shared" si="258"/>
        <v>6122.2161000000006</v>
      </c>
      <c r="CM41" s="51">
        <f t="shared" si="259"/>
        <v>20238.821983380003</v>
      </c>
      <c r="CN41" s="53">
        <f t="shared" si="260"/>
        <v>5981.4755000000005</v>
      </c>
      <c r="CO41" s="51">
        <f t="shared" si="261"/>
        <v>19773.5617079</v>
      </c>
      <c r="CP41" s="52">
        <f t="shared" si="262"/>
        <v>5840.7349000000004</v>
      </c>
      <c r="CQ41" s="51">
        <f t="shared" si="263"/>
        <v>19308.301432420001</v>
      </c>
      <c r="CR41" s="48">
        <f t="shared" si="264"/>
        <v>5699.9943000000003</v>
      </c>
      <c r="CS41" s="51">
        <f t="shared" si="265"/>
        <v>18843.041156940002</v>
      </c>
      <c r="CT41" s="53">
        <f t="shared" si="266"/>
        <v>5559.2537000000002</v>
      </c>
      <c r="CU41" s="51">
        <f t="shared" si="267"/>
        <v>18377.780881459999</v>
      </c>
      <c r="CV41" s="53">
        <f t="shared" si="268"/>
        <v>5418.5131000000001</v>
      </c>
      <c r="CW41" s="51">
        <f t="shared" si="269"/>
        <v>17912.52060598</v>
      </c>
      <c r="CX41" s="53">
        <f t="shared" si="270"/>
        <v>5277.7725</v>
      </c>
      <c r="CY41" s="51">
        <f t="shared" si="271"/>
        <v>17447.260330500001</v>
      </c>
      <c r="CZ41" s="48">
        <f t="shared" si="272"/>
        <v>5137.0319</v>
      </c>
      <c r="DA41" s="51">
        <f t="shared" si="273"/>
        <v>16982.000055019998</v>
      </c>
      <c r="DB41" s="53">
        <f t="shared" si="274"/>
        <v>4996.2912999999999</v>
      </c>
      <c r="DC41" s="51">
        <f t="shared" si="275"/>
        <v>16516.739779539999</v>
      </c>
      <c r="DD41" s="53">
        <f t="shared" si="276"/>
        <v>4855.5506999999989</v>
      </c>
      <c r="DE41" s="51">
        <f t="shared" si="277"/>
        <v>16051.479504059997</v>
      </c>
      <c r="DF41" s="53">
        <f t="shared" si="278"/>
        <v>4714.8100999999988</v>
      </c>
      <c r="DG41" s="51">
        <f t="shared" si="279"/>
        <v>15586.219228579996</v>
      </c>
      <c r="DH41" s="53">
        <f t="shared" si="280"/>
        <v>4574.0694999999987</v>
      </c>
      <c r="DI41" s="51">
        <f t="shared" si="281"/>
        <v>15120.958953099997</v>
      </c>
      <c r="DJ41" s="48">
        <f t="shared" si="282"/>
        <v>4433.3288999999986</v>
      </c>
      <c r="DK41" s="51">
        <f t="shared" si="283"/>
        <v>14655.698677619996</v>
      </c>
      <c r="DL41" s="53">
        <f t="shared" si="284"/>
        <v>4292.5882999999985</v>
      </c>
      <c r="DM41" s="51">
        <f t="shared" si="285"/>
        <v>14190.438402139995</v>
      </c>
      <c r="DN41" s="53">
        <f t="shared" si="286"/>
        <v>4151.8476999999984</v>
      </c>
      <c r="DO41" s="51">
        <f t="shared" si="287"/>
        <v>13725.178126659996</v>
      </c>
      <c r="DP41" s="48">
        <f t="shared" si="288"/>
        <v>4011.1070999999984</v>
      </c>
      <c r="DQ41" s="51">
        <f t="shared" si="289"/>
        <v>13259.917851179995</v>
      </c>
      <c r="DT41" s="48">
        <v>1</v>
      </c>
      <c r="DU41" s="48">
        <v>0.97</v>
      </c>
      <c r="DV41" s="48">
        <v>0.95</v>
      </c>
      <c r="DW41" s="48">
        <v>0.93</v>
      </c>
      <c r="DX41" s="48">
        <f t="shared" ref="DX41:EO41" si="367">+DW41-0.02</f>
        <v>0.91</v>
      </c>
      <c r="DY41" s="48">
        <f t="shared" si="367"/>
        <v>0.89</v>
      </c>
      <c r="DZ41" s="48">
        <f t="shared" si="367"/>
        <v>0.87</v>
      </c>
      <c r="EA41" s="48">
        <f t="shared" si="367"/>
        <v>0.85</v>
      </c>
      <c r="EB41" s="48">
        <f t="shared" si="367"/>
        <v>0.83</v>
      </c>
      <c r="EC41" s="48">
        <f t="shared" si="367"/>
        <v>0.80999999999999994</v>
      </c>
      <c r="ED41" s="48">
        <f t="shared" si="367"/>
        <v>0.78999999999999992</v>
      </c>
      <c r="EE41" s="48">
        <f t="shared" si="367"/>
        <v>0.76999999999999991</v>
      </c>
      <c r="EF41" s="48">
        <f t="shared" si="367"/>
        <v>0.74999999999999989</v>
      </c>
      <c r="EG41" s="48">
        <f t="shared" si="367"/>
        <v>0.72999999999999987</v>
      </c>
      <c r="EH41" s="48">
        <f t="shared" si="367"/>
        <v>0.70999999999999985</v>
      </c>
      <c r="EI41" s="48">
        <f t="shared" si="367"/>
        <v>0.68999999999999984</v>
      </c>
      <c r="EJ41" s="48">
        <f t="shared" si="367"/>
        <v>0.66999999999999982</v>
      </c>
      <c r="EK41" s="48">
        <f t="shared" si="367"/>
        <v>0.6499999999999998</v>
      </c>
      <c r="EL41" s="48">
        <f t="shared" si="367"/>
        <v>0.62999999999999978</v>
      </c>
      <c r="EM41" s="48">
        <f t="shared" si="367"/>
        <v>0.60999999999999976</v>
      </c>
      <c r="EN41" s="48">
        <f t="shared" si="367"/>
        <v>0.58999999999999975</v>
      </c>
      <c r="EO41" s="48">
        <f t="shared" si="367"/>
        <v>0.56999999999999973</v>
      </c>
      <c r="EQ41" s="48">
        <f t="shared" si="188"/>
        <v>6403.6973000000007</v>
      </c>
      <c r="ER41" s="48">
        <f t="shared" si="116"/>
        <v>6403.6973000000007</v>
      </c>
      <c r="ES41" s="51">
        <f t="shared" ref="ES41" si="368">+ER41*3.3058</f>
        <v>21169.342534340001</v>
      </c>
      <c r="ET41" s="48">
        <f t="shared" si="292"/>
        <v>6211.586381000001</v>
      </c>
      <c r="EU41" s="51">
        <f t="shared" si="293"/>
        <v>20534.262258309805</v>
      </c>
      <c r="EV41" s="48">
        <f t="shared" si="294"/>
        <v>6083.5124350000006</v>
      </c>
      <c r="EW41" s="51">
        <f t="shared" si="295"/>
        <v>20110.875407623003</v>
      </c>
      <c r="EX41" s="48">
        <f t="shared" si="296"/>
        <v>5955.438489000001</v>
      </c>
      <c r="EY41" s="51">
        <f t="shared" si="297"/>
        <v>19687.488556936205</v>
      </c>
      <c r="EZ41" s="52">
        <f t="shared" si="298"/>
        <v>5827.3645430000006</v>
      </c>
      <c r="FA41" s="51">
        <f t="shared" si="299"/>
        <v>19264.101706249403</v>
      </c>
      <c r="FB41" s="48">
        <f t="shared" si="300"/>
        <v>5699.2905970000011</v>
      </c>
      <c r="FC41" s="51">
        <f t="shared" si="301"/>
        <v>18840.714855562604</v>
      </c>
      <c r="FD41" s="52">
        <f t="shared" si="302"/>
        <v>5571.2166510000006</v>
      </c>
      <c r="FE41" s="51">
        <f t="shared" si="303"/>
        <v>18417.328004875802</v>
      </c>
      <c r="FF41" s="53">
        <f t="shared" si="304"/>
        <v>5443.1427050000002</v>
      </c>
      <c r="FG41" s="51">
        <f t="shared" si="305"/>
        <v>17993.941154189</v>
      </c>
      <c r="FH41" s="52">
        <f t="shared" si="306"/>
        <v>5315.0687590000007</v>
      </c>
      <c r="FI41" s="51">
        <f t="shared" si="307"/>
        <v>17570.554303502202</v>
      </c>
      <c r="FJ41" s="48">
        <f t="shared" si="308"/>
        <v>5186.9948130000002</v>
      </c>
      <c r="FK41" s="51">
        <f t="shared" si="309"/>
        <v>17147.1674528154</v>
      </c>
      <c r="FL41" s="53">
        <f t="shared" si="310"/>
        <v>5058.9208669999998</v>
      </c>
      <c r="FM41" s="51">
        <f t="shared" si="311"/>
        <v>16723.780602128601</v>
      </c>
      <c r="FN41" s="53">
        <f t="shared" si="312"/>
        <v>4930.8469210000003</v>
      </c>
      <c r="FO41" s="51">
        <f t="shared" si="313"/>
        <v>16300.393751441801</v>
      </c>
      <c r="FP41" s="53">
        <f t="shared" si="314"/>
        <v>4802.7729749999999</v>
      </c>
      <c r="FQ41" s="51">
        <f t="shared" si="315"/>
        <v>15877.006900754999</v>
      </c>
      <c r="FR41" s="48">
        <f t="shared" si="316"/>
        <v>4674.6990289999994</v>
      </c>
      <c r="FS41" s="51">
        <f t="shared" si="317"/>
        <v>15453.620050068199</v>
      </c>
      <c r="FT41" s="53">
        <f t="shared" si="318"/>
        <v>4546.6250829999999</v>
      </c>
      <c r="FU41" s="51">
        <f t="shared" si="319"/>
        <v>15030.2331993814</v>
      </c>
      <c r="FV41" s="53">
        <f t="shared" si="320"/>
        <v>4418.5511369999995</v>
      </c>
      <c r="FW41" s="51">
        <f t="shared" si="321"/>
        <v>14606.846348694598</v>
      </c>
      <c r="FX41" s="53">
        <f t="shared" si="322"/>
        <v>4290.477190999999</v>
      </c>
      <c r="FY41" s="51">
        <f t="shared" si="323"/>
        <v>14183.459498007796</v>
      </c>
      <c r="FZ41" s="53">
        <f t="shared" si="324"/>
        <v>4162.4032449999995</v>
      </c>
      <c r="GA41" s="51">
        <f t="shared" si="325"/>
        <v>13760.072647320998</v>
      </c>
      <c r="GB41" s="48">
        <f t="shared" si="326"/>
        <v>4034.3292989999991</v>
      </c>
      <c r="GC41" s="51">
        <f t="shared" si="327"/>
        <v>13336.685796634198</v>
      </c>
      <c r="GD41" s="53">
        <f t="shared" si="328"/>
        <v>3906.2553529999991</v>
      </c>
      <c r="GE41" s="51">
        <f t="shared" si="329"/>
        <v>12913.298945947397</v>
      </c>
      <c r="GF41" s="53">
        <f t="shared" si="330"/>
        <v>3778.1814069999987</v>
      </c>
      <c r="GG41" s="51">
        <f t="shared" si="331"/>
        <v>12489.912095260595</v>
      </c>
      <c r="GH41" s="48">
        <f t="shared" si="332"/>
        <v>3650.1074609999987</v>
      </c>
      <c r="GI41" s="51">
        <f t="shared" si="333"/>
        <v>12066.525244573795</v>
      </c>
      <c r="GJ41" s="48"/>
      <c r="GK41" s="48"/>
      <c r="GL41" s="48">
        <v>1</v>
      </c>
      <c r="GM41" s="48">
        <v>0.97</v>
      </c>
      <c r="GN41" s="48">
        <v>0.95</v>
      </c>
      <c r="GO41" s="48">
        <v>0.93</v>
      </c>
      <c r="GP41" s="48">
        <f t="shared" ref="GP41:HG41" si="369">+GO41-0.02</f>
        <v>0.91</v>
      </c>
      <c r="GQ41" s="48">
        <f t="shared" si="369"/>
        <v>0.89</v>
      </c>
      <c r="GR41" s="48">
        <f t="shared" si="369"/>
        <v>0.87</v>
      </c>
      <c r="GS41" s="48">
        <f t="shared" si="369"/>
        <v>0.85</v>
      </c>
      <c r="GT41" s="48">
        <f t="shared" si="369"/>
        <v>0.83</v>
      </c>
      <c r="GU41" s="48">
        <f t="shared" si="369"/>
        <v>0.80999999999999994</v>
      </c>
      <c r="GV41" s="48">
        <f t="shared" si="369"/>
        <v>0.78999999999999992</v>
      </c>
      <c r="GW41" s="48">
        <f t="shared" si="369"/>
        <v>0.76999999999999991</v>
      </c>
      <c r="GX41" s="48">
        <f t="shared" si="369"/>
        <v>0.74999999999999989</v>
      </c>
      <c r="GY41" s="48">
        <f t="shared" si="369"/>
        <v>0.72999999999999987</v>
      </c>
      <c r="GZ41" s="48">
        <f t="shared" si="369"/>
        <v>0.70999999999999985</v>
      </c>
      <c r="HA41" s="48">
        <f t="shared" si="369"/>
        <v>0.68999999999999984</v>
      </c>
      <c r="HB41" s="48">
        <f t="shared" si="369"/>
        <v>0.66999999999999982</v>
      </c>
      <c r="HC41" s="48">
        <f t="shared" si="369"/>
        <v>0.6499999999999998</v>
      </c>
      <c r="HD41" s="48">
        <f t="shared" si="369"/>
        <v>0.62999999999999978</v>
      </c>
      <c r="HE41" s="48">
        <f t="shared" si="369"/>
        <v>0.60999999999999976</v>
      </c>
      <c r="HF41" s="48">
        <f t="shared" si="369"/>
        <v>0.58999999999999975</v>
      </c>
      <c r="HG41" s="48">
        <f t="shared" si="369"/>
        <v>0.56999999999999973</v>
      </c>
    </row>
    <row r="42" spans="1:250" x14ac:dyDescent="0.3">
      <c r="A42" s="2">
        <v>9</v>
      </c>
      <c r="C42" s="39" t="s">
        <v>14</v>
      </c>
      <c r="D42" s="44">
        <f>TRUNC(33075.1258169935,-1)</f>
        <v>33070</v>
      </c>
      <c r="E42" s="73">
        <f t="shared" si="203"/>
        <v>109320</v>
      </c>
      <c r="G42" s="48">
        <f t="shared" si="61"/>
        <v>36377</v>
      </c>
      <c r="H42" s="48">
        <f t="shared" si="62"/>
        <v>36377</v>
      </c>
      <c r="I42" s="51">
        <f t="shared" si="63"/>
        <v>120255.08660000001</v>
      </c>
      <c r="J42" s="48">
        <f t="shared" si="204"/>
        <v>35285.69</v>
      </c>
      <c r="K42" s="51">
        <f t="shared" si="205"/>
        <v>116647.43400200001</v>
      </c>
      <c r="L42" s="48">
        <f t="shared" si="206"/>
        <v>34558.15</v>
      </c>
      <c r="M42" s="51">
        <f t="shared" si="207"/>
        <v>114242.33227000001</v>
      </c>
      <c r="N42" s="48">
        <f t="shared" si="208"/>
        <v>33830.61</v>
      </c>
      <c r="O42" s="51">
        <f t="shared" si="209"/>
        <v>111837.230538</v>
      </c>
      <c r="P42" s="52">
        <f t="shared" si="210"/>
        <v>33103.07</v>
      </c>
      <c r="Q42" s="51">
        <f t="shared" si="211"/>
        <v>109432.12880600001</v>
      </c>
      <c r="R42" s="48">
        <f t="shared" si="212"/>
        <v>32375.53</v>
      </c>
      <c r="S42" s="51">
        <f t="shared" si="213"/>
        <v>107027.027074</v>
      </c>
      <c r="T42" s="52">
        <f t="shared" si="214"/>
        <v>31647.99</v>
      </c>
      <c r="U42" s="51">
        <f t="shared" si="215"/>
        <v>104621.925342</v>
      </c>
      <c r="V42" s="53">
        <f t="shared" si="216"/>
        <v>30920.45</v>
      </c>
      <c r="W42" s="51">
        <f t="shared" si="217"/>
        <v>102216.82361000001</v>
      </c>
      <c r="X42" s="52">
        <f t="shared" si="218"/>
        <v>30192.91</v>
      </c>
      <c r="Y42" s="51">
        <f t="shared" si="219"/>
        <v>99811.721877999997</v>
      </c>
      <c r="Z42" s="48">
        <f t="shared" si="220"/>
        <v>29465.37</v>
      </c>
      <c r="AA42" s="51">
        <f t="shared" si="221"/>
        <v>97406.620146000001</v>
      </c>
      <c r="AB42" s="53">
        <f t="shared" si="222"/>
        <v>28737.829999999998</v>
      </c>
      <c r="AC42" s="51">
        <f t="shared" si="223"/>
        <v>95001.518413999991</v>
      </c>
      <c r="AD42" s="53">
        <f t="shared" si="224"/>
        <v>28010.289999999997</v>
      </c>
      <c r="AE42" s="51">
        <f t="shared" si="225"/>
        <v>92596.416681999995</v>
      </c>
      <c r="AF42" s="53">
        <f t="shared" si="226"/>
        <v>27282.749999999996</v>
      </c>
      <c r="AG42" s="51">
        <f t="shared" si="227"/>
        <v>90191.314949999985</v>
      </c>
      <c r="AH42" s="48">
        <f t="shared" si="228"/>
        <v>26555.209999999995</v>
      </c>
      <c r="AI42" s="51">
        <f t="shared" si="229"/>
        <v>87786.21321799999</v>
      </c>
      <c r="AJ42" s="53">
        <f t="shared" si="230"/>
        <v>25827.669999999995</v>
      </c>
      <c r="AK42" s="51">
        <f t="shared" si="231"/>
        <v>85381.11148599998</v>
      </c>
      <c r="AL42" s="53">
        <f t="shared" si="232"/>
        <v>25100.129999999994</v>
      </c>
      <c r="AM42" s="51">
        <f t="shared" si="233"/>
        <v>82976.009753999984</v>
      </c>
      <c r="AN42" s="53">
        <f t="shared" si="234"/>
        <v>24372.589999999993</v>
      </c>
      <c r="AO42" s="51">
        <f t="shared" si="235"/>
        <v>80570.908021999974</v>
      </c>
      <c r="AP42" s="53">
        <f t="shared" si="236"/>
        <v>23645.049999999992</v>
      </c>
      <c r="AQ42" s="51">
        <f t="shared" si="237"/>
        <v>78165.806289999979</v>
      </c>
      <c r="AR42" s="48">
        <f t="shared" si="238"/>
        <v>22917.509999999991</v>
      </c>
      <c r="AS42" s="51">
        <f t="shared" si="239"/>
        <v>75760.704557999969</v>
      </c>
      <c r="AT42" s="53">
        <f t="shared" si="240"/>
        <v>22189.96999999999</v>
      </c>
      <c r="AU42" s="51">
        <f t="shared" si="241"/>
        <v>73355.602825999973</v>
      </c>
      <c r="AV42" s="53">
        <f t="shared" si="242"/>
        <v>21462.429999999989</v>
      </c>
      <c r="AW42" s="51">
        <f t="shared" si="243"/>
        <v>70950.501093999963</v>
      </c>
      <c r="AX42" s="48">
        <f t="shared" si="244"/>
        <v>20734.889999999989</v>
      </c>
      <c r="AY42" s="51">
        <f t="shared" si="245"/>
        <v>68545.399361999967</v>
      </c>
      <c r="BB42" s="48">
        <v>1</v>
      </c>
      <c r="BC42" s="48">
        <v>0.97</v>
      </c>
      <c r="BD42" s="48">
        <v>0.95</v>
      </c>
      <c r="BE42" s="48">
        <v>0.93</v>
      </c>
      <c r="BF42" s="48">
        <f t="shared" ref="BF42:BW42" si="370">+BE42-0.02</f>
        <v>0.91</v>
      </c>
      <c r="BG42" s="48">
        <f t="shared" si="370"/>
        <v>0.89</v>
      </c>
      <c r="BH42" s="48">
        <f t="shared" si="370"/>
        <v>0.87</v>
      </c>
      <c r="BI42" s="48">
        <f t="shared" si="370"/>
        <v>0.85</v>
      </c>
      <c r="BJ42" s="48">
        <f t="shared" si="370"/>
        <v>0.83</v>
      </c>
      <c r="BK42" s="48">
        <f t="shared" si="370"/>
        <v>0.80999999999999994</v>
      </c>
      <c r="BL42" s="48">
        <f t="shared" si="370"/>
        <v>0.78999999999999992</v>
      </c>
      <c r="BM42" s="48">
        <f t="shared" si="370"/>
        <v>0.76999999999999991</v>
      </c>
      <c r="BN42" s="48">
        <f t="shared" si="370"/>
        <v>0.74999999999999989</v>
      </c>
      <c r="BO42" s="48">
        <f t="shared" si="370"/>
        <v>0.72999999999999987</v>
      </c>
      <c r="BP42" s="48">
        <f t="shared" si="370"/>
        <v>0.70999999999999985</v>
      </c>
      <c r="BQ42" s="48">
        <f t="shared" si="370"/>
        <v>0.68999999999999984</v>
      </c>
      <c r="BR42" s="48">
        <f t="shared" si="370"/>
        <v>0.66999999999999982</v>
      </c>
      <c r="BS42" s="48">
        <f t="shared" si="370"/>
        <v>0.6499999999999998</v>
      </c>
      <c r="BT42" s="48">
        <f t="shared" si="370"/>
        <v>0.62999999999999978</v>
      </c>
      <c r="BU42" s="48">
        <f t="shared" si="370"/>
        <v>0.60999999999999976</v>
      </c>
      <c r="BV42" s="48">
        <f t="shared" si="370"/>
        <v>0.58999999999999975</v>
      </c>
      <c r="BW42" s="48">
        <f t="shared" si="370"/>
        <v>0.56999999999999973</v>
      </c>
      <c r="BY42" s="48">
        <f t="shared" si="88"/>
        <v>33103.07</v>
      </c>
      <c r="BZ42" s="48">
        <f t="shared" si="89"/>
        <v>33103.07</v>
      </c>
      <c r="CA42" s="51">
        <f t="shared" ref="CA42" si="371">+BZ42*3.3058</f>
        <v>109432.12880600001</v>
      </c>
      <c r="CB42" s="48">
        <f t="shared" si="248"/>
        <v>32109.977899999998</v>
      </c>
      <c r="CC42" s="51">
        <f t="shared" si="249"/>
        <v>106149.16494182</v>
      </c>
      <c r="CD42" s="48">
        <f t="shared" si="250"/>
        <v>31447.916499999999</v>
      </c>
      <c r="CE42" s="51">
        <f t="shared" si="251"/>
        <v>103960.5223657</v>
      </c>
      <c r="CF42" s="48">
        <f t="shared" si="252"/>
        <v>30785.855100000001</v>
      </c>
      <c r="CG42" s="51">
        <f t="shared" si="253"/>
        <v>101771.87978958001</v>
      </c>
      <c r="CH42" s="52">
        <f t="shared" si="254"/>
        <v>30123.793700000002</v>
      </c>
      <c r="CI42" s="51">
        <f t="shared" si="255"/>
        <v>99583.237213460015</v>
      </c>
      <c r="CJ42" s="48">
        <f t="shared" si="256"/>
        <v>29461.7323</v>
      </c>
      <c r="CK42" s="51">
        <f t="shared" si="257"/>
        <v>97394.594637340007</v>
      </c>
      <c r="CL42" s="52">
        <f t="shared" si="258"/>
        <v>28799.670900000001</v>
      </c>
      <c r="CM42" s="51">
        <f t="shared" si="259"/>
        <v>95205.952061219999</v>
      </c>
      <c r="CN42" s="53">
        <f t="shared" si="260"/>
        <v>28137.609499999999</v>
      </c>
      <c r="CO42" s="51">
        <f t="shared" si="261"/>
        <v>93017.309485099991</v>
      </c>
      <c r="CP42" s="52">
        <f t="shared" si="262"/>
        <v>27475.5481</v>
      </c>
      <c r="CQ42" s="51">
        <f t="shared" si="263"/>
        <v>90828.666908979998</v>
      </c>
      <c r="CR42" s="48">
        <f t="shared" si="264"/>
        <v>26813.486699999998</v>
      </c>
      <c r="CS42" s="51">
        <f t="shared" si="265"/>
        <v>88640.02433285999</v>
      </c>
      <c r="CT42" s="53">
        <f t="shared" si="266"/>
        <v>26151.425299999999</v>
      </c>
      <c r="CU42" s="51">
        <f t="shared" si="267"/>
        <v>86451.381756739996</v>
      </c>
      <c r="CV42" s="53">
        <f t="shared" si="268"/>
        <v>25489.363899999997</v>
      </c>
      <c r="CW42" s="51">
        <f t="shared" si="269"/>
        <v>84262.739180619988</v>
      </c>
      <c r="CX42" s="53">
        <f t="shared" si="270"/>
        <v>24827.302499999994</v>
      </c>
      <c r="CY42" s="51">
        <f t="shared" si="271"/>
        <v>82074.09660449998</v>
      </c>
      <c r="CZ42" s="48">
        <f t="shared" si="272"/>
        <v>24165.241099999996</v>
      </c>
      <c r="DA42" s="51">
        <f t="shared" si="273"/>
        <v>79885.454028379987</v>
      </c>
      <c r="DB42" s="53">
        <f t="shared" si="274"/>
        <v>23503.179699999993</v>
      </c>
      <c r="DC42" s="51">
        <f t="shared" si="275"/>
        <v>77696.811452259979</v>
      </c>
      <c r="DD42" s="53">
        <f t="shared" si="276"/>
        <v>22841.118299999995</v>
      </c>
      <c r="DE42" s="51">
        <f t="shared" si="277"/>
        <v>75508.168876139986</v>
      </c>
      <c r="DF42" s="53">
        <f t="shared" si="278"/>
        <v>22179.056899999992</v>
      </c>
      <c r="DG42" s="51">
        <f t="shared" si="279"/>
        <v>73319.526300019977</v>
      </c>
      <c r="DH42" s="53">
        <f t="shared" si="280"/>
        <v>21516.995499999994</v>
      </c>
      <c r="DI42" s="51">
        <f t="shared" si="281"/>
        <v>71130.883723899984</v>
      </c>
      <c r="DJ42" s="48">
        <f t="shared" si="282"/>
        <v>20854.934099999991</v>
      </c>
      <c r="DK42" s="51">
        <f t="shared" si="283"/>
        <v>68942.241147779976</v>
      </c>
      <c r="DL42" s="53">
        <f t="shared" si="284"/>
        <v>20192.872699999993</v>
      </c>
      <c r="DM42" s="51">
        <f t="shared" si="285"/>
        <v>66753.598571659983</v>
      </c>
      <c r="DN42" s="53">
        <f t="shared" si="286"/>
        <v>19530.81129999999</v>
      </c>
      <c r="DO42" s="51">
        <f t="shared" si="287"/>
        <v>64564.955995539967</v>
      </c>
      <c r="DP42" s="48">
        <f t="shared" si="288"/>
        <v>18868.749899999992</v>
      </c>
      <c r="DQ42" s="51">
        <f t="shared" si="289"/>
        <v>62376.313419419974</v>
      </c>
      <c r="DT42" s="48">
        <v>1</v>
      </c>
      <c r="DU42" s="48">
        <v>0.97</v>
      </c>
      <c r="DV42" s="48">
        <v>0.95</v>
      </c>
      <c r="DW42" s="48">
        <v>0.93</v>
      </c>
      <c r="DX42" s="48">
        <f t="shared" ref="DX42:EO42" si="372">+DW42-0.02</f>
        <v>0.91</v>
      </c>
      <c r="DY42" s="48">
        <f t="shared" si="372"/>
        <v>0.89</v>
      </c>
      <c r="DZ42" s="48">
        <f t="shared" si="372"/>
        <v>0.87</v>
      </c>
      <c r="EA42" s="48">
        <f t="shared" si="372"/>
        <v>0.85</v>
      </c>
      <c r="EB42" s="48">
        <f t="shared" si="372"/>
        <v>0.83</v>
      </c>
      <c r="EC42" s="48">
        <f t="shared" si="372"/>
        <v>0.80999999999999994</v>
      </c>
      <c r="ED42" s="48">
        <f t="shared" si="372"/>
        <v>0.78999999999999992</v>
      </c>
      <c r="EE42" s="48">
        <f t="shared" si="372"/>
        <v>0.76999999999999991</v>
      </c>
      <c r="EF42" s="48">
        <f t="shared" si="372"/>
        <v>0.74999999999999989</v>
      </c>
      <c r="EG42" s="48">
        <f t="shared" si="372"/>
        <v>0.72999999999999987</v>
      </c>
      <c r="EH42" s="48">
        <f t="shared" si="372"/>
        <v>0.70999999999999985</v>
      </c>
      <c r="EI42" s="48">
        <f t="shared" si="372"/>
        <v>0.68999999999999984</v>
      </c>
      <c r="EJ42" s="48">
        <f t="shared" si="372"/>
        <v>0.66999999999999982</v>
      </c>
      <c r="EK42" s="48">
        <f t="shared" si="372"/>
        <v>0.6499999999999998</v>
      </c>
      <c r="EL42" s="48">
        <f t="shared" si="372"/>
        <v>0.62999999999999978</v>
      </c>
      <c r="EM42" s="48">
        <f t="shared" si="372"/>
        <v>0.60999999999999976</v>
      </c>
      <c r="EN42" s="48">
        <f t="shared" si="372"/>
        <v>0.58999999999999975</v>
      </c>
      <c r="EO42" s="48">
        <f t="shared" si="372"/>
        <v>0.56999999999999973</v>
      </c>
      <c r="EQ42" s="48">
        <f t="shared" si="188"/>
        <v>30123.793700000002</v>
      </c>
      <c r="ER42" s="48">
        <f t="shared" si="116"/>
        <v>30123.793700000002</v>
      </c>
      <c r="ES42" s="51">
        <f t="shared" ref="ES42" si="373">+ER42*3.3058</f>
        <v>99583.237213460015</v>
      </c>
      <c r="ET42" s="48">
        <f t="shared" si="292"/>
        <v>29220.079889000001</v>
      </c>
      <c r="EU42" s="51">
        <f t="shared" si="293"/>
        <v>96595.740097056201</v>
      </c>
      <c r="EV42" s="48">
        <f t="shared" si="294"/>
        <v>28617.604015000001</v>
      </c>
      <c r="EW42" s="51">
        <f t="shared" si="295"/>
        <v>94604.075352787011</v>
      </c>
      <c r="EX42" s="48">
        <f t="shared" si="296"/>
        <v>28015.128141000005</v>
      </c>
      <c r="EY42" s="51">
        <f t="shared" si="297"/>
        <v>92612.410608517821</v>
      </c>
      <c r="EZ42" s="52">
        <f t="shared" si="298"/>
        <v>27412.652267000001</v>
      </c>
      <c r="FA42" s="51">
        <f t="shared" si="299"/>
        <v>90620.745864248602</v>
      </c>
      <c r="FB42" s="48">
        <f t="shared" si="300"/>
        <v>26810.176393000002</v>
      </c>
      <c r="FC42" s="51">
        <f t="shared" si="301"/>
        <v>88629.081119979412</v>
      </c>
      <c r="FD42" s="52">
        <f t="shared" si="302"/>
        <v>26207.700519000002</v>
      </c>
      <c r="FE42" s="51">
        <f t="shared" si="303"/>
        <v>86637.416375710207</v>
      </c>
      <c r="FF42" s="53">
        <f t="shared" si="304"/>
        <v>25605.224645000002</v>
      </c>
      <c r="FG42" s="51">
        <f t="shared" si="305"/>
        <v>84645.751631441002</v>
      </c>
      <c r="FH42" s="52">
        <f t="shared" si="306"/>
        <v>25002.748770999999</v>
      </c>
      <c r="FI42" s="51">
        <f t="shared" si="307"/>
        <v>82654.086887171798</v>
      </c>
      <c r="FJ42" s="48">
        <f t="shared" si="308"/>
        <v>24400.272896999999</v>
      </c>
      <c r="FK42" s="51">
        <f t="shared" si="309"/>
        <v>80662.422142902593</v>
      </c>
      <c r="FL42" s="53">
        <f t="shared" si="310"/>
        <v>23797.797022999999</v>
      </c>
      <c r="FM42" s="51">
        <f t="shared" si="311"/>
        <v>78670.757398633403</v>
      </c>
      <c r="FN42" s="53">
        <f t="shared" si="312"/>
        <v>23195.321148999999</v>
      </c>
      <c r="FO42" s="51">
        <f t="shared" si="313"/>
        <v>76679.092654364198</v>
      </c>
      <c r="FP42" s="53">
        <f t="shared" si="314"/>
        <v>22592.845275</v>
      </c>
      <c r="FQ42" s="51">
        <f t="shared" si="315"/>
        <v>74687.427910094993</v>
      </c>
      <c r="FR42" s="48">
        <f t="shared" si="316"/>
        <v>21990.369400999996</v>
      </c>
      <c r="FS42" s="51">
        <f t="shared" si="317"/>
        <v>72695.763165825789</v>
      </c>
      <c r="FT42" s="53">
        <f t="shared" si="318"/>
        <v>21387.893526999997</v>
      </c>
      <c r="FU42" s="51">
        <f t="shared" si="319"/>
        <v>70704.098421556584</v>
      </c>
      <c r="FV42" s="53">
        <f t="shared" si="320"/>
        <v>20785.417652999997</v>
      </c>
      <c r="FW42" s="51">
        <f t="shared" si="321"/>
        <v>68712.433677287394</v>
      </c>
      <c r="FX42" s="53">
        <f t="shared" si="322"/>
        <v>20182.941778999997</v>
      </c>
      <c r="FY42" s="51">
        <f t="shared" si="323"/>
        <v>66720.768933018189</v>
      </c>
      <c r="FZ42" s="53">
        <f t="shared" si="324"/>
        <v>19580.465904999994</v>
      </c>
      <c r="GA42" s="51">
        <f t="shared" si="325"/>
        <v>64729.104188748977</v>
      </c>
      <c r="GB42" s="48">
        <f t="shared" si="326"/>
        <v>18977.990030999994</v>
      </c>
      <c r="GC42" s="51">
        <f t="shared" si="327"/>
        <v>62737.43944447978</v>
      </c>
      <c r="GD42" s="53">
        <f t="shared" si="328"/>
        <v>18375.514156999994</v>
      </c>
      <c r="GE42" s="51">
        <f t="shared" si="329"/>
        <v>60745.774700210583</v>
      </c>
      <c r="GF42" s="53">
        <f t="shared" si="330"/>
        <v>17773.038282999994</v>
      </c>
      <c r="GG42" s="51">
        <f t="shared" si="331"/>
        <v>58754.109955941385</v>
      </c>
      <c r="GH42" s="48">
        <f t="shared" si="332"/>
        <v>17170.562408999995</v>
      </c>
      <c r="GI42" s="51">
        <f t="shared" si="333"/>
        <v>56762.44521167218</v>
      </c>
      <c r="GJ42" s="48"/>
      <c r="GK42" s="48"/>
      <c r="GL42" s="48">
        <v>1</v>
      </c>
      <c r="GM42" s="48">
        <v>0.97</v>
      </c>
      <c r="GN42" s="48">
        <v>0.95</v>
      </c>
      <c r="GO42" s="48">
        <v>0.93</v>
      </c>
      <c r="GP42" s="48">
        <f t="shared" ref="GP42:HG42" si="374">+GO42-0.02</f>
        <v>0.91</v>
      </c>
      <c r="GQ42" s="48">
        <f t="shared" si="374"/>
        <v>0.89</v>
      </c>
      <c r="GR42" s="48">
        <f t="shared" si="374"/>
        <v>0.87</v>
      </c>
      <c r="GS42" s="48">
        <f t="shared" si="374"/>
        <v>0.85</v>
      </c>
      <c r="GT42" s="48">
        <f t="shared" si="374"/>
        <v>0.83</v>
      </c>
      <c r="GU42" s="48">
        <f t="shared" si="374"/>
        <v>0.80999999999999994</v>
      </c>
      <c r="GV42" s="48">
        <f t="shared" si="374"/>
        <v>0.78999999999999992</v>
      </c>
      <c r="GW42" s="48">
        <f t="shared" si="374"/>
        <v>0.76999999999999991</v>
      </c>
      <c r="GX42" s="48">
        <f t="shared" si="374"/>
        <v>0.74999999999999989</v>
      </c>
      <c r="GY42" s="48">
        <f t="shared" si="374"/>
        <v>0.72999999999999987</v>
      </c>
      <c r="GZ42" s="48">
        <f t="shared" si="374"/>
        <v>0.70999999999999985</v>
      </c>
      <c r="HA42" s="48">
        <f t="shared" si="374"/>
        <v>0.68999999999999984</v>
      </c>
      <c r="HB42" s="48">
        <f t="shared" si="374"/>
        <v>0.66999999999999982</v>
      </c>
      <c r="HC42" s="48">
        <f t="shared" si="374"/>
        <v>0.6499999999999998</v>
      </c>
      <c r="HD42" s="48">
        <f t="shared" si="374"/>
        <v>0.62999999999999978</v>
      </c>
      <c r="HE42" s="48">
        <f t="shared" si="374"/>
        <v>0.60999999999999976</v>
      </c>
      <c r="HF42" s="48">
        <f t="shared" si="374"/>
        <v>0.58999999999999975</v>
      </c>
      <c r="HG42" s="48">
        <f t="shared" si="374"/>
        <v>0.56999999999999973</v>
      </c>
    </row>
    <row r="43" spans="1:250" x14ac:dyDescent="0.3">
      <c r="A43" s="2">
        <v>10</v>
      </c>
      <c r="C43" s="39" t="s">
        <v>15</v>
      </c>
      <c r="D43" s="44">
        <f>TRUNC(17508.9896514161,-1)</f>
        <v>17500</v>
      </c>
      <c r="E43" s="73">
        <f t="shared" si="203"/>
        <v>57850</v>
      </c>
      <c r="G43" s="48">
        <f t="shared" si="61"/>
        <v>19250</v>
      </c>
      <c r="H43" s="48">
        <f t="shared" si="62"/>
        <v>19250</v>
      </c>
      <c r="I43" s="51">
        <f t="shared" si="63"/>
        <v>63636.65</v>
      </c>
      <c r="J43" s="48">
        <f t="shared" si="204"/>
        <v>18672.5</v>
      </c>
      <c r="K43" s="51">
        <f t="shared" si="205"/>
        <v>61727.550500000005</v>
      </c>
      <c r="L43" s="48">
        <f t="shared" si="206"/>
        <v>18287.5</v>
      </c>
      <c r="M43" s="51">
        <f t="shared" si="207"/>
        <v>60454.817500000005</v>
      </c>
      <c r="N43" s="48">
        <f t="shared" si="208"/>
        <v>17902.5</v>
      </c>
      <c r="O43" s="51">
        <f t="shared" si="209"/>
        <v>59182.084500000004</v>
      </c>
      <c r="P43" s="52">
        <f t="shared" si="210"/>
        <v>17517.5</v>
      </c>
      <c r="Q43" s="51">
        <f t="shared" si="211"/>
        <v>57909.351500000004</v>
      </c>
      <c r="R43" s="48">
        <f t="shared" si="212"/>
        <v>17132.5</v>
      </c>
      <c r="S43" s="51">
        <f t="shared" si="213"/>
        <v>56636.618500000004</v>
      </c>
      <c r="T43" s="52">
        <f t="shared" si="214"/>
        <v>16747.5</v>
      </c>
      <c r="U43" s="51">
        <f t="shared" si="215"/>
        <v>55363.885500000004</v>
      </c>
      <c r="V43" s="53">
        <f t="shared" si="216"/>
        <v>16362.5</v>
      </c>
      <c r="W43" s="51">
        <f t="shared" si="217"/>
        <v>54091.152500000004</v>
      </c>
      <c r="X43" s="52">
        <f t="shared" si="218"/>
        <v>15977.5</v>
      </c>
      <c r="Y43" s="51">
        <f t="shared" si="219"/>
        <v>52818.419500000004</v>
      </c>
      <c r="Z43" s="48">
        <f t="shared" si="220"/>
        <v>15592.499999999998</v>
      </c>
      <c r="AA43" s="51">
        <f t="shared" si="221"/>
        <v>51545.686499999996</v>
      </c>
      <c r="AB43" s="53">
        <f t="shared" si="222"/>
        <v>15207.499999999998</v>
      </c>
      <c r="AC43" s="51">
        <f t="shared" si="223"/>
        <v>50272.953499999996</v>
      </c>
      <c r="AD43" s="53">
        <f t="shared" si="224"/>
        <v>14822.499999999998</v>
      </c>
      <c r="AE43" s="51">
        <f t="shared" si="225"/>
        <v>49000.220499999996</v>
      </c>
      <c r="AF43" s="53">
        <f t="shared" si="226"/>
        <v>14437.499999999998</v>
      </c>
      <c r="AG43" s="51">
        <f t="shared" si="227"/>
        <v>47727.487499999996</v>
      </c>
      <c r="AH43" s="48">
        <f t="shared" si="228"/>
        <v>14052.499999999998</v>
      </c>
      <c r="AI43" s="51">
        <f t="shared" si="229"/>
        <v>46454.754499999995</v>
      </c>
      <c r="AJ43" s="53">
        <f t="shared" si="230"/>
        <v>13667.499999999996</v>
      </c>
      <c r="AK43" s="51">
        <f t="shared" si="231"/>
        <v>45182.021499999988</v>
      </c>
      <c r="AL43" s="53">
        <f t="shared" si="232"/>
        <v>13282.499999999996</v>
      </c>
      <c r="AM43" s="51">
        <f t="shared" si="233"/>
        <v>43909.288499999988</v>
      </c>
      <c r="AN43" s="53">
        <f t="shared" si="234"/>
        <v>12897.499999999996</v>
      </c>
      <c r="AO43" s="51">
        <f t="shared" si="235"/>
        <v>42636.555499999988</v>
      </c>
      <c r="AP43" s="53">
        <f t="shared" si="236"/>
        <v>12512.499999999996</v>
      </c>
      <c r="AQ43" s="51">
        <f t="shared" si="237"/>
        <v>41363.822499999987</v>
      </c>
      <c r="AR43" s="48">
        <f t="shared" si="238"/>
        <v>12127.499999999996</v>
      </c>
      <c r="AS43" s="51">
        <f t="shared" si="239"/>
        <v>40091.089499999987</v>
      </c>
      <c r="AT43" s="53">
        <f t="shared" si="240"/>
        <v>11742.499999999996</v>
      </c>
      <c r="AU43" s="51">
        <f t="shared" si="241"/>
        <v>38818.356499999987</v>
      </c>
      <c r="AV43" s="53">
        <f t="shared" si="242"/>
        <v>11357.499999999995</v>
      </c>
      <c r="AW43" s="51">
        <f t="shared" si="243"/>
        <v>37545.62349999998</v>
      </c>
      <c r="AX43" s="48">
        <f t="shared" si="244"/>
        <v>10972.499999999995</v>
      </c>
      <c r="AY43" s="51">
        <f t="shared" si="245"/>
        <v>36272.89049999998</v>
      </c>
      <c r="BB43" s="48">
        <v>1</v>
      </c>
      <c r="BC43" s="48">
        <v>0.97</v>
      </c>
      <c r="BD43" s="48">
        <v>0.95</v>
      </c>
      <c r="BE43" s="48">
        <v>0.93</v>
      </c>
      <c r="BF43" s="48">
        <f t="shared" ref="BF43:BW43" si="375">+BE43-0.02</f>
        <v>0.91</v>
      </c>
      <c r="BG43" s="48">
        <f t="shared" si="375"/>
        <v>0.89</v>
      </c>
      <c r="BH43" s="48">
        <f t="shared" si="375"/>
        <v>0.87</v>
      </c>
      <c r="BI43" s="48">
        <f t="shared" si="375"/>
        <v>0.85</v>
      </c>
      <c r="BJ43" s="48">
        <f t="shared" si="375"/>
        <v>0.83</v>
      </c>
      <c r="BK43" s="48">
        <f t="shared" si="375"/>
        <v>0.80999999999999994</v>
      </c>
      <c r="BL43" s="48">
        <f t="shared" si="375"/>
        <v>0.78999999999999992</v>
      </c>
      <c r="BM43" s="48">
        <f t="shared" si="375"/>
        <v>0.76999999999999991</v>
      </c>
      <c r="BN43" s="48">
        <f t="shared" si="375"/>
        <v>0.74999999999999989</v>
      </c>
      <c r="BO43" s="48">
        <f t="shared" si="375"/>
        <v>0.72999999999999987</v>
      </c>
      <c r="BP43" s="48">
        <f t="shared" si="375"/>
        <v>0.70999999999999985</v>
      </c>
      <c r="BQ43" s="48">
        <f t="shared" si="375"/>
        <v>0.68999999999999984</v>
      </c>
      <c r="BR43" s="48">
        <f t="shared" si="375"/>
        <v>0.66999999999999982</v>
      </c>
      <c r="BS43" s="48">
        <f t="shared" si="375"/>
        <v>0.6499999999999998</v>
      </c>
      <c r="BT43" s="48">
        <f t="shared" si="375"/>
        <v>0.62999999999999978</v>
      </c>
      <c r="BU43" s="48">
        <f t="shared" si="375"/>
        <v>0.60999999999999976</v>
      </c>
      <c r="BV43" s="48">
        <f t="shared" si="375"/>
        <v>0.58999999999999975</v>
      </c>
      <c r="BW43" s="48">
        <f t="shared" si="375"/>
        <v>0.56999999999999973</v>
      </c>
      <c r="BY43" s="48">
        <f t="shared" si="88"/>
        <v>17517.5</v>
      </c>
      <c r="BZ43" s="48">
        <f t="shared" si="89"/>
        <v>17517.5</v>
      </c>
      <c r="CA43" s="51">
        <f t="shared" ref="CA43" si="376">+BZ43*3.3058</f>
        <v>57909.351500000004</v>
      </c>
      <c r="CB43" s="48">
        <f t="shared" si="248"/>
        <v>16991.974999999999</v>
      </c>
      <c r="CC43" s="51">
        <f t="shared" si="249"/>
        <v>56172.070954999996</v>
      </c>
      <c r="CD43" s="48">
        <f t="shared" si="250"/>
        <v>16641.625</v>
      </c>
      <c r="CE43" s="51">
        <f t="shared" si="251"/>
        <v>55013.883925000002</v>
      </c>
      <c r="CF43" s="48">
        <f t="shared" si="252"/>
        <v>16291.275000000001</v>
      </c>
      <c r="CG43" s="51">
        <f t="shared" si="253"/>
        <v>53855.696895000008</v>
      </c>
      <c r="CH43" s="52">
        <f t="shared" si="254"/>
        <v>15940.925000000001</v>
      </c>
      <c r="CI43" s="51">
        <f t="shared" si="255"/>
        <v>52697.509865000007</v>
      </c>
      <c r="CJ43" s="48">
        <f t="shared" si="256"/>
        <v>15590.575000000001</v>
      </c>
      <c r="CK43" s="51">
        <f t="shared" si="257"/>
        <v>51539.322835000006</v>
      </c>
      <c r="CL43" s="52">
        <f t="shared" si="258"/>
        <v>15240.225</v>
      </c>
      <c r="CM43" s="51">
        <f t="shared" si="259"/>
        <v>50381.135805000005</v>
      </c>
      <c r="CN43" s="53">
        <f t="shared" si="260"/>
        <v>14889.875</v>
      </c>
      <c r="CO43" s="51">
        <f t="shared" si="261"/>
        <v>49222.948775000004</v>
      </c>
      <c r="CP43" s="52">
        <f t="shared" si="262"/>
        <v>14539.525</v>
      </c>
      <c r="CQ43" s="51">
        <f t="shared" si="263"/>
        <v>48064.761745000003</v>
      </c>
      <c r="CR43" s="48">
        <f t="shared" si="264"/>
        <v>14189.174999999999</v>
      </c>
      <c r="CS43" s="51">
        <f t="shared" si="265"/>
        <v>46906.574714999995</v>
      </c>
      <c r="CT43" s="53">
        <f t="shared" si="266"/>
        <v>13838.824999999999</v>
      </c>
      <c r="CU43" s="51">
        <f t="shared" si="267"/>
        <v>45748.387684999994</v>
      </c>
      <c r="CV43" s="53">
        <f t="shared" si="268"/>
        <v>13488.474999999999</v>
      </c>
      <c r="CW43" s="51">
        <f t="shared" si="269"/>
        <v>44590.200654999993</v>
      </c>
      <c r="CX43" s="53">
        <f t="shared" si="270"/>
        <v>13138.124999999998</v>
      </c>
      <c r="CY43" s="51">
        <f t="shared" si="271"/>
        <v>43432.013624999992</v>
      </c>
      <c r="CZ43" s="48">
        <f t="shared" si="272"/>
        <v>12787.774999999998</v>
      </c>
      <c r="DA43" s="51">
        <f t="shared" si="273"/>
        <v>42273.826594999991</v>
      </c>
      <c r="DB43" s="53">
        <f t="shared" si="274"/>
        <v>12437.424999999997</v>
      </c>
      <c r="DC43" s="51">
        <f t="shared" si="275"/>
        <v>41115.63956499999</v>
      </c>
      <c r="DD43" s="53">
        <f t="shared" si="276"/>
        <v>12087.074999999997</v>
      </c>
      <c r="DE43" s="51">
        <f t="shared" si="277"/>
        <v>39957.452534999989</v>
      </c>
      <c r="DF43" s="53">
        <f t="shared" si="278"/>
        <v>11736.724999999997</v>
      </c>
      <c r="DG43" s="51">
        <f t="shared" si="279"/>
        <v>38799.265504999988</v>
      </c>
      <c r="DH43" s="53">
        <f t="shared" si="280"/>
        <v>11386.374999999996</v>
      </c>
      <c r="DI43" s="51">
        <f t="shared" si="281"/>
        <v>37641.078474999988</v>
      </c>
      <c r="DJ43" s="48">
        <f t="shared" si="282"/>
        <v>11036.024999999996</v>
      </c>
      <c r="DK43" s="51">
        <f t="shared" si="283"/>
        <v>36482.891444999987</v>
      </c>
      <c r="DL43" s="53">
        <f t="shared" si="284"/>
        <v>10685.674999999996</v>
      </c>
      <c r="DM43" s="51">
        <f t="shared" si="285"/>
        <v>35324.704414999986</v>
      </c>
      <c r="DN43" s="53">
        <f t="shared" si="286"/>
        <v>10335.324999999995</v>
      </c>
      <c r="DO43" s="51">
        <f t="shared" si="287"/>
        <v>34166.517384999985</v>
      </c>
      <c r="DP43" s="48">
        <f t="shared" si="288"/>
        <v>9984.9749999999949</v>
      </c>
      <c r="DQ43" s="51">
        <f t="shared" si="289"/>
        <v>33008.330354999984</v>
      </c>
      <c r="DT43" s="48">
        <v>1</v>
      </c>
      <c r="DU43" s="48">
        <v>0.97</v>
      </c>
      <c r="DV43" s="48">
        <v>0.95</v>
      </c>
      <c r="DW43" s="48">
        <v>0.93</v>
      </c>
      <c r="DX43" s="48">
        <f t="shared" ref="DX43:EO43" si="377">+DW43-0.02</f>
        <v>0.91</v>
      </c>
      <c r="DY43" s="48">
        <f t="shared" si="377"/>
        <v>0.89</v>
      </c>
      <c r="DZ43" s="48">
        <f t="shared" si="377"/>
        <v>0.87</v>
      </c>
      <c r="EA43" s="48">
        <f t="shared" si="377"/>
        <v>0.85</v>
      </c>
      <c r="EB43" s="48">
        <f t="shared" si="377"/>
        <v>0.83</v>
      </c>
      <c r="EC43" s="48">
        <f t="shared" si="377"/>
        <v>0.80999999999999994</v>
      </c>
      <c r="ED43" s="48">
        <f t="shared" si="377"/>
        <v>0.78999999999999992</v>
      </c>
      <c r="EE43" s="48">
        <f t="shared" si="377"/>
        <v>0.76999999999999991</v>
      </c>
      <c r="EF43" s="48">
        <f t="shared" si="377"/>
        <v>0.74999999999999989</v>
      </c>
      <c r="EG43" s="48">
        <f t="shared" si="377"/>
        <v>0.72999999999999987</v>
      </c>
      <c r="EH43" s="48">
        <f t="shared" si="377"/>
        <v>0.70999999999999985</v>
      </c>
      <c r="EI43" s="48">
        <f t="shared" si="377"/>
        <v>0.68999999999999984</v>
      </c>
      <c r="EJ43" s="48">
        <f t="shared" si="377"/>
        <v>0.66999999999999982</v>
      </c>
      <c r="EK43" s="48">
        <f t="shared" si="377"/>
        <v>0.6499999999999998</v>
      </c>
      <c r="EL43" s="48">
        <f t="shared" si="377"/>
        <v>0.62999999999999978</v>
      </c>
      <c r="EM43" s="48">
        <f t="shared" si="377"/>
        <v>0.60999999999999976</v>
      </c>
      <c r="EN43" s="48">
        <f t="shared" si="377"/>
        <v>0.58999999999999975</v>
      </c>
      <c r="EO43" s="48">
        <f t="shared" si="377"/>
        <v>0.56999999999999973</v>
      </c>
      <c r="EQ43" s="48">
        <f t="shared" si="188"/>
        <v>15940.925000000001</v>
      </c>
      <c r="ER43" s="48">
        <f t="shared" si="116"/>
        <v>15940.925000000001</v>
      </c>
      <c r="ES43" s="51">
        <f t="shared" ref="ES43" si="378">+ER43*3.3058</f>
        <v>52697.509865000007</v>
      </c>
      <c r="ET43" s="48">
        <f t="shared" si="292"/>
        <v>15462.697250000001</v>
      </c>
      <c r="EU43" s="51">
        <f t="shared" si="293"/>
        <v>51116.584569050006</v>
      </c>
      <c r="EV43" s="48">
        <f t="shared" si="294"/>
        <v>15143.87875</v>
      </c>
      <c r="EW43" s="51">
        <f t="shared" si="295"/>
        <v>50062.634371749999</v>
      </c>
      <c r="EX43" s="48">
        <f t="shared" si="296"/>
        <v>14825.060250000002</v>
      </c>
      <c r="EY43" s="51">
        <f t="shared" si="297"/>
        <v>49008.684174450005</v>
      </c>
      <c r="EZ43" s="52">
        <f t="shared" si="298"/>
        <v>14506.241750000001</v>
      </c>
      <c r="FA43" s="51">
        <f t="shared" si="299"/>
        <v>47954.733977150005</v>
      </c>
      <c r="FB43" s="48">
        <f t="shared" si="300"/>
        <v>14187.423250000002</v>
      </c>
      <c r="FC43" s="51">
        <f t="shared" si="301"/>
        <v>46900.783779850004</v>
      </c>
      <c r="FD43" s="52">
        <f t="shared" si="302"/>
        <v>13868.60475</v>
      </c>
      <c r="FE43" s="51">
        <f t="shared" si="303"/>
        <v>45846.833582550003</v>
      </c>
      <c r="FF43" s="53">
        <f t="shared" si="304"/>
        <v>13549.786250000001</v>
      </c>
      <c r="FG43" s="51">
        <f t="shared" si="305"/>
        <v>44792.883385250003</v>
      </c>
      <c r="FH43" s="52">
        <f t="shared" si="306"/>
        <v>13230.96775</v>
      </c>
      <c r="FI43" s="51">
        <f t="shared" si="307"/>
        <v>43738.933187950002</v>
      </c>
      <c r="FJ43" s="48">
        <f t="shared" si="308"/>
        <v>12912.14925</v>
      </c>
      <c r="FK43" s="51">
        <f t="shared" si="309"/>
        <v>42684.982990650002</v>
      </c>
      <c r="FL43" s="53">
        <f t="shared" si="310"/>
        <v>12593.330749999999</v>
      </c>
      <c r="FM43" s="51">
        <f t="shared" si="311"/>
        <v>41631.032793350001</v>
      </c>
      <c r="FN43" s="53">
        <f t="shared" si="312"/>
        <v>12274.51225</v>
      </c>
      <c r="FO43" s="51">
        <f t="shared" si="313"/>
        <v>40577.082596050001</v>
      </c>
      <c r="FP43" s="53">
        <f t="shared" si="314"/>
        <v>11955.693749999999</v>
      </c>
      <c r="FQ43" s="51">
        <f t="shared" si="315"/>
        <v>39523.132398749993</v>
      </c>
      <c r="FR43" s="48">
        <f t="shared" si="316"/>
        <v>11636.875249999999</v>
      </c>
      <c r="FS43" s="51">
        <f t="shared" si="317"/>
        <v>38469.182201449999</v>
      </c>
      <c r="FT43" s="53">
        <f t="shared" si="318"/>
        <v>11318.056749999998</v>
      </c>
      <c r="FU43" s="51">
        <f t="shared" si="319"/>
        <v>37415.232004149992</v>
      </c>
      <c r="FV43" s="53">
        <f t="shared" si="320"/>
        <v>10999.238249999999</v>
      </c>
      <c r="FW43" s="51">
        <f t="shared" si="321"/>
        <v>36361.281806849998</v>
      </c>
      <c r="FX43" s="53">
        <f t="shared" si="322"/>
        <v>10680.419749999997</v>
      </c>
      <c r="FY43" s="51">
        <f t="shared" si="323"/>
        <v>35307.33160954999</v>
      </c>
      <c r="FZ43" s="53">
        <f t="shared" si="324"/>
        <v>10361.601249999998</v>
      </c>
      <c r="GA43" s="51">
        <f t="shared" si="325"/>
        <v>34253.381412249997</v>
      </c>
      <c r="GB43" s="48">
        <f t="shared" si="326"/>
        <v>10042.782749999997</v>
      </c>
      <c r="GC43" s="51">
        <f t="shared" si="327"/>
        <v>33199.431214949989</v>
      </c>
      <c r="GD43" s="53">
        <f t="shared" si="328"/>
        <v>9723.9642499999973</v>
      </c>
      <c r="GE43" s="51">
        <f t="shared" si="329"/>
        <v>32145.481017649992</v>
      </c>
      <c r="GF43" s="53">
        <f t="shared" si="330"/>
        <v>9405.145749999996</v>
      </c>
      <c r="GG43" s="51">
        <f t="shared" si="331"/>
        <v>31091.530820349988</v>
      </c>
      <c r="GH43" s="48">
        <f t="shared" si="332"/>
        <v>9086.3272499999966</v>
      </c>
      <c r="GI43" s="51">
        <f t="shared" si="333"/>
        <v>30037.580623049991</v>
      </c>
      <c r="GJ43" s="48"/>
      <c r="GK43" s="48"/>
      <c r="GL43" s="48">
        <v>1</v>
      </c>
      <c r="GM43" s="48">
        <v>0.97</v>
      </c>
      <c r="GN43" s="48">
        <v>0.95</v>
      </c>
      <c r="GO43" s="48">
        <v>0.93</v>
      </c>
      <c r="GP43" s="48">
        <f t="shared" ref="GP43:HG43" si="379">+GO43-0.02</f>
        <v>0.91</v>
      </c>
      <c r="GQ43" s="48">
        <f t="shared" si="379"/>
        <v>0.89</v>
      </c>
      <c r="GR43" s="48">
        <f t="shared" si="379"/>
        <v>0.87</v>
      </c>
      <c r="GS43" s="48">
        <f t="shared" si="379"/>
        <v>0.85</v>
      </c>
      <c r="GT43" s="48">
        <f t="shared" si="379"/>
        <v>0.83</v>
      </c>
      <c r="GU43" s="48">
        <f t="shared" si="379"/>
        <v>0.80999999999999994</v>
      </c>
      <c r="GV43" s="48">
        <f t="shared" si="379"/>
        <v>0.78999999999999992</v>
      </c>
      <c r="GW43" s="48">
        <f t="shared" si="379"/>
        <v>0.76999999999999991</v>
      </c>
      <c r="GX43" s="48">
        <f t="shared" si="379"/>
        <v>0.74999999999999989</v>
      </c>
      <c r="GY43" s="48">
        <f t="shared" si="379"/>
        <v>0.72999999999999987</v>
      </c>
      <c r="GZ43" s="48">
        <f t="shared" si="379"/>
        <v>0.70999999999999985</v>
      </c>
      <c r="HA43" s="48">
        <f t="shared" si="379"/>
        <v>0.68999999999999984</v>
      </c>
      <c r="HB43" s="48">
        <f t="shared" si="379"/>
        <v>0.66999999999999982</v>
      </c>
      <c r="HC43" s="48">
        <f t="shared" si="379"/>
        <v>0.6499999999999998</v>
      </c>
      <c r="HD43" s="48">
        <f t="shared" si="379"/>
        <v>0.62999999999999978</v>
      </c>
      <c r="HE43" s="48">
        <f t="shared" si="379"/>
        <v>0.60999999999999976</v>
      </c>
      <c r="HF43" s="48">
        <f t="shared" si="379"/>
        <v>0.58999999999999975</v>
      </c>
      <c r="HG43" s="48">
        <f t="shared" si="379"/>
        <v>0.56999999999999973</v>
      </c>
    </row>
    <row r="44" spans="1:250" s="63" customFormat="1" x14ac:dyDescent="0.3">
      <c r="A44" s="2">
        <v>11</v>
      </c>
      <c r="B44" s="2"/>
      <c r="C44" s="39" t="s">
        <v>16</v>
      </c>
      <c r="D44" s="44">
        <f>TRUNC(10441.1178286129,-1)</f>
        <v>10440</v>
      </c>
      <c r="E44" s="73">
        <f t="shared" si="203"/>
        <v>34510</v>
      </c>
      <c r="F44" s="2"/>
      <c r="G44" s="48">
        <f t="shared" ref="G44" si="380">+D44*1.1</f>
        <v>11484.000000000002</v>
      </c>
      <c r="H44" s="48">
        <f t="shared" ref="H44" si="381">+G44</f>
        <v>11484.000000000002</v>
      </c>
      <c r="I44" s="51">
        <f t="shared" ref="I44" si="382">+H44*3.3058</f>
        <v>37963.80720000001</v>
      </c>
      <c r="J44" s="48">
        <f t="shared" ref="J44" si="383">+H44*BC44</f>
        <v>11139.480000000001</v>
      </c>
      <c r="K44" s="51">
        <f t="shared" ref="K44" si="384">+J44*3.3058</f>
        <v>36824.892984000006</v>
      </c>
      <c r="L44" s="48">
        <f t="shared" ref="L44" si="385">+H44*BD44</f>
        <v>10909.800000000001</v>
      </c>
      <c r="M44" s="51">
        <f t="shared" ref="M44" si="386">+L44*3.3058</f>
        <v>36065.616840000002</v>
      </c>
      <c r="N44" s="48">
        <f t="shared" ref="N44" si="387">+H44*BE44</f>
        <v>10680.120000000003</v>
      </c>
      <c r="O44" s="51">
        <f t="shared" ref="O44" si="388">+N44*3.3058</f>
        <v>35306.340696000007</v>
      </c>
      <c r="P44" s="52">
        <f t="shared" ref="P44" si="389">+H44*BF44</f>
        <v>10450.440000000002</v>
      </c>
      <c r="Q44" s="51">
        <f t="shared" ref="Q44" si="390">+P44*3.3058</f>
        <v>34547.064552000011</v>
      </c>
      <c r="R44" s="48">
        <f t="shared" ref="R44" si="391">+H44*BG44</f>
        <v>10220.760000000002</v>
      </c>
      <c r="S44" s="51">
        <f t="shared" ref="S44" si="392">+R44*3.3058</f>
        <v>33787.788408000008</v>
      </c>
      <c r="T44" s="52">
        <f t="shared" ref="T44" si="393">+H44*BH44</f>
        <v>9991.0800000000017</v>
      </c>
      <c r="U44" s="51">
        <f t="shared" ref="U44" si="394">+T44*3.3058</f>
        <v>33028.512264000005</v>
      </c>
      <c r="V44" s="53">
        <f t="shared" ref="V44" si="395">+H44*BI44</f>
        <v>9761.4000000000015</v>
      </c>
      <c r="W44" s="51">
        <f t="shared" ref="W44" si="396">+V44*3.3058</f>
        <v>32269.236120000005</v>
      </c>
      <c r="X44" s="52">
        <f t="shared" ref="X44" si="397">+H44*BJ44</f>
        <v>9531.7200000000012</v>
      </c>
      <c r="Y44" s="51">
        <f t="shared" ref="Y44" si="398">+X44*3.3058</f>
        <v>31509.959976000006</v>
      </c>
      <c r="Z44" s="48">
        <f t="shared" ref="Z44" si="399">+H44*BK44</f>
        <v>9302.0400000000009</v>
      </c>
      <c r="AA44" s="51">
        <f t="shared" ref="AA44" si="400">+Z44*3.3058</f>
        <v>30750.683832000002</v>
      </c>
      <c r="AB44" s="53">
        <f t="shared" ref="AB44" si="401">+H44*BL44</f>
        <v>9072.36</v>
      </c>
      <c r="AC44" s="51">
        <f t="shared" ref="AC44" si="402">+AB44*3.3058</f>
        <v>29991.407688000003</v>
      </c>
      <c r="AD44" s="53">
        <f t="shared" ref="AD44" si="403">+H44*BM44</f>
        <v>8842.68</v>
      </c>
      <c r="AE44" s="51">
        <f t="shared" ref="AE44" si="404">+AD44*3.3058</f>
        <v>29232.131544</v>
      </c>
      <c r="AF44" s="53">
        <f t="shared" ref="AF44" si="405">+H44*BN44</f>
        <v>8613</v>
      </c>
      <c r="AG44" s="51">
        <f t="shared" ref="AG44" si="406">+AF44*3.3058</f>
        <v>28472.8554</v>
      </c>
      <c r="AH44" s="48">
        <f t="shared" ref="AH44" si="407">+H44*BO44</f>
        <v>8383.32</v>
      </c>
      <c r="AI44" s="51">
        <f t="shared" ref="AI44" si="408">+AH44*3.3058</f>
        <v>27713.579256000001</v>
      </c>
      <c r="AJ44" s="53">
        <f t="shared" ref="AJ44" si="409">+H44*BP44</f>
        <v>8153.6399999999994</v>
      </c>
      <c r="AK44" s="51">
        <f t="shared" ref="AK44" si="410">+AJ44*3.3058</f>
        <v>26954.303111999998</v>
      </c>
      <c r="AL44" s="53">
        <f t="shared" ref="AL44" si="411">+H44*BQ44</f>
        <v>7923.9599999999991</v>
      </c>
      <c r="AM44" s="51">
        <f t="shared" ref="AM44" si="412">+AL44*3.3058</f>
        <v>26195.026967999998</v>
      </c>
      <c r="AN44" s="53">
        <f t="shared" ref="AN44" si="413">+H44*BR44</f>
        <v>7694.2799999999988</v>
      </c>
      <c r="AO44" s="51">
        <f t="shared" ref="AO44" si="414">+AN44*3.3058</f>
        <v>25435.750823999995</v>
      </c>
      <c r="AP44" s="53">
        <f t="shared" ref="AP44" si="415">+H44*BS44</f>
        <v>7464.5999999999985</v>
      </c>
      <c r="AQ44" s="51">
        <f t="shared" ref="AQ44" si="416">+AP44*3.3058</f>
        <v>24676.474679999996</v>
      </c>
      <c r="AR44" s="48">
        <f t="shared" ref="AR44" si="417">+H44*BT44</f>
        <v>7234.9199999999983</v>
      </c>
      <c r="AS44" s="51">
        <f t="shared" ref="AS44" si="418">+AR44*3.3058</f>
        <v>23917.198535999996</v>
      </c>
      <c r="AT44" s="53">
        <f t="shared" ref="AT44" si="419">+H44*BU44</f>
        <v>7005.239999999998</v>
      </c>
      <c r="AU44" s="51">
        <f t="shared" ref="AU44" si="420">+AT44*3.3058</f>
        <v>23157.922391999993</v>
      </c>
      <c r="AV44" s="53">
        <f t="shared" ref="AV44" si="421">+H44*BV44</f>
        <v>6775.5599999999986</v>
      </c>
      <c r="AW44" s="51">
        <f t="shared" ref="AW44" si="422">+AV44*3.3058</f>
        <v>22398.646247999997</v>
      </c>
      <c r="AX44" s="48">
        <f t="shared" ref="AX44" si="423">+H44*BW44</f>
        <v>6545.8799999999983</v>
      </c>
      <c r="AY44" s="51">
        <f t="shared" ref="AY44" si="424">+AX44*3.3058</f>
        <v>21639.370103999994</v>
      </c>
      <c r="AZ44" s="48"/>
      <c r="BA44" s="48"/>
      <c r="BB44" s="48">
        <v>1</v>
      </c>
      <c r="BC44" s="48">
        <v>0.97</v>
      </c>
      <c r="BD44" s="48">
        <v>0.95</v>
      </c>
      <c r="BE44" s="48">
        <v>0.93</v>
      </c>
      <c r="BF44" s="48">
        <f t="shared" ref="BF44" si="425">+BE44-0.02</f>
        <v>0.91</v>
      </c>
      <c r="BG44" s="48">
        <f t="shared" ref="BG44" si="426">+BF44-0.02</f>
        <v>0.89</v>
      </c>
      <c r="BH44" s="48">
        <f t="shared" ref="BH44" si="427">+BG44-0.02</f>
        <v>0.87</v>
      </c>
      <c r="BI44" s="48">
        <f t="shared" ref="BI44" si="428">+BH44-0.02</f>
        <v>0.85</v>
      </c>
      <c r="BJ44" s="48">
        <f t="shared" ref="BJ44" si="429">+BI44-0.02</f>
        <v>0.83</v>
      </c>
      <c r="BK44" s="48">
        <f t="shared" ref="BK44" si="430">+BJ44-0.02</f>
        <v>0.80999999999999994</v>
      </c>
      <c r="BL44" s="48">
        <f t="shared" ref="BL44" si="431">+BK44-0.02</f>
        <v>0.78999999999999992</v>
      </c>
      <c r="BM44" s="48">
        <f t="shared" ref="BM44" si="432">+BL44-0.02</f>
        <v>0.76999999999999991</v>
      </c>
      <c r="BN44" s="48">
        <f t="shared" ref="BN44" si="433">+BM44-0.02</f>
        <v>0.74999999999999989</v>
      </c>
      <c r="BO44" s="48">
        <f t="shared" ref="BO44" si="434">+BN44-0.02</f>
        <v>0.72999999999999987</v>
      </c>
      <c r="BP44" s="48">
        <f t="shared" ref="BP44" si="435">+BO44-0.02</f>
        <v>0.70999999999999985</v>
      </c>
      <c r="BQ44" s="48">
        <f t="shared" ref="BQ44" si="436">+BP44-0.02</f>
        <v>0.68999999999999984</v>
      </c>
      <c r="BR44" s="48">
        <f t="shared" ref="BR44" si="437">+BQ44-0.02</f>
        <v>0.66999999999999982</v>
      </c>
      <c r="BS44" s="48">
        <f t="shared" ref="BS44" si="438">+BR44-0.02</f>
        <v>0.6499999999999998</v>
      </c>
      <c r="BT44" s="48">
        <f t="shared" ref="BT44" si="439">+BS44-0.02</f>
        <v>0.62999999999999978</v>
      </c>
      <c r="BU44" s="48">
        <f t="shared" ref="BU44" si="440">+BT44-0.02</f>
        <v>0.60999999999999976</v>
      </c>
      <c r="BV44" s="48">
        <f t="shared" ref="BV44" si="441">+BU44-0.02</f>
        <v>0.58999999999999975</v>
      </c>
      <c r="BW44" s="48">
        <f t="shared" ref="BW44" si="442">+BV44-0.02</f>
        <v>0.56999999999999973</v>
      </c>
      <c r="BX44" s="48"/>
      <c r="BY44" s="48">
        <f t="shared" ref="BY44" si="443">+G44*0.91</f>
        <v>10450.440000000002</v>
      </c>
      <c r="BZ44" s="48">
        <f t="shared" ref="BZ44" si="444">+BY44</f>
        <v>10450.440000000002</v>
      </c>
      <c r="CA44" s="51">
        <f t="shared" ref="CA44" si="445">+BZ44*3.3058</f>
        <v>34547.064552000011</v>
      </c>
      <c r="CB44" s="48">
        <f t="shared" ref="CB44" si="446">+BZ44*DU44</f>
        <v>10136.926800000001</v>
      </c>
      <c r="CC44" s="51">
        <f t="shared" ref="CC44" si="447">+CB44*3.3058</f>
        <v>33510.652615440005</v>
      </c>
      <c r="CD44" s="48">
        <f t="shared" ref="CD44" si="448">+BZ44*DV44</f>
        <v>9927.9180000000015</v>
      </c>
      <c r="CE44" s="51">
        <f t="shared" ref="CE44" si="449">+CD44*3.3058</f>
        <v>32819.711324400007</v>
      </c>
      <c r="CF44" s="48">
        <f t="shared" ref="CF44" si="450">+BZ44*DW44</f>
        <v>9718.9092000000019</v>
      </c>
      <c r="CG44" s="51">
        <f t="shared" ref="CG44" si="451">+CF44*3.3058</f>
        <v>32128.770033360008</v>
      </c>
      <c r="CH44" s="52">
        <f t="shared" ref="CH44" si="452">+BZ44*DX44</f>
        <v>9509.9004000000023</v>
      </c>
      <c r="CI44" s="51">
        <f t="shared" ref="CI44" si="453">+CH44*3.3058</f>
        <v>31437.828742320009</v>
      </c>
      <c r="CJ44" s="48">
        <f t="shared" ref="CJ44" si="454">+BZ44*DY44</f>
        <v>9300.8916000000027</v>
      </c>
      <c r="CK44" s="51">
        <f t="shared" ref="CK44" si="455">+CJ44*3.3058</f>
        <v>30746.88745128001</v>
      </c>
      <c r="CL44" s="52">
        <f t="shared" ref="CL44" si="456">+BZ44*DZ44</f>
        <v>9091.8828000000012</v>
      </c>
      <c r="CM44" s="51">
        <f t="shared" ref="CM44" si="457">+CL44*3.3058</f>
        <v>30055.946160240004</v>
      </c>
      <c r="CN44" s="53">
        <f t="shared" ref="CN44" si="458">+BZ44*EA44</f>
        <v>8882.8740000000016</v>
      </c>
      <c r="CO44" s="51">
        <f t="shared" ref="CO44" si="459">+CN44*3.3058</f>
        <v>29365.004869200005</v>
      </c>
      <c r="CP44" s="52">
        <f t="shared" ref="CP44" si="460">+BZ44*EB44</f>
        <v>8673.865200000002</v>
      </c>
      <c r="CQ44" s="51">
        <f t="shared" ref="CQ44" si="461">+CP44*3.3058</f>
        <v>28674.063578160007</v>
      </c>
      <c r="CR44" s="48">
        <f t="shared" ref="CR44" si="462">+BZ44*EC44</f>
        <v>8464.8564000000006</v>
      </c>
      <c r="CS44" s="51">
        <f t="shared" ref="CS44" si="463">+CR44*3.3058</f>
        <v>27983.122287120004</v>
      </c>
      <c r="CT44" s="53">
        <f t="shared" ref="CT44" si="464">+BZ44*ED44</f>
        <v>8255.847600000001</v>
      </c>
      <c r="CU44" s="51">
        <f t="shared" ref="CU44" si="465">+CT44*3.3058</f>
        <v>27292.180996080006</v>
      </c>
      <c r="CV44" s="53">
        <f t="shared" ref="CV44" si="466">+BZ44*EE44</f>
        <v>8046.8388000000004</v>
      </c>
      <c r="CW44" s="51">
        <f t="shared" ref="CW44" si="467">+CV44*3.3058</f>
        <v>26601.239705040003</v>
      </c>
      <c r="CX44" s="53">
        <f t="shared" ref="CX44" si="468">+BZ44*EF44</f>
        <v>7837.8300000000008</v>
      </c>
      <c r="CY44" s="51">
        <f t="shared" ref="CY44" si="469">+CX44*3.3058</f>
        <v>25910.298414000004</v>
      </c>
      <c r="CZ44" s="48">
        <f t="shared" ref="CZ44" si="470">+BZ44*EG44</f>
        <v>7628.8212000000003</v>
      </c>
      <c r="DA44" s="51">
        <f t="shared" ref="DA44" si="471">+CZ44*3.3058</f>
        <v>25219.357122960002</v>
      </c>
      <c r="DB44" s="53">
        <f t="shared" ref="DB44" si="472">+BZ44*EH44</f>
        <v>7419.8123999999998</v>
      </c>
      <c r="DC44" s="51">
        <f t="shared" ref="DC44" si="473">+DB44*3.3058</f>
        <v>24528.41583192</v>
      </c>
      <c r="DD44" s="53">
        <f t="shared" ref="DD44" si="474">+BZ44*EI44</f>
        <v>7210.8036000000002</v>
      </c>
      <c r="DE44" s="51">
        <f t="shared" ref="DE44" si="475">+DD44*3.3058</f>
        <v>23837.474540880001</v>
      </c>
      <c r="DF44" s="53">
        <f t="shared" ref="DF44" si="476">+BZ44*EJ44</f>
        <v>7001.7947999999997</v>
      </c>
      <c r="DG44" s="51">
        <f t="shared" ref="DG44" si="477">+DF44*3.3058</f>
        <v>23146.533249839998</v>
      </c>
      <c r="DH44" s="53">
        <f t="shared" ref="DH44" si="478">+BZ44*EK44</f>
        <v>6792.7859999999991</v>
      </c>
      <c r="DI44" s="51">
        <f t="shared" ref="DI44" si="479">+DH44*3.3058</f>
        <v>22455.591958799996</v>
      </c>
      <c r="DJ44" s="48">
        <f t="shared" ref="DJ44" si="480">+BZ44*EL44</f>
        <v>6583.7771999999995</v>
      </c>
      <c r="DK44" s="51">
        <f t="shared" ref="DK44" si="481">+DJ44*3.3058</f>
        <v>21764.650667759997</v>
      </c>
      <c r="DL44" s="53">
        <f t="shared" ref="DL44" si="482">+BZ44*EM44</f>
        <v>6374.768399999999</v>
      </c>
      <c r="DM44" s="51">
        <f t="shared" ref="DM44" si="483">+DL44*3.3058</f>
        <v>21073.709376719999</v>
      </c>
      <c r="DN44" s="53">
        <f t="shared" ref="DN44" si="484">+BZ44*EN44</f>
        <v>6165.7595999999985</v>
      </c>
      <c r="DO44" s="51">
        <f t="shared" ref="DO44" si="485">+DN44*3.3058</f>
        <v>20382.768085679996</v>
      </c>
      <c r="DP44" s="48">
        <f t="shared" ref="DP44" si="486">+BZ44*EO44</f>
        <v>5956.7507999999989</v>
      </c>
      <c r="DQ44" s="51">
        <f t="shared" ref="DQ44" si="487">+DP44*3.3058</f>
        <v>19691.826794639997</v>
      </c>
      <c r="DR44" s="48"/>
      <c r="DS44" s="48"/>
      <c r="DT44" s="48">
        <v>1</v>
      </c>
      <c r="DU44" s="48">
        <v>0.97</v>
      </c>
      <c r="DV44" s="48">
        <v>0.95</v>
      </c>
      <c r="DW44" s="48">
        <v>0.93</v>
      </c>
      <c r="DX44" s="48">
        <f t="shared" ref="DX44" si="488">+DW44-0.02</f>
        <v>0.91</v>
      </c>
      <c r="DY44" s="48">
        <f t="shared" ref="DY44" si="489">+DX44-0.02</f>
        <v>0.89</v>
      </c>
      <c r="DZ44" s="48">
        <f t="shared" ref="DZ44" si="490">+DY44-0.02</f>
        <v>0.87</v>
      </c>
      <c r="EA44" s="48">
        <f t="shared" ref="EA44" si="491">+DZ44-0.02</f>
        <v>0.85</v>
      </c>
      <c r="EB44" s="48">
        <f t="shared" ref="EB44" si="492">+EA44-0.02</f>
        <v>0.83</v>
      </c>
      <c r="EC44" s="48">
        <f t="shared" ref="EC44" si="493">+EB44-0.02</f>
        <v>0.80999999999999994</v>
      </c>
      <c r="ED44" s="48">
        <f t="shared" ref="ED44" si="494">+EC44-0.02</f>
        <v>0.78999999999999992</v>
      </c>
      <c r="EE44" s="48">
        <f t="shared" ref="EE44" si="495">+ED44-0.02</f>
        <v>0.76999999999999991</v>
      </c>
      <c r="EF44" s="48">
        <f t="shared" ref="EF44" si="496">+EE44-0.02</f>
        <v>0.74999999999999989</v>
      </c>
      <c r="EG44" s="48">
        <f t="shared" ref="EG44" si="497">+EF44-0.02</f>
        <v>0.72999999999999987</v>
      </c>
      <c r="EH44" s="48">
        <f t="shared" ref="EH44" si="498">+EG44-0.02</f>
        <v>0.70999999999999985</v>
      </c>
      <c r="EI44" s="48">
        <f t="shared" ref="EI44" si="499">+EH44-0.02</f>
        <v>0.68999999999999984</v>
      </c>
      <c r="EJ44" s="48">
        <f t="shared" ref="EJ44" si="500">+EI44-0.02</f>
        <v>0.66999999999999982</v>
      </c>
      <c r="EK44" s="48">
        <f t="shared" ref="EK44" si="501">+EJ44-0.02</f>
        <v>0.6499999999999998</v>
      </c>
      <c r="EL44" s="48">
        <f t="shared" ref="EL44" si="502">+EK44-0.02</f>
        <v>0.62999999999999978</v>
      </c>
      <c r="EM44" s="48">
        <f t="shared" ref="EM44" si="503">+EL44-0.02</f>
        <v>0.60999999999999976</v>
      </c>
      <c r="EN44" s="48">
        <f t="shared" ref="EN44" si="504">+EM44-0.02</f>
        <v>0.58999999999999975</v>
      </c>
      <c r="EO44" s="48">
        <f t="shared" ref="EO44" si="505">+EN44-0.02</f>
        <v>0.56999999999999973</v>
      </c>
      <c r="EP44" s="2"/>
      <c r="EQ44" s="48">
        <f t="shared" ref="EQ44" si="506">+BY44*0.91</f>
        <v>9509.9004000000023</v>
      </c>
      <c r="ER44" s="48">
        <f t="shared" ref="ER44" si="507">+EQ44</f>
        <v>9509.9004000000023</v>
      </c>
      <c r="ES44" s="51">
        <f t="shared" ref="ES44" si="508">+ER44*3.3058</f>
        <v>31437.828742320009</v>
      </c>
      <c r="ET44" s="48">
        <f t="shared" ref="ET44" si="509">+ER44*GM44</f>
        <v>9224.6033880000014</v>
      </c>
      <c r="EU44" s="51">
        <f t="shared" ref="EU44" si="510">+ET44*3.3058</f>
        <v>30494.693880050407</v>
      </c>
      <c r="EV44" s="48">
        <f t="shared" ref="EV44" si="511">+ER44*GN44</f>
        <v>9034.405380000002</v>
      </c>
      <c r="EW44" s="51">
        <f t="shared" ref="EW44" si="512">+EV44*3.3058</f>
        <v>29865.937305204006</v>
      </c>
      <c r="EX44" s="48">
        <f t="shared" ref="EX44" si="513">+ER44*GO44</f>
        <v>8844.2073720000026</v>
      </c>
      <c r="EY44" s="51">
        <f t="shared" ref="EY44" si="514">+EX44*3.3058</f>
        <v>29237.18073035761</v>
      </c>
      <c r="EZ44" s="52">
        <f t="shared" ref="EZ44" si="515">+ER44*GP44</f>
        <v>8654.0093640000032</v>
      </c>
      <c r="FA44" s="51">
        <f t="shared" ref="FA44" si="516">+EZ44*3.3058</f>
        <v>28608.424155511209</v>
      </c>
      <c r="FB44" s="48">
        <f t="shared" ref="FB44" si="517">+ER44*GQ44</f>
        <v>8463.811356000002</v>
      </c>
      <c r="FC44" s="51">
        <f t="shared" ref="FC44" si="518">+FB44*3.3058</f>
        <v>27979.667580664805</v>
      </c>
      <c r="FD44" s="52">
        <f t="shared" ref="FD44" si="519">+ER44*GR44</f>
        <v>8273.6133480000026</v>
      </c>
      <c r="FE44" s="51">
        <f t="shared" ref="FE44" si="520">+FD44*3.3058</f>
        <v>27350.911005818409</v>
      </c>
      <c r="FF44" s="53">
        <f t="shared" ref="FF44" si="521">+ER44*GS44</f>
        <v>8083.4153400000014</v>
      </c>
      <c r="FG44" s="51">
        <f t="shared" ref="FG44" si="522">+FF44*3.3058</f>
        <v>26722.154430972005</v>
      </c>
      <c r="FH44" s="52">
        <f t="shared" ref="FH44" si="523">+ER44*GT44</f>
        <v>7893.2173320000011</v>
      </c>
      <c r="FI44" s="51">
        <f t="shared" ref="FI44" si="524">+FH44*3.3058</f>
        <v>26093.397856125604</v>
      </c>
      <c r="FJ44" s="48">
        <f t="shared" ref="FJ44" si="525">+ER44*GU44</f>
        <v>7703.0193240000017</v>
      </c>
      <c r="FK44" s="51">
        <f t="shared" ref="FK44" si="526">+FJ44*3.3058</f>
        <v>25464.641281279208</v>
      </c>
      <c r="FL44" s="53">
        <f t="shared" ref="FL44" si="527">+ER44*GV44</f>
        <v>7512.8213160000014</v>
      </c>
      <c r="FM44" s="51">
        <f t="shared" ref="FM44" si="528">+FL44*3.3058</f>
        <v>24835.884706432804</v>
      </c>
      <c r="FN44" s="53">
        <f t="shared" ref="FN44" si="529">+ER44*GW44</f>
        <v>7322.6233080000011</v>
      </c>
      <c r="FO44" s="51">
        <f t="shared" ref="FO44" si="530">+FN44*3.3058</f>
        <v>24207.128131586403</v>
      </c>
      <c r="FP44" s="53">
        <f t="shared" ref="FP44" si="531">+ER44*GX44</f>
        <v>7132.4253000000008</v>
      </c>
      <c r="FQ44" s="51">
        <f t="shared" ref="FQ44" si="532">+FP44*3.3058</f>
        <v>23578.371556740003</v>
      </c>
      <c r="FR44" s="48">
        <f t="shared" ref="FR44" si="533">+ER44*GY44</f>
        <v>6942.2272920000005</v>
      </c>
      <c r="FS44" s="51">
        <f t="shared" ref="FS44" si="534">+FR44*3.3058</f>
        <v>22949.614981893603</v>
      </c>
      <c r="FT44" s="53">
        <f t="shared" ref="FT44" si="535">+ER44*GZ44</f>
        <v>6752.0292840000002</v>
      </c>
      <c r="FU44" s="51">
        <f t="shared" ref="FU44" si="536">+FT44*3.3058</f>
        <v>22320.858407047202</v>
      </c>
      <c r="FV44" s="53">
        <f t="shared" ref="FV44" si="537">+ER44*HA44</f>
        <v>6561.8312759999999</v>
      </c>
      <c r="FW44" s="51">
        <f t="shared" ref="FW44" si="538">+FV44*3.3058</f>
        <v>21692.101832200799</v>
      </c>
      <c r="FX44" s="53">
        <f t="shared" ref="FX44" si="539">+ER44*HB44</f>
        <v>6371.6332679999996</v>
      </c>
      <c r="FY44" s="51">
        <f t="shared" ref="FY44" si="540">+FX44*3.3058</f>
        <v>21063.345257354398</v>
      </c>
      <c r="FZ44" s="53">
        <f t="shared" ref="FZ44" si="541">+ER44*HC44</f>
        <v>6181.4352599999993</v>
      </c>
      <c r="GA44" s="51">
        <f t="shared" ref="GA44" si="542">+FZ44*3.3058</f>
        <v>20434.588682507998</v>
      </c>
      <c r="GB44" s="48">
        <f t="shared" ref="GB44" si="543">+ER44*HD44</f>
        <v>5991.237251999999</v>
      </c>
      <c r="GC44" s="51">
        <f t="shared" ref="GC44" si="544">+GB44*3.3058</f>
        <v>19805.832107661598</v>
      </c>
      <c r="GD44" s="53">
        <f t="shared" ref="GD44" si="545">+ER44*HE44</f>
        <v>5801.0392439999987</v>
      </c>
      <c r="GE44" s="51">
        <f t="shared" ref="GE44" si="546">+GD44*3.3058</f>
        <v>19177.075532815197</v>
      </c>
      <c r="GF44" s="53">
        <f t="shared" ref="GF44" si="547">+ER44*HF44</f>
        <v>5610.8412359999993</v>
      </c>
      <c r="GG44" s="51">
        <f t="shared" ref="GG44" si="548">+GF44*3.3058</f>
        <v>18548.318957968797</v>
      </c>
      <c r="GH44" s="48">
        <f t="shared" ref="GH44" si="549">+ER44*HG44</f>
        <v>5420.643227999999</v>
      </c>
      <c r="GI44" s="51">
        <f t="shared" ref="GI44" si="550">+GH44*3.3058</f>
        <v>17919.562383122397</v>
      </c>
      <c r="GJ44" s="48"/>
      <c r="GK44" s="48"/>
      <c r="GL44" s="48">
        <v>1</v>
      </c>
      <c r="GM44" s="48">
        <v>0.97</v>
      </c>
      <c r="GN44" s="48">
        <v>0.95</v>
      </c>
      <c r="GO44" s="48">
        <v>0.93</v>
      </c>
      <c r="GP44" s="48">
        <f t="shared" ref="GP44" si="551">+GO44-0.02</f>
        <v>0.91</v>
      </c>
      <c r="GQ44" s="48">
        <f t="shared" ref="GQ44" si="552">+GP44-0.02</f>
        <v>0.89</v>
      </c>
      <c r="GR44" s="48">
        <f t="shared" ref="GR44" si="553">+GQ44-0.02</f>
        <v>0.87</v>
      </c>
      <c r="GS44" s="48">
        <f t="shared" ref="GS44" si="554">+GR44-0.02</f>
        <v>0.85</v>
      </c>
      <c r="GT44" s="48">
        <f t="shared" ref="GT44" si="555">+GS44-0.02</f>
        <v>0.83</v>
      </c>
      <c r="GU44" s="48">
        <f t="shared" ref="GU44" si="556">+GT44-0.02</f>
        <v>0.80999999999999994</v>
      </c>
      <c r="GV44" s="48">
        <f t="shared" ref="GV44" si="557">+GU44-0.02</f>
        <v>0.78999999999999992</v>
      </c>
      <c r="GW44" s="48">
        <f t="shared" ref="GW44" si="558">+GV44-0.02</f>
        <v>0.76999999999999991</v>
      </c>
      <c r="GX44" s="48">
        <f t="shared" ref="GX44" si="559">+GW44-0.02</f>
        <v>0.74999999999999989</v>
      </c>
      <c r="GY44" s="48">
        <f t="shared" ref="GY44" si="560">+GX44-0.02</f>
        <v>0.72999999999999987</v>
      </c>
      <c r="GZ44" s="48">
        <f t="shared" ref="GZ44" si="561">+GY44-0.02</f>
        <v>0.70999999999999985</v>
      </c>
      <c r="HA44" s="48">
        <f t="shared" ref="HA44" si="562">+GZ44-0.02</f>
        <v>0.68999999999999984</v>
      </c>
      <c r="HB44" s="48">
        <f t="shared" ref="HB44" si="563">+HA44-0.02</f>
        <v>0.66999999999999982</v>
      </c>
      <c r="HC44" s="48">
        <f t="shared" ref="HC44" si="564">+HB44-0.02</f>
        <v>0.6499999999999998</v>
      </c>
      <c r="HD44" s="48">
        <f t="shared" ref="HD44" si="565">+HC44-0.02</f>
        <v>0.62999999999999978</v>
      </c>
      <c r="HE44" s="48">
        <f t="shared" ref="HE44" si="566">+HD44-0.02</f>
        <v>0.60999999999999976</v>
      </c>
      <c r="HF44" s="48">
        <f t="shared" ref="HF44" si="567">+HE44-0.02</f>
        <v>0.58999999999999975</v>
      </c>
      <c r="HG44" s="48">
        <f t="shared" ref="HG44" si="568">+HF44-0.02</f>
        <v>0.56999999999999973</v>
      </c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</row>
    <row r="45" spans="1:250" x14ac:dyDescent="0.3">
      <c r="A45" s="2">
        <v>12</v>
      </c>
      <c r="C45" s="39" t="s">
        <v>17</v>
      </c>
      <c r="D45" s="44">
        <f>TRUNC(30877.3493100944,-1)</f>
        <v>30870</v>
      </c>
      <c r="E45" s="73">
        <f t="shared" si="203"/>
        <v>102050</v>
      </c>
      <c r="G45" s="48">
        <f t="shared" si="61"/>
        <v>33957</v>
      </c>
      <c r="H45" s="48">
        <f t="shared" si="62"/>
        <v>33957</v>
      </c>
      <c r="I45" s="51">
        <f t="shared" si="63"/>
        <v>112255.0506</v>
      </c>
      <c r="J45" s="48">
        <f t="shared" si="204"/>
        <v>32938.29</v>
      </c>
      <c r="K45" s="51">
        <f t="shared" si="205"/>
        <v>108887.399082</v>
      </c>
      <c r="L45" s="48">
        <f t="shared" si="206"/>
        <v>32259.149999999998</v>
      </c>
      <c r="M45" s="51">
        <f t="shared" si="207"/>
        <v>106642.29806999999</v>
      </c>
      <c r="N45" s="48">
        <f t="shared" si="208"/>
        <v>31580.010000000002</v>
      </c>
      <c r="O45" s="51">
        <f t="shared" si="209"/>
        <v>104397.19705800001</v>
      </c>
      <c r="P45" s="52">
        <f t="shared" si="210"/>
        <v>30900.870000000003</v>
      </c>
      <c r="Q45" s="51">
        <f t="shared" si="211"/>
        <v>102152.09604600001</v>
      </c>
      <c r="R45" s="48">
        <f t="shared" si="212"/>
        <v>30221.73</v>
      </c>
      <c r="S45" s="51">
        <f t="shared" si="213"/>
        <v>99906.995034000007</v>
      </c>
      <c r="T45" s="52">
        <f t="shared" si="214"/>
        <v>29542.59</v>
      </c>
      <c r="U45" s="51">
        <f t="shared" si="215"/>
        <v>97661.894022000008</v>
      </c>
      <c r="V45" s="53">
        <f t="shared" si="216"/>
        <v>28863.45</v>
      </c>
      <c r="W45" s="51">
        <f t="shared" si="217"/>
        <v>95416.793010000009</v>
      </c>
      <c r="X45" s="52">
        <f t="shared" si="218"/>
        <v>28184.309999999998</v>
      </c>
      <c r="Y45" s="51">
        <f t="shared" si="219"/>
        <v>93171.691997999995</v>
      </c>
      <c r="Z45" s="48">
        <f t="shared" si="220"/>
        <v>27505.17</v>
      </c>
      <c r="AA45" s="51">
        <f t="shared" si="221"/>
        <v>90926.590985999996</v>
      </c>
      <c r="AB45" s="53">
        <f t="shared" si="222"/>
        <v>26826.03</v>
      </c>
      <c r="AC45" s="51">
        <f t="shared" si="223"/>
        <v>88681.489973999996</v>
      </c>
      <c r="AD45" s="53">
        <f t="shared" si="224"/>
        <v>26146.889999999996</v>
      </c>
      <c r="AE45" s="51">
        <f t="shared" si="225"/>
        <v>86436.388961999983</v>
      </c>
      <c r="AF45" s="53">
        <f t="shared" si="226"/>
        <v>25467.749999999996</v>
      </c>
      <c r="AG45" s="51">
        <f t="shared" si="227"/>
        <v>84191.287949999984</v>
      </c>
      <c r="AH45" s="48">
        <f t="shared" si="228"/>
        <v>24788.609999999997</v>
      </c>
      <c r="AI45" s="51">
        <f t="shared" si="229"/>
        <v>81946.186937999999</v>
      </c>
      <c r="AJ45" s="53">
        <f t="shared" si="230"/>
        <v>24109.469999999994</v>
      </c>
      <c r="AK45" s="51">
        <f t="shared" si="231"/>
        <v>79701.085925999985</v>
      </c>
      <c r="AL45" s="53">
        <f t="shared" si="232"/>
        <v>23430.329999999994</v>
      </c>
      <c r="AM45" s="51">
        <f t="shared" si="233"/>
        <v>77455.984913999986</v>
      </c>
      <c r="AN45" s="53">
        <f t="shared" si="234"/>
        <v>22751.189999999995</v>
      </c>
      <c r="AO45" s="51">
        <f t="shared" si="235"/>
        <v>75210.883901999987</v>
      </c>
      <c r="AP45" s="53">
        <f t="shared" si="236"/>
        <v>22072.049999999992</v>
      </c>
      <c r="AQ45" s="51">
        <f t="shared" si="237"/>
        <v>72965.782889999973</v>
      </c>
      <c r="AR45" s="48">
        <f t="shared" si="238"/>
        <v>21392.909999999993</v>
      </c>
      <c r="AS45" s="51">
        <f t="shared" si="239"/>
        <v>70720.681877999974</v>
      </c>
      <c r="AT45" s="53">
        <f t="shared" si="240"/>
        <v>20713.769999999993</v>
      </c>
      <c r="AU45" s="51">
        <f t="shared" si="241"/>
        <v>68475.580865999975</v>
      </c>
      <c r="AV45" s="53">
        <f t="shared" si="242"/>
        <v>20034.62999999999</v>
      </c>
      <c r="AW45" s="51">
        <f t="shared" si="243"/>
        <v>66230.479853999976</v>
      </c>
      <c r="AX45" s="48">
        <f t="shared" si="244"/>
        <v>19355.489999999991</v>
      </c>
      <c r="AY45" s="51">
        <f t="shared" si="245"/>
        <v>63985.378841999969</v>
      </c>
      <c r="BB45" s="48">
        <v>1</v>
      </c>
      <c r="BC45" s="48">
        <v>0.97</v>
      </c>
      <c r="BD45" s="48">
        <v>0.95</v>
      </c>
      <c r="BE45" s="48">
        <v>0.93</v>
      </c>
      <c r="BF45" s="48">
        <f t="shared" ref="BF45:BW45" si="569">+BE45-0.02</f>
        <v>0.91</v>
      </c>
      <c r="BG45" s="48">
        <f t="shared" si="569"/>
        <v>0.89</v>
      </c>
      <c r="BH45" s="48">
        <f t="shared" si="569"/>
        <v>0.87</v>
      </c>
      <c r="BI45" s="48">
        <f t="shared" si="569"/>
        <v>0.85</v>
      </c>
      <c r="BJ45" s="48">
        <f t="shared" si="569"/>
        <v>0.83</v>
      </c>
      <c r="BK45" s="48">
        <f t="shared" si="569"/>
        <v>0.80999999999999994</v>
      </c>
      <c r="BL45" s="48">
        <f t="shared" si="569"/>
        <v>0.78999999999999992</v>
      </c>
      <c r="BM45" s="48">
        <f t="shared" si="569"/>
        <v>0.76999999999999991</v>
      </c>
      <c r="BN45" s="48">
        <f t="shared" si="569"/>
        <v>0.74999999999999989</v>
      </c>
      <c r="BO45" s="48">
        <f t="shared" si="569"/>
        <v>0.72999999999999987</v>
      </c>
      <c r="BP45" s="48">
        <f t="shared" si="569"/>
        <v>0.70999999999999985</v>
      </c>
      <c r="BQ45" s="48">
        <f t="shared" si="569"/>
        <v>0.68999999999999984</v>
      </c>
      <c r="BR45" s="48">
        <f t="shared" si="569"/>
        <v>0.66999999999999982</v>
      </c>
      <c r="BS45" s="48">
        <f t="shared" si="569"/>
        <v>0.6499999999999998</v>
      </c>
      <c r="BT45" s="48">
        <f t="shared" si="569"/>
        <v>0.62999999999999978</v>
      </c>
      <c r="BU45" s="48">
        <f t="shared" si="569"/>
        <v>0.60999999999999976</v>
      </c>
      <c r="BV45" s="48">
        <f t="shared" si="569"/>
        <v>0.58999999999999975</v>
      </c>
      <c r="BW45" s="48">
        <f t="shared" si="569"/>
        <v>0.56999999999999973</v>
      </c>
      <c r="BY45" s="48">
        <f t="shared" si="88"/>
        <v>30900.870000000003</v>
      </c>
      <c r="BZ45" s="48">
        <f t="shared" si="89"/>
        <v>30900.870000000003</v>
      </c>
      <c r="CA45" s="51">
        <f t="shared" ref="CA45" si="570">+BZ45*3.3058</f>
        <v>102152.09604600001</v>
      </c>
      <c r="CB45" s="48">
        <f t="shared" si="248"/>
        <v>29973.843900000003</v>
      </c>
      <c r="CC45" s="51">
        <f t="shared" si="249"/>
        <v>99087.533164620007</v>
      </c>
      <c r="CD45" s="48">
        <f t="shared" si="250"/>
        <v>29355.826500000003</v>
      </c>
      <c r="CE45" s="51">
        <f t="shared" si="251"/>
        <v>97044.491243700017</v>
      </c>
      <c r="CF45" s="48">
        <f t="shared" si="252"/>
        <v>28737.809100000002</v>
      </c>
      <c r="CG45" s="51">
        <f t="shared" si="253"/>
        <v>95001.449322780012</v>
      </c>
      <c r="CH45" s="52">
        <f t="shared" si="254"/>
        <v>28119.791700000002</v>
      </c>
      <c r="CI45" s="51">
        <f t="shared" si="255"/>
        <v>92958.407401860008</v>
      </c>
      <c r="CJ45" s="48">
        <f t="shared" si="256"/>
        <v>27501.774300000001</v>
      </c>
      <c r="CK45" s="51">
        <f t="shared" si="257"/>
        <v>90915.365480940003</v>
      </c>
      <c r="CL45" s="52">
        <f t="shared" si="258"/>
        <v>26883.756900000004</v>
      </c>
      <c r="CM45" s="51">
        <f t="shared" si="259"/>
        <v>88872.323560020013</v>
      </c>
      <c r="CN45" s="53">
        <f t="shared" si="260"/>
        <v>26265.739500000003</v>
      </c>
      <c r="CO45" s="51">
        <f t="shared" si="261"/>
        <v>86829.281639100009</v>
      </c>
      <c r="CP45" s="52">
        <f t="shared" si="262"/>
        <v>25647.722100000003</v>
      </c>
      <c r="CQ45" s="51">
        <f t="shared" si="263"/>
        <v>84786.239718180004</v>
      </c>
      <c r="CR45" s="48">
        <f t="shared" si="264"/>
        <v>25029.704700000002</v>
      </c>
      <c r="CS45" s="51">
        <f t="shared" si="265"/>
        <v>82743.197797260014</v>
      </c>
      <c r="CT45" s="53">
        <f t="shared" si="266"/>
        <v>24411.687300000001</v>
      </c>
      <c r="CU45" s="51">
        <f t="shared" si="267"/>
        <v>80700.15587634001</v>
      </c>
      <c r="CV45" s="53">
        <f t="shared" si="268"/>
        <v>23793.669900000001</v>
      </c>
      <c r="CW45" s="51">
        <f t="shared" si="269"/>
        <v>78657.113955420005</v>
      </c>
      <c r="CX45" s="53">
        <f t="shared" si="270"/>
        <v>23175.6525</v>
      </c>
      <c r="CY45" s="51">
        <f t="shared" si="271"/>
        <v>76614.072034500001</v>
      </c>
      <c r="CZ45" s="48">
        <f t="shared" si="272"/>
        <v>22557.6351</v>
      </c>
      <c r="DA45" s="51">
        <f t="shared" si="273"/>
        <v>74571.030113579996</v>
      </c>
      <c r="DB45" s="53">
        <f t="shared" si="274"/>
        <v>21939.617699999999</v>
      </c>
      <c r="DC45" s="51">
        <f t="shared" si="275"/>
        <v>72527.988192659992</v>
      </c>
      <c r="DD45" s="53">
        <f t="shared" si="276"/>
        <v>21321.600299999998</v>
      </c>
      <c r="DE45" s="51">
        <f t="shared" si="277"/>
        <v>70484.946271740002</v>
      </c>
      <c r="DF45" s="53">
        <f t="shared" si="278"/>
        <v>20703.582899999998</v>
      </c>
      <c r="DG45" s="51">
        <f t="shared" si="279"/>
        <v>68441.904350819997</v>
      </c>
      <c r="DH45" s="53">
        <f t="shared" si="280"/>
        <v>20085.565499999997</v>
      </c>
      <c r="DI45" s="51">
        <f t="shared" si="281"/>
        <v>66398.862429899993</v>
      </c>
      <c r="DJ45" s="48">
        <f t="shared" si="282"/>
        <v>19467.548099999996</v>
      </c>
      <c r="DK45" s="51">
        <f t="shared" si="283"/>
        <v>64355.820508979989</v>
      </c>
      <c r="DL45" s="53">
        <f t="shared" si="284"/>
        <v>18849.530699999996</v>
      </c>
      <c r="DM45" s="51">
        <f t="shared" si="285"/>
        <v>62312.778588059984</v>
      </c>
      <c r="DN45" s="53">
        <f t="shared" si="286"/>
        <v>18231.513299999995</v>
      </c>
      <c r="DO45" s="51">
        <f t="shared" si="287"/>
        <v>60269.736667139987</v>
      </c>
      <c r="DP45" s="48">
        <f t="shared" si="288"/>
        <v>17613.495899999994</v>
      </c>
      <c r="DQ45" s="51">
        <f t="shared" si="289"/>
        <v>58226.694746219982</v>
      </c>
      <c r="DT45" s="48">
        <v>1</v>
      </c>
      <c r="DU45" s="48">
        <v>0.97</v>
      </c>
      <c r="DV45" s="48">
        <v>0.95</v>
      </c>
      <c r="DW45" s="48">
        <v>0.93</v>
      </c>
      <c r="DX45" s="48">
        <f t="shared" ref="DX45:EO45" si="571">+DW45-0.02</f>
        <v>0.91</v>
      </c>
      <c r="DY45" s="48">
        <f t="shared" si="571"/>
        <v>0.89</v>
      </c>
      <c r="DZ45" s="48">
        <f t="shared" si="571"/>
        <v>0.87</v>
      </c>
      <c r="EA45" s="48">
        <f t="shared" si="571"/>
        <v>0.85</v>
      </c>
      <c r="EB45" s="48">
        <f t="shared" si="571"/>
        <v>0.83</v>
      </c>
      <c r="EC45" s="48">
        <f t="shared" si="571"/>
        <v>0.80999999999999994</v>
      </c>
      <c r="ED45" s="48">
        <f t="shared" si="571"/>
        <v>0.78999999999999992</v>
      </c>
      <c r="EE45" s="48">
        <f t="shared" si="571"/>
        <v>0.76999999999999991</v>
      </c>
      <c r="EF45" s="48">
        <f t="shared" si="571"/>
        <v>0.74999999999999989</v>
      </c>
      <c r="EG45" s="48">
        <f t="shared" si="571"/>
        <v>0.72999999999999987</v>
      </c>
      <c r="EH45" s="48">
        <f t="shared" si="571"/>
        <v>0.70999999999999985</v>
      </c>
      <c r="EI45" s="48">
        <f t="shared" si="571"/>
        <v>0.68999999999999984</v>
      </c>
      <c r="EJ45" s="48">
        <f t="shared" si="571"/>
        <v>0.66999999999999982</v>
      </c>
      <c r="EK45" s="48">
        <f t="shared" si="571"/>
        <v>0.6499999999999998</v>
      </c>
      <c r="EL45" s="48">
        <f t="shared" si="571"/>
        <v>0.62999999999999978</v>
      </c>
      <c r="EM45" s="48">
        <f t="shared" si="571"/>
        <v>0.60999999999999976</v>
      </c>
      <c r="EN45" s="48">
        <f t="shared" si="571"/>
        <v>0.58999999999999975</v>
      </c>
      <c r="EO45" s="48">
        <f t="shared" si="571"/>
        <v>0.56999999999999973</v>
      </c>
      <c r="EQ45" s="48">
        <f t="shared" si="188"/>
        <v>28119.791700000002</v>
      </c>
      <c r="ER45" s="48">
        <f t="shared" si="116"/>
        <v>28119.791700000002</v>
      </c>
      <c r="ES45" s="51">
        <f t="shared" ref="ES45" si="572">+ER45*3.3058</f>
        <v>92958.407401860008</v>
      </c>
      <c r="ET45" s="48">
        <f t="shared" si="292"/>
        <v>27276.197949000001</v>
      </c>
      <c r="EU45" s="51">
        <f t="shared" si="293"/>
        <v>90169.655179804206</v>
      </c>
      <c r="EV45" s="48">
        <f t="shared" si="294"/>
        <v>26713.802114999999</v>
      </c>
      <c r="EW45" s="51">
        <f t="shared" si="295"/>
        <v>88310.487031766999</v>
      </c>
      <c r="EX45" s="48">
        <f t="shared" si="296"/>
        <v>26151.406281000003</v>
      </c>
      <c r="EY45" s="51">
        <f t="shared" si="297"/>
        <v>86451.318883729808</v>
      </c>
      <c r="EZ45" s="52">
        <f t="shared" si="298"/>
        <v>25589.010447000001</v>
      </c>
      <c r="FA45" s="51">
        <f t="shared" si="299"/>
        <v>84592.150735692601</v>
      </c>
      <c r="FB45" s="48">
        <f t="shared" si="300"/>
        <v>25026.614613000002</v>
      </c>
      <c r="FC45" s="51">
        <f t="shared" si="301"/>
        <v>82732.98258765541</v>
      </c>
      <c r="FD45" s="52">
        <f t="shared" si="302"/>
        <v>24464.218779000003</v>
      </c>
      <c r="FE45" s="51">
        <f t="shared" si="303"/>
        <v>80873.814439618203</v>
      </c>
      <c r="FF45" s="53">
        <f t="shared" si="304"/>
        <v>23901.822945</v>
      </c>
      <c r="FG45" s="51">
        <f t="shared" si="305"/>
        <v>79014.646291580997</v>
      </c>
      <c r="FH45" s="52">
        <f t="shared" si="306"/>
        <v>23339.427111000001</v>
      </c>
      <c r="FI45" s="51">
        <f t="shared" si="307"/>
        <v>77155.478143543805</v>
      </c>
      <c r="FJ45" s="48">
        <f t="shared" si="308"/>
        <v>22777.031276999998</v>
      </c>
      <c r="FK45" s="51">
        <f t="shared" si="309"/>
        <v>75296.309995506599</v>
      </c>
      <c r="FL45" s="53">
        <f t="shared" si="310"/>
        <v>22214.635442999999</v>
      </c>
      <c r="FM45" s="51">
        <f t="shared" si="311"/>
        <v>73437.141847469393</v>
      </c>
      <c r="FN45" s="53">
        <f t="shared" si="312"/>
        <v>21652.239609</v>
      </c>
      <c r="FO45" s="51">
        <f t="shared" si="313"/>
        <v>71577.973699432201</v>
      </c>
      <c r="FP45" s="53">
        <f t="shared" si="314"/>
        <v>21089.843774999998</v>
      </c>
      <c r="FQ45" s="51">
        <f t="shared" si="315"/>
        <v>69718.805551394995</v>
      </c>
      <c r="FR45" s="48">
        <f t="shared" si="316"/>
        <v>20527.447940999999</v>
      </c>
      <c r="FS45" s="51">
        <f t="shared" si="317"/>
        <v>67859.637403357803</v>
      </c>
      <c r="FT45" s="53">
        <f t="shared" si="318"/>
        <v>19965.052106999996</v>
      </c>
      <c r="FU45" s="51">
        <f t="shared" si="319"/>
        <v>66000.469255320582</v>
      </c>
      <c r="FV45" s="53">
        <f t="shared" si="320"/>
        <v>19402.656272999997</v>
      </c>
      <c r="FW45" s="51">
        <f t="shared" si="321"/>
        <v>64141.301107283391</v>
      </c>
      <c r="FX45" s="53">
        <f t="shared" si="322"/>
        <v>18840.260438999994</v>
      </c>
      <c r="FY45" s="51">
        <f t="shared" si="323"/>
        <v>62282.132959246184</v>
      </c>
      <c r="FZ45" s="53">
        <f t="shared" si="324"/>
        <v>18277.864604999995</v>
      </c>
      <c r="GA45" s="51">
        <f t="shared" si="325"/>
        <v>60422.964811208985</v>
      </c>
      <c r="GB45" s="48">
        <f t="shared" si="326"/>
        <v>17715.468770999996</v>
      </c>
      <c r="GC45" s="51">
        <f t="shared" si="327"/>
        <v>58563.796663171786</v>
      </c>
      <c r="GD45" s="53">
        <f t="shared" si="328"/>
        <v>17153.072936999994</v>
      </c>
      <c r="GE45" s="51">
        <f t="shared" si="329"/>
        <v>56704.62851513458</v>
      </c>
      <c r="GF45" s="53">
        <f t="shared" si="330"/>
        <v>16590.677102999995</v>
      </c>
      <c r="GG45" s="51">
        <f t="shared" si="331"/>
        <v>54845.460367097381</v>
      </c>
      <c r="GH45" s="48">
        <f t="shared" si="332"/>
        <v>16028.281268999994</v>
      </c>
      <c r="GI45" s="51">
        <f t="shared" si="333"/>
        <v>52986.292219060182</v>
      </c>
      <c r="GJ45" s="48"/>
      <c r="GK45" s="48"/>
      <c r="GL45" s="48">
        <v>1</v>
      </c>
      <c r="GM45" s="48">
        <v>0.97</v>
      </c>
      <c r="GN45" s="48">
        <v>0.95</v>
      </c>
      <c r="GO45" s="48">
        <v>0.93</v>
      </c>
      <c r="GP45" s="48">
        <f t="shared" ref="GP45:HG45" si="573">+GO45-0.02</f>
        <v>0.91</v>
      </c>
      <c r="GQ45" s="48">
        <f t="shared" si="573"/>
        <v>0.89</v>
      </c>
      <c r="GR45" s="48">
        <f t="shared" si="573"/>
        <v>0.87</v>
      </c>
      <c r="GS45" s="48">
        <f t="shared" si="573"/>
        <v>0.85</v>
      </c>
      <c r="GT45" s="48">
        <f t="shared" si="573"/>
        <v>0.83</v>
      </c>
      <c r="GU45" s="48">
        <f t="shared" si="573"/>
        <v>0.80999999999999994</v>
      </c>
      <c r="GV45" s="48">
        <f t="shared" si="573"/>
        <v>0.78999999999999992</v>
      </c>
      <c r="GW45" s="48">
        <f t="shared" si="573"/>
        <v>0.76999999999999991</v>
      </c>
      <c r="GX45" s="48">
        <f t="shared" si="573"/>
        <v>0.74999999999999989</v>
      </c>
      <c r="GY45" s="48">
        <f t="shared" si="573"/>
        <v>0.72999999999999987</v>
      </c>
      <c r="GZ45" s="48">
        <f t="shared" si="573"/>
        <v>0.70999999999999985</v>
      </c>
      <c r="HA45" s="48">
        <f t="shared" si="573"/>
        <v>0.68999999999999984</v>
      </c>
      <c r="HB45" s="48">
        <f t="shared" si="573"/>
        <v>0.66999999999999982</v>
      </c>
      <c r="HC45" s="48">
        <f t="shared" si="573"/>
        <v>0.6499999999999998</v>
      </c>
      <c r="HD45" s="48">
        <f t="shared" si="573"/>
        <v>0.62999999999999978</v>
      </c>
      <c r="HE45" s="48">
        <f t="shared" si="573"/>
        <v>0.60999999999999976</v>
      </c>
      <c r="HF45" s="48">
        <f t="shared" si="573"/>
        <v>0.58999999999999975</v>
      </c>
      <c r="HG45" s="48">
        <f t="shared" si="573"/>
        <v>0.56999999999999973</v>
      </c>
    </row>
    <row r="46" spans="1:250" x14ac:dyDescent="0.3">
      <c r="A46" s="2">
        <v>13</v>
      </c>
      <c r="C46" s="39" t="s">
        <v>18</v>
      </c>
      <c r="D46" s="44">
        <f>TRUNC(2959.87309368192,-1)</f>
        <v>2950</v>
      </c>
      <c r="E46" s="73">
        <f t="shared" si="203"/>
        <v>9750</v>
      </c>
      <c r="G46" s="48">
        <f t="shared" si="61"/>
        <v>3245.0000000000005</v>
      </c>
      <c r="H46" s="48">
        <f t="shared" si="62"/>
        <v>3245.0000000000005</v>
      </c>
      <c r="I46" s="51">
        <f t="shared" si="63"/>
        <v>10727.321000000002</v>
      </c>
      <c r="J46" s="48">
        <f t="shared" si="204"/>
        <v>3147.6500000000005</v>
      </c>
      <c r="K46" s="51">
        <f t="shared" si="205"/>
        <v>10405.501370000002</v>
      </c>
      <c r="L46" s="48">
        <f t="shared" si="206"/>
        <v>3082.7500000000005</v>
      </c>
      <c r="M46" s="51">
        <f t="shared" si="207"/>
        <v>10190.954950000001</v>
      </c>
      <c r="N46" s="48">
        <f t="shared" si="208"/>
        <v>3017.8500000000004</v>
      </c>
      <c r="O46" s="51">
        <f t="shared" si="209"/>
        <v>9976.4085300000006</v>
      </c>
      <c r="P46" s="52">
        <f t="shared" si="210"/>
        <v>2952.9500000000007</v>
      </c>
      <c r="Q46" s="51">
        <f t="shared" si="211"/>
        <v>9761.8621100000018</v>
      </c>
      <c r="R46" s="48">
        <f t="shared" si="212"/>
        <v>2888.0500000000006</v>
      </c>
      <c r="S46" s="51">
        <f t="shared" si="213"/>
        <v>9547.3156900000031</v>
      </c>
      <c r="T46" s="52">
        <f t="shared" si="214"/>
        <v>2823.1500000000005</v>
      </c>
      <c r="U46" s="51">
        <f t="shared" si="215"/>
        <v>9332.7692700000025</v>
      </c>
      <c r="V46" s="53">
        <f t="shared" si="216"/>
        <v>2758.2500000000005</v>
      </c>
      <c r="W46" s="51">
        <f t="shared" si="217"/>
        <v>9118.2228500000019</v>
      </c>
      <c r="X46" s="52">
        <f t="shared" si="218"/>
        <v>2693.3500000000004</v>
      </c>
      <c r="Y46" s="51">
        <f t="shared" si="219"/>
        <v>8903.6764300000013</v>
      </c>
      <c r="Z46" s="48">
        <f t="shared" si="220"/>
        <v>2628.4500000000003</v>
      </c>
      <c r="AA46" s="51">
        <f t="shared" si="221"/>
        <v>8689.1300100000008</v>
      </c>
      <c r="AB46" s="53">
        <f t="shared" si="222"/>
        <v>2563.5500000000002</v>
      </c>
      <c r="AC46" s="51">
        <f t="shared" si="223"/>
        <v>8474.5835900000002</v>
      </c>
      <c r="AD46" s="53">
        <f t="shared" si="224"/>
        <v>2498.65</v>
      </c>
      <c r="AE46" s="51">
        <f t="shared" si="225"/>
        <v>8260.0371699999996</v>
      </c>
      <c r="AF46" s="53">
        <f t="shared" si="226"/>
        <v>2433.75</v>
      </c>
      <c r="AG46" s="51">
        <f t="shared" si="227"/>
        <v>8045.4907499999999</v>
      </c>
      <c r="AH46" s="48">
        <f t="shared" si="228"/>
        <v>2368.85</v>
      </c>
      <c r="AI46" s="51">
        <f t="shared" si="229"/>
        <v>7830.9443300000003</v>
      </c>
      <c r="AJ46" s="53">
        <f t="shared" si="230"/>
        <v>2303.9499999999998</v>
      </c>
      <c r="AK46" s="51">
        <f t="shared" si="231"/>
        <v>7616.3979099999997</v>
      </c>
      <c r="AL46" s="53">
        <f t="shared" si="232"/>
        <v>2239.0499999999997</v>
      </c>
      <c r="AM46" s="51">
        <f t="shared" si="233"/>
        <v>7401.8514899999991</v>
      </c>
      <c r="AN46" s="53">
        <f t="shared" si="234"/>
        <v>2174.1499999999996</v>
      </c>
      <c r="AO46" s="51">
        <f t="shared" si="235"/>
        <v>7187.3050699999985</v>
      </c>
      <c r="AP46" s="53">
        <f t="shared" si="236"/>
        <v>2109.2499999999995</v>
      </c>
      <c r="AQ46" s="51">
        <f t="shared" si="237"/>
        <v>6972.7586499999989</v>
      </c>
      <c r="AR46" s="48">
        <f t="shared" si="238"/>
        <v>2044.3499999999997</v>
      </c>
      <c r="AS46" s="51">
        <f t="shared" si="239"/>
        <v>6758.2122299999992</v>
      </c>
      <c r="AT46" s="53">
        <f t="shared" si="240"/>
        <v>1979.4499999999996</v>
      </c>
      <c r="AU46" s="51">
        <f t="shared" si="241"/>
        <v>6543.6658099999986</v>
      </c>
      <c r="AV46" s="53">
        <f t="shared" si="242"/>
        <v>1914.5499999999995</v>
      </c>
      <c r="AW46" s="51">
        <f t="shared" si="243"/>
        <v>6329.1193899999989</v>
      </c>
      <c r="AX46" s="48">
        <f t="shared" si="244"/>
        <v>1849.6499999999994</v>
      </c>
      <c r="AY46" s="51">
        <f t="shared" si="245"/>
        <v>6114.5729699999983</v>
      </c>
      <c r="BB46" s="48">
        <v>1</v>
      </c>
      <c r="BC46" s="48">
        <v>0.97</v>
      </c>
      <c r="BD46" s="48">
        <v>0.95</v>
      </c>
      <c r="BE46" s="48">
        <v>0.93</v>
      </c>
      <c r="BF46" s="48">
        <f t="shared" ref="BF46:BW46" si="574">+BE46-0.02</f>
        <v>0.91</v>
      </c>
      <c r="BG46" s="48">
        <f t="shared" si="574"/>
        <v>0.89</v>
      </c>
      <c r="BH46" s="48">
        <f t="shared" si="574"/>
        <v>0.87</v>
      </c>
      <c r="BI46" s="48">
        <f t="shared" si="574"/>
        <v>0.85</v>
      </c>
      <c r="BJ46" s="48">
        <f t="shared" si="574"/>
        <v>0.83</v>
      </c>
      <c r="BK46" s="48">
        <f t="shared" si="574"/>
        <v>0.80999999999999994</v>
      </c>
      <c r="BL46" s="48">
        <f t="shared" si="574"/>
        <v>0.78999999999999992</v>
      </c>
      <c r="BM46" s="48">
        <f t="shared" si="574"/>
        <v>0.76999999999999991</v>
      </c>
      <c r="BN46" s="48">
        <f t="shared" si="574"/>
        <v>0.74999999999999989</v>
      </c>
      <c r="BO46" s="48">
        <f t="shared" si="574"/>
        <v>0.72999999999999987</v>
      </c>
      <c r="BP46" s="48">
        <f t="shared" si="574"/>
        <v>0.70999999999999985</v>
      </c>
      <c r="BQ46" s="48">
        <f t="shared" si="574"/>
        <v>0.68999999999999984</v>
      </c>
      <c r="BR46" s="48">
        <f t="shared" si="574"/>
        <v>0.66999999999999982</v>
      </c>
      <c r="BS46" s="48">
        <f t="shared" si="574"/>
        <v>0.6499999999999998</v>
      </c>
      <c r="BT46" s="48">
        <f t="shared" si="574"/>
        <v>0.62999999999999978</v>
      </c>
      <c r="BU46" s="48">
        <f t="shared" si="574"/>
        <v>0.60999999999999976</v>
      </c>
      <c r="BV46" s="48">
        <f t="shared" si="574"/>
        <v>0.58999999999999975</v>
      </c>
      <c r="BW46" s="48">
        <f t="shared" si="574"/>
        <v>0.56999999999999973</v>
      </c>
      <c r="BY46" s="48">
        <f t="shared" si="88"/>
        <v>2952.9500000000007</v>
      </c>
      <c r="BZ46" s="48">
        <f t="shared" si="89"/>
        <v>2952.9500000000007</v>
      </c>
      <c r="CA46" s="51">
        <f t="shared" ref="CA46" si="575">+BZ46*3.3058</f>
        <v>9761.8621100000018</v>
      </c>
      <c r="CB46" s="48">
        <f t="shared" si="248"/>
        <v>2864.3615000000004</v>
      </c>
      <c r="CC46" s="51">
        <f t="shared" si="249"/>
        <v>9469.0062467000025</v>
      </c>
      <c r="CD46" s="48">
        <f t="shared" si="250"/>
        <v>2805.3025000000007</v>
      </c>
      <c r="CE46" s="51">
        <f t="shared" si="251"/>
        <v>9273.7690045000018</v>
      </c>
      <c r="CF46" s="48">
        <f t="shared" si="252"/>
        <v>2746.2435000000009</v>
      </c>
      <c r="CG46" s="51">
        <f t="shared" si="253"/>
        <v>9078.5317623000028</v>
      </c>
      <c r="CH46" s="52">
        <f t="shared" si="254"/>
        <v>2687.1845000000008</v>
      </c>
      <c r="CI46" s="51">
        <f t="shared" si="255"/>
        <v>8883.294520100002</v>
      </c>
      <c r="CJ46" s="48">
        <f t="shared" si="256"/>
        <v>2628.1255000000006</v>
      </c>
      <c r="CK46" s="51">
        <f t="shared" si="257"/>
        <v>8688.0572779000013</v>
      </c>
      <c r="CL46" s="52">
        <f t="shared" si="258"/>
        <v>2569.0665000000008</v>
      </c>
      <c r="CM46" s="51">
        <f t="shared" si="259"/>
        <v>8492.8200357000023</v>
      </c>
      <c r="CN46" s="53">
        <f t="shared" si="260"/>
        <v>2510.0075000000006</v>
      </c>
      <c r="CO46" s="51">
        <f t="shared" si="261"/>
        <v>8297.5827935000016</v>
      </c>
      <c r="CP46" s="52">
        <f t="shared" si="262"/>
        <v>2450.9485000000004</v>
      </c>
      <c r="CQ46" s="51">
        <f t="shared" si="263"/>
        <v>8102.3455513000017</v>
      </c>
      <c r="CR46" s="48">
        <f t="shared" si="264"/>
        <v>2391.8895000000002</v>
      </c>
      <c r="CS46" s="51">
        <f t="shared" si="265"/>
        <v>7907.108309100001</v>
      </c>
      <c r="CT46" s="53">
        <f t="shared" si="266"/>
        <v>2332.8305000000005</v>
      </c>
      <c r="CU46" s="51">
        <f t="shared" si="267"/>
        <v>7711.871066900002</v>
      </c>
      <c r="CV46" s="53">
        <f t="shared" si="268"/>
        <v>2273.7715000000003</v>
      </c>
      <c r="CW46" s="51">
        <f t="shared" si="269"/>
        <v>7516.6338247000012</v>
      </c>
      <c r="CX46" s="53">
        <f t="shared" si="270"/>
        <v>2214.7125000000001</v>
      </c>
      <c r="CY46" s="51">
        <f t="shared" si="271"/>
        <v>7321.3965825000005</v>
      </c>
      <c r="CZ46" s="48">
        <f t="shared" si="272"/>
        <v>2155.6535000000003</v>
      </c>
      <c r="DA46" s="51">
        <f t="shared" si="273"/>
        <v>7126.1593403000015</v>
      </c>
      <c r="DB46" s="53">
        <f t="shared" si="274"/>
        <v>2096.5945000000002</v>
      </c>
      <c r="DC46" s="51">
        <f t="shared" si="275"/>
        <v>6930.9220981000008</v>
      </c>
      <c r="DD46" s="53">
        <f t="shared" si="276"/>
        <v>2037.5355</v>
      </c>
      <c r="DE46" s="51">
        <f t="shared" si="277"/>
        <v>6735.6848559</v>
      </c>
      <c r="DF46" s="53">
        <f t="shared" si="278"/>
        <v>1978.4765</v>
      </c>
      <c r="DG46" s="51">
        <f t="shared" si="279"/>
        <v>6540.4476137000001</v>
      </c>
      <c r="DH46" s="53">
        <f t="shared" si="280"/>
        <v>1919.4174999999998</v>
      </c>
      <c r="DI46" s="51">
        <f t="shared" si="281"/>
        <v>6345.2103714999994</v>
      </c>
      <c r="DJ46" s="48">
        <f t="shared" si="282"/>
        <v>1860.3584999999998</v>
      </c>
      <c r="DK46" s="51">
        <f t="shared" si="283"/>
        <v>6149.9731292999995</v>
      </c>
      <c r="DL46" s="53">
        <f t="shared" si="284"/>
        <v>1801.2994999999999</v>
      </c>
      <c r="DM46" s="51">
        <f t="shared" si="285"/>
        <v>5954.7358870999997</v>
      </c>
      <c r="DN46" s="53">
        <f t="shared" si="286"/>
        <v>1742.2404999999997</v>
      </c>
      <c r="DO46" s="51">
        <f t="shared" si="287"/>
        <v>5759.4986448999989</v>
      </c>
      <c r="DP46" s="48">
        <f t="shared" si="288"/>
        <v>1683.1814999999997</v>
      </c>
      <c r="DQ46" s="51">
        <f t="shared" si="289"/>
        <v>5564.2614026999991</v>
      </c>
      <c r="DT46" s="48">
        <v>1</v>
      </c>
      <c r="DU46" s="48">
        <v>0.97</v>
      </c>
      <c r="DV46" s="48">
        <v>0.95</v>
      </c>
      <c r="DW46" s="48">
        <v>0.93</v>
      </c>
      <c r="DX46" s="48">
        <f t="shared" ref="DX46:EO46" si="576">+DW46-0.02</f>
        <v>0.91</v>
      </c>
      <c r="DY46" s="48">
        <f t="shared" si="576"/>
        <v>0.89</v>
      </c>
      <c r="DZ46" s="48">
        <f t="shared" si="576"/>
        <v>0.87</v>
      </c>
      <c r="EA46" s="48">
        <f t="shared" si="576"/>
        <v>0.85</v>
      </c>
      <c r="EB46" s="48">
        <f t="shared" si="576"/>
        <v>0.83</v>
      </c>
      <c r="EC46" s="48">
        <f t="shared" si="576"/>
        <v>0.80999999999999994</v>
      </c>
      <c r="ED46" s="48">
        <f t="shared" si="576"/>
        <v>0.78999999999999992</v>
      </c>
      <c r="EE46" s="48">
        <f t="shared" si="576"/>
        <v>0.76999999999999991</v>
      </c>
      <c r="EF46" s="48">
        <f t="shared" si="576"/>
        <v>0.74999999999999989</v>
      </c>
      <c r="EG46" s="48">
        <f t="shared" si="576"/>
        <v>0.72999999999999987</v>
      </c>
      <c r="EH46" s="48">
        <f t="shared" si="576"/>
        <v>0.70999999999999985</v>
      </c>
      <c r="EI46" s="48">
        <f t="shared" si="576"/>
        <v>0.68999999999999984</v>
      </c>
      <c r="EJ46" s="48">
        <f t="shared" si="576"/>
        <v>0.66999999999999982</v>
      </c>
      <c r="EK46" s="48">
        <f t="shared" si="576"/>
        <v>0.6499999999999998</v>
      </c>
      <c r="EL46" s="48">
        <f t="shared" si="576"/>
        <v>0.62999999999999978</v>
      </c>
      <c r="EM46" s="48">
        <f t="shared" si="576"/>
        <v>0.60999999999999976</v>
      </c>
      <c r="EN46" s="48">
        <f t="shared" si="576"/>
        <v>0.58999999999999975</v>
      </c>
      <c r="EO46" s="48">
        <f t="shared" si="576"/>
        <v>0.56999999999999973</v>
      </c>
      <c r="EQ46" s="48">
        <f t="shared" si="188"/>
        <v>2687.1845000000008</v>
      </c>
      <c r="ER46" s="48">
        <f t="shared" si="116"/>
        <v>2687.1845000000008</v>
      </c>
      <c r="ES46" s="51">
        <f t="shared" ref="ES46" si="577">+ER46*3.3058</f>
        <v>8883.294520100002</v>
      </c>
      <c r="ET46" s="48">
        <f t="shared" si="292"/>
        <v>2606.5689650000008</v>
      </c>
      <c r="EU46" s="51">
        <f t="shared" si="293"/>
        <v>8616.7956844970031</v>
      </c>
      <c r="EV46" s="48">
        <f t="shared" si="294"/>
        <v>2552.8252750000006</v>
      </c>
      <c r="EW46" s="51">
        <f t="shared" si="295"/>
        <v>8439.1297940950026</v>
      </c>
      <c r="EX46" s="48">
        <f t="shared" si="296"/>
        <v>2499.0815850000008</v>
      </c>
      <c r="EY46" s="51">
        <f t="shared" si="297"/>
        <v>8261.4639036930021</v>
      </c>
      <c r="EZ46" s="52">
        <f t="shared" si="298"/>
        <v>2445.3378950000006</v>
      </c>
      <c r="FA46" s="51">
        <f t="shared" si="299"/>
        <v>8083.7980132910025</v>
      </c>
      <c r="FB46" s="48">
        <f t="shared" si="300"/>
        <v>2391.5942050000008</v>
      </c>
      <c r="FC46" s="51">
        <f t="shared" si="301"/>
        <v>7906.1321228890029</v>
      </c>
      <c r="FD46" s="52">
        <f t="shared" si="302"/>
        <v>2337.8505150000005</v>
      </c>
      <c r="FE46" s="51">
        <f t="shared" si="303"/>
        <v>7728.4662324870023</v>
      </c>
      <c r="FF46" s="53">
        <f t="shared" si="304"/>
        <v>2284.1068250000008</v>
      </c>
      <c r="FG46" s="51">
        <f t="shared" si="305"/>
        <v>7550.8003420850027</v>
      </c>
      <c r="FH46" s="52">
        <f t="shared" si="306"/>
        <v>2230.3631350000005</v>
      </c>
      <c r="FI46" s="51">
        <f t="shared" si="307"/>
        <v>7373.1344516830022</v>
      </c>
      <c r="FJ46" s="48">
        <f t="shared" si="308"/>
        <v>2176.6194450000003</v>
      </c>
      <c r="FK46" s="51">
        <f t="shared" si="309"/>
        <v>7195.4685612810008</v>
      </c>
      <c r="FL46" s="53">
        <f t="shared" si="310"/>
        <v>2122.8757550000005</v>
      </c>
      <c r="FM46" s="51">
        <f t="shared" si="311"/>
        <v>7017.8026708790021</v>
      </c>
      <c r="FN46" s="53">
        <f t="shared" si="312"/>
        <v>2069.1320650000002</v>
      </c>
      <c r="FO46" s="51">
        <f t="shared" si="313"/>
        <v>6840.1367804770007</v>
      </c>
      <c r="FP46" s="53">
        <f t="shared" si="314"/>
        <v>2015.3883750000002</v>
      </c>
      <c r="FQ46" s="51">
        <f t="shared" si="315"/>
        <v>6662.4708900750011</v>
      </c>
      <c r="FR46" s="48">
        <f t="shared" si="316"/>
        <v>1961.6446850000002</v>
      </c>
      <c r="FS46" s="51">
        <f t="shared" si="317"/>
        <v>6484.8049996730006</v>
      </c>
      <c r="FT46" s="53">
        <f t="shared" si="318"/>
        <v>1907.9009950000002</v>
      </c>
      <c r="FU46" s="51">
        <f t="shared" si="319"/>
        <v>6307.139109271001</v>
      </c>
      <c r="FV46" s="53">
        <f t="shared" si="320"/>
        <v>1854.1573050000002</v>
      </c>
      <c r="FW46" s="51">
        <f t="shared" si="321"/>
        <v>6129.4732188690004</v>
      </c>
      <c r="FX46" s="53">
        <f t="shared" si="322"/>
        <v>1800.4136149999999</v>
      </c>
      <c r="FY46" s="51">
        <f t="shared" si="323"/>
        <v>5951.8073284669999</v>
      </c>
      <c r="FZ46" s="53">
        <f t="shared" si="324"/>
        <v>1746.6699249999999</v>
      </c>
      <c r="GA46" s="51">
        <f t="shared" si="325"/>
        <v>5774.1414380649994</v>
      </c>
      <c r="GB46" s="48">
        <f t="shared" si="326"/>
        <v>1692.9262349999999</v>
      </c>
      <c r="GC46" s="51">
        <f t="shared" si="327"/>
        <v>5596.4755476629998</v>
      </c>
      <c r="GD46" s="53">
        <f t="shared" si="328"/>
        <v>1639.1825449999999</v>
      </c>
      <c r="GE46" s="51">
        <f t="shared" si="329"/>
        <v>5418.8096572610002</v>
      </c>
      <c r="GF46" s="53">
        <f t="shared" si="330"/>
        <v>1585.4388549999999</v>
      </c>
      <c r="GG46" s="51">
        <f t="shared" si="331"/>
        <v>5241.1437668589997</v>
      </c>
      <c r="GH46" s="48">
        <f t="shared" si="332"/>
        <v>1531.6951649999996</v>
      </c>
      <c r="GI46" s="51">
        <f t="shared" si="333"/>
        <v>5063.4778764569992</v>
      </c>
      <c r="GJ46" s="48"/>
      <c r="GK46" s="48"/>
      <c r="GL46" s="48">
        <v>1</v>
      </c>
      <c r="GM46" s="48">
        <v>0.97</v>
      </c>
      <c r="GN46" s="48">
        <v>0.95</v>
      </c>
      <c r="GO46" s="48">
        <v>0.93</v>
      </c>
      <c r="GP46" s="48">
        <f t="shared" ref="GP46:HG46" si="578">+GO46-0.02</f>
        <v>0.91</v>
      </c>
      <c r="GQ46" s="48">
        <f t="shared" si="578"/>
        <v>0.89</v>
      </c>
      <c r="GR46" s="48">
        <f t="shared" si="578"/>
        <v>0.87</v>
      </c>
      <c r="GS46" s="48">
        <f t="shared" si="578"/>
        <v>0.85</v>
      </c>
      <c r="GT46" s="48">
        <f t="shared" si="578"/>
        <v>0.83</v>
      </c>
      <c r="GU46" s="48">
        <f t="shared" si="578"/>
        <v>0.80999999999999994</v>
      </c>
      <c r="GV46" s="48">
        <f t="shared" si="578"/>
        <v>0.78999999999999992</v>
      </c>
      <c r="GW46" s="48">
        <f t="shared" si="578"/>
        <v>0.76999999999999991</v>
      </c>
      <c r="GX46" s="48">
        <f t="shared" si="578"/>
        <v>0.74999999999999989</v>
      </c>
      <c r="GY46" s="48">
        <f t="shared" si="578"/>
        <v>0.72999999999999987</v>
      </c>
      <c r="GZ46" s="48">
        <f t="shared" si="578"/>
        <v>0.70999999999999985</v>
      </c>
      <c r="HA46" s="48">
        <f t="shared" si="578"/>
        <v>0.68999999999999984</v>
      </c>
      <c r="HB46" s="48">
        <f t="shared" si="578"/>
        <v>0.66999999999999982</v>
      </c>
      <c r="HC46" s="48">
        <f t="shared" si="578"/>
        <v>0.6499999999999998</v>
      </c>
      <c r="HD46" s="48">
        <f t="shared" si="578"/>
        <v>0.62999999999999978</v>
      </c>
      <c r="HE46" s="48">
        <f t="shared" si="578"/>
        <v>0.60999999999999976</v>
      </c>
      <c r="HF46" s="48">
        <f t="shared" si="578"/>
        <v>0.58999999999999975</v>
      </c>
      <c r="HG46" s="48">
        <f t="shared" si="578"/>
        <v>0.56999999999999973</v>
      </c>
    </row>
    <row r="47" spans="1:250" x14ac:dyDescent="0.3">
      <c r="A47" s="2">
        <v>14</v>
      </c>
      <c r="C47" s="39" t="s">
        <v>19</v>
      </c>
      <c r="D47" s="44">
        <f>TRUNC(72576.2981118373,-1)</f>
        <v>72570</v>
      </c>
      <c r="E47" s="73">
        <f t="shared" si="203"/>
        <v>239900</v>
      </c>
      <c r="G47" s="48">
        <f t="shared" si="61"/>
        <v>79827</v>
      </c>
      <c r="H47" s="48">
        <f t="shared" si="62"/>
        <v>79827</v>
      </c>
      <c r="I47" s="51">
        <f t="shared" si="63"/>
        <v>263892.09659999999</v>
      </c>
      <c r="J47" s="48">
        <f t="shared" si="204"/>
        <v>77432.19</v>
      </c>
      <c r="K47" s="51">
        <f t="shared" si="205"/>
        <v>255975.333702</v>
      </c>
      <c r="L47" s="48">
        <f t="shared" si="206"/>
        <v>75835.649999999994</v>
      </c>
      <c r="M47" s="51">
        <f t="shared" si="207"/>
        <v>250697.49176999999</v>
      </c>
      <c r="N47" s="48">
        <f t="shared" si="208"/>
        <v>74239.11</v>
      </c>
      <c r="O47" s="51">
        <f t="shared" si="209"/>
        <v>245419.64983800001</v>
      </c>
      <c r="P47" s="52">
        <f t="shared" si="210"/>
        <v>72642.570000000007</v>
      </c>
      <c r="Q47" s="51">
        <f t="shared" si="211"/>
        <v>240141.80790600003</v>
      </c>
      <c r="R47" s="48">
        <f t="shared" si="212"/>
        <v>71046.03</v>
      </c>
      <c r="S47" s="51">
        <f t="shared" si="213"/>
        <v>234863.96597399999</v>
      </c>
      <c r="T47" s="52">
        <f t="shared" si="214"/>
        <v>69449.490000000005</v>
      </c>
      <c r="U47" s="51">
        <f t="shared" si="215"/>
        <v>229586.12404200001</v>
      </c>
      <c r="V47" s="53">
        <f t="shared" si="216"/>
        <v>67852.95</v>
      </c>
      <c r="W47" s="51">
        <f t="shared" si="217"/>
        <v>224308.28211</v>
      </c>
      <c r="X47" s="52">
        <f t="shared" si="218"/>
        <v>66256.41</v>
      </c>
      <c r="Y47" s="51">
        <f t="shared" si="219"/>
        <v>219030.44017800002</v>
      </c>
      <c r="Z47" s="48">
        <f t="shared" si="220"/>
        <v>64659.869999999995</v>
      </c>
      <c r="AA47" s="51">
        <f t="shared" si="221"/>
        <v>213752.59824599998</v>
      </c>
      <c r="AB47" s="53">
        <f t="shared" si="222"/>
        <v>63063.329999999994</v>
      </c>
      <c r="AC47" s="51">
        <f t="shared" si="223"/>
        <v>208474.756314</v>
      </c>
      <c r="AD47" s="53">
        <f t="shared" si="224"/>
        <v>61466.789999999994</v>
      </c>
      <c r="AE47" s="51">
        <f t="shared" si="225"/>
        <v>203196.91438199999</v>
      </c>
      <c r="AF47" s="53">
        <f t="shared" si="226"/>
        <v>59870.249999999993</v>
      </c>
      <c r="AG47" s="51">
        <f t="shared" si="227"/>
        <v>197919.07244999998</v>
      </c>
      <c r="AH47" s="48">
        <f t="shared" si="228"/>
        <v>58273.709999999992</v>
      </c>
      <c r="AI47" s="51">
        <f t="shared" si="229"/>
        <v>192641.23051799997</v>
      </c>
      <c r="AJ47" s="53">
        <f t="shared" si="230"/>
        <v>56677.169999999991</v>
      </c>
      <c r="AK47" s="51">
        <f t="shared" si="231"/>
        <v>187363.38858599999</v>
      </c>
      <c r="AL47" s="53">
        <f t="shared" si="232"/>
        <v>55080.62999999999</v>
      </c>
      <c r="AM47" s="51">
        <f t="shared" si="233"/>
        <v>182085.54665399998</v>
      </c>
      <c r="AN47" s="53">
        <f t="shared" si="234"/>
        <v>53484.089999999982</v>
      </c>
      <c r="AO47" s="51">
        <f t="shared" si="235"/>
        <v>176807.70472199994</v>
      </c>
      <c r="AP47" s="53">
        <f t="shared" si="236"/>
        <v>51887.549999999981</v>
      </c>
      <c r="AQ47" s="51">
        <f t="shared" si="237"/>
        <v>171529.86278999996</v>
      </c>
      <c r="AR47" s="48">
        <f t="shared" si="238"/>
        <v>50291.00999999998</v>
      </c>
      <c r="AS47" s="51">
        <f t="shared" si="239"/>
        <v>166252.02085799995</v>
      </c>
      <c r="AT47" s="53">
        <f t="shared" si="240"/>
        <v>48694.469999999979</v>
      </c>
      <c r="AU47" s="51">
        <f t="shared" si="241"/>
        <v>160974.17892599994</v>
      </c>
      <c r="AV47" s="53">
        <f t="shared" si="242"/>
        <v>47097.929999999978</v>
      </c>
      <c r="AW47" s="51">
        <f t="shared" si="243"/>
        <v>155696.33699399992</v>
      </c>
      <c r="AX47" s="48">
        <f t="shared" si="244"/>
        <v>45501.389999999978</v>
      </c>
      <c r="AY47" s="51">
        <f t="shared" si="245"/>
        <v>150418.49506199994</v>
      </c>
      <c r="BB47" s="48">
        <v>1</v>
      </c>
      <c r="BC47" s="48">
        <v>0.97</v>
      </c>
      <c r="BD47" s="48">
        <v>0.95</v>
      </c>
      <c r="BE47" s="48">
        <v>0.93</v>
      </c>
      <c r="BF47" s="48">
        <f t="shared" ref="BF47:BW47" si="579">+BE47-0.02</f>
        <v>0.91</v>
      </c>
      <c r="BG47" s="48">
        <f t="shared" si="579"/>
        <v>0.89</v>
      </c>
      <c r="BH47" s="48">
        <f t="shared" si="579"/>
        <v>0.87</v>
      </c>
      <c r="BI47" s="48">
        <f t="shared" si="579"/>
        <v>0.85</v>
      </c>
      <c r="BJ47" s="48">
        <f t="shared" si="579"/>
        <v>0.83</v>
      </c>
      <c r="BK47" s="48">
        <f t="shared" si="579"/>
        <v>0.80999999999999994</v>
      </c>
      <c r="BL47" s="48">
        <f t="shared" si="579"/>
        <v>0.78999999999999992</v>
      </c>
      <c r="BM47" s="48">
        <f t="shared" si="579"/>
        <v>0.76999999999999991</v>
      </c>
      <c r="BN47" s="48">
        <f t="shared" si="579"/>
        <v>0.74999999999999989</v>
      </c>
      <c r="BO47" s="48">
        <f t="shared" si="579"/>
        <v>0.72999999999999987</v>
      </c>
      <c r="BP47" s="48">
        <f t="shared" si="579"/>
        <v>0.70999999999999985</v>
      </c>
      <c r="BQ47" s="48">
        <f t="shared" si="579"/>
        <v>0.68999999999999984</v>
      </c>
      <c r="BR47" s="48">
        <f t="shared" si="579"/>
        <v>0.66999999999999982</v>
      </c>
      <c r="BS47" s="48">
        <f t="shared" si="579"/>
        <v>0.6499999999999998</v>
      </c>
      <c r="BT47" s="48">
        <f t="shared" si="579"/>
        <v>0.62999999999999978</v>
      </c>
      <c r="BU47" s="48">
        <f t="shared" si="579"/>
        <v>0.60999999999999976</v>
      </c>
      <c r="BV47" s="48">
        <f t="shared" si="579"/>
        <v>0.58999999999999975</v>
      </c>
      <c r="BW47" s="48">
        <f t="shared" si="579"/>
        <v>0.56999999999999973</v>
      </c>
      <c r="BY47" s="48">
        <f t="shared" si="88"/>
        <v>72642.570000000007</v>
      </c>
      <c r="BZ47" s="48">
        <f t="shared" si="89"/>
        <v>72642.570000000007</v>
      </c>
      <c r="CA47" s="51">
        <f t="shared" ref="CA47" si="580">+BZ47*3.3058</f>
        <v>240141.80790600003</v>
      </c>
      <c r="CB47" s="48">
        <f t="shared" si="248"/>
        <v>70463.2929</v>
      </c>
      <c r="CC47" s="51">
        <f t="shared" si="249"/>
        <v>232937.55366882001</v>
      </c>
      <c r="CD47" s="48">
        <f t="shared" si="250"/>
        <v>69010.441500000001</v>
      </c>
      <c r="CE47" s="51">
        <f t="shared" si="251"/>
        <v>228134.71751070002</v>
      </c>
      <c r="CF47" s="48">
        <f t="shared" si="252"/>
        <v>67557.590100000016</v>
      </c>
      <c r="CG47" s="51">
        <f t="shared" si="253"/>
        <v>223331.88135258007</v>
      </c>
      <c r="CH47" s="52">
        <f t="shared" si="254"/>
        <v>66104.738700000002</v>
      </c>
      <c r="CI47" s="51">
        <f t="shared" si="255"/>
        <v>218529.04519446002</v>
      </c>
      <c r="CJ47" s="48">
        <f t="shared" si="256"/>
        <v>64651.887300000009</v>
      </c>
      <c r="CK47" s="51">
        <f t="shared" si="257"/>
        <v>213726.20903634003</v>
      </c>
      <c r="CL47" s="52">
        <f t="shared" si="258"/>
        <v>63199.035900000003</v>
      </c>
      <c r="CM47" s="51">
        <f t="shared" si="259"/>
        <v>208923.37287822002</v>
      </c>
      <c r="CN47" s="53">
        <f t="shared" si="260"/>
        <v>61746.184500000003</v>
      </c>
      <c r="CO47" s="51">
        <f t="shared" si="261"/>
        <v>204120.5367201</v>
      </c>
      <c r="CP47" s="52">
        <f t="shared" si="262"/>
        <v>60293.333100000003</v>
      </c>
      <c r="CQ47" s="51">
        <f t="shared" si="263"/>
        <v>199317.70056198002</v>
      </c>
      <c r="CR47" s="48">
        <f t="shared" si="264"/>
        <v>58840.481700000004</v>
      </c>
      <c r="CS47" s="51">
        <f t="shared" si="265"/>
        <v>194514.86440386</v>
      </c>
      <c r="CT47" s="53">
        <f t="shared" si="266"/>
        <v>57387.630299999997</v>
      </c>
      <c r="CU47" s="51">
        <f t="shared" si="267"/>
        <v>189712.02824573999</v>
      </c>
      <c r="CV47" s="53">
        <f t="shared" si="268"/>
        <v>55934.778899999998</v>
      </c>
      <c r="CW47" s="51">
        <f t="shared" si="269"/>
        <v>184909.19208762</v>
      </c>
      <c r="CX47" s="53">
        <f t="shared" si="270"/>
        <v>54481.927499999998</v>
      </c>
      <c r="CY47" s="51">
        <f t="shared" si="271"/>
        <v>180106.35592949999</v>
      </c>
      <c r="CZ47" s="48">
        <f t="shared" si="272"/>
        <v>53029.076099999998</v>
      </c>
      <c r="DA47" s="51">
        <f t="shared" si="273"/>
        <v>175303.51977138</v>
      </c>
      <c r="DB47" s="53">
        <f t="shared" si="274"/>
        <v>51576.224699999992</v>
      </c>
      <c r="DC47" s="51">
        <f t="shared" si="275"/>
        <v>170500.68361325999</v>
      </c>
      <c r="DD47" s="53">
        <f t="shared" si="276"/>
        <v>50123.373299999992</v>
      </c>
      <c r="DE47" s="51">
        <f t="shared" si="277"/>
        <v>165697.84745513997</v>
      </c>
      <c r="DF47" s="53">
        <f t="shared" si="278"/>
        <v>48670.521899999992</v>
      </c>
      <c r="DG47" s="51">
        <f t="shared" si="279"/>
        <v>160895.01129701998</v>
      </c>
      <c r="DH47" s="53">
        <f t="shared" si="280"/>
        <v>47217.670499999993</v>
      </c>
      <c r="DI47" s="51">
        <f t="shared" si="281"/>
        <v>156092.17513889997</v>
      </c>
      <c r="DJ47" s="48">
        <f t="shared" si="282"/>
        <v>45764.819099999986</v>
      </c>
      <c r="DK47" s="51">
        <f t="shared" si="283"/>
        <v>151289.33898077995</v>
      </c>
      <c r="DL47" s="53">
        <f t="shared" si="284"/>
        <v>44311.967699999987</v>
      </c>
      <c r="DM47" s="51">
        <f t="shared" si="285"/>
        <v>146486.50282265997</v>
      </c>
      <c r="DN47" s="53">
        <f t="shared" si="286"/>
        <v>42859.116299999987</v>
      </c>
      <c r="DO47" s="51">
        <f t="shared" si="287"/>
        <v>141683.66666453995</v>
      </c>
      <c r="DP47" s="48">
        <f t="shared" si="288"/>
        <v>41406.264899999987</v>
      </c>
      <c r="DQ47" s="51">
        <f t="shared" si="289"/>
        <v>136880.83050641997</v>
      </c>
      <c r="DT47" s="48">
        <v>1</v>
      </c>
      <c r="DU47" s="48">
        <v>0.97</v>
      </c>
      <c r="DV47" s="48">
        <v>0.95</v>
      </c>
      <c r="DW47" s="48">
        <v>0.93</v>
      </c>
      <c r="DX47" s="48">
        <f t="shared" ref="DX47:EO47" si="581">+DW47-0.02</f>
        <v>0.91</v>
      </c>
      <c r="DY47" s="48">
        <f t="shared" si="581"/>
        <v>0.89</v>
      </c>
      <c r="DZ47" s="48">
        <f t="shared" si="581"/>
        <v>0.87</v>
      </c>
      <c r="EA47" s="48">
        <f t="shared" si="581"/>
        <v>0.85</v>
      </c>
      <c r="EB47" s="48">
        <f t="shared" si="581"/>
        <v>0.83</v>
      </c>
      <c r="EC47" s="48">
        <f t="shared" si="581"/>
        <v>0.80999999999999994</v>
      </c>
      <c r="ED47" s="48">
        <f t="shared" si="581"/>
        <v>0.78999999999999992</v>
      </c>
      <c r="EE47" s="48">
        <f t="shared" si="581"/>
        <v>0.76999999999999991</v>
      </c>
      <c r="EF47" s="48">
        <f t="shared" si="581"/>
        <v>0.74999999999999989</v>
      </c>
      <c r="EG47" s="48">
        <f t="shared" si="581"/>
        <v>0.72999999999999987</v>
      </c>
      <c r="EH47" s="48">
        <f t="shared" si="581"/>
        <v>0.70999999999999985</v>
      </c>
      <c r="EI47" s="48">
        <f t="shared" si="581"/>
        <v>0.68999999999999984</v>
      </c>
      <c r="EJ47" s="48">
        <f t="shared" si="581"/>
        <v>0.66999999999999982</v>
      </c>
      <c r="EK47" s="48">
        <f t="shared" si="581"/>
        <v>0.6499999999999998</v>
      </c>
      <c r="EL47" s="48">
        <f t="shared" si="581"/>
        <v>0.62999999999999978</v>
      </c>
      <c r="EM47" s="48">
        <f t="shared" si="581"/>
        <v>0.60999999999999976</v>
      </c>
      <c r="EN47" s="48">
        <f t="shared" si="581"/>
        <v>0.58999999999999975</v>
      </c>
      <c r="EO47" s="48">
        <f t="shared" si="581"/>
        <v>0.56999999999999973</v>
      </c>
      <c r="EQ47" s="48">
        <f t="shared" si="188"/>
        <v>66104.738700000002</v>
      </c>
      <c r="ER47" s="48">
        <f t="shared" si="116"/>
        <v>66104.738700000002</v>
      </c>
      <c r="ES47" s="51">
        <f t="shared" ref="ES47" si="582">+ER47*3.3058</f>
        <v>218529.04519446002</v>
      </c>
      <c r="ET47" s="48">
        <f t="shared" si="292"/>
        <v>64121.596538999998</v>
      </c>
      <c r="EU47" s="51">
        <f t="shared" si="293"/>
        <v>211973.17383862619</v>
      </c>
      <c r="EV47" s="48">
        <f t="shared" si="294"/>
        <v>62799.501765000001</v>
      </c>
      <c r="EW47" s="51">
        <f t="shared" si="295"/>
        <v>207602.59293473701</v>
      </c>
      <c r="EX47" s="48">
        <f t="shared" si="296"/>
        <v>61477.406991000003</v>
      </c>
      <c r="EY47" s="51">
        <f t="shared" si="297"/>
        <v>203232.01203084781</v>
      </c>
      <c r="EZ47" s="52">
        <f t="shared" si="298"/>
        <v>60155.312217000006</v>
      </c>
      <c r="FA47" s="51">
        <f t="shared" si="299"/>
        <v>198861.43112695863</v>
      </c>
      <c r="FB47" s="48">
        <f t="shared" si="300"/>
        <v>58833.217443000001</v>
      </c>
      <c r="FC47" s="51">
        <f t="shared" si="301"/>
        <v>194490.8502230694</v>
      </c>
      <c r="FD47" s="52">
        <f t="shared" si="302"/>
        <v>57511.122669000004</v>
      </c>
      <c r="FE47" s="51">
        <f t="shared" si="303"/>
        <v>190120.26931918022</v>
      </c>
      <c r="FF47" s="53">
        <f t="shared" si="304"/>
        <v>56189.027894999999</v>
      </c>
      <c r="FG47" s="51">
        <f t="shared" si="305"/>
        <v>185749.68841529099</v>
      </c>
      <c r="FH47" s="52">
        <f t="shared" si="306"/>
        <v>54866.933121000002</v>
      </c>
      <c r="FI47" s="51">
        <f t="shared" si="307"/>
        <v>181379.10751140182</v>
      </c>
      <c r="FJ47" s="48">
        <f t="shared" si="308"/>
        <v>53544.838346999997</v>
      </c>
      <c r="FK47" s="51">
        <f t="shared" si="309"/>
        <v>177008.52660751258</v>
      </c>
      <c r="FL47" s="53">
        <f t="shared" si="310"/>
        <v>52222.743573</v>
      </c>
      <c r="FM47" s="51">
        <f t="shared" si="311"/>
        <v>172637.94570362341</v>
      </c>
      <c r="FN47" s="53">
        <f t="shared" si="312"/>
        <v>50900.648798999995</v>
      </c>
      <c r="FO47" s="51">
        <f t="shared" si="313"/>
        <v>168267.36479973418</v>
      </c>
      <c r="FP47" s="53">
        <f t="shared" si="314"/>
        <v>49578.55402499999</v>
      </c>
      <c r="FQ47" s="51">
        <f t="shared" si="315"/>
        <v>163896.78389584497</v>
      </c>
      <c r="FR47" s="48">
        <f t="shared" si="316"/>
        <v>48256.459250999993</v>
      </c>
      <c r="FS47" s="51">
        <f t="shared" si="317"/>
        <v>159526.20299195577</v>
      </c>
      <c r="FT47" s="53">
        <f t="shared" si="318"/>
        <v>46934.364476999988</v>
      </c>
      <c r="FU47" s="51">
        <f t="shared" si="319"/>
        <v>155155.62208806656</v>
      </c>
      <c r="FV47" s="53">
        <f t="shared" si="320"/>
        <v>45612.269702999991</v>
      </c>
      <c r="FW47" s="51">
        <f t="shared" si="321"/>
        <v>150785.04118417736</v>
      </c>
      <c r="FX47" s="53">
        <f t="shared" si="322"/>
        <v>44290.174928999986</v>
      </c>
      <c r="FY47" s="51">
        <f t="shared" si="323"/>
        <v>146414.46028028816</v>
      </c>
      <c r="FZ47" s="53">
        <f t="shared" si="324"/>
        <v>42968.080154999989</v>
      </c>
      <c r="GA47" s="51">
        <f t="shared" si="325"/>
        <v>142043.87937639895</v>
      </c>
      <c r="GB47" s="48">
        <f t="shared" si="326"/>
        <v>41645.985380999984</v>
      </c>
      <c r="GC47" s="51">
        <f t="shared" si="327"/>
        <v>137673.29847250975</v>
      </c>
      <c r="GD47" s="53">
        <f t="shared" si="328"/>
        <v>40323.890606999987</v>
      </c>
      <c r="GE47" s="51">
        <f t="shared" si="329"/>
        <v>133302.71756862054</v>
      </c>
      <c r="GF47" s="53">
        <f t="shared" si="330"/>
        <v>39001.795832999982</v>
      </c>
      <c r="GG47" s="51">
        <f t="shared" si="331"/>
        <v>128932.13666473134</v>
      </c>
      <c r="GH47" s="48">
        <f t="shared" si="332"/>
        <v>37679.701058999985</v>
      </c>
      <c r="GI47" s="51">
        <f t="shared" si="333"/>
        <v>124561.55576084215</v>
      </c>
      <c r="GJ47" s="48"/>
      <c r="GK47" s="48"/>
      <c r="GL47" s="48">
        <v>1</v>
      </c>
      <c r="GM47" s="48">
        <v>0.97</v>
      </c>
      <c r="GN47" s="48">
        <v>0.95</v>
      </c>
      <c r="GO47" s="48">
        <v>0.93</v>
      </c>
      <c r="GP47" s="48">
        <f t="shared" ref="GP47:HG47" si="583">+GO47-0.02</f>
        <v>0.91</v>
      </c>
      <c r="GQ47" s="48">
        <f t="shared" si="583"/>
        <v>0.89</v>
      </c>
      <c r="GR47" s="48">
        <f t="shared" si="583"/>
        <v>0.87</v>
      </c>
      <c r="GS47" s="48">
        <f t="shared" si="583"/>
        <v>0.85</v>
      </c>
      <c r="GT47" s="48">
        <f t="shared" si="583"/>
        <v>0.83</v>
      </c>
      <c r="GU47" s="48">
        <f t="shared" si="583"/>
        <v>0.80999999999999994</v>
      </c>
      <c r="GV47" s="48">
        <f t="shared" si="583"/>
        <v>0.78999999999999992</v>
      </c>
      <c r="GW47" s="48">
        <f t="shared" si="583"/>
        <v>0.76999999999999991</v>
      </c>
      <c r="GX47" s="48">
        <f t="shared" si="583"/>
        <v>0.74999999999999989</v>
      </c>
      <c r="GY47" s="48">
        <f t="shared" si="583"/>
        <v>0.72999999999999987</v>
      </c>
      <c r="GZ47" s="48">
        <f t="shared" si="583"/>
        <v>0.70999999999999985</v>
      </c>
      <c r="HA47" s="48">
        <f t="shared" si="583"/>
        <v>0.68999999999999984</v>
      </c>
      <c r="HB47" s="48">
        <f t="shared" si="583"/>
        <v>0.66999999999999982</v>
      </c>
      <c r="HC47" s="48">
        <f t="shared" si="583"/>
        <v>0.6499999999999998</v>
      </c>
      <c r="HD47" s="48">
        <f t="shared" si="583"/>
        <v>0.62999999999999978</v>
      </c>
      <c r="HE47" s="48">
        <f t="shared" si="583"/>
        <v>0.60999999999999976</v>
      </c>
      <c r="HF47" s="48">
        <f t="shared" si="583"/>
        <v>0.58999999999999975</v>
      </c>
      <c r="HG47" s="48">
        <f t="shared" si="583"/>
        <v>0.56999999999999973</v>
      </c>
    </row>
    <row r="48" spans="1:250" x14ac:dyDescent="0.3">
      <c r="A48" s="2">
        <v>15</v>
      </c>
      <c r="C48" s="39" t="s">
        <v>56</v>
      </c>
      <c r="D48" s="44">
        <f>TRUNC(25633.9740377633,-1)</f>
        <v>25630</v>
      </c>
      <c r="E48" s="73">
        <f t="shared" si="203"/>
        <v>84720</v>
      </c>
      <c r="G48" s="48">
        <f t="shared" si="61"/>
        <v>28193.000000000004</v>
      </c>
      <c r="H48" s="48">
        <f t="shared" si="62"/>
        <v>28193.000000000004</v>
      </c>
      <c r="I48" s="51">
        <f t="shared" si="63"/>
        <v>93200.419400000013</v>
      </c>
      <c r="J48" s="48">
        <f t="shared" si="204"/>
        <v>27347.210000000003</v>
      </c>
      <c r="K48" s="51">
        <f t="shared" si="205"/>
        <v>90404.406818000018</v>
      </c>
      <c r="L48" s="48">
        <f t="shared" si="206"/>
        <v>26783.350000000002</v>
      </c>
      <c r="M48" s="51">
        <f t="shared" si="207"/>
        <v>88540.398430000016</v>
      </c>
      <c r="N48" s="48">
        <f t="shared" si="208"/>
        <v>26219.490000000005</v>
      </c>
      <c r="O48" s="51">
        <f t="shared" si="209"/>
        <v>86676.390042000014</v>
      </c>
      <c r="P48" s="52">
        <f t="shared" si="210"/>
        <v>25655.630000000005</v>
      </c>
      <c r="Q48" s="51">
        <f t="shared" si="211"/>
        <v>84812.381654000012</v>
      </c>
      <c r="R48" s="48">
        <f t="shared" si="212"/>
        <v>25091.770000000004</v>
      </c>
      <c r="S48" s="51">
        <f t="shared" si="213"/>
        <v>82948.37326600001</v>
      </c>
      <c r="T48" s="52">
        <f t="shared" si="214"/>
        <v>24527.910000000003</v>
      </c>
      <c r="U48" s="51">
        <f t="shared" si="215"/>
        <v>81084.364878000008</v>
      </c>
      <c r="V48" s="53">
        <f t="shared" si="216"/>
        <v>23964.050000000003</v>
      </c>
      <c r="W48" s="51">
        <f t="shared" si="217"/>
        <v>79220.356490000006</v>
      </c>
      <c r="X48" s="52">
        <f t="shared" si="218"/>
        <v>23400.190000000002</v>
      </c>
      <c r="Y48" s="51">
        <f t="shared" si="219"/>
        <v>77356.348102000004</v>
      </c>
      <c r="Z48" s="48">
        <f t="shared" si="220"/>
        <v>22836.33</v>
      </c>
      <c r="AA48" s="51">
        <f t="shared" si="221"/>
        <v>75492.339714000002</v>
      </c>
      <c r="AB48" s="53">
        <f t="shared" si="222"/>
        <v>22272.47</v>
      </c>
      <c r="AC48" s="51">
        <f t="shared" si="223"/>
        <v>73628.331326</v>
      </c>
      <c r="AD48" s="53">
        <f t="shared" si="224"/>
        <v>21708.61</v>
      </c>
      <c r="AE48" s="51">
        <f t="shared" si="225"/>
        <v>71764.322937999998</v>
      </c>
      <c r="AF48" s="53">
        <f t="shared" si="226"/>
        <v>21144.75</v>
      </c>
      <c r="AG48" s="51">
        <f t="shared" si="227"/>
        <v>69900.314549999996</v>
      </c>
      <c r="AH48" s="48">
        <f t="shared" si="228"/>
        <v>20580.89</v>
      </c>
      <c r="AI48" s="51">
        <f t="shared" si="229"/>
        <v>68036.306161999993</v>
      </c>
      <c r="AJ48" s="53">
        <f t="shared" si="230"/>
        <v>20017.03</v>
      </c>
      <c r="AK48" s="51">
        <f t="shared" si="231"/>
        <v>66172.297773999991</v>
      </c>
      <c r="AL48" s="53">
        <f t="shared" si="232"/>
        <v>19453.169999999998</v>
      </c>
      <c r="AM48" s="51">
        <f t="shared" si="233"/>
        <v>64308.289385999997</v>
      </c>
      <c r="AN48" s="53">
        <f t="shared" si="234"/>
        <v>18889.309999999998</v>
      </c>
      <c r="AO48" s="51">
        <f t="shared" si="235"/>
        <v>62444.280997999995</v>
      </c>
      <c r="AP48" s="53">
        <f t="shared" si="236"/>
        <v>18325.449999999997</v>
      </c>
      <c r="AQ48" s="51">
        <f t="shared" si="237"/>
        <v>60580.272609999993</v>
      </c>
      <c r="AR48" s="48">
        <f t="shared" si="238"/>
        <v>17761.589999999997</v>
      </c>
      <c r="AS48" s="51">
        <f t="shared" si="239"/>
        <v>58716.264221999991</v>
      </c>
      <c r="AT48" s="53">
        <f t="shared" si="240"/>
        <v>17197.729999999996</v>
      </c>
      <c r="AU48" s="51">
        <f t="shared" si="241"/>
        <v>56852.255833999989</v>
      </c>
      <c r="AV48" s="53">
        <f t="shared" si="242"/>
        <v>16633.869999999995</v>
      </c>
      <c r="AW48" s="51">
        <f t="shared" si="243"/>
        <v>54988.247445999987</v>
      </c>
      <c r="AX48" s="48">
        <f t="shared" si="244"/>
        <v>16070.009999999995</v>
      </c>
      <c r="AY48" s="51">
        <f t="shared" si="245"/>
        <v>53124.239057999985</v>
      </c>
      <c r="BB48" s="48">
        <v>1</v>
      </c>
      <c r="BC48" s="48">
        <v>0.97</v>
      </c>
      <c r="BD48" s="48">
        <v>0.95</v>
      </c>
      <c r="BE48" s="48">
        <v>0.93</v>
      </c>
      <c r="BF48" s="48">
        <f t="shared" ref="BF48:BW48" si="584">+BE48-0.02</f>
        <v>0.91</v>
      </c>
      <c r="BG48" s="48">
        <f t="shared" si="584"/>
        <v>0.89</v>
      </c>
      <c r="BH48" s="48">
        <f t="shared" si="584"/>
        <v>0.87</v>
      </c>
      <c r="BI48" s="48">
        <f t="shared" si="584"/>
        <v>0.85</v>
      </c>
      <c r="BJ48" s="48">
        <f t="shared" si="584"/>
        <v>0.83</v>
      </c>
      <c r="BK48" s="48">
        <f t="shared" si="584"/>
        <v>0.80999999999999994</v>
      </c>
      <c r="BL48" s="48">
        <f t="shared" si="584"/>
        <v>0.78999999999999992</v>
      </c>
      <c r="BM48" s="48">
        <f t="shared" si="584"/>
        <v>0.76999999999999991</v>
      </c>
      <c r="BN48" s="48">
        <f t="shared" si="584"/>
        <v>0.74999999999999989</v>
      </c>
      <c r="BO48" s="48">
        <f t="shared" si="584"/>
        <v>0.72999999999999987</v>
      </c>
      <c r="BP48" s="48">
        <f t="shared" si="584"/>
        <v>0.70999999999999985</v>
      </c>
      <c r="BQ48" s="48">
        <f t="shared" si="584"/>
        <v>0.68999999999999984</v>
      </c>
      <c r="BR48" s="48">
        <f t="shared" si="584"/>
        <v>0.66999999999999982</v>
      </c>
      <c r="BS48" s="48">
        <f t="shared" si="584"/>
        <v>0.6499999999999998</v>
      </c>
      <c r="BT48" s="48">
        <f t="shared" si="584"/>
        <v>0.62999999999999978</v>
      </c>
      <c r="BU48" s="48">
        <f t="shared" si="584"/>
        <v>0.60999999999999976</v>
      </c>
      <c r="BV48" s="48">
        <f t="shared" si="584"/>
        <v>0.58999999999999975</v>
      </c>
      <c r="BW48" s="48">
        <f t="shared" si="584"/>
        <v>0.56999999999999973</v>
      </c>
      <c r="BY48" s="48">
        <f t="shared" si="88"/>
        <v>25655.630000000005</v>
      </c>
      <c r="BZ48" s="48">
        <f t="shared" si="89"/>
        <v>25655.630000000005</v>
      </c>
      <c r="CA48" s="51">
        <f t="shared" ref="CA48" si="585">+BZ48*3.3058</f>
        <v>84812.381654000012</v>
      </c>
      <c r="CB48" s="48">
        <f t="shared" si="248"/>
        <v>24885.961100000004</v>
      </c>
      <c r="CC48" s="51">
        <f t="shared" si="249"/>
        <v>82268.010204380014</v>
      </c>
      <c r="CD48" s="48">
        <f t="shared" si="250"/>
        <v>24372.848500000004</v>
      </c>
      <c r="CE48" s="51">
        <f t="shared" si="251"/>
        <v>80571.762571300016</v>
      </c>
      <c r="CF48" s="48">
        <f t="shared" si="252"/>
        <v>23859.735900000007</v>
      </c>
      <c r="CG48" s="51">
        <f t="shared" si="253"/>
        <v>78875.514938220018</v>
      </c>
      <c r="CH48" s="52">
        <f t="shared" si="254"/>
        <v>23346.623300000007</v>
      </c>
      <c r="CI48" s="51">
        <f t="shared" si="255"/>
        <v>77179.26730514002</v>
      </c>
      <c r="CJ48" s="48">
        <f t="shared" si="256"/>
        <v>22833.510700000006</v>
      </c>
      <c r="CK48" s="51">
        <f t="shared" si="257"/>
        <v>75483.019672060022</v>
      </c>
      <c r="CL48" s="52">
        <f t="shared" si="258"/>
        <v>22320.398100000002</v>
      </c>
      <c r="CM48" s="51">
        <f t="shared" si="259"/>
        <v>73786.772038980009</v>
      </c>
      <c r="CN48" s="53">
        <f t="shared" si="260"/>
        <v>21807.285500000002</v>
      </c>
      <c r="CO48" s="51">
        <f t="shared" si="261"/>
        <v>72090.524405900011</v>
      </c>
      <c r="CP48" s="52">
        <f t="shared" si="262"/>
        <v>21294.172900000001</v>
      </c>
      <c r="CQ48" s="51">
        <f t="shared" si="263"/>
        <v>70394.276772820012</v>
      </c>
      <c r="CR48" s="48">
        <f t="shared" si="264"/>
        <v>20781.060300000001</v>
      </c>
      <c r="CS48" s="51">
        <f t="shared" si="265"/>
        <v>68698.02913974</v>
      </c>
      <c r="CT48" s="53">
        <f t="shared" si="266"/>
        <v>20267.947700000001</v>
      </c>
      <c r="CU48" s="51">
        <f t="shared" si="267"/>
        <v>67001.781506660001</v>
      </c>
      <c r="CV48" s="53">
        <f t="shared" si="268"/>
        <v>19754.8351</v>
      </c>
      <c r="CW48" s="51">
        <f t="shared" si="269"/>
        <v>65305.533873580003</v>
      </c>
      <c r="CX48" s="53">
        <f t="shared" si="270"/>
        <v>19241.7225</v>
      </c>
      <c r="CY48" s="51">
        <f t="shared" si="271"/>
        <v>63609.286240499998</v>
      </c>
      <c r="CZ48" s="48">
        <f t="shared" si="272"/>
        <v>18728.609899999999</v>
      </c>
      <c r="DA48" s="51">
        <f t="shared" si="273"/>
        <v>61913.03860742</v>
      </c>
      <c r="DB48" s="53">
        <f t="shared" si="274"/>
        <v>18215.497299999999</v>
      </c>
      <c r="DC48" s="51">
        <f t="shared" si="275"/>
        <v>60216.790974340001</v>
      </c>
      <c r="DD48" s="53">
        <f t="shared" si="276"/>
        <v>17702.384699999999</v>
      </c>
      <c r="DE48" s="51">
        <f t="shared" si="277"/>
        <v>58520.543341259996</v>
      </c>
      <c r="DF48" s="53">
        <f t="shared" si="278"/>
        <v>17189.272099999998</v>
      </c>
      <c r="DG48" s="51">
        <f t="shared" si="279"/>
        <v>56824.295708179998</v>
      </c>
      <c r="DH48" s="53">
        <f t="shared" si="280"/>
        <v>16676.159499999998</v>
      </c>
      <c r="DI48" s="51">
        <f t="shared" si="281"/>
        <v>55128.048075099992</v>
      </c>
      <c r="DJ48" s="48">
        <f t="shared" si="282"/>
        <v>16163.046899999998</v>
      </c>
      <c r="DK48" s="51">
        <f t="shared" si="283"/>
        <v>53431.800442019994</v>
      </c>
      <c r="DL48" s="53">
        <f t="shared" si="284"/>
        <v>15649.934299999997</v>
      </c>
      <c r="DM48" s="51">
        <f t="shared" si="285"/>
        <v>51735.552808939989</v>
      </c>
      <c r="DN48" s="53">
        <f t="shared" si="286"/>
        <v>15136.821699999997</v>
      </c>
      <c r="DO48" s="51">
        <f t="shared" si="287"/>
        <v>50039.30517585999</v>
      </c>
      <c r="DP48" s="48">
        <f t="shared" si="288"/>
        <v>14623.709099999996</v>
      </c>
      <c r="DQ48" s="51">
        <f t="shared" si="289"/>
        <v>48343.057542779992</v>
      </c>
      <c r="DT48" s="48">
        <v>1</v>
      </c>
      <c r="DU48" s="48">
        <v>0.97</v>
      </c>
      <c r="DV48" s="48">
        <v>0.95</v>
      </c>
      <c r="DW48" s="48">
        <v>0.93</v>
      </c>
      <c r="DX48" s="48">
        <f t="shared" ref="DX48:EO48" si="586">+DW48-0.02</f>
        <v>0.91</v>
      </c>
      <c r="DY48" s="48">
        <f t="shared" si="586"/>
        <v>0.89</v>
      </c>
      <c r="DZ48" s="48">
        <f t="shared" si="586"/>
        <v>0.87</v>
      </c>
      <c r="EA48" s="48">
        <f t="shared" si="586"/>
        <v>0.85</v>
      </c>
      <c r="EB48" s="48">
        <f t="shared" si="586"/>
        <v>0.83</v>
      </c>
      <c r="EC48" s="48">
        <f t="shared" si="586"/>
        <v>0.80999999999999994</v>
      </c>
      <c r="ED48" s="48">
        <f t="shared" si="586"/>
        <v>0.78999999999999992</v>
      </c>
      <c r="EE48" s="48">
        <f t="shared" si="586"/>
        <v>0.76999999999999991</v>
      </c>
      <c r="EF48" s="48">
        <f t="shared" si="586"/>
        <v>0.74999999999999989</v>
      </c>
      <c r="EG48" s="48">
        <f t="shared" si="586"/>
        <v>0.72999999999999987</v>
      </c>
      <c r="EH48" s="48">
        <f t="shared" si="586"/>
        <v>0.70999999999999985</v>
      </c>
      <c r="EI48" s="48">
        <f t="shared" si="586"/>
        <v>0.68999999999999984</v>
      </c>
      <c r="EJ48" s="48">
        <f t="shared" si="586"/>
        <v>0.66999999999999982</v>
      </c>
      <c r="EK48" s="48">
        <f t="shared" si="586"/>
        <v>0.6499999999999998</v>
      </c>
      <c r="EL48" s="48">
        <f t="shared" si="586"/>
        <v>0.62999999999999978</v>
      </c>
      <c r="EM48" s="48">
        <f t="shared" si="586"/>
        <v>0.60999999999999976</v>
      </c>
      <c r="EN48" s="48">
        <f t="shared" si="586"/>
        <v>0.58999999999999975</v>
      </c>
      <c r="EO48" s="48">
        <f t="shared" si="586"/>
        <v>0.56999999999999973</v>
      </c>
      <c r="EQ48" s="48">
        <f t="shared" si="188"/>
        <v>23346.623300000007</v>
      </c>
      <c r="ER48" s="48">
        <f t="shared" si="116"/>
        <v>23346.623300000007</v>
      </c>
      <c r="ES48" s="51">
        <f t="shared" ref="ES48" si="587">+ER48*3.3058</f>
        <v>77179.26730514002</v>
      </c>
      <c r="ET48" s="48">
        <f t="shared" si="292"/>
        <v>22646.224601000005</v>
      </c>
      <c r="EU48" s="51">
        <f t="shared" si="293"/>
        <v>74863.889285985817</v>
      </c>
      <c r="EV48" s="48">
        <f t="shared" si="294"/>
        <v>22179.292135000007</v>
      </c>
      <c r="EW48" s="51">
        <f t="shared" si="295"/>
        <v>73320.30393988303</v>
      </c>
      <c r="EX48" s="48">
        <f t="shared" si="296"/>
        <v>21712.359669000009</v>
      </c>
      <c r="EY48" s="51">
        <f t="shared" si="297"/>
        <v>71776.718593780228</v>
      </c>
      <c r="EZ48" s="52">
        <f t="shared" si="298"/>
        <v>21245.427203000007</v>
      </c>
      <c r="FA48" s="51">
        <f t="shared" si="299"/>
        <v>70233.133247677426</v>
      </c>
      <c r="FB48" s="48">
        <f t="shared" si="300"/>
        <v>20778.494737000005</v>
      </c>
      <c r="FC48" s="51">
        <f t="shared" si="301"/>
        <v>68689.54790157461</v>
      </c>
      <c r="FD48" s="52">
        <f t="shared" si="302"/>
        <v>20311.562271000006</v>
      </c>
      <c r="FE48" s="51">
        <f t="shared" si="303"/>
        <v>67145.962555471822</v>
      </c>
      <c r="FF48" s="53">
        <f t="shared" si="304"/>
        <v>19844.629805000004</v>
      </c>
      <c r="FG48" s="51">
        <f t="shared" si="305"/>
        <v>65602.37720936902</v>
      </c>
      <c r="FH48" s="52">
        <f t="shared" si="306"/>
        <v>19377.697339000006</v>
      </c>
      <c r="FI48" s="51">
        <f t="shared" si="307"/>
        <v>64058.791863266219</v>
      </c>
      <c r="FJ48" s="48">
        <f t="shared" si="308"/>
        <v>18910.764873000004</v>
      </c>
      <c r="FK48" s="51">
        <f t="shared" si="309"/>
        <v>62515.206517163417</v>
      </c>
      <c r="FL48" s="53">
        <f t="shared" si="310"/>
        <v>18443.832407000002</v>
      </c>
      <c r="FM48" s="51">
        <f t="shared" si="311"/>
        <v>60971.621171060608</v>
      </c>
      <c r="FN48" s="53">
        <f t="shared" si="312"/>
        <v>17976.899941000003</v>
      </c>
      <c r="FO48" s="51">
        <f t="shared" si="313"/>
        <v>59428.035824957813</v>
      </c>
      <c r="FP48" s="53">
        <f t="shared" si="314"/>
        <v>17509.967475000001</v>
      </c>
      <c r="FQ48" s="51">
        <f t="shared" si="315"/>
        <v>57884.450478855004</v>
      </c>
      <c r="FR48" s="48">
        <f t="shared" si="316"/>
        <v>17043.035009000003</v>
      </c>
      <c r="FS48" s="51">
        <f t="shared" si="317"/>
        <v>56340.865132752209</v>
      </c>
      <c r="FT48" s="53">
        <f t="shared" si="318"/>
        <v>16576.102543000001</v>
      </c>
      <c r="FU48" s="51">
        <f t="shared" si="319"/>
        <v>54797.279786649407</v>
      </c>
      <c r="FV48" s="53">
        <f t="shared" si="320"/>
        <v>16109.170077000001</v>
      </c>
      <c r="FW48" s="51">
        <f t="shared" si="321"/>
        <v>53253.694440546606</v>
      </c>
      <c r="FX48" s="53">
        <f t="shared" si="322"/>
        <v>15642.237611</v>
      </c>
      <c r="FY48" s="51">
        <f t="shared" si="323"/>
        <v>51710.109094443804</v>
      </c>
      <c r="FZ48" s="53">
        <f t="shared" si="324"/>
        <v>15175.305145</v>
      </c>
      <c r="GA48" s="51">
        <f t="shared" si="325"/>
        <v>50166.523748341002</v>
      </c>
      <c r="GB48" s="48">
        <f t="shared" si="326"/>
        <v>14708.372678999998</v>
      </c>
      <c r="GC48" s="51">
        <f t="shared" si="327"/>
        <v>48622.938402238193</v>
      </c>
      <c r="GD48" s="53">
        <f t="shared" si="328"/>
        <v>14241.440212999998</v>
      </c>
      <c r="GE48" s="51">
        <f t="shared" si="329"/>
        <v>47079.353056135391</v>
      </c>
      <c r="GF48" s="53">
        <f t="shared" si="330"/>
        <v>13774.507746999998</v>
      </c>
      <c r="GG48" s="51">
        <f t="shared" si="331"/>
        <v>45535.767710032596</v>
      </c>
      <c r="GH48" s="48">
        <f t="shared" si="332"/>
        <v>13307.575280999998</v>
      </c>
      <c r="GI48" s="51">
        <f t="shared" si="333"/>
        <v>43992.182363929795</v>
      </c>
      <c r="GJ48" s="48"/>
      <c r="GK48" s="48"/>
      <c r="GL48" s="48">
        <v>1</v>
      </c>
      <c r="GM48" s="48">
        <v>0.97</v>
      </c>
      <c r="GN48" s="48">
        <v>0.95</v>
      </c>
      <c r="GO48" s="48">
        <v>0.93</v>
      </c>
      <c r="GP48" s="48">
        <f t="shared" ref="GP48:HG48" si="588">+GO48-0.02</f>
        <v>0.91</v>
      </c>
      <c r="GQ48" s="48">
        <f t="shared" si="588"/>
        <v>0.89</v>
      </c>
      <c r="GR48" s="48">
        <f t="shared" si="588"/>
        <v>0.87</v>
      </c>
      <c r="GS48" s="48">
        <f t="shared" si="588"/>
        <v>0.85</v>
      </c>
      <c r="GT48" s="48">
        <f t="shared" si="588"/>
        <v>0.83</v>
      </c>
      <c r="GU48" s="48">
        <f t="shared" si="588"/>
        <v>0.80999999999999994</v>
      </c>
      <c r="GV48" s="48">
        <f t="shared" si="588"/>
        <v>0.78999999999999992</v>
      </c>
      <c r="GW48" s="48">
        <f t="shared" si="588"/>
        <v>0.76999999999999991</v>
      </c>
      <c r="GX48" s="48">
        <f t="shared" si="588"/>
        <v>0.74999999999999989</v>
      </c>
      <c r="GY48" s="48">
        <f t="shared" si="588"/>
        <v>0.72999999999999987</v>
      </c>
      <c r="GZ48" s="48">
        <f t="shared" si="588"/>
        <v>0.70999999999999985</v>
      </c>
      <c r="HA48" s="48">
        <f t="shared" si="588"/>
        <v>0.68999999999999984</v>
      </c>
      <c r="HB48" s="48">
        <f t="shared" si="588"/>
        <v>0.66999999999999982</v>
      </c>
      <c r="HC48" s="48">
        <f t="shared" si="588"/>
        <v>0.6499999999999998</v>
      </c>
      <c r="HD48" s="48">
        <f t="shared" si="588"/>
        <v>0.62999999999999978</v>
      </c>
      <c r="HE48" s="48">
        <f t="shared" si="588"/>
        <v>0.60999999999999976</v>
      </c>
      <c r="HF48" s="48">
        <f t="shared" si="588"/>
        <v>0.58999999999999975</v>
      </c>
      <c r="HG48" s="48">
        <f t="shared" si="588"/>
        <v>0.56999999999999973</v>
      </c>
    </row>
    <row r="49" spans="1:215" x14ac:dyDescent="0.3">
      <c r="A49" s="2">
        <v>16</v>
      </c>
      <c r="C49" s="39" t="s">
        <v>53</v>
      </c>
      <c r="D49" s="44">
        <f>TRUNC(3867.28395061728,-1)</f>
        <v>3860</v>
      </c>
      <c r="E49" s="73">
        <f t="shared" si="203"/>
        <v>12760</v>
      </c>
      <c r="F49" s="2" t="s">
        <v>371</v>
      </c>
      <c r="G49" s="48">
        <f t="shared" si="61"/>
        <v>4246</v>
      </c>
      <c r="H49" s="48">
        <f t="shared" si="62"/>
        <v>4246</v>
      </c>
      <c r="I49" s="51">
        <f t="shared" si="63"/>
        <v>14036.426800000001</v>
      </c>
      <c r="J49" s="48">
        <f t="shared" si="204"/>
        <v>4118.62</v>
      </c>
      <c r="K49" s="51">
        <f t="shared" si="205"/>
        <v>13615.333995999999</v>
      </c>
      <c r="L49" s="48">
        <f t="shared" si="206"/>
        <v>4033.7</v>
      </c>
      <c r="M49" s="51">
        <f t="shared" si="207"/>
        <v>13334.605459999999</v>
      </c>
      <c r="N49" s="48">
        <f t="shared" si="208"/>
        <v>3948.78</v>
      </c>
      <c r="O49" s="51">
        <f t="shared" si="209"/>
        <v>13053.876924</v>
      </c>
      <c r="P49" s="52">
        <f t="shared" si="210"/>
        <v>3863.86</v>
      </c>
      <c r="Q49" s="51">
        <f t="shared" si="211"/>
        <v>12773.148388000001</v>
      </c>
      <c r="R49" s="48">
        <f t="shared" si="212"/>
        <v>3778.94</v>
      </c>
      <c r="S49" s="51">
        <f t="shared" si="213"/>
        <v>12492.419852000001</v>
      </c>
      <c r="T49" s="52">
        <f t="shared" si="214"/>
        <v>3694.02</v>
      </c>
      <c r="U49" s="51">
        <f t="shared" si="215"/>
        <v>12211.691316</v>
      </c>
      <c r="V49" s="53">
        <f t="shared" si="216"/>
        <v>3609.1</v>
      </c>
      <c r="W49" s="51">
        <f t="shared" si="217"/>
        <v>11930.96278</v>
      </c>
      <c r="X49" s="52">
        <f t="shared" si="218"/>
        <v>3524.18</v>
      </c>
      <c r="Y49" s="51">
        <f t="shared" si="219"/>
        <v>11650.234243999999</v>
      </c>
      <c r="Z49" s="48">
        <f t="shared" si="220"/>
        <v>3439.2599999999998</v>
      </c>
      <c r="AA49" s="51">
        <f t="shared" si="221"/>
        <v>11369.505707999999</v>
      </c>
      <c r="AB49" s="53">
        <f t="shared" si="222"/>
        <v>3354.3399999999997</v>
      </c>
      <c r="AC49" s="51">
        <f t="shared" si="223"/>
        <v>11088.777172</v>
      </c>
      <c r="AD49" s="53">
        <f t="shared" si="224"/>
        <v>3269.4199999999996</v>
      </c>
      <c r="AE49" s="51">
        <f t="shared" si="225"/>
        <v>10808.048636</v>
      </c>
      <c r="AF49" s="53">
        <f t="shared" si="226"/>
        <v>3184.4999999999995</v>
      </c>
      <c r="AG49" s="51">
        <f t="shared" si="227"/>
        <v>10527.320099999999</v>
      </c>
      <c r="AH49" s="48">
        <f t="shared" si="228"/>
        <v>3099.5799999999995</v>
      </c>
      <c r="AI49" s="51">
        <f t="shared" si="229"/>
        <v>10246.591563999998</v>
      </c>
      <c r="AJ49" s="53">
        <f t="shared" si="230"/>
        <v>3014.6599999999994</v>
      </c>
      <c r="AK49" s="51">
        <f t="shared" si="231"/>
        <v>9965.8630279999979</v>
      </c>
      <c r="AL49" s="53">
        <f t="shared" si="232"/>
        <v>2929.7399999999993</v>
      </c>
      <c r="AM49" s="51">
        <f t="shared" si="233"/>
        <v>9685.1344919999974</v>
      </c>
      <c r="AN49" s="53">
        <f t="shared" si="234"/>
        <v>2844.8199999999993</v>
      </c>
      <c r="AO49" s="51">
        <f t="shared" si="235"/>
        <v>9404.4059559999969</v>
      </c>
      <c r="AP49" s="53">
        <f t="shared" si="236"/>
        <v>2759.8999999999992</v>
      </c>
      <c r="AQ49" s="51">
        <f t="shared" si="237"/>
        <v>9123.6774199999982</v>
      </c>
      <c r="AR49" s="48">
        <f t="shared" si="238"/>
        <v>2674.9799999999991</v>
      </c>
      <c r="AS49" s="51">
        <f t="shared" si="239"/>
        <v>8842.9488839999976</v>
      </c>
      <c r="AT49" s="53">
        <f t="shared" si="240"/>
        <v>2590.059999999999</v>
      </c>
      <c r="AU49" s="51">
        <f t="shared" si="241"/>
        <v>8562.2203479999971</v>
      </c>
      <c r="AV49" s="53">
        <f t="shared" si="242"/>
        <v>2505.139999999999</v>
      </c>
      <c r="AW49" s="51">
        <f t="shared" si="243"/>
        <v>8281.4918119999966</v>
      </c>
      <c r="AX49" s="48">
        <f t="shared" si="244"/>
        <v>2420.2199999999989</v>
      </c>
      <c r="AY49" s="51">
        <f t="shared" si="245"/>
        <v>8000.7632759999969</v>
      </c>
      <c r="BB49" s="48">
        <v>1</v>
      </c>
      <c r="BC49" s="48">
        <v>0.97</v>
      </c>
      <c r="BD49" s="48">
        <v>0.95</v>
      </c>
      <c r="BE49" s="48">
        <v>0.93</v>
      </c>
      <c r="BF49" s="48">
        <f t="shared" ref="BF49:BW49" si="589">+BE49-0.02</f>
        <v>0.91</v>
      </c>
      <c r="BG49" s="48">
        <f t="shared" si="589"/>
        <v>0.89</v>
      </c>
      <c r="BH49" s="48">
        <f t="shared" si="589"/>
        <v>0.87</v>
      </c>
      <c r="BI49" s="48">
        <f t="shared" si="589"/>
        <v>0.85</v>
      </c>
      <c r="BJ49" s="48">
        <f t="shared" si="589"/>
        <v>0.83</v>
      </c>
      <c r="BK49" s="48">
        <f t="shared" si="589"/>
        <v>0.80999999999999994</v>
      </c>
      <c r="BL49" s="48">
        <f t="shared" si="589"/>
        <v>0.78999999999999992</v>
      </c>
      <c r="BM49" s="48">
        <f t="shared" si="589"/>
        <v>0.76999999999999991</v>
      </c>
      <c r="BN49" s="48">
        <f t="shared" si="589"/>
        <v>0.74999999999999989</v>
      </c>
      <c r="BO49" s="48">
        <f t="shared" si="589"/>
        <v>0.72999999999999987</v>
      </c>
      <c r="BP49" s="48">
        <f t="shared" si="589"/>
        <v>0.70999999999999985</v>
      </c>
      <c r="BQ49" s="48">
        <f t="shared" si="589"/>
        <v>0.68999999999999984</v>
      </c>
      <c r="BR49" s="48">
        <f t="shared" si="589"/>
        <v>0.66999999999999982</v>
      </c>
      <c r="BS49" s="48">
        <f t="shared" si="589"/>
        <v>0.6499999999999998</v>
      </c>
      <c r="BT49" s="48">
        <f t="shared" si="589"/>
        <v>0.62999999999999978</v>
      </c>
      <c r="BU49" s="48">
        <f t="shared" si="589"/>
        <v>0.60999999999999976</v>
      </c>
      <c r="BV49" s="48">
        <f t="shared" si="589"/>
        <v>0.58999999999999975</v>
      </c>
      <c r="BW49" s="48">
        <f t="shared" si="589"/>
        <v>0.56999999999999973</v>
      </c>
      <c r="BY49" s="48">
        <f t="shared" si="88"/>
        <v>3863.86</v>
      </c>
      <c r="BZ49" s="48">
        <f t="shared" si="89"/>
        <v>3863.86</v>
      </c>
      <c r="CA49" s="51">
        <f t="shared" ref="CA49" si="590">+BZ49*3.3058</f>
        <v>12773.148388000001</v>
      </c>
      <c r="CB49" s="48">
        <f t="shared" si="248"/>
        <v>3747.9441999999999</v>
      </c>
      <c r="CC49" s="51">
        <f t="shared" si="249"/>
        <v>12389.95393636</v>
      </c>
      <c r="CD49" s="48">
        <f t="shared" si="250"/>
        <v>3670.6669999999999</v>
      </c>
      <c r="CE49" s="51">
        <f t="shared" si="251"/>
        <v>12134.490968599999</v>
      </c>
      <c r="CF49" s="48">
        <f t="shared" si="252"/>
        <v>3593.3898000000004</v>
      </c>
      <c r="CG49" s="51">
        <f t="shared" si="253"/>
        <v>11879.028000840002</v>
      </c>
      <c r="CH49" s="52">
        <f t="shared" si="254"/>
        <v>3516.1126000000004</v>
      </c>
      <c r="CI49" s="51">
        <f t="shared" si="255"/>
        <v>11623.565033080002</v>
      </c>
      <c r="CJ49" s="48">
        <f t="shared" si="256"/>
        <v>3438.8354000000004</v>
      </c>
      <c r="CK49" s="51">
        <f t="shared" si="257"/>
        <v>11368.102065320001</v>
      </c>
      <c r="CL49" s="52">
        <f t="shared" si="258"/>
        <v>3361.5581999999999</v>
      </c>
      <c r="CM49" s="51">
        <f t="shared" si="259"/>
        <v>11112.639097560001</v>
      </c>
      <c r="CN49" s="53">
        <f t="shared" si="260"/>
        <v>3284.2809999999999</v>
      </c>
      <c r="CO49" s="51">
        <f t="shared" si="261"/>
        <v>10857.1761298</v>
      </c>
      <c r="CP49" s="52">
        <f t="shared" si="262"/>
        <v>3207.0038</v>
      </c>
      <c r="CQ49" s="51">
        <f t="shared" si="263"/>
        <v>10601.71316204</v>
      </c>
      <c r="CR49" s="48">
        <f t="shared" si="264"/>
        <v>3129.7266</v>
      </c>
      <c r="CS49" s="51">
        <f t="shared" si="265"/>
        <v>10346.250194280001</v>
      </c>
      <c r="CT49" s="53">
        <f t="shared" si="266"/>
        <v>3052.4494</v>
      </c>
      <c r="CU49" s="51">
        <f t="shared" si="267"/>
        <v>10090.78722652</v>
      </c>
      <c r="CV49" s="53">
        <f t="shared" si="268"/>
        <v>2975.1721999999995</v>
      </c>
      <c r="CW49" s="51">
        <f t="shared" si="269"/>
        <v>9835.324258759998</v>
      </c>
      <c r="CX49" s="53">
        <f t="shared" si="270"/>
        <v>2897.8949999999995</v>
      </c>
      <c r="CY49" s="51">
        <f t="shared" si="271"/>
        <v>9579.8612909999993</v>
      </c>
      <c r="CZ49" s="48">
        <f t="shared" si="272"/>
        <v>2820.6177999999995</v>
      </c>
      <c r="DA49" s="51">
        <f t="shared" si="273"/>
        <v>9324.3983232399987</v>
      </c>
      <c r="DB49" s="53">
        <f t="shared" si="274"/>
        <v>2743.3405999999995</v>
      </c>
      <c r="DC49" s="51">
        <f t="shared" si="275"/>
        <v>9068.9353554799982</v>
      </c>
      <c r="DD49" s="53">
        <f t="shared" si="276"/>
        <v>2666.0633999999995</v>
      </c>
      <c r="DE49" s="51">
        <f t="shared" si="277"/>
        <v>8813.4723877199995</v>
      </c>
      <c r="DF49" s="53">
        <f t="shared" si="278"/>
        <v>2588.7861999999996</v>
      </c>
      <c r="DG49" s="51">
        <f t="shared" si="279"/>
        <v>8558.0094199599989</v>
      </c>
      <c r="DH49" s="53">
        <f t="shared" si="280"/>
        <v>2511.5089999999991</v>
      </c>
      <c r="DI49" s="51">
        <f t="shared" si="281"/>
        <v>8302.5464521999966</v>
      </c>
      <c r="DJ49" s="48">
        <f t="shared" si="282"/>
        <v>2434.2317999999991</v>
      </c>
      <c r="DK49" s="51">
        <f t="shared" si="283"/>
        <v>8047.0834844399969</v>
      </c>
      <c r="DL49" s="53">
        <f t="shared" si="284"/>
        <v>2356.9545999999991</v>
      </c>
      <c r="DM49" s="51">
        <f t="shared" si="285"/>
        <v>7791.6205166799973</v>
      </c>
      <c r="DN49" s="53">
        <f t="shared" si="286"/>
        <v>2279.6773999999991</v>
      </c>
      <c r="DO49" s="51">
        <f t="shared" si="287"/>
        <v>7536.1575489199977</v>
      </c>
      <c r="DP49" s="48">
        <f t="shared" si="288"/>
        <v>2202.4001999999991</v>
      </c>
      <c r="DQ49" s="51">
        <f t="shared" si="289"/>
        <v>7280.6945811599971</v>
      </c>
      <c r="DT49" s="48">
        <v>1</v>
      </c>
      <c r="DU49" s="48">
        <v>0.97</v>
      </c>
      <c r="DV49" s="48">
        <v>0.95</v>
      </c>
      <c r="DW49" s="48">
        <v>0.93</v>
      </c>
      <c r="DX49" s="48">
        <f t="shared" ref="DX49:EO49" si="591">+DW49-0.02</f>
        <v>0.91</v>
      </c>
      <c r="DY49" s="48">
        <f t="shared" si="591"/>
        <v>0.89</v>
      </c>
      <c r="DZ49" s="48">
        <f t="shared" si="591"/>
        <v>0.87</v>
      </c>
      <c r="EA49" s="48">
        <f t="shared" si="591"/>
        <v>0.85</v>
      </c>
      <c r="EB49" s="48">
        <f t="shared" si="591"/>
        <v>0.83</v>
      </c>
      <c r="EC49" s="48">
        <f t="shared" si="591"/>
        <v>0.80999999999999994</v>
      </c>
      <c r="ED49" s="48">
        <f t="shared" si="591"/>
        <v>0.78999999999999992</v>
      </c>
      <c r="EE49" s="48">
        <f t="shared" si="591"/>
        <v>0.76999999999999991</v>
      </c>
      <c r="EF49" s="48">
        <f t="shared" si="591"/>
        <v>0.74999999999999989</v>
      </c>
      <c r="EG49" s="48">
        <f t="shared" si="591"/>
        <v>0.72999999999999987</v>
      </c>
      <c r="EH49" s="48">
        <f t="shared" si="591"/>
        <v>0.70999999999999985</v>
      </c>
      <c r="EI49" s="48">
        <f t="shared" si="591"/>
        <v>0.68999999999999984</v>
      </c>
      <c r="EJ49" s="48">
        <f t="shared" si="591"/>
        <v>0.66999999999999982</v>
      </c>
      <c r="EK49" s="48">
        <f t="shared" si="591"/>
        <v>0.6499999999999998</v>
      </c>
      <c r="EL49" s="48">
        <f t="shared" si="591"/>
        <v>0.62999999999999978</v>
      </c>
      <c r="EM49" s="48">
        <f t="shared" si="591"/>
        <v>0.60999999999999976</v>
      </c>
      <c r="EN49" s="48">
        <f t="shared" si="591"/>
        <v>0.58999999999999975</v>
      </c>
      <c r="EO49" s="48">
        <f t="shared" si="591"/>
        <v>0.56999999999999973</v>
      </c>
      <c r="EQ49" s="48">
        <f t="shared" si="188"/>
        <v>3516.1126000000004</v>
      </c>
      <c r="ER49" s="48">
        <f t="shared" si="116"/>
        <v>3516.1126000000004</v>
      </c>
      <c r="ES49" s="51">
        <f t="shared" ref="ES49" si="592">+ER49*3.3058</f>
        <v>11623.565033080002</v>
      </c>
      <c r="ET49" s="48">
        <f t="shared" si="292"/>
        <v>3410.6292220000005</v>
      </c>
      <c r="EU49" s="51">
        <f t="shared" si="293"/>
        <v>11274.858082087601</v>
      </c>
      <c r="EV49" s="48">
        <f t="shared" si="294"/>
        <v>3340.3069700000001</v>
      </c>
      <c r="EW49" s="51">
        <f t="shared" si="295"/>
        <v>11042.386781426001</v>
      </c>
      <c r="EX49" s="48">
        <f t="shared" si="296"/>
        <v>3269.9847180000006</v>
      </c>
      <c r="EY49" s="51">
        <f t="shared" si="297"/>
        <v>10809.915480764403</v>
      </c>
      <c r="EZ49" s="52">
        <f t="shared" si="298"/>
        <v>3199.6624660000007</v>
      </c>
      <c r="FA49" s="51">
        <f t="shared" si="299"/>
        <v>10577.444180102802</v>
      </c>
      <c r="FB49" s="48">
        <f t="shared" si="300"/>
        <v>3129.3402140000003</v>
      </c>
      <c r="FC49" s="51">
        <f t="shared" si="301"/>
        <v>10344.9728794412</v>
      </c>
      <c r="FD49" s="52">
        <f t="shared" si="302"/>
        <v>3059.0179620000004</v>
      </c>
      <c r="FE49" s="51">
        <f t="shared" si="303"/>
        <v>10112.501578779602</v>
      </c>
      <c r="FF49" s="53">
        <f t="shared" si="304"/>
        <v>2988.6957100000004</v>
      </c>
      <c r="FG49" s="51">
        <f t="shared" si="305"/>
        <v>9880.0302781180017</v>
      </c>
      <c r="FH49" s="52">
        <f t="shared" si="306"/>
        <v>2918.373458</v>
      </c>
      <c r="FI49" s="51">
        <f t="shared" si="307"/>
        <v>9647.5589774563996</v>
      </c>
      <c r="FJ49" s="48">
        <f t="shared" si="308"/>
        <v>2848.0512060000001</v>
      </c>
      <c r="FK49" s="51">
        <f t="shared" si="309"/>
        <v>9415.0876767948012</v>
      </c>
      <c r="FL49" s="53">
        <f t="shared" si="310"/>
        <v>2777.7289540000002</v>
      </c>
      <c r="FM49" s="51">
        <f t="shared" si="311"/>
        <v>9182.6163761332009</v>
      </c>
      <c r="FN49" s="53">
        <f t="shared" si="312"/>
        <v>2707.4067019999998</v>
      </c>
      <c r="FO49" s="51">
        <f t="shared" si="313"/>
        <v>8950.1450754715988</v>
      </c>
      <c r="FP49" s="53">
        <f t="shared" si="314"/>
        <v>2637.0844499999998</v>
      </c>
      <c r="FQ49" s="51">
        <f t="shared" si="315"/>
        <v>8717.6737748100004</v>
      </c>
      <c r="FR49" s="48">
        <f t="shared" si="316"/>
        <v>2566.7621979999999</v>
      </c>
      <c r="FS49" s="51">
        <f t="shared" si="317"/>
        <v>8485.2024741484001</v>
      </c>
      <c r="FT49" s="53">
        <f t="shared" si="318"/>
        <v>2496.439946</v>
      </c>
      <c r="FU49" s="51">
        <f t="shared" si="319"/>
        <v>8252.7311734867999</v>
      </c>
      <c r="FV49" s="53">
        <f t="shared" si="320"/>
        <v>2426.1176939999996</v>
      </c>
      <c r="FW49" s="51">
        <f t="shared" si="321"/>
        <v>8020.2598728251987</v>
      </c>
      <c r="FX49" s="53">
        <f t="shared" si="322"/>
        <v>2355.7954419999996</v>
      </c>
      <c r="FY49" s="51">
        <f t="shared" si="323"/>
        <v>7787.7885721635994</v>
      </c>
      <c r="FZ49" s="53">
        <f t="shared" si="324"/>
        <v>2285.4731899999997</v>
      </c>
      <c r="GA49" s="51">
        <f t="shared" si="325"/>
        <v>7555.3172715019991</v>
      </c>
      <c r="GB49" s="48">
        <f t="shared" si="326"/>
        <v>2215.1509379999993</v>
      </c>
      <c r="GC49" s="51">
        <f t="shared" si="327"/>
        <v>7322.845970840398</v>
      </c>
      <c r="GD49" s="53">
        <f t="shared" si="328"/>
        <v>2144.8286859999994</v>
      </c>
      <c r="GE49" s="51">
        <f t="shared" si="329"/>
        <v>7090.3746701787977</v>
      </c>
      <c r="GF49" s="53">
        <f t="shared" si="330"/>
        <v>2074.5064339999994</v>
      </c>
      <c r="GG49" s="51">
        <f t="shared" si="331"/>
        <v>6857.9033695171984</v>
      </c>
      <c r="GH49" s="48">
        <f t="shared" si="332"/>
        <v>2004.1841819999993</v>
      </c>
      <c r="GI49" s="51">
        <f t="shared" si="333"/>
        <v>6625.4320688555981</v>
      </c>
      <c r="GJ49" s="48"/>
      <c r="GK49" s="48"/>
      <c r="GL49" s="48">
        <v>1</v>
      </c>
      <c r="GM49" s="48">
        <v>0.97</v>
      </c>
      <c r="GN49" s="48">
        <v>0.95</v>
      </c>
      <c r="GO49" s="48">
        <v>0.93</v>
      </c>
      <c r="GP49" s="48">
        <f t="shared" ref="GP49:HG49" si="593">+GO49-0.02</f>
        <v>0.91</v>
      </c>
      <c r="GQ49" s="48">
        <f t="shared" si="593"/>
        <v>0.89</v>
      </c>
      <c r="GR49" s="48">
        <f t="shared" si="593"/>
        <v>0.87</v>
      </c>
      <c r="GS49" s="48">
        <f t="shared" si="593"/>
        <v>0.85</v>
      </c>
      <c r="GT49" s="48">
        <f t="shared" si="593"/>
        <v>0.83</v>
      </c>
      <c r="GU49" s="48">
        <f t="shared" si="593"/>
        <v>0.80999999999999994</v>
      </c>
      <c r="GV49" s="48">
        <f t="shared" si="593"/>
        <v>0.78999999999999992</v>
      </c>
      <c r="GW49" s="48">
        <f t="shared" si="593"/>
        <v>0.76999999999999991</v>
      </c>
      <c r="GX49" s="48">
        <f t="shared" si="593"/>
        <v>0.74999999999999989</v>
      </c>
      <c r="GY49" s="48">
        <f t="shared" si="593"/>
        <v>0.72999999999999987</v>
      </c>
      <c r="GZ49" s="48">
        <f t="shared" si="593"/>
        <v>0.70999999999999985</v>
      </c>
      <c r="HA49" s="48">
        <f t="shared" si="593"/>
        <v>0.68999999999999984</v>
      </c>
      <c r="HB49" s="48">
        <f t="shared" si="593"/>
        <v>0.66999999999999982</v>
      </c>
      <c r="HC49" s="48">
        <f t="shared" si="593"/>
        <v>0.6499999999999998</v>
      </c>
      <c r="HD49" s="48">
        <f t="shared" si="593"/>
        <v>0.62999999999999978</v>
      </c>
      <c r="HE49" s="48">
        <f t="shared" si="593"/>
        <v>0.60999999999999976</v>
      </c>
      <c r="HF49" s="48">
        <f t="shared" si="593"/>
        <v>0.58999999999999975</v>
      </c>
      <c r="HG49" s="48">
        <f t="shared" si="593"/>
        <v>0.56999999999999973</v>
      </c>
    </row>
    <row r="50" spans="1:215" x14ac:dyDescent="0.3">
      <c r="A50" s="2">
        <v>17</v>
      </c>
      <c r="C50" s="39" t="s">
        <v>54</v>
      </c>
      <c r="D50" s="44">
        <v>0</v>
      </c>
      <c r="E50" s="73">
        <f t="shared" si="203"/>
        <v>0</v>
      </c>
      <c r="G50" s="48">
        <f t="shared" si="61"/>
        <v>0</v>
      </c>
      <c r="H50" s="48">
        <f t="shared" si="62"/>
        <v>0</v>
      </c>
      <c r="I50" s="51">
        <f t="shared" si="63"/>
        <v>0</v>
      </c>
      <c r="J50" s="48">
        <f t="shared" si="204"/>
        <v>0</v>
      </c>
      <c r="K50" s="51">
        <f t="shared" si="205"/>
        <v>0</v>
      </c>
      <c r="L50" s="48">
        <f t="shared" si="206"/>
        <v>0</v>
      </c>
      <c r="M50" s="51">
        <f t="shared" si="207"/>
        <v>0</v>
      </c>
      <c r="N50" s="48">
        <f t="shared" si="208"/>
        <v>0</v>
      </c>
      <c r="O50" s="51">
        <f t="shared" si="209"/>
        <v>0</v>
      </c>
      <c r="P50" s="52">
        <f t="shared" si="210"/>
        <v>0</v>
      </c>
      <c r="Q50" s="51">
        <f t="shared" si="211"/>
        <v>0</v>
      </c>
      <c r="R50" s="48">
        <f t="shared" si="212"/>
        <v>0</v>
      </c>
      <c r="S50" s="51">
        <f t="shared" si="213"/>
        <v>0</v>
      </c>
      <c r="T50" s="52">
        <f t="shared" si="214"/>
        <v>0</v>
      </c>
      <c r="U50" s="51">
        <f t="shared" si="215"/>
        <v>0</v>
      </c>
      <c r="V50" s="53">
        <f t="shared" si="216"/>
        <v>0</v>
      </c>
      <c r="W50" s="51">
        <f t="shared" si="217"/>
        <v>0</v>
      </c>
      <c r="X50" s="52">
        <f t="shared" si="218"/>
        <v>0</v>
      </c>
      <c r="Y50" s="51">
        <f t="shared" si="219"/>
        <v>0</v>
      </c>
      <c r="Z50" s="48">
        <f t="shared" si="220"/>
        <v>0</v>
      </c>
      <c r="AA50" s="51">
        <f t="shared" si="221"/>
        <v>0</v>
      </c>
      <c r="AB50" s="53">
        <f t="shared" si="222"/>
        <v>0</v>
      </c>
      <c r="AC50" s="51">
        <f t="shared" si="223"/>
        <v>0</v>
      </c>
      <c r="AD50" s="53">
        <f t="shared" si="224"/>
        <v>0</v>
      </c>
      <c r="AE50" s="51">
        <f t="shared" si="225"/>
        <v>0</v>
      </c>
      <c r="AF50" s="53">
        <f t="shared" si="226"/>
        <v>0</v>
      </c>
      <c r="AG50" s="51">
        <f t="shared" si="227"/>
        <v>0</v>
      </c>
      <c r="AH50" s="48">
        <f t="shared" si="228"/>
        <v>0</v>
      </c>
      <c r="AI50" s="51">
        <f t="shared" si="229"/>
        <v>0</v>
      </c>
      <c r="AJ50" s="53">
        <f t="shared" si="230"/>
        <v>0</v>
      </c>
      <c r="AK50" s="51">
        <f t="shared" si="231"/>
        <v>0</v>
      </c>
      <c r="AL50" s="53">
        <f t="shared" si="232"/>
        <v>0</v>
      </c>
      <c r="AM50" s="51">
        <f t="shared" si="233"/>
        <v>0</v>
      </c>
      <c r="AN50" s="53">
        <f t="shared" si="234"/>
        <v>0</v>
      </c>
      <c r="AO50" s="51">
        <f t="shared" si="235"/>
        <v>0</v>
      </c>
      <c r="AP50" s="53">
        <f t="shared" si="236"/>
        <v>0</v>
      </c>
      <c r="AQ50" s="51">
        <f t="shared" si="237"/>
        <v>0</v>
      </c>
      <c r="AR50" s="48">
        <f t="shared" si="238"/>
        <v>0</v>
      </c>
      <c r="AS50" s="51">
        <f t="shared" si="239"/>
        <v>0</v>
      </c>
      <c r="AT50" s="53">
        <f t="shared" si="240"/>
        <v>0</v>
      </c>
      <c r="AU50" s="51">
        <f t="shared" si="241"/>
        <v>0</v>
      </c>
      <c r="AV50" s="53">
        <f t="shared" si="242"/>
        <v>0</v>
      </c>
      <c r="AW50" s="51">
        <f t="shared" si="243"/>
        <v>0</v>
      </c>
      <c r="AX50" s="48">
        <f t="shared" si="244"/>
        <v>0</v>
      </c>
      <c r="AY50" s="51">
        <f t="shared" si="245"/>
        <v>0</v>
      </c>
      <c r="BB50" s="48">
        <v>1</v>
      </c>
      <c r="BC50" s="48">
        <v>0.97</v>
      </c>
      <c r="BD50" s="48">
        <v>0.95</v>
      </c>
      <c r="BE50" s="48">
        <v>0.93</v>
      </c>
      <c r="BF50" s="48">
        <f t="shared" ref="BF50:BW50" si="594">+BE50-0.02</f>
        <v>0.91</v>
      </c>
      <c r="BG50" s="48">
        <f t="shared" si="594"/>
        <v>0.89</v>
      </c>
      <c r="BH50" s="48">
        <f t="shared" si="594"/>
        <v>0.87</v>
      </c>
      <c r="BI50" s="48">
        <f t="shared" si="594"/>
        <v>0.85</v>
      </c>
      <c r="BJ50" s="48">
        <f t="shared" si="594"/>
        <v>0.83</v>
      </c>
      <c r="BK50" s="48">
        <f t="shared" si="594"/>
        <v>0.80999999999999994</v>
      </c>
      <c r="BL50" s="48">
        <f t="shared" si="594"/>
        <v>0.78999999999999992</v>
      </c>
      <c r="BM50" s="48">
        <f t="shared" si="594"/>
        <v>0.76999999999999991</v>
      </c>
      <c r="BN50" s="48">
        <f t="shared" si="594"/>
        <v>0.74999999999999989</v>
      </c>
      <c r="BO50" s="48">
        <f t="shared" si="594"/>
        <v>0.72999999999999987</v>
      </c>
      <c r="BP50" s="48">
        <f t="shared" si="594"/>
        <v>0.70999999999999985</v>
      </c>
      <c r="BQ50" s="48">
        <f t="shared" si="594"/>
        <v>0.68999999999999984</v>
      </c>
      <c r="BR50" s="48">
        <f t="shared" si="594"/>
        <v>0.66999999999999982</v>
      </c>
      <c r="BS50" s="48">
        <f t="shared" si="594"/>
        <v>0.6499999999999998</v>
      </c>
      <c r="BT50" s="48">
        <f t="shared" si="594"/>
        <v>0.62999999999999978</v>
      </c>
      <c r="BU50" s="48">
        <f t="shared" si="594"/>
        <v>0.60999999999999976</v>
      </c>
      <c r="BV50" s="48">
        <f t="shared" si="594"/>
        <v>0.58999999999999975</v>
      </c>
      <c r="BW50" s="48">
        <f t="shared" si="594"/>
        <v>0.56999999999999973</v>
      </c>
      <c r="BY50" s="48">
        <f t="shared" si="88"/>
        <v>0</v>
      </c>
      <c r="BZ50" s="48">
        <f t="shared" si="89"/>
        <v>0</v>
      </c>
      <c r="CA50" s="51">
        <f t="shared" ref="CA50" si="595">+BZ50*3.3058</f>
        <v>0</v>
      </c>
      <c r="CB50" s="48">
        <f t="shared" si="248"/>
        <v>0</v>
      </c>
      <c r="CC50" s="51">
        <f t="shared" si="249"/>
        <v>0</v>
      </c>
      <c r="CD50" s="48">
        <f t="shared" si="250"/>
        <v>0</v>
      </c>
      <c r="CE50" s="51">
        <f t="shared" si="251"/>
        <v>0</v>
      </c>
      <c r="CF50" s="48">
        <f t="shared" si="252"/>
        <v>0</v>
      </c>
      <c r="CG50" s="51">
        <f t="shared" si="253"/>
        <v>0</v>
      </c>
      <c r="CH50" s="52">
        <f t="shared" si="254"/>
        <v>0</v>
      </c>
      <c r="CI50" s="51">
        <f t="shared" si="255"/>
        <v>0</v>
      </c>
      <c r="CJ50" s="48">
        <f t="shared" si="256"/>
        <v>0</v>
      </c>
      <c r="CK50" s="51">
        <f t="shared" si="257"/>
        <v>0</v>
      </c>
      <c r="CL50" s="52">
        <f t="shared" si="258"/>
        <v>0</v>
      </c>
      <c r="CM50" s="51">
        <f t="shared" si="259"/>
        <v>0</v>
      </c>
      <c r="CN50" s="53">
        <f t="shared" si="260"/>
        <v>0</v>
      </c>
      <c r="CO50" s="51">
        <f t="shared" si="261"/>
        <v>0</v>
      </c>
      <c r="CP50" s="52">
        <f t="shared" si="262"/>
        <v>0</v>
      </c>
      <c r="CQ50" s="51">
        <f t="shared" si="263"/>
        <v>0</v>
      </c>
      <c r="CR50" s="48">
        <f t="shared" si="264"/>
        <v>0</v>
      </c>
      <c r="CS50" s="51">
        <f t="shared" si="265"/>
        <v>0</v>
      </c>
      <c r="CT50" s="53">
        <f t="shared" si="266"/>
        <v>0</v>
      </c>
      <c r="CU50" s="51">
        <f t="shared" si="267"/>
        <v>0</v>
      </c>
      <c r="CV50" s="53">
        <f t="shared" si="268"/>
        <v>0</v>
      </c>
      <c r="CW50" s="51">
        <f t="shared" si="269"/>
        <v>0</v>
      </c>
      <c r="CX50" s="53">
        <f t="shared" si="270"/>
        <v>0</v>
      </c>
      <c r="CY50" s="51">
        <f t="shared" si="271"/>
        <v>0</v>
      </c>
      <c r="CZ50" s="48">
        <f t="shared" si="272"/>
        <v>0</v>
      </c>
      <c r="DA50" s="51">
        <f t="shared" si="273"/>
        <v>0</v>
      </c>
      <c r="DB50" s="53">
        <f t="shared" si="274"/>
        <v>0</v>
      </c>
      <c r="DC50" s="51">
        <f t="shared" si="275"/>
        <v>0</v>
      </c>
      <c r="DD50" s="53">
        <f t="shared" si="276"/>
        <v>0</v>
      </c>
      <c r="DE50" s="51">
        <f t="shared" si="277"/>
        <v>0</v>
      </c>
      <c r="DF50" s="53">
        <f t="shared" si="278"/>
        <v>0</v>
      </c>
      <c r="DG50" s="51">
        <f t="shared" si="279"/>
        <v>0</v>
      </c>
      <c r="DH50" s="53">
        <f t="shared" si="280"/>
        <v>0</v>
      </c>
      <c r="DI50" s="51">
        <f t="shared" si="281"/>
        <v>0</v>
      </c>
      <c r="DJ50" s="48">
        <f t="shared" si="282"/>
        <v>0</v>
      </c>
      <c r="DK50" s="51">
        <f t="shared" si="283"/>
        <v>0</v>
      </c>
      <c r="DL50" s="53">
        <f t="shared" si="284"/>
        <v>0</v>
      </c>
      <c r="DM50" s="51">
        <f t="shared" si="285"/>
        <v>0</v>
      </c>
      <c r="DN50" s="53">
        <f t="shared" si="286"/>
        <v>0</v>
      </c>
      <c r="DO50" s="51">
        <f t="shared" si="287"/>
        <v>0</v>
      </c>
      <c r="DP50" s="48">
        <f t="shared" si="288"/>
        <v>0</v>
      </c>
      <c r="DQ50" s="51">
        <f t="shared" si="289"/>
        <v>0</v>
      </c>
      <c r="DT50" s="48">
        <v>1</v>
      </c>
      <c r="DU50" s="48">
        <v>0.97</v>
      </c>
      <c r="DV50" s="48">
        <v>0.95</v>
      </c>
      <c r="DW50" s="48">
        <v>0.93</v>
      </c>
      <c r="DX50" s="48">
        <f t="shared" ref="DX50:EO50" si="596">+DW50-0.02</f>
        <v>0.91</v>
      </c>
      <c r="DY50" s="48">
        <f t="shared" si="596"/>
        <v>0.89</v>
      </c>
      <c r="DZ50" s="48">
        <f t="shared" si="596"/>
        <v>0.87</v>
      </c>
      <c r="EA50" s="48">
        <f t="shared" si="596"/>
        <v>0.85</v>
      </c>
      <c r="EB50" s="48">
        <f t="shared" si="596"/>
        <v>0.83</v>
      </c>
      <c r="EC50" s="48">
        <f t="shared" si="596"/>
        <v>0.80999999999999994</v>
      </c>
      <c r="ED50" s="48">
        <f t="shared" si="596"/>
        <v>0.78999999999999992</v>
      </c>
      <c r="EE50" s="48">
        <f t="shared" si="596"/>
        <v>0.76999999999999991</v>
      </c>
      <c r="EF50" s="48">
        <f t="shared" si="596"/>
        <v>0.74999999999999989</v>
      </c>
      <c r="EG50" s="48">
        <f t="shared" si="596"/>
        <v>0.72999999999999987</v>
      </c>
      <c r="EH50" s="48">
        <f t="shared" si="596"/>
        <v>0.70999999999999985</v>
      </c>
      <c r="EI50" s="48">
        <f t="shared" si="596"/>
        <v>0.68999999999999984</v>
      </c>
      <c r="EJ50" s="48">
        <f t="shared" si="596"/>
        <v>0.66999999999999982</v>
      </c>
      <c r="EK50" s="48">
        <f t="shared" si="596"/>
        <v>0.6499999999999998</v>
      </c>
      <c r="EL50" s="48">
        <f t="shared" si="596"/>
        <v>0.62999999999999978</v>
      </c>
      <c r="EM50" s="48">
        <f t="shared" si="596"/>
        <v>0.60999999999999976</v>
      </c>
      <c r="EN50" s="48">
        <f t="shared" si="596"/>
        <v>0.58999999999999975</v>
      </c>
      <c r="EO50" s="48">
        <f t="shared" si="596"/>
        <v>0.56999999999999973</v>
      </c>
      <c r="EQ50" s="48">
        <f t="shared" si="188"/>
        <v>0</v>
      </c>
      <c r="ER50" s="48">
        <f t="shared" si="116"/>
        <v>0</v>
      </c>
      <c r="ES50" s="51">
        <f t="shared" ref="ES50" si="597">+ER50*3.3058</f>
        <v>0</v>
      </c>
      <c r="ET50" s="48">
        <f t="shared" si="292"/>
        <v>0</v>
      </c>
      <c r="EU50" s="51">
        <f t="shared" si="293"/>
        <v>0</v>
      </c>
      <c r="EV50" s="48">
        <f t="shared" si="294"/>
        <v>0</v>
      </c>
      <c r="EW50" s="51">
        <f t="shared" si="295"/>
        <v>0</v>
      </c>
      <c r="EX50" s="48">
        <f t="shared" si="296"/>
        <v>0</v>
      </c>
      <c r="EY50" s="51">
        <f t="shared" si="297"/>
        <v>0</v>
      </c>
      <c r="EZ50" s="52">
        <f t="shared" si="298"/>
        <v>0</v>
      </c>
      <c r="FA50" s="51">
        <f t="shared" si="299"/>
        <v>0</v>
      </c>
      <c r="FB50" s="48">
        <f t="shared" si="300"/>
        <v>0</v>
      </c>
      <c r="FC50" s="51">
        <f t="shared" si="301"/>
        <v>0</v>
      </c>
      <c r="FD50" s="52">
        <f t="shared" si="302"/>
        <v>0</v>
      </c>
      <c r="FE50" s="51">
        <f t="shared" si="303"/>
        <v>0</v>
      </c>
      <c r="FF50" s="53">
        <f t="shared" si="304"/>
        <v>0</v>
      </c>
      <c r="FG50" s="51">
        <f t="shared" si="305"/>
        <v>0</v>
      </c>
      <c r="FH50" s="52">
        <f t="shared" si="306"/>
        <v>0</v>
      </c>
      <c r="FI50" s="51">
        <f t="shared" si="307"/>
        <v>0</v>
      </c>
      <c r="FJ50" s="48">
        <f t="shared" si="308"/>
        <v>0</v>
      </c>
      <c r="FK50" s="51">
        <f t="shared" si="309"/>
        <v>0</v>
      </c>
      <c r="FL50" s="53">
        <f t="shared" si="310"/>
        <v>0</v>
      </c>
      <c r="FM50" s="51">
        <f t="shared" si="311"/>
        <v>0</v>
      </c>
      <c r="FN50" s="53">
        <f t="shared" si="312"/>
        <v>0</v>
      </c>
      <c r="FO50" s="51">
        <f t="shared" si="313"/>
        <v>0</v>
      </c>
      <c r="FP50" s="53">
        <f t="shared" si="314"/>
        <v>0</v>
      </c>
      <c r="FQ50" s="51">
        <f t="shared" si="315"/>
        <v>0</v>
      </c>
      <c r="FR50" s="48">
        <f t="shared" si="316"/>
        <v>0</v>
      </c>
      <c r="FS50" s="51">
        <f t="shared" si="317"/>
        <v>0</v>
      </c>
      <c r="FT50" s="53">
        <f t="shared" si="318"/>
        <v>0</v>
      </c>
      <c r="FU50" s="51">
        <f t="shared" si="319"/>
        <v>0</v>
      </c>
      <c r="FV50" s="53">
        <f t="shared" si="320"/>
        <v>0</v>
      </c>
      <c r="FW50" s="51">
        <f t="shared" si="321"/>
        <v>0</v>
      </c>
      <c r="FX50" s="53">
        <f t="shared" si="322"/>
        <v>0</v>
      </c>
      <c r="FY50" s="51">
        <f t="shared" si="323"/>
        <v>0</v>
      </c>
      <c r="FZ50" s="53">
        <f t="shared" si="324"/>
        <v>0</v>
      </c>
      <c r="GA50" s="51">
        <f t="shared" si="325"/>
        <v>0</v>
      </c>
      <c r="GB50" s="48">
        <f t="shared" si="326"/>
        <v>0</v>
      </c>
      <c r="GC50" s="51">
        <f t="shared" si="327"/>
        <v>0</v>
      </c>
      <c r="GD50" s="53">
        <f t="shared" si="328"/>
        <v>0</v>
      </c>
      <c r="GE50" s="51">
        <f t="shared" si="329"/>
        <v>0</v>
      </c>
      <c r="GF50" s="53">
        <f t="shared" si="330"/>
        <v>0</v>
      </c>
      <c r="GG50" s="51">
        <f t="shared" si="331"/>
        <v>0</v>
      </c>
      <c r="GH50" s="48">
        <f t="shared" si="332"/>
        <v>0</v>
      </c>
      <c r="GI50" s="51">
        <f t="shared" si="333"/>
        <v>0</v>
      </c>
      <c r="GJ50" s="48"/>
      <c r="GK50" s="48"/>
      <c r="GL50" s="48">
        <v>1</v>
      </c>
      <c r="GM50" s="48">
        <v>0.97</v>
      </c>
      <c r="GN50" s="48">
        <v>0.95</v>
      </c>
      <c r="GO50" s="48">
        <v>0.93</v>
      </c>
      <c r="GP50" s="48">
        <f t="shared" ref="GP50:HG50" si="598">+GO50-0.02</f>
        <v>0.91</v>
      </c>
      <c r="GQ50" s="48">
        <f t="shared" si="598"/>
        <v>0.89</v>
      </c>
      <c r="GR50" s="48">
        <f t="shared" si="598"/>
        <v>0.87</v>
      </c>
      <c r="GS50" s="48">
        <f t="shared" si="598"/>
        <v>0.85</v>
      </c>
      <c r="GT50" s="48">
        <f t="shared" si="598"/>
        <v>0.83</v>
      </c>
      <c r="GU50" s="48">
        <f t="shared" si="598"/>
        <v>0.80999999999999994</v>
      </c>
      <c r="GV50" s="48">
        <f t="shared" si="598"/>
        <v>0.78999999999999992</v>
      </c>
      <c r="GW50" s="48">
        <f t="shared" si="598"/>
        <v>0.76999999999999991</v>
      </c>
      <c r="GX50" s="48">
        <f t="shared" si="598"/>
        <v>0.74999999999999989</v>
      </c>
      <c r="GY50" s="48">
        <f t="shared" si="598"/>
        <v>0.72999999999999987</v>
      </c>
      <c r="GZ50" s="48">
        <f t="shared" si="598"/>
        <v>0.70999999999999985</v>
      </c>
      <c r="HA50" s="48">
        <f t="shared" si="598"/>
        <v>0.68999999999999984</v>
      </c>
      <c r="HB50" s="48">
        <f t="shared" si="598"/>
        <v>0.66999999999999982</v>
      </c>
      <c r="HC50" s="48">
        <f t="shared" si="598"/>
        <v>0.6499999999999998</v>
      </c>
      <c r="HD50" s="48">
        <f t="shared" si="598"/>
        <v>0.62999999999999978</v>
      </c>
      <c r="HE50" s="48">
        <f t="shared" si="598"/>
        <v>0.60999999999999976</v>
      </c>
      <c r="HF50" s="48">
        <f t="shared" si="598"/>
        <v>0.58999999999999975</v>
      </c>
      <c r="HG50" s="48">
        <f t="shared" si="598"/>
        <v>0.56999999999999973</v>
      </c>
    </row>
    <row r="51" spans="1:215" x14ac:dyDescent="0.3">
      <c r="A51" s="2">
        <v>18</v>
      </c>
      <c r="C51" s="39" t="s">
        <v>55</v>
      </c>
      <c r="D51" s="44">
        <v>0</v>
      </c>
      <c r="E51" s="73">
        <f t="shared" si="203"/>
        <v>0</v>
      </c>
      <c r="G51" s="48">
        <f t="shared" si="61"/>
        <v>0</v>
      </c>
      <c r="H51" s="48">
        <f t="shared" si="62"/>
        <v>0</v>
      </c>
      <c r="I51" s="51">
        <f t="shared" si="63"/>
        <v>0</v>
      </c>
      <c r="J51" s="48">
        <f t="shared" si="204"/>
        <v>0</v>
      </c>
      <c r="K51" s="51">
        <f t="shared" si="205"/>
        <v>0</v>
      </c>
      <c r="L51" s="48">
        <f t="shared" si="206"/>
        <v>0</v>
      </c>
      <c r="M51" s="51">
        <f t="shared" si="207"/>
        <v>0</v>
      </c>
      <c r="N51" s="48">
        <f t="shared" si="208"/>
        <v>0</v>
      </c>
      <c r="O51" s="51">
        <f t="shared" si="209"/>
        <v>0</v>
      </c>
      <c r="P51" s="52">
        <f t="shared" si="210"/>
        <v>0</v>
      </c>
      <c r="Q51" s="51">
        <f t="shared" si="211"/>
        <v>0</v>
      </c>
      <c r="R51" s="48">
        <f t="shared" si="212"/>
        <v>0</v>
      </c>
      <c r="S51" s="51">
        <f t="shared" si="213"/>
        <v>0</v>
      </c>
      <c r="T51" s="52">
        <f t="shared" si="214"/>
        <v>0</v>
      </c>
      <c r="U51" s="51">
        <f t="shared" si="215"/>
        <v>0</v>
      </c>
      <c r="V51" s="53">
        <f t="shared" si="216"/>
        <v>0</v>
      </c>
      <c r="W51" s="51">
        <f t="shared" si="217"/>
        <v>0</v>
      </c>
      <c r="X51" s="52">
        <f t="shared" si="218"/>
        <v>0</v>
      </c>
      <c r="Y51" s="51">
        <f t="shared" si="219"/>
        <v>0</v>
      </c>
      <c r="Z51" s="48">
        <f t="shared" si="220"/>
        <v>0</v>
      </c>
      <c r="AA51" s="51">
        <f t="shared" si="221"/>
        <v>0</v>
      </c>
      <c r="AB51" s="53">
        <f t="shared" si="222"/>
        <v>0</v>
      </c>
      <c r="AC51" s="51">
        <f t="shared" si="223"/>
        <v>0</v>
      </c>
      <c r="AD51" s="53">
        <f t="shared" si="224"/>
        <v>0</v>
      </c>
      <c r="AE51" s="51">
        <f t="shared" si="225"/>
        <v>0</v>
      </c>
      <c r="AF51" s="53">
        <f t="shared" si="226"/>
        <v>0</v>
      </c>
      <c r="AG51" s="51">
        <f t="shared" si="227"/>
        <v>0</v>
      </c>
      <c r="AH51" s="48">
        <f t="shared" si="228"/>
        <v>0</v>
      </c>
      <c r="AI51" s="51">
        <f t="shared" si="229"/>
        <v>0</v>
      </c>
      <c r="AJ51" s="53">
        <f t="shared" si="230"/>
        <v>0</v>
      </c>
      <c r="AK51" s="51">
        <f t="shared" si="231"/>
        <v>0</v>
      </c>
      <c r="AL51" s="53">
        <f t="shared" si="232"/>
        <v>0</v>
      </c>
      <c r="AM51" s="51">
        <f t="shared" si="233"/>
        <v>0</v>
      </c>
      <c r="AN51" s="53">
        <f t="shared" si="234"/>
        <v>0</v>
      </c>
      <c r="AO51" s="51">
        <f t="shared" si="235"/>
        <v>0</v>
      </c>
      <c r="AP51" s="53">
        <f t="shared" si="236"/>
        <v>0</v>
      </c>
      <c r="AQ51" s="51">
        <f t="shared" si="237"/>
        <v>0</v>
      </c>
      <c r="AR51" s="48">
        <f t="shared" si="238"/>
        <v>0</v>
      </c>
      <c r="AS51" s="51">
        <f t="shared" si="239"/>
        <v>0</v>
      </c>
      <c r="AT51" s="53">
        <f t="shared" si="240"/>
        <v>0</v>
      </c>
      <c r="AU51" s="51">
        <f t="shared" si="241"/>
        <v>0</v>
      </c>
      <c r="AV51" s="53">
        <f t="shared" si="242"/>
        <v>0</v>
      </c>
      <c r="AW51" s="51">
        <f t="shared" si="243"/>
        <v>0</v>
      </c>
      <c r="AX51" s="48">
        <f t="shared" si="244"/>
        <v>0</v>
      </c>
      <c r="AY51" s="51">
        <f t="shared" si="245"/>
        <v>0</v>
      </c>
      <c r="BB51" s="48">
        <v>1</v>
      </c>
      <c r="BC51" s="48">
        <v>0.97</v>
      </c>
      <c r="BD51" s="48">
        <v>0.95</v>
      </c>
      <c r="BE51" s="48">
        <v>0.93</v>
      </c>
      <c r="BF51" s="48">
        <f t="shared" ref="BF51:BW51" si="599">+BE51-0.02</f>
        <v>0.91</v>
      </c>
      <c r="BG51" s="48">
        <f t="shared" si="599"/>
        <v>0.89</v>
      </c>
      <c r="BH51" s="48">
        <f t="shared" si="599"/>
        <v>0.87</v>
      </c>
      <c r="BI51" s="48">
        <f t="shared" si="599"/>
        <v>0.85</v>
      </c>
      <c r="BJ51" s="48">
        <f t="shared" si="599"/>
        <v>0.83</v>
      </c>
      <c r="BK51" s="48">
        <f t="shared" si="599"/>
        <v>0.80999999999999994</v>
      </c>
      <c r="BL51" s="48">
        <f t="shared" si="599"/>
        <v>0.78999999999999992</v>
      </c>
      <c r="BM51" s="48">
        <f t="shared" si="599"/>
        <v>0.76999999999999991</v>
      </c>
      <c r="BN51" s="48">
        <f t="shared" si="599"/>
        <v>0.74999999999999989</v>
      </c>
      <c r="BO51" s="48">
        <f t="shared" si="599"/>
        <v>0.72999999999999987</v>
      </c>
      <c r="BP51" s="48">
        <f t="shared" si="599"/>
        <v>0.70999999999999985</v>
      </c>
      <c r="BQ51" s="48">
        <f t="shared" si="599"/>
        <v>0.68999999999999984</v>
      </c>
      <c r="BR51" s="48">
        <f t="shared" si="599"/>
        <v>0.66999999999999982</v>
      </c>
      <c r="BS51" s="48">
        <f t="shared" si="599"/>
        <v>0.6499999999999998</v>
      </c>
      <c r="BT51" s="48">
        <f t="shared" si="599"/>
        <v>0.62999999999999978</v>
      </c>
      <c r="BU51" s="48">
        <f t="shared" si="599"/>
        <v>0.60999999999999976</v>
      </c>
      <c r="BV51" s="48">
        <f t="shared" si="599"/>
        <v>0.58999999999999975</v>
      </c>
      <c r="BW51" s="48">
        <f t="shared" si="599"/>
        <v>0.56999999999999973</v>
      </c>
      <c r="BY51" s="48">
        <f t="shared" si="88"/>
        <v>0</v>
      </c>
      <c r="BZ51" s="48">
        <f t="shared" si="89"/>
        <v>0</v>
      </c>
      <c r="CA51" s="51">
        <f t="shared" ref="CA51" si="600">+BZ51*3.3058</f>
        <v>0</v>
      </c>
      <c r="CB51" s="48">
        <f t="shared" si="248"/>
        <v>0</v>
      </c>
      <c r="CC51" s="51">
        <f t="shared" si="249"/>
        <v>0</v>
      </c>
      <c r="CD51" s="48">
        <f t="shared" si="250"/>
        <v>0</v>
      </c>
      <c r="CE51" s="51">
        <f t="shared" si="251"/>
        <v>0</v>
      </c>
      <c r="CF51" s="48">
        <f t="shared" si="252"/>
        <v>0</v>
      </c>
      <c r="CG51" s="51">
        <f t="shared" si="253"/>
        <v>0</v>
      </c>
      <c r="CH51" s="52">
        <f t="shared" si="254"/>
        <v>0</v>
      </c>
      <c r="CI51" s="51">
        <f t="shared" si="255"/>
        <v>0</v>
      </c>
      <c r="CJ51" s="48">
        <f t="shared" si="256"/>
        <v>0</v>
      </c>
      <c r="CK51" s="51">
        <f t="shared" si="257"/>
        <v>0</v>
      </c>
      <c r="CL51" s="52">
        <f t="shared" si="258"/>
        <v>0</v>
      </c>
      <c r="CM51" s="51">
        <f t="shared" si="259"/>
        <v>0</v>
      </c>
      <c r="CN51" s="53">
        <f t="shared" si="260"/>
        <v>0</v>
      </c>
      <c r="CO51" s="51">
        <f t="shared" si="261"/>
        <v>0</v>
      </c>
      <c r="CP51" s="52">
        <f t="shared" si="262"/>
        <v>0</v>
      </c>
      <c r="CQ51" s="51">
        <f t="shared" si="263"/>
        <v>0</v>
      </c>
      <c r="CR51" s="48">
        <f t="shared" si="264"/>
        <v>0</v>
      </c>
      <c r="CS51" s="51">
        <f t="shared" si="265"/>
        <v>0</v>
      </c>
      <c r="CT51" s="53">
        <f t="shared" si="266"/>
        <v>0</v>
      </c>
      <c r="CU51" s="51">
        <f t="shared" si="267"/>
        <v>0</v>
      </c>
      <c r="CV51" s="53">
        <f t="shared" si="268"/>
        <v>0</v>
      </c>
      <c r="CW51" s="51">
        <f t="shared" si="269"/>
        <v>0</v>
      </c>
      <c r="CX51" s="53">
        <f t="shared" si="270"/>
        <v>0</v>
      </c>
      <c r="CY51" s="51">
        <f t="shared" si="271"/>
        <v>0</v>
      </c>
      <c r="CZ51" s="48">
        <f t="shared" si="272"/>
        <v>0</v>
      </c>
      <c r="DA51" s="51">
        <f t="shared" si="273"/>
        <v>0</v>
      </c>
      <c r="DB51" s="53">
        <f t="shared" si="274"/>
        <v>0</v>
      </c>
      <c r="DC51" s="51">
        <f t="shared" si="275"/>
        <v>0</v>
      </c>
      <c r="DD51" s="53">
        <f t="shared" si="276"/>
        <v>0</v>
      </c>
      <c r="DE51" s="51">
        <f t="shared" si="277"/>
        <v>0</v>
      </c>
      <c r="DF51" s="53">
        <f t="shared" si="278"/>
        <v>0</v>
      </c>
      <c r="DG51" s="51">
        <f t="shared" si="279"/>
        <v>0</v>
      </c>
      <c r="DH51" s="53">
        <f t="shared" si="280"/>
        <v>0</v>
      </c>
      <c r="DI51" s="51">
        <f t="shared" si="281"/>
        <v>0</v>
      </c>
      <c r="DJ51" s="48">
        <f t="shared" si="282"/>
        <v>0</v>
      </c>
      <c r="DK51" s="51">
        <f t="shared" si="283"/>
        <v>0</v>
      </c>
      <c r="DL51" s="53">
        <f t="shared" si="284"/>
        <v>0</v>
      </c>
      <c r="DM51" s="51">
        <f t="shared" si="285"/>
        <v>0</v>
      </c>
      <c r="DN51" s="53">
        <f t="shared" si="286"/>
        <v>0</v>
      </c>
      <c r="DO51" s="51">
        <f t="shared" si="287"/>
        <v>0</v>
      </c>
      <c r="DP51" s="48">
        <f t="shared" si="288"/>
        <v>0</v>
      </c>
      <c r="DQ51" s="51">
        <f t="shared" si="289"/>
        <v>0</v>
      </c>
      <c r="DT51" s="48">
        <v>1</v>
      </c>
      <c r="DU51" s="48">
        <v>0.97</v>
      </c>
      <c r="DV51" s="48">
        <v>0.95</v>
      </c>
      <c r="DW51" s="48">
        <v>0.93</v>
      </c>
      <c r="DX51" s="48">
        <f t="shared" ref="DX51:EO51" si="601">+DW51-0.02</f>
        <v>0.91</v>
      </c>
      <c r="DY51" s="48">
        <f t="shared" si="601"/>
        <v>0.89</v>
      </c>
      <c r="DZ51" s="48">
        <f t="shared" si="601"/>
        <v>0.87</v>
      </c>
      <c r="EA51" s="48">
        <f t="shared" si="601"/>
        <v>0.85</v>
      </c>
      <c r="EB51" s="48">
        <f t="shared" si="601"/>
        <v>0.83</v>
      </c>
      <c r="EC51" s="48">
        <f t="shared" si="601"/>
        <v>0.80999999999999994</v>
      </c>
      <c r="ED51" s="48">
        <f t="shared" si="601"/>
        <v>0.78999999999999992</v>
      </c>
      <c r="EE51" s="48">
        <f t="shared" si="601"/>
        <v>0.76999999999999991</v>
      </c>
      <c r="EF51" s="48">
        <f t="shared" si="601"/>
        <v>0.74999999999999989</v>
      </c>
      <c r="EG51" s="48">
        <f t="shared" si="601"/>
        <v>0.72999999999999987</v>
      </c>
      <c r="EH51" s="48">
        <f t="shared" si="601"/>
        <v>0.70999999999999985</v>
      </c>
      <c r="EI51" s="48">
        <f t="shared" si="601"/>
        <v>0.68999999999999984</v>
      </c>
      <c r="EJ51" s="48">
        <f t="shared" si="601"/>
        <v>0.66999999999999982</v>
      </c>
      <c r="EK51" s="48">
        <f t="shared" si="601"/>
        <v>0.6499999999999998</v>
      </c>
      <c r="EL51" s="48">
        <f t="shared" si="601"/>
        <v>0.62999999999999978</v>
      </c>
      <c r="EM51" s="48">
        <f t="shared" si="601"/>
        <v>0.60999999999999976</v>
      </c>
      <c r="EN51" s="48">
        <f t="shared" si="601"/>
        <v>0.58999999999999975</v>
      </c>
      <c r="EO51" s="48">
        <f t="shared" si="601"/>
        <v>0.56999999999999973</v>
      </c>
      <c r="EQ51" s="48">
        <f t="shared" si="188"/>
        <v>0</v>
      </c>
      <c r="ER51" s="48">
        <f t="shared" si="116"/>
        <v>0</v>
      </c>
      <c r="ES51" s="51">
        <f t="shared" ref="ES51" si="602">+ER51*3.3058</f>
        <v>0</v>
      </c>
      <c r="ET51" s="48">
        <f t="shared" si="292"/>
        <v>0</v>
      </c>
      <c r="EU51" s="51">
        <f t="shared" si="293"/>
        <v>0</v>
      </c>
      <c r="EV51" s="48">
        <f t="shared" si="294"/>
        <v>0</v>
      </c>
      <c r="EW51" s="51">
        <f t="shared" si="295"/>
        <v>0</v>
      </c>
      <c r="EX51" s="48">
        <f t="shared" si="296"/>
        <v>0</v>
      </c>
      <c r="EY51" s="51">
        <f t="shared" si="297"/>
        <v>0</v>
      </c>
      <c r="EZ51" s="52">
        <f t="shared" si="298"/>
        <v>0</v>
      </c>
      <c r="FA51" s="51">
        <f t="shared" si="299"/>
        <v>0</v>
      </c>
      <c r="FB51" s="48">
        <f t="shared" si="300"/>
        <v>0</v>
      </c>
      <c r="FC51" s="51">
        <f t="shared" si="301"/>
        <v>0</v>
      </c>
      <c r="FD51" s="52">
        <f t="shared" si="302"/>
        <v>0</v>
      </c>
      <c r="FE51" s="51">
        <f t="shared" si="303"/>
        <v>0</v>
      </c>
      <c r="FF51" s="53">
        <f t="shared" si="304"/>
        <v>0</v>
      </c>
      <c r="FG51" s="51">
        <f t="shared" si="305"/>
        <v>0</v>
      </c>
      <c r="FH51" s="52">
        <f t="shared" si="306"/>
        <v>0</v>
      </c>
      <c r="FI51" s="51">
        <f t="shared" si="307"/>
        <v>0</v>
      </c>
      <c r="FJ51" s="48">
        <f t="shared" si="308"/>
        <v>0</v>
      </c>
      <c r="FK51" s="51">
        <f t="shared" si="309"/>
        <v>0</v>
      </c>
      <c r="FL51" s="53">
        <f t="shared" si="310"/>
        <v>0</v>
      </c>
      <c r="FM51" s="51">
        <f t="shared" si="311"/>
        <v>0</v>
      </c>
      <c r="FN51" s="53">
        <f t="shared" si="312"/>
        <v>0</v>
      </c>
      <c r="FO51" s="51">
        <f t="shared" si="313"/>
        <v>0</v>
      </c>
      <c r="FP51" s="53">
        <f t="shared" si="314"/>
        <v>0</v>
      </c>
      <c r="FQ51" s="51">
        <f t="shared" si="315"/>
        <v>0</v>
      </c>
      <c r="FR51" s="48">
        <f t="shared" si="316"/>
        <v>0</v>
      </c>
      <c r="FS51" s="51">
        <f t="shared" si="317"/>
        <v>0</v>
      </c>
      <c r="FT51" s="53">
        <f t="shared" si="318"/>
        <v>0</v>
      </c>
      <c r="FU51" s="51">
        <f t="shared" si="319"/>
        <v>0</v>
      </c>
      <c r="FV51" s="53">
        <f t="shared" si="320"/>
        <v>0</v>
      </c>
      <c r="FW51" s="51">
        <f t="shared" si="321"/>
        <v>0</v>
      </c>
      <c r="FX51" s="53">
        <f t="shared" si="322"/>
        <v>0</v>
      </c>
      <c r="FY51" s="51">
        <f t="shared" si="323"/>
        <v>0</v>
      </c>
      <c r="FZ51" s="53">
        <f t="shared" si="324"/>
        <v>0</v>
      </c>
      <c r="GA51" s="51">
        <f t="shared" si="325"/>
        <v>0</v>
      </c>
      <c r="GB51" s="48">
        <f t="shared" si="326"/>
        <v>0</v>
      </c>
      <c r="GC51" s="51">
        <f t="shared" si="327"/>
        <v>0</v>
      </c>
      <c r="GD51" s="53">
        <f t="shared" si="328"/>
        <v>0</v>
      </c>
      <c r="GE51" s="51">
        <f t="shared" si="329"/>
        <v>0</v>
      </c>
      <c r="GF51" s="53">
        <f t="shared" si="330"/>
        <v>0</v>
      </c>
      <c r="GG51" s="51">
        <f t="shared" si="331"/>
        <v>0</v>
      </c>
      <c r="GH51" s="48">
        <f t="shared" si="332"/>
        <v>0</v>
      </c>
      <c r="GI51" s="51">
        <f t="shared" si="333"/>
        <v>0</v>
      </c>
      <c r="GJ51" s="48"/>
      <c r="GK51" s="48"/>
      <c r="GL51" s="48">
        <v>1</v>
      </c>
      <c r="GM51" s="48">
        <v>0.97</v>
      </c>
      <c r="GN51" s="48">
        <v>0.95</v>
      </c>
      <c r="GO51" s="48">
        <v>0.93</v>
      </c>
      <c r="GP51" s="48">
        <f t="shared" ref="GP51:HG51" si="603">+GO51-0.02</f>
        <v>0.91</v>
      </c>
      <c r="GQ51" s="48">
        <f t="shared" si="603"/>
        <v>0.89</v>
      </c>
      <c r="GR51" s="48">
        <f t="shared" si="603"/>
        <v>0.87</v>
      </c>
      <c r="GS51" s="48">
        <f t="shared" si="603"/>
        <v>0.85</v>
      </c>
      <c r="GT51" s="48">
        <f t="shared" si="603"/>
        <v>0.83</v>
      </c>
      <c r="GU51" s="48">
        <f t="shared" si="603"/>
        <v>0.80999999999999994</v>
      </c>
      <c r="GV51" s="48">
        <f t="shared" si="603"/>
        <v>0.78999999999999992</v>
      </c>
      <c r="GW51" s="48">
        <f t="shared" si="603"/>
        <v>0.76999999999999991</v>
      </c>
      <c r="GX51" s="48">
        <f t="shared" si="603"/>
        <v>0.74999999999999989</v>
      </c>
      <c r="GY51" s="48">
        <f t="shared" si="603"/>
        <v>0.72999999999999987</v>
      </c>
      <c r="GZ51" s="48">
        <f t="shared" si="603"/>
        <v>0.70999999999999985</v>
      </c>
      <c r="HA51" s="48">
        <f t="shared" si="603"/>
        <v>0.68999999999999984</v>
      </c>
      <c r="HB51" s="48">
        <f t="shared" si="603"/>
        <v>0.66999999999999982</v>
      </c>
      <c r="HC51" s="48">
        <f t="shared" si="603"/>
        <v>0.6499999999999998</v>
      </c>
      <c r="HD51" s="48">
        <f t="shared" si="603"/>
        <v>0.62999999999999978</v>
      </c>
      <c r="HE51" s="48">
        <f t="shared" si="603"/>
        <v>0.60999999999999976</v>
      </c>
      <c r="HF51" s="48">
        <f t="shared" si="603"/>
        <v>0.58999999999999975</v>
      </c>
      <c r="HG51" s="48">
        <f t="shared" si="603"/>
        <v>0.56999999999999973</v>
      </c>
    </row>
    <row r="52" spans="1:215" x14ac:dyDescent="0.3">
      <c r="A52" s="2">
        <v>19</v>
      </c>
      <c r="C52" s="39" t="s">
        <v>20</v>
      </c>
      <c r="D52" s="44">
        <f>TRUNC(819.046840958606+5982.77632534495+74319.7454611474+181.899055918664,-1)</f>
        <v>81300</v>
      </c>
      <c r="E52" s="73">
        <f t="shared" si="203"/>
        <v>268760</v>
      </c>
      <c r="F52" s="2" t="s">
        <v>372</v>
      </c>
      <c r="G52" s="48">
        <f t="shared" si="61"/>
        <v>89430</v>
      </c>
      <c r="H52" s="48">
        <f t="shared" si="62"/>
        <v>89430</v>
      </c>
      <c r="I52" s="51">
        <f t="shared" si="63"/>
        <v>295637.69400000002</v>
      </c>
      <c r="J52" s="48">
        <f t="shared" si="204"/>
        <v>86747.099999999991</v>
      </c>
      <c r="K52" s="51">
        <f t="shared" si="205"/>
        <v>286768.56318</v>
      </c>
      <c r="L52" s="48">
        <f t="shared" si="206"/>
        <v>84958.5</v>
      </c>
      <c r="M52" s="51">
        <f t="shared" si="207"/>
        <v>280855.80930000002</v>
      </c>
      <c r="N52" s="48">
        <f t="shared" si="208"/>
        <v>83169.900000000009</v>
      </c>
      <c r="O52" s="51">
        <f t="shared" si="209"/>
        <v>274943.05542000005</v>
      </c>
      <c r="P52" s="52">
        <f t="shared" si="210"/>
        <v>81381.3</v>
      </c>
      <c r="Q52" s="51">
        <f t="shared" si="211"/>
        <v>269030.30154000001</v>
      </c>
      <c r="R52" s="48">
        <f t="shared" si="212"/>
        <v>79592.7</v>
      </c>
      <c r="S52" s="51">
        <f t="shared" si="213"/>
        <v>263117.54765999998</v>
      </c>
      <c r="T52" s="52">
        <f t="shared" si="214"/>
        <v>77804.100000000006</v>
      </c>
      <c r="U52" s="51">
        <f t="shared" si="215"/>
        <v>257204.79378000004</v>
      </c>
      <c r="V52" s="53">
        <f t="shared" si="216"/>
        <v>76015.5</v>
      </c>
      <c r="W52" s="51">
        <f t="shared" si="217"/>
        <v>251292.0399</v>
      </c>
      <c r="X52" s="52">
        <f t="shared" si="218"/>
        <v>74226.899999999994</v>
      </c>
      <c r="Y52" s="51">
        <f t="shared" si="219"/>
        <v>245379.28602</v>
      </c>
      <c r="Z52" s="48">
        <f t="shared" si="220"/>
        <v>72438.299999999988</v>
      </c>
      <c r="AA52" s="51">
        <f t="shared" si="221"/>
        <v>239466.53213999997</v>
      </c>
      <c r="AB52" s="53">
        <f t="shared" si="222"/>
        <v>70649.7</v>
      </c>
      <c r="AC52" s="51">
        <f t="shared" si="223"/>
        <v>233553.77825999999</v>
      </c>
      <c r="AD52" s="53">
        <f t="shared" si="224"/>
        <v>68861.099999999991</v>
      </c>
      <c r="AE52" s="51">
        <f t="shared" si="225"/>
        <v>227641.02437999999</v>
      </c>
      <c r="AF52" s="53">
        <f t="shared" si="226"/>
        <v>67072.499999999985</v>
      </c>
      <c r="AG52" s="51">
        <f t="shared" si="227"/>
        <v>221728.27049999996</v>
      </c>
      <c r="AH52" s="48">
        <f t="shared" si="228"/>
        <v>65283.899999999987</v>
      </c>
      <c r="AI52" s="51">
        <f t="shared" si="229"/>
        <v>215815.51661999995</v>
      </c>
      <c r="AJ52" s="53">
        <f t="shared" si="230"/>
        <v>63495.299999999988</v>
      </c>
      <c r="AK52" s="51">
        <f t="shared" si="231"/>
        <v>209902.76273999998</v>
      </c>
      <c r="AL52" s="53">
        <f t="shared" si="232"/>
        <v>61706.699999999983</v>
      </c>
      <c r="AM52" s="51">
        <f t="shared" si="233"/>
        <v>203990.00885999994</v>
      </c>
      <c r="AN52" s="53">
        <f t="shared" si="234"/>
        <v>59918.099999999984</v>
      </c>
      <c r="AO52" s="51">
        <f t="shared" si="235"/>
        <v>198077.25497999994</v>
      </c>
      <c r="AP52" s="53">
        <f t="shared" si="236"/>
        <v>58129.499999999985</v>
      </c>
      <c r="AQ52" s="51">
        <f t="shared" si="237"/>
        <v>192164.50109999996</v>
      </c>
      <c r="AR52" s="48">
        <f t="shared" si="238"/>
        <v>56340.89999999998</v>
      </c>
      <c r="AS52" s="51">
        <f t="shared" si="239"/>
        <v>186251.74721999993</v>
      </c>
      <c r="AT52" s="53">
        <f t="shared" si="240"/>
        <v>54552.299999999981</v>
      </c>
      <c r="AU52" s="51">
        <f t="shared" si="241"/>
        <v>180338.99333999993</v>
      </c>
      <c r="AV52" s="53">
        <f t="shared" si="242"/>
        <v>52763.699999999975</v>
      </c>
      <c r="AW52" s="51">
        <f t="shared" si="243"/>
        <v>174426.23945999992</v>
      </c>
      <c r="AX52" s="48">
        <f t="shared" si="244"/>
        <v>50975.099999999977</v>
      </c>
      <c r="AY52" s="51">
        <f t="shared" si="245"/>
        <v>168513.48557999992</v>
      </c>
      <c r="BB52" s="48">
        <v>1</v>
      </c>
      <c r="BC52" s="48">
        <v>0.97</v>
      </c>
      <c r="BD52" s="48">
        <v>0.95</v>
      </c>
      <c r="BE52" s="48">
        <v>0.93</v>
      </c>
      <c r="BF52" s="48">
        <f t="shared" ref="BF52:BW52" si="604">+BE52-0.02</f>
        <v>0.91</v>
      </c>
      <c r="BG52" s="48">
        <f t="shared" si="604"/>
        <v>0.89</v>
      </c>
      <c r="BH52" s="48">
        <f t="shared" si="604"/>
        <v>0.87</v>
      </c>
      <c r="BI52" s="48">
        <f t="shared" si="604"/>
        <v>0.85</v>
      </c>
      <c r="BJ52" s="48">
        <f t="shared" si="604"/>
        <v>0.83</v>
      </c>
      <c r="BK52" s="48">
        <f t="shared" si="604"/>
        <v>0.80999999999999994</v>
      </c>
      <c r="BL52" s="48">
        <f t="shared" si="604"/>
        <v>0.78999999999999992</v>
      </c>
      <c r="BM52" s="48">
        <f t="shared" si="604"/>
        <v>0.76999999999999991</v>
      </c>
      <c r="BN52" s="48">
        <f t="shared" si="604"/>
        <v>0.74999999999999989</v>
      </c>
      <c r="BO52" s="48">
        <f t="shared" si="604"/>
        <v>0.72999999999999987</v>
      </c>
      <c r="BP52" s="48">
        <f t="shared" si="604"/>
        <v>0.70999999999999985</v>
      </c>
      <c r="BQ52" s="48">
        <f t="shared" si="604"/>
        <v>0.68999999999999984</v>
      </c>
      <c r="BR52" s="48">
        <f t="shared" si="604"/>
        <v>0.66999999999999982</v>
      </c>
      <c r="BS52" s="48">
        <f t="shared" si="604"/>
        <v>0.6499999999999998</v>
      </c>
      <c r="BT52" s="48">
        <f t="shared" si="604"/>
        <v>0.62999999999999978</v>
      </c>
      <c r="BU52" s="48">
        <f t="shared" si="604"/>
        <v>0.60999999999999976</v>
      </c>
      <c r="BV52" s="48">
        <f t="shared" si="604"/>
        <v>0.58999999999999975</v>
      </c>
      <c r="BW52" s="48">
        <f t="shared" si="604"/>
        <v>0.56999999999999973</v>
      </c>
      <c r="BY52" s="48">
        <f t="shared" si="88"/>
        <v>81381.3</v>
      </c>
      <c r="BZ52" s="48">
        <f t="shared" si="89"/>
        <v>81381.3</v>
      </c>
      <c r="CA52" s="51">
        <f t="shared" ref="CA52" si="605">+BZ52*3.3058</f>
        <v>269030.30154000001</v>
      </c>
      <c r="CB52" s="48">
        <f t="shared" si="248"/>
        <v>78939.861000000004</v>
      </c>
      <c r="CC52" s="51">
        <f t="shared" si="249"/>
        <v>260959.39249380003</v>
      </c>
      <c r="CD52" s="48">
        <f t="shared" si="250"/>
        <v>77312.235000000001</v>
      </c>
      <c r="CE52" s="51">
        <f t="shared" si="251"/>
        <v>255578.786463</v>
      </c>
      <c r="CF52" s="48">
        <f t="shared" si="252"/>
        <v>75684.609000000011</v>
      </c>
      <c r="CG52" s="51">
        <f t="shared" si="253"/>
        <v>250198.18043220005</v>
      </c>
      <c r="CH52" s="52">
        <f t="shared" si="254"/>
        <v>74056.983000000007</v>
      </c>
      <c r="CI52" s="51">
        <f t="shared" si="255"/>
        <v>244817.57440140002</v>
      </c>
      <c r="CJ52" s="48">
        <f t="shared" si="256"/>
        <v>72429.357000000004</v>
      </c>
      <c r="CK52" s="51">
        <f t="shared" si="257"/>
        <v>239436.96837060002</v>
      </c>
      <c r="CL52" s="52">
        <f t="shared" si="258"/>
        <v>70801.731</v>
      </c>
      <c r="CM52" s="51">
        <f t="shared" si="259"/>
        <v>234056.36233979999</v>
      </c>
      <c r="CN52" s="53">
        <f t="shared" si="260"/>
        <v>69174.104999999996</v>
      </c>
      <c r="CO52" s="51">
        <f t="shared" si="261"/>
        <v>228675.75630899999</v>
      </c>
      <c r="CP52" s="52">
        <f t="shared" si="262"/>
        <v>67546.478999999992</v>
      </c>
      <c r="CQ52" s="51">
        <f t="shared" si="263"/>
        <v>223295.15027819999</v>
      </c>
      <c r="CR52" s="48">
        <f t="shared" si="264"/>
        <v>65918.853000000003</v>
      </c>
      <c r="CS52" s="51">
        <f t="shared" si="265"/>
        <v>217914.54424740002</v>
      </c>
      <c r="CT52" s="53">
        <f t="shared" si="266"/>
        <v>64291.226999999999</v>
      </c>
      <c r="CU52" s="51">
        <f t="shared" si="267"/>
        <v>212533.93821660001</v>
      </c>
      <c r="CV52" s="53">
        <f t="shared" si="268"/>
        <v>62663.600999999995</v>
      </c>
      <c r="CW52" s="51">
        <f t="shared" si="269"/>
        <v>207153.33218579998</v>
      </c>
      <c r="CX52" s="53">
        <f t="shared" si="270"/>
        <v>61035.974999999991</v>
      </c>
      <c r="CY52" s="51">
        <f t="shared" si="271"/>
        <v>201772.72615499998</v>
      </c>
      <c r="CZ52" s="48">
        <f t="shared" si="272"/>
        <v>59408.348999999995</v>
      </c>
      <c r="DA52" s="51">
        <f t="shared" si="273"/>
        <v>196392.12012419998</v>
      </c>
      <c r="DB52" s="53">
        <f t="shared" si="274"/>
        <v>57780.722999999991</v>
      </c>
      <c r="DC52" s="51">
        <f t="shared" si="275"/>
        <v>191011.51409339998</v>
      </c>
      <c r="DD52" s="53">
        <f t="shared" si="276"/>
        <v>56153.096999999987</v>
      </c>
      <c r="DE52" s="51">
        <f t="shared" si="277"/>
        <v>185630.90806259995</v>
      </c>
      <c r="DF52" s="53">
        <f t="shared" si="278"/>
        <v>54525.47099999999</v>
      </c>
      <c r="DG52" s="51">
        <f t="shared" si="279"/>
        <v>180250.30203179998</v>
      </c>
      <c r="DH52" s="53">
        <f t="shared" si="280"/>
        <v>52897.844999999987</v>
      </c>
      <c r="DI52" s="51">
        <f t="shared" si="281"/>
        <v>174869.69600099995</v>
      </c>
      <c r="DJ52" s="48">
        <f t="shared" si="282"/>
        <v>51270.218999999983</v>
      </c>
      <c r="DK52" s="51">
        <f t="shared" si="283"/>
        <v>169489.08997019994</v>
      </c>
      <c r="DL52" s="53">
        <f t="shared" si="284"/>
        <v>49642.592999999986</v>
      </c>
      <c r="DM52" s="51">
        <f t="shared" si="285"/>
        <v>164108.48393939997</v>
      </c>
      <c r="DN52" s="53">
        <f t="shared" si="286"/>
        <v>48014.966999999982</v>
      </c>
      <c r="DO52" s="51">
        <f t="shared" si="287"/>
        <v>158727.87790859994</v>
      </c>
      <c r="DP52" s="48">
        <f t="shared" si="288"/>
        <v>46387.340999999979</v>
      </c>
      <c r="DQ52" s="51">
        <f t="shared" si="289"/>
        <v>153347.27187779994</v>
      </c>
      <c r="DT52" s="48">
        <v>1</v>
      </c>
      <c r="DU52" s="48">
        <v>0.97</v>
      </c>
      <c r="DV52" s="48">
        <v>0.95</v>
      </c>
      <c r="DW52" s="48">
        <v>0.93</v>
      </c>
      <c r="DX52" s="48">
        <f t="shared" ref="DX52:EO52" si="606">+DW52-0.02</f>
        <v>0.91</v>
      </c>
      <c r="DY52" s="48">
        <f t="shared" si="606"/>
        <v>0.89</v>
      </c>
      <c r="DZ52" s="48">
        <f t="shared" si="606"/>
        <v>0.87</v>
      </c>
      <c r="EA52" s="48">
        <f t="shared" si="606"/>
        <v>0.85</v>
      </c>
      <c r="EB52" s="48">
        <f t="shared" si="606"/>
        <v>0.83</v>
      </c>
      <c r="EC52" s="48">
        <f t="shared" si="606"/>
        <v>0.80999999999999994</v>
      </c>
      <c r="ED52" s="48">
        <f t="shared" si="606"/>
        <v>0.78999999999999992</v>
      </c>
      <c r="EE52" s="48">
        <f t="shared" si="606"/>
        <v>0.76999999999999991</v>
      </c>
      <c r="EF52" s="48">
        <f t="shared" si="606"/>
        <v>0.74999999999999989</v>
      </c>
      <c r="EG52" s="48">
        <f t="shared" si="606"/>
        <v>0.72999999999999987</v>
      </c>
      <c r="EH52" s="48">
        <f t="shared" si="606"/>
        <v>0.70999999999999985</v>
      </c>
      <c r="EI52" s="48">
        <f t="shared" si="606"/>
        <v>0.68999999999999984</v>
      </c>
      <c r="EJ52" s="48">
        <f t="shared" si="606"/>
        <v>0.66999999999999982</v>
      </c>
      <c r="EK52" s="48">
        <f t="shared" si="606"/>
        <v>0.6499999999999998</v>
      </c>
      <c r="EL52" s="48">
        <f t="shared" si="606"/>
        <v>0.62999999999999978</v>
      </c>
      <c r="EM52" s="48">
        <f t="shared" si="606"/>
        <v>0.60999999999999976</v>
      </c>
      <c r="EN52" s="48">
        <f t="shared" si="606"/>
        <v>0.58999999999999975</v>
      </c>
      <c r="EO52" s="48">
        <f t="shared" si="606"/>
        <v>0.56999999999999973</v>
      </c>
      <c r="EQ52" s="48">
        <f t="shared" si="188"/>
        <v>74056.983000000007</v>
      </c>
      <c r="ER52" s="48">
        <f t="shared" si="116"/>
        <v>74056.983000000007</v>
      </c>
      <c r="ES52" s="51">
        <f t="shared" ref="ES52" si="607">+ER52*3.3058</f>
        <v>244817.57440140002</v>
      </c>
      <c r="ET52" s="48">
        <f t="shared" si="292"/>
        <v>71835.273509999999</v>
      </c>
      <c r="EU52" s="51">
        <f t="shared" si="293"/>
        <v>237473.047169358</v>
      </c>
      <c r="EV52" s="48">
        <f t="shared" si="294"/>
        <v>70354.133849999998</v>
      </c>
      <c r="EW52" s="51">
        <f t="shared" si="295"/>
        <v>232576.69568132999</v>
      </c>
      <c r="EX52" s="48">
        <f t="shared" si="296"/>
        <v>68872.994190000012</v>
      </c>
      <c r="EY52" s="51">
        <f t="shared" si="297"/>
        <v>227680.34419330204</v>
      </c>
      <c r="EZ52" s="52">
        <f t="shared" si="298"/>
        <v>67391.854530000011</v>
      </c>
      <c r="FA52" s="51">
        <f t="shared" si="299"/>
        <v>222783.99270527405</v>
      </c>
      <c r="FB52" s="48">
        <f t="shared" si="300"/>
        <v>65910.714870000011</v>
      </c>
      <c r="FC52" s="51">
        <f t="shared" si="301"/>
        <v>217887.64121724604</v>
      </c>
      <c r="FD52" s="52">
        <f t="shared" si="302"/>
        <v>64429.575210000003</v>
      </c>
      <c r="FE52" s="51">
        <f t="shared" si="303"/>
        <v>212991.28972921803</v>
      </c>
      <c r="FF52" s="53">
        <f t="shared" si="304"/>
        <v>62948.435550000002</v>
      </c>
      <c r="FG52" s="51">
        <f t="shared" si="305"/>
        <v>208094.93824119002</v>
      </c>
      <c r="FH52" s="52">
        <f t="shared" si="306"/>
        <v>61467.295890000001</v>
      </c>
      <c r="FI52" s="51">
        <f t="shared" si="307"/>
        <v>203198.586753162</v>
      </c>
      <c r="FJ52" s="48">
        <f t="shared" si="308"/>
        <v>59986.156230000001</v>
      </c>
      <c r="FK52" s="51">
        <f t="shared" si="309"/>
        <v>198302.23526513402</v>
      </c>
      <c r="FL52" s="53">
        <f t="shared" si="310"/>
        <v>58505.01657</v>
      </c>
      <c r="FM52" s="51">
        <f t="shared" si="311"/>
        <v>193405.88377710601</v>
      </c>
      <c r="FN52" s="53">
        <f t="shared" si="312"/>
        <v>57023.876909999999</v>
      </c>
      <c r="FO52" s="51">
        <f t="shared" si="313"/>
        <v>188509.53228907799</v>
      </c>
      <c r="FP52" s="53">
        <f t="shared" si="314"/>
        <v>55542.737249999998</v>
      </c>
      <c r="FQ52" s="51">
        <f t="shared" si="315"/>
        <v>183613.18080105001</v>
      </c>
      <c r="FR52" s="48">
        <f t="shared" si="316"/>
        <v>54061.597589999998</v>
      </c>
      <c r="FS52" s="51">
        <f t="shared" si="317"/>
        <v>178716.829313022</v>
      </c>
      <c r="FT52" s="53">
        <f t="shared" si="318"/>
        <v>52580.457929999997</v>
      </c>
      <c r="FU52" s="51">
        <f t="shared" si="319"/>
        <v>173820.47782499398</v>
      </c>
      <c r="FV52" s="53">
        <f t="shared" si="320"/>
        <v>51099.318269999996</v>
      </c>
      <c r="FW52" s="51">
        <f t="shared" si="321"/>
        <v>168924.126336966</v>
      </c>
      <c r="FX52" s="53">
        <f t="shared" si="322"/>
        <v>49618.178609999988</v>
      </c>
      <c r="FY52" s="51">
        <f t="shared" si="323"/>
        <v>164027.77484893796</v>
      </c>
      <c r="FZ52" s="53">
        <f t="shared" si="324"/>
        <v>48137.038949999987</v>
      </c>
      <c r="GA52" s="51">
        <f t="shared" si="325"/>
        <v>159131.42336090998</v>
      </c>
      <c r="GB52" s="48">
        <f t="shared" si="326"/>
        <v>46655.899289999987</v>
      </c>
      <c r="GC52" s="51">
        <f t="shared" si="327"/>
        <v>154235.07187288196</v>
      </c>
      <c r="GD52" s="53">
        <f t="shared" si="328"/>
        <v>45174.759629999986</v>
      </c>
      <c r="GE52" s="51">
        <f t="shared" si="329"/>
        <v>149338.72038485395</v>
      </c>
      <c r="GF52" s="53">
        <f t="shared" si="330"/>
        <v>43693.619969999985</v>
      </c>
      <c r="GG52" s="51">
        <f t="shared" si="331"/>
        <v>144442.36889682597</v>
      </c>
      <c r="GH52" s="48">
        <f t="shared" si="332"/>
        <v>42212.480309999984</v>
      </c>
      <c r="GI52" s="51">
        <f t="shared" si="333"/>
        <v>139546.01740879795</v>
      </c>
      <c r="GJ52" s="48"/>
      <c r="GK52" s="48"/>
      <c r="GL52" s="48">
        <v>1</v>
      </c>
      <c r="GM52" s="48">
        <v>0.97</v>
      </c>
      <c r="GN52" s="48">
        <v>0.95</v>
      </c>
      <c r="GO52" s="48">
        <v>0.93</v>
      </c>
      <c r="GP52" s="48">
        <f t="shared" ref="GP52:HG52" si="608">+GO52-0.02</f>
        <v>0.91</v>
      </c>
      <c r="GQ52" s="48">
        <f t="shared" si="608"/>
        <v>0.89</v>
      </c>
      <c r="GR52" s="48">
        <f t="shared" si="608"/>
        <v>0.87</v>
      </c>
      <c r="GS52" s="48">
        <f t="shared" si="608"/>
        <v>0.85</v>
      </c>
      <c r="GT52" s="48">
        <f t="shared" si="608"/>
        <v>0.83</v>
      </c>
      <c r="GU52" s="48">
        <f t="shared" si="608"/>
        <v>0.80999999999999994</v>
      </c>
      <c r="GV52" s="48">
        <f t="shared" si="608"/>
        <v>0.78999999999999992</v>
      </c>
      <c r="GW52" s="48">
        <f t="shared" si="608"/>
        <v>0.76999999999999991</v>
      </c>
      <c r="GX52" s="48">
        <f t="shared" si="608"/>
        <v>0.74999999999999989</v>
      </c>
      <c r="GY52" s="48">
        <f t="shared" si="608"/>
        <v>0.72999999999999987</v>
      </c>
      <c r="GZ52" s="48">
        <f t="shared" si="608"/>
        <v>0.70999999999999985</v>
      </c>
      <c r="HA52" s="48">
        <f t="shared" si="608"/>
        <v>0.68999999999999984</v>
      </c>
      <c r="HB52" s="48">
        <f t="shared" si="608"/>
        <v>0.66999999999999982</v>
      </c>
      <c r="HC52" s="48">
        <f t="shared" si="608"/>
        <v>0.6499999999999998</v>
      </c>
      <c r="HD52" s="48">
        <f t="shared" si="608"/>
        <v>0.62999999999999978</v>
      </c>
      <c r="HE52" s="48">
        <f t="shared" si="608"/>
        <v>0.60999999999999976</v>
      </c>
      <c r="HF52" s="48">
        <f t="shared" si="608"/>
        <v>0.58999999999999975</v>
      </c>
      <c r="HG52" s="48">
        <f t="shared" si="608"/>
        <v>0.56999999999999973</v>
      </c>
    </row>
    <row r="53" spans="1:215" ht="17.25" thickBot="1" x14ac:dyDescent="0.35">
      <c r="A53" s="2">
        <v>20</v>
      </c>
      <c r="C53" s="39" t="s">
        <v>57</v>
      </c>
      <c r="D53" s="45">
        <f>TRUNC(114349.854756717+61854.3936092955,-1)</f>
        <v>176200</v>
      </c>
      <c r="E53" s="74">
        <f t="shared" si="203"/>
        <v>582480</v>
      </c>
      <c r="G53" s="48">
        <f t="shared" si="61"/>
        <v>193820.00000000003</v>
      </c>
      <c r="H53" s="48">
        <f t="shared" si="62"/>
        <v>193820.00000000003</v>
      </c>
      <c r="I53" s="51">
        <f t="shared" si="63"/>
        <v>640730.15600000008</v>
      </c>
      <c r="J53" s="48">
        <f t="shared" si="204"/>
        <v>188005.40000000002</v>
      </c>
      <c r="K53" s="51">
        <f t="shared" si="205"/>
        <v>621508.25132000004</v>
      </c>
      <c r="L53" s="48">
        <f t="shared" si="206"/>
        <v>184129.00000000003</v>
      </c>
      <c r="M53" s="51">
        <f t="shared" si="207"/>
        <v>608693.64820000005</v>
      </c>
      <c r="N53" s="48">
        <f t="shared" si="208"/>
        <v>180252.60000000003</v>
      </c>
      <c r="O53" s="51">
        <f t="shared" si="209"/>
        <v>595879.04508000019</v>
      </c>
      <c r="P53" s="52">
        <f t="shared" si="210"/>
        <v>176376.20000000004</v>
      </c>
      <c r="Q53" s="51">
        <f t="shared" si="211"/>
        <v>583064.4419600002</v>
      </c>
      <c r="R53" s="48">
        <f t="shared" si="212"/>
        <v>172499.80000000002</v>
      </c>
      <c r="S53" s="51">
        <f t="shared" si="213"/>
        <v>570249.8388400001</v>
      </c>
      <c r="T53" s="52">
        <f t="shared" si="214"/>
        <v>168623.40000000002</v>
      </c>
      <c r="U53" s="51">
        <f t="shared" si="215"/>
        <v>557435.23572000011</v>
      </c>
      <c r="V53" s="53">
        <f t="shared" si="216"/>
        <v>164747.00000000003</v>
      </c>
      <c r="W53" s="51">
        <f t="shared" si="217"/>
        <v>544620.63260000013</v>
      </c>
      <c r="X53" s="52">
        <f t="shared" si="218"/>
        <v>160870.6</v>
      </c>
      <c r="Y53" s="51">
        <f t="shared" si="219"/>
        <v>531806.02948000003</v>
      </c>
      <c r="Z53" s="48">
        <f t="shared" si="220"/>
        <v>156994.20000000001</v>
      </c>
      <c r="AA53" s="51">
        <f t="shared" si="221"/>
        <v>518991.42636000004</v>
      </c>
      <c r="AB53" s="53">
        <f t="shared" si="222"/>
        <v>153117.80000000002</v>
      </c>
      <c r="AC53" s="51">
        <f t="shared" si="223"/>
        <v>506176.82324000006</v>
      </c>
      <c r="AD53" s="53">
        <f t="shared" si="224"/>
        <v>149241.4</v>
      </c>
      <c r="AE53" s="51">
        <f t="shared" si="225"/>
        <v>493362.22012000001</v>
      </c>
      <c r="AF53" s="53">
        <f t="shared" si="226"/>
        <v>145365</v>
      </c>
      <c r="AG53" s="51">
        <f t="shared" si="227"/>
        <v>480547.61700000003</v>
      </c>
      <c r="AH53" s="48">
        <f t="shared" si="228"/>
        <v>141488.6</v>
      </c>
      <c r="AI53" s="51">
        <f t="shared" si="229"/>
        <v>467733.01388000004</v>
      </c>
      <c r="AJ53" s="53">
        <f t="shared" si="230"/>
        <v>137612.19999999998</v>
      </c>
      <c r="AK53" s="51">
        <f t="shared" si="231"/>
        <v>454918.41075999994</v>
      </c>
      <c r="AL53" s="53">
        <f t="shared" si="232"/>
        <v>133735.79999999999</v>
      </c>
      <c r="AM53" s="51">
        <f t="shared" si="233"/>
        <v>442103.80763999996</v>
      </c>
      <c r="AN53" s="53">
        <f t="shared" si="234"/>
        <v>129859.39999999998</v>
      </c>
      <c r="AO53" s="51">
        <f t="shared" si="235"/>
        <v>429289.20451999997</v>
      </c>
      <c r="AP53" s="53">
        <f t="shared" si="236"/>
        <v>125982.99999999999</v>
      </c>
      <c r="AQ53" s="51">
        <f t="shared" si="237"/>
        <v>416474.60139999999</v>
      </c>
      <c r="AR53" s="48">
        <f t="shared" si="238"/>
        <v>122106.59999999998</v>
      </c>
      <c r="AS53" s="51">
        <f t="shared" si="239"/>
        <v>403659.99827999994</v>
      </c>
      <c r="AT53" s="53">
        <f t="shared" si="240"/>
        <v>118230.19999999997</v>
      </c>
      <c r="AU53" s="51">
        <f t="shared" si="241"/>
        <v>390845.3951599999</v>
      </c>
      <c r="AV53" s="53">
        <f t="shared" si="242"/>
        <v>114353.79999999997</v>
      </c>
      <c r="AW53" s="51">
        <f t="shared" si="243"/>
        <v>378030.79203999991</v>
      </c>
      <c r="AX53" s="48">
        <f t="shared" si="244"/>
        <v>110477.39999999997</v>
      </c>
      <c r="AY53" s="51">
        <f t="shared" si="245"/>
        <v>365216.18891999987</v>
      </c>
      <c r="BB53" s="48">
        <v>1</v>
      </c>
      <c r="BC53" s="48">
        <v>0.97</v>
      </c>
      <c r="BD53" s="48">
        <v>0.95</v>
      </c>
      <c r="BE53" s="48">
        <v>0.93</v>
      </c>
      <c r="BF53" s="48">
        <f t="shared" ref="BF53:BW53" si="609">+BE53-0.02</f>
        <v>0.91</v>
      </c>
      <c r="BG53" s="48">
        <f t="shared" si="609"/>
        <v>0.89</v>
      </c>
      <c r="BH53" s="48">
        <f t="shared" si="609"/>
        <v>0.87</v>
      </c>
      <c r="BI53" s="48">
        <f t="shared" si="609"/>
        <v>0.85</v>
      </c>
      <c r="BJ53" s="48">
        <f t="shared" si="609"/>
        <v>0.83</v>
      </c>
      <c r="BK53" s="48">
        <f t="shared" si="609"/>
        <v>0.80999999999999994</v>
      </c>
      <c r="BL53" s="48">
        <f t="shared" si="609"/>
        <v>0.78999999999999992</v>
      </c>
      <c r="BM53" s="48">
        <f t="shared" si="609"/>
        <v>0.76999999999999991</v>
      </c>
      <c r="BN53" s="48">
        <f t="shared" si="609"/>
        <v>0.74999999999999989</v>
      </c>
      <c r="BO53" s="48">
        <f t="shared" si="609"/>
        <v>0.72999999999999987</v>
      </c>
      <c r="BP53" s="48">
        <f t="shared" si="609"/>
        <v>0.70999999999999985</v>
      </c>
      <c r="BQ53" s="48">
        <f t="shared" si="609"/>
        <v>0.68999999999999984</v>
      </c>
      <c r="BR53" s="48">
        <f t="shared" si="609"/>
        <v>0.66999999999999982</v>
      </c>
      <c r="BS53" s="48">
        <f t="shared" si="609"/>
        <v>0.6499999999999998</v>
      </c>
      <c r="BT53" s="48">
        <f t="shared" si="609"/>
        <v>0.62999999999999978</v>
      </c>
      <c r="BU53" s="48">
        <f t="shared" si="609"/>
        <v>0.60999999999999976</v>
      </c>
      <c r="BV53" s="48">
        <f t="shared" si="609"/>
        <v>0.58999999999999975</v>
      </c>
      <c r="BW53" s="48">
        <f t="shared" si="609"/>
        <v>0.56999999999999973</v>
      </c>
      <c r="BY53" s="48">
        <f t="shared" si="88"/>
        <v>176376.20000000004</v>
      </c>
      <c r="BZ53" s="48">
        <f t="shared" si="89"/>
        <v>176376.20000000004</v>
      </c>
      <c r="CA53" s="51">
        <f t="shared" ref="CA53" si="610">+BZ53*3.3058</f>
        <v>583064.4419600002</v>
      </c>
      <c r="CB53" s="48">
        <f t="shared" si="248"/>
        <v>171084.91400000005</v>
      </c>
      <c r="CC53" s="51">
        <f t="shared" si="249"/>
        <v>565572.50870120013</v>
      </c>
      <c r="CD53" s="48">
        <f t="shared" si="250"/>
        <v>167557.39000000004</v>
      </c>
      <c r="CE53" s="51">
        <f t="shared" si="251"/>
        <v>553911.2198620002</v>
      </c>
      <c r="CF53" s="48">
        <f t="shared" si="252"/>
        <v>164029.86600000004</v>
      </c>
      <c r="CG53" s="51">
        <f t="shared" si="253"/>
        <v>542249.93102280016</v>
      </c>
      <c r="CH53" s="52">
        <f t="shared" si="254"/>
        <v>160502.34200000003</v>
      </c>
      <c r="CI53" s="51">
        <f t="shared" si="255"/>
        <v>530588.64218360011</v>
      </c>
      <c r="CJ53" s="48">
        <f t="shared" si="256"/>
        <v>156974.81800000003</v>
      </c>
      <c r="CK53" s="51">
        <f t="shared" si="257"/>
        <v>518927.35334440012</v>
      </c>
      <c r="CL53" s="52">
        <f t="shared" si="258"/>
        <v>153447.29400000002</v>
      </c>
      <c r="CM53" s="51">
        <f t="shared" si="259"/>
        <v>507266.06450520008</v>
      </c>
      <c r="CN53" s="53">
        <f t="shared" si="260"/>
        <v>149919.77000000002</v>
      </c>
      <c r="CO53" s="51">
        <f t="shared" si="261"/>
        <v>495604.77566600009</v>
      </c>
      <c r="CP53" s="52">
        <f t="shared" si="262"/>
        <v>146392.24600000001</v>
      </c>
      <c r="CQ53" s="51">
        <f t="shared" si="263"/>
        <v>483943.48682680004</v>
      </c>
      <c r="CR53" s="48">
        <f t="shared" si="264"/>
        <v>142864.72200000001</v>
      </c>
      <c r="CS53" s="51">
        <f t="shared" si="265"/>
        <v>472282.19798760006</v>
      </c>
      <c r="CT53" s="53">
        <f t="shared" si="266"/>
        <v>139337.19800000003</v>
      </c>
      <c r="CU53" s="51">
        <f t="shared" si="267"/>
        <v>460620.90914840013</v>
      </c>
      <c r="CV53" s="53">
        <f t="shared" si="268"/>
        <v>135809.67400000003</v>
      </c>
      <c r="CW53" s="51">
        <f t="shared" si="269"/>
        <v>448959.62030920008</v>
      </c>
      <c r="CX53" s="53">
        <f t="shared" si="270"/>
        <v>132282.15000000002</v>
      </c>
      <c r="CY53" s="51">
        <f t="shared" si="271"/>
        <v>437298.33147000009</v>
      </c>
      <c r="CZ53" s="48">
        <f t="shared" si="272"/>
        <v>128754.626</v>
      </c>
      <c r="DA53" s="51">
        <f t="shared" si="273"/>
        <v>425637.04263080005</v>
      </c>
      <c r="DB53" s="53">
        <f t="shared" si="274"/>
        <v>125227.102</v>
      </c>
      <c r="DC53" s="51">
        <f t="shared" si="275"/>
        <v>413975.7537916</v>
      </c>
      <c r="DD53" s="53">
        <f t="shared" si="276"/>
        <v>121699.57799999999</v>
      </c>
      <c r="DE53" s="51">
        <f t="shared" si="277"/>
        <v>402314.46495240001</v>
      </c>
      <c r="DF53" s="53">
        <f t="shared" si="278"/>
        <v>118172.05399999999</v>
      </c>
      <c r="DG53" s="51">
        <f t="shared" si="279"/>
        <v>390653.17611319997</v>
      </c>
      <c r="DH53" s="53">
        <f t="shared" si="280"/>
        <v>114644.52999999998</v>
      </c>
      <c r="DI53" s="51">
        <f t="shared" si="281"/>
        <v>378991.88727399998</v>
      </c>
      <c r="DJ53" s="48">
        <f t="shared" si="282"/>
        <v>111117.00599999999</v>
      </c>
      <c r="DK53" s="51">
        <f t="shared" si="283"/>
        <v>367330.59843479999</v>
      </c>
      <c r="DL53" s="53">
        <f t="shared" si="284"/>
        <v>107589.48199999999</v>
      </c>
      <c r="DM53" s="51">
        <f t="shared" si="285"/>
        <v>355669.30959559995</v>
      </c>
      <c r="DN53" s="53">
        <f t="shared" si="286"/>
        <v>104061.95799999998</v>
      </c>
      <c r="DO53" s="51">
        <f t="shared" si="287"/>
        <v>344008.02075639996</v>
      </c>
      <c r="DP53" s="48">
        <f t="shared" si="288"/>
        <v>100534.43399999998</v>
      </c>
      <c r="DQ53" s="51">
        <f t="shared" si="289"/>
        <v>332346.73191719991</v>
      </c>
      <c r="DT53" s="48">
        <v>1</v>
      </c>
      <c r="DU53" s="48">
        <v>0.97</v>
      </c>
      <c r="DV53" s="48">
        <v>0.95</v>
      </c>
      <c r="DW53" s="48">
        <v>0.93</v>
      </c>
      <c r="DX53" s="48">
        <f t="shared" ref="DX53:EO53" si="611">+DW53-0.02</f>
        <v>0.91</v>
      </c>
      <c r="DY53" s="48">
        <f t="shared" si="611"/>
        <v>0.89</v>
      </c>
      <c r="DZ53" s="48">
        <f t="shared" si="611"/>
        <v>0.87</v>
      </c>
      <c r="EA53" s="48">
        <f t="shared" si="611"/>
        <v>0.85</v>
      </c>
      <c r="EB53" s="48">
        <f t="shared" si="611"/>
        <v>0.83</v>
      </c>
      <c r="EC53" s="48">
        <f t="shared" si="611"/>
        <v>0.80999999999999994</v>
      </c>
      <c r="ED53" s="48">
        <f t="shared" si="611"/>
        <v>0.78999999999999992</v>
      </c>
      <c r="EE53" s="48">
        <f t="shared" si="611"/>
        <v>0.76999999999999991</v>
      </c>
      <c r="EF53" s="48">
        <f t="shared" si="611"/>
        <v>0.74999999999999989</v>
      </c>
      <c r="EG53" s="48">
        <f t="shared" si="611"/>
        <v>0.72999999999999987</v>
      </c>
      <c r="EH53" s="48">
        <f t="shared" si="611"/>
        <v>0.70999999999999985</v>
      </c>
      <c r="EI53" s="48">
        <f t="shared" si="611"/>
        <v>0.68999999999999984</v>
      </c>
      <c r="EJ53" s="48">
        <f t="shared" si="611"/>
        <v>0.66999999999999982</v>
      </c>
      <c r="EK53" s="48">
        <f t="shared" si="611"/>
        <v>0.6499999999999998</v>
      </c>
      <c r="EL53" s="48">
        <f t="shared" si="611"/>
        <v>0.62999999999999978</v>
      </c>
      <c r="EM53" s="48">
        <f t="shared" si="611"/>
        <v>0.60999999999999976</v>
      </c>
      <c r="EN53" s="48">
        <f t="shared" si="611"/>
        <v>0.58999999999999975</v>
      </c>
      <c r="EO53" s="48">
        <f t="shared" si="611"/>
        <v>0.56999999999999973</v>
      </c>
      <c r="EQ53" s="48">
        <f t="shared" si="188"/>
        <v>160502.34200000003</v>
      </c>
      <c r="ER53" s="48">
        <f t="shared" si="116"/>
        <v>160502.34200000003</v>
      </c>
      <c r="ES53" s="51">
        <f t="shared" ref="ES53" si="612">+ER53*3.3058</f>
        <v>530588.64218360011</v>
      </c>
      <c r="ET53" s="48">
        <f t="shared" si="292"/>
        <v>155687.27174000003</v>
      </c>
      <c r="EU53" s="51">
        <f t="shared" si="293"/>
        <v>514670.98291809211</v>
      </c>
      <c r="EV53" s="48">
        <f t="shared" si="294"/>
        <v>152477.22490000003</v>
      </c>
      <c r="EW53" s="51">
        <f t="shared" si="295"/>
        <v>504059.21007442009</v>
      </c>
      <c r="EX53" s="48">
        <f t="shared" si="296"/>
        <v>149267.17806000003</v>
      </c>
      <c r="EY53" s="51">
        <f t="shared" si="297"/>
        <v>493447.43723074812</v>
      </c>
      <c r="EZ53" s="52">
        <f t="shared" si="298"/>
        <v>146057.13122000004</v>
      </c>
      <c r="FA53" s="51">
        <f t="shared" si="299"/>
        <v>482835.66438707616</v>
      </c>
      <c r="FB53" s="48">
        <f t="shared" si="300"/>
        <v>142847.08438000004</v>
      </c>
      <c r="FC53" s="51">
        <f t="shared" si="301"/>
        <v>472223.89154340414</v>
      </c>
      <c r="FD53" s="52">
        <f t="shared" si="302"/>
        <v>139637.03754000002</v>
      </c>
      <c r="FE53" s="51">
        <f t="shared" si="303"/>
        <v>461612.11869973206</v>
      </c>
      <c r="FF53" s="53">
        <f t="shared" si="304"/>
        <v>136426.99070000002</v>
      </c>
      <c r="FG53" s="51">
        <f t="shared" si="305"/>
        <v>451000.3458560601</v>
      </c>
      <c r="FH53" s="52">
        <f t="shared" si="306"/>
        <v>133216.94386000003</v>
      </c>
      <c r="FI53" s="51">
        <f t="shared" si="307"/>
        <v>440388.57301238808</v>
      </c>
      <c r="FJ53" s="48">
        <f t="shared" si="308"/>
        <v>130006.89702000002</v>
      </c>
      <c r="FK53" s="51">
        <f t="shared" si="309"/>
        <v>429776.80016871606</v>
      </c>
      <c r="FL53" s="53">
        <f t="shared" si="310"/>
        <v>126796.85018000001</v>
      </c>
      <c r="FM53" s="51">
        <f t="shared" si="311"/>
        <v>419165.02732504404</v>
      </c>
      <c r="FN53" s="53">
        <f t="shared" si="312"/>
        <v>123586.80334000001</v>
      </c>
      <c r="FO53" s="51">
        <f t="shared" si="313"/>
        <v>408553.25448137207</v>
      </c>
      <c r="FP53" s="53">
        <f t="shared" si="314"/>
        <v>120376.7565</v>
      </c>
      <c r="FQ53" s="51">
        <f t="shared" si="315"/>
        <v>397941.4816377</v>
      </c>
      <c r="FR53" s="48">
        <f t="shared" si="316"/>
        <v>117166.70966000001</v>
      </c>
      <c r="FS53" s="51">
        <f t="shared" si="317"/>
        <v>387329.70879402803</v>
      </c>
      <c r="FT53" s="53">
        <f t="shared" si="318"/>
        <v>113956.66282</v>
      </c>
      <c r="FU53" s="51">
        <f t="shared" si="319"/>
        <v>376717.93595035601</v>
      </c>
      <c r="FV53" s="53">
        <f t="shared" si="320"/>
        <v>110746.61598</v>
      </c>
      <c r="FW53" s="51">
        <f t="shared" si="321"/>
        <v>366106.16310668399</v>
      </c>
      <c r="FX53" s="53">
        <f t="shared" si="322"/>
        <v>107536.56913999999</v>
      </c>
      <c r="FY53" s="51">
        <f t="shared" si="323"/>
        <v>355494.39026301197</v>
      </c>
      <c r="FZ53" s="53">
        <f t="shared" si="324"/>
        <v>104326.52229999998</v>
      </c>
      <c r="GA53" s="51">
        <f t="shared" si="325"/>
        <v>344882.61741933995</v>
      </c>
      <c r="GB53" s="48">
        <f t="shared" si="326"/>
        <v>101116.47545999999</v>
      </c>
      <c r="GC53" s="51">
        <f t="shared" si="327"/>
        <v>334270.84457566799</v>
      </c>
      <c r="GD53" s="53">
        <f t="shared" si="328"/>
        <v>97906.428619999977</v>
      </c>
      <c r="GE53" s="51">
        <f t="shared" si="329"/>
        <v>323659.07173199591</v>
      </c>
      <c r="GF53" s="53">
        <f t="shared" si="330"/>
        <v>94696.381779999982</v>
      </c>
      <c r="GG53" s="51">
        <f t="shared" si="331"/>
        <v>313047.29888832394</v>
      </c>
      <c r="GH53" s="48">
        <f t="shared" si="332"/>
        <v>91486.334939999972</v>
      </c>
      <c r="GI53" s="51">
        <f t="shared" si="333"/>
        <v>302435.52604465192</v>
      </c>
      <c r="GJ53" s="48"/>
      <c r="GK53" s="48"/>
      <c r="GL53" s="48">
        <v>1</v>
      </c>
      <c r="GM53" s="48">
        <v>0.97</v>
      </c>
      <c r="GN53" s="48">
        <v>0.95</v>
      </c>
      <c r="GO53" s="48">
        <v>0.93</v>
      </c>
      <c r="GP53" s="48">
        <f t="shared" ref="GP53:HG53" si="613">+GO53-0.02</f>
        <v>0.91</v>
      </c>
      <c r="GQ53" s="48">
        <f t="shared" si="613"/>
        <v>0.89</v>
      </c>
      <c r="GR53" s="48">
        <f t="shared" si="613"/>
        <v>0.87</v>
      </c>
      <c r="GS53" s="48">
        <f t="shared" si="613"/>
        <v>0.85</v>
      </c>
      <c r="GT53" s="48">
        <f t="shared" si="613"/>
        <v>0.83</v>
      </c>
      <c r="GU53" s="48">
        <f t="shared" si="613"/>
        <v>0.80999999999999994</v>
      </c>
      <c r="GV53" s="48">
        <f t="shared" si="613"/>
        <v>0.78999999999999992</v>
      </c>
      <c r="GW53" s="48">
        <f t="shared" si="613"/>
        <v>0.76999999999999991</v>
      </c>
      <c r="GX53" s="48">
        <f t="shared" si="613"/>
        <v>0.74999999999999989</v>
      </c>
      <c r="GY53" s="48">
        <f t="shared" si="613"/>
        <v>0.72999999999999987</v>
      </c>
      <c r="GZ53" s="48">
        <f t="shared" si="613"/>
        <v>0.70999999999999985</v>
      </c>
      <c r="HA53" s="48">
        <f t="shared" si="613"/>
        <v>0.68999999999999984</v>
      </c>
      <c r="HB53" s="48">
        <f t="shared" si="613"/>
        <v>0.66999999999999982</v>
      </c>
      <c r="HC53" s="48">
        <f t="shared" si="613"/>
        <v>0.6499999999999998</v>
      </c>
      <c r="HD53" s="48">
        <f t="shared" si="613"/>
        <v>0.62999999999999978</v>
      </c>
      <c r="HE53" s="48">
        <f t="shared" si="613"/>
        <v>0.60999999999999976</v>
      </c>
      <c r="HF53" s="48">
        <f t="shared" si="613"/>
        <v>0.58999999999999975</v>
      </c>
      <c r="HG53" s="48">
        <f t="shared" si="613"/>
        <v>0.56999999999999973</v>
      </c>
    </row>
    <row r="54" spans="1:215" x14ac:dyDescent="0.3">
      <c r="A54" s="2">
        <v>21</v>
      </c>
      <c r="C54" s="27" t="s">
        <v>47</v>
      </c>
      <c r="D54" s="40">
        <f>SUM(D34:D53)</f>
        <v>733490</v>
      </c>
      <c r="E54" s="40">
        <f>SUM(E34:E53)</f>
        <v>2424710</v>
      </c>
      <c r="G54" s="48">
        <f t="shared" si="61"/>
        <v>806839.00000000012</v>
      </c>
      <c r="H54" s="48">
        <f t="shared" si="62"/>
        <v>806839.00000000012</v>
      </c>
      <c r="I54" s="51">
        <f t="shared" si="63"/>
        <v>2667248.3662000005</v>
      </c>
      <c r="J54" s="48">
        <f t="shared" si="204"/>
        <v>782633.83000000007</v>
      </c>
      <c r="K54" s="51">
        <f t="shared" si="205"/>
        <v>2587230.9152140003</v>
      </c>
      <c r="L54" s="48">
        <f t="shared" si="206"/>
        <v>766497.05</v>
      </c>
      <c r="M54" s="51">
        <f t="shared" si="207"/>
        <v>2533885.9478900004</v>
      </c>
      <c r="N54" s="48">
        <f t="shared" si="208"/>
        <v>750360.27000000014</v>
      </c>
      <c r="O54" s="51">
        <f t="shared" si="209"/>
        <v>2480540.9805660006</v>
      </c>
      <c r="P54" s="52">
        <f t="shared" si="210"/>
        <v>734223.49000000011</v>
      </c>
      <c r="Q54" s="51">
        <f t="shared" si="211"/>
        <v>2427196.0132420002</v>
      </c>
      <c r="R54" s="48">
        <f t="shared" si="212"/>
        <v>718086.71000000008</v>
      </c>
      <c r="S54" s="51">
        <f t="shared" si="213"/>
        <v>2373851.0459180004</v>
      </c>
      <c r="T54" s="52">
        <f t="shared" si="214"/>
        <v>701949.93</v>
      </c>
      <c r="U54" s="51">
        <f t="shared" si="215"/>
        <v>2320506.0785940001</v>
      </c>
      <c r="V54" s="53">
        <f t="shared" si="216"/>
        <v>685813.15</v>
      </c>
      <c r="W54" s="51">
        <f t="shared" si="217"/>
        <v>2267161.1112700002</v>
      </c>
      <c r="X54" s="52">
        <f t="shared" si="218"/>
        <v>669676.37000000011</v>
      </c>
      <c r="Y54" s="51">
        <f t="shared" si="219"/>
        <v>2213816.1439460004</v>
      </c>
      <c r="Z54" s="48">
        <f t="shared" si="220"/>
        <v>653539.59000000008</v>
      </c>
      <c r="AA54" s="51">
        <f t="shared" si="221"/>
        <v>2160471.1766220005</v>
      </c>
      <c r="AB54" s="53">
        <f t="shared" si="222"/>
        <v>637402.81000000006</v>
      </c>
      <c r="AC54" s="51">
        <f t="shared" si="223"/>
        <v>2107126.2092980002</v>
      </c>
      <c r="AD54" s="53">
        <f t="shared" si="224"/>
        <v>621266.03</v>
      </c>
      <c r="AE54" s="51">
        <f t="shared" si="225"/>
        <v>2053781.2419740001</v>
      </c>
      <c r="AF54" s="53">
        <f t="shared" si="226"/>
        <v>605129.25</v>
      </c>
      <c r="AG54" s="51">
        <f t="shared" si="227"/>
        <v>2000436.27465</v>
      </c>
      <c r="AH54" s="48">
        <f t="shared" si="228"/>
        <v>588992.47</v>
      </c>
      <c r="AI54" s="51">
        <f t="shared" si="229"/>
        <v>1947091.307326</v>
      </c>
      <c r="AJ54" s="53">
        <f t="shared" si="230"/>
        <v>572855.68999999994</v>
      </c>
      <c r="AK54" s="51">
        <f t="shared" si="231"/>
        <v>1893746.3400019999</v>
      </c>
      <c r="AL54" s="53">
        <f t="shared" si="232"/>
        <v>556718.90999999992</v>
      </c>
      <c r="AM54" s="51">
        <f t="shared" si="233"/>
        <v>1840401.3726779998</v>
      </c>
      <c r="AN54" s="53">
        <f t="shared" si="234"/>
        <v>540582.12999999989</v>
      </c>
      <c r="AO54" s="51">
        <f t="shared" si="235"/>
        <v>1787056.4053539997</v>
      </c>
      <c r="AP54" s="53">
        <f t="shared" si="236"/>
        <v>524445.34999999986</v>
      </c>
      <c r="AQ54" s="51">
        <f t="shared" si="237"/>
        <v>1733711.4380299996</v>
      </c>
      <c r="AR54" s="48">
        <f t="shared" si="238"/>
        <v>508308.56999999989</v>
      </c>
      <c r="AS54" s="51">
        <f t="shared" si="239"/>
        <v>1680366.4707059998</v>
      </c>
      <c r="AT54" s="53">
        <f t="shared" si="240"/>
        <v>492171.78999999986</v>
      </c>
      <c r="AU54" s="51">
        <f t="shared" si="241"/>
        <v>1627021.5033819997</v>
      </c>
      <c r="AV54" s="53">
        <f t="shared" si="242"/>
        <v>476035.00999999989</v>
      </c>
      <c r="AW54" s="51">
        <f t="shared" si="243"/>
        <v>1573676.5360579996</v>
      </c>
      <c r="AX54" s="48">
        <f t="shared" si="244"/>
        <v>459898.22999999986</v>
      </c>
      <c r="AY54" s="51">
        <f t="shared" si="245"/>
        <v>1520331.5687339995</v>
      </c>
      <c r="BB54" s="48">
        <v>1</v>
      </c>
      <c r="BC54" s="48">
        <v>0.97</v>
      </c>
      <c r="BD54" s="48">
        <v>0.95</v>
      </c>
      <c r="BE54" s="48">
        <v>0.93</v>
      </c>
      <c r="BF54" s="48">
        <f t="shared" ref="BF54:BW54" si="614">+BE54-0.02</f>
        <v>0.91</v>
      </c>
      <c r="BG54" s="48">
        <f t="shared" si="614"/>
        <v>0.89</v>
      </c>
      <c r="BH54" s="48">
        <f t="shared" si="614"/>
        <v>0.87</v>
      </c>
      <c r="BI54" s="48">
        <f t="shared" si="614"/>
        <v>0.85</v>
      </c>
      <c r="BJ54" s="48">
        <f t="shared" si="614"/>
        <v>0.83</v>
      </c>
      <c r="BK54" s="48">
        <f t="shared" si="614"/>
        <v>0.80999999999999994</v>
      </c>
      <c r="BL54" s="48">
        <f t="shared" si="614"/>
        <v>0.78999999999999992</v>
      </c>
      <c r="BM54" s="48">
        <f t="shared" si="614"/>
        <v>0.76999999999999991</v>
      </c>
      <c r="BN54" s="48">
        <f t="shared" si="614"/>
        <v>0.74999999999999989</v>
      </c>
      <c r="BO54" s="48">
        <f t="shared" si="614"/>
        <v>0.72999999999999987</v>
      </c>
      <c r="BP54" s="48">
        <f t="shared" si="614"/>
        <v>0.70999999999999985</v>
      </c>
      <c r="BQ54" s="48">
        <f t="shared" si="614"/>
        <v>0.68999999999999984</v>
      </c>
      <c r="BR54" s="48">
        <f t="shared" si="614"/>
        <v>0.66999999999999982</v>
      </c>
      <c r="BS54" s="48">
        <f t="shared" si="614"/>
        <v>0.6499999999999998</v>
      </c>
      <c r="BT54" s="48">
        <f t="shared" si="614"/>
        <v>0.62999999999999978</v>
      </c>
      <c r="BU54" s="48">
        <f t="shared" si="614"/>
        <v>0.60999999999999976</v>
      </c>
      <c r="BV54" s="48">
        <f t="shared" si="614"/>
        <v>0.58999999999999975</v>
      </c>
      <c r="BW54" s="48">
        <f t="shared" si="614"/>
        <v>0.56999999999999973</v>
      </c>
      <c r="BY54" s="48">
        <f t="shared" si="88"/>
        <v>734223.49000000011</v>
      </c>
      <c r="BZ54" s="48">
        <f t="shared" si="89"/>
        <v>734223.49000000011</v>
      </c>
      <c r="CA54" s="51">
        <f t="shared" ref="CA54" si="615">+BZ54*3.3058</f>
        <v>2427196.0132420002</v>
      </c>
      <c r="CB54" s="48">
        <f t="shared" si="248"/>
        <v>712196.78530000011</v>
      </c>
      <c r="CC54" s="51">
        <f t="shared" si="249"/>
        <v>2354380.1328447405</v>
      </c>
      <c r="CD54" s="48">
        <f t="shared" si="250"/>
        <v>697512.31550000003</v>
      </c>
      <c r="CE54" s="51">
        <f t="shared" si="251"/>
        <v>2305836.2125798999</v>
      </c>
      <c r="CF54" s="48">
        <f t="shared" si="252"/>
        <v>682827.84570000018</v>
      </c>
      <c r="CG54" s="51">
        <f t="shared" si="253"/>
        <v>2257292.2923150607</v>
      </c>
      <c r="CH54" s="52">
        <f t="shared" si="254"/>
        <v>668143.3759000001</v>
      </c>
      <c r="CI54" s="51">
        <f t="shared" si="255"/>
        <v>2208748.3720502206</v>
      </c>
      <c r="CJ54" s="48">
        <f t="shared" si="256"/>
        <v>653458.90610000014</v>
      </c>
      <c r="CK54" s="51">
        <f t="shared" si="257"/>
        <v>2160204.4517853805</v>
      </c>
      <c r="CL54" s="52">
        <f t="shared" si="258"/>
        <v>638774.43630000006</v>
      </c>
      <c r="CM54" s="51">
        <f t="shared" si="259"/>
        <v>2111660.5315205404</v>
      </c>
      <c r="CN54" s="53">
        <f t="shared" si="260"/>
        <v>624089.9665000001</v>
      </c>
      <c r="CO54" s="51">
        <f t="shared" si="261"/>
        <v>2063116.6112557005</v>
      </c>
      <c r="CP54" s="52">
        <f t="shared" si="262"/>
        <v>609405.49670000002</v>
      </c>
      <c r="CQ54" s="51">
        <f t="shared" si="263"/>
        <v>2014572.6909908601</v>
      </c>
      <c r="CR54" s="48">
        <f t="shared" si="264"/>
        <v>594721.02690000006</v>
      </c>
      <c r="CS54" s="51">
        <f t="shared" si="265"/>
        <v>1966028.7707260202</v>
      </c>
      <c r="CT54" s="53">
        <f t="shared" si="266"/>
        <v>580036.55709999998</v>
      </c>
      <c r="CU54" s="51">
        <f t="shared" si="267"/>
        <v>1917484.8504611799</v>
      </c>
      <c r="CV54" s="53">
        <f t="shared" si="268"/>
        <v>565352.08730000001</v>
      </c>
      <c r="CW54" s="51">
        <f t="shared" si="269"/>
        <v>1868940.9301963402</v>
      </c>
      <c r="CX54" s="53">
        <f t="shared" si="270"/>
        <v>550667.61750000005</v>
      </c>
      <c r="CY54" s="51">
        <f t="shared" si="271"/>
        <v>1820397.0099315003</v>
      </c>
      <c r="CZ54" s="48">
        <f t="shared" si="272"/>
        <v>535983.14769999997</v>
      </c>
      <c r="DA54" s="51">
        <f t="shared" si="273"/>
        <v>1771853.0896666599</v>
      </c>
      <c r="DB54" s="53">
        <f t="shared" si="274"/>
        <v>521298.67789999995</v>
      </c>
      <c r="DC54" s="51">
        <f t="shared" si="275"/>
        <v>1723309.1694018198</v>
      </c>
      <c r="DD54" s="53">
        <f t="shared" si="276"/>
        <v>506614.20809999993</v>
      </c>
      <c r="DE54" s="51">
        <f t="shared" si="277"/>
        <v>1674765.2491369797</v>
      </c>
      <c r="DF54" s="53">
        <f t="shared" si="278"/>
        <v>491929.73829999991</v>
      </c>
      <c r="DG54" s="51">
        <f t="shared" si="279"/>
        <v>1626221.3288721398</v>
      </c>
      <c r="DH54" s="53">
        <f t="shared" si="280"/>
        <v>477245.26849999995</v>
      </c>
      <c r="DI54" s="51">
        <f t="shared" si="281"/>
        <v>1577677.4086072999</v>
      </c>
      <c r="DJ54" s="48">
        <f t="shared" si="282"/>
        <v>462560.79869999993</v>
      </c>
      <c r="DK54" s="51">
        <f t="shared" si="283"/>
        <v>1529133.4883424598</v>
      </c>
      <c r="DL54" s="53">
        <f t="shared" si="284"/>
        <v>447876.32889999991</v>
      </c>
      <c r="DM54" s="51">
        <f t="shared" si="285"/>
        <v>1480589.5680776197</v>
      </c>
      <c r="DN54" s="53">
        <f t="shared" si="286"/>
        <v>433191.85909999989</v>
      </c>
      <c r="DO54" s="51">
        <f t="shared" si="287"/>
        <v>1432045.6478127798</v>
      </c>
      <c r="DP54" s="48">
        <f t="shared" si="288"/>
        <v>418507.38929999986</v>
      </c>
      <c r="DQ54" s="51">
        <f t="shared" si="289"/>
        <v>1383501.7275479396</v>
      </c>
      <c r="DT54" s="48">
        <v>1</v>
      </c>
      <c r="DU54" s="48">
        <v>0.97</v>
      </c>
      <c r="DV54" s="48">
        <v>0.95</v>
      </c>
      <c r="DW54" s="48">
        <v>0.93</v>
      </c>
      <c r="DX54" s="48">
        <f t="shared" ref="DX54:EO54" si="616">+DW54-0.02</f>
        <v>0.91</v>
      </c>
      <c r="DY54" s="48">
        <f t="shared" si="616"/>
        <v>0.89</v>
      </c>
      <c r="DZ54" s="48">
        <f t="shared" si="616"/>
        <v>0.87</v>
      </c>
      <c r="EA54" s="48">
        <f t="shared" si="616"/>
        <v>0.85</v>
      </c>
      <c r="EB54" s="48">
        <f t="shared" si="616"/>
        <v>0.83</v>
      </c>
      <c r="EC54" s="48">
        <f t="shared" si="616"/>
        <v>0.80999999999999994</v>
      </c>
      <c r="ED54" s="48">
        <f t="shared" si="616"/>
        <v>0.78999999999999992</v>
      </c>
      <c r="EE54" s="48">
        <f t="shared" si="616"/>
        <v>0.76999999999999991</v>
      </c>
      <c r="EF54" s="48">
        <f t="shared" si="616"/>
        <v>0.74999999999999989</v>
      </c>
      <c r="EG54" s="48">
        <f t="shared" si="616"/>
        <v>0.72999999999999987</v>
      </c>
      <c r="EH54" s="48">
        <f t="shared" si="616"/>
        <v>0.70999999999999985</v>
      </c>
      <c r="EI54" s="48">
        <f t="shared" si="616"/>
        <v>0.68999999999999984</v>
      </c>
      <c r="EJ54" s="48">
        <f t="shared" si="616"/>
        <v>0.66999999999999982</v>
      </c>
      <c r="EK54" s="48">
        <f t="shared" si="616"/>
        <v>0.6499999999999998</v>
      </c>
      <c r="EL54" s="48">
        <f t="shared" si="616"/>
        <v>0.62999999999999978</v>
      </c>
      <c r="EM54" s="48">
        <f t="shared" si="616"/>
        <v>0.60999999999999976</v>
      </c>
      <c r="EN54" s="48">
        <f t="shared" si="616"/>
        <v>0.58999999999999975</v>
      </c>
      <c r="EO54" s="48">
        <f t="shared" si="616"/>
        <v>0.56999999999999973</v>
      </c>
      <c r="EQ54" s="48">
        <f t="shared" si="188"/>
        <v>668143.3759000001</v>
      </c>
      <c r="ER54" s="48">
        <f t="shared" si="116"/>
        <v>668143.3759000001</v>
      </c>
      <c r="ES54" s="51">
        <f t="shared" ref="ES54" si="617">+ER54*3.3058</f>
        <v>2208748.3720502206</v>
      </c>
      <c r="ET54" s="48">
        <f t="shared" si="292"/>
        <v>648099.07462300011</v>
      </c>
      <c r="EU54" s="51">
        <f t="shared" si="293"/>
        <v>2142485.920888714</v>
      </c>
      <c r="EV54" s="48">
        <f t="shared" si="294"/>
        <v>634736.20710500004</v>
      </c>
      <c r="EW54" s="51">
        <f t="shared" si="295"/>
        <v>2098310.9534477093</v>
      </c>
      <c r="EX54" s="48">
        <f t="shared" si="296"/>
        <v>621373.33958700008</v>
      </c>
      <c r="EY54" s="51">
        <f t="shared" si="297"/>
        <v>2054135.9860067049</v>
      </c>
      <c r="EZ54" s="52">
        <f t="shared" si="298"/>
        <v>608010.47206900013</v>
      </c>
      <c r="FA54" s="51">
        <f t="shared" si="299"/>
        <v>2009961.0185657006</v>
      </c>
      <c r="FB54" s="48">
        <f t="shared" si="300"/>
        <v>594647.60455100005</v>
      </c>
      <c r="FC54" s="51">
        <f t="shared" si="301"/>
        <v>1965786.0511246959</v>
      </c>
      <c r="FD54" s="52">
        <f t="shared" si="302"/>
        <v>581284.7370330001</v>
      </c>
      <c r="FE54" s="51">
        <f t="shared" si="303"/>
        <v>1921611.0836836917</v>
      </c>
      <c r="FF54" s="53">
        <f t="shared" si="304"/>
        <v>567921.86951500003</v>
      </c>
      <c r="FG54" s="51">
        <f t="shared" si="305"/>
        <v>1877436.1162426872</v>
      </c>
      <c r="FH54" s="52">
        <f t="shared" si="306"/>
        <v>554559.00199700007</v>
      </c>
      <c r="FI54" s="51">
        <f t="shared" si="307"/>
        <v>1833261.148801683</v>
      </c>
      <c r="FJ54" s="48">
        <f t="shared" si="308"/>
        <v>541196.134479</v>
      </c>
      <c r="FK54" s="51">
        <f t="shared" si="309"/>
        <v>1789086.1813606783</v>
      </c>
      <c r="FL54" s="53">
        <f t="shared" si="310"/>
        <v>527833.26696100004</v>
      </c>
      <c r="FM54" s="51">
        <f t="shared" si="311"/>
        <v>1744911.213919674</v>
      </c>
      <c r="FN54" s="53">
        <f t="shared" si="312"/>
        <v>514470.39944300003</v>
      </c>
      <c r="FO54" s="51">
        <f t="shared" si="313"/>
        <v>1700736.2464786696</v>
      </c>
      <c r="FP54" s="53">
        <f t="shared" si="314"/>
        <v>501107.53192500002</v>
      </c>
      <c r="FQ54" s="51">
        <f t="shared" si="315"/>
        <v>1656561.2790376651</v>
      </c>
      <c r="FR54" s="48">
        <f t="shared" si="316"/>
        <v>487744.664407</v>
      </c>
      <c r="FS54" s="51">
        <f t="shared" si="317"/>
        <v>1612386.3115966606</v>
      </c>
      <c r="FT54" s="53">
        <f t="shared" si="318"/>
        <v>474381.79688899999</v>
      </c>
      <c r="FU54" s="51">
        <f t="shared" si="319"/>
        <v>1568211.3441556562</v>
      </c>
      <c r="FV54" s="53">
        <f t="shared" si="320"/>
        <v>461018.92937099998</v>
      </c>
      <c r="FW54" s="51">
        <f t="shared" si="321"/>
        <v>1524036.3767146517</v>
      </c>
      <c r="FX54" s="53">
        <f t="shared" si="322"/>
        <v>447656.06185299996</v>
      </c>
      <c r="FY54" s="51">
        <f t="shared" si="323"/>
        <v>1479861.4092736472</v>
      </c>
      <c r="FZ54" s="53">
        <f t="shared" si="324"/>
        <v>434293.19433499995</v>
      </c>
      <c r="GA54" s="51">
        <f t="shared" si="325"/>
        <v>1435686.4418326428</v>
      </c>
      <c r="GB54" s="48">
        <f t="shared" si="326"/>
        <v>420930.32681699994</v>
      </c>
      <c r="GC54" s="51">
        <f t="shared" si="327"/>
        <v>1391511.4743916383</v>
      </c>
      <c r="GD54" s="53">
        <f t="shared" si="328"/>
        <v>407567.45929899992</v>
      </c>
      <c r="GE54" s="51">
        <f t="shared" si="329"/>
        <v>1347336.5069506341</v>
      </c>
      <c r="GF54" s="53">
        <f t="shared" si="330"/>
        <v>394204.59178099991</v>
      </c>
      <c r="GG54" s="51">
        <f t="shared" si="331"/>
        <v>1303161.5395096296</v>
      </c>
      <c r="GH54" s="48">
        <f t="shared" si="332"/>
        <v>380841.72426299989</v>
      </c>
      <c r="GI54" s="51">
        <f t="shared" si="333"/>
        <v>1258986.5720686251</v>
      </c>
      <c r="GJ54" s="48"/>
      <c r="GK54" s="48"/>
      <c r="GL54" s="48">
        <v>1</v>
      </c>
      <c r="GM54" s="48">
        <v>0.97</v>
      </c>
      <c r="GN54" s="48">
        <v>0.95</v>
      </c>
      <c r="GO54" s="48">
        <v>0.93</v>
      </c>
      <c r="GP54" s="48">
        <f t="shared" ref="GP54:HG54" si="618">+GO54-0.02</f>
        <v>0.91</v>
      </c>
      <c r="GQ54" s="48">
        <f t="shared" si="618"/>
        <v>0.89</v>
      </c>
      <c r="GR54" s="48">
        <f t="shared" si="618"/>
        <v>0.87</v>
      </c>
      <c r="GS54" s="48">
        <f t="shared" si="618"/>
        <v>0.85</v>
      </c>
      <c r="GT54" s="48">
        <f t="shared" si="618"/>
        <v>0.83</v>
      </c>
      <c r="GU54" s="48">
        <f t="shared" si="618"/>
        <v>0.80999999999999994</v>
      </c>
      <c r="GV54" s="48">
        <f t="shared" si="618"/>
        <v>0.78999999999999992</v>
      </c>
      <c r="GW54" s="48">
        <f t="shared" si="618"/>
        <v>0.76999999999999991</v>
      </c>
      <c r="GX54" s="48">
        <f t="shared" si="618"/>
        <v>0.74999999999999989</v>
      </c>
      <c r="GY54" s="48">
        <f t="shared" si="618"/>
        <v>0.72999999999999987</v>
      </c>
      <c r="GZ54" s="48">
        <f t="shared" si="618"/>
        <v>0.70999999999999985</v>
      </c>
      <c r="HA54" s="48">
        <f t="shared" si="618"/>
        <v>0.68999999999999984</v>
      </c>
      <c r="HB54" s="48">
        <f t="shared" si="618"/>
        <v>0.66999999999999982</v>
      </c>
      <c r="HC54" s="48">
        <f t="shared" si="618"/>
        <v>0.6499999999999998</v>
      </c>
      <c r="HD54" s="48">
        <f t="shared" si="618"/>
        <v>0.62999999999999978</v>
      </c>
      <c r="HE54" s="48">
        <f t="shared" si="618"/>
        <v>0.60999999999999976</v>
      </c>
      <c r="HF54" s="48">
        <f t="shared" si="618"/>
        <v>0.58999999999999975</v>
      </c>
      <c r="HG54" s="48">
        <f t="shared" si="618"/>
        <v>0.56999999999999973</v>
      </c>
    </row>
    <row r="55" spans="1:215" s="54" customFormat="1" x14ac:dyDescent="0.3">
      <c r="C55" s="55"/>
      <c r="D55" s="55"/>
      <c r="E55" s="55"/>
      <c r="G55" s="56"/>
      <c r="H55" s="56"/>
      <c r="I55" s="56"/>
      <c r="J55" s="56"/>
      <c r="K55" s="56"/>
      <c r="L55" s="56"/>
      <c r="M55" s="56"/>
      <c r="N55" s="56"/>
      <c r="O55" s="56"/>
      <c r="P55" s="57"/>
      <c r="Q55" s="56"/>
      <c r="R55" s="56"/>
      <c r="S55" s="56"/>
      <c r="T55" s="57"/>
      <c r="U55" s="56"/>
      <c r="V55" s="58"/>
      <c r="W55" s="56"/>
      <c r="X55" s="57"/>
      <c r="Y55" s="56"/>
      <c r="Z55" s="56"/>
      <c r="AA55" s="56"/>
      <c r="AB55" s="58"/>
      <c r="AC55" s="56"/>
      <c r="AD55" s="58"/>
      <c r="AE55" s="56"/>
      <c r="AF55" s="58"/>
      <c r="AG55" s="56"/>
      <c r="AH55" s="56"/>
      <c r="AI55" s="56"/>
      <c r="AJ55" s="58"/>
      <c r="AK55" s="56"/>
      <c r="AL55" s="58"/>
      <c r="AM55" s="56"/>
      <c r="AN55" s="58"/>
      <c r="AO55" s="56"/>
      <c r="AP55" s="58"/>
      <c r="AQ55" s="56"/>
      <c r="AR55" s="56"/>
      <c r="AS55" s="56"/>
      <c r="AT55" s="58"/>
      <c r="AU55" s="56"/>
      <c r="AV55" s="58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56"/>
      <c r="BI55" s="56"/>
      <c r="BJ55" s="56"/>
      <c r="BK55" s="56"/>
      <c r="BL55" s="56"/>
      <c r="BM55" s="56"/>
      <c r="BN55" s="56"/>
      <c r="BO55" s="56"/>
      <c r="BP55" s="56"/>
      <c r="BQ55" s="56"/>
      <c r="BR55" s="56"/>
      <c r="BS55" s="56"/>
      <c r="BT55" s="56"/>
      <c r="BU55" s="56"/>
      <c r="BV55" s="56"/>
      <c r="BW55" s="56"/>
      <c r="BX55" s="56"/>
      <c r="BY55" s="56">
        <f t="shared" si="88"/>
        <v>0</v>
      </c>
      <c r="BZ55" s="56"/>
      <c r="CA55" s="56"/>
      <c r="CB55" s="56"/>
      <c r="CC55" s="56"/>
      <c r="CD55" s="56"/>
      <c r="CE55" s="56"/>
      <c r="CF55" s="56"/>
      <c r="CG55" s="56"/>
      <c r="CH55" s="57"/>
      <c r="CI55" s="56"/>
      <c r="CJ55" s="56"/>
      <c r="CK55" s="56"/>
      <c r="CL55" s="57"/>
      <c r="CM55" s="56"/>
      <c r="CN55" s="58"/>
      <c r="CO55" s="56"/>
      <c r="CP55" s="57"/>
      <c r="CQ55" s="56"/>
      <c r="CR55" s="56"/>
      <c r="CS55" s="56"/>
      <c r="CT55" s="58"/>
      <c r="CU55" s="56"/>
      <c r="CV55" s="58"/>
      <c r="CW55" s="56"/>
      <c r="CX55" s="58"/>
      <c r="CY55" s="56"/>
      <c r="CZ55" s="56"/>
      <c r="DA55" s="56"/>
      <c r="DB55" s="58"/>
      <c r="DC55" s="56"/>
      <c r="DD55" s="58"/>
      <c r="DE55" s="56"/>
      <c r="DF55" s="58"/>
      <c r="DG55" s="56"/>
      <c r="DH55" s="58"/>
      <c r="DI55" s="56"/>
      <c r="DJ55" s="56"/>
      <c r="DK55" s="56"/>
      <c r="DL55" s="58"/>
      <c r="DM55" s="56"/>
      <c r="DN55" s="58"/>
      <c r="DO55" s="56"/>
      <c r="DP55" s="56"/>
      <c r="DQ55" s="56"/>
      <c r="DR55" s="56"/>
      <c r="DS55" s="56"/>
      <c r="DT55" s="56">
        <v>1</v>
      </c>
      <c r="DU55" s="56">
        <v>0.97</v>
      </c>
      <c r="DV55" s="56">
        <v>0.95</v>
      </c>
      <c r="DW55" s="56">
        <v>0.93</v>
      </c>
      <c r="DX55" s="56">
        <f t="shared" ref="DX55:EO55" si="619">+DW55-0.02</f>
        <v>0.91</v>
      </c>
      <c r="DY55" s="56">
        <f t="shared" si="619"/>
        <v>0.89</v>
      </c>
      <c r="DZ55" s="56">
        <f t="shared" si="619"/>
        <v>0.87</v>
      </c>
      <c r="EA55" s="56">
        <f t="shared" si="619"/>
        <v>0.85</v>
      </c>
      <c r="EB55" s="56">
        <f t="shared" si="619"/>
        <v>0.83</v>
      </c>
      <c r="EC55" s="56">
        <f t="shared" si="619"/>
        <v>0.80999999999999994</v>
      </c>
      <c r="ED55" s="56">
        <f t="shared" si="619"/>
        <v>0.78999999999999992</v>
      </c>
      <c r="EE55" s="56">
        <f t="shared" si="619"/>
        <v>0.76999999999999991</v>
      </c>
      <c r="EF55" s="56">
        <f t="shared" si="619"/>
        <v>0.74999999999999989</v>
      </c>
      <c r="EG55" s="56">
        <f t="shared" si="619"/>
        <v>0.72999999999999987</v>
      </c>
      <c r="EH55" s="56">
        <f t="shared" si="619"/>
        <v>0.70999999999999985</v>
      </c>
      <c r="EI55" s="56">
        <f t="shared" si="619"/>
        <v>0.68999999999999984</v>
      </c>
      <c r="EJ55" s="56">
        <f t="shared" si="619"/>
        <v>0.66999999999999982</v>
      </c>
      <c r="EK55" s="56">
        <f t="shared" si="619"/>
        <v>0.6499999999999998</v>
      </c>
      <c r="EL55" s="56">
        <f t="shared" si="619"/>
        <v>0.62999999999999978</v>
      </c>
      <c r="EM55" s="56">
        <f t="shared" si="619"/>
        <v>0.60999999999999976</v>
      </c>
      <c r="EN55" s="56">
        <f t="shared" si="619"/>
        <v>0.58999999999999975</v>
      </c>
      <c r="EO55" s="56">
        <f t="shared" si="619"/>
        <v>0.56999999999999973</v>
      </c>
      <c r="EQ55" s="56">
        <f t="shared" si="188"/>
        <v>0</v>
      </c>
      <c r="ER55" s="56"/>
      <c r="ES55" s="56"/>
      <c r="ET55" s="56"/>
      <c r="EU55" s="56"/>
      <c r="EV55" s="56"/>
      <c r="EW55" s="56"/>
      <c r="EX55" s="56"/>
      <c r="EY55" s="56"/>
      <c r="EZ55" s="57"/>
      <c r="FA55" s="56"/>
      <c r="FB55" s="56"/>
      <c r="FC55" s="56"/>
      <c r="FD55" s="57"/>
      <c r="FE55" s="56"/>
      <c r="FF55" s="58"/>
      <c r="FG55" s="56"/>
      <c r="FH55" s="57"/>
      <c r="FI55" s="56"/>
      <c r="FJ55" s="56"/>
      <c r="FK55" s="56"/>
      <c r="FL55" s="58"/>
      <c r="FM55" s="56"/>
      <c r="FN55" s="58"/>
      <c r="FO55" s="56"/>
      <c r="FP55" s="58"/>
      <c r="FQ55" s="56"/>
      <c r="FR55" s="56"/>
      <c r="FS55" s="56"/>
      <c r="FT55" s="58"/>
      <c r="FU55" s="56"/>
      <c r="FV55" s="58"/>
      <c r="FW55" s="56"/>
      <c r="FX55" s="58"/>
      <c r="FY55" s="56"/>
      <c r="FZ55" s="58"/>
      <c r="GA55" s="56"/>
      <c r="GB55" s="56"/>
      <c r="GC55" s="56"/>
      <c r="GD55" s="58"/>
      <c r="GE55" s="56"/>
      <c r="GF55" s="58"/>
      <c r="GG55" s="56"/>
      <c r="GH55" s="56"/>
      <c r="GI55" s="56"/>
      <c r="GJ55" s="56"/>
      <c r="GK55" s="56"/>
      <c r="GL55" s="56">
        <v>1</v>
      </c>
      <c r="GM55" s="56">
        <v>0.97</v>
      </c>
      <c r="GN55" s="56">
        <v>0.95</v>
      </c>
      <c r="GO55" s="56">
        <v>0.93</v>
      </c>
      <c r="GP55" s="56">
        <f t="shared" ref="GP55:HG55" si="620">+GO55-0.02</f>
        <v>0.91</v>
      </c>
      <c r="GQ55" s="56">
        <f t="shared" si="620"/>
        <v>0.89</v>
      </c>
      <c r="GR55" s="56">
        <f t="shared" si="620"/>
        <v>0.87</v>
      </c>
      <c r="GS55" s="56">
        <f t="shared" si="620"/>
        <v>0.85</v>
      </c>
      <c r="GT55" s="56">
        <f t="shared" si="620"/>
        <v>0.83</v>
      </c>
      <c r="GU55" s="56">
        <f t="shared" si="620"/>
        <v>0.80999999999999994</v>
      </c>
      <c r="GV55" s="56">
        <f t="shared" si="620"/>
        <v>0.78999999999999992</v>
      </c>
      <c r="GW55" s="56">
        <f t="shared" si="620"/>
        <v>0.76999999999999991</v>
      </c>
      <c r="GX55" s="56">
        <f t="shared" si="620"/>
        <v>0.74999999999999989</v>
      </c>
      <c r="GY55" s="56">
        <f t="shared" si="620"/>
        <v>0.72999999999999987</v>
      </c>
      <c r="GZ55" s="56">
        <f t="shared" si="620"/>
        <v>0.70999999999999985</v>
      </c>
      <c r="HA55" s="56">
        <f t="shared" si="620"/>
        <v>0.68999999999999984</v>
      </c>
      <c r="HB55" s="56">
        <f t="shared" si="620"/>
        <v>0.66999999999999982</v>
      </c>
      <c r="HC55" s="56">
        <f t="shared" si="620"/>
        <v>0.6499999999999998</v>
      </c>
      <c r="HD55" s="56">
        <f t="shared" si="620"/>
        <v>0.62999999999999978</v>
      </c>
      <c r="HE55" s="56">
        <f t="shared" si="620"/>
        <v>0.60999999999999976</v>
      </c>
      <c r="HF55" s="56">
        <f t="shared" si="620"/>
        <v>0.58999999999999975</v>
      </c>
      <c r="HG55" s="56">
        <f t="shared" si="620"/>
        <v>0.56999999999999973</v>
      </c>
    </row>
    <row r="56" spans="1:215" s="54" customFormat="1" ht="17.25" thickBot="1" x14ac:dyDescent="0.35">
      <c r="B56" s="54" t="s">
        <v>50</v>
      </c>
      <c r="C56" s="54" t="s">
        <v>48</v>
      </c>
      <c r="D56" s="55" t="s">
        <v>206</v>
      </c>
      <c r="E56" s="55" t="s">
        <v>61</v>
      </c>
      <c r="G56" s="56"/>
      <c r="H56" s="56"/>
      <c r="I56" s="56"/>
      <c r="J56" s="56"/>
      <c r="K56" s="56"/>
      <c r="L56" s="56"/>
      <c r="M56" s="56"/>
      <c r="N56" s="56"/>
      <c r="O56" s="56"/>
      <c r="P56" s="57"/>
      <c r="Q56" s="56"/>
      <c r="R56" s="56"/>
      <c r="S56" s="56"/>
      <c r="T56" s="57"/>
      <c r="U56" s="56"/>
      <c r="V56" s="58"/>
      <c r="W56" s="56"/>
      <c r="X56" s="57"/>
      <c r="Y56" s="56"/>
      <c r="Z56" s="56"/>
      <c r="AA56" s="56"/>
      <c r="AB56" s="58"/>
      <c r="AC56" s="56"/>
      <c r="AD56" s="58"/>
      <c r="AE56" s="56"/>
      <c r="AF56" s="58"/>
      <c r="AG56" s="56"/>
      <c r="AH56" s="56"/>
      <c r="AI56" s="56"/>
      <c r="AJ56" s="58"/>
      <c r="AK56" s="56"/>
      <c r="AL56" s="58"/>
      <c r="AM56" s="56"/>
      <c r="AN56" s="58"/>
      <c r="AO56" s="56"/>
      <c r="AP56" s="58"/>
      <c r="AQ56" s="56"/>
      <c r="AR56" s="56"/>
      <c r="AS56" s="56"/>
      <c r="AT56" s="58"/>
      <c r="AU56" s="56"/>
      <c r="AV56" s="58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56"/>
      <c r="BI56" s="56"/>
      <c r="BJ56" s="56"/>
      <c r="BK56" s="56"/>
      <c r="BL56" s="56"/>
      <c r="BM56" s="56"/>
      <c r="BN56" s="56"/>
      <c r="BO56" s="56"/>
      <c r="BP56" s="56"/>
      <c r="BQ56" s="56"/>
      <c r="BR56" s="56"/>
      <c r="BS56" s="56"/>
      <c r="BT56" s="56"/>
      <c r="BU56" s="56"/>
      <c r="BV56" s="56"/>
      <c r="BW56" s="56"/>
      <c r="BX56" s="56"/>
      <c r="BY56" s="56">
        <f t="shared" si="88"/>
        <v>0</v>
      </c>
      <c r="BZ56" s="56"/>
      <c r="CA56" s="56"/>
      <c r="CB56" s="56"/>
      <c r="CC56" s="56"/>
      <c r="CD56" s="56"/>
      <c r="CE56" s="56"/>
      <c r="CF56" s="56"/>
      <c r="CG56" s="56"/>
      <c r="CH56" s="57"/>
      <c r="CI56" s="56"/>
      <c r="CJ56" s="56"/>
      <c r="CK56" s="56"/>
      <c r="CL56" s="57"/>
      <c r="CM56" s="56"/>
      <c r="CN56" s="58"/>
      <c r="CO56" s="56"/>
      <c r="CP56" s="57"/>
      <c r="CQ56" s="56"/>
      <c r="CR56" s="56"/>
      <c r="CS56" s="56"/>
      <c r="CT56" s="58"/>
      <c r="CU56" s="56"/>
      <c r="CV56" s="58"/>
      <c r="CW56" s="56"/>
      <c r="CX56" s="58"/>
      <c r="CY56" s="56"/>
      <c r="CZ56" s="56"/>
      <c r="DA56" s="56"/>
      <c r="DB56" s="58"/>
      <c r="DC56" s="56"/>
      <c r="DD56" s="58"/>
      <c r="DE56" s="56"/>
      <c r="DF56" s="58"/>
      <c r="DG56" s="56"/>
      <c r="DH56" s="58"/>
      <c r="DI56" s="56"/>
      <c r="DJ56" s="56"/>
      <c r="DK56" s="56"/>
      <c r="DL56" s="58"/>
      <c r="DM56" s="56"/>
      <c r="DN56" s="58"/>
      <c r="DO56" s="56"/>
      <c r="DP56" s="56"/>
      <c r="DQ56" s="56"/>
      <c r="DR56" s="56"/>
      <c r="DS56" s="56"/>
      <c r="DT56" s="56">
        <v>1</v>
      </c>
      <c r="DU56" s="56">
        <v>0.97</v>
      </c>
      <c r="DV56" s="56">
        <v>0.95</v>
      </c>
      <c r="DW56" s="56">
        <v>0.93</v>
      </c>
      <c r="DX56" s="56">
        <f t="shared" ref="DX56:EO56" si="621">+DW56-0.02</f>
        <v>0.91</v>
      </c>
      <c r="DY56" s="56">
        <f t="shared" si="621"/>
        <v>0.89</v>
      </c>
      <c r="DZ56" s="56">
        <f t="shared" si="621"/>
        <v>0.87</v>
      </c>
      <c r="EA56" s="56">
        <f t="shared" si="621"/>
        <v>0.85</v>
      </c>
      <c r="EB56" s="56">
        <f t="shared" si="621"/>
        <v>0.83</v>
      </c>
      <c r="EC56" s="56">
        <f t="shared" si="621"/>
        <v>0.80999999999999994</v>
      </c>
      <c r="ED56" s="56">
        <f t="shared" si="621"/>
        <v>0.78999999999999992</v>
      </c>
      <c r="EE56" s="56">
        <f t="shared" si="621"/>
        <v>0.76999999999999991</v>
      </c>
      <c r="EF56" s="56">
        <f t="shared" si="621"/>
        <v>0.74999999999999989</v>
      </c>
      <c r="EG56" s="56">
        <f t="shared" si="621"/>
        <v>0.72999999999999987</v>
      </c>
      <c r="EH56" s="56">
        <f t="shared" si="621"/>
        <v>0.70999999999999985</v>
      </c>
      <c r="EI56" s="56">
        <f t="shared" si="621"/>
        <v>0.68999999999999984</v>
      </c>
      <c r="EJ56" s="56">
        <f t="shared" si="621"/>
        <v>0.66999999999999982</v>
      </c>
      <c r="EK56" s="56">
        <f t="shared" si="621"/>
        <v>0.6499999999999998</v>
      </c>
      <c r="EL56" s="56">
        <f t="shared" si="621"/>
        <v>0.62999999999999978</v>
      </c>
      <c r="EM56" s="56">
        <f t="shared" si="621"/>
        <v>0.60999999999999976</v>
      </c>
      <c r="EN56" s="56">
        <f t="shared" si="621"/>
        <v>0.58999999999999975</v>
      </c>
      <c r="EO56" s="56">
        <f t="shared" si="621"/>
        <v>0.56999999999999973</v>
      </c>
      <c r="EQ56" s="56">
        <f t="shared" si="188"/>
        <v>0</v>
      </c>
      <c r="ER56" s="56"/>
      <c r="ES56" s="56"/>
      <c r="ET56" s="56"/>
      <c r="EU56" s="56"/>
      <c r="EV56" s="56"/>
      <c r="EW56" s="56"/>
      <c r="EX56" s="56"/>
      <c r="EY56" s="56"/>
      <c r="EZ56" s="57"/>
      <c r="FA56" s="56"/>
      <c r="FB56" s="56"/>
      <c r="FC56" s="56"/>
      <c r="FD56" s="57"/>
      <c r="FE56" s="56"/>
      <c r="FF56" s="58"/>
      <c r="FG56" s="56"/>
      <c r="FH56" s="57"/>
      <c r="FI56" s="56"/>
      <c r="FJ56" s="56"/>
      <c r="FK56" s="56"/>
      <c r="FL56" s="58"/>
      <c r="FM56" s="56"/>
      <c r="FN56" s="58"/>
      <c r="FO56" s="56"/>
      <c r="FP56" s="58"/>
      <c r="FQ56" s="56"/>
      <c r="FR56" s="56"/>
      <c r="FS56" s="56"/>
      <c r="FT56" s="58"/>
      <c r="FU56" s="56"/>
      <c r="FV56" s="58"/>
      <c r="FW56" s="56"/>
      <c r="FX56" s="58"/>
      <c r="FY56" s="56"/>
      <c r="FZ56" s="58"/>
      <c r="GA56" s="56"/>
      <c r="GB56" s="56"/>
      <c r="GC56" s="56"/>
      <c r="GD56" s="58"/>
      <c r="GE56" s="56"/>
      <c r="GF56" s="58"/>
      <c r="GG56" s="56"/>
      <c r="GH56" s="56"/>
      <c r="GI56" s="56"/>
      <c r="GJ56" s="56"/>
      <c r="GK56" s="56"/>
      <c r="GL56" s="56">
        <v>1</v>
      </c>
      <c r="GM56" s="56">
        <v>0.97</v>
      </c>
      <c r="GN56" s="56">
        <v>0.95</v>
      </c>
      <c r="GO56" s="56">
        <v>0.93</v>
      </c>
      <c r="GP56" s="56">
        <f t="shared" ref="GP56:HG56" si="622">+GO56-0.02</f>
        <v>0.91</v>
      </c>
      <c r="GQ56" s="56">
        <f t="shared" si="622"/>
        <v>0.89</v>
      </c>
      <c r="GR56" s="56">
        <f t="shared" si="622"/>
        <v>0.87</v>
      </c>
      <c r="GS56" s="56">
        <f t="shared" si="622"/>
        <v>0.85</v>
      </c>
      <c r="GT56" s="56">
        <f t="shared" si="622"/>
        <v>0.83</v>
      </c>
      <c r="GU56" s="56">
        <f t="shared" si="622"/>
        <v>0.80999999999999994</v>
      </c>
      <c r="GV56" s="56">
        <f t="shared" si="622"/>
        <v>0.78999999999999992</v>
      </c>
      <c r="GW56" s="56">
        <f t="shared" si="622"/>
        <v>0.76999999999999991</v>
      </c>
      <c r="GX56" s="56">
        <f t="shared" si="622"/>
        <v>0.74999999999999989</v>
      </c>
      <c r="GY56" s="56">
        <f t="shared" si="622"/>
        <v>0.72999999999999987</v>
      </c>
      <c r="GZ56" s="56">
        <f t="shared" si="622"/>
        <v>0.70999999999999985</v>
      </c>
      <c r="HA56" s="56">
        <f t="shared" si="622"/>
        <v>0.68999999999999984</v>
      </c>
      <c r="HB56" s="56">
        <f t="shared" si="622"/>
        <v>0.66999999999999982</v>
      </c>
      <c r="HC56" s="56">
        <f t="shared" si="622"/>
        <v>0.6499999999999998</v>
      </c>
      <c r="HD56" s="56">
        <f t="shared" si="622"/>
        <v>0.62999999999999978</v>
      </c>
      <c r="HE56" s="56">
        <f t="shared" si="622"/>
        <v>0.60999999999999976</v>
      </c>
      <c r="HF56" s="56">
        <f t="shared" si="622"/>
        <v>0.58999999999999975</v>
      </c>
      <c r="HG56" s="56">
        <f t="shared" si="622"/>
        <v>0.56999999999999973</v>
      </c>
    </row>
    <row r="57" spans="1:215" x14ac:dyDescent="0.3">
      <c r="A57" s="2">
        <v>1</v>
      </c>
      <c r="C57" s="39" t="s">
        <v>21</v>
      </c>
      <c r="D57" s="42">
        <f>TRUNC(37572.0807915759,-1)</f>
        <v>37570</v>
      </c>
      <c r="E57" s="72">
        <f>TRUNC(+D57*3.3058,-1)</f>
        <v>124190</v>
      </c>
      <c r="G57" s="48">
        <f t="shared" si="61"/>
        <v>41327</v>
      </c>
      <c r="H57" s="48">
        <f t="shared" si="62"/>
        <v>41327</v>
      </c>
      <c r="I57" s="51">
        <f t="shared" si="63"/>
        <v>136618.7966</v>
      </c>
      <c r="J57" s="48">
        <f t="shared" ref="J57:J60" si="623">+H57*BC57</f>
        <v>40087.19</v>
      </c>
      <c r="K57" s="51">
        <f t="shared" ref="K57:K60" si="624">+J57*3.3058</f>
        <v>132520.23270200001</v>
      </c>
      <c r="L57" s="48">
        <f t="shared" ref="L57:L60" si="625">+H57*BD57</f>
        <v>39260.65</v>
      </c>
      <c r="M57" s="51">
        <f t="shared" ref="M57:M60" si="626">+L57*3.3058</f>
        <v>129787.85677000001</v>
      </c>
      <c r="N57" s="48">
        <f>+H57*BE57</f>
        <v>38434.11</v>
      </c>
      <c r="O57" s="51">
        <f t="shared" ref="O57:O60" si="627">+N57*3.3058</f>
        <v>127055.480838</v>
      </c>
      <c r="P57" s="52">
        <f>+H57*BF57</f>
        <v>37607.57</v>
      </c>
      <c r="Q57" s="51">
        <f t="shared" ref="Q57:Q60" si="628">+P57*3.3058</f>
        <v>124323.10490600001</v>
      </c>
      <c r="R57" s="48">
        <f>+H57*BG57</f>
        <v>36781.03</v>
      </c>
      <c r="S57" s="51">
        <f t="shared" ref="S57:S60" si="629">+R57*3.3058</f>
        <v>121590.728974</v>
      </c>
      <c r="T57" s="52">
        <f>+H57*BH57</f>
        <v>35954.49</v>
      </c>
      <c r="U57" s="51">
        <f t="shared" ref="U57:U60" si="630">+T57*3.3058</f>
        <v>118858.353042</v>
      </c>
      <c r="V57" s="53">
        <f>+H57*BI57</f>
        <v>35127.949999999997</v>
      </c>
      <c r="W57" s="51">
        <f t="shared" ref="W57:W60" si="631">+V57*3.3058</f>
        <v>116125.97710999999</v>
      </c>
      <c r="X57" s="52">
        <f>+H57*BJ57</f>
        <v>34301.409999999996</v>
      </c>
      <c r="Y57" s="51">
        <f t="shared" ref="Y57:Y60" si="632">+X57*3.3058</f>
        <v>113393.601178</v>
      </c>
      <c r="Z57" s="48">
        <f>+H57*BK57</f>
        <v>33474.869999999995</v>
      </c>
      <c r="AA57" s="51">
        <f t="shared" ref="AA57:AA60" si="633">+Z57*3.3058</f>
        <v>110661.22524599999</v>
      </c>
      <c r="AB57" s="53">
        <f>+H57*BL57</f>
        <v>32648.329999999998</v>
      </c>
      <c r="AC57" s="51">
        <f t="shared" ref="AC57:AC60" si="634">+AB57*3.3058</f>
        <v>107928.84931399999</v>
      </c>
      <c r="AD57" s="53">
        <f>+H57*BM57</f>
        <v>31821.789999999997</v>
      </c>
      <c r="AE57" s="51">
        <f t="shared" ref="AE57:AE60" si="635">+AD57*3.3058</f>
        <v>105196.473382</v>
      </c>
      <c r="AF57" s="53">
        <f>+H57*BN57</f>
        <v>30995.249999999996</v>
      </c>
      <c r="AG57" s="51">
        <f t="shared" ref="AG57:AG60" si="636">+AF57*3.3058</f>
        <v>102464.09744999999</v>
      </c>
      <c r="AH57" s="48">
        <f>+H57*BO57</f>
        <v>30168.709999999995</v>
      </c>
      <c r="AI57" s="51">
        <f t="shared" ref="AI57:AI60" si="637">+AH57*3.3058</f>
        <v>99731.721517999991</v>
      </c>
      <c r="AJ57" s="53">
        <f>+H57*BP57</f>
        <v>29342.169999999995</v>
      </c>
      <c r="AK57" s="51">
        <f t="shared" ref="AK57:AK60" si="638">+AJ57*3.3058</f>
        <v>96999.345585999981</v>
      </c>
      <c r="AL57" s="53">
        <f>+H57*BQ57</f>
        <v>28515.629999999994</v>
      </c>
      <c r="AM57" s="51">
        <f t="shared" ref="AM57:AM60" si="639">+AL57*3.3058</f>
        <v>94266.969653999986</v>
      </c>
      <c r="AN57" s="53">
        <f>+H57*BR57</f>
        <v>27689.089999999993</v>
      </c>
      <c r="AO57" s="51">
        <f t="shared" ref="AO57:AO60" si="640">+AN57*3.3058</f>
        <v>91534.593721999976</v>
      </c>
      <c r="AP57" s="53">
        <f>+H57*BS57</f>
        <v>26862.549999999992</v>
      </c>
      <c r="AQ57" s="51">
        <f t="shared" ref="AQ57:AQ60" si="641">+AP57*3.3058</f>
        <v>88802.217789999981</v>
      </c>
      <c r="AR57" s="48">
        <f>+H57*BT57</f>
        <v>26036.009999999991</v>
      </c>
      <c r="AS57" s="51">
        <f t="shared" ref="AS57:AS60" si="642">+AR57*3.3058</f>
        <v>86069.841857999971</v>
      </c>
      <c r="AT57" s="53">
        <f>+H57*BU57</f>
        <v>25209.46999999999</v>
      </c>
      <c r="AU57" s="51">
        <f t="shared" ref="AU57:AU60" si="643">+AT57*3.3058</f>
        <v>83337.465925999975</v>
      </c>
      <c r="AV57" s="53">
        <f>+H57*BV57</f>
        <v>24382.929999999989</v>
      </c>
      <c r="AW57" s="51">
        <f t="shared" ref="AW57:AW60" si="644">+AV57*3.3058</f>
        <v>80605.089993999965</v>
      </c>
      <c r="AX57" s="48">
        <f>+H57*BW57</f>
        <v>23556.389999999989</v>
      </c>
      <c r="AY57" s="51">
        <f t="shared" ref="AY57:AY60" si="645">+AX57*3.3058</f>
        <v>77872.71406199997</v>
      </c>
      <c r="BB57" s="48">
        <v>1</v>
      </c>
      <c r="BC57" s="48">
        <v>0.97</v>
      </c>
      <c r="BD57" s="48">
        <v>0.95</v>
      </c>
      <c r="BE57" s="48">
        <v>0.93</v>
      </c>
      <c r="BF57" s="48">
        <f t="shared" ref="BF57:BW57" si="646">+BE57-0.02</f>
        <v>0.91</v>
      </c>
      <c r="BG57" s="48">
        <f t="shared" si="646"/>
        <v>0.89</v>
      </c>
      <c r="BH57" s="48">
        <f t="shared" si="646"/>
        <v>0.87</v>
      </c>
      <c r="BI57" s="48">
        <f t="shared" si="646"/>
        <v>0.85</v>
      </c>
      <c r="BJ57" s="48">
        <f t="shared" si="646"/>
        <v>0.83</v>
      </c>
      <c r="BK57" s="48">
        <f t="shared" si="646"/>
        <v>0.80999999999999994</v>
      </c>
      <c r="BL57" s="48">
        <f t="shared" si="646"/>
        <v>0.78999999999999992</v>
      </c>
      <c r="BM57" s="48">
        <f t="shared" si="646"/>
        <v>0.76999999999999991</v>
      </c>
      <c r="BN57" s="48">
        <f t="shared" si="646"/>
        <v>0.74999999999999989</v>
      </c>
      <c r="BO57" s="48">
        <f t="shared" si="646"/>
        <v>0.72999999999999987</v>
      </c>
      <c r="BP57" s="48">
        <f t="shared" si="646"/>
        <v>0.70999999999999985</v>
      </c>
      <c r="BQ57" s="48">
        <f t="shared" si="646"/>
        <v>0.68999999999999984</v>
      </c>
      <c r="BR57" s="48">
        <f t="shared" si="646"/>
        <v>0.66999999999999982</v>
      </c>
      <c r="BS57" s="48">
        <f t="shared" si="646"/>
        <v>0.6499999999999998</v>
      </c>
      <c r="BT57" s="48">
        <f t="shared" si="646"/>
        <v>0.62999999999999978</v>
      </c>
      <c r="BU57" s="48">
        <f t="shared" si="646"/>
        <v>0.60999999999999976</v>
      </c>
      <c r="BV57" s="48">
        <f t="shared" si="646"/>
        <v>0.58999999999999975</v>
      </c>
      <c r="BW57" s="48">
        <f t="shared" si="646"/>
        <v>0.56999999999999973</v>
      </c>
      <c r="BY57" s="48">
        <f t="shared" si="88"/>
        <v>37607.57</v>
      </c>
      <c r="BZ57" s="48">
        <f t="shared" si="89"/>
        <v>37607.57</v>
      </c>
      <c r="CA57" s="51">
        <f t="shared" ref="CA57" si="647">+BZ57*3.3058</f>
        <v>124323.10490600001</v>
      </c>
      <c r="CB57" s="48">
        <f t="shared" ref="CB57:CB60" si="648">+BZ57*DU57</f>
        <v>36479.342899999996</v>
      </c>
      <c r="CC57" s="51">
        <f t="shared" ref="CC57:CC60" si="649">+CB57*3.3058</f>
        <v>120593.41175881999</v>
      </c>
      <c r="CD57" s="48">
        <f t="shared" ref="CD57:CD60" si="650">+BZ57*DV57</f>
        <v>35727.191500000001</v>
      </c>
      <c r="CE57" s="51">
        <f t="shared" ref="CE57:CE60" si="651">+CD57*3.3058</f>
        <v>118106.9496607</v>
      </c>
      <c r="CF57" s="48">
        <f>+BZ57*DW57</f>
        <v>34975.040099999998</v>
      </c>
      <c r="CG57" s="51">
        <f t="shared" ref="CG57:CG60" si="652">+CF57*3.3058</f>
        <v>115620.48756257999</v>
      </c>
      <c r="CH57" s="52">
        <f>+BZ57*DX57</f>
        <v>34222.888700000003</v>
      </c>
      <c r="CI57" s="51">
        <f t="shared" ref="CI57:CI60" si="653">+CH57*3.3058</f>
        <v>113134.02546446001</v>
      </c>
      <c r="CJ57" s="48">
        <f>+BZ57*DY57</f>
        <v>33470.737300000001</v>
      </c>
      <c r="CK57" s="51">
        <f t="shared" ref="CK57:CK60" si="654">+CJ57*3.3058</f>
        <v>110647.56336634001</v>
      </c>
      <c r="CL57" s="52">
        <f>+BZ57*DZ57</f>
        <v>32718.585899999998</v>
      </c>
      <c r="CM57" s="51">
        <f t="shared" ref="CM57:CM60" si="655">+CL57*3.3058</f>
        <v>108161.10126821999</v>
      </c>
      <c r="CN57" s="53">
        <f>+BZ57*EA57</f>
        <v>31966.434499999999</v>
      </c>
      <c r="CO57" s="51">
        <f t="shared" ref="CO57:CO60" si="656">+CN57*3.3058</f>
        <v>105674.6391701</v>
      </c>
      <c r="CP57" s="52">
        <f>+BZ57*EB57</f>
        <v>31214.283099999997</v>
      </c>
      <c r="CQ57" s="51">
        <f t="shared" ref="CQ57:CQ60" si="657">+CP57*3.3058</f>
        <v>103188.17707198</v>
      </c>
      <c r="CR57" s="48">
        <f>+BZ57*EC57</f>
        <v>30462.131699999998</v>
      </c>
      <c r="CS57" s="51">
        <f t="shared" ref="CS57:CS60" si="658">+CR57*3.3058</f>
        <v>100701.71497386</v>
      </c>
      <c r="CT57" s="53">
        <f>+BZ57*ED57</f>
        <v>29709.980299999996</v>
      </c>
      <c r="CU57" s="51">
        <f t="shared" ref="CU57:CU60" si="659">+CT57*3.3058</f>
        <v>98215.252875739985</v>
      </c>
      <c r="CV57" s="53">
        <f>+BZ57*EE57</f>
        <v>28957.828899999997</v>
      </c>
      <c r="CW57" s="51">
        <f t="shared" ref="CW57:CW60" si="660">+CV57*3.3058</f>
        <v>95728.790777619986</v>
      </c>
      <c r="CX57" s="53">
        <f>+BZ57*EF57</f>
        <v>28205.677499999994</v>
      </c>
      <c r="CY57" s="51">
        <f t="shared" ref="CY57:CY60" si="661">+CX57*3.3058</f>
        <v>93242.328679499988</v>
      </c>
      <c r="CZ57" s="48">
        <f>+BZ57*EG57</f>
        <v>27453.526099999995</v>
      </c>
      <c r="DA57" s="51">
        <f t="shared" ref="DA57:DA60" si="662">+CZ57*3.3058</f>
        <v>90755.866581379989</v>
      </c>
      <c r="DB57" s="53">
        <f>+BZ57*EH57</f>
        <v>26701.374699999993</v>
      </c>
      <c r="DC57" s="51">
        <f t="shared" ref="DC57:DC60" si="663">+DB57*3.3058</f>
        <v>88269.404483259976</v>
      </c>
      <c r="DD57" s="53">
        <f>+BZ57*EI57</f>
        <v>25949.223299999994</v>
      </c>
      <c r="DE57" s="51">
        <f t="shared" ref="DE57:DE60" si="664">+DD57*3.3058</f>
        <v>85782.942385139977</v>
      </c>
      <c r="DF57" s="53">
        <f>+BZ57*EJ57</f>
        <v>25197.071899999992</v>
      </c>
      <c r="DG57" s="51">
        <f t="shared" ref="DG57:DG60" si="665">+DF57*3.3058</f>
        <v>83296.480287019978</v>
      </c>
      <c r="DH57" s="53">
        <f>+BZ57*EK57</f>
        <v>24444.920499999993</v>
      </c>
      <c r="DI57" s="51">
        <f t="shared" ref="DI57:DI60" si="666">+DH57*3.3058</f>
        <v>80810.01818889998</v>
      </c>
      <c r="DJ57" s="48">
        <f>+BZ57*EL57</f>
        <v>23692.76909999999</v>
      </c>
      <c r="DK57" s="51">
        <f t="shared" ref="DK57:DK60" si="667">+DJ57*3.3058</f>
        <v>78323.556090779966</v>
      </c>
      <c r="DL57" s="53">
        <f>+BZ57*EM57</f>
        <v>22940.617699999992</v>
      </c>
      <c r="DM57" s="51">
        <f t="shared" ref="DM57:DM60" si="668">+DL57*3.3058</f>
        <v>75837.093992659968</v>
      </c>
      <c r="DN57" s="53">
        <f>+BZ57*EN57</f>
        <v>22188.466299999989</v>
      </c>
      <c r="DO57" s="51">
        <f t="shared" ref="DO57:DO60" si="669">+DN57*3.3058</f>
        <v>73350.631894539969</v>
      </c>
      <c r="DP57" s="48">
        <f>+BZ57*EO57</f>
        <v>21436.31489999999</v>
      </c>
      <c r="DQ57" s="51">
        <f t="shared" ref="DQ57:DQ60" si="670">+DP57*3.3058</f>
        <v>70864.16979641997</v>
      </c>
      <c r="DT57" s="48">
        <v>1</v>
      </c>
      <c r="DU57" s="48">
        <v>0.97</v>
      </c>
      <c r="DV57" s="48">
        <v>0.95</v>
      </c>
      <c r="DW57" s="48">
        <v>0.93</v>
      </c>
      <c r="DX57" s="48">
        <f t="shared" ref="DX57:EO57" si="671">+DW57-0.02</f>
        <v>0.91</v>
      </c>
      <c r="DY57" s="48">
        <f t="shared" si="671"/>
        <v>0.89</v>
      </c>
      <c r="DZ57" s="48">
        <f t="shared" si="671"/>
        <v>0.87</v>
      </c>
      <c r="EA57" s="48">
        <f t="shared" si="671"/>
        <v>0.85</v>
      </c>
      <c r="EB57" s="48">
        <f t="shared" si="671"/>
        <v>0.83</v>
      </c>
      <c r="EC57" s="48">
        <f t="shared" si="671"/>
        <v>0.80999999999999994</v>
      </c>
      <c r="ED57" s="48">
        <f t="shared" si="671"/>
        <v>0.78999999999999992</v>
      </c>
      <c r="EE57" s="48">
        <f t="shared" si="671"/>
        <v>0.76999999999999991</v>
      </c>
      <c r="EF57" s="48">
        <f t="shared" si="671"/>
        <v>0.74999999999999989</v>
      </c>
      <c r="EG57" s="48">
        <f t="shared" si="671"/>
        <v>0.72999999999999987</v>
      </c>
      <c r="EH57" s="48">
        <f t="shared" si="671"/>
        <v>0.70999999999999985</v>
      </c>
      <c r="EI57" s="48">
        <f t="shared" si="671"/>
        <v>0.68999999999999984</v>
      </c>
      <c r="EJ57" s="48">
        <f t="shared" si="671"/>
        <v>0.66999999999999982</v>
      </c>
      <c r="EK57" s="48">
        <f t="shared" si="671"/>
        <v>0.6499999999999998</v>
      </c>
      <c r="EL57" s="48">
        <f t="shared" si="671"/>
        <v>0.62999999999999978</v>
      </c>
      <c r="EM57" s="48">
        <f t="shared" si="671"/>
        <v>0.60999999999999976</v>
      </c>
      <c r="EN57" s="48">
        <f t="shared" si="671"/>
        <v>0.58999999999999975</v>
      </c>
      <c r="EO57" s="48">
        <f t="shared" si="671"/>
        <v>0.56999999999999973</v>
      </c>
      <c r="EQ57" s="48">
        <f t="shared" si="188"/>
        <v>34222.888700000003</v>
      </c>
      <c r="ER57" s="48">
        <f t="shared" si="116"/>
        <v>34222.888700000003</v>
      </c>
      <c r="ES57" s="51">
        <f t="shared" ref="ES57" si="672">+ER57*3.3058</f>
        <v>113134.02546446001</v>
      </c>
      <c r="ET57" s="48">
        <f t="shared" ref="ET57:ET60" si="673">+ER57*GM57</f>
        <v>33196.202039000003</v>
      </c>
      <c r="EU57" s="51">
        <f t="shared" ref="EU57:EU60" si="674">+ET57*3.3058</f>
        <v>109740.00470052622</v>
      </c>
      <c r="EV57" s="48">
        <f t="shared" ref="EV57:EV60" si="675">+ER57*GN57</f>
        <v>32511.744265000001</v>
      </c>
      <c r="EW57" s="51">
        <f t="shared" ref="EW57:EW60" si="676">+EV57*3.3058</f>
        <v>107477.324191237</v>
      </c>
      <c r="EX57" s="48">
        <f>+ER57*GO57</f>
        <v>31827.286491000006</v>
      </c>
      <c r="EY57" s="51">
        <f t="shared" ref="EY57:EY60" si="677">+EX57*3.3058</f>
        <v>105214.64368194783</v>
      </c>
      <c r="EZ57" s="52">
        <f>+ER57*GP57</f>
        <v>31142.828717000004</v>
      </c>
      <c r="FA57" s="51">
        <f t="shared" ref="FA57:FA60" si="678">+EZ57*3.3058</f>
        <v>102951.96317265861</v>
      </c>
      <c r="FB57" s="48">
        <f>+ER57*GQ57</f>
        <v>30458.370943000002</v>
      </c>
      <c r="FC57" s="51">
        <f t="shared" ref="FC57:FC60" si="679">+FB57*3.3058</f>
        <v>100689.28266336941</v>
      </c>
      <c r="FD57" s="52">
        <f>+ER57*GR57</f>
        <v>29773.913169000003</v>
      </c>
      <c r="FE57" s="51">
        <f t="shared" ref="FE57:FE60" si="680">+FD57*3.3058</f>
        <v>98426.602154080218</v>
      </c>
      <c r="FF57" s="53">
        <f>+ER57*GS57</f>
        <v>29089.455395000001</v>
      </c>
      <c r="FG57" s="51">
        <f t="shared" ref="FG57:FG60" si="681">+FF57*3.3058</f>
        <v>96163.921644791</v>
      </c>
      <c r="FH57" s="52">
        <f>+ER57*GT57</f>
        <v>28404.997621000002</v>
      </c>
      <c r="FI57" s="51">
        <f t="shared" ref="FI57:FI60" si="682">+FH57*3.3058</f>
        <v>93901.241135501812</v>
      </c>
      <c r="FJ57" s="48">
        <f>+ER57*GU57</f>
        <v>27720.539847</v>
      </c>
      <c r="FK57" s="51">
        <f t="shared" ref="FK57:FK60" si="683">+FJ57*3.3058</f>
        <v>91638.560626212595</v>
      </c>
      <c r="FL57" s="53">
        <f>+ER57*GV57</f>
        <v>27036.082073000001</v>
      </c>
      <c r="FM57" s="51">
        <f t="shared" ref="FM57:FM60" si="684">+FL57*3.3058</f>
        <v>89375.880116923407</v>
      </c>
      <c r="FN57" s="53">
        <f>+ER57*GW57</f>
        <v>26351.624298999999</v>
      </c>
      <c r="FO57" s="51">
        <f t="shared" ref="FO57:FO60" si="685">+FN57*3.3058</f>
        <v>87113.199607634204</v>
      </c>
      <c r="FP57" s="53">
        <f>+ER57*GX57</f>
        <v>25667.166524999997</v>
      </c>
      <c r="FQ57" s="51">
        <f t="shared" ref="FQ57:FQ60" si="686">+FP57*3.3058</f>
        <v>84850.519098344987</v>
      </c>
      <c r="FR57" s="48">
        <f>+ER57*GY57</f>
        <v>24982.708750999998</v>
      </c>
      <c r="FS57" s="51">
        <f t="shared" ref="FS57:FS60" si="687">+FR57*3.3058</f>
        <v>82587.838589055798</v>
      </c>
      <c r="FT57" s="53">
        <f>+ER57*GZ57</f>
        <v>24298.250976999996</v>
      </c>
      <c r="FU57" s="51">
        <f t="shared" ref="FU57:FU60" si="688">+FT57*3.3058</f>
        <v>80325.158079766596</v>
      </c>
      <c r="FV57" s="53">
        <f>+ER57*HA57</f>
        <v>23613.793202999997</v>
      </c>
      <c r="FW57" s="51">
        <f t="shared" ref="FW57:FW60" si="689">+FV57*3.3058</f>
        <v>78062.477570477393</v>
      </c>
      <c r="FX57" s="53">
        <f>+ER57*HB57</f>
        <v>22929.335428999995</v>
      </c>
      <c r="FY57" s="51">
        <f t="shared" ref="FY57:FY60" si="690">+FX57*3.3058</f>
        <v>75799.79706118819</v>
      </c>
      <c r="FZ57" s="53">
        <f>+ER57*HC57</f>
        <v>22244.877654999997</v>
      </c>
      <c r="GA57" s="51">
        <f t="shared" ref="GA57:GA60" si="691">+FZ57*3.3058</f>
        <v>73537.116551898987</v>
      </c>
      <c r="GB57" s="48">
        <f>+ER57*HD57</f>
        <v>21560.419880999994</v>
      </c>
      <c r="GC57" s="51">
        <f t="shared" ref="GC57:GC60" si="692">+GB57*3.3058</f>
        <v>71274.436042609785</v>
      </c>
      <c r="GD57" s="53">
        <f>+ER57*HE57</f>
        <v>20875.962106999992</v>
      </c>
      <c r="GE57" s="51">
        <f t="shared" ref="GE57:GE60" si="693">+GD57*3.3058</f>
        <v>69011.755533320582</v>
      </c>
      <c r="GF57" s="53">
        <f>+ER57*HF57</f>
        <v>20191.504332999993</v>
      </c>
      <c r="GG57" s="51">
        <f t="shared" ref="GG57:GG60" si="694">+GF57*3.3058</f>
        <v>66749.075024031379</v>
      </c>
      <c r="GH57" s="48">
        <f>+ER57*HG57</f>
        <v>19507.046558999991</v>
      </c>
      <c r="GI57" s="51">
        <f t="shared" ref="GI57:GI60" si="695">+GH57*3.3058</f>
        <v>64486.394514742169</v>
      </c>
      <c r="GJ57" s="48"/>
      <c r="GK57" s="48"/>
      <c r="GL57" s="48">
        <v>1</v>
      </c>
      <c r="GM57" s="48">
        <v>0.97</v>
      </c>
      <c r="GN57" s="48">
        <v>0.95</v>
      </c>
      <c r="GO57" s="48">
        <v>0.93</v>
      </c>
      <c r="GP57" s="48">
        <f t="shared" ref="GP57:HG57" si="696">+GO57-0.02</f>
        <v>0.91</v>
      </c>
      <c r="GQ57" s="48">
        <f t="shared" si="696"/>
        <v>0.89</v>
      </c>
      <c r="GR57" s="48">
        <f t="shared" si="696"/>
        <v>0.87</v>
      </c>
      <c r="GS57" s="48">
        <f t="shared" si="696"/>
        <v>0.85</v>
      </c>
      <c r="GT57" s="48">
        <f t="shared" si="696"/>
        <v>0.83</v>
      </c>
      <c r="GU57" s="48">
        <f t="shared" si="696"/>
        <v>0.80999999999999994</v>
      </c>
      <c r="GV57" s="48">
        <f t="shared" si="696"/>
        <v>0.78999999999999992</v>
      </c>
      <c r="GW57" s="48">
        <f t="shared" si="696"/>
        <v>0.76999999999999991</v>
      </c>
      <c r="GX57" s="48">
        <f t="shared" si="696"/>
        <v>0.74999999999999989</v>
      </c>
      <c r="GY57" s="48">
        <f t="shared" si="696"/>
        <v>0.72999999999999987</v>
      </c>
      <c r="GZ57" s="48">
        <f t="shared" si="696"/>
        <v>0.70999999999999985</v>
      </c>
      <c r="HA57" s="48">
        <f t="shared" si="696"/>
        <v>0.68999999999999984</v>
      </c>
      <c r="HB57" s="48">
        <f t="shared" si="696"/>
        <v>0.66999999999999982</v>
      </c>
      <c r="HC57" s="48">
        <f t="shared" si="696"/>
        <v>0.6499999999999998</v>
      </c>
      <c r="HD57" s="48">
        <f t="shared" si="696"/>
        <v>0.62999999999999978</v>
      </c>
      <c r="HE57" s="48">
        <f t="shared" si="696"/>
        <v>0.60999999999999976</v>
      </c>
      <c r="HF57" s="48">
        <f t="shared" si="696"/>
        <v>0.58999999999999975</v>
      </c>
      <c r="HG57" s="48">
        <f t="shared" si="696"/>
        <v>0.56999999999999973</v>
      </c>
    </row>
    <row r="58" spans="1:215" x14ac:dyDescent="0.3">
      <c r="A58" s="2">
        <v>2</v>
      </c>
      <c r="C58" s="39" t="s">
        <v>23</v>
      </c>
      <c r="D58" s="44">
        <v>0</v>
      </c>
      <c r="E58" s="73">
        <f>TRUNC(+D58*3.3058,-1)</f>
        <v>0</v>
      </c>
      <c r="G58" s="48">
        <f t="shared" si="61"/>
        <v>0</v>
      </c>
      <c r="H58" s="48">
        <f t="shared" si="62"/>
        <v>0</v>
      </c>
      <c r="I58" s="51">
        <f t="shared" si="63"/>
        <v>0</v>
      </c>
      <c r="J58" s="48">
        <f t="shared" si="623"/>
        <v>0</v>
      </c>
      <c r="K58" s="51">
        <f t="shared" si="624"/>
        <v>0</v>
      </c>
      <c r="L58" s="48">
        <f t="shared" si="625"/>
        <v>0</v>
      </c>
      <c r="M58" s="51">
        <f t="shared" si="626"/>
        <v>0</v>
      </c>
      <c r="N58" s="48">
        <f>+H58*BE58</f>
        <v>0</v>
      </c>
      <c r="O58" s="51">
        <f t="shared" si="627"/>
        <v>0</v>
      </c>
      <c r="P58" s="52">
        <f>+H58*BF58</f>
        <v>0</v>
      </c>
      <c r="Q58" s="51">
        <f t="shared" si="628"/>
        <v>0</v>
      </c>
      <c r="R58" s="48">
        <f>+H58*BG58</f>
        <v>0</v>
      </c>
      <c r="S58" s="51">
        <f t="shared" si="629"/>
        <v>0</v>
      </c>
      <c r="T58" s="52">
        <f>+H58*BH58</f>
        <v>0</v>
      </c>
      <c r="U58" s="51">
        <f t="shared" si="630"/>
        <v>0</v>
      </c>
      <c r="V58" s="53">
        <f>+H58*BI58</f>
        <v>0</v>
      </c>
      <c r="W58" s="51">
        <f t="shared" si="631"/>
        <v>0</v>
      </c>
      <c r="X58" s="52">
        <f>+H58*BJ58</f>
        <v>0</v>
      </c>
      <c r="Y58" s="51">
        <f t="shared" si="632"/>
        <v>0</v>
      </c>
      <c r="Z58" s="48">
        <f>+H58*BK58</f>
        <v>0</v>
      </c>
      <c r="AA58" s="51">
        <f t="shared" si="633"/>
        <v>0</v>
      </c>
      <c r="AB58" s="53">
        <f>+H58*BL58</f>
        <v>0</v>
      </c>
      <c r="AC58" s="51">
        <f t="shared" si="634"/>
        <v>0</v>
      </c>
      <c r="AD58" s="53">
        <f>+H58*BM58</f>
        <v>0</v>
      </c>
      <c r="AE58" s="51">
        <f t="shared" si="635"/>
        <v>0</v>
      </c>
      <c r="AF58" s="53">
        <f>+H58*BN58</f>
        <v>0</v>
      </c>
      <c r="AG58" s="51">
        <f t="shared" si="636"/>
        <v>0</v>
      </c>
      <c r="AH58" s="48">
        <f>+H58*BO58</f>
        <v>0</v>
      </c>
      <c r="AI58" s="51">
        <f t="shared" si="637"/>
        <v>0</v>
      </c>
      <c r="AJ58" s="53">
        <f>+H58*BP58</f>
        <v>0</v>
      </c>
      <c r="AK58" s="51">
        <f t="shared" si="638"/>
        <v>0</v>
      </c>
      <c r="AL58" s="53">
        <f>+H58*BQ58</f>
        <v>0</v>
      </c>
      <c r="AM58" s="51">
        <f t="shared" si="639"/>
        <v>0</v>
      </c>
      <c r="AN58" s="53">
        <f>+H58*BR58</f>
        <v>0</v>
      </c>
      <c r="AO58" s="51">
        <f t="shared" si="640"/>
        <v>0</v>
      </c>
      <c r="AP58" s="53">
        <f>+H58*BS58</f>
        <v>0</v>
      </c>
      <c r="AQ58" s="51">
        <f t="shared" si="641"/>
        <v>0</v>
      </c>
      <c r="AR58" s="48">
        <f>+H58*BT58</f>
        <v>0</v>
      </c>
      <c r="AS58" s="51">
        <f t="shared" si="642"/>
        <v>0</v>
      </c>
      <c r="AT58" s="53">
        <f>+H58*BU58</f>
        <v>0</v>
      </c>
      <c r="AU58" s="51">
        <f t="shared" si="643"/>
        <v>0</v>
      </c>
      <c r="AV58" s="53">
        <f>+H58*BV58</f>
        <v>0</v>
      </c>
      <c r="AW58" s="51">
        <f t="shared" si="644"/>
        <v>0</v>
      </c>
      <c r="AX58" s="48">
        <f>+H58*BW58</f>
        <v>0</v>
      </c>
      <c r="AY58" s="51">
        <f t="shared" si="645"/>
        <v>0</v>
      </c>
      <c r="BB58" s="48">
        <v>1</v>
      </c>
      <c r="BC58" s="48">
        <v>0.97</v>
      </c>
      <c r="BD58" s="48">
        <v>0.95</v>
      </c>
      <c r="BE58" s="48">
        <v>0.93</v>
      </c>
      <c r="BF58" s="48">
        <f t="shared" ref="BF58:BW58" si="697">+BE58-0.02</f>
        <v>0.91</v>
      </c>
      <c r="BG58" s="48">
        <f t="shared" si="697"/>
        <v>0.89</v>
      </c>
      <c r="BH58" s="48">
        <f t="shared" si="697"/>
        <v>0.87</v>
      </c>
      <c r="BI58" s="48">
        <f t="shared" si="697"/>
        <v>0.85</v>
      </c>
      <c r="BJ58" s="48">
        <f t="shared" si="697"/>
        <v>0.83</v>
      </c>
      <c r="BK58" s="48">
        <f t="shared" si="697"/>
        <v>0.80999999999999994</v>
      </c>
      <c r="BL58" s="48">
        <f t="shared" si="697"/>
        <v>0.78999999999999992</v>
      </c>
      <c r="BM58" s="48">
        <f t="shared" si="697"/>
        <v>0.76999999999999991</v>
      </c>
      <c r="BN58" s="48">
        <f t="shared" si="697"/>
        <v>0.74999999999999989</v>
      </c>
      <c r="BO58" s="48">
        <f t="shared" si="697"/>
        <v>0.72999999999999987</v>
      </c>
      <c r="BP58" s="48">
        <f t="shared" si="697"/>
        <v>0.70999999999999985</v>
      </c>
      <c r="BQ58" s="48">
        <f t="shared" si="697"/>
        <v>0.68999999999999984</v>
      </c>
      <c r="BR58" s="48">
        <f t="shared" si="697"/>
        <v>0.66999999999999982</v>
      </c>
      <c r="BS58" s="48">
        <f t="shared" si="697"/>
        <v>0.6499999999999998</v>
      </c>
      <c r="BT58" s="48">
        <f t="shared" si="697"/>
        <v>0.62999999999999978</v>
      </c>
      <c r="BU58" s="48">
        <f t="shared" si="697"/>
        <v>0.60999999999999976</v>
      </c>
      <c r="BV58" s="48">
        <f t="shared" si="697"/>
        <v>0.58999999999999975</v>
      </c>
      <c r="BW58" s="48">
        <f t="shared" si="697"/>
        <v>0.56999999999999973</v>
      </c>
      <c r="BY58" s="48">
        <f t="shared" si="88"/>
        <v>0</v>
      </c>
      <c r="BZ58" s="48">
        <f t="shared" si="89"/>
        <v>0</v>
      </c>
      <c r="CA58" s="51">
        <f t="shared" ref="CA58" si="698">+BZ58*3.3058</f>
        <v>0</v>
      </c>
      <c r="CB58" s="48">
        <f t="shared" si="648"/>
        <v>0</v>
      </c>
      <c r="CC58" s="51">
        <f t="shared" si="649"/>
        <v>0</v>
      </c>
      <c r="CD58" s="48">
        <f t="shared" si="650"/>
        <v>0</v>
      </c>
      <c r="CE58" s="51">
        <f t="shared" si="651"/>
        <v>0</v>
      </c>
      <c r="CF58" s="48">
        <f>+BZ58*DW58</f>
        <v>0</v>
      </c>
      <c r="CG58" s="51">
        <f t="shared" si="652"/>
        <v>0</v>
      </c>
      <c r="CH58" s="52">
        <f>+BZ58*DX58</f>
        <v>0</v>
      </c>
      <c r="CI58" s="51">
        <f t="shared" si="653"/>
        <v>0</v>
      </c>
      <c r="CJ58" s="48">
        <f>+BZ58*DY58</f>
        <v>0</v>
      </c>
      <c r="CK58" s="51">
        <f t="shared" si="654"/>
        <v>0</v>
      </c>
      <c r="CL58" s="52">
        <f>+BZ58*DZ58</f>
        <v>0</v>
      </c>
      <c r="CM58" s="51">
        <f t="shared" si="655"/>
        <v>0</v>
      </c>
      <c r="CN58" s="53">
        <f>+BZ58*EA58</f>
        <v>0</v>
      </c>
      <c r="CO58" s="51">
        <f t="shared" si="656"/>
        <v>0</v>
      </c>
      <c r="CP58" s="52">
        <f>+BZ58*EB58</f>
        <v>0</v>
      </c>
      <c r="CQ58" s="51">
        <f t="shared" si="657"/>
        <v>0</v>
      </c>
      <c r="CR58" s="48">
        <f>+BZ58*EC58</f>
        <v>0</v>
      </c>
      <c r="CS58" s="51">
        <f t="shared" si="658"/>
        <v>0</v>
      </c>
      <c r="CT58" s="53">
        <f>+BZ58*ED58</f>
        <v>0</v>
      </c>
      <c r="CU58" s="51">
        <f t="shared" si="659"/>
        <v>0</v>
      </c>
      <c r="CV58" s="53">
        <f>+BZ58*EE58</f>
        <v>0</v>
      </c>
      <c r="CW58" s="51">
        <f t="shared" si="660"/>
        <v>0</v>
      </c>
      <c r="CX58" s="53">
        <f>+BZ58*EF58</f>
        <v>0</v>
      </c>
      <c r="CY58" s="51">
        <f t="shared" si="661"/>
        <v>0</v>
      </c>
      <c r="CZ58" s="48">
        <f>+BZ58*EG58</f>
        <v>0</v>
      </c>
      <c r="DA58" s="51">
        <f t="shared" si="662"/>
        <v>0</v>
      </c>
      <c r="DB58" s="53">
        <f>+BZ58*EH58</f>
        <v>0</v>
      </c>
      <c r="DC58" s="51">
        <f t="shared" si="663"/>
        <v>0</v>
      </c>
      <c r="DD58" s="53">
        <f>+BZ58*EI58</f>
        <v>0</v>
      </c>
      <c r="DE58" s="51">
        <f t="shared" si="664"/>
        <v>0</v>
      </c>
      <c r="DF58" s="53">
        <f>+BZ58*EJ58</f>
        <v>0</v>
      </c>
      <c r="DG58" s="51">
        <f t="shared" si="665"/>
        <v>0</v>
      </c>
      <c r="DH58" s="53">
        <f>+BZ58*EK58</f>
        <v>0</v>
      </c>
      <c r="DI58" s="51">
        <f t="shared" si="666"/>
        <v>0</v>
      </c>
      <c r="DJ58" s="48">
        <f>+BZ58*EL58</f>
        <v>0</v>
      </c>
      <c r="DK58" s="51">
        <f t="shared" si="667"/>
        <v>0</v>
      </c>
      <c r="DL58" s="53">
        <f>+BZ58*EM58</f>
        <v>0</v>
      </c>
      <c r="DM58" s="51">
        <f t="shared" si="668"/>
        <v>0</v>
      </c>
      <c r="DN58" s="53">
        <f>+BZ58*EN58</f>
        <v>0</v>
      </c>
      <c r="DO58" s="51">
        <f t="shared" si="669"/>
        <v>0</v>
      </c>
      <c r="DP58" s="48">
        <f>+BZ58*EO58</f>
        <v>0</v>
      </c>
      <c r="DQ58" s="51">
        <f t="shared" si="670"/>
        <v>0</v>
      </c>
      <c r="DT58" s="48">
        <v>1</v>
      </c>
      <c r="DU58" s="48">
        <v>0.97</v>
      </c>
      <c r="DV58" s="48">
        <v>0.95</v>
      </c>
      <c r="DW58" s="48">
        <v>0.93</v>
      </c>
      <c r="DX58" s="48">
        <f t="shared" ref="DX58:EO58" si="699">+DW58-0.02</f>
        <v>0.91</v>
      </c>
      <c r="DY58" s="48">
        <f t="shared" si="699"/>
        <v>0.89</v>
      </c>
      <c r="DZ58" s="48">
        <f t="shared" si="699"/>
        <v>0.87</v>
      </c>
      <c r="EA58" s="48">
        <f t="shared" si="699"/>
        <v>0.85</v>
      </c>
      <c r="EB58" s="48">
        <f t="shared" si="699"/>
        <v>0.83</v>
      </c>
      <c r="EC58" s="48">
        <f t="shared" si="699"/>
        <v>0.80999999999999994</v>
      </c>
      <c r="ED58" s="48">
        <f t="shared" si="699"/>
        <v>0.78999999999999992</v>
      </c>
      <c r="EE58" s="48">
        <f t="shared" si="699"/>
        <v>0.76999999999999991</v>
      </c>
      <c r="EF58" s="48">
        <f t="shared" si="699"/>
        <v>0.74999999999999989</v>
      </c>
      <c r="EG58" s="48">
        <f t="shared" si="699"/>
        <v>0.72999999999999987</v>
      </c>
      <c r="EH58" s="48">
        <f t="shared" si="699"/>
        <v>0.70999999999999985</v>
      </c>
      <c r="EI58" s="48">
        <f t="shared" si="699"/>
        <v>0.68999999999999984</v>
      </c>
      <c r="EJ58" s="48">
        <f t="shared" si="699"/>
        <v>0.66999999999999982</v>
      </c>
      <c r="EK58" s="48">
        <f t="shared" si="699"/>
        <v>0.6499999999999998</v>
      </c>
      <c r="EL58" s="48">
        <f t="shared" si="699"/>
        <v>0.62999999999999978</v>
      </c>
      <c r="EM58" s="48">
        <f t="shared" si="699"/>
        <v>0.60999999999999976</v>
      </c>
      <c r="EN58" s="48">
        <f t="shared" si="699"/>
        <v>0.58999999999999975</v>
      </c>
      <c r="EO58" s="48">
        <f t="shared" si="699"/>
        <v>0.56999999999999973</v>
      </c>
      <c r="EQ58" s="48">
        <f t="shared" si="188"/>
        <v>0</v>
      </c>
      <c r="ER58" s="48">
        <f t="shared" si="116"/>
        <v>0</v>
      </c>
      <c r="ES58" s="51">
        <f t="shared" ref="ES58" si="700">+ER58*3.3058</f>
        <v>0</v>
      </c>
      <c r="ET58" s="48">
        <f t="shared" si="673"/>
        <v>0</v>
      </c>
      <c r="EU58" s="51">
        <f t="shared" si="674"/>
        <v>0</v>
      </c>
      <c r="EV58" s="48">
        <f t="shared" si="675"/>
        <v>0</v>
      </c>
      <c r="EW58" s="51">
        <f t="shared" si="676"/>
        <v>0</v>
      </c>
      <c r="EX58" s="48">
        <f>+ER58*GO58</f>
        <v>0</v>
      </c>
      <c r="EY58" s="51">
        <f t="shared" si="677"/>
        <v>0</v>
      </c>
      <c r="EZ58" s="52">
        <f>+ER58*GP58</f>
        <v>0</v>
      </c>
      <c r="FA58" s="51">
        <f t="shared" si="678"/>
        <v>0</v>
      </c>
      <c r="FB58" s="48">
        <f>+ER58*GQ58</f>
        <v>0</v>
      </c>
      <c r="FC58" s="51">
        <f t="shared" si="679"/>
        <v>0</v>
      </c>
      <c r="FD58" s="52">
        <f>+ER58*GR58</f>
        <v>0</v>
      </c>
      <c r="FE58" s="51">
        <f t="shared" si="680"/>
        <v>0</v>
      </c>
      <c r="FF58" s="53">
        <f>+ER58*GS58</f>
        <v>0</v>
      </c>
      <c r="FG58" s="51">
        <f t="shared" si="681"/>
        <v>0</v>
      </c>
      <c r="FH58" s="52">
        <f>+ER58*GT58</f>
        <v>0</v>
      </c>
      <c r="FI58" s="51">
        <f t="shared" si="682"/>
        <v>0</v>
      </c>
      <c r="FJ58" s="48">
        <f>+ER58*GU58</f>
        <v>0</v>
      </c>
      <c r="FK58" s="51">
        <f t="shared" si="683"/>
        <v>0</v>
      </c>
      <c r="FL58" s="53">
        <f>+ER58*GV58</f>
        <v>0</v>
      </c>
      <c r="FM58" s="51">
        <f t="shared" si="684"/>
        <v>0</v>
      </c>
      <c r="FN58" s="53">
        <f>+ER58*GW58</f>
        <v>0</v>
      </c>
      <c r="FO58" s="51">
        <f t="shared" si="685"/>
        <v>0</v>
      </c>
      <c r="FP58" s="53">
        <f>+ER58*GX58</f>
        <v>0</v>
      </c>
      <c r="FQ58" s="51">
        <f t="shared" si="686"/>
        <v>0</v>
      </c>
      <c r="FR58" s="48">
        <f>+ER58*GY58</f>
        <v>0</v>
      </c>
      <c r="FS58" s="51">
        <f t="shared" si="687"/>
        <v>0</v>
      </c>
      <c r="FT58" s="53">
        <f>+ER58*GZ58</f>
        <v>0</v>
      </c>
      <c r="FU58" s="51">
        <f t="shared" si="688"/>
        <v>0</v>
      </c>
      <c r="FV58" s="53">
        <f>+ER58*HA58</f>
        <v>0</v>
      </c>
      <c r="FW58" s="51">
        <f t="shared" si="689"/>
        <v>0</v>
      </c>
      <c r="FX58" s="53">
        <f>+ER58*HB58</f>
        <v>0</v>
      </c>
      <c r="FY58" s="51">
        <f t="shared" si="690"/>
        <v>0</v>
      </c>
      <c r="FZ58" s="53">
        <f>+ER58*HC58</f>
        <v>0</v>
      </c>
      <c r="GA58" s="51">
        <f t="shared" si="691"/>
        <v>0</v>
      </c>
      <c r="GB58" s="48">
        <f>+ER58*HD58</f>
        <v>0</v>
      </c>
      <c r="GC58" s="51">
        <f t="shared" si="692"/>
        <v>0</v>
      </c>
      <c r="GD58" s="53">
        <f>+ER58*HE58</f>
        <v>0</v>
      </c>
      <c r="GE58" s="51">
        <f t="shared" si="693"/>
        <v>0</v>
      </c>
      <c r="GF58" s="53">
        <f>+ER58*HF58</f>
        <v>0</v>
      </c>
      <c r="GG58" s="51">
        <f t="shared" si="694"/>
        <v>0</v>
      </c>
      <c r="GH58" s="48">
        <f>+ER58*HG58</f>
        <v>0</v>
      </c>
      <c r="GI58" s="51">
        <f t="shared" si="695"/>
        <v>0</v>
      </c>
      <c r="GJ58" s="48"/>
      <c r="GK58" s="48"/>
      <c r="GL58" s="48">
        <v>1</v>
      </c>
      <c r="GM58" s="48">
        <v>0.97</v>
      </c>
      <c r="GN58" s="48">
        <v>0.95</v>
      </c>
      <c r="GO58" s="48">
        <v>0.93</v>
      </c>
      <c r="GP58" s="48">
        <f t="shared" ref="GP58:HG58" si="701">+GO58-0.02</f>
        <v>0.91</v>
      </c>
      <c r="GQ58" s="48">
        <f t="shared" si="701"/>
        <v>0.89</v>
      </c>
      <c r="GR58" s="48">
        <f t="shared" si="701"/>
        <v>0.87</v>
      </c>
      <c r="GS58" s="48">
        <f t="shared" si="701"/>
        <v>0.85</v>
      </c>
      <c r="GT58" s="48">
        <f t="shared" si="701"/>
        <v>0.83</v>
      </c>
      <c r="GU58" s="48">
        <f t="shared" si="701"/>
        <v>0.80999999999999994</v>
      </c>
      <c r="GV58" s="48">
        <f t="shared" si="701"/>
        <v>0.78999999999999992</v>
      </c>
      <c r="GW58" s="48">
        <f t="shared" si="701"/>
        <v>0.76999999999999991</v>
      </c>
      <c r="GX58" s="48">
        <f t="shared" si="701"/>
        <v>0.74999999999999989</v>
      </c>
      <c r="GY58" s="48">
        <f t="shared" si="701"/>
        <v>0.72999999999999987</v>
      </c>
      <c r="GZ58" s="48">
        <f t="shared" si="701"/>
        <v>0.70999999999999985</v>
      </c>
      <c r="HA58" s="48">
        <f t="shared" si="701"/>
        <v>0.68999999999999984</v>
      </c>
      <c r="HB58" s="48">
        <f t="shared" si="701"/>
        <v>0.66999999999999982</v>
      </c>
      <c r="HC58" s="48">
        <f t="shared" si="701"/>
        <v>0.6499999999999998</v>
      </c>
      <c r="HD58" s="48">
        <f t="shared" si="701"/>
        <v>0.62999999999999978</v>
      </c>
      <c r="HE58" s="48">
        <f t="shared" si="701"/>
        <v>0.60999999999999976</v>
      </c>
      <c r="HF58" s="48">
        <f t="shared" si="701"/>
        <v>0.58999999999999975</v>
      </c>
      <c r="HG58" s="48">
        <f t="shared" si="701"/>
        <v>0.56999999999999973</v>
      </c>
    </row>
    <row r="59" spans="1:215" ht="17.25" thickBot="1" x14ac:dyDescent="0.35">
      <c r="A59" s="2">
        <v>3</v>
      </c>
      <c r="C59" s="39" t="s">
        <v>22</v>
      </c>
      <c r="D59" s="45">
        <v>0</v>
      </c>
      <c r="E59" s="74">
        <f>TRUNC(+D59*3.3058,-1)</f>
        <v>0</v>
      </c>
      <c r="G59" s="48">
        <f t="shared" si="61"/>
        <v>0</v>
      </c>
      <c r="H59" s="48">
        <f t="shared" si="62"/>
        <v>0</v>
      </c>
      <c r="I59" s="51">
        <f t="shared" si="63"/>
        <v>0</v>
      </c>
      <c r="J59" s="48">
        <f t="shared" si="623"/>
        <v>0</v>
      </c>
      <c r="K59" s="51">
        <f t="shared" si="624"/>
        <v>0</v>
      </c>
      <c r="L59" s="48">
        <f t="shared" si="625"/>
        <v>0</v>
      </c>
      <c r="M59" s="51">
        <f t="shared" si="626"/>
        <v>0</v>
      </c>
      <c r="N59" s="48">
        <f>+H59*BE59</f>
        <v>0</v>
      </c>
      <c r="O59" s="51">
        <f t="shared" si="627"/>
        <v>0</v>
      </c>
      <c r="P59" s="52">
        <f>+H59*BF59</f>
        <v>0</v>
      </c>
      <c r="Q59" s="51">
        <f t="shared" si="628"/>
        <v>0</v>
      </c>
      <c r="R59" s="48">
        <f>+H59*BG59</f>
        <v>0</v>
      </c>
      <c r="S59" s="51">
        <f t="shared" si="629"/>
        <v>0</v>
      </c>
      <c r="T59" s="52">
        <f>+H59*BH59</f>
        <v>0</v>
      </c>
      <c r="U59" s="51">
        <f t="shared" si="630"/>
        <v>0</v>
      </c>
      <c r="V59" s="53">
        <f>+H59*BI59</f>
        <v>0</v>
      </c>
      <c r="W59" s="51">
        <f t="shared" si="631"/>
        <v>0</v>
      </c>
      <c r="X59" s="52">
        <f>+H59*BJ59</f>
        <v>0</v>
      </c>
      <c r="Y59" s="51">
        <f t="shared" si="632"/>
        <v>0</v>
      </c>
      <c r="Z59" s="48">
        <f>+H59*BK59</f>
        <v>0</v>
      </c>
      <c r="AA59" s="51">
        <f t="shared" si="633"/>
        <v>0</v>
      </c>
      <c r="AB59" s="53">
        <f>+H59*BL59</f>
        <v>0</v>
      </c>
      <c r="AC59" s="51">
        <f t="shared" si="634"/>
        <v>0</v>
      </c>
      <c r="AD59" s="53">
        <f>+H59*BM59</f>
        <v>0</v>
      </c>
      <c r="AE59" s="51">
        <f t="shared" si="635"/>
        <v>0</v>
      </c>
      <c r="AF59" s="53">
        <f>+H59*BN59</f>
        <v>0</v>
      </c>
      <c r="AG59" s="51">
        <f t="shared" si="636"/>
        <v>0</v>
      </c>
      <c r="AH59" s="48">
        <f>+H59*BO59</f>
        <v>0</v>
      </c>
      <c r="AI59" s="51">
        <f t="shared" si="637"/>
        <v>0</v>
      </c>
      <c r="AJ59" s="53">
        <f>+H59*BP59</f>
        <v>0</v>
      </c>
      <c r="AK59" s="51">
        <f t="shared" si="638"/>
        <v>0</v>
      </c>
      <c r="AL59" s="53">
        <f>+H59*BQ59</f>
        <v>0</v>
      </c>
      <c r="AM59" s="51">
        <f t="shared" si="639"/>
        <v>0</v>
      </c>
      <c r="AN59" s="53">
        <f>+H59*BR59</f>
        <v>0</v>
      </c>
      <c r="AO59" s="51">
        <f t="shared" si="640"/>
        <v>0</v>
      </c>
      <c r="AP59" s="53">
        <f>+H59*BS59</f>
        <v>0</v>
      </c>
      <c r="AQ59" s="51">
        <f t="shared" si="641"/>
        <v>0</v>
      </c>
      <c r="AR59" s="48">
        <f>+H59*BT59</f>
        <v>0</v>
      </c>
      <c r="AS59" s="51">
        <f t="shared" si="642"/>
        <v>0</v>
      </c>
      <c r="AT59" s="53">
        <f>+H59*BU59</f>
        <v>0</v>
      </c>
      <c r="AU59" s="51">
        <f t="shared" si="643"/>
        <v>0</v>
      </c>
      <c r="AV59" s="53">
        <f>+H59*BV59</f>
        <v>0</v>
      </c>
      <c r="AW59" s="51">
        <f t="shared" si="644"/>
        <v>0</v>
      </c>
      <c r="AX59" s="48">
        <f>+H59*BW59</f>
        <v>0</v>
      </c>
      <c r="AY59" s="51">
        <f t="shared" si="645"/>
        <v>0</v>
      </c>
      <c r="BB59" s="48">
        <v>1</v>
      </c>
      <c r="BC59" s="48">
        <v>0.97</v>
      </c>
      <c r="BD59" s="48">
        <v>0.95</v>
      </c>
      <c r="BE59" s="48">
        <v>0.93</v>
      </c>
      <c r="BF59" s="48">
        <f t="shared" ref="BF59:BW59" si="702">+BE59-0.02</f>
        <v>0.91</v>
      </c>
      <c r="BG59" s="48">
        <f t="shared" si="702"/>
        <v>0.89</v>
      </c>
      <c r="BH59" s="48">
        <f t="shared" si="702"/>
        <v>0.87</v>
      </c>
      <c r="BI59" s="48">
        <f t="shared" si="702"/>
        <v>0.85</v>
      </c>
      <c r="BJ59" s="48">
        <f t="shared" si="702"/>
        <v>0.83</v>
      </c>
      <c r="BK59" s="48">
        <f t="shared" si="702"/>
        <v>0.80999999999999994</v>
      </c>
      <c r="BL59" s="48">
        <f t="shared" si="702"/>
        <v>0.78999999999999992</v>
      </c>
      <c r="BM59" s="48">
        <f t="shared" si="702"/>
        <v>0.76999999999999991</v>
      </c>
      <c r="BN59" s="48">
        <f t="shared" si="702"/>
        <v>0.74999999999999989</v>
      </c>
      <c r="BO59" s="48">
        <f t="shared" si="702"/>
        <v>0.72999999999999987</v>
      </c>
      <c r="BP59" s="48">
        <f t="shared" si="702"/>
        <v>0.70999999999999985</v>
      </c>
      <c r="BQ59" s="48">
        <f t="shared" si="702"/>
        <v>0.68999999999999984</v>
      </c>
      <c r="BR59" s="48">
        <f t="shared" si="702"/>
        <v>0.66999999999999982</v>
      </c>
      <c r="BS59" s="48">
        <f t="shared" si="702"/>
        <v>0.6499999999999998</v>
      </c>
      <c r="BT59" s="48">
        <f t="shared" si="702"/>
        <v>0.62999999999999978</v>
      </c>
      <c r="BU59" s="48">
        <f t="shared" si="702"/>
        <v>0.60999999999999976</v>
      </c>
      <c r="BV59" s="48">
        <f t="shared" si="702"/>
        <v>0.58999999999999975</v>
      </c>
      <c r="BW59" s="48">
        <f t="shared" si="702"/>
        <v>0.56999999999999973</v>
      </c>
      <c r="BY59" s="48">
        <f t="shared" si="88"/>
        <v>0</v>
      </c>
      <c r="BZ59" s="48">
        <f t="shared" si="89"/>
        <v>0</v>
      </c>
      <c r="CA59" s="51">
        <f t="shared" ref="CA59" si="703">+BZ59*3.3058</f>
        <v>0</v>
      </c>
      <c r="CB59" s="48">
        <f t="shared" si="648"/>
        <v>0</v>
      </c>
      <c r="CC59" s="51">
        <f t="shared" si="649"/>
        <v>0</v>
      </c>
      <c r="CD59" s="48">
        <f t="shared" si="650"/>
        <v>0</v>
      </c>
      <c r="CE59" s="51">
        <f t="shared" si="651"/>
        <v>0</v>
      </c>
      <c r="CF59" s="48">
        <f>+BZ59*DW59</f>
        <v>0</v>
      </c>
      <c r="CG59" s="51">
        <f t="shared" si="652"/>
        <v>0</v>
      </c>
      <c r="CH59" s="52">
        <f>+BZ59*DX59</f>
        <v>0</v>
      </c>
      <c r="CI59" s="51">
        <f t="shared" si="653"/>
        <v>0</v>
      </c>
      <c r="CJ59" s="48">
        <f>+BZ59*DY59</f>
        <v>0</v>
      </c>
      <c r="CK59" s="51">
        <f t="shared" si="654"/>
        <v>0</v>
      </c>
      <c r="CL59" s="52">
        <f>+BZ59*DZ59</f>
        <v>0</v>
      </c>
      <c r="CM59" s="51">
        <f t="shared" si="655"/>
        <v>0</v>
      </c>
      <c r="CN59" s="53">
        <f>+BZ59*EA59</f>
        <v>0</v>
      </c>
      <c r="CO59" s="51">
        <f t="shared" si="656"/>
        <v>0</v>
      </c>
      <c r="CP59" s="52">
        <f>+BZ59*EB59</f>
        <v>0</v>
      </c>
      <c r="CQ59" s="51">
        <f t="shared" si="657"/>
        <v>0</v>
      </c>
      <c r="CR59" s="48">
        <f>+BZ59*EC59</f>
        <v>0</v>
      </c>
      <c r="CS59" s="51">
        <f t="shared" si="658"/>
        <v>0</v>
      </c>
      <c r="CT59" s="53">
        <f>+BZ59*ED59</f>
        <v>0</v>
      </c>
      <c r="CU59" s="51">
        <f t="shared" si="659"/>
        <v>0</v>
      </c>
      <c r="CV59" s="53">
        <f>+BZ59*EE59</f>
        <v>0</v>
      </c>
      <c r="CW59" s="51">
        <f t="shared" si="660"/>
        <v>0</v>
      </c>
      <c r="CX59" s="53">
        <f>+BZ59*EF59</f>
        <v>0</v>
      </c>
      <c r="CY59" s="51">
        <f t="shared" si="661"/>
        <v>0</v>
      </c>
      <c r="CZ59" s="48">
        <f>+BZ59*EG59</f>
        <v>0</v>
      </c>
      <c r="DA59" s="51">
        <f t="shared" si="662"/>
        <v>0</v>
      </c>
      <c r="DB59" s="53">
        <f>+BZ59*EH59</f>
        <v>0</v>
      </c>
      <c r="DC59" s="51">
        <f t="shared" si="663"/>
        <v>0</v>
      </c>
      <c r="DD59" s="53">
        <f>+BZ59*EI59</f>
        <v>0</v>
      </c>
      <c r="DE59" s="51">
        <f t="shared" si="664"/>
        <v>0</v>
      </c>
      <c r="DF59" s="53">
        <f>+BZ59*EJ59</f>
        <v>0</v>
      </c>
      <c r="DG59" s="51">
        <f t="shared" si="665"/>
        <v>0</v>
      </c>
      <c r="DH59" s="53">
        <f>+BZ59*EK59</f>
        <v>0</v>
      </c>
      <c r="DI59" s="51">
        <f t="shared" si="666"/>
        <v>0</v>
      </c>
      <c r="DJ59" s="48">
        <f>+BZ59*EL59</f>
        <v>0</v>
      </c>
      <c r="DK59" s="51">
        <f t="shared" si="667"/>
        <v>0</v>
      </c>
      <c r="DL59" s="53">
        <f>+BZ59*EM59</f>
        <v>0</v>
      </c>
      <c r="DM59" s="51">
        <f t="shared" si="668"/>
        <v>0</v>
      </c>
      <c r="DN59" s="53">
        <f>+BZ59*EN59</f>
        <v>0</v>
      </c>
      <c r="DO59" s="51">
        <f t="shared" si="669"/>
        <v>0</v>
      </c>
      <c r="DP59" s="48">
        <f>+BZ59*EO59</f>
        <v>0</v>
      </c>
      <c r="DQ59" s="51">
        <f t="shared" si="670"/>
        <v>0</v>
      </c>
      <c r="DT59" s="48">
        <v>1</v>
      </c>
      <c r="DU59" s="48">
        <v>0.97</v>
      </c>
      <c r="DV59" s="48">
        <v>0.95</v>
      </c>
      <c r="DW59" s="48">
        <v>0.93</v>
      </c>
      <c r="DX59" s="48">
        <f t="shared" ref="DX59:EO59" si="704">+DW59-0.02</f>
        <v>0.91</v>
      </c>
      <c r="DY59" s="48">
        <f t="shared" si="704"/>
        <v>0.89</v>
      </c>
      <c r="DZ59" s="48">
        <f t="shared" si="704"/>
        <v>0.87</v>
      </c>
      <c r="EA59" s="48">
        <f t="shared" si="704"/>
        <v>0.85</v>
      </c>
      <c r="EB59" s="48">
        <f t="shared" si="704"/>
        <v>0.83</v>
      </c>
      <c r="EC59" s="48">
        <f t="shared" si="704"/>
        <v>0.80999999999999994</v>
      </c>
      <c r="ED59" s="48">
        <f t="shared" si="704"/>
        <v>0.78999999999999992</v>
      </c>
      <c r="EE59" s="48">
        <f t="shared" si="704"/>
        <v>0.76999999999999991</v>
      </c>
      <c r="EF59" s="48">
        <f t="shared" si="704"/>
        <v>0.74999999999999989</v>
      </c>
      <c r="EG59" s="48">
        <f t="shared" si="704"/>
        <v>0.72999999999999987</v>
      </c>
      <c r="EH59" s="48">
        <f t="shared" si="704"/>
        <v>0.70999999999999985</v>
      </c>
      <c r="EI59" s="48">
        <f t="shared" si="704"/>
        <v>0.68999999999999984</v>
      </c>
      <c r="EJ59" s="48">
        <f t="shared" si="704"/>
        <v>0.66999999999999982</v>
      </c>
      <c r="EK59" s="48">
        <f t="shared" si="704"/>
        <v>0.6499999999999998</v>
      </c>
      <c r="EL59" s="48">
        <f t="shared" si="704"/>
        <v>0.62999999999999978</v>
      </c>
      <c r="EM59" s="48">
        <f t="shared" si="704"/>
        <v>0.60999999999999976</v>
      </c>
      <c r="EN59" s="48">
        <f t="shared" si="704"/>
        <v>0.58999999999999975</v>
      </c>
      <c r="EO59" s="48">
        <f t="shared" si="704"/>
        <v>0.56999999999999973</v>
      </c>
      <c r="EQ59" s="48">
        <f t="shared" si="188"/>
        <v>0</v>
      </c>
      <c r="ER59" s="48">
        <f t="shared" si="116"/>
        <v>0</v>
      </c>
      <c r="ES59" s="51">
        <f t="shared" ref="ES59" si="705">+ER59*3.3058</f>
        <v>0</v>
      </c>
      <c r="ET59" s="48">
        <f t="shared" si="673"/>
        <v>0</v>
      </c>
      <c r="EU59" s="51">
        <f t="shared" si="674"/>
        <v>0</v>
      </c>
      <c r="EV59" s="48">
        <f t="shared" si="675"/>
        <v>0</v>
      </c>
      <c r="EW59" s="51">
        <f t="shared" si="676"/>
        <v>0</v>
      </c>
      <c r="EX59" s="48">
        <f>+ER59*GO59</f>
        <v>0</v>
      </c>
      <c r="EY59" s="51">
        <f t="shared" si="677"/>
        <v>0</v>
      </c>
      <c r="EZ59" s="52">
        <f>+ER59*GP59</f>
        <v>0</v>
      </c>
      <c r="FA59" s="51">
        <f t="shared" si="678"/>
        <v>0</v>
      </c>
      <c r="FB59" s="48">
        <f>+ER59*GQ59</f>
        <v>0</v>
      </c>
      <c r="FC59" s="51">
        <f t="shared" si="679"/>
        <v>0</v>
      </c>
      <c r="FD59" s="52">
        <f>+ER59*GR59</f>
        <v>0</v>
      </c>
      <c r="FE59" s="51">
        <f t="shared" si="680"/>
        <v>0</v>
      </c>
      <c r="FF59" s="53">
        <f>+ER59*GS59</f>
        <v>0</v>
      </c>
      <c r="FG59" s="51">
        <f t="shared" si="681"/>
        <v>0</v>
      </c>
      <c r="FH59" s="52">
        <f>+ER59*GT59</f>
        <v>0</v>
      </c>
      <c r="FI59" s="51">
        <f t="shared" si="682"/>
        <v>0</v>
      </c>
      <c r="FJ59" s="48">
        <f>+ER59*GU59</f>
        <v>0</v>
      </c>
      <c r="FK59" s="51">
        <f t="shared" si="683"/>
        <v>0</v>
      </c>
      <c r="FL59" s="53">
        <f>+ER59*GV59</f>
        <v>0</v>
      </c>
      <c r="FM59" s="51">
        <f t="shared" si="684"/>
        <v>0</v>
      </c>
      <c r="FN59" s="53">
        <f>+ER59*GW59</f>
        <v>0</v>
      </c>
      <c r="FO59" s="51">
        <f t="shared" si="685"/>
        <v>0</v>
      </c>
      <c r="FP59" s="53">
        <f>+ER59*GX59</f>
        <v>0</v>
      </c>
      <c r="FQ59" s="51">
        <f t="shared" si="686"/>
        <v>0</v>
      </c>
      <c r="FR59" s="48">
        <f>+ER59*GY59</f>
        <v>0</v>
      </c>
      <c r="FS59" s="51">
        <f t="shared" si="687"/>
        <v>0</v>
      </c>
      <c r="FT59" s="53">
        <f>+ER59*GZ59</f>
        <v>0</v>
      </c>
      <c r="FU59" s="51">
        <f t="shared" si="688"/>
        <v>0</v>
      </c>
      <c r="FV59" s="53">
        <f>+ER59*HA59</f>
        <v>0</v>
      </c>
      <c r="FW59" s="51">
        <f t="shared" si="689"/>
        <v>0</v>
      </c>
      <c r="FX59" s="53">
        <f>+ER59*HB59</f>
        <v>0</v>
      </c>
      <c r="FY59" s="51">
        <f t="shared" si="690"/>
        <v>0</v>
      </c>
      <c r="FZ59" s="53">
        <f>+ER59*HC59</f>
        <v>0</v>
      </c>
      <c r="GA59" s="51">
        <f t="shared" si="691"/>
        <v>0</v>
      </c>
      <c r="GB59" s="48">
        <f>+ER59*HD59</f>
        <v>0</v>
      </c>
      <c r="GC59" s="51">
        <f t="shared" si="692"/>
        <v>0</v>
      </c>
      <c r="GD59" s="53">
        <f>+ER59*HE59</f>
        <v>0</v>
      </c>
      <c r="GE59" s="51">
        <f t="shared" si="693"/>
        <v>0</v>
      </c>
      <c r="GF59" s="53">
        <f>+ER59*HF59</f>
        <v>0</v>
      </c>
      <c r="GG59" s="51">
        <f t="shared" si="694"/>
        <v>0</v>
      </c>
      <c r="GH59" s="48">
        <f>+ER59*HG59</f>
        <v>0</v>
      </c>
      <c r="GI59" s="51">
        <f t="shared" si="695"/>
        <v>0</v>
      </c>
      <c r="GJ59" s="48"/>
      <c r="GK59" s="48"/>
      <c r="GL59" s="48">
        <v>1</v>
      </c>
      <c r="GM59" s="48">
        <v>0.97</v>
      </c>
      <c r="GN59" s="48">
        <v>0.95</v>
      </c>
      <c r="GO59" s="48">
        <v>0.93</v>
      </c>
      <c r="GP59" s="48">
        <f t="shared" ref="GP59:HG59" si="706">+GO59-0.02</f>
        <v>0.91</v>
      </c>
      <c r="GQ59" s="48">
        <f t="shared" si="706"/>
        <v>0.89</v>
      </c>
      <c r="GR59" s="48">
        <f t="shared" si="706"/>
        <v>0.87</v>
      </c>
      <c r="GS59" s="48">
        <f t="shared" si="706"/>
        <v>0.85</v>
      </c>
      <c r="GT59" s="48">
        <f t="shared" si="706"/>
        <v>0.83</v>
      </c>
      <c r="GU59" s="48">
        <f t="shared" si="706"/>
        <v>0.80999999999999994</v>
      </c>
      <c r="GV59" s="48">
        <f t="shared" si="706"/>
        <v>0.78999999999999992</v>
      </c>
      <c r="GW59" s="48">
        <f t="shared" si="706"/>
        <v>0.76999999999999991</v>
      </c>
      <c r="GX59" s="48">
        <f t="shared" si="706"/>
        <v>0.74999999999999989</v>
      </c>
      <c r="GY59" s="48">
        <f t="shared" si="706"/>
        <v>0.72999999999999987</v>
      </c>
      <c r="GZ59" s="48">
        <f t="shared" si="706"/>
        <v>0.70999999999999985</v>
      </c>
      <c r="HA59" s="48">
        <f t="shared" si="706"/>
        <v>0.68999999999999984</v>
      </c>
      <c r="HB59" s="48">
        <f t="shared" si="706"/>
        <v>0.66999999999999982</v>
      </c>
      <c r="HC59" s="48">
        <f t="shared" si="706"/>
        <v>0.6499999999999998</v>
      </c>
      <c r="HD59" s="48">
        <f t="shared" si="706"/>
        <v>0.62999999999999978</v>
      </c>
      <c r="HE59" s="48">
        <f t="shared" si="706"/>
        <v>0.60999999999999976</v>
      </c>
      <c r="HF59" s="48">
        <f t="shared" si="706"/>
        <v>0.58999999999999975</v>
      </c>
      <c r="HG59" s="48">
        <f t="shared" si="706"/>
        <v>0.56999999999999973</v>
      </c>
    </row>
    <row r="60" spans="1:215" x14ac:dyDescent="0.3">
      <c r="A60" s="2">
        <v>4</v>
      </c>
      <c r="C60" s="27" t="s">
        <v>47</v>
      </c>
      <c r="D60" s="40">
        <f>SUM(D57:D59)</f>
        <v>37570</v>
      </c>
      <c r="E60" s="75">
        <f>SUM(E57:E59)</f>
        <v>124190</v>
      </c>
      <c r="G60" s="48">
        <f t="shared" si="61"/>
        <v>41327</v>
      </c>
      <c r="H60" s="48">
        <f t="shared" si="62"/>
        <v>41327</v>
      </c>
      <c r="I60" s="51">
        <f t="shared" si="63"/>
        <v>136618.7966</v>
      </c>
      <c r="J60" s="48">
        <f t="shared" si="623"/>
        <v>40087.19</v>
      </c>
      <c r="K60" s="51">
        <f t="shared" si="624"/>
        <v>132520.23270200001</v>
      </c>
      <c r="L60" s="48">
        <f t="shared" si="625"/>
        <v>39260.65</v>
      </c>
      <c r="M60" s="51">
        <f t="shared" si="626"/>
        <v>129787.85677000001</v>
      </c>
      <c r="N60" s="48">
        <f>+H60*BE60</f>
        <v>38434.11</v>
      </c>
      <c r="O60" s="51">
        <f t="shared" si="627"/>
        <v>127055.480838</v>
      </c>
      <c r="P60" s="52">
        <f>+H60*BF60</f>
        <v>37607.57</v>
      </c>
      <c r="Q60" s="51">
        <f t="shared" si="628"/>
        <v>124323.10490600001</v>
      </c>
      <c r="R60" s="48">
        <f>+H60*BG60</f>
        <v>36781.03</v>
      </c>
      <c r="S60" s="51">
        <f t="shared" si="629"/>
        <v>121590.728974</v>
      </c>
      <c r="T60" s="52">
        <f>+H60*BH60</f>
        <v>35954.49</v>
      </c>
      <c r="U60" s="51">
        <f t="shared" si="630"/>
        <v>118858.353042</v>
      </c>
      <c r="V60" s="53">
        <f>+H60*BI60</f>
        <v>35127.949999999997</v>
      </c>
      <c r="W60" s="51">
        <f t="shared" si="631"/>
        <v>116125.97710999999</v>
      </c>
      <c r="X60" s="52">
        <f>+H60*BJ60</f>
        <v>34301.409999999996</v>
      </c>
      <c r="Y60" s="51">
        <f t="shared" si="632"/>
        <v>113393.601178</v>
      </c>
      <c r="Z60" s="48">
        <f>+H60*BK60</f>
        <v>33474.869999999995</v>
      </c>
      <c r="AA60" s="51">
        <f t="shared" si="633"/>
        <v>110661.22524599999</v>
      </c>
      <c r="AB60" s="53">
        <f>+H60*BL60</f>
        <v>32648.329999999998</v>
      </c>
      <c r="AC60" s="51">
        <f t="shared" si="634"/>
        <v>107928.84931399999</v>
      </c>
      <c r="AD60" s="53">
        <f>+H60*BM60</f>
        <v>31821.789999999997</v>
      </c>
      <c r="AE60" s="51">
        <f t="shared" si="635"/>
        <v>105196.473382</v>
      </c>
      <c r="AF60" s="53">
        <f>+H60*BN60</f>
        <v>30995.249999999996</v>
      </c>
      <c r="AG60" s="51">
        <f t="shared" si="636"/>
        <v>102464.09744999999</v>
      </c>
      <c r="AH60" s="48">
        <f>+H60*BO60</f>
        <v>30168.709999999995</v>
      </c>
      <c r="AI60" s="51">
        <f t="shared" si="637"/>
        <v>99731.721517999991</v>
      </c>
      <c r="AJ60" s="53">
        <f>+H60*BP60</f>
        <v>29342.169999999995</v>
      </c>
      <c r="AK60" s="51">
        <f t="shared" si="638"/>
        <v>96999.345585999981</v>
      </c>
      <c r="AL60" s="53">
        <f>+H60*BQ60</f>
        <v>28515.629999999994</v>
      </c>
      <c r="AM60" s="51">
        <f t="shared" si="639"/>
        <v>94266.969653999986</v>
      </c>
      <c r="AN60" s="53">
        <f>+H60*BR60</f>
        <v>27689.089999999993</v>
      </c>
      <c r="AO60" s="51">
        <f t="shared" si="640"/>
        <v>91534.593721999976</v>
      </c>
      <c r="AP60" s="53">
        <f>+H60*BS60</f>
        <v>26862.549999999992</v>
      </c>
      <c r="AQ60" s="51">
        <f t="shared" si="641"/>
        <v>88802.217789999981</v>
      </c>
      <c r="AR60" s="48">
        <f>+H60*BT60</f>
        <v>26036.009999999991</v>
      </c>
      <c r="AS60" s="51">
        <f t="shared" si="642"/>
        <v>86069.841857999971</v>
      </c>
      <c r="AT60" s="53">
        <f>+H60*BU60</f>
        <v>25209.46999999999</v>
      </c>
      <c r="AU60" s="51">
        <f t="shared" si="643"/>
        <v>83337.465925999975</v>
      </c>
      <c r="AV60" s="53">
        <f>+H60*BV60</f>
        <v>24382.929999999989</v>
      </c>
      <c r="AW60" s="51">
        <f t="shared" si="644"/>
        <v>80605.089993999965</v>
      </c>
      <c r="AX60" s="48">
        <f>+H60*BW60</f>
        <v>23556.389999999989</v>
      </c>
      <c r="AY60" s="51">
        <f t="shared" si="645"/>
        <v>77872.71406199997</v>
      </c>
      <c r="BB60" s="48">
        <v>1</v>
      </c>
      <c r="BC60" s="48">
        <v>0.97</v>
      </c>
      <c r="BD60" s="48">
        <v>0.95</v>
      </c>
      <c r="BE60" s="48">
        <v>0.93</v>
      </c>
      <c r="BF60" s="48">
        <f t="shared" ref="BF60:BW60" si="707">+BE60-0.02</f>
        <v>0.91</v>
      </c>
      <c r="BG60" s="48">
        <f t="shared" si="707"/>
        <v>0.89</v>
      </c>
      <c r="BH60" s="48">
        <f t="shared" si="707"/>
        <v>0.87</v>
      </c>
      <c r="BI60" s="48">
        <f t="shared" si="707"/>
        <v>0.85</v>
      </c>
      <c r="BJ60" s="48">
        <f t="shared" si="707"/>
        <v>0.83</v>
      </c>
      <c r="BK60" s="48">
        <f t="shared" si="707"/>
        <v>0.80999999999999994</v>
      </c>
      <c r="BL60" s="48">
        <f t="shared" si="707"/>
        <v>0.78999999999999992</v>
      </c>
      <c r="BM60" s="48">
        <f t="shared" si="707"/>
        <v>0.76999999999999991</v>
      </c>
      <c r="BN60" s="48">
        <f t="shared" si="707"/>
        <v>0.74999999999999989</v>
      </c>
      <c r="BO60" s="48">
        <f t="shared" si="707"/>
        <v>0.72999999999999987</v>
      </c>
      <c r="BP60" s="48">
        <f t="shared" si="707"/>
        <v>0.70999999999999985</v>
      </c>
      <c r="BQ60" s="48">
        <f t="shared" si="707"/>
        <v>0.68999999999999984</v>
      </c>
      <c r="BR60" s="48">
        <f t="shared" si="707"/>
        <v>0.66999999999999982</v>
      </c>
      <c r="BS60" s="48">
        <f t="shared" si="707"/>
        <v>0.6499999999999998</v>
      </c>
      <c r="BT60" s="48">
        <f t="shared" si="707"/>
        <v>0.62999999999999978</v>
      </c>
      <c r="BU60" s="48">
        <f t="shared" si="707"/>
        <v>0.60999999999999976</v>
      </c>
      <c r="BV60" s="48">
        <f t="shared" si="707"/>
        <v>0.58999999999999975</v>
      </c>
      <c r="BW60" s="48">
        <f t="shared" si="707"/>
        <v>0.56999999999999973</v>
      </c>
      <c r="BY60" s="48">
        <f t="shared" si="88"/>
        <v>37607.57</v>
      </c>
      <c r="BZ60" s="48">
        <f t="shared" si="89"/>
        <v>37607.57</v>
      </c>
      <c r="CA60" s="51">
        <f t="shared" ref="CA60" si="708">+BZ60*3.3058</f>
        <v>124323.10490600001</v>
      </c>
      <c r="CB60" s="48">
        <f t="shared" si="648"/>
        <v>36479.342899999996</v>
      </c>
      <c r="CC60" s="51">
        <f t="shared" si="649"/>
        <v>120593.41175881999</v>
      </c>
      <c r="CD60" s="48">
        <f t="shared" si="650"/>
        <v>35727.191500000001</v>
      </c>
      <c r="CE60" s="51">
        <f t="shared" si="651"/>
        <v>118106.9496607</v>
      </c>
      <c r="CF60" s="48">
        <f>+BZ60*DW60</f>
        <v>34975.040099999998</v>
      </c>
      <c r="CG60" s="51">
        <f t="shared" si="652"/>
        <v>115620.48756257999</v>
      </c>
      <c r="CH60" s="52">
        <f>+BZ60*DX60</f>
        <v>34222.888700000003</v>
      </c>
      <c r="CI60" s="51">
        <f t="shared" si="653"/>
        <v>113134.02546446001</v>
      </c>
      <c r="CJ60" s="48">
        <f>+BZ60*DY60</f>
        <v>33470.737300000001</v>
      </c>
      <c r="CK60" s="51">
        <f t="shared" si="654"/>
        <v>110647.56336634001</v>
      </c>
      <c r="CL60" s="52">
        <f>+BZ60*DZ60</f>
        <v>32718.585899999998</v>
      </c>
      <c r="CM60" s="51">
        <f t="shared" si="655"/>
        <v>108161.10126821999</v>
      </c>
      <c r="CN60" s="53">
        <f>+BZ60*EA60</f>
        <v>31966.434499999999</v>
      </c>
      <c r="CO60" s="51">
        <f t="shared" si="656"/>
        <v>105674.6391701</v>
      </c>
      <c r="CP60" s="52">
        <f>+BZ60*EB60</f>
        <v>31214.283099999997</v>
      </c>
      <c r="CQ60" s="51">
        <f t="shared" si="657"/>
        <v>103188.17707198</v>
      </c>
      <c r="CR60" s="48">
        <f>+BZ60*EC60</f>
        <v>30462.131699999998</v>
      </c>
      <c r="CS60" s="51">
        <f t="shared" si="658"/>
        <v>100701.71497386</v>
      </c>
      <c r="CT60" s="53">
        <f>+BZ60*ED60</f>
        <v>29709.980299999996</v>
      </c>
      <c r="CU60" s="51">
        <f t="shared" si="659"/>
        <v>98215.252875739985</v>
      </c>
      <c r="CV60" s="53">
        <f>+BZ60*EE60</f>
        <v>28957.828899999997</v>
      </c>
      <c r="CW60" s="51">
        <f t="shared" si="660"/>
        <v>95728.790777619986</v>
      </c>
      <c r="CX60" s="53">
        <f>+BZ60*EF60</f>
        <v>28205.677499999994</v>
      </c>
      <c r="CY60" s="51">
        <f t="shared" si="661"/>
        <v>93242.328679499988</v>
      </c>
      <c r="CZ60" s="48">
        <f>+BZ60*EG60</f>
        <v>27453.526099999995</v>
      </c>
      <c r="DA60" s="51">
        <f t="shared" si="662"/>
        <v>90755.866581379989</v>
      </c>
      <c r="DB60" s="53">
        <f>+BZ60*EH60</f>
        <v>26701.374699999993</v>
      </c>
      <c r="DC60" s="51">
        <f t="shared" si="663"/>
        <v>88269.404483259976</v>
      </c>
      <c r="DD60" s="53">
        <f>+BZ60*EI60</f>
        <v>25949.223299999994</v>
      </c>
      <c r="DE60" s="51">
        <f t="shared" si="664"/>
        <v>85782.942385139977</v>
      </c>
      <c r="DF60" s="53">
        <f>+BZ60*EJ60</f>
        <v>25197.071899999992</v>
      </c>
      <c r="DG60" s="51">
        <f t="shared" si="665"/>
        <v>83296.480287019978</v>
      </c>
      <c r="DH60" s="53">
        <f>+BZ60*EK60</f>
        <v>24444.920499999993</v>
      </c>
      <c r="DI60" s="51">
        <f t="shared" si="666"/>
        <v>80810.01818889998</v>
      </c>
      <c r="DJ60" s="48">
        <f>+BZ60*EL60</f>
        <v>23692.76909999999</v>
      </c>
      <c r="DK60" s="51">
        <f t="shared" si="667"/>
        <v>78323.556090779966</v>
      </c>
      <c r="DL60" s="53">
        <f>+BZ60*EM60</f>
        <v>22940.617699999992</v>
      </c>
      <c r="DM60" s="51">
        <f t="shared" si="668"/>
        <v>75837.093992659968</v>
      </c>
      <c r="DN60" s="53">
        <f>+BZ60*EN60</f>
        <v>22188.466299999989</v>
      </c>
      <c r="DO60" s="51">
        <f t="shared" si="669"/>
        <v>73350.631894539969</v>
      </c>
      <c r="DP60" s="48">
        <f>+BZ60*EO60</f>
        <v>21436.31489999999</v>
      </c>
      <c r="DQ60" s="51">
        <f t="shared" si="670"/>
        <v>70864.16979641997</v>
      </c>
      <c r="DT60" s="48">
        <v>1</v>
      </c>
      <c r="DU60" s="48">
        <v>0.97</v>
      </c>
      <c r="DV60" s="48">
        <v>0.95</v>
      </c>
      <c r="DW60" s="48">
        <v>0.93</v>
      </c>
      <c r="DX60" s="48">
        <f t="shared" ref="DX60:EO60" si="709">+DW60-0.02</f>
        <v>0.91</v>
      </c>
      <c r="DY60" s="48">
        <f t="shared" si="709"/>
        <v>0.89</v>
      </c>
      <c r="DZ60" s="48">
        <f t="shared" si="709"/>
        <v>0.87</v>
      </c>
      <c r="EA60" s="48">
        <f t="shared" si="709"/>
        <v>0.85</v>
      </c>
      <c r="EB60" s="48">
        <f t="shared" si="709"/>
        <v>0.83</v>
      </c>
      <c r="EC60" s="48">
        <f t="shared" si="709"/>
        <v>0.80999999999999994</v>
      </c>
      <c r="ED60" s="48">
        <f t="shared" si="709"/>
        <v>0.78999999999999992</v>
      </c>
      <c r="EE60" s="48">
        <f t="shared" si="709"/>
        <v>0.76999999999999991</v>
      </c>
      <c r="EF60" s="48">
        <f t="shared" si="709"/>
        <v>0.74999999999999989</v>
      </c>
      <c r="EG60" s="48">
        <f t="shared" si="709"/>
        <v>0.72999999999999987</v>
      </c>
      <c r="EH60" s="48">
        <f t="shared" si="709"/>
        <v>0.70999999999999985</v>
      </c>
      <c r="EI60" s="48">
        <f t="shared" si="709"/>
        <v>0.68999999999999984</v>
      </c>
      <c r="EJ60" s="48">
        <f t="shared" si="709"/>
        <v>0.66999999999999982</v>
      </c>
      <c r="EK60" s="48">
        <f t="shared" si="709"/>
        <v>0.6499999999999998</v>
      </c>
      <c r="EL60" s="48">
        <f t="shared" si="709"/>
        <v>0.62999999999999978</v>
      </c>
      <c r="EM60" s="48">
        <f t="shared" si="709"/>
        <v>0.60999999999999976</v>
      </c>
      <c r="EN60" s="48">
        <f t="shared" si="709"/>
        <v>0.58999999999999975</v>
      </c>
      <c r="EO60" s="48">
        <f t="shared" si="709"/>
        <v>0.56999999999999973</v>
      </c>
      <c r="EQ60" s="48">
        <f t="shared" si="188"/>
        <v>34222.888700000003</v>
      </c>
      <c r="ER60" s="48">
        <f t="shared" si="116"/>
        <v>34222.888700000003</v>
      </c>
      <c r="ES60" s="51">
        <f t="shared" ref="ES60" si="710">+ER60*3.3058</f>
        <v>113134.02546446001</v>
      </c>
      <c r="ET60" s="48">
        <f t="shared" si="673"/>
        <v>33196.202039000003</v>
      </c>
      <c r="EU60" s="51">
        <f t="shared" si="674"/>
        <v>109740.00470052622</v>
      </c>
      <c r="EV60" s="48">
        <f t="shared" si="675"/>
        <v>32511.744265000001</v>
      </c>
      <c r="EW60" s="51">
        <f t="shared" si="676"/>
        <v>107477.324191237</v>
      </c>
      <c r="EX60" s="48">
        <f>+ER60*GO60</f>
        <v>31827.286491000006</v>
      </c>
      <c r="EY60" s="51">
        <f t="shared" si="677"/>
        <v>105214.64368194783</v>
      </c>
      <c r="EZ60" s="52">
        <f>+ER60*GP60</f>
        <v>31142.828717000004</v>
      </c>
      <c r="FA60" s="51">
        <f t="shared" si="678"/>
        <v>102951.96317265861</v>
      </c>
      <c r="FB60" s="48">
        <f>+ER60*GQ60</f>
        <v>30458.370943000002</v>
      </c>
      <c r="FC60" s="51">
        <f t="shared" si="679"/>
        <v>100689.28266336941</v>
      </c>
      <c r="FD60" s="52">
        <f>+ER60*GR60</f>
        <v>29773.913169000003</v>
      </c>
      <c r="FE60" s="51">
        <f t="shared" si="680"/>
        <v>98426.602154080218</v>
      </c>
      <c r="FF60" s="53">
        <f>+ER60*GS60</f>
        <v>29089.455395000001</v>
      </c>
      <c r="FG60" s="51">
        <f t="shared" si="681"/>
        <v>96163.921644791</v>
      </c>
      <c r="FH60" s="52">
        <f>+ER60*GT60</f>
        <v>28404.997621000002</v>
      </c>
      <c r="FI60" s="51">
        <f t="shared" si="682"/>
        <v>93901.241135501812</v>
      </c>
      <c r="FJ60" s="48">
        <f>+ER60*GU60</f>
        <v>27720.539847</v>
      </c>
      <c r="FK60" s="51">
        <f t="shared" si="683"/>
        <v>91638.560626212595</v>
      </c>
      <c r="FL60" s="53">
        <f>+ER60*GV60</f>
        <v>27036.082073000001</v>
      </c>
      <c r="FM60" s="51">
        <f t="shared" si="684"/>
        <v>89375.880116923407</v>
      </c>
      <c r="FN60" s="53">
        <f>+ER60*GW60</f>
        <v>26351.624298999999</v>
      </c>
      <c r="FO60" s="51">
        <f t="shared" si="685"/>
        <v>87113.199607634204</v>
      </c>
      <c r="FP60" s="53">
        <f>+ER60*GX60</f>
        <v>25667.166524999997</v>
      </c>
      <c r="FQ60" s="51">
        <f t="shared" si="686"/>
        <v>84850.519098344987</v>
      </c>
      <c r="FR60" s="48">
        <f>+ER60*GY60</f>
        <v>24982.708750999998</v>
      </c>
      <c r="FS60" s="51">
        <f t="shared" si="687"/>
        <v>82587.838589055798</v>
      </c>
      <c r="FT60" s="53">
        <f>+ER60*GZ60</f>
        <v>24298.250976999996</v>
      </c>
      <c r="FU60" s="51">
        <f t="shared" si="688"/>
        <v>80325.158079766596</v>
      </c>
      <c r="FV60" s="53">
        <f>+ER60*HA60</f>
        <v>23613.793202999997</v>
      </c>
      <c r="FW60" s="51">
        <f t="shared" si="689"/>
        <v>78062.477570477393</v>
      </c>
      <c r="FX60" s="53">
        <f>+ER60*HB60</f>
        <v>22929.335428999995</v>
      </c>
      <c r="FY60" s="51">
        <f t="shared" si="690"/>
        <v>75799.79706118819</v>
      </c>
      <c r="FZ60" s="53">
        <f>+ER60*HC60</f>
        <v>22244.877654999997</v>
      </c>
      <c r="GA60" s="51">
        <f t="shared" si="691"/>
        <v>73537.116551898987</v>
      </c>
      <c r="GB60" s="48">
        <f>+ER60*HD60</f>
        <v>21560.419880999994</v>
      </c>
      <c r="GC60" s="51">
        <f t="shared" si="692"/>
        <v>71274.436042609785</v>
      </c>
      <c r="GD60" s="53">
        <f>+ER60*HE60</f>
        <v>20875.962106999992</v>
      </c>
      <c r="GE60" s="51">
        <f t="shared" si="693"/>
        <v>69011.755533320582</v>
      </c>
      <c r="GF60" s="53">
        <f>+ER60*HF60</f>
        <v>20191.504332999993</v>
      </c>
      <c r="GG60" s="51">
        <f t="shared" si="694"/>
        <v>66749.075024031379</v>
      </c>
      <c r="GH60" s="48">
        <f>+ER60*HG60</f>
        <v>19507.046558999991</v>
      </c>
      <c r="GI60" s="51">
        <f t="shared" si="695"/>
        <v>64486.394514742169</v>
      </c>
      <c r="GJ60" s="48"/>
      <c r="GK60" s="48"/>
      <c r="GL60" s="48">
        <v>1</v>
      </c>
      <c r="GM60" s="48">
        <v>0.97</v>
      </c>
      <c r="GN60" s="48">
        <v>0.95</v>
      </c>
      <c r="GO60" s="48">
        <v>0.93</v>
      </c>
      <c r="GP60" s="48">
        <f t="shared" ref="GP60:HG60" si="711">+GO60-0.02</f>
        <v>0.91</v>
      </c>
      <c r="GQ60" s="48">
        <f t="shared" si="711"/>
        <v>0.89</v>
      </c>
      <c r="GR60" s="48">
        <f t="shared" si="711"/>
        <v>0.87</v>
      </c>
      <c r="GS60" s="48">
        <f t="shared" si="711"/>
        <v>0.85</v>
      </c>
      <c r="GT60" s="48">
        <f t="shared" si="711"/>
        <v>0.83</v>
      </c>
      <c r="GU60" s="48">
        <f t="shared" si="711"/>
        <v>0.80999999999999994</v>
      </c>
      <c r="GV60" s="48">
        <f t="shared" si="711"/>
        <v>0.78999999999999992</v>
      </c>
      <c r="GW60" s="48">
        <f t="shared" si="711"/>
        <v>0.76999999999999991</v>
      </c>
      <c r="GX60" s="48">
        <f t="shared" si="711"/>
        <v>0.74999999999999989</v>
      </c>
      <c r="GY60" s="48">
        <f t="shared" si="711"/>
        <v>0.72999999999999987</v>
      </c>
      <c r="GZ60" s="48">
        <f t="shared" si="711"/>
        <v>0.70999999999999985</v>
      </c>
      <c r="HA60" s="48">
        <f t="shared" si="711"/>
        <v>0.68999999999999984</v>
      </c>
      <c r="HB60" s="48">
        <f t="shared" si="711"/>
        <v>0.66999999999999982</v>
      </c>
      <c r="HC60" s="48">
        <f t="shared" si="711"/>
        <v>0.6499999999999998</v>
      </c>
      <c r="HD60" s="48">
        <f t="shared" si="711"/>
        <v>0.62999999999999978</v>
      </c>
      <c r="HE60" s="48">
        <f t="shared" si="711"/>
        <v>0.60999999999999976</v>
      </c>
      <c r="HF60" s="48">
        <f t="shared" si="711"/>
        <v>0.58999999999999975</v>
      </c>
      <c r="HG60" s="48">
        <f t="shared" si="711"/>
        <v>0.56999999999999973</v>
      </c>
    </row>
    <row r="61" spans="1:215" s="54" customFormat="1" x14ac:dyDescent="0.3">
      <c r="C61" s="55"/>
      <c r="D61" s="55"/>
      <c r="E61" s="55"/>
      <c r="G61" s="56"/>
      <c r="H61" s="56"/>
      <c r="I61" s="56"/>
      <c r="J61" s="56"/>
      <c r="K61" s="56"/>
      <c r="L61" s="56"/>
      <c r="M61" s="56"/>
      <c r="N61" s="56"/>
      <c r="O61" s="56"/>
      <c r="P61" s="57"/>
      <c r="Q61" s="56"/>
      <c r="R61" s="56"/>
      <c r="S61" s="56"/>
      <c r="T61" s="57"/>
      <c r="U61" s="56"/>
      <c r="V61" s="58"/>
      <c r="W61" s="56"/>
      <c r="X61" s="57"/>
      <c r="Y61" s="56"/>
      <c r="Z61" s="56"/>
      <c r="AA61" s="56"/>
      <c r="AB61" s="58"/>
      <c r="AC61" s="56"/>
      <c r="AD61" s="58"/>
      <c r="AE61" s="56"/>
      <c r="AF61" s="58"/>
      <c r="AG61" s="56"/>
      <c r="AH61" s="56"/>
      <c r="AI61" s="56"/>
      <c r="AJ61" s="58"/>
      <c r="AK61" s="56"/>
      <c r="AL61" s="58"/>
      <c r="AM61" s="56"/>
      <c r="AN61" s="58"/>
      <c r="AO61" s="56"/>
      <c r="AP61" s="58"/>
      <c r="AQ61" s="56"/>
      <c r="AR61" s="56"/>
      <c r="AS61" s="56"/>
      <c r="AT61" s="58"/>
      <c r="AU61" s="56"/>
      <c r="AV61" s="58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6"/>
      <c r="BM61" s="56"/>
      <c r="BN61" s="56"/>
      <c r="BO61" s="56"/>
      <c r="BP61" s="56"/>
      <c r="BQ61" s="56"/>
      <c r="BR61" s="56"/>
      <c r="BS61" s="56"/>
      <c r="BT61" s="56"/>
      <c r="BU61" s="56"/>
      <c r="BV61" s="56"/>
      <c r="BW61" s="56"/>
      <c r="BX61" s="56"/>
      <c r="BY61" s="56">
        <f t="shared" si="88"/>
        <v>0</v>
      </c>
      <c r="BZ61" s="56"/>
      <c r="CA61" s="56"/>
      <c r="CB61" s="56"/>
      <c r="CC61" s="56"/>
      <c r="CD61" s="56"/>
      <c r="CE61" s="56"/>
      <c r="CF61" s="56"/>
      <c r="CG61" s="56"/>
      <c r="CH61" s="57"/>
      <c r="CI61" s="56"/>
      <c r="CJ61" s="56"/>
      <c r="CK61" s="56"/>
      <c r="CL61" s="57"/>
      <c r="CM61" s="56"/>
      <c r="CN61" s="58"/>
      <c r="CO61" s="56"/>
      <c r="CP61" s="57"/>
      <c r="CQ61" s="56"/>
      <c r="CR61" s="56"/>
      <c r="CS61" s="56"/>
      <c r="CT61" s="58"/>
      <c r="CU61" s="56"/>
      <c r="CV61" s="58"/>
      <c r="CW61" s="56"/>
      <c r="CX61" s="58"/>
      <c r="CY61" s="56"/>
      <c r="CZ61" s="56"/>
      <c r="DA61" s="56"/>
      <c r="DB61" s="58"/>
      <c r="DC61" s="56"/>
      <c r="DD61" s="58"/>
      <c r="DE61" s="56"/>
      <c r="DF61" s="58"/>
      <c r="DG61" s="56"/>
      <c r="DH61" s="58"/>
      <c r="DI61" s="56"/>
      <c r="DJ61" s="56"/>
      <c r="DK61" s="56"/>
      <c r="DL61" s="58"/>
      <c r="DM61" s="56"/>
      <c r="DN61" s="58"/>
      <c r="DO61" s="56"/>
      <c r="DP61" s="56"/>
      <c r="DQ61" s="56"/>
      <c r="DR61" s="56"/>
      <c r="DS61" s="56"/>
      <c r="DT61" s="56">
        <v>1</v>
      </c>
      <c r="DU61" s="56">
        <v>0.97</v>
      </c>
      <c r="DV61" s="56">
        <v>0.95</v>
      </c>
      <c r="DW61" s="56">
        <v>0.93</v>
      </c>
      <c r="DX61" s="56">
        <f t="shared" ref="DX61:EO61" si="712">+DW61-0.02</f>
        <v>0.91</v>
      </c>
      <c r="DY61" s="56">
        <f t="shared" si="712"/>
        <v>0.89</v>
      </c>
      <c r="DZ61" s="56">
        <f t="shared" si="712"/>
        <v>0.87</v>
      </c>
      <c r="EA61" s="56">
        <f t="shared" si="712"/>
        <v>0.85</v>
      </c>
      <c r="EB61" s="56">
        <f t="shared" si="712"/>
        <v>0.83</v>
      </c>
      <c r="EC61" s="56">
        <f t="shared" si="712"/>
        <v>0.80999999999999994</v>
      </c>
      <c r="ED61" s="56">
        <f t="shared" si="712"/>
        <v>0.78999999999999992</v>
      </c>
      <c r="EE61" s="56">
        <f t="shared" si="712"/>
        <v>0.76999999999999991</v>
      </c>
      <c r="EF61" s="56">
        <f t="shared" si="712"/>
        <v>0.74999999999999989</v>
      </c>
      <c r="EG61" s="56">
        <f t="shared" si="712"/>
        <v>0.72999999999999987</v>
      </c>
      <c r="EH61" s="56">
        <f t="shared" si="712"/>
        <v>0.70999999999999985</v>
      </c>
      <c r="EI61" s="56">
        <f t="shared" si="712"/>
        <v>0.68999999999999984</v>
      </c>
      <c r="EJ61" s="56">
        <f t="shared" si="712"/>
        <v>0.66999999999999982</v>
      </c>
      <c r="EK61" s="56">
        <f t="shared" si="712"/>
        <v>0.6499999999999998</v>
      </c>
      <c r="EL61" s="56">
        <f t="shared" si="712"/>
        <v>0.62999999999999978</v>
      </c>
      <c r="EM61" s="56">
        <f t="shared" si="712"/>
        <v>0.60999999999999976</v>
      </c>
      <c r="EN61" s="56">
        <f t="shared" si="712"/>
        <v>0.58999999999999975</v>
      </c>
      <c r="EO61" s="56">
        <f t="shared" si="712"/>
        <v>0.56999999999999973</v>
      </c>
      <c r="EQ61" s="56">
        <f t="shared" si="188"/>
        <v>0</v>
      </c>
      <c r="ER61" s="56"/>
      <c r="ES61" s="56"/>
      <c r="ET61" s="56"/>
      <c r="EU61" s="56"/>
      <c r="EV61" s="56"/>
      <c r="EW61" s="56"/>
      <c r="EX61" s="56"/>
      <c r="EY61" s="56"/>
      <c r="EZ61" s="57"/>
      <c r="FA61" s="56"/>
      <c r="FB61" s="56"/>
      <c r="FC61" s="56"/>
      <c r="FD61" s="57"/>
      <c r="FE61" s="56"/>
      <c r="FF61" s="58"/>
      <c r="FG61" s="56"/>
      <c r="FH61" s="57"/>
      <c r="FI61" s="56"/>
      <c r="FJ61" s="56"/>
      <c r="FK61" s="56"/>
      <c r="FL61" s="58"/>
      <c r="FM61" s="56"/>
      <c r="FN61" s="58"/>
      <c r="FO61" s="56"/>
      <c r="FP61" s="58"/>
      <c r="FQ61" s="56"/>
      <c r="FR61" s="56"/>
      <c r="FS61" s="56"/>
      <c r="FT61" s="58"/>
      <c r="FU61" s="56"/>
      <c r="FV61" s="58"/>
      <c r="FW61" s="56"/>
      <c r="FX61" s="58"/>
      <c r="FY61" s="56"/>
      <c r="FZ61" s="58"/>
      <c r="GA61" s="56"/>
      <c r="GB61" s="56"/>
      <c r="GC61" s="56"/>
      <c r="GD61" s="58"/>
      <c r="GE61" s="56"/>
      <c r="GF61" s="58"/>
      <c r="GG61" s="56"/>
      <c r="GH61" s="56"/>
      <c r="GI61" s="56"/>
      <c r="GJ61" s="56"/>
      <c r="GK61" s="56"/>
      <c r="GL61" s="56">
        <v>1</v>
      </c>
      <c r="GM61" s="56">
        <v>0.97</v>
      </c>
      <c r="GN61" s="56">
        <v>0.95</v>
      </c>
      <c r="GO61" s="56">
        <v>0.93</v>
      </c>
      <c r="GP61" s="56">
        <f t="shared" ref="GP61:HG61" si="713">+GO61-0.02</f>
        <v>0.91</v>
      </c>
      <c r="GQ61" s="56">
        <f t="shared" si="713"/>
        <v>0.89</v>
      </c>
      <c r="GR61" s="56">
        <f t="shared" si="713"/>
        <v>0.87</v>
      </c>
      <c r="GS61" s="56">
        <f t="shared" si="713"/>
        <v>0.85</v>
      </c>
      <c r="GT61" s="56">
        <f t="shared" si="713"/>
        <v>0.83</v>
      </c>
      <c r="GU61" s="56">
        <f t="shared" si="713"/>
        <v>0.80999999999999994</v>
      </c>
      <c r="GV61" s="56">
        <f t="shared" si="713"/>
        <v>0.78999999999999992</v>
      </c>
      <c r="GW61" s="56">
        <f t="shared" si="713"/>
        <v>0.76999999999999991</v>
      </c>
      <c r="GX61" s="56">
        <f t="shared" si="713"/>
        <v>0.74999999999999989</v>
      </c>
      <c r="GY61" s="56">
        <f t="shared" si="713"/>
        <v>0.72999999999999987</v>
      </c>
      <c r="GZ61" s="56">
        <f t="shared" si="713"/>
        <v>0.70999999999999985</v>
      </c>
      <c r="HA61" s="56">
        <f t="shared" si="713"/>
        <v>0.68999999999999984</v>
      </c>
      <c r="HB61" s="56">
        <f t="shared" si="713"/>
        <v>0.66999999999999982</v>
      </c>
      <c r="HC61" s="56">
        <f t="shared" si="713"/>
        <v>0.6499999999999998</v>
      </c>
      <c r="HD61" s="56">
        <f t="shared" si="713"/>
        <v>0.62999999999999978</v>
      </c>
      <c r="HE61" s="56">
        <f t="shared" si="713"/>
        <v>0.60999999999999976</v>
      </c>
      <c r="HF61" s="56">
        <f t="shared" si="713"/>
        <v>0.58999999999999975</v>
      </c>
      <c r="HG61" s="56">
        <f t="shared" si="713"/>
        <v>0.56999999999999973</v>
      </c>
    </row>
    <row r="62" spans="1:215" s="54" customFormat="1" ht="17.25" thickBot="1" x14ac:dyDescent="0.35">
      <c r="B62" s="54" t="s">
        <v>130</v>
      </c>
      <c r="C62" s="54" t="s">
        <v>131</v>
      </c>
      <c r="D62" s="55" t="s">
        <v>49</v>
      </c>
      <c r="E62" s="55" t="s">
        <v>61</v>
      </c>
      <c r="G62" s="56"/>
      <c r="H62" s="56"/>
      <c r="I62" s="56"/>
      <c r="J62" s="56"/>
      <c r="K62" s="56"/>
      <c r="L62" s="56"/>
      <c r="M62" s="56"/>
      <c r="N62" s="56"/>
      <c r="O62" s="56"/>
      <c r="P62" s="57"/>
      <c r="Q62" s="56"/>
      <c r="R62" s="56"/>
      <c r="S62" s="56"/>
      <c r="T62" s="57"/>
      <c r="U62" s="56"/>
      <c r="V62" s="58"/>
      <c r="W62" s="56"/>
      <c r="X62" s="57"/>
      <c r="Y62" s="56"/>
      <c r="Z62" s="56"/>
      <c r="AA62" s="56"/>
      <c r="AB62" s="58"/>
      <c r="AC62" s="56"/>
      <c r="AD62" s="58"/>
      <c r="AE62" s="56"/>
      <c r="AF62" s="58"/>
      <c r="AG62" s="56"/>
      <c r="AH62" s="56"/>
      <c r="AI62" s="56"/>
      <c r="AJ62" s="58"/>
      <c r="AK62" s="56"/>
      <c r="AL62" s="58"/>
      <c r="AM62" s="56"/>
      <c r="AN62" s="58"/>
      <c r="AO62" s="56"/>
      <c r="AP62" s="58"/>
      <c r="AQ62" s="56"/>
      <c r="AR62" s="56"/>
      <c r="AS62" s="56"/>
      <c r="AT62" s="58"/>
      <c r="AU62" s="56"/>
      <c r="AV62" s="58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6"/>
      <c r="BM62" s="56"/>
      <c r="BN62" s="56"/>
      <c r="BO62" s="56"/>
      <c r="BP62" s="56"/>
      <c r="BQ62" s="56"/>
      <c r="BR62" s="56"/>
      <c r="BS62" s="56"/>
      <c r="BT62" s="56"/>
      <c r="BU62" s="56"/>
      <c r="BV62" s="56"/>
      <c r="BW62" s="56"/>
      <c r="BX62" s="56"/>
      <c r="BY62" s="56">
        <f t="shared" si="88"/>
        <v>0</v>
      </c>
      <c r="BZ62" s="56"/>
      <c r="CA62" s="56"/>
      <c r="CB62" s="56"/>
      <c r="CC62" s="56"/>
      <c r="CD62" s="56"/>
      <c r="CE62" s="56"/>
      <c r="CF62" s="56"/>
      <c r="CG62" s="56"/>
      <c r="CH62" s="57"/>
      <c r="CI62" s="56"/>
      <c r="CJ62" s="56"/>
      <c r="CK62" s="56"/>
      <c r="CL62" s="57"/>
      <c r="CM62" s="56"/>
      <c r="CN62" s="58"/>
      <c r="CO62" s="56"/>
      <c r="CP62" s="57"/>
      <c r="CQ62" s="56"/>
      <c r="CR62" s="56"/>
      <c r="CS62" s="56"/>
      <c r="CT62" s="58"/>
      <c r="CU62" s="56"/>
      <c r="CV62" s="58"/>
      <c r="CW62" s="56"/>
      <c r="CX62" s="58"/>
      <c r="CY62" s="56"/>
      <c r="CZ62" s="56"/>
      <c r="DA62" s="56"/>
      <c r="DB62" s="58"/>
      <c r="DC62" s="56"/>
      <c r="DD62" s="58"/>
      <c r="DE62" s="56"/>
      <c r="DF62" s="58"/>
      <c r="DG62" s="56"/>
      <c r="DH62" s="58"/>
      <c r="DI62" s="56"/>
      <c r="DJ62" s="56"/>
      <c r="DK62" s="56"/>
      <c r="DL62" s="58"/>
      <c r="DM62" s="56"/>
      <c r="DN62" s="58"/>
      <c r="DO62" s="56"/>
      <c r="DP62" s="56"/>
      <c r="DQ62" s="56"/>
      <c r="DR62" s="56"/>
      <c r="DS62" s="56"/>
      <c r="DT62" s="56">
        <v>1</v>
      </c>
      <c r="DU62" s="56">
        <v>0.97</v>
      </c>
      <c r="DV62" s="56">
        <v>0.95</v>
      </c>
      <c r="DW62" s="56">
        <v>0.93</v>
      </c>
      <c r="DX62" s="56">
        <f t="shared" ref="DX62:EO62" si="714">+DW62-0.02</f>
        <v>0.91</v>
      </c>
      <c r="DY62" s="56">
        <f t="shared" si="714"/>
        <v>0.89</v>
      </c>
      <c r="DZ62" s="56">
        <f t="shared" si="714"/>
        <v>0.87</v>
      </c>
      <c r="EA62" s="56">
        <f t="shared" si="714"/>
        <v>0.85</v>
      </c>
      <c r="EB62" s="56">
        <f t="shared" si="714"/>
        <v>0.83</v>
      </c>
      <c r="EC62" s="56">
        <f t="shared" si="714"/>
        <v>0.80999999999999994</v>
      </c>
      <c r="ED62" s="56">
        <f t="shared" si="714"/>
        <v>0.78999999999999992</v>
      </c>
      <c r="EE62" s="56">
        <f t="shared" si="714"/>
        <v>0.76999999999999991</v>
      </c>
      <c r="EF62" s="56">
        <f t="shared" si="714"/>
        <v>0.74999999999999989</v>
      </c>
      <c r="EG62" s="56">
        <f t="shared" si="714"/>
        <v>0.72999999999999987</v>
      </c>
      <c r="EH62" s="56">
        <f t="shared" si="714"/>
        <v>0.70999999999999985</v>
      </c>
      <c r="EI62" s="56">
        <f t="shared" si="714"/>
        <v>0.68999999999999984</v>
      </c>
      <c r="EJ62" s="56">
        <f t="shared" si="714"/>
        <v>0.66999999999999982</v>
      </c>
      <c r="EK62" s="56">
        <f t="shared" si="714"/>
        <v>0.6499999999999998</v>
      </c>
      <c r="EL62" s="56">
        <f t="shared" si="714"/>
        <v>0.62999999999999978</v>
      </c>
      <c r="EM62" s="56">
        <f t="shared" si="714"/>
        <v>0.60999999999999976</v>
      </c>
      <c r="EN62" s="56">
        <f t="shared" si="714"/>
        <v>0.58999999999999975</v>
      </c>
      <c r="EO62" s="56">
        <f t="shared" si="714"/>
        <v>0.56999999999999973</v>
      </c>
      <c r="EQ62" s="56">
        <f t="shared" si="188"/>
        <v>0</v>
      </c>
      <c r="ER62" s="56"/>
      <c r="ES62" s="56"/>
      <c r="ET62" s="56"/>
      <c r="EU62" s="56"/>
      <c r="EV62" s="56"/>
      <c r="EW62" s="56"/>
      <c r="EX62" s="56"/>
      <c r="EY62" s="56"/>
      <c r="EZ62" s="57"/>
      <c r="FA62" s="56"/>
      <c r="FB62" s="56"/>
      <c r="FC62" s="56"/>
      <c r="FD62" s="57"/>
      <c r="FE62" s="56"/>
      <c r="FF62" s="58"/>
      <c r="FG62" s="56"/>
      <c r="FH62" s="57"/>
      <c r="FI62" s="56"/>
      <c r="FJ62" s="56"/>
      <c r="FK62" s="56"/>
      <c r="FL62" s="58"/>
      <c r="FM62" s="56"/>
      <c r="FN62" s="58"/>
      <c r="FO62" s="56"/>
      <c r="FP62" s="58"/>
      <c r="FQ62" s="56"/>
      <c r="FR62" s="56"/>
      <c r="FS62" s="56"/>
      <c r="FT62" s="58"/>
      <c r="FU62" s="56"/>
      <c r="FV62" s="58"/>
      <c r="FW62" s="56"/>
      <c r="FX62" s="58"/>
      <c r="FY62" s="56"/>
      <c r="FZ62" s="58"/>
      <c r="GA62" s="56"/>
      <c r="GB62" s="56"/>
      <c r="GC62" s="56"/>
      <c r="GD62" s="58"/>
      <c r="GE62" s="56"/>
      <c r="GF62" s="58"/>
      <c r="GG62" s="56"/>
      <c r="GH62" s="56"/>
      <c r="GI62" s="56"/>
      <c r="GJ62" s="56"/>
      <c r="GK62" s="56"/>
      <c r="GL62" s="56">
        <v>1</v>
      </c>
      <c r="GM62" s="56">
        <v>0.97</v>
      </c>
      <c r="GN62" s="56">
        <v>0.95</v>
      </c>
      <c r="GO62" s="56">
        <v>0.93</v>
      </c>
      <c r="GP62" s="56">
        <f t="shared" ref="GP62:HG62" si="715">+GO62-0.02</f>
        <v>0.91</v>
      </c>
      <c r="GQ62" s="56">
        <f t="shared" si="715"/>
        <v>0.89</v>
      </c>
      <c r="GR62" s="56">
        <f t="shared" si="715"/>
        <v>0.87</v>
      </c>
      <c r="GS62" s="56">
        <f t="shared" si="715"/>
        <v>0.85</v>
      </c>
      <c r="GT62" s="56">
        <f t="shared" si="715"/>
        <v>0.83</v>
      </c>
      <c r="GU62" s="56">
        <f t="shared" si="715"/>
        <v>0.80999999999999994</v>
      </c>
      <c r="GV62" s="56">
        <f t="shared" si="715"/>
        <v>0.78999999999999992</v>
      </c>
      <c r="GW62" s="56">
        <f t="shared" si="715"/>
        <v>0.76999999999999991</v>
      </c>
      <c r="GX62" s="56">
        <f t="shared" si="715"/>
        <v>0.74999999999999989</v>
      </c>
      <c r="GY62" s="56">
        <f t="shared" si="715"/>
        <v>0.72999999999999987</v>
      </c>
      <c r="GZ62" s="56">
        <f t="shared" si="715"/>
        <v>0.70999999999999985</v>
      </c>
      <c r="HA62" s="56">
        <f t="shared" si="715"/>
        <v>0.68999999999999984</v>
      </c>
      <c r="HB62" s="56">
        <f t="shared" si="715"/>
        <v>0.66999999999999982</v>
      </c>
      <c r="HC62" s="56">
        <f t="shared" si="715"/>
        <v>0.6499999999999998</v>
      </c>
      <c r="HD62" s="56">
        <f t="shared" si="715"/>
        <v>0.62999999999999978</v>
      </c>
      <c r="HE62" s="56">
        <f t="shared" si="715"/>
        <v>0.60999999999999976</v>
      </c>
      <c r="HF62" s="56">
        <f t="shared" si="715"/>
        <v>0.58999999999999975</v>
      </c>
      <c r="HG62" s="56">
        <f t="shared" si="715"/>
        <v>0.56999999999999973</v>
      </c>
    </row>
    <row r="63" spans="1:215" x14ac:dyDescent="0.3">
      <c r="A63" s="2">
        <v>1</v>
      </c>
      <c r="C63" s="39" t="s">
        <v>132</v>
      </c>
      <c r="D63" s="42">
        <f>TRUNC(3186.05882352941,-1)</f>
        <v>3180</v>
      </c>
      <c r="E63" s="72">
        <f t="shared" ref="E63:E88" si="716">TRUNC(+D63*3.3058,-1)</f>
        <v>10510</v>
      </c>
      <c r="G63" s="48">
        <f t="shared" si="61"/>
        <v>3498.0000000000005</v>
      </c>
      <c r="H63" s="48">
        <f t="shared" si="62"/>
        <v>3498.0000000000005</v>
      </c>
      <c r="I63" s="51">
        <f t="shared" si="63"/>
        <v>11563.688400000001</v>
      </c>
      <c r="J63" s="48">
        <f t="shared" ref="J63:J89" si="717">+H63*BC63</f>
        <v>3393.0600000000004</v>
      </c>
      <c r="K63" s="51">
        <f t="shared" ref="K63:K89" si="718">+J63*3.3058</f>
        <v>11216.777748000002</v>
      </c>
      <c r="L63" s="48">
        <f t="shared" ref="L63:L89" si="719">+H63*BD63</f>
        <v>3323.1000000000004</v>
      </c>
      <c r="M63" s="51">
        <f t="shared" ref="M63:M89" si="720">+L63*3.3058</f>
        <v>10985.503980000001</v>
      </c>
      <c r="N63" s="48">
        <f t="shared" ref="N63:N89" si="721">+H63*BE63</f>
        <v>3253.1400000000008</v>
      </c>
      <c r="O63" s="51">
        <f t="shared" ref="O63:O89" si="722">+N63*3.3058</f>
        <v>10754.230212000002</v>
      </c>
      <c r="P63" s="52">
        <f t="shared" ref="P63:P89" si="723">+H63*BF63</f>
        <v>3183.1800000000007</v>
      </c>
      <c r="Q63" s="51">
        <f t="shared" ref="Q63:Q89" si="724">+P63*3.3058</f>
        <v>10522.956444000003</v>
      </c>
      <c r="R63" s="48">
        <f t="shared" ref="R63:R89" si="725">+H63*BG63</f>
        <v>3113.2200000000003</v>
      </c>
      <c r="S63" s="51">
        <f t="shared" ref="S63:S89" si="726">+R63*3.3058</f>
        <v>10291.682676</v>
      </c>
      <c r="T63" s="52">
        <f t="shared" ref="T63:T89" si="727">+H63*BH63</f>
        <v>3043.26</v>
      </c>
      <c r="U63" s="51">
        <f t="shared" ref="U63:U89" si="728">+T63*3.3058</f>
        <v>10060.408908000001</v>
      </c>
      <c r="V63" s="53">
        <f t="shared" ref="V63:V89" si="729">+H63*BI63</f>
        <v>2973.3</v>
      </c>
      <c r="W63" s="51">
        <f t="shared" ref="W63:W89" si="730">+V63*3.3058</f>
        <v>9829.1351400000003</v>
      </c>
      <c r="X63" s="52">
        <f t="shared" ref="X63:X89" si="731">+H63*BJ63</f>
        <v>2903.34</v>
      </c>
      <c r="Y63" s="51">
        <f t="shared" ref="Y63:Y89" si="732">+X63*3.3058</f>
        <v>9597.8613720000012</v>
      </c>
      <c r="Z63" s="48">
        <f t="shared" ref="Z63:Z89" si="733">+H63*BK63</f>
        <v>2833.38</v>
      </c>
      <c r="AA63" s="51">
        <f t="shared" ref="AA63:AA89" si="734">+Z63*3.3058</f>
        <v>9366.5876040000003</v>
      </c>
      <c r="AB63" s="53">
        <f t="shared" ref="AB63:AB89" si="735">+H63*BL63</f>
        <v>2763.42</v>
      </c>
      <c r="AC63" s="51">
        <f t="shared" ref="AC63:AC89" si="736">+AB63*3.3058</f>
        <v>9135.3138360000012</v>
      </c>
      <c r="AD63" s="53">
        <f t="shared" ref="AD63:AD89" si="737">+H63*BM63</f>
        <v>2693.46</v>
      </c>
      <c r="AE63" s="51">
        <f t="shared" ref="AE63:AE89" si="738">+AD63*3.3058</f>
        <v>8904.0400680000002</v>
      </c>
      <c r="AF63" s="53">
        <f t="shared" ref="AF63:AF89" si="739">+H63*BN63</f>
        <v>2623.5</v>
      </c>
      <c r="AG63" s="51">
        <f t="shared" ref="AG63:AG89" si="740">+AF63*3.3058</f>
        <v>8672.7662999999993</v>
      </c>
      <c r="AH63" s="48">
        <f t="shared" ref="AH63:AH89" si="741">+H63*BO63</f>
        <v>2553.54</v>
      </c>
      <c r="AI63" s="51">
        <f t="shared" ref="AI63:AI89" si="742">+AH63*3.3058</f>
        <v>8441.4925320000002</v>
      </c>
      <c r="AJ63" s="53">
        <f t="shared" ref="AJ63:AJ89" si="743">+H63*BP63</f>
        <v>2483.58</v>
      </c>
      <c r="AK63" s="51">
        <f t="shared" ref="AK63:AK89" si="744">+AJ63*3.3058</f>
        <v>8210.2187639999993</v>
      </c>
      <c r="AL63" s="53">
        <f t="shared" ref="AL63:AL89" si="745">+H63*BQ63</f>
        <v>2413.62</v>
      </c>
      <c r="AM63" s="51">
        <f t="shared" ref="AM63:AM89" si="746">+AL63*3.3058</f>
        <v>7978.9449960000002</v>
      </c>
      <c r="AN63" s="53">
        <f t="shared" ref="AN63:AN89" si="747">+H63*BR63</f>
        <v>2343.66</v>
      </c>
      <c r="AO63" s="51">
        <f t="shared" ref="AO63:AO89" si="748">+AN63*3.3058</f>
        <v>7747.6712279999992</v>
      </c>
      <c r="AP63" s="53">
        <f t="shared" ref="AP63:AP89" si="749">+H63*BS63</f>
        <v>2273.6999999999998</v>
      </c>
      <c r="AQ63" s="51">
        <f t="shared" ref="AQ63:AQ89" si="750">+AP63*3.3058</f>
        <v>7516.3974599999992</v>
      </c>
      <c r="AR63" s="48">
        <f t="shared" ref="AR63:AR89" si="751">+H63*BT63</f>
        <v>2203.7399999999993</v>
      </c>
      <c r="AS63" s="51">
        <f t="shared" ref="AS63:AS89" si="752">+AR63*3.3058</f>
        <v>7285.1236919999983</v>
      </c>
      <c r="AT63" s="53">
        <f t="shared" ref="AT63:AT89" si="753">+H63*BU63</f>
        <v>2133.7799999999993</v>
      </c>
      <c r="AU63" s="51">
        <f t="shared" ref="AU63:AU89" si="754">+AT63*3.3058</f>
        <v>7053.8499239999974</v>
      </c>
      <c r="AV63" s="53">
        <f t="shared" ref="AV63:AV89" si="755">+H63*BV63</f>
        <v>2063.8199999999993</v>
      </c>
      <c r="AW63" s="51">
        <f t="shared" ref="AW63:AW89" si="756">+AV63*3.3058</f>
        <v>6822.5761559999974</v>
      </c>
      <c r="AX63" s="48">
        <f t="shared" ref="AX63:AX89" si="757">+H63*BW63</f>
        <v>1993.8599999999992</v>
      </c>
      <c r="AY63" s="51">
        <f t="shared" ref="AY63:AY89" si="758">+AX63*3.3058</f>
        <v>6591.3023879999973</v>
      </c>
      <c r="BB63" s="48">
        <v>1</v>
      </c>
      <c r="BC63" s="48">
        <v>0.97</v>
      </c>
      <c r="BD63" s="48">
        <v>0.95</v>
      </c>
      <c r="BE63" s="48">
        <v>0.93</v>
      </c>
      <c r="BF63" s="48">
        <f t="shared" ref="BF63:BW63" si="759">+BE63-0.02</f>
        <v>0.91</v>
      </c>
      <c r="BG63" s="48">
        <f t="shared" si="759"/>
        <v>0.89</v>
      </c>
      <c r="BH63" s="48">
        <f t="shared" si="759"/>
        <v>0.87</v>
      </c>
      <c r="BI63" s="48">
        <f t="shared" si="759"/>
        <v>0.85</v>
      </c>
      <c r="BJ63" s="48">
        <f t="shared" si="759"/>
        <v>0.83</v>
      </c>
      <c r="BK63" s="48">
        <f t="shared" si="759"/>
        <v>0.80999999999999994</v>
      </c>
      <c r="BL63" s="48">
        <f t="shared" si="759"/>
        <v>0.78999999999999992</v>
      </c>
      <c r="BM63" s="48">
        <f t="shared" si="759"/>
        <v>0.76999999999999991</v>
      </c>
      <c r="BN63" s="48">
        <f t="shared" si="759"/>
        <v>0.74999999999999989</v>
      </c>
      <c r="BO63" s="48">
        <f t="shared" si="759"/>
        <v>0.72999999999999987</v>
      </c>
      <c r="BP63" s="48">
        <f t="shared" si="759"/>
        <v>0.70999999999999985</v>
      </c>
      <c r="BQ63" s="48">
        <f t="shared" si="759"/>
        <v>0.68999999999999984</v>
      </c>
      <c r="BR63" s="48">
        <f t="shared" si="759"/>
        <v>0.66999999999999982</v>
      </c>
      <c r="BS63" s="48">
        <f t="shared" si="759"/>
        <v>0.6499999999999998</v>
      </c>
      <c r="BT63" s="48">
        <f t="shared" si="759"/>
        <v>0.62999999999999978</v>
      </c>
      <c r="BU63" s="48">
        <f t="shared" si="759"/>
        <v>0.60999999999999976</v>
      </c>
      <c r="BV63" s="48">
        <f t="shared" si="759"/>
        <v>0.58999999999999975</v>
      </c>
      <c r="BW63" s="48">
        <f t="shared" si="759"/>
        <v>0.56999999999999973</v>
      </c>
      <c r="BY63" s="48">
        <f t="shared" si="88"/>
        <v>3183.1800000000007</v>
      </c>
      <c r="BZ63" s="48">
        <f t="shared" si="89"/>
        <v>3183.1800000000007</v>
      </c>
      <c r="CA63" s="51">
        <f t="shared" ref="CA63" si="760">+BZ63*3.3058</f>
        <v>10522.956444000003</v>
      </c>
      <c r="CB63" s="48">
        <f t="shared" ref="CB63:CB89" si="761">+BZ63*DU63</f>
        <v>3087.6846000000005</v>
      </c>
      <c r="CC63" s="51">
        <f t="shared" ref="CC63:CC89" si="762">+CB63*3.3058</f>
        <v>10207.267750680001</v>
      </c>
      <c r="CD63" s="48">
        <f t="shared" ref="CD63:CD89" si="763">+BZ63*DV63</f>
        <v>3024.0210000000006</v>
      </c>
      <c r="CE63" s="51">
        <f t="shared" ref="CE63:CE89" si="764">+CD63*3.3058</f>
        <v>9996.8086218000026</v>
      </c>
      <c r="CF63" s="48">
        <f t="shared" ref="CF63:CF89" si="765">+BZ63*DW63</f>
        <v>2960.3574000000008</v>
      </c>
      <c r="CG63" s="51">
        <f t="shared" ref="CG63:CG89" si="766">+CF63*3.3058</f>
        <v>9786.3494929200024</v>
      </c>
      <c r="CH63" s="52">
        <f t="shared" ref="CH63:CH89" si="767">+BZ63*DX63</f>
        <v>2896.6938000000009</v>
      </c>
      <c r="CI63" s="51">
        <f t="shared" ref="CI63:CI89" si="768">+CH63*3.3058</f>
        <v>9575.890364040004</v>
      </c>
      <c r="CJ63" s="48">
        <f t="shared" ref="CJ63:CJ89" si="769">+BZ63*DY63</f>
        <v>2833.0302000000006</v>
      </c>
      <c r="CK63" s="51">
        <f t="shared" ref="CK63:CK89" si="770">+CJ63*3.3058</f>
        <v>9365.431235160002</v>
      </c>
      <c r="CL63" s="52">
        <f t="shared" ref="CL63:CL89" si="771">+BZ63*DZ63</f>
        <v>2769.3666000000007</v>
      </c>
      <c r="CM63" s="51">
        <f t="shared" ref="CM63:CM89" si="772">+CL63*3.3058</f>
        <v>9154.9721062800018</v>
      </c>
      <c r="CN63" s="53">
        <f t="shared" ref="CN63:CN89" si="773">+BZ63*EA63</f>
        <v>2705.7030000000004</v>
      </c>
      <c r="CO63" s="51">
        <f t="shared" ref="CO63:CO89" si="774">+CN63*3.3058</f>
        <v>8944.5129774000015</v>
      </c>
      <c r="CP63" s="52">
        <f t="shared" ref="CP63:CP89" si="775">+BZ63*EB63</f>
        <v>2642.0394000000006</v>
      </c>
      <c r="CQ63" s="51">
        <f t="shared" ref="CQ63:CQ89" si="776">+CP63*3.3058</f>
        <v>8734.0538485200013</v>
      </c>
      <c r="CR63" s="48">
        <f t="shared" ref="CR63:CR89" si="777">+BZ63*EC63</f>
        <v>2578.3758000000003</v>
      </c>
      <c r="CS63" s="51">
        <f t="shared" ref="CS63:CS89" si="778">+CR63*3.3058</f>
        <v>8523.5947196400011</v>
      </c>
      <c r="CT63" s="53">
        <f t="shared" ref="CT63:CT89" si="779">+BZ63*ED63</f>
        <v>2514.7122000000004</v>
      </c>
      <c r="CU63" s="51">
        <f t="shared" ref="CU63:CU89" si="780">+CT63*3.3058</f>
        <v>8313.1355907600009</v>
      </c>
      <c r="CV63" s="53">
        <f t="shared" ref="CV63:CV89" si="781">+BZ63*EE63</f>
        <v>2451.0486000000001</v>
      </c>
      <c r="CW63" s="51">
        <f t="shared" ref="CW63:CW89" si="782">+CV63*3.3058</f>
        <v>8102.6764618800007</v>
      </c>
      <c r="CX63" s="53">
        <f t="shared" ref="CX63:CX89" si="783">+BZ63*EF63</f>
        <v>2387.3850000000002</v>
      </c>
      <c r="CY63" s="51">
        <f t="shared" ref="CY63:CY89" si="784">+CX63*3.3058</f>
        <v>7892.2173330000005</v>
      </c>
      <c r="CZ63" s="48">
        <f t="shared" ref="CZ63:CZ89" si="785">+BZ63*EG63</f>
        <v>2323.7214000000004</v>
      </c>
      <c r="DA63" s="51">
        <f t="shared" ref="DA63:DA89" si="786">+CZ63*3.3058</f>
        <v>7681.7582041200012</v>
      </c>
      <c r="DB63" s="53">
        <f t="shared" ref="DB63:DB89" si="787">+BZ63*EH63</f>
        <v>2260.0578</v>
      </c>
      <c r="DC63" s="51">
        <f t="shared" ref="DC63:DC89" si="788">+DB63*3.3058</f>
        <v>7471.2990752400001</v>
      </c>
      <c r="DD63" s="53">
        <f t="shared" ref="DD63:DD89" si="789">+BZ63*EI63</f>
        <v>2196.3942000000002</v>
      </c>
      <c r="DE63" s="51">
        <f t="shared" ref="DE63:DE89" si="790">+DD63*3.3058</f>
        <v>7260.8399463600008</v>
      </c>
      <c r="DF63" s="53">
        <f t="shared" ref="DF63:DF89" si="791">+BZ63*EJ63</f>
        <v>2132.7305999999999</v>
      </c>
      <c r="DG63" s="51">
        <f t="shared" ref="DG63:DG89" si="792">+DF63*3.3058</f>
        <v>7050.3808174799997</v>
      </c>
      <c r="DH63" s="53">
        <f t="shared" ref="DH63:DH89" si="793">+BZ63*EK63</f>
        <v>2069.067</v>
      </c>
      <c r="DI63" s="51">
        <f t="shared" ref="DI63:DI89" si="794">+DH63*3.3058</f>
        <v>6839.9216886000004</v>
      </c>
      <c r="DJ63" s="48">
        <f t="shared" ref="DJ63:DJ89" si="795">+BZ63*EL63</f>
        <v>2005.4033999999997</v>
      </c>
      <c r="DK63" s="51">
        <f t="shared" ref="DK63:DK89" si="796">+DJ63*3.3058</f>
        <v>6629.4625597199993</v>
      </c>
      <c r="DL63" s="53">
        <f t="shared" ref="DL63:DL89" si="797">+BZ63*EM63</f>
        <v>1941.7397999999996</v>
      </c>
      <c r="DM63" s="51">
        <f t="shared" ref="DM63:DM89" si="798">+DL63*3.3058</f>
        <v>6419.0034308399991</v>
      </c>
      <c r="DN63" s="53">
        <f t="shared" ref="DN63:DN89" si="799">+BZ63*EN63</f>
        <v>1878.0761999999997</v>
      </c>
      <c r="DO63" s="51">
        <f t="shared" ref="DO63:DO89" si="800">+DN63*3.3058</f>
        <v>6208.5443019599988</v>
      </c>
      <c r="DP63" s="48">
        <f t="shared" ref="DP63:DP89" si="801">+BZ63*EO63</f>
        <v>1814.4125999999997</v>
      </c>
      <c r="DQ63" s="51">
        <f t="shared" ref="DQ63:DQ89" si="802">+DP63*3.3058</f>
        <v>5998.0851730799986</v>
      </c>
      <c r="DT63" s="48">
        <v>1</v>
      </c>
      <c r="DU63" s="48">
        <v>0.97</v>
      </c>
      <c r="DV63" s="48">
        <v>0.95</v>
      </c>
      <c r="DW63" s="48">
        <v>0.93</v>
      </c>
      <c r="DX63" s="48">
        <f t="shared" ref="DX63:EO63" si="803">+DW63-0.02</f>
        <v>0.91</v>
      </c>
      <c r="DY63" s="48">
        <f t="shared" si="803"/>
        <v>0.89</v>
      </c>
      <c r="DZ63" s="48">
        <f t="shared" si="803"/>
        <v>0.87</v>
      </c>
      <c r="EA63" s="48">
        <f t="shared" si="803"/>
        <v>0.85</v>
      </c>
      <c r="EB63" s="48">
        <f t="shared" si="803"/>
        <v>0.83</v>
      </c>
      <c r="EC63" s="48">
        <f t="shared" si="803"/>
        <v>0.80999999999999994</v>
      </c>
      <c r="ED63" s="48">
        <f t="shared" si="803"/>
        <v>0.78999999999999992</v>
      </c>
      <c r="EE63" s="48">
        <f t="shared" si="803"/>
        <v>0.76999999999999991</v>
      </c>
      <c r="EF63" s="48">
        <f t="shared" si="803"/>
        <v>0.74999999999999989</v>
      </c>
      <c r="EG63" s="48">
        <f t="shared" si="803"/>
        <v>0.72999999999999987</v>
      </c>
      <c r="EH63" s="48">
        <f t="shared" si="803"/>
        <v>0.70999999999999985</v>
      </c>
      <c r="EI63" s="48">
        <f t="shared" si="803"/>
        <v>0.68999999999999984</v>
      </c>
      <c r="EJ63" s="48">
        <f t="shared" si="803"/>
        <v>0.66999999999999982</v>
      </c>
      <c r="EK63" s="48">
        <f t="shared" si="803"/>
        <v>0.6499999999999998</v>
      </c>
      <c r="EL63" s="48">
        <f t="shared" si="803"/>
        <v>0.62999999999999978</v>
      </c>
      <c r="EM63" s="48">
        <f t="shared" si="803"/>
        <v>0.60999999999999976</v>
      </c>
      <c r="EN63" s="48">
        <f t="shared" si="803"/>
        <v>0.58999999999999975</v>
      </c>
      <c r="EO63" s="48">
        <f t="shared" si="803"/>
        <v>0.56999999999999973</v>
      </c>
      <c r="EQ63" s="48">
        <f t="shared" si="188"/>
        <v>2896.6938000000009</v>
      </c>
      <c r="ER63" s="48">
        <f t="shared" si="116"/>
        <v>2896.6938000000009</v>
      </c>
      <c r="ES63" s="51">
        <f t="shared" ref="ES63" si="804">+ER63*3.3058</f>
        <v>9575.890364040004</v>
      </c>
      <c r="ET63" s="48">
        <f t="shared" ref="ET63:ET89" si="805">+ER63*GM63</f>
        <v>2809.7929860000008</v>
      </c>
      <c r="EU63" s="51">
        <f t="shared" ref="EU63:EU89" si="806">+ET63*3.3058</f>
        <v>9288.6136531188022</v>
      </c>
      <c r="EV63" s="48">
        <f t="shared" ref="EV63:EV89" si="807">+ER63*GN63</f>
        <v>2751.8591100000008</v>
      </c>
      <c r="EW63" s="51">
        <f t="shared" ref="EW63:EW89" si="808">+EV63*3.3058</f>
        <v>9097.0958458380028</v>
      </c>
      <c r="EX63" s="48">
        <f t="shared" ref="EX63:EX89" si="809">+ER63*GO63</f>
        <v>2693.9252340000012</v>
      </c>
      <c r="EY63" s="51">
        <f t="shared" ref="EY63:EY89" si="810">+EX63*3.3058</f>
        <v>8905.5780385572034</v>
      </c>
      <c r="EZ63" s="52">
        <f t="shared" ref="EZ63:EZ89" si="811">+ER63*GP63</f>
        <v>2635.9913580000011</v>
      </c>
      <c r="FA63" s="51">
        <f t="shared" ref="FA63:FA89" si="812">+EZ63*3.3058</f>
        <v>8714.060231276404</v>
      </c>
      <c r="FB63" s="48">
        <f t="shared" ref="FB63:FB89" si="813">+ER63*GQ63</f>
        <v>2578.0574820000011</v>
      </c>
      <c r="FC63" s="51">
        <f t="shared" ref="FC63:FC89" si="814">+FB63*3.3058</f>
        <v>8522.5424239956046</v>
      </c>
      <c r="FD63" s="52">
        <f t="shared" ref="FD63:FD89" si="815">+ER63*GR63</f>
        <v>2520.1236060000006</v>
      </c>
      <c r="FE63" s="51">
        <f t="shared" ref="FE63:FE89" si="816">+FD63*3.3058</f>
        <v>8331.0246167148016</v>
      </c>
      <c r="FF63" s="53">
        <f t="shared" ref="FF63:FF89" si="817">+ER63*GS63</f>
        <v>2462.1897300000005</v>
      </c>
      <c r="FG63" s="51">
        <f t="shared" ref="FG63:FG89" si="818">+FF63*3.3058</f>
        <v>8139.5068094340022</v>
      </c>
      <c r="FH63" s="52">
        <f t="shared" ref="FH63:FH89" si="819">+ER63*GT63</f>
        <v>2404.2558540000005</v>
      </c>
      <c r="FI63" s="51">
        <f t="shared" ref="FI63:FI89" si="820">+FH63*3.3058</f>
        <v>7947.9890021532019</v>
      </c>
      <c r="FJ63" s="48">
        <f t="shared" ref="FJ63:FJ89" si="821">+ER63*GU63</f>
        <v>2346.3219780000004</v>
      </c>
      <c r="FK63" s="51">
        <f t="shared" ref="FK63:FK89" si="822">+FJ63*3.3058</f>
        <v>7756.4711948724016</v>
      </c>
      <c r="FL63" s="53">
        <f t="shared" ref="FL63:FL89" si="823">+ER63*GV63</f>
        <v>2288.3881020000003</v>
      </c>
      <c r="FM63" s="51">
        <f t="shared" ref="FM63:FM89" si="824">+FL63*3.3058</f>
        <v>7564.9533875916013</v>
      </c>
      <c r="FN63" s="53">
        <f t="shared" ref="FN63:FN89" si="825">+ER63*GW63</f>
        <v>2230.4542260000003</v>
      </c>
      <c r="FO63" s="51">
        <f t="shared" ref="FO63:FO89" si="826">+FN63*3.3058</f>
        <v>7373.435580310801</v>
      </c>
      <c r="FP63" s="53">
        <f t="shared" ref="FP63:FP89" si="827">+ER63*GX63</f>
        <v>2172.5203500000002</v>
      </c>
      <c r="FQ63" s="51">
        <f t="shared" ref="FQ63:FQ89" si="828">+FP63*3.3058</f>
        <v>7181.9177730300007</v>
      </c>
      <c r="FR63" s="48">
        <f t="shared" ref="FR63:FR89" si="829">+ER63*GY63</f>
        <v>2114.5864740000002</v>
      </c>
      <c r="FS63" s="51">
        <f t="shared" ref="FS63:FS89" si="830">+FR63*3.3058</f>
        <v>6990.3999657492004</v>
      </c>
      <c r="FT63" s="53">
        <f t="shared" ref="FT63:FT89" si="831">+ER63*GZ63</f>
        <v>2056.6525980000001</v>
      </c>
      <c r="FU63" s="51">
        <f t="shared" ref="FU63:FU89" si="832">+FT63*3.3058</f>
        <v>6798.8821584684001</v>
      </c>
      <c r="FV63" s="53">
        <f t="shared" ref="FV63:FV89" si="833">+ER63*HA63</f>
        <v>1998.7187220000001</v>
      </c>
      <c r="FW63" s="51">
        <f t="shared" ref="FW63:FW89" si="834">+FV63*3.3058</f>
        <v>6607.3643511876007</v>
      </c>
      <c r="FX63" s="53">
        <f t="shared" ref="FX63:FX89" si="835">+ER63*HB63</f>
        <v>1940.784846</v>
      </c>
      <c r="FY63" s="51">
        <f t="shared" ref="FY63:FY89" si="836">+FX63*3.3058</f>
        <v>6415.8465439068004</v>
      </c>
      <c r="FZ63" s="53">
        <f t="shared" ref="FZ63:FZ89" si="837">+ER63*HC63</f>
        <v>1882.85097</v>
      </c>
      <c r="GA63" s="51">
        <f t="shared" ref="GA63:GA89" si="838">+FZ63*3.3058</f>
        <v>6224.3287366260001</v>
      </c>
      <c r="GB63" s="48">
        <f t="shared" ref="GB63:GB89" si="839">+ER63*HD63</f>
        <v>1824.9170939999999</v>
      </c>
      <c r="GC63" s="51">
        <f t="shared" ref="GC63:GC89" si="840">+GB63*3.3058</f>
        <v>6032.8109293451998</v>
      </c>
      <c r="GD63" s="53">
        <f t="shared" ref="GD63:GD89" si="841">+ER63*HE63</f>
        <v>1766.9832179999999</v>
      </c>
      <c r="GE63" s="51">
        <f t="shared" ref="GE63:GE89" si="842">+GD63*3.3058</f>
        <v>5841.2931220643995</v>
      </c>
      <c r="GF63" s="53">
        <f t="shared" ref="GF63:GF89" si="843">+ER63*HF63</f>
        <v>1709.0493419999998</v>
      </c>
      <c r="GG63" s="51">
        <f t="shared" ref="GG63:GG89" si="844">+GF63*3.3058</f>
        <v>5649.7753147835992</v>
      </c>
      <c r="GH63" s="48">
        <f t="shared" ref="GH63:GH89" si="845">+ER63*HG63</f>
        <v>1651.1154659999997</v>
      </c>
      <c r="GI63" s="51">
        <f t="shared" ref="GI63:GI89" si="846">+GH63*3.3058</f>
        <v>5458.2575075027989</v>
      </c>
      <c r="GJ63" s="48"/>
      <c r="GK63" s="48"/>
      <c r="GL63" s="48">
        <v>1</v>
      </c>
      <c r="GM63" s="48">
        <v>0.97</v>
      </c>
      <c r="GN63" s="48">
        <v>0.95</v>
      </c>
      <c r="GO63" s="48">
        <v>0.93</v>
      </c>
      <c r="GP63" s="48">
        <f t="shared" ref="GP63:HG63" si="847">+GO63-0.02</f>
        <v>0.91</v>
      </c>
      <c r="GQ63" s="48">
        <f t="shared" si="847"/>
        <v>0.89</v>
      </c>
      <c r="GR63" s="48">
        <f t="shared" si="847"/>
        <v>0.87</v>
      </c>
      <c r="GS63" s="48">
        <f t="shared" si="847"/>
        <v>0.85</v>
      </c>
      <c r="GT63" s="48">
        <f t="shared" si="847"/>
        <v>0.83</v>
      </c>
      <c r="GU63" s="48">
        <f t="shared" si="847"/>
        <v>0.80999999999999994</v>
      </c>
      <c r="GV63" s="48">
        <f t="shared" si="847"/>
        <v>0.78999999999999992</v>
      </c>
      <c r="GW63" s="48">
        <f t="shared" si="847"/>
        <v>0.76999999999999991</v>
      </c>
      <c r="GX63" s="48">
        <f t="shared" si="847"/>
        <v>0.74999999999999989</v>
      </c>
      <c r="GY63" s="48">
        <f t="shared" si="847"/>
        <v>0.72999999999999987</v>
      </c>
      <c r="GZ63" s="48">
        <f t="shared" si="847"/>
        <v>0.70999999999999985</v>
      </c>
      <c r="HA63" s="48">
        <f t="shared" si="847"/>
        <v>0.68999999999999984</v>
      </c>
      <c r="HB63" s="48">
        <f t="shared" si="847"/>
        <v>0.66999999999999982</v>
      </c>
      <c r="HC63" s="48">
        <f t="shared" si="847"/>
        <v>0.6499999999999998</v>
      </c>
      <c r="HD63" s="48">
        <f t="shared" si="847"/>
        <v>0.62999999999999978</v>
      </c>
      <c r="HE63" s="48">
        <f t="shared" si="847"/>
        <v>0.60999999999999976</v>
      </c>
      <c r="HF63" s="48">
        <f t="shared" si="847"/>
        <v>0.58999999999999975</v>
      </c>
      <c r="HG63" s="48">
        <f t="shared" si="847"/>
        <v>0.56999999999999973</v>
      </c>
    </row>
    <row r="64" spans="1:215" ht="16.5" customHeight="1" x14ac:dyDescent="0.3">
      <c r="A64" s="2">
        <v>2</v>
      </c>
      <c r="C64" s="39" t="s">
        <v>133</v>
      </c>
      <c r="D64" s="44">
        <f>TRUNC(1057.40214233842,-1)</f>
        <v>1050</v>
      </c>
      <c r="E64" s="73">
        <f t="shared" si="716"/>
        <v>3470</v>
      </c>
      <c r="G64" s="48">
        <f t="shared" si="61"/>
        <v>1155</v>
      </c>
      <c r="H64" s="48">
        <f t="shared" si="62"/>
        <v>1155</v>
      </c>
      <c r="I64" s="51">
        <f t="shared" si="63"/>
        <v>3818.1990000000001</v>
      </c>
      <c r="J64" s="48">
        <f t="shared" si="717"/>
        <v>1120.3499999999999</v>
      </c>
      <c r="K64" s="51">
        <f t="shared" si="718"/>
        <v>3703.6530299999999</v>
      </c>
      <c r="L64" s="48">
        <f t="shared" si="719"/>
        <v>1097.25</v>
      </c>
      <c r="M64" s="51">
        <f t="shared" si="720"/>
        <v>3627.2890499999999</v>
      </c>
      <c r="N64" s="48">
        <f t="shared" si="721"/>
        <v>1074.1500000000001</v>
      </c>
      <c r="O64" s="51">
        <f t="shared" si="722"/>
        <v>3550.9250700000002</v>
      </c>
      <c r="P64" s="52">
        <f t="shared" si="723"/>
        <v>1051.05</v>
      </c>
      <c r="Q64" s="51">
        <f t="shared" si="724"/>
        <v>3474.5610900000001</v>
      </c>
      <c r="R64" s="48">
        <f t="shared" si="725"/>
        <v>1027.95</v>
      </c>
      <c r="S64" s="51">
        <f t="shared" si="726"/>
        <v>3398.1971100000001</v>
      </c>
      <c r="T64" s="52">
        <f t="shared" si="727"/>
        <v>1004.85</v>
      </c>
      <c r="U64" s="51">
        <f t="shared" si="728"/>
        <v>3321.83313</v>
      </c>
      <c r="V64" s="53">
        <f t="shared" si="729"/>
        <v>981.75</v>
      </c>
      <c r="W64" s="51">
        <f t="shared" si="730"/>
        <v>3245.4691499999999</v>
      </c>
      <c r="X64" s="52">
        <f t="shared" si="731"/>
        <v>958.65</v>
      </c>
      <c r="Y64" s="51">
        <f t="shared" si="732"/>
        <v>3169.1051699999998</v>
      </c>
      <c r="Z64" s="48">
        <f t="shared" si="733"/>
        <v>935.55</v>
      </c>
      <c r="AA64" s="51">
        <f t="shared" si="734"/>
        <v>3092.7411899999997</v>
      </c>
      <c r="AB64" s="53">
        <f t="shared" si="735"/>
        <v>912.44999999999993</v>
      </c>
      <c r="AC64" s="51">
        <f t="shared" si="736"/>
        <v>3016.3772099999996</v>
      </c>
      <c r="AD64" s="53">
        <f t="shared" si="737"/>
        <v>889.34999999999991</v>
      </c>
      <c r="AE64" s="51">
        <f t="shared" si="738"/>
        <v>2940.0132299999996</v>
      </c>
      <c r="AF64" s="53">
        <f t="shared" si="739"/>
        <v>866.24999999999989</v>
      </c>
      <c r="AG64" s="51">
        <f t="shared" si="740"/>
        <v>2863.6492499999995</v>
      </c>
      <c r="AH64" s="48">
        <f t="shared" si="741"/>
        <v>843.14999999999986</v>
      </c>
      <c r="AI64" s="51">
        <f t="shared" si="742"/>
        <v>2787.2852699999994</v>
      </c>
      <c r="AJ64" s="53">
        <f t="shared" si="743"/>
        <v>820.04999999999984</v>
      </c>
      <c r="AK64" s="51">
        <f t="shared" si="744"/>
        <v>2710.9212899999993</v>
      </c>
      <c r="AL64" s="53">
        <f t="shared" si="745"/>
        <v>796.94999999999982</v>
      </c>
      <c r="AM64" s="51">
        <f t="shared" si="746"/>
        <v>2634.5573099999992</v>
      </c>
      <c r="AN64" s="53">
        <f t="shared" si="747"/>
        <v>773.8499999999998</v>
      </c>
      <c r="AO64" s="51">
        <f t="shared" si="748"/>
        <v>2558.1933299999996</v>
      </c>
      <c r="AP64" s="53">
        <f t="shared" si="749"/>
        <v>750.74999999999977</v>
      </c>
      <c r="AQ64" s="51">
        <f t="shared" si="750"/>
        <v>2481.8293499999995</v>
      </c>
      <c r="AR64" s="48">
        <f t="shared" si="751"/>
        <v>727.64999999999975</v>
      </c>
      <c r="AS64" s="51">
        <f t="shared" si="752"/>
        <v>2405.4653699999994</v>
      </c>
      <c r="AT64" s="53">
        <f t="shared" si="753"/>
        <v>704.54999999999973</v>
      </c>
      <c r="AU64" s="51">
        <f t="shared" si="754"/>
        <v>2329.1013899999994</v>
      </c>
      <c r="AV64" s="53">
        <f t="shared" si="755"/>
        <v>681.4499999999997</v>
      </c>
      <c r="AW64" s="51">
        <f t="shared" si="756"/>
        <v>2252.7374099999993</v>
      </c>
      <c r="AX64" s="48">
        <f t="shared" si="757"/>
        <v>658.34999999999968</v>
      </c>
      <c r="AY64" s="51">
        <f t="shared" si="758"/>
        <v>2176.3734299999992</v>
      </c>
      <c r="BB64" s="48">
        <v>1</v>
      </c>
      <c r="BC64" s="48">
        <v>0.97</v>
      </c>
      <c r="BD64" s="48">
        <v>0.95</v>
      </c>
      <c r="BE64" s="48">
        <v>0.93</v>
      </c>
      <c r="BF64" s="48">
        <f t="shared" ref="BF64:BW64" si="848">+BE64-0.02</f>
        <v>0.91</v>
      </c>
      <c r="BG64" s="48">
        <f t="shared" si="848"/>
        <v>0.89</v>
      </c>
      <c r="BH64" s="48">
        <f t="shared" si="848"/>
        <v>0.87</v>
      </c>
      <c r="BI64" s="48">
        <f t="shared" si="848"/>
        <v>0.85</v>
      </c>
      <c r="BJ64" s="48">
        <f t="shared" si="848"/>
        <v>0.83</v>
      </c>
      <c r="BK64" s="48">
        <f t="shared" si="848"/>
        <v>0.80999999999999994</v>
      </c>
      <c r="BL64" s="48">
        <f t="shared" si="848"/>
        <v>0.78999999999999992</v>
      </c>
      <c r="BM64" s="48">
        <f t="shared" si="848"/>
        <v>0.76999999999999991</v>
      </c>
      <c r="BN64" s="48">
        <f t="shared" si="848"/>
        <v>0.74999999999999989</v>
      </c>
      <c r="BO64" s="48">
        <f t="shared" si="848"/>
        <v>0.72999999999999987</v>
      </c>
      <c r="BP64" s="48">
        <f t="shared" si="848"/>
        <v>0.70999999999999985</v>
      </c>
      <c r="BQ64" s="48">
        <f t="shared" si="848"/>
        <v>0.68999999999999984</v>
      </c>
      <c r="BR64" s="48">
        <f t="shared" si="848"/>
        <v>0.66999999999999982</v>
      </c>
      <c r="BS64" s="48">
        <f t="shared" si="848"/>
        <v>0.6499999999999998</v>
      </c>
      <c r="BT64" s="48">
        <f t="shared" si="848"/>
        <v>0.62999999999999978</v>
      </c>
      <c r="BU64" s="48">
        <f t="shared" si="848"/>
        <v>0.60999999999999976</v>
      </c>
      <c r="BV64" s="48">
        <f t="shared" si="848"/>
        <v>0.58999999999999975</v>
      </c>
      <c r="BW64" s="48">
        <f t="shared" si="848"/>
        <v>0.56999999999999973</v>
      </c>
      <c r="BY64" s="48">
        <f t="shared" si="88"/>
        <v>1051.05</v>
      </c>
      <c r="BZ64" s="48">
        <f t="shared" si="89"/>
        <v>1051.05</v>
      </c>
      <c r="CA64" s="51">
        <f t="shared" ref="CA64" si="849">+BZ64*3.3058</f>
        <v>3474.5610900000001</v>
      </c>
      <c r="CB64" s="48">
        <f t="shared" si="761"/>
        <v>1019.5184999999999</v>
      </c>
      <c r="CC64" s="51">
        <f t="shared" si="762"/>
        <v>3370.3242572999998</v>
      </c>
      <c r="CD64" s="48">
        <f t="shared" si="763"/>
        <v>998.49749999999995</v>
      </c>
      <c r="CE64" s="51">
        <f t="shared" si="764"/>
        <v>3300.8330354999998</v>
      </c>
      <c r="CF64" s="48">
        <f t="shared" si="765"/>
        <v>977.47649999999999</v>
      </c>
      <c r="CG64" s="51">
        <f t="shared" si="766"/>
        <v>3231.3418136999999</v>
      </c>
      <c r="CH64" s="52">
        <f t="shared" si="767"/>
        <v>956.45550000000003</v>
      </c>
      <c r="CI64" s="51">
        <f t="shared" si="768"/>
        <v>3161.8505919000004</v>
      </c>
      <c r="CJ64" s="48">
        <f t="shared" si="769"/>
        <v>935.43449999999996</v>
      </c>
      <c r="CK64" s="51">
        <f t="shared" si="770"/>
        <v>3092.3593701</v>
      </c>
      <c r="CL64" s="52">
        <f t="shared" si="771"/>
        <v>914.4135</v>
      </c>
      <c r="CM64" s="51">
        <f t="shared" si="772"/>
        <v>3022.8681483</v>
      </c>
      <c r="CN64" s="53">
        <f t="shared" si="773"/>
        <v>893.39249999999993</v>
      </c>
      <c r="CO64" s="51">
        <f t="shared" si="774"/>
        <v>2953.3769264999996</v>
      </c>
      <c r="CP64" s="52">
        <f t="shared" si="775"/>
        <v>872.37149999999997</v>
      </c>
      <c r="CQ64" s="51">
        <f t="shared" si="776"/>
        <v>2883.8857047000001</v>
      </c>
      <c r="CR64" s="48">
        <f t="shared" si="777"/>
        <v>851.3504999999999</v>
      </c>
      <c r="CS64" s="51">
        <f t="shared" si="778"/>
        <v>2814.3944828999997</v>
      </c>
      <c r="CT64" s="53">
        <f t="shared" si="779"/>
        <v>830.32949999999994</v>
      </c>
      <c r="CU64" s="51">
        <f t="shared" si="780"/>
        <v>2744.9032610999998</v>
      </c>
      <c r="CV64" s="53">
        <f t="shared" si="781"/>
        <v>809.30849999999987</v>
      </c>
      <c r="CW64" s="51">
        <f t="shared" si="782"/>
        <v>2675.4120392999998</v>
      </c>
      <c r="CX64" s="53">
        <f t="shared" si="783"/>
        <v>788.2874999999998</v>
      </c>
      <c r="CY64" s="51">
        <f t="shared" si="784"/>
        <v>2605.9208174999994</v>
      </c>
      <c r="CZ64" s="48">
        <f t="shared" si="785"/>
        <v>767.26649999999984</v>
      </c>
      <c r="DA64" s="51">
        <f t="shared" si="786"/>
        <v>2536.4295956999995</v>
      </c>
      <c r="DB64" s="53">
        <f t="shared" si="787"/>
        <v>746.24549999999977</v>
      </c>
      <c r="DC64" s="51">
        <f t="shared" si="788"/>
        <v>2466.9383738999991</v>
      </c>
      <c r="DD64" s="53">
        <f t="shared" si="789"/>
        <v>725.22449999999981</v>
      </c>
      <c r="DE64" s="51">
        <f t="shared" si="790"/>
        <v>2397.4471520999996</v>
      </c>
      <c r="DF64" s="53">
        <f t="shared" si="791"/>
        <v>704.20349999999974</v>
      </c>
      <c r="DG64" s="51">
        <f t="shared" si="792"/>
        <v>2327.9559302999992</v>
      </c>
      <c r="DH64" s="53">
        <f t="shared" si="793"/>
        <v>683.18249999999978</v>
      </c>
      <c r="DI64" s="51">
        <f t="shared" si="794"/>
        <v>2258.4647084999992</v>
      </c>
      <c r="DJ64" s="48">
        <f t="shared" si="795"/>
        <v>662.16149999999971</v>
      </c>
      <c r="DK64" s="51">
        <f t="shared" si="796"/>
        <v>2188.9734866999993</v>
      </c>
      <c r="DL64" s="53">
        <f t="shared" si="797"/>
        <v>641.14049999999975</v>
      </c>
      <c r="DM64" s="51">
        <f t="shared" si="798"/>
        <v>2119.4822648999993</v>
      </c>
      <c r="DN64" s="53">
        <f t="shared" si="799"/>
        <v>620.11949999999968</v>
      </c>
      <c r="DO64" s="51">
        <f t="shared" si="800"/>
        <v>2049.9910430999989</v>
      </c>
      <c r="DP64" s="48">
        <f t="shared" si="801"/>
        <v>599.09849999999972</v>
      </c>
      <c r="DQ64" s="51">
        <f t="shared" si="802"/>
        <v>1980.4998212999992</v>
      </c>
      <c r="DT64" s="48">
        <v>1</v>
      </c>
      <c r="DU64" s="48">
        <v>0.97</v>
      </c>
      <c r="DV64" s="48">
        <v>0.95</v>
      </c>
      <c r="DW64" s="48">
        <v>0.93</v>
      </c>
      <c r="DX64" s="48">
        <f t="shared" ref="DX64:EO64" si="850">+DW64-0.02</f>
        <v>0.91</v>
      </c>
      <c r="DY64" s="48">
        <f t="shared" si="850"/>
        <v>0.89</v>
      </c>
      <c r="DZ64" s="48">
        <f t="shared" si="850"/>
        <v>0.87</v>
      </c>
      <c r="EA64" s="48">
        <f t="shared" si="850"/>
        <v>0.85</v>
      </c>
      <c r="EB64" s="48">
        <f t="shared" si="850"/>
        <v>0.83</v>
      </c>
      <c r="EC64" s="48">
        <f t="shared" si="850"/>
        <v>0.80999999999999994</v>
      </c>
      <c r="ED64" s="48">
        <f t="shared" si="850"/>
        <v>0.78999999999999992</v>
      </c>
      <c r="EE64" s="48">
        <f t="shared" si="850"/>
        <v>0.76999999999999991</v>
      </c>
      <c r="EF64" s="48">
        <f t="shared" si="850"/>
        <v>0.74999999999999989</v>
      </c>
      <c r="EG64" s="48">
        <f t="shared" si="850"/>
        <v>0.72999999999999987</v>
      </c>
      <c r="EH64" s="48">
        <f t="shared" si="850"/>
        <v>0.70999999999999985</v>
      </c>
      <c r="EI64" s="48">
        <f t="shared" si="850"/>
        <v>0.68999999999999984</v>
      </c>
      <c r="EJ64" s="48">
        <f t="shared" si="850"/>
        <v>0.66999999999999982</v>
      </c>
      <c r="EK64" s="48">
        <f t="shared" si="850"/>
        <v>0.6499999999999998</v>
      </c>
      <c r="EL64" s="48">
        <f t="shared" si="850"/>
        <v>0.62999999999999978</v>
      </c>
      <c r="EM64" s="48">
        <f t="shared" si="850"/>
        <v>0.60999999999999976</v>
      </c>
      <c r="EN64" s="48">
        <f t="shared" si="850"/>
        <v>0.58999999999999975</v>
      </c>
      <c r="EO64" s="48">
        <f t="shared" si="850"/>
        <v>0.56999999999999973</v>
      </c>
      <c r="EQ64" s="48">
        <f t="shared" si="188"/>
        <v>956.45550000000003</v>
      </c>
      <c r="ER64" s="48">
        <f t="shared" si="116"/>
        <v>956.45550000000003</v>
      </c>
      <c r="ES64" s="51">
        <f t="shared" ref="ES64" si="851">+ER64*3.3058</f>
        <v>3161.8505919000004</v>
      </c>
      <c r="ET64" s="48">
        <f t="shared" si="805"/>
        <v>927.76183500000002</v>
      </c>
      <c r="EU64" s="51">
        <f t="shared" si="806"/>
        <v>3066.9950741430002</v>
      </c>
      <c r="EV64" s="48">
        <f t="shared" si="807"/>
        <v>908.63272499999994</v>
      </c>
      <c r="EW64" s="51">
        <f t="shared" si="808"/>
        <v>3003.7580623049998</v>
      </c>
      <c r="EX64" s="48">
        <f t="shared" si="809"/>
        <v>889.50361500000008</v>
      </c>
      <c r="EY64" s="51">
        <f t="shared" si="810"/>
        <v>2940.5210504670004</v>
      </c>
      <c r="EZ64" s="52">
        <f t="shared" si="811"/>
        <v>870.37450500000011</v>
      </c>
      <c r="FA64" s="51">
        <f t="shared" si="812"/>
        <v>2877.2840386290004</v>
      </c>
      <c r="FB64" s="48">
        <f t="shared" si="813"/>
        <v>851.24539500000003</v>
      </c>
      <c r="FC64" s="51">
        <f t="shared" si="814"/>
        <v>2814.047026791</v>
      </c>
      <c r="FD64" s="52">
        <f t="shared" si="815"/>
        <v>832.11628500000006</v>
      </c>
      <c r="FE64" s="51">
        <f t="shared" si="816"/>
        <v>2750.8100149530001</v>
      </c>
      <c r="FF64" s="53">
        <f t="shared" si="817"/>
        <v>812.98717499999998</v>
      </c>
      <c r="FG64" s="51">
        <f t="shared" si="818"/>
        <v>2687.5730031150001</v>
      </c>
      <c r="FH64" s="52">
        <f t="shared" si="819"/>
        <v>793.85806500000001</v>
      </c>
      <c r="FI64" s="51">
        <f t="shared" si="820"/>
        <v>2624.3359912770002</v>
      </c>
      <c r="FJ64" s="48">
        <f t="shared" si="821"/>
        <v>774.72895499999993</v>
      </c>
      <c r="FK64" s="51">
        <f t="shared" si="822"/>
        <v>2561.0989794389998</v>
      </c>
      <c r="FL64" s="53">
        <f t="shared" si="823"/>
        <v>755.59984499999996</v>
      </c>
      <c r="FM64" s="51">
        <f t="shared" si="824"/>
        <v>2497.8619676009998</v>
      </c>
      <c r="FN64" s="53">
        <f t="shared" si="825"/>
        <v>736.47073499999988</v>
      </c>
      <c r="FO64" s="51">
        <f t="shared" si="826"/>
        <v>2434.6249557629994</v>
      </c>
      <c r="FP64" s="53">
        <f t="shared" si="827"/>
        <v>717.34162499999991</v>
      </c>
      <c r="FQ64" s="51">
        <f t="shared" si="828"/>
        <v>2371.3879439249999</v>
      </c>
      <c r="FR64" s="48">
        <f t="shared" si="829"/>
        <v>698.21251499999994</v>
      </c>
      <c r="FS64" s="51">
        <f t="shared" si="830"/>
        <v>2308.150932087</v>
      </c>
      <c r="FT64" s="53">
        <f t="shared" si="831"/>
        <v>679.08340499999986</v>
      </c>
      <c r="FU64" s="51">
        <f t="shared" si="832"/>
        <v>2244.9139202489996</v>
      </c>
      <c r="FV64" s="53">
        <f t="shared" si="833"/>
        <v>659.95429499999989</v>
      </c>
      <c r="FW64" s="51">
        <f t="shared" si="834"/>
        <v>2181.6769084109997</v>
      </c>
      <c r="FX64" s="53">
        <f t="shared" si="835"/>
        <v>640.82518499999981</v>
      </c>
      <c r="FY64" s="51">
        <f t="shared" si="836"/>
        <v>2118.4398965729993</v>
      </c>
      <c r="FZ64" s="53">
        <f t="shared" si="837"/>
        <v>621.69607499999984</v>
      </c>
      <c r="GA64" s="51">
        <f t="shared" si="838"/>
        <v>2055.2028847349993</v>
      </c>
      <c r="GB64" s="48">
        <f t="shared" si="839"/>
        <v>602.56696499999975</v>
      </c>
      <c r="GC64" s="51">
        <f t="shared" si="840"/>
        <v>1991.9658728969991</v>
      </c>
      <c r="GD64" s="53">
        <f t="shared" si="841"/>
        <v>583.43785499999979</v>
      </c>
      <c r="GE64" s="51">
        <f t="shared" si="842"/>
        <v>1928.7288610589994</v>
      </c>
      <c r="GF64" s="53">
        <f t="shared" si="843"/>
        <v>564.30874499999982</v>
      </c>
      <c r="GG64" s="51">
        <f t="shared" si="844"/>
        <v>1865.4918492209995</v>
      </c>
      <c r="GH64" s="48">
        <f t="shared" si="845"/>
        <v>545.17963499999973</v>
      </c>
      <c r="GI64" s="51">
        <f t="shared" si="846"/>
        <v>1802.2548373829991</v>
      </c>
      <c r="GJ64" s="48"/>
      <c r="GK64" s="48"/>
      <c r="GL64" s="48">
        <v>1</v>
      </c>
      <c r="GM64" s="48">
        <v>0.97</v>
      </c>
      <c r="GN64" s="48">
        <v>0.95</v>
      </c>
      <c r="GO64" s="48">
        <v>0.93</v>
      </c>
      <c r="GP64" s="48">
        <f t="shared" ref="GP64:HG64" si="852">+GO64-0.02</f>
        <v>0.91</v>
      </c>
      <c r="GQ64" s="48">
        <f t="shared" si="852"/>
        <v>0.89</v>
      </c>
      <c r="GR64" s="48">
        <f t="shared" si="852"/>
        <v>0.87</v>
      </c>
      <c r="GS64" s="48">
        <f t="shared" si="852"/>
        <v>0.85</v>
      </c>
      <c r="GT64" s="48">
        <f t="shared" si="852"/>
        <v>0.83</v>
      </c>
      <c r="GU64" s="48">
        <f t="shared" si="852"/>
        <v>0.80999999999999994</v>
      </c>
      <c r="GV64" s="48">
        <f t="shared" si="852"/>
        <v>0.78999999999999992</v>
      </c>
      <c r="GW64" s="48">
        <f t="shared" si="852"/>
        <v>0.76999999999999991</v>
      </c>
      <c r="GX64" s="48">
        <f t="shared" si="852"/>
        <v>0.74999999999999989</v>
      </c>
      <c r="GY64" s="48">
        <f t="shared" si="852"/>
        <v>0.72999999999999987</v>
      </c>
      <c r="GZ64" s="48">
        <f t="shared" si="852"/>
        <v>0.70999999999999985</v>
      </c>
      <c r="HA64" s="48">
        <f t="shared" si="852"/>
        <v>0.68999999999999984</v>
      </c>
      <c r="HB64" s="48">
        <f t="shared" si="852"/>
        <v>0.66999999999999982</v>
      </c>
      <c r="HC64" s="48">
        <f t="shared" si="852"/>
        <v>0.6499999999999998</v>
      </c>
      <c r="HD64" s="48">
        <f t="shared" si="852"/>
        <v>0.62999999999999978</v>
      </c>
      <c r="HE64" s="48">
        <f t="shared" si="852"/>
        <v>0.60999999999999976</v>
      </c>
      <c r="HF64" s="48">
        <f t="shared" si="852"/>
        <v>0.58999999999999975</v>
      </c>
      <c r="HG64" s="48">
        <f t="shared" si="852"/>
        <v>0.56999999999999973</v>
      </c>
    </row>
    <row r="65" spans="1:215" x14ac:dyDescent="0.3">
      <c r="A65" s="2">
        <v>3</v>
      </c>
      <c r="C65" s="39" t="s">
        <v>134</v>
      </c>
      <c r="D65" s="44">
        <f>TRUNC(9588.73583877996,-1)</f>
        <v>9580</v>
      </c>
      <c r="E65" s="73">
        <f t="shared" si="716"/>
        <v>31660</v>
      </c>
      <c r="G65" s="48">
        <f t="shared" si="61"/>
        <v>10538</v>
      </c>
      <c r="H65" s="48">
        <f t="shared" si="62"/>
        <v>10538</v>
      </c>
      <c r="I65" s="51">
        <f t="shared" si="63"/>
        <v>34836.520400000001</v>
      </c>
      <c r="J65" s="48">
        <f t="shared" si="717"/>
        <v>10221.86</v>
      </c>
      <c r="K65" s="51">
        <f t="shared" si="718"/>
        <v>33791.424788000004</v>
      </c>
      <c r="L65" s="48">
        <f t="shared" si="719"/>
        <v>10011.1</v>
      </c>
      <c r="M65" s="51">
        <f t="shared" si="720"/>
        <v>33094.694380000001</v>
      </c>
      <c r="N65" s="48">
        <f t="shared" si="721"/>
        <v>9800.34</v>
      </c>
      <c r="O65" s="51">
        <f t="shared" si="722"/>
        <v>32397.963972000001</v>
      </c>
      <c r="P65" s="52">
        <f t="shared" si="723"/>
        <v>9589.58</v>
      </c>
      <c r="Q65" s="51">
        <f t="shared" si="724"/>
        <v>31701.233564000002</v>
      </c>
      <c r="R65" s="48">
        <f t="shared" si="725"/>
        <v>9378.82</v>
      </c>
      <c r="S65" s="51">
        <f t="shared" si="726"/>
        <v>31004.503155999999</v>
      </c>
      <c r="T65" s="52">
        <f t="shared" si="727"/>
        <v>9168.06</v>
      </c>
      <c r="U65" s="51">
        <f t="shared" si="728"/>
        <v>30307.772747999999</v>
      </c>
      <c r="V65" s="53">
        <f t="shared" si="729"/>
        <v>8957.2999999999993</v>
      </c>
      <c r="W65" s="51">
        <f t="shared" si="730"/>
        <v>29611.04234</v>
      </c>
      <c r="X65" s="52">
        <f t="shared" si="731"/>
        <v>8746.5399999999991</v>
      </c>
      <c r="Y65" s="51">
        <f t="shared" si="732"/>
        <v>28914.311931999997</v>
      </c>
      <c r="Z65" s="48">
        <f t="shared" si="733"/>
        <v>8535.7799999999988</v>
      </c>
      <c r="AA65" s="51">
        <f t="shared" si="734"/>
        <v>28217.581523999997</v>
      </c>
      <c r="AB65" s="53">
        <f t="shared" si="735"/>
        <v>8325.0199999999986</v>
      </c>
      <c r="AC65" s="51">
        <f t="shared" si="736"/>
        <v>27520.851115999994</v>
      </c>
      <c r="AD65" s="53">
        <f t="shared" si="737"/>
        <v>8114.2599999999993</v>
      </c>
      <c r="AE65" s="51">
        <f t="shared" si="738"/>
        <v>26824.120707999999</v>
      </c>
      <c r="AF65" s="53">
        <f t="shared" si="739"/>
        <v>7903.4999999999991</v>
      </c>
      <c r="AG65" s="51">
        <f t="shared" si="740"/>
        <v>26127.390299999999</v>
      </c>
      <c r="AH65" s="48">
        <f t="shared" si="741"/>
        <v>7692.7399999999989</v>
      </c>
      <c r="AI65" s="51">
        <f t="shared" si="742"/>
        <v>25430.659891999996</v>
      </c>
      <c r="AJ65" s="53">
        <f t="shared" si="743"/>
        <v>7481.9799999999987</v>
      </c>
      <c r="AK65" s="51">
        <f t="shared" si="744"/>
        <v>24733.929483999997</v>
      </c>
      <c r="AL65" s="53">
        <f t="shared" si="745"/>
        <v>7271.2199999999984</v>
      </c>
      <c r="AM65" s="51">
        <f t="shared" si="746"/>
        <v>24037.199075999997</v>
      </c>
      <c r="AN65" s="53">
        <f t="shared" si="747"/>
        <v>7060.4599999999982</v>
      </c>
      <c r="AO65" s="51">
        <f t="shared" si="748"/>
        <v>23340.468667999994</v>
      </c>
      <c r="AP65" s="53">
        <f t="shared" si="749"/>
        <v>6849.699999999998</v>
      </c>
      <c r="AQ65" s="51">
        <f t="shared" si="750"/>
        <v>22643.738259999995</v>
      </c>
      <c r="AR65" s="48">
        <f t="shared" si="751"/>
        <v>6638.9399999999978</v>
      </c>
      <c r="AS65" s="51">
        <f t="shared" si="752"/>
        <v>21947.007851999992</v>
      </c>
      <c r="AT65" s="53">
        <f t="shared" si="753"/>
        <v>6428.1799999999976</v>
      </c>
      <c r="AU65" s="51">
        <f t="shared" si="754"/>
        <v>21250.277443999992</v>
      </c>
      <c r="AV65" s="53">
        <f t="shared" si="755"/>
        <v>6217.4199999999973</v>
      </c>
      <c r="AW65" s="51">
        <f t="shared" si="756"/>
        <v>20553.547035999993</v>
      </c>
      <c r="AX65" s="48">
        <f t="shared" si="757"/>
        <v>6006.6599999999971</v>
      </c>
      <c r="AY65" s="51">
        <f t="shared" si="758"/>
        <v>19856.81662799999</v>
      </c>
      <c r="BB65" s="48">
        <v>1</v>
      </c>
      <c r="BC65" s="48">
        <v>0.97</v>
      </c>
      <c r="BD65" s="48">
        <v>0.95</v>
      </c>
      <c r="BE65" s="48">
        <v>0.93</v>
      </c>
      <c r="BF65" s="48">
        <f t="shared" ref="BF65:BW65" si="853">+BE65-0.02</f>
        <v>0.91</v>
      </c>
      <c r="BG65" s="48">
        <f t="shared" si="853"/>
        <v>0.89</v>
      </c>
      <c r="BH65" s="48">
        <f t="shared" si="853"/>
        <v>0.87</v>
      </c>
      <c r="BI65" s="48">
        <f t="shared" si="853"/>
        <v>0.85</v>
      </c>
      <c r="BJ65" s="48">
        <f t="shared" si="853"/>
        <v>0.83</v>
      </c>
      <c r="BK65" s="48">
        <f t="shared" si="853"/>
        <v>0.80999999999999994</v>
      </c>
      <c r="BL65" s="48">
        <f t="shared" si="853"/>
        <v>0.78999999999999992</v>
      </c>
      <c r="BM65" s="48">
        <f t="shared" si="853"/>
        <v>0.76999999999999991</v>
      </c>
      <c r="BN65" s="48">
        <f t="shared" si="853"/>
        <v>0.74999999999999989</v>
      </c>
      <c r="BO65" s="48">
        <f t="shared" si="853"/>
        <v>0.72999999999999987</v>
      </c>
      <c r="BP65" s="48">
        <f t="shared" si="853"/>
        <v>0.70999999999999985</v>
      </c>
      <c r="BQ65" s="48">
        <f t="shared" si="853"/>
        <v>0.68999999999999984</v>
      </c>
      <c r="BR65" s="48">
        <f t="shared" si="853"/>
        <v>0.66999999999999982</v>
      </c>
      <c r="BS65" s="48">
        <f t="shared" si="853"/>
        <v>0.6499999999999998</v>
      </c>
      <c r="BT65" s="48">
        <f t="shared" si="853"/>
        <v>0.62999999999999978</v>
      </c>
      <c r="BU65" s="48">
        <f t="shared" si="853"/>
        <v>0.60999999999999976</v>
      </c>
      <c r="BV65" s="48">
        <f t="shared" si="853"/>
        <v>0.58999999999999975</v>
      </c>
      <c r="BW65" s="48">
        <f t="shared" si="853"/>
        <v>0.56999999999999973</v>
      </c>
      <c r="BY65" s="48">
        <f t="shared" si="88"/>
        <v>9589.58</v>
      </c>
      <c r="BZ65" s="48">
        <f t="shared" si="89"/>
        <v>9589.58</v>
      </c>
      <c r="CA65" s="51">
        <f t="shared" ref="CA65" si="854">+BZ65*3.3058</f>
        <v>31701.233564000002</v>
      </c>
      <c r="CB65" s="48">
        <f t="shared" si="761"/>
        <v>9301.8925999999992</v>
      </c>
      <c r="CC65" s="51">
        <f t="shared" si="762"/>
        <v>30750.196557079998</v>
      </c>
      <c r="CD65" s="48">
        <f t="shared" si="763"/>
        <v>9110.1009999999987</v>
      </c>
      <c r="CE65" s="51">
        <f t="shared" si="764"/>
        <v>30116.171885799995</v>
      </c>
      <c r="CF65" s="48">
        <f t="shared" si="765"/>
        <v>8918.3094000000001</v>
      </c>
      <c r="CG65" s="51">
        <f t="shared" si="766"/>
        <v>29482.147214520002</v>
      </c>
      <c r="CH65" s="52">
        <f t="shared" si="767"/>
        <v>8726.5177999999996</v>
      </c>
      <c r="CI65" s="51">
        <f t="shared" si="768"/>
        <v>28848.122543239999</v>
      </c>
      <c r="CJ65" s="48">
        <f t="shared" si="769"/>
        <v>8534.726200000001</v>
      </c>
      <c r="CK65" s="51">
        <f t="shared" si="770"/>
        <v>28214.097871960003</v>
      </c>
      <c r="CL65" s="52">
        <f t="shared" si="771"/>
        <v>8342.9346000000005</v>
      </c>
      <c r="CM65" s="51">
        <f t="shared" si="772"/>
        <v>27580.073200680003</v>
      </c>
      <c r="CN65" s="53">
        <f t="shared" si="773"/>
        <v>8151.143</v>
      </c>
      <c r="CO65" s="51">
        <f t="shared" si="774"/>
        <v>26946.048529399999</v>
      </c>
      <c r="CP65" s="52">
        <f t="shared" si="775"/>
        <v>7959.3513999999996</v>
      </c>
      <c r="CQ65" s="51">
        <f t="shared" si="776"/>
        <v>26312.023858119999</v>
      </c>
      <c r="CR65" s="48">
        <f t="shared" si="777"/>
        <v>7767.5597999999991</v>
      </c>
      <c r="CS65" s="51">
        <f t="shared" si="778"/>
        <v>25677.999186839999</v>
      </c>
      <c r="CT65" s="53">
        <f t="shared" si="779"/>
        <v>7575.7681999999995</v>
      </c>
      <c r="CU65" s="51">
        <f t="shared" si="780"/>
        <v>25043.974515559999</v>
      </c>
      <c r="CV65" s="53">
        <f t="shared" si="781"/>
        <v>7383.9765999999991</v>
      </c>
      <c r="CW65" s="51">
        <f t="shared" si="782"/>
        <v>24409.949844279996</v>
      </c>
      <c r="CX65" s="53">
        <f t="shared" si="783"/>
        <v>7192.1849999999986</v>
      </c>
      <c r="CY65" s="51">
        <f t="shared" si="784"/>
        <v>23775.925172999996</v>
      </c>
      <c r="CZ65" s="48">
        <f t="shared" si="785"/>
        <v>7000.393399999999</v>
      </c>
      <c r="DA65" s="51">
        <f t="shared" si="786"/>
        <v>23141.900501719996</v>
      </c>
      <c r="DB65" s="53">
        <f t="shared" si="787"/>
        <v>6808.6017999999985</v>
      </c>
      <c r="DC65" s="51">
        <f t="shared" si="788"/>
        <v>22507.875830439996</v>
      </c>
      <c r="DD65" s="53">
        <f t="shared" si="789"/>
        <v>6616.8101999999981</v>
      </c>
      <c r="DE65" s="51">
        <f t="shared" si="790"/>
        <v>21873.851159159993</v>
      </c>
      <c r="DF65" s="53">
        <f t="shared" si="791"/>
        <v>6425.0185999999985</v>
      </c>
      <c r="DG65" s="51">
        <f t="shared" si="792"/>
        <v>21239.826487879996</v>
      </c>
      <c r="DH65" s="53">
        <f t="shared" si="793"/>
        <v>6233.226999999998</v>
      </c>
      <c r="DI65" s="51">
        <f t="shared" si="794"/>
        <v>20605.801816599993</v>
      </c>
      <c r="DJ65" s="48">
        <f t="shared" si="795"/>
        <v>6041.4353999999976</v>
      </c>
      <c r="DK65" s="51">
        <f t="shared" si="796"/>
        <v>19971.777145319993</v>
      </c>
      <c r="DL65" s="53">
        <f t="shared" si="797"/>
        <v>5849.643799999998</v>
      </c>
      <c r="DM65" s="51">
        <f t="shared" si="798"/>
        <v>19337.752474039993</v>
      </c>
      <c r="DN65" s="53">
        <f t="shared" si="799"/>
        <v>5657.8521999999975</v>
      </c>
      <c r="DO65" s="51">
        <f t="shared" si="800"/>
        <v>18703.727802759993</v>
      </c>
      <c r="DP65" s="48">
        <f t="shared" si="801"/>
        <v>5466.0605999999971</v>
      </c>
      <c r="DQ65" s="51">
        <f t="shared" si="802"/>
        <v>18069.70313147999</v>
      </c>
      <c r="DT65" s="48">
        <v>1</v>
      </c>
      <c r="DU65" s="48">
        <v>0.97</v>
      </c>
      <c r="DV65" s="48">
        <v>0.95</v>
      </c>
      <c r="DW65" s="48">
        <v>0.93</v>
      </c>
      <c r="DX65" s="48">
        <f t="shared" ref="DX65:EO65" si="855">+DW65-0.02</f>
        <v>0.91</v>
      </c>
      <c r="DY65" s="48">
        <f t="shared" si="855"/>
        <v>0.89</v>
      </c>
      <c r="DZ65" s="48">
        <f t="shared" si="855"/>
        <v>0.87</v>
      </c>
      <c r="EA65" s="48">
        <f t="shared" si="855"/>
        <v>0.85</v>
      </c>
      <c r="EB65" s="48">
        <f t="shared" si="855"/>
        <v>0.83</v>
      </c>
      <c r="EC65" s="48">
        <f t="shared" si="855"/>
        <v>0.80999999999999994</v>
      </c>
      <c r="ED65" s="48">
        <f t="shared" si="855"/>
        <v>0.78999999999999992</v>
      </c>
      <c r="EE65" s="48">
        <f t="shared" si="855"/>
        <v>0.76999999999999991</v>
      </c>
      <c r="EF65" s="48">
        <f t="shared" si="855"/>
        <v>0.74999999999999989</v>
      </c>
      <c r="EG65" s="48">
        <f t="shared" si="855"/>
        <v>0.72999999999999987</v>
      </c>
      <c r="EH65" s="48">
        <f t="shared" si="855"/>
        <v>0.70999999999999985</v>
      </c>
      <c r="EI65" s="48">
        <f t="shared" si="855"/>
        <v>0.68999999999999984</v>
      </c>
      <c r="EJ65" s="48">
        <f t="shared" si="855"/>
        <v>0.66999999999999982</v>
      </c>
      <c r="EK65" s="48">
        <f t="shared" si="855"/>
        <v>0.6499999999999998</v>
      </c>
      <c r="EL65" s="48">
        <f t="shared" si="855"/>
        <v>0.62999999999999978</v>
      </c>
      <c r="EM65" s="48">
        <f t="shared" si="855"/>
        <v>0.60999999999999976</v>
      </c>
      <c r="EN65" s="48">
        <f t="shared" si="855"/>
        <v>0.58999999999999975</v>
      </c>
      <c r="EO65" s="48">
        <f t="shared" si="855"/>
        <v>0.56999999999999973</v>
      </c>
      <c r="EQ65" s="48">
        <f t="shared" si="188"/>
        <v>8726.5177999999996</v>
      </c>
      <c r="ER65" s="48">
        <f t="shared" si="116"/>
        <v>8726.5177999999996</v>
      </c>
      <c r="ES65" s="51">
        <f t="shared" ref="ES65" si="856">+ER65*3.3058</f>
        <v>28848.122543239999</v>
      </c>
      <c r="ET65" s="48">
        <f t="shared" si="805"/>
        <v>8464.7222659999989</v>
      </c>
      <c r="EU65" s="51">
        <f t="shared" si="806"/>
        <v>27982.678866942795</v>
      </c>
      <c r="EV65" s="48">
        <f t="shared" si="807"/>
        <v>8290.1919099999996</v>
      </c>
      <c r="EW65" s="51">
        <f t="shared" si="808"/>
        <v>27405.716416077998</v>
      </c>
      <c r="EX65" s="48">
        <f t="shared" si="809"/>
        <v>8115.6615540000003</v>
      </c>
      <c r="EY65" s="51">
        <f t="shared" si="810"/>
        <v>26828.7539652132</v>
      </c>
      <c r="EZ65" s="52">
        <f t="shared" si="811"/>
        <v>7941.131198</v>
      </c>
      <c r="FA65" s="51">
        <f t="shared" si="812"/>
        <v>26251.791514348402</v>
      </c>
      <c r="FB65" s="48">
        <f t="shared" si="813"/>
        <v>7766.6008419999998</v>
      </c>
      <c r="FC65" s="51">
        <f t="shared" si="814"/>
        <v>25674.829063483601</v>
      </c>
      <c r="FD65" s="52">
        <f t="shared" si="815"/>
        <v>7592.0704859999996</v>
      </c>
      <c r="FE65" s="51">
        <f t="shared" si="816"/>
        <v>25097.8666126188</v>
      </c>
      <c r="FF65" s="53">
        <f t="shared" si="817"/>
        <v>7417.5401299999994</v>
      </c>
      <c r="FG65" s="51">
        <f t="shared" si="818"/>
        <v>24520.904161753999</v>
      </c>
      <c r="FH65" s="52">
        <f t="shared" si="819"/>
        <v>7243.0097739999992</v>
      </c>
      <c r="FI65" s="51">
        <f t="shared" si="820"/>
        <v>23943.941710889198</v>
      </c>
      <c r="FJ65" s="48">
        <f t="shared" si="821"/>
        <v>7068.479417999999</v>
      </c>
      <c r="FK65" s="51">
        <f t="shared" si="822"/>
        <v>23366.979260024396</v>
      </c>
      <c r="FL65" s="53">
        <f t="shared" si="823"/>
        <v>6893.9490619999988</v>
      </c>
      <c r="FM65" s="51">
        <f t="shared" si="824"/>
        <v>22790.016809159595</v>
      </c>
      <c r="FN65" s="53">
        <f t="shared" si="825"/>
        <v>6719.4187059999986</v>
      </c>
      <c r="FO65" s="51">
        <f t="shared" si="826"/>
        <v>22213.054358294794</v>
      </c>
      <c r="FP65" s="53">
        <f t="shared" si="827"/>
        <v>6544.8883499999984</v>
      </c>
      <c r="FQ65" s="51">
        <f t="shared" si="828"/>
        <v>21636.091907429996</v>
      </c>
      <c r="FR65" s="48">
        <f t="shared" si="829"/>
        <v>6370.3579939999991</v>
      </c>
      <c r="FS65" s="51">
        <f t="shared" si="830"/>
        <v>21059.129456565199</v>
      </c>
      <c r="FT65" s="53">
        <f t="shared" si="831"/>
        <v>6195.8276379999988</v>
      </c>
      <c r="FU65" s="51">
        <f t="shared" si="832"/>
        <v>20482.167005700398</v>
      </c>
      <c r="FV65" s="53">
        <f t="shared" si="833"/>
        <v>6021.2972819999986</v>
      </c>
      <c r="FW65" s="51">
        <f t="shared" si="834"/>
        <v>19905.204554835596</v>
      </c>
      <c r="FX65" s="53">
        <f t="shared" si="835"/>
        <v>5846.7669259999984</v>
      </c>
      <c r="FY65" s="51">
        <f t="shared" si="836"/>
        <v>19328.242103970795</v>
      </c>
      <c r="FZ65" s="53">
        <f t="shared" si="837"/>
        <v>5672.2365699999982</v>
      </c>
      <c r="GA65" s="51">
        <f t="shared" si="838"/>
        <v>18751.279653105994</v>
      </c>
      <c r="GB65" s="48">
        <f t="shared" si="839"/>
        <v>5497.706213999998</v>
      </c>
      <c r="GC65" s="51">
        <f t="shared" si="840"/>
        <v>18174.317202241193</v>
      </c>
      <c r="GD65" s="53">
        <f t="shared" si="841"/>
        <v>5323.1758579999978</v>
      </c>
      <c r="GE65" s="51">
        <f t="shared" si="842"/>
        <v>17597.354751376392</v>
      </c>
      <c r="GF65" s="53">
        <f t="shared" si="843"/>
        <v>5148.6455019999976</v>
      </c>
      <c r="GG65" s="51">
        <f t="shared" si="844"/>
        <v>17020.392300511594</v>
      </c>
      <c r="GH65" s="48">
        <f t="shared" si="845"/>
        <v>4974.1151459999974</v>
      </c>
      <c r="GI65" s="51">
        <f t="shared" si="846"/>
        <v>16443.429849646793</v>
      </c>
      <c r="GJ65" s="48"/>
      <c r="GK65" s="48"/>
      <c r="GL65" s="48">
        <v>1</v>
      </c>
      <c r="GM65" s="48">
        <v>0.97</v>
      </c>
      <c r="GN65" s="48">
        <v>0.95</v>
      </c>
      <c r="GO65" s="48">
        <v>0.93</v>
      </c>
      <c r="GP65" s="48">
        <f t="shared" ref="GP65:HG65" si="857">+GO65-0.02</f>
        <v>0.91</v>
      </c>
      <c r="GQ65" s="48">
        <f t="shared" si="857"/>
        <v>0.89</v>
      </c>
      <c r="GR65" s="48">
        <f t="shared" si="857"/>
        <v>0.87</v>
      </c>
      <c r="GS65" s="48">
        <f t="shared" si="857"/>
        <v>0.85</v>
      </c>
      <c r="GT65" s="48">
        <f t="shared" si="857"/>
        <v>0.83</v>
      </c>
      <c r="GU65" s="48">
        <f t="shared" si="857"/>
        <v>0.80999999999999994</v>
      </c>
      <c r="GV65" s="48">
        <f t="shared" si="857"/>
        <v>0.78999999999999992</v>
      </c>
      <c r="GW65" s="48">
        <f t="shared" si="857"/>
        <v>0.76999999999999991</v>
      </c>
      <c r="GX65" s="48">
        <f t="shared" si="857"/>
        <v>0.74999999999999989</v>
      </c>
      <c r="GY65" s="48">
        <f t="shared" si="857"/>
        <v>0.72999999999999987</v>
      </c>
      <c r="GZ65" s="48">
        <f t="shared" si="857"/>
        <v>0.70999999999999985</v>
      </c>
      <c r="HA65" s="48">
        <f t="shared" si="857"/>
        <v>0.68999999999999984</v>
      </c>
      <c r="HB65" s="48">
        <f t="shared" si="857"/>
        <v>0.66999999999999982</v>
      </c>
      <c r="HC65" s="48">
        <f t="shared" si="857"/>
        <v>0.6499999999999998</v>
      </c>
      <c r="HD65" s="48">
        <f t="shared" si="857"/>
        <v>0.62999999999999978</v>
      </c>
      <c r="HE65" s="48">
        <f t="shared" si="857"/>
        <v>0.60999999999999976</v>
      </c>
      <c r="HF65" s="48">
        <f t="shared" si="857"/>
        <v>0.58999999999999975</v>
      </c>
      <c r="HG65" s="48">
        <f t="shared" si="857"/>
        <v>0.56999999999999973</v>
      </c>
    </row>
    <row r="66" spans="1:215" x14ac:dyDescent="0.3">
      <c r="A66" s="2">
        <v>4</v>
      </c>
      <c r="C66" s="39" t="s">
        <v>135</v>
      </c>
      <c r="D66" s="44">
        <f>TRUNC(4468.71477850399,-1)</f>
        <v>4460</v>
      </c>
      <c r="E66" s="73">
        <f t="shared" si="716"/>
        <v>14740</v>
      </c>
      <c r="G66" s="48">
        <f t="shared" si="61"/>
        <v>4906</v>
      </c>
      <c r="H66" s="48">
        <f t="shared" si="62"/>
        <v>4906</v>
      </c>
      <c r="I66" s="51">
        <f t="shared" si="63"/>
        <v>16218.254800000001</v>
      </c>
      <c r="J66" s="48">
        <f t="shared" si="717"/>
        <v>4758.82</v>
      </c>
      <c r="K66" s="51">
        <f t="shared" si="718"/>
        <v>15731.707155999999</v>
      </c>
      <c r="L66" s="48">
        <f t="shared" si="719"/>
        <v>4660.7</v>
      </c>
      <c r="M66" s="51">
        <f t="shared" si="720"/>
        <v>15407.342059999999</v>
      </c>
      <c r="N66" s="48">
        <f t="shared" si="721"/>
        <v>4562.58</v>
      </c>
      <c r="O66" s="51">
        <f t="shared" si="722"/>
        <v>15082.976963999999</v>
      </c>
      <c r="P66" s="52">
        <f t="shared" si="723"/>
        <v>4464.46</v>
      </c>
      <c r="Q66" s="51">
        <f t="shared" si="724"/>
        <v>14758.611868</v>
      </c>
      <c r="R66" s="48">
        <f t="shared" si="725"/>
        <v>4366.34</v>
      </c>
      <c r="S66" s="51">
        <f t="shared" si="726"/>
        <v>14434.246772</v>
      </c>
      <c r="T66" s="52">
        <f t="shared" si="727"/>
        <v>4268.22</v>
      </c>
      <c r="U66" s="51">
        <f t="shared" si="728"/>
        <v>14109.881676000001</v>
      </c>
      <c r="V66" s="53">
        <f t="shared" si="729"/>
        <v>4170.0999999999995</v>
      </c>
      <c r="W66" s="51">
        <f t="shared" si="730"/>
        <v>13785.516579999998</v>
      </c>
      <c r="X66" s="52">
        <f t="shared" si="731"/>
        <v>4071.98</v>
      </c>
      <c r="Y66" s="51">
        <f t="shared" si="732"/>
        <v>13461.151484</v>
      </c>
      <c r="Z66" s="48">
        <f t="shared" si="733"/>
        <v>3973.8599999999997</v>
      </c>
      <c r="AA66" s="51">
        <f t="shared" si="734"/>
        <v>13136.786387999999</v>
      </c>
      <c r="AB66" s="53">
        <f t="shared" si="735"/>
        <v>3875.74</v>
      </c>
      <c r="AC66" s="51">
        <f t="shared" si="736"/>
        <v>12812.421291999999</v>
      </c>
      <c r="AD66" s="53">
        <f t="shared" si="737"/>
        <v>3777.6199999999994</v>
      </c>
      <c r="AE66" s="51">
        <f t="shared" si="738"/>
        <v>12488.056195999998</v>
      </c>
      <c r="AF66" s="53">
        <f t="shared" si="739"/>
        <v>3679.4999999999995</v>
      </c>
      <c r="AG66" s="51">
        <f t="shared" si="740"/>
        <v>12163.691099999998</v>
      </c>
      <c r="AH66" s="48">
        <f t="shared" si="741"/>
        <v>3581.3799999999992</v>
      </c>
      <c r="AI66" s="51">
        <f t="shared" si="742"/>
        <v>11839.326003999997</v>
      </c>
      <c r="AJ66" s="53">
        <f t="shared" si="743"/>
        <v>3483.2599999999993</v>
      </c>
      <c r="AK66" s="51">
        <f t="shared" si="744"/>
        <v>11514.960907999997</v>
      </c>
      <c r="AL66" s="53">
        <f t="shared" si="745"/>
        <v>3385.1399999999994</v>
      </c>
      <c r="AM66" s="51">
        <f t="shared" si="746"/>
        <v>11190.595811999998</v>
      </c>
      <c r="AN66" s="53">
        <f t="shared" si="747"/>
        <v>3287.0199999999991</v>
      </c>
      <c r="AO66" s="51">
        <f t="shared" si="748"/>
        <v>10866.230715999996</v>
      </c>
      <c r="AP66" s="53">
        <f t="shared" si="749"/>
        <v>3188.8999999999992</v>
      </c>
      <c r="AQ66" s="51">
        <f t="shared" si="750"/>
        <v>10541.865619999997</v>
      </c>
      <c r="AR66" s="48">
        <f t="shared" si="751"/>
        <v>3090.7799999999988</v>
      </c>
      <c r="AS66" s="51">
        <f t="shared" si="752"/>
        <v>10217.500523999995</v>
      </c>
      <c r="AT66" s="53">
        <f t="shared" si="753"/>
        <v>2992.6599999999989</v>
      </c>
      <c r="AU66" s="51">
        <f t="shared" si="754"/>
        <v>9893.135427999996</v>
      </c>
      <c r="AV66" s="53">
        <f t="shared" si="755"/>
        <v>2894.5399999999986</v>
      </c>
      <c r="AW66" s="51">
        <f t="shared" si="756"/>
        <v>9568.7703319999964</v>
      </c>
      <c r="AX66" s="48">
        <f t="shared" si="757"/>
        <v>2796.4199999999987</v>
      </c>
      <c r="AY66" s="51">
        <f t="shared" si="758"/>
        <v>9244.4052359999951</v>
      </c>
      <c r="BB66" s="48">
        <v>1</v>
      </c>
      <c r="BC66" s="48">
        <v>0.97</v>
      </c>
      <c r="BD66" s="48">
        <v>0.95</v>
      </c>
      <c r="BE66" s="48">
        <v>0.93</v>
      </c>
      <c r="BF66" s="48">
        <f t="shared" ref="BF66:BW66" si="858">+BE66-0.02</f>
        <v>0.91</v>
      </c>
      <c r="BG66" s="48">
        <f t="shared" si="858"/>
        <v>0.89</v>
      </c>
      <c r="BH66" s="48">
        <f t="shared" si="858"/>
        <v>0.87</v>
      </c>
      <c r="BI66" s="48">
        <f t="shared" si="858"/>
        <v>0.85</v>
      </c>
      <c r="BJ66" s="48">
        <f t="shared" si="858"/>
        <v>0.83</v>
      </c>
      <c r="BK66" s="48">
        <f t="shared" si="858"/>
        <v>0.80999999999999994</v>
      </c>
      <c r="BL66" s="48">
        <f t="shared" si="858"/>
        <v>0.78999999999999992</v>
      </c>
      <c r="BM66" s="48">
        <f t="shared" si="858"/>
        <v>0.76999999999999991</v>
      </c>
      <c r="BN66" s="48">
        <f t="shared" si="858"/>
        <v>0.74999999999999989</v>
      </c>
      <c r="BO66" s="48">
        <f t="shared" si="858"/>
        <v>0.72999999999999987</v>
      </c>
      <c r="BP66" s="48">
        <f t="shared" si="858"/>
        <v>0.70999999999999985</v>
      </c>
      <c r="BQ66" s="48">
        <f t="shared" si="858"/>
        <v>0.68999999999999984</v>
      </c>
      <c r="BR66" s="48">
        <f t="shared" si="858"/>
        <v>0.66999999999999982</v>
      </c>
      <c r="BS66" s="48">
        <f t="shared" si="858"/>
        <v>0.6499999999999998</v>
      </c>
      <c r="BT66" s="48">
        <f t="shared" si="858"/>
        <v>0.62999999999999978</v>
      </c>
      <c r="BU66" s="48">
        <f t="shared" si="858"/>
        <v>0.60999999999999976</v>
      </c>
      <c r="BV66" s="48">
        <f t="shared" si="858"/>
        <v>0.58999999999999975</v>
      </c>
      <c r="BW66" s="48">
        <f t="shared" si="858"/>
        <v>0.56999999999999973</v>
      </c>
      <c r="BY66" s="48">
        <f t="shared" si="88"/>
        <v>4464.46</v>
      </c>
      <c r="BZ66" s="48">
        <f t="shared" si="89"/>
        <v>4464.46</v>
      </c>
      <c r="CA66" s="51">
        <f t="shared" ref="CA66" si="859">+BZ66*3.3058</f>
        <v>14758.611868</v>
      </c>
      <c r="CB66" s="48">
        <f t="shared" si="761"/>
        <v>4330.5262000000002</v>
      </c>
      <c r="CC66" s="51">
        <f t="shared" si="762"/>
        <v>14315.853511960002</v>
      </c>
      <c r="CD66" s="48">
        <f t="shared" si="763"/>
        <v>4241.2370000000001</v>
      </c>
      <c r="CE66" s="51">
        <f t="shared" si="764"/>
        <v>14020.681274600001</v>
      </c>
      <c r="CF66" s="48">
        <f t="shared" si="765"/>
        <v>4151.9477999999999</v>
      </c>
      <c r="CG66" s="51">
        <f t="shared" si="766"/>
        <v>13725.509037240001</v>
      </c>
      <c r="CH66" s="52">
        <f t="shared" si="767"/>
        <v>4062.6586000000002</v>
      </c>
      <c r="CI66" s="51">
        <f t="shared" si="768"/>
        <v>13430.33679988</v>
      </c>
      <c r="CJ66" s="48">
        <f t="shared" si="769"/>
        <v>3973.3694</v>
      </c>
      <c r="CK66" s="51">
        <f t="shared" si="770"/>
        <v>13135.16456252</v>
      </c>
      <c r="CL66" s="52">
        <f t="shared" si="771"/>
        <v>3884.0801999999999</v>
      </c>
      <c r="CM66" s="51">
        <f t="shared" si="772"/>
        <v>12839.992325159999</v>
      </c>
      <c r="CN66" s="53">
        <f t="shared" si="773"/>
        <v>3794.7909999999997</v>
      </c>
      <c r="CO66" s="51">
        <f t="shared" si="774"/>
        <v>12544.820087799999</v>
      </c>
      <c r="CP66" s="52">
        <f t="shared" si="775"/>
        <v>3705.5018</v>
      </c>
      <c r="CQ66" s="51">
        <f t="shared" si="776"/>
        <v>12249.64785044</v>
      </c>
      <c r="CR66" s="48">
        <f t="shared" si="777"/>
        <v>3616.2125999999998</v>
      </c>
      <c r="CS66" s="51">
        <f t="shared" si="778"/>
        <v>11954.47561308</v>
      </c>
      <c r="CT66" s="53">
        <f t="shared" si="779"/>
        <v>3526.9233999999997</v>
      </c>
      <c r="CU66" s="51">
        <f t="shared" si="780"/>
        <v>11659.303375719999</v>
      </c>
      <c r="CV66" s="53">
        <f t="shared" si="781"/>
        <v>3437.6341999999995</v>
      </c>
      <c r="CW66" s="51">
        <f t="shared" si="782"/>
        <v>11364.131138359999</v>
      </c>
      <c r="CX66" s="53">
        <f t="shared" si="783"/>
        <v>3348.3449999999993</v>
      </c>
      <c r="CY66" s="51">
        <f t="shared" si="784"/>
        <v>11068.958900999998</v>
      </c>
      <c r="CZ66" s="48">
        <f t="shared" si="785"/>
        <v>3259.0557999999996</v>
      </c>
      <c r="DA66" s="51">
        <f t="shared" si="786"/>
        <v>10773.786663639999</v>
      </c>
      <c r="DB66" s="53">
        <f t="shared" si="787"/>
        <v>3169.7665999999995</v>
      </c>
      <c r="DC66" s="51">
        <f t="shared" si="788"/>
        <v>10478.614426279999</v>
      </c>
      <c r="DD66" s="53">
        <f t="shared" si="789"/>
        <v>3080.4773999999993</v>
      </c>
      <c r="DE66" s="51">
        <f t="shared" si="790"/>
        <v>10183.442188919998</v>
      </c>
      <c r="DF66" s="53">
        <f t="shared" si="791"/>
        <v>2991.1881999999991</v>
      </c>
      <c r="DG66" s="51">
        <f t="shared" si="792"/>
        <v>9888.2699515599979</v>
      </c>
      <c r="DH66" s="53">
        <f t="shared" si="793"/>
        <v>2901.898999999999</v>
      </c>
      <c r="DI66" s="51">
        <f t="shared" si="794"/>
        <v>9593.0977141999974</v>
      </c>
      <c r="DJ66" s="48">
        <f t="shared" si="795"/>
        <v>2812.6097999999993</v>
      </c>
      <c r="DK66" s="51">
        <f t="shared" si="796"/>
        <v>9297.9254768399969</v>
      </c>
      <c r="DL66" s="53">
        <f t="shared" si="797"/>
        <v>2723.3205999999991</v>
      </c>
      <c r="DM66" s="51">
        <f t="shared" si="798"/>
        <v>9002.7532394799964</v>
      </c>
      <c r="DN66" s="53">
        <f t="shared" si="799"/>
        <v>2634.0313999999989</v>
      </c>
      <c r="DO66" s="51">
        <f t="shared" si="800"/>
        <v>8707.5810021199959</v>
      </c>
      <c r="DP66" s="48">
        <f t="shared" si="801"/>
        <v>2544.7421999999988</v>
      </c>
      <c r="DQ66" s="51">
        <f t="shared" si="802"/>
        <v>8412.4087647599954</v>
      </c>
      <c r="DT66" s="48">
        <v>1</v>
      </c>
      <c r="DU66" s="48">
        <v>0.97</v>
      </c>
      <c r="DV66" s="48">
        <v>0.95</v>
      </c>
      <c r="DW66" s="48">
        <v>0.93</v>
      </c>
      <c r="DX66" s="48">
        <f t="shared" ref="DX66:EO66" si="860">+DW66-0.02</f>
        <v>0.91</v>
      </c>
      <c r="DY66" s="48">
        <f t="shared" si="860"/>
        <v>0.89</v>
      </c>
      <c r="DZ66" s="48">
        <f t="shared" si="860"/>
        <v>0.87</v>
      </c>
      <c r="EA66" s="48">
        <f t="shared" si="860"/>
        <v>0.85</v>
      </c>
      <c r="EB66" s="48">
        <f t="shared" si="860"/>
        <v>0.83</v>
      </c>
      <c r="EC66" s="48">
        <f t="shared" si="860"/>
        <v>0.80999999999999994</v>
      </c>
      <c r="ED66" s="48">
        <f t="shared" si="860"/>
        <v>0.78999999999999992</v>
      </c>
      <c r="EE66" s="48">
        <f t="shared" si="860"/>
        <v>0.76999999999999991</v>
      </c>
      <c r="EF66" s="48">
        <f t="shared" si="860"/>
        <v>0.74999999999999989</v>
      </c>
      <c r="EG66" s="48">
        <f t="shared" si="860"/>
        <v>0.72999999999999987</v>
      </c>
      <c r="EH66" s="48">
        <f t="shared" si="860"/>
        <v>0.70999999999999985</v>
      </c>
      <c r="EI66" s="48">
        <f t="shared" si="860"/>
        <v>0.68999999999999984</v>
      </c>
      <c r="EJ66" s="48">
        <f t="shared" si="860"/>
        <v>0.66999999999999982</v>
      </c>
      <c r="EK66" s="48">
        <f t="shared" si="860"/>
        <v>0.6499999999999998</v>
      </c>
      <c r="EL66" s="48">
        <f t="shared" si="860"/>
        <v>0.62999999999999978</v>
      </c>
      <c r="EM66" s="48">
        <f t="shared" si="860"/>
        <v>0.60999999999999976</v>
      </c>
      <c r="EN66" s="48">
        <f t="shared" si="860"/>
        <v>0.58999999999999975</v>
      </c>
      <c r="EO66" s="48">
        <f t="shared" si="860"/>
        <v>0.56999999999999973</v>
      </c>
      <c r="EQ66" s="48">
        <f t="shared" si="188"/>
        <v>4062.6586000000002</v>
      </c>
      <c r="ER66" s="48">
        <f t="shared" si="116"/>
        <v>4062.6586000000002</v>
      </c>
      <c r="ES66" s="51">
        <f t="shared" ref="ES66" si="861">+ER66*3.3058</f>
        <v>13430.33679988</v>
      </c>
      <c r="ET66" s="48">
        <f t="shared" si="805"/>
        <v>3940.7788420000002</v>
      </c>
      <c r="EU66" s="51">
        <f t="shared" si="806"/>
        <v>13027.426695883601</v>
      </c>
      <c r="EV66" s="48">
        <f t="shared" si="807"/>
        <v>3859.52567</v>
      </c>
      <c r="EW66" s="51">
        <f t="shared" si="808"/>
        <v>12758.819959886001</v>
      </c>
      <c r="EX66" s="48">
        <f t="shared" si="809"/>
        <v>3778.2724980000003</v>
      </c>
      <c r="EY66" s="51">
        <f t="shared" si="810"/>
        <v>12490.213223888401</v>
      </c>
      <c r="EZ66" s="52">
        <f t="shared" si="811"/>
        <v>3697.0193260000001</v>
      </c>
      <c r="FA66" s="51">
        <f t="shared" si="812"/>
        <v>12221.6064878908</v>
      </c>
      <c r="FB66" s="48">
        <f t="shared" si="813"/>
        <v>3615.7661540000004</v>
      </c>
      <c r="FC66" s="51">
        <f t="shared" si="814"/>
        <v>11952.999751893201</v>
      </c>
      <c r="FD66" s="52">
        <f t="shared" si="815"/>
        <v>3534.5129820000002</v>
      </c>
      <c r="FE66" s="51">
        <f t="shared" si="816"/>
        <v>11684.393015895601</v>
      </c>
      <c r="FF66" s="53">
        <f t="shared" si="817"/>
        <v>3453.25981</v>
      </c>
      <c r="FG66" s="51">
        <f t="shared" si="818"/>
        <v>11415.786279898</v>
      </c>
      <c r="FH66" s="52">
        <f t="shared" si="819"/>
        <v>3372.0066379999998</v>
      </c>
      <c r="FI66" s="51">
        <f t="shared" si="820"/>
        <v>11147.1795439004</v>
      </c>
      <c r="FJ66" s="48">
        <f t="shared" si="821"/>
        <v>3290.7534660000001</v>
      </c>
      <c r="FK66" s="51">
        <f t="shared" si="822"/>
        <v>10878.572807902801</v>
      </c>
      <c r="FL66" s="53">
        <f t="shared" si="823"/>
        <v>3209.5002939999999</v>
      </c>
      <c r="FM66" s="51">
        <f t="shared" si="824"/>
        <v>10609.966071905201</v>
      </c>
      <c r="FN66" s="53">
        <f t="shared" si="825"/>
        <v>3128.2471219999998</v>
      </c>
      <c r="FO66" s="51">
        <f t="shared" si="826"/>
        <v>10341.3593359076</v>
      </c>
      <c r="FP66" s="53">
        <f t="shared" si="827"/>
        <v>3046.9939499999996</v>
      </c>
      <c r="FQ66" s="51">
        <f t="shared" si="828"/>
        <v>10072.752599909998</v>
      </c>
      <c r="FR66" s="48">
        <f t="shared" si="829"/>
        <v>2965.7407779999994</v>
      </c>
      <c r="FS66" s="51">
        <f t="shared" si="830"/>
        <v>9804.1458639123975</v>
      </c>
      <c r="FT66" s="53">
        <f t="shared" si="831"/>
        <v>2884.4876059999997</v>
      </c>
      <c r="FU66" s="51">
        <f t="shared" si="832"/>
        <v>9535.5391279147989</v>
      </c>
      <c r="FV66" s="53">
        <f t="shared" si="833"/>
        <v>2803.2344339999995</v>
      </c>
      <c r="FW66" s="51">
        <f t="shared" si="834"/>
        <v>9266.9323919171984</v>
      </c>
      <c r="FX66" s="53">
        <f t="shared" si="835"/>
        <v>2721.9812619999993</v>
      </c>
      <c r="FY66" s="51">
        <f t="shared" si="836"/>
        <v>8998.3256559195979</v>
      </c>
      <c r="FZ66" s="53">
        <f t="shared" si="837"/>
        <v>2640.7280899999992</v>
      </c>
      <c r="GA66" s="51">
        <f t="shared" si="838"/>
        <v>8729.7189199219974</v>
      </c>
      <c r="GB66" s="48">
        <f t="shared" si="839"/>
        <v>2559.4749179999994</v>
      </c>
      <c r="GC66" s="51">
        <f t="shared" si="840"/>
        <v>8461.1121839243988</v>
      </c>
      <c r="GD66" s="53">
        <f t="shared" si="841"/>
        <v>2478.2217459999993</v>
      </c>
      <c r="GE66" s="51">
        <f t="shared" si="842"/>
        <v>8192.5054479267983</v>
      </c>
      <c r="GF66" s="53">
        <f t="shared" si="843"/>
        <v>2396.9685739999991</v>
      </c>
      <c r="GG66" s="51">
        <f t="shared" si="844"/>
        <v>7923.8987119291969</v>
      </c>
      <c r="GH66" s="48">
        <f t="shared" si="845"/>
        <v>2315.7154019999989</v>
      </c>
      <c r="GI66" s="51">
        <f t="shared" si="846"/>
        <v>7655.2919759315964</v>
      </c>
      <c r="GJ66" s="48"/>
      <c r="GK66" s="48"/>
      <c r="GL66" s="48">
        <v>1</v>
      </c>
      <c r="GM66" s="48">
        <v>0.97</v>
      </c>
      <c r="GN66" s="48">
        <v>0.95</v>
      </c>
      <c r="GO66" s="48">
        <v>0.93</v>
      </c>
      <c r="GP66" s="48">
        <f t="shared" ref="GP66:HG66" si="862">+GO66-0.02</f>
        <v>0.91</v>
      </c>
      <c r="GQ66" s="48">
        <f t="shared" si="862"/>
        <v>0.89</v>
      </c>
      <c r="GR66" s="48">
        <f t="shared" si="862"/>
        <v>0.87</v>
      </c>
      <c r="GS66" s="48">
        <f t="shared" si="862"/>
        <v>0.85</v>
      </c>
      <c r="GT66" s="48">
        <f t="shared" si="862"/>
        <v>0.83</v>
      </c>
      <c r="GU66" s="48">
        <f t="shared" si="862"/>
        <v>0.80999999999999994</v>
      </c>
      <c r="GV66" s="48">
        <f t="shared" si="862"/>
        <v>0.78999999999999992</v>
      </c>
      <c r="GW66" s="48">
        <f t="shared" si="862"/>
        <v>0.76999999999999991</v>
      </c>
      <c r="GX66" s="48">
        <f t="shared" si="862"/>
        <v>0.74999999999999989</v>
      </c>
      <c r="GY66" s="48">
        <f t="shared" si="862"/>
        <v>0.72999999999999987</v>
      </c>
      <c r="GZ66" s="48">
        <f t="shared" si="862"/>
        <v>0.70999999999999985</v>
      </c>
      <c r="HA66" s="48">
        <f t="shared" si="862"/>
        <v>0.68999999999999984</v>
      </c>
      <c r="HB66" s="48">
        <f t="shared" si="862"/>
        <v>0.66999999999999982</v>
      </c>
      <c r="HC66" s="48">
        <f t="shared" si="862"/>
        <v>0.6499999999999998</v>
      </c>
      <c r="HD66" s="48">
        <f t="shared" si="862"/>
        <v>0.62999999999999978</v>
      </c>
      <c r="HE66" s="48">
        <f t="shared" si="862"/>
        <v>0.60999999999999976</v>
      </c>
      <c r="HF66" s="48">
        <f t="shared" si="862"/>
        <v>0.58999999999999975</v>
      </c>
      <c r="HG66" s="48">
        <f t="shared" si="862"/>
        <v>0.56999999999999973</v>
      </c>
    </row>
    <row r="67" spans="1:215" x14ac:dyDescent="0.3">
      <c r="A67" s="2">
        <v>5</v>
      </c>
      <c r="C67" s="39" t="s">
        <v>136</v>
      </c>
      <c r="D67" s="44">
        <v>0</v>
      </c>
      <c r="E67" s="73">
        <f t="shared" si="716"/>
        <v>0</v>
      </c>
      <c r="G67" s="48">
        <f t="shared" si="61"/>
        <v>0</v>
      </c>
      <c r="H67" s="48">
        <f t="shared" si="62"/>
        <v>0</v>
      </c>
      <c r="I67" s="51">
        <f t="shared" si="63"/>
        <v>0</v>
      </c>
      <c r="J67" s="48">
        <f t="shared" si="717"/>
        <v>0</v>
      </c>
      <c r="K67" s="51">
        <f t="shared" si="718"/>
        <v>0</v>
      </c>
      <c r="L67" s="48">
        <f t="shared" si="719"/>
        <v>0</v>
      </c>
      <c r="M67" s="51">
        <f t="shared" si="720"/>
        <v>0</v>
      </c>
      <c r="N67" s="48">
        <f t="shared" si="721"/>
        <v>0</v>
      </c>
      <c r="O67" s="51">
        <f t="shared" si="722"/>
        <v>0</v>
      </c>
      <c r="P67" s="52">
        <f t="shared" si="723"/>
        <v>0</v>
      </c>
      <c r="Q67" s="51">
        <f t="shared" si="724"/>
        <v>0</v>
      </c>
      <c r="R67" s="48">
        <f t="shared" si="725"/>
        <v>0</v>
      </c>
      <c r="S67" s="51">
        <f t="shared" si="726"/>
        <v>0</v>
      </c>
      <c r="T67" s="52">
        <f t="shared" si="727"/>
        <v>0</v>
      </c>
      <c r="U67" s="51">
        <f t="shared" si="728"/>
        <v>0</v>
      </c>
      <c r="V67" s="53">
        <f t="shared" si="729"/>
        <v>0</v>
      </c>
      <c r="W67" s="51">
        <f t="shared" si="730"/>
        <v>0</v>
      </c>
      <c r="X67" s="52">
        <f t="shared" si="731"/>
        <v>0</v>
      </c>
      <c r="Y67" s="51">
        <f t="shared" si="732"/>
        <v>0</v>
      </c>
      <c r="Z67" s="48">
        <f t="shared" si="733"/>
        <v>0</v>
      </c>
      <c r="AA67" s="51">
        <f t="shared" si="734"/>
        <v>0</v>
      </c>
      <c r="AB67" s="53">
        <f t="shared" si="735"/>
        <v>0</v>
      </c>
      <c r="AC67" s="51">
        <f t="shared" si="736"/>
        <v>0</v>
      </c>
      <c r="AD67" s="53">
        <f t="shared" si="737"/>
        <v>0</v>
      </c>
      <c r="AE67" s="51">
        <f t="shared" si="738"/>
        <v>0</v>
      </c>
      <c r="AF67" s="53">
        <f t="shared" si="739"/>
        <v>0</v>
      </c>
      <c r="AG67" s="51">
        <f t="shared" si="740"/>
        <v>0</v>
      </c>
      <c r="AH67" s="48">
        <f t="shared" si="741"/>
        <v>0</v>
      </c>
      <c r="AI67" s="51">
        <f t="shared" si="742"/>
        <v>0</v>
      </c>
      <c r="AJ67" s="53">
        <f t="shared" si="743"/>
        <v>0</v>
      </c>
      <c r="AK67" s="51">
        <f t="shared" si="744"/>
        <v>0</v>
      </c>
      <c r="AL67" s="53">
        <f t="shared" si="745"/>
        <v>0</v>
      </c>
      <c r="AM67" s="51">
        <f t="shared" si="746"/>
        <v>0</v>
      </c>
      <c r="AN67" s="53">
        <f t="shared" si="747"/>
        <v>0</v>
      </c>
      <c r="AO67" s="51">
        <f t="shared" si="748"/>
        <v>0</v>
      </c>
      <c r="AP67" s="53">
        <f t="shared" si="749"/>
        <v>0</v>
      </c>
      <c r="AQ67" s="51">
        <f t="shared" si="750"/>
        <v>0</v>
      </c>
      <c r="AR67" s="48">
        <f t="shared" si="751"/>
        <v>0</v>
      </c>
      <c r="AS67" s="51">
        <f t="shared" si="752"/>
        <v>0</v>
      </c>
      <c r="AT67" s="53">
        <f t="shared" si="753"/>
        <v>0</v>
      </c>
      <c r="AU67" s="51">
        <f t="shared" si="754"/>
        <v>0</v>
      </c>
      <c r="AV67" s="53">
        <f t="shared" si="755"/>
        <v>0</v>
      </c>
      <c r="AW67" s="51">
        <f t="shared" si="756"/>
        <v>0</v>
      </c>
      <c r="AX67" s="48">
        <f t="shared" si="757"/>
        <v>0</v>
      </c>
      <c r="AY67" s="51">
        <f t="shared" si="758"/>
        <v>0</v>
      </c>
      <c r="BB67" s="48">
        <v>1</v>
      </c>
      <c r="BC67" s="48">
        <v>0.97</v>
      </c>
      <c r="BD67" s="48">
        <v>0.95</v>
      </c>
      <c r="BE67" s="48">
        <v>0.93</v>
      </c>
      <c r="BF67" s="48">
        <f t="shared" ref="BF67:BW67" si="863">+BE67-0.02</f>
        <v>0.91</v>
      </c>
      <c r="BG67" s="48">
        <f t="shared" si="863"/>
        <v>0.89</v>
      </c>
      <c r="BH67" s="48">
        <f t="shared" si="863"/>
        <v>0.87</v>
      </c>
      <c r="BI67" s="48">
        <f t="shared" si="863"/>
        <v>0.85</v>
      </c>
      <c r="BJ67" s="48">
        <f t="shared" si="863"/>
        <v>0.83</v>
      </c>
      <c r="BK67" s="48">
        <f t="shared" si="863"/>
        <v>0.80999999999999994</v>
      </c>
      <c r="BL67" s="48">
        <f t="shared" si="863"/>
        <v>0.78999999999999992</v>
      </c>
      <c r="BM67" s="48">
        <f t="shared" si="863"/>
        <v>0.76999999999999991</v>
      </c>
      <c r="BN67" s="48">
        <f t="shared" si="863"/>
        <v>0.74999999999999989</v>
      </c>
      <c r="BO67" s="48">
        <f t="shared" si="863"/>
        <v>0.72999999999999987</v>
      </c>
      <c r="BP67" s="48">
        <f t="shared" si="863"/>
        <v>0.70999999999999985</v>
      </c>
      <c r="BQ67" s="48">
        <f t="shared" si="863"/>
        <v>0.68999999999999984</v>
      </c>
      <c r="BR67" s="48">
        <f t="shared" si="863"/>
        <v>0.66999999999999982</v>
      </c>
      <c r="BS67" s="48">
        <f t="shared" si="863"/>
        <v>0.6499999999999998</v>
      </c>
      <c r="BT67" s="48">
        <f t="shared" si="863"/>
        <v>0.62999999999999978</v>
      </c>
      <c r="BU67" s="48">
        <f t="shared" si="863"/>
        <v>0.60999999999999976</v>
      </c>
      <c r="BV67" s="48">
        <f t="shared" si="863"/>
        <v>0.58999999999999975</v>
      </c>
      <c r="BW67" s="48">
        <f t="shared" si="863"/>
        <v>0.56999999999999973</v>
      </c>
      <c r="BY67" s="48">
        <f t="shared" si="88"/>
        <v>0</v>
      </c>
      <c r="BZ67" s="48">
        <f t="shared" si="89"/>
        <v>0</v>
      </c>
      <c r="CA67" s="51">
        <f t="shared" ref="CA67" si="864">+BZ67*3.3058</f>
        <v>0</v>
      </c>
      <c r="CB67" s="48">
        <f t="shared" si="761"/>
        <v>0</v>
      </c>
      <c r="CC67" s="51">
        <f t="shared" si="762"/>
        <v>0</v>
      </c>
      <c r="CD67" s="48">
        <f t="shared" si="763"/>
        <v>0</v>
      </c>
      <c r="CE67" s="51">
        <f t="shared" si="764"/>
        <v>0</v>
      </c>
      <c r="CF67" s="48">
        <f t="shared" si="765"/>
        <v>0</v>
      </c>
      <c r="CG67" s="51">
        <f t="shared" si="766"/>
        <v>0</v>
      </c>
      <c r="CH67" s="52">
        <f t="shared" si="767"/>
        <v>0</v>
      </c>
      <c r="CI67" s="51">
        <f t="shared" si="768"/>
        <v>0</v>
      </c>
      <c r="CJ67" s="48">
        <f t="shared" si="769"/>
        <v>0</v>
      </c>
      <c r="CK67" s="51">
        <f t="shared" si="770"/>
        <v>0</v>
      </c>
      <c r="CL67" s="52">
        <f t="shared" si="771"/>
        <v>0</v>
      </c>
      <c r="CM67" s="51">
        <f t="shared" si="772"/>
        <v>0</v>
      </c>
      <c r="CN67" s="53">
        <f t="shared" si="773"/>
        <v>0</v>
      </c>
      <c r="CO67" s="51">
        <f t="shared" si="774"/>
        <v>0</v>
      </c>
      <c r="CP67" s="52">
        <f t="shared" si="775"/>
        <v>0</v>
      </c>
      <c r="CQ67" s="51">
        <f t="shared" si="776"/>
        <v>0</v>
      </c>
      <c r="CR67" s="48">
        <f t="shared" si="777"/>
        <v>0</v>
      </c>
      <c r="CS67" s="51">
        <f t="shared" si="778"/>
        <v>0</v>
      </c>
      <c r="CT67" s="53">
        <f t="shared" si="779"/>
        <v>0</v>
      </c>
      <c r="CU67" s="51">
        <f t="shared" si="780"/>
        <v>0</v>
      </c>
      <c r="CV67" s="53">
        <f t="shared" si="781"/>
        <v>0</v>
      </c>
      <c r="CW67" s="51">
        <f t="shared" si="782"/>
        <v>0</v>
      </c>
      <c r="CX67" s="53">
        <f t="shared" si="783"/>
        <v>0</v>
      </c>
      <c r="CY67" s="51">
        <f t="shared" si="784"/>
        <v>0</v>
      </c>
      <c r="CZ67" s="48">
        <f t="shared" si="785"/>
        <v>0</v>
      </c>
      <c r="DA67" s="51">
        <f t="shared" si="786"/>
        <v>0</v>
      </c>
      <c r="DB67" s="53">
        <f t="shared" si="787"/>
        <v>0</v>
      </c>
      <c r="DC67" s="51">
        <f t="shared" si="788"/>
        <v>0</v>
      </c>
      <c r="DD67" s="53">
        <f t="shared" si="789"/>
        <v>0</v>
      </c>
      <c r="DE67" s="51">
        <f t="shared" si="790"/>
        <v>0</v>
      </c>
      <c r="DF67" s="53">
        <f t="shared" si="791"/>
        <v>0</v>
      </c>
      <c r="DG67" s="51">
        <f t="shared" si="792"/>
        <v>0</v>
      </c>
      <c r="DH67" s="53">
        <f t="shared" si="793"/>
        <v>0</v>
      </c>
      <c r="DI67" s="51">
        <f t="shared" si="794"/>
        <v>0</v>
      </c>
      <c r="DJ67" s="48">
        <f t="shared" si="795"/>
        <v>0</v>
      </c>
      <c r="DK67" s="51">
        <f t="shared" si="796"/>
        <v>0</v>
      </c>
      <c r="DL67" s="53">
        <f t="shared" si="797"/>
        <v>0</v>
      </c>
      <c r="DM67" s="51">
        <f t="shared" si="798"/>
        <v>0</v>
      </c>
      <c r="DN67" s="53">
        <f t="shared" si="799"/>
        <v>0</v>
      </c>
      <c r="DO67" s="51">
        <f t="shared" si="800"/>
        <v>0</v>
      </c>
      <c r="DP67" s="48">
        <f t="shared" si="801"/>
        <v>0</v>
      </c>
      <c r="DQ67" s="51">
        <f t="shared" si="802"/>
        <v>0</v>
      </c>
      <c r="DT67" s="48">
        <v>1</v>
      </c>
      <c r="DU67" s="48">
        <v>0.97</v>
      </c>
      <c r="DV67" s="48">
        <v>0.95</v>
      </c>
      <c r="DW67" s="48">
        <v>0.93</v>
      </c>
      <c r="DX67" s="48">
        <f t="shared" ref="DX67:EO67" si="865">+DW67-0.02</f>
        <v>0.91</v>
      </c>
      <c r="DY67" s="48">
        <f t="shared" si="865"/>
        <v>0.89</v>
      </c>
      <c r="DZ67" s="48">
        <f t="shared" si="865"/>
        <v>0.87</v>
      </c>
      <c r="EA67" s="48">
        <f t="shared" si="865"/>
        <v>0.85</v>
      </c>
      <c r="EB67" s="48">
        <f t="shared" si="865"/>
        <v>0.83</v>
      </c>
      <c r="EC67" s="48">
        <f t="shared" si="865"/>
        <v>0.80999999999999994</v>
      </c>
      <c r="ED67" s="48">
        <f t="shared" si="865"/>
        <v>0.78999999999999992</v>
      </c>
      <c r="EE67" s="48">
        <f t="shared" si="865"/>
        <v>0.76999999999999991</v>
      </c>
      <c r="EF67" s="48">
        <f t="shared" si="865"/>
        <v>0.74999999999999989</v>
      </c>
      <c r="EG67" s="48">
        <f t="shared" si="865"/>
        <v>0.72999999999999987</v>
      </c>
      <c r="EH67" s="48">
        <f t="shared" si="865"/>
        <v>0.70999999999999985</v>
      </c>
      <c r="EI67" s="48">
        <f t="shared" si="865"/>
        <v>0.68999999999999984</v>
      </c>
      <c r="EJ67" s="48">
        <f t="shared" si="865"/>
        <v>0.66999999999999982</v>
      </c>
      <c r="EK67" s="48">
        <f t="shared" si="865"/>
        <v>0.6499999999999998</v>
      </c>
      <c r="EL67" s="48">
        <f t="shared" si="865"/>
        <v>0.62999999999999978</v>
      </c>
      <c r="EM67" s="48">
        <f t="shared" si="865"/>
        <v>0.60999999999999976</v>
      </c>
      <c r="EN67" s="48">
        <f t="shared" si="865"/>
        <v>0.58999999999999975</v>
      </c>
      <c r="EO67" s="48">
        <f t="shared" si="865"/>
        <v>0.56999999999999973</v>
      </c>
      <c r="EQ67" s="48">
        <f t="shared" si="188"/>
        <v>0</v>
      </c>
      <c r="ER67" s="48">
        <f t="shared" si="116"/>
        <v>0</v>
      </c>
      <c r="ES67" s="51">
        <f t="shared" ref="ES67" si="866">+ER67*3.3058</f>
        <v>0</v>
      </c>
      <c r="ET67" s="48">
        <f t="shared" si="805"/>
        <v>0</v>
      </c>
      <c r="EU67" s="51">
        <f t="shared" si="806"/>
        <v>0</v>
      </c>
      <c r="EV67" s="48">
        <f t="shared" si="807"/>
        <v>0</v>
      </c>
      <c r="EW67" s="51">
        <f t="shared" si="808"/>
        <v>0</v>
      </c>
      <c r="EX67" s="48">
        <f t="shared" si="809"/>
        <v>0</v>
      </c>
      <c r="EY67" s="51">
        <f t="shared" si="810"/>
        <v>0</v>
      </c>
      <c r="EZ67" s="52">
        <f t="shared" si="811"/>
        <v>0</v>
      </c>
      <c r="FA67" s="51">
        <f t="shared" si="812"/>
        <v>0</v>
      </c>
      <c r="FB67" s="48">
        <f t="shared" si="813"/>
        <v>0</v>
      </c>
      <c r="FC67" s="51">
        <f t="shared" si="814"/>
        <v>0</v>
      </c>
      <c r="FD67" s="52">
        <f t="shared" si="815"/>
        <v>0</v>
      </c>
      <c r="FE67" s="51">
        <f t="shared" si="816"/>
        <v>0</v>
      </c>
      <c r="FF67" s="53">
        <f t="shared" si="817"/>
        <v>0</v>
      </c>
      <c r="FG67" s="51">
        <f t="shared" si="818"/>
        <v>0</v>
      </c>
      <c r="FH67" s="52">
        <f t="shared" si="819"/>
        <v>0</v>
      </c>
      <c r="FI67" s="51">
        <f t="shared" si="820"/>
        <v>0</v>
      </c>
      <c r="FJ67" s="48">
        <f t="shared" si="821"/>
        <v>0</v>
      </c>
      <c r="FK67" s="51">
        <f t="shared" si="822"/>
        <v>0</v>
      </c>
      <c r="FL67" s="53">
        <f t="shared" si="823"/>
        <v>0</v>
      </c>
      <c r="FM67" s="51">
        <f t="shared" si="824"/>
        <v>0</v>
      </c>
      <c r="FN67" s="53">
        <f t="shared" si="825"/>
        <v>0</v>
      </c>
      <c r="FO67" s="51">
        <f t="shared" si="826"/>
        <v>0</v>
      </c>
      <c r="FP67" s="53">
        <f t="shared" si="827"/>
        <v>0</v>
      </c>
      <c r="FQ67" s="51">
        <f t="shared" si="828"/>
        <v>0</v>
      </c>
      <c r="FR67" s="48">
        <f t="shared" si="829"/>
        <v>0</v>
      </c>
      <c r="FS67" s="51">
        <f t="shared" si="830"/>
        <v>0</v>
      </c>
      <c r="FT67" s="53">
        <f t="shared" si="831"/>
        <v>0</v>
      </c>
      <c r="FU67" s="51">
        <f t="shared" si="832"/>
        <v>0</v>
      </c>
      <c r="FV67" s="53">
        <f t="shared" si="833"/>
        <v>0</v>
      </c>
      <c r="FW67" s="51">
        <f t="shared" si="834"/>
        <v>0</v>
      </c>
      <c r="FX67" s="53">
        <f t="shared" si="835"/>
        <v>0</v>
      </c>
      <c r="FY67" s="51">
        <f t="shared" si="836"/>
        <v>0</v>
      </c>
      <c r="FZ67" s="53">
        <f t="shared" si="837"/>
        <v>0</v>
      </c>
      <c r="GA67" s="51">
        <f t="shared" si="838"/>
        <v>0</v>
      </c>
      <c r="GB67" s="48">
        <f t="shared" si="839"/>
        <v>0</v>
      </c>
      <c r="GC67" s="51">
        <f t="shared" si="840"/>
        <v>0</v>
      </c>
      <c r="GD67" s="53">
        <f t="shared" si="841"/>
        <v>0</v>
      </c>
      <c r="GE67" s="51">
        <f t="shared" si="842"/>
        <v>0</v>
      </c>
      <c r="GF67" s="53">
        <f t="shared" si="843"/>
        <v>0</v>
      </c>
      <c r="GG67" s="51">
        <f t="shared" si="844"/>
        <v>0</v>
      </c>
      <c r="GH67" s="48">
        <f t="shared" si="845"/>
        <v>0</v>
      </c>
      <c r="GI67" s="51">
        <f t="shared" si="846"/>
        <v>0</v>
      </c>
      <c r="GJ67" s="48"/>
      <c r="GK67" s="48"/>
      <c r="GL67" s="48">
        <v>1</v>
      </c>
      <c r="GM67" s="48">
        <v>0.97</v>
      </c>
      <c r="GN67" s="48">
        <v>0.95</v>
      </c>
      <c r="GO67" s="48">
        <v>0.93</v>
      </c>
      <c r="GP67" s="48">
        <f t="shared" ref="GP67:HG67" si="867">+GO67-0.02</f>
        <v>0.91</v>
      </c>
      <c r="GQ67" s="48">
        <f t="shared" si="867"/>
        <v>0.89</v>
      </c>
      <c r="GR67" s="48">
        <f t="shared" si="867"/>
        <v>0.87</v>
      </c>
      <c r="GS67" s="48">
        <f t="shared" si="867"/>
        <v>0.85</v>
      </c>
      <c r="GT67" s="48">
        <f t="shared" si="867"/>
        <v>0.83</v>
      </c>
      <c r="GU67" s="48">
        <f t="shared" si="867"/>
        <v>0.80999999999999994</v>
      </c>
      <c r="GV67" s="48">
        <f t="shared" si="867"/>
        <v>0.78999999999999992</v>
      </c>
      <c r="GW67" s="48">
        <f t="shared" si="867"/>
        <v>0.76999999999999991</v>
      </c>
      <c r="GX67" s="48">
        <f t="shared" si="867"/>
        <v>0.74999999999999989</v>
      </c>
      <c r="GY67" s="48">
        <f t="shared" si="867"/>
        <v>0.72999999999999987</v>
      </c>
      <c r="GZ67" s="48">
        <f t="shared" si="867"/>
        <v>0.70999999999999985</v>
      </c>
      <c r="HA67" s="48">
        <f t="shared" si="867"/>
        <v>0.68999999999999984</v>
      </c>
      <c r="HB67" s="48">
        <f t="shared" si="867"/>
        <v>0.66999999999999982</v>
      </c>
      <c r="HC67" s="48">
        <f t="shared" si="867"/>
        <v>0.6499999999999998</v>
      </c>
      <c r="HD67" s="48">
        <f t="shared" si="867"/>
        <v>0.62999999999999978</v>
      </c>
      <c r="HE67" s="48">
        <f t="shared" si="867"/>
        <v>0.60999999999999976</v>
      </c>
      <c r="HF67" s="48">
        <f t="shared" si="867"/>
        <v>0.58999999999999975</v>
      </c>
      <c r="HG67" s="48">
        <f t="shared" si="867"/>
        <v>0.56999999999999973</v>
      </c>
    </row>
    <row r="68" spans="1:215" x14ac:dyDescent="0.3">
      <c r="A68" s="2">
        <v>6</v>
      </c>
      <c r="C68" s="39" t="s">
        <v>137</v>
      </c>
      <c r="D68" s="44">
        <v>0</v>
      </c>
      <c r="E68" s="73">
        <f t="shared" si="716"/>
        <v>0</v>
      </c>
      <c r="G68" s="48">
        <f t="shared" si="61"/>
        <v>0</v>
      </c>
      <c r="H68" s="48">
        <f t="shared" si="62"/>
        <v>0</v>
      </c>
      <c r="I68" s="51">
        <f t="shared" si="63"/>
        <v>0</v>
      </c>
      <c r="J68" s="48">
        <f t="shared" si="717"/>
        <v>0</v>
      </c>
      <c r="K68" s="51">
        <f t="shared" si="718"/>
        <v>0</v>
      </c>
      <c r="L68" s="48">
        <f t="shared" si="719"/>
        <v>0</v>
      </c>
      <c r="M68" s="51">
        <f t="shared" si="720"/>
        <v>0</v>
      </c>
      <c r="N68" s="48">
        <f t="shared" si="721"/>
        <v>0</v>
      </c>
      <c r="O68" s="51">
        <f t="shared" si="722"/>
        <v>0</v>
      </c>
      <c r="P68" s="52">
        <f t="shared" si="723"/>
        <v>0</v>
      </c>
      <c r="Q68" s="51">
        <f t="shared" si="724"/>
        <v>0</v>
      </c>
      <c r="R68" s="48">
        <f t="shared" si="725"/>
        <v>0</v>
      </c>
      <c r="S68" s="51">
        <f t="shared" si="726"/>
        <v>0</v>
      </c>
      <c r="T68" s="52">
        <f t="shared" si="727"/>
        <v>0</v>
      </c>
      <c r="U68" s="51">
        <f t="shared" si="728"/>
        <v>0</v>
      </c>
      <c r="V68" s="53">
        <f t="shared" si="729"/>
        <v>0</v>
      </c>
      <c r="W68" s="51">
        <f t="shared" si="730"/>
        <v>0</v>
      </c>
      <c r="X68" s="52">
        <f t="shared" si="731"/>
        <v>0</v>
      </c>
      <c r="Y68" s="51">
        <f t="shared" si="732"/>
        <v>0</v>
      </c>
      <c r="Z68" s="48">
        <f t="shared" si="733"/>
        <v>0</v>
      </c>
      <c r="AA68" s="51">
        <f t="shared" si="734"/>
        <v>0</v>
      </c>
      <c r="AB68" s="53">
        <f t="shared" si="735"/>
        <v>0</v>
      </c>
      <c r="AC68" s="51">
        <f t="shared" si="736"/>
        <v>0</v>
      </c>
      <c r="AD68" s="53">
        <f t="shared" si="737"/>
        <v>0</v>
      </c>
      <c r="AE68" s="51">
        <f t="shared" si="738"/>
        <v>0</v>
      </c>
      <c r="AF68" s="53">
        <f t="shared" si="739"/>
        <v>0</v>
      </c>
      <c r="AG68" s="51">
        <f t="shared" si="740"/>
        <v>0</v>
      </c>
      <c r="AH68" s="48">
        <f t="shared" si="741"/>
        <v>0</v>
      </c>
      <c r="AI68" s="51">
        <f t="shared" si="742"/>
        <v>0</v>
      </c>
      <c r="AJ68" s="53">
        <f t="shared" si="743"/>
        <v>0</v>
      </c>
      <c r="AK68" s="51">
        <f t="shared" si="744"/>
        <v>0</v>
      </c>
      <c r="AL68" s="53">
        <f t="shared" si="745"/>
        <v>0</v>
      </c>
      <c r="AM68" s="51">
        <f t="shared" si="746"/>
        <v>0</v>
      </c>
      <c r="AN68" s="53">
        <f t="shared" si="747"/>
        <v>0</v>
      </c>
      <c r="AO68" s="51">
        <f t="shared" si="748"/>
        <v>0</v>
      </c>
      <c r="AP68" s="53">
        <f t="shared" si="749"/>
        <v>0</v>
      </c>
      <c r="AQ68" s="51">
        <f t="shared" si="750"/>
        <v>0</v>
      </c>
      <c r="AR68" s="48">
        <f t="shared" si="751"/>
        <v>0</v>
      </c>
      <c r="AS68" s="51">
        <f t="shared" si="752"/>
        <v>0</v>
      </c>
      <c r="AT68" s="53">
        <f t="shared" si="753"/>
        <v>0</v>
      </c>
      <c r="AU68" s="51">
        <f t="shared" si="754"/>
        <v>0</v>
      </c>
      <c r="AV68" s="53">
        <f t="shared" si="755"/>
        <v>0</v>
      </c>
      <c r="AW68" s="51">
        <f t="shared" si="756"/>
        <v>0</v>
      </c>
      <c r="AX68" s="48">
        <f t="shared" si="757"/>
        <v>0</v>
      </c>
      <c r="AY68" s="51">
        <f t="shared" si="758"/>
        <v>0</v>
      </c>
      <c r="BB68" s="48">
        <v>1</v>
      </c>
      <c r="BC68" s="48">
        <v>0.97</v>
      </c>
      <c r="BD68" s="48">
        <v>0.95</v>
      </c>
      <c r="BE68" s="48">
        <v>0.93</v>
      </c>
      <c r="BF68" s="48">
        <f t="shared" ref="BF68:BW68" si="868">+BE68-0.02</f>
        <v>0.91</v>
      </c>
      <c r="BG68" s="48">
        <f t="shared" si="868"/>
        <v>0.89</v>
      </c>
      <c r="BH68" s="48">
        <f t="shared" si="868"/>
        <v>0.87</v>
      </c>
      <c r="BI68" s="48">
        <f t="shared" si="868"/>
        <v>0.85</v>
      </c>
      <c r="BJ68" s="48">
        <f t="shared" si="868"/>
        <v>0.83</v>
      </c>
      <c r="BK68" s="48">
        <f t="shared" si="868"/>
        <v>0.80999999999999994</v>
      </c>
      <c r="BL68" s="48">
        <f t="shared" si="868"/>
        <v>0.78999999999999992</v>
      </c>
      <c r="BM68" s="48">
        <f t="shared" si="868"/>
        <v>0.76999999999999991</v>
      </c>
      <c r="BN68" s="48">
        <f t="shared" si="868"/>
        <v>0.74999999999999989</v>
      </c>
      <c r="BO68" s="48">
        <f t="shared" si="868"/>
        <v>0.72999999999999987</v>
      </c>
      <c r="BP68" s="48">
        <f t="shared" si="868"/>
        <v>0.70999999999999985</v>
      </c>
      <c r="BQ68" s="48">
        <f t="shared" si="868"/>
        <v>0.68999999999999984</v>
      </c>
      <c r="BR68" s="48">
        <f t="shared" si="868"/>
        <v>0.66999999999999982</v>
      </c>
      <c r="BS68" s="48">
        <f t="shared" si="868"/>
        <v>0.6499999999999998</v>
      </c>
      <c r="BT68" s="48">
        <f t="shared" si="868"/>
        <v>0.62999999999999978</v>
      </c>
      <c r="BU68" s="48">
        <f t="shared" si="868"/>
        <v>0.60999999999999976</v>
      </c>
      <c r="BV68" s="48">
        <f t="shared" si="868"/>
        <v>0.58999999999999975</v>
      </c>
      <c r="BW68" s="48">
        <f t="shared" si="868"/>
        <v>0.56999999999999973</v>
      </c>
      <c r="BY68" s="48">
        <f t="shared" si="88"/>
        <v>0</v>
      </c>
      <c r="BZ68" s="48">
        <f t="shared" si="89"/>
        <v>0</v>
      </c>
      <c r="CA68" s="51">
        <f t="shared" ref="CA68" si="869">+BZ68*3.3058</f>
        <v>0</v>
      </c>
      <c r="CB68" s="48">
        <f t="shared" si="761"/>
        <v>0</v>
      </c>
      <c r="CC68" s="51">
        <f t="shared" si="762"/>
        <v>0</v>
      </c>
      <c r="CD68" s="48">
        <f t="shared" si="763"/>
        <v>0</v>
      </c>
      <c r="CE68" s="51">
        <f t="shared" si="764"/>
        <v>0</v>
      </c>
      <c r="CF68" s="48">
        <f t="shared" si="765"/>
        <v>0</v>
      </c>
      <c r="CG68" s="51">
        <f t="shared" si="766"/>
        <v>0</v>
      </c>
      <c r="CH68" s="52">
        <f t="shared" si="767"/>
        <v>0</v>
      </c>
      <c r="CI68" s="51">
        <f t="shared" si="768"/>
        <v>0</v>
      </c>
      <c r="CJ68" s="48">
        <f t="shared" si="769"/>
        <v>0</v>
      </c>
      <c r="CK68" s="51">
        <f t="shared" si="770"/>
        <v>0</v>
      </c>
      <c r="CL68" s="52">
        <f t="shared" si="771"/>
        <v>0</v>
      </c>
      <c r="CM68" s="51">
        <f t="shared" si="772"/>
        <v>0</v>
      </c>
      <c r="CN68" s="53">
        <f t="shared" si="773"/>
        <v>0</v>
      </c>
      <c r="CO68" s="51">
        <f t="shared" si="774"/>
        <v>0</v>
      </c>
      <c r="CP68" s="52">
        <f t="shared" si="775"/>
        <v>0</v>
      </c>
      <c r="CQ68" s="51">
        <f t="shared" si="776"/>
        <v>0</v>
      </c>
      <c r="CR68" s="48">
        <f t="shared" si="777"/>
        <v>0</v>
      </c>
      <c r="CS68" s="51">
        <f t="shared" si="778"/>
        <v>0</v>
      </c>
      <c r="CT68" s="53">
        <f t="shared" si="779"/>
        <v>0</v>
      </c>
      <c r="CU68" s="51">
        <f t="shared" si="780"/>
        <v>0</v>
      </c>
      <c r="CV68" s="53">
        <f t="shared" si="781"/>
        <v>0</v>
      </c>
      <c r="CW68" s="51">
        <f t="shared" si="782"/>
        <v>0</v>
      </c>
      <c r="CX68" s="53">
        <f t="shared" si="783"/>
        <v>0</v>
      </c>
      <c r="CY68" s="51">
        <f t="shared" si="784"/>
        <v>0</v>
      </c>
      <c r="CZ68" s="48">
        <f t="shared" si="785"/>
        <v>0</v>
      </c>
      <c r="DA68" s="51">
        <f t="shared" si="786"/>
        <v>0</v>
      </c>
      <c r="DB68" s="53">
        <f t="shared" si="787"/>
        <v>0</v>
      </c>
      <c r="DC68" s="51">
        <f t="shared" si="788"/>
        <v>0</v>
      </c>
      <c r="DD68" s="53">
        <f t="shared" si="789"/>
        <v>0</v>
      </c>
      <c r="DE68" s="51">
        <f t="shared" si="790"/>
        <v>0</v>
      </c>
      <c r="DF68" s="53">
        <f t="shared" si="791"/>
        <v>0</v>
      </c>
      <c r="DG68" s="51">
        <f t="shared" si="792"/>
        <v>0</v>
      </c>
      <c r="DH68" s="53">
        <f t="shared" si="793"/>
        <v>0</v>
      </c>
      <c r="DI68" s="51">
        <f t="shared" si="794"/>
        <v>0</v>
      </c>
      <c r="DJ68" s="48">
        <f t="shared" si="795"/>
        <v>0</v>
      </c>
      <c r="DK68" s="51">
        <f t="shared" si="796"/>
        <v>0</v>
      </c>
      <c r="DL68" s="53">
        <f t="shared" si="797"/>
        <v>0</v>
      </c>
      <c r="DM68" s="51">
        <f t="shared" si="798"/>
        <v>0</v>
      </c>
      <c r="DN68" s="53">
        <f t="shared" si="799"/>
        <v>0</v>
      </c>
      <c r="DO68" s="51">
        <f t="shared" si="800"/>
        <v>0</v>
      </c>
      <c r="DP68" s="48">
        <f t="shared" si="801"/>
        <v>0</v>
      </c>
      <c r="DQ68" s="51">
        <f t="shared" si="802"/>
        <v>0</v>
      </c>
      <c r="DT68" s="48">
        <v>1</v>
      </c>
      <c r="DU68" s="48">
        <v>0.97</v>
      </c>
      <c r="DV68" s="48">
        <v>0.95</v>
      </c>
      <c r="DW68" s="48">
        <v>0.93</v>
      </c>
      <c r="DX68" s="48">
        <f t="shared" ref="DX68:EO68" si="870">+DW68-0.02</f>
        <v>0.91</v>
      </c>
      <c r="DY68" s="48">
        <f t="shared" si="870"/>
        <v>0.89</v>
      </c>
      <c r="DZ68" s="48">
        <f t="shared" si="870"/>
        <v>0.87</v>
      </c>
      <c r="EA68" s="48">
        <f t="shared" si="870"/>
        <v>0.85</v>
      </c>
      <c r="EB68" s="48">
        <f t="shared" si="870"/>
        <v>0.83</v>
      </c>
      <c r="EC68" s="48">
        <f t="shared" si="870"/>
        <v>0.80999999999999994</v>
      </c>
      <c r="ED68" s="48">
        <f t="shared" si="870"/>
        <v>0.78999999999999992</v>
      </c>
      <c r="EE68" s="48">
        <f t="shared" si="870"/>
        <v>0.76999999999999991</v>
      </c>
      <c r="EF68" s="48">
        <f t="shared" si="870"/>
        <v>0.74999999999999989</v>
      </c>
      <c r="EG68" s="48">
        <f t="shared" si="870"/>
        <v>0.72999999999999987</v>
      </c>
      <c r="EH68" s="48">
        <f t="shared" si="870"/>
        <v>0.70999999999999985</v>
      </c>
      <c r="EI68" s="48">
        <f t="shared" si="870"/>
        <v>0.68999999999999984</v>
      </c>
      <c r="EJ68" s="48">
        <f t="shared" si="870"/>
        <v>0.66999999999999982</v>
      </c>
      <c r="EK68" s="48">
        <f t="shared" si="870"/>
        <v>0.6499999999999998</v>
      </c>
      <c r="EL68" s="48">
        <f t="shared" si="870"/>
        <v>0.62999999999999978</v>
      </c>
      <c r="EM68" s="48">
        <f t="shared" si="870"/>
        <v>0.60999999999999976</v>
      </c>
      <c r="EN68" s="48">
        <f t="shared" si="870"/>
        <v>0.58999999999999975</v>
      </c>
      <c r="EO68" s="48">
        <f t="shared" si="870"/>
        <v>0.56999999999999973</v>
      </c>
      <c r="EQ68" s="48">
        <f t="shared" si="188"/>
        <v>0</v>
      </c>
      <c r="ER68" s="48">
        <f t="shared" si="116"/>
        <v>0</v>
      </c>
      <c r="ES68" s="51">
        <f t="shared" ref="ES68" si="871">+ER68*3.3058</f>
        <v>0</v>
      </c>
      <c r="ET68" s="48">
        <f t="shared" si="805"/>
        <v>0</v>
      </c>
      <c r="EU68" s="51">
        <f t="shared" si="806"/>
        <v>0</v>
      </c>
      <c r="EV68" s="48">
        <f t="shared" si="807"/>
        <v>0</v>
      </c>
      <c r="EW68" s="51">
        <f t="shared" si="808"/>
        <v>0</v>
      </c>
      <c r="EX68" s="48">
        <f t="shared" si="809"/>
        <v>0</v>
      </c>
      <c r="EY68" s="51">
        <f t="shared" si="810"/>
        <v>0</v>
      </c>
      <c r="EZ68" s="52">
        <f t="shared" si="811"/>
        <v>0</v>
      </c>
      <c r="FA68" s="51">
        <f t="shared" si="812"/>
        <v>0</v>
      </c>
      <c r="FB68" s="48">
        <f t="shared" si="813"/>
        <v>0</v>
      </c>
      <c r="FC68" s="51">
        <f t="shared" si="814"/>
        <v>0</v>
      </c>
      <c r="FD68" s="52">
        <f t="shared" si="815"/>
        <v>0</v>
      </c>
      <c r="FE68" s="51">
        <f t="shared" si="816"/>
        <v>0</v>
      </c>
      <c r="FF68" s="53">
        <f t="shared" si="817"/>
        <v>0</v>
      </c>
      <c r="FG68" s="51">
        <f t="shared" si="818"/>
        <v>0</v>
      </c>
      <c r="FH68" s="52">
        <f t="shared" si="819"/>
        <v>0</v>
      </c>
      <c r="FI68" s="51">
        <f t="shared" si="820"/>
        <v>0</v>
      </c>
      <c r="FJ68" s="48">
        <f t="shared" si="821"/>
        <v>0</v>
      </c>
      <c r="FK68" s="51">
        <f t="shared" si="822"/>
        <v>0</v>
      </c>
      <c r="FL68" s="53">
        <f t="shared" si="823"/>
        <v>0</v>
      </c>
      <c r="FM68" s="51">
        <f t="shared" si="824"/>
        <v>0</v>
      </c>
      <c r="FN68" s="53">
        <f t="shared" si="825"/>
        <v>0</v>
      </c>
      <c r="FO68" s="51">
        <f t="shared" si="826"/>
        <v>0</v>
      </c>
      <c r="FP68" s="53">
        <f t="shared" si="827"/>
        <v>0</v>
      </c>
      <c r="FQ68" s="51">
        <f t="shared" si="828"/>
        <v>0</v>
      </c>
      <c r="FR68" s="48">
        <f t="shared" si="829"/>
        <v>0</v>
      </c>
      <c r="FS68" s="51">
        <f t="shared" si="830"/>
        <v>0</v>
      </c>
      <c r="FT68" s="53">
        <f t="shared" si="831"/>
        <v>0</v>
      </c>
      <c r="FU68" s="51">
        <f t="shared" si="832"/>
        <v>0</v>
      </c>
      <c r="FV68" s="53">
        <f t="shared" si="833"/>
        <v>0</v>
      </c>
      <c r="FW68" s="51">
        <f t="shared" si="834"/>
        <v>0</v>
      </c>
      <c r="FX68" s="53">
        <f t="shared" si="835"/>
        <v>0</v>
      </c>
      <c r="FY68" s="51">
        <f t="shared" si="836"/>
        <v>0</v>
      </c>
      <c r="FZ68" s="53">
        <f t="shared" si="837"/>
        <v>0</v>
      </c>
      <c r="GA68" s="51">
        <f t="shared" si="838"/>
        <v>0</v>
      </c>
      <c r="GB68" s="48">
        <f t="shared" si="839"/>
        <v>0</v>
      </c>
      <c r="GC68" s="51">
        <f t="shared" si="840"/>
        <v>0</v>
      </c>
      <c r="GD68" s="53">
        <f t="shared" si="841"/>
        <v>0</v>
      </c>
      <c r="GE68" s="51">
        <f t="shared" si="842"/>
        <v>0</v>
      </c>
      <c r="GF68" s="53">
        <f t="shared" si="843"/>
        <v>0</v>
      </c>
      <c r="GG68" s="51">
        <f t="shared" si="844"/>
        <v>0</v>
      </c>
      <c r="GH68" s="48">
        <f t="shared" si="845"/>
        <v>0</v>
      </c>
      <c r="GI68" s="51">
        <f t="shared" si="846"/>
        <v>0</v>
      </c>
      <c r="GJ68" s="48"/>
      <c r="GK68" s="48"/>
      <c r="GL68" s="48">
        <v>1</v>
      </c>
      <c r="GM68" s="48">
        <v>0.97</v>
      </c>
      <c r="GN68" s="48">
        <v>0.95</v>
      </c>
      <c r="GO68" s="48">
        <v>0.93</v>
      </c>
      <c r="GP68" s="48">
        <f t="shared" ref="GP68:HG68" si="872">+GO68-0.02</f>
        <v>0.91</v>
      </c>
      <c r="GQ68" s="48">
        <f t="shared" si="872"/>
        <v>0.89</v>
      </c>
      <c r="GR68" s="48">
        <f t="shared" si="872"/>
        <v>0.87</v>
      </c>
      <c r="GS68" s="48">
        <f t="shared" si="872"/>
        <v>0.85</v>
      </c>
      <c r="GT68" s="48">
        <f t="shared" si="872"/>
        <v>0.83</v>
      </c>
      <c r="GU68" s="48">
        <f t="shared" si="872"/>
        <v>0.80999999999999994</v>
      </c>
      <c r="GV68" s="48">
        <f t="shared" si="872"/>
        <v>0.78999999999999992</v>
      </c>
      <c r="GW68" s="48">
        <f t="shared" si="872"/>
        <v>0.76999999999999991</v>
      </c>
      <c r="GX68" s="48">
        <f t="shared" si="872"/>
        <v>0.74999999999999989</v>
      </c>
      <c r="GY68" s="48">
        <f t="shared" si="872"/>
        <v>0.72999999999999987</v>
      </c>
      <c r="GZ68" s="48">
        <f t="shared" si="872"/>
        <v>0.70999999999999985</v>
      </c>
      <c r="HA68" s="48">
        <f t="shared" si="872"/>
        <v>0.68999999999999984</v>
      </c>
      <c r="HB68" s="48">
        <f t="shared" si="872"/>
        <v>0.66999999999999982</v>
      </c>
      <c r="HC68" s="48">
        <f t="shared" si="872"/>
        <v>0.6499999999999998</v>
      </c>
      <c r="HD68" s="48">
        <f t="shared" si="872"/>
        <v>0.62999999999999978</v>
      </c>
      <c r="HE68" s="48">
        <f t="shared" si="872"/>
        <v>0.60999999999999976</v>
      </c>
      <c r="HF68" s="48">
        <f t="shared" si="872"/>
        <v>0.58999999999999975</v>
      </c>
      <c r="HG68" s="48">
        <f t="shared" si="872"/>
        <v>0.56999999999999973</v>
      </c>
    </row>
    <row r="69" spans="1:215" x14ac:dyDescent="0.3">
      <c r="A69" s="2">
        <v>7</v>
      </c>
      <c r="C69" s="39" t="s">
        <v>138</v>
      </c>
      <c r="D69" s="44">
        <v>0</v>
      </c>
      <c r="E69" s="73">
        <f t="shared" si="716"/>
        <v>0</v>
      </c>
      <c r="G69" s="48">
        <f t="shared" si="61"/>
        <v>0</v>
      </c>
      <c r="H69" s="48">
        <f t="shared" si="62"/>
        <v>0</v>
      </c>
      <c r="I69" s="51">
        <f t="shared" si="63"/>
        <v>0</v>
      </c>
      <c r="J69" s="48">
        <f t="shared" si="717"/>
        <v>0</v>
      </c>
      <c r="K69" s="51">
        <f t="shared" si="718"/>
        <v>0</v>
      </c>
      <c r="L69" s="48">
        <f t="shared" si="719"/>
        <v>0</v>
      </c>
      <c r="M69" s="51">
        <f t="shared" si="720"/>
        <v>0</v>
      </c>
      <c r="N69" s="48">
        <f t="shared" si="721"/>
        <v>0</v>
      </c>
      <c r="O69" s="51">
        <f t="shared" si="722"/>
        <v>0</v>
      </c>
      <c r="P69" s="52">
        <f t="shared" si="723"/>
        <v>0</v>
      </c>
      <c r="Q69" s="51">
        <f t="shared" si="724"/>
        <v>0</v>
      </c>
      <c r="R69" s="48">
        <f t="shared" si="725"/>
        <v>0</v>
      </c>
      <c r="S69" s="51">
        <f t="shared" si="726"/>
        <v>0</v>
      </c>
      <c r="T69" s="52">
        <f t="shared" si="727"/>
        <v>0</v>
      </c>
      <c r="U69" s="51">
        <f t="shared" si="728"/>
        <v>0</v>
      </c>
      <c r="V69" s="53">
        <f t="shared" si="729"/>
        <v>0</v>
      </c>
      <c r="W69" s="51">
        <f t="shared" si="730"/>
        <v>0</v>
      </c>
      <c r="X69" s="52">
        <f t="shared" si="731"/>
        <v>0</v>
      </c>
      <c r="Y69" s="51">
        <f t="shared" si="732"/>
        <v>0</v>
      </c>
      <c r="Z69" s="48">
        <f t="shared" si="733"/>
        <v>0</v>
      </c>
      <c r="AA69" s="51">
        <f t="shared" si="734"/>
        <v>0</v>
      </c>
      <c r="AB69" s="53">
        <f t="shared" si="735"/>
        <v>0</v>
      </c>
      <c r="AC69" s="51">
        <f t="shared" si="736"/>
        <v>0</v>
      </c>
      <c r="AD69" s="53">
        <f t="shared" si="737"/>
        <v>0</v>
      </c>
      <c r="AE69" s="51">
        <f t="shared" si="738"/>
        <v>0</v>
      </c>
      <c r="AF69" s="53">
        <f t="shared" si="739"/>
        <v>0</v>
      </c>
      <c r="AG69" s="51">
        <f t="shared" si="740"/>
        <v>0</v>
      </c>
      <c r="AH69" s="48">
        <f t="shared" si="741"/>
        <v>0</v>
      </c>
      <c r="AI69" s="51">
        <f t="shared" si="742"/>
        <v>0</v>
      </c>
      <c r="AJ69" s="53">
        <f t="shared" si="743"/>
        <v>0</v>
      </c>
      <c r="AK69" s="51">
        <f t="shared" si="744"/>
        <v>0</v>
      </c>
      <c r="AL69" s="53">
        <f t="shared" si="745"/>
        <v>0</v>
      </c>
      <c r="AM69" s="51">
        <f t="shared" si="746"/>
        <v>0</v>
      </c>
      <c r="AN69" s="53">
        <f t="shared" si="747"/>
        <v>0</v>
      </c>
      <c r="AO69" s="51">
        <f t="shared" si="748"/>
        <v>0</v>
      </c>
      <c r="AP69" s="53">
        <f t="shared" si="749"/>
        <v>0</v>
      </c>
      <c r="AQ69" s="51">
        <f t="shared" si="750"/>
        <v>0</v>
      </c>
      <c r="AR69" s="48">
        <f t="shared" si="751"/>
        <v>0</v>
      </c>
      <c r="AS69" s="51">
        <f t="shared" si="752"/>
        <v>0</v>
      </c>
      <c r="AT69" s="53">
        <f t="shared" si="753"/>
        <v>0</v>
      </c>
      <c r="AU69" s="51">
        <f t="shared" si="754"/>
        <v>0</v>
      </c>
      <c r="AV69" s="53">
        <f t="shared" si="755"/>
        <v>0</v>
      </c>
      <c r="AW69" s="51">
        <f t="shared" si="756"/>
        <v>0</v>
      </c>
      <c r="AX69" s="48">
        <f t="shared" si="757"/>
        <v>0</v>
      </c>
      <c r="AY69" s="51">
        <f t="shared" si="758"/>
        <v>0</v>
      </c>
      <c r="BB69" s="48">
        <v>1</v>
      </c>
      <c r="BC69" s="48">
        <v>0.97</v>
      </c>
      <c r="BD69" s="48">
        <v>0.95</v>
      </c>
      <c r="BE69" s="48">
        <v>0.93</v>
      </c>
      <c r="BF69" s="48">
        <f t="shared" ref="BF69:BW69" si="873">+BE69-0.02</f>
        <v>0.91</v>
      </c>
      <c r="BG69" s="48">
        <f t="shared" si="873"/>
        <v>0.89</v>
      </c>
      <c r="BH69" s="48">
        <f t="shared" si="873"/>
        <v>0.87</v>
      </c>
      <c r="BI69" s="48">
        <f t="shared" si="873"/>
        <v>0.85</v>
      </c>
      <c r="BJ69" s="48">
        <f t="shared" si="873"/>
        <v>0.83</v>
      </c>
      <c r="BK69" s="48">
        <f t="shared" si="873"/>
        <v>0.80999999999999994</v>
      </c>
      <c r="BL69" s="48">
        <f t="shared" si="873"/>
        <v>0.78999999999999992</v>
      </c>
      <c r="BM69" s="48">
        <f t="shared" si="873"/>
        <v>0.76999999999999991</v>
      </c>
      <c r="BN69" s="48">
        <f t="shared" si="873"/>
        <v>0.74999999999999989</v>
      </c>
      <c r="BO69" s="48">
        <f t="shared" si="873"/>
        <v>0.72999999999999987</v>
      </c>
      <c r="BP69" s="48">
        <f t="shared" si="873"/>
        <v>0.70999999999999985</v>
      </c>
      <c r="BQ69" s="48">
        <f t="shared" si="873"/>
        <v>0.68999999999999984</v>
      </c>
      <c r="BR69" s="48">
        <f t="shared" si="873"/>
        <v>0.66999999999999982</v>
      </c>
      <c r="BS69" s="48">
        <f t="shared" si="873"/>
        <v>0.6499999999999998</v>
      </c>
      <c r="BT69" s="48">
        <f t="shared" si="873"/>
        <v>0.62999999999999978</v>
      </c>
      <c r="BU69" s="48">
        <f t="shared" si="873"/>
        <v>0.60999999999999976</v>
      </c>
      <c r="BV69" s="48">
        <f t="shared" si="873"/>
        <v>0.58999999999999975</v>
      </c>
      <c r="BW69" s="48">
        <f t="shared" si="873"/>
        <v>0.56999999999999973</v>
      </c>
      <c r="BY69" s="48">
        <f t="shared" si="88"/>
        <v>0</v>
      </c>
      <c r="BZ69" s="48">
        <f t="shared" si="89"/>
        <v>0</v>
      </c>
      <c r="CA69" s="51">
        <f t="shared" ref="CA69" si="874">+BZ69*3.3058</f>
        <v>0</v>
      </c>
      <c r="CB69" s="48">
        <f t="shared" si="761"/>
        <v>0</v>
      </c>
      <c r="CC69" s="51">
        <f t="shared" si="762"/>
        <v>0</v>
      </c>
      <c r="CD69" s="48">
        <f t="shared" si="763"/>
        <v>0</v>
      </c>
      <c r="CE69" s="51">
        <f t="shared" si="764"/>
        <v>0</v>
      </c>
      <c r="CF69" s="48">
        <f t="shared" si="765"/>
        <v>0</v>
      </c>
      <c r="CG69" s="51">
        <f t="shared" si="766"/>
        <v>0</v>
      </c>
      <c r="CH69" s="52">
        <f t="shared" si="767"/>
        <v>0</v>
      </c>
      <c r="CI69" s="51">
        <f t="shared" si="768"/>
        <v>0</v>
      </c>
      <c r="CJ69" s="48">
        <f t="shared" si="769"/>
        <v>0</v>
      </c>
      <c r="CK69" s="51">
        <f t="shared" si="770"/>
        <v>0</v>
      </c>
      <c r="CL69" s="52">
        <f t="shared" si="771"/>
        <v>0</v>
      </c>
      <c r="CM69" s="51">
        <f t="shared" si="772"/>
        <v>0</v>
      </c>
      <c r="CN69" s="53">
        <f t="shared" si="773"/>
        <v>0</v>
      </c>
      <c r="CO69" s="51">
        <f t="shared" si="774"/>
        <v>0</v>
      </c>
      <c r="CP69" s="52">
        <f t="shared" si="775"/>
        <v>0</v>
      </c>
      <c r="CQ69" s="51">
        <f t="shared" si="776"/>
        <v>0</v>
      </c>
      <c r="CR69" s="48">
        <f t="shared" si="777"/>
        <v>0</v>
      </c>
      <c r="CS69" s="51">
        <f t="shared" si="778"/>
        <v>0</v>
      </c>
      <c r="CT69" s="53">
        <f t="shared" si="779"/>
        <v>0</v>
      </c>
      <c r="CU69" s="51">
        <f t="shared" si="780"/>
        <v>0</v>
      </c>
      <c r="CV69" s="53">
        <f t="shared" si="781"/>
        <v>0</v>
      </c>
      <c r="CW69" s="51">
        <f t="shared" si="782"/>
        <v>0</v>
      </c>
      <c r="CX69" s="53">
        <f t="shared" si="783"/>
        <v>0</v>
      </c>
      <c r="CY69" s="51">
        <f t="shared" si="784"/>
        <v>0</v>
      </c>
      <c r="CZ69" s="48">
        <f t="shared" si="785"/>
        <v>0</v>
      </c>
      <c r="DA69" s="51">
        <f t="shared" si="786"/>
        <v>0</v>
      </c>
      <c r="DB69" s="53">
        <f t="shared" si="787"/>
        <v>0</v>
      </c>
      <c r="DC69" s="51">
        <f t="shared" si="788"/>
        <v>0</v>
      </c>
      <c r="DD69" s="53">
        <f t="shared" si="789"/>
        <v>0</v>
      </c>
      <c r="DE69" s="51">
        <f t="shared" si="790"/>
        <v>0</v>
      </c>
      <c r="DF69" s="53">
        <f t="shared" si="791"/>
        <v>0</v>
      </c>
      <c r="DG69" s="51">
        <f t="shared" si="792"/>
        <v>0</v>
      </c>
      <c r="DH69" s="53">
        <f t="shared" si="793"/>
        <v>0</v>
      </c>
      <c r="DI69" s="51">
        <f t="shared" si="794"/>
        <v>0</v>
      </c>
      <c r="DJ69" s="48">
        <f t="shared" si="795"/>
        <v>0</v>
      </c>
      <c r="DK69" s="51">
        <f t="shared" si="796"/>
        <v>0</v>
      </c>
      <c r="DL69" s="53">
        <f t="shared" si="797"/>
        <v>0</v>
      </c>
      <c r="DM69" s="51">
        <f t="shared" si="798"/>
        <v>0</v>
      </c>
      <c r="DN69" s="53">
        <f t="shared" si="799"/>
        <v>0</v>
      </c>
      <c r="DO69" s="51">
        <f t="shared" si="800"/>
        <v>0</v>
      </c>
      <c r="DP69" s="48">
        <f t="shared" si="801"/>
        <v>0</v>
      </c>
      <c r="DQ69" s="51">
        <f t="shared" si="802"/>
        <v>0</v>
      </c>
      <c r="DT69" s="48">
        <v>1</v>
      </c>
      <c r="DU69" s="48">
        <v>0.97</v>
      </c>
      <c r="DV69" s="48">
        <v>0.95</v>
      </c>
      <c r="DW69" s="48">
        <v>0.93</v>
      </c>
      <c r="DX69" s="48">
        <f t="shared" ref="DX69:EO69" si="875">+DW69-0.02</f>
        <v>0.91</v>
      </c>
      <c r="DY69" s="48">
        <f t="shared" si="875"/>
        <v>0.89</v>
      </c>
      <c r="DZ69" s="48">
        <f t="shared" si="875"/>
        <v>0.87</v>
      </c>
      <c r="EA69" s="48">
        <f t="shared" si="875"/>
        <v>0.85</v>
      </c>
      <c r="EB69" s="48">
        <f t="shared" si="875"/>
        <v>0.83</v>
      </c>
      <c r="EC69" s="48">
        <f t="shared" si="875"/>
        <v>0.80999999999999994</v>
      </c>
      <c r="ED69" s="48">
        <f t="shared" si="875"/>
        <v>0.78999999999999992</v>
      </c>
      <c r="EE69" s="48">
        <f t="shared" si="875"/>
        <v>0.76999999999999991</v>
      </c>
      <c r="EF69" s="48">
        <f t="shared" si="875"/>
        <v>0.74999999999999989</v>
      </c>
      <c r="EG69" s="48">
        <f t="shared" si="875"/>
        <v>0.72999999999999987</v>
      </c>
      <c r="EH69" s="48">
        <f t="shared" si="875"/>
        <v>0.70999999999999985</v>
      </c>
      <c r="EI69" s="48">
        <f t="shared" si="875"/>
        <v>0.68999999999999984</v>
      </c>
      <c r="EJ69" s="48">
        <f t="shared" si="875"/>
        <v>0.66999999999999982</v>
      </c>
      <c r="EK69" s="48">
        <f t="shared" si="875"/>
        <v>0.6499999999999998</v>
      </c>
      <c r="EL69" s="48">
        <f t="shared" si="875"/>
        <v>0.62999999999999978</v>
      </c>
      <c r="EM69" s="48">
        <f t="shared" si="875"/>
        <v>0.60999999999999976</v>
      </c>
      <c r="EN69" s="48">
        <f t="shared" si="875"/>
        <v>0.58999999999999975</v>
      </c>
      <c r="EO69" s="48">
        <f t="shared" si="875"/>
        <v>0.56999999999999973</v>
      </c>
      <c r="EQ69" s="48">
        <f t="shared" si="188"/>
        <v>0</v>
      </c>
      <c r="ER69" s="48">
        <f t="shared" si="116"/>
        <v>0</v>
      </c>
      <c r="ES69" s="51">
        <f t="shared" ref="ES69" si="876">+ER69*3.3058</f>
        <v>0</v>
      </c>
      <c r="ET69" s="48">
        <f t="shared" si="805"/>
        <v>0</v>
      </c>
      <c r="EU69" s="51">
        <f t="shared" si="806"/>
        <v>0</v>
      </c>
      <c r="EV69" s="48">
        <f t="shared" si="807"/>
        <v>0</v>
      </c>
      <c r="EW69" s="51">
        <f t="shared" si="808"/>
        <v>0</v>
      </c>
      <c r="EX69" s="48">
        <f t="shared" si="809"/>
        <v>0</v>
      </c>
      <c r="EY69" s="51">
        <f t="shared" si="810"/>
        <v>0</v>
      </c>
      <c r="EZ69" s="52">
        <f t="shared" si="811"/>
        <v>0</v>
      </c>
      <c r="FA69" s="51">
        <f t="shared" si="812"/>
        <v>0</v>
      </c>
      <c r="FB69" s="48">
        <f t="shared" si="813"/>
        <v>0</v>
      </c>
      <c r="FC69" s="51">
        <f t="shared" si="814"/>
        <v>0</v>
      </c>
      <c r="FD69" s="52">
        <f t="shared" si="815"/>
        <v>0</v>
      </c>
      <c r="FE69" s="51">
        <f t="shared" si="816"/>
        <v>0</v>
      </c>
      <c r="FF69" s="53">
        <f t="shared" si="817"/>
        <v>0</v>
      </c>
      <c r="FG69" s="51">
        <f t="shared" si="818"/>
        <v>0</v>
      </c>
      <c r="FH69" s="52">
        <f t="shared" si="819"/>
        <v>0</v>
      </c>
      <c r="FI69" s="51">
        <f t="shared" si="820"/>
        <v>0</v>
      </c>
      <c r="FJ69" s="48">
        <f t="shared" si="821"/>
        <v>0</v>
      </c>
      <c r="FK69" s="51">
        <f t="shared" si="822"/>
        <v>0</v>
      </c>
      <c r="FL69" s="53">
        <f t="shared" si="823"/>
        <v>0</v>
      </c>
      <c r="FM69" s="51">
        <f t="shared" si="824"/>
        <v>0</v>
      </c>
      <c r="FN69" s="53">
        <f t="shared" si="825"/>
        <v>0</v>
      </c>
      <c r="FO69" s="51">
        <f t="shared" si="826"/>
        <v>0</v>
      </c>
      <c r="FP69" s="53">
        <f t="shared" si="827"/>
        <v>0</v>
      </c>
      <c r="FQ69" s="51">
        <f t="shared" si="828"/>
        <v>0</v>
      </c>
      <c r="FR69" s="48">
        <f t="shared" si="829"/>
        <v>0</v>
      </c>
      <c r="FS69" s="51">
        <f t="shared" si="830"/>
        <v>0</v>
      </c>
      <c r="FT69" s="53">
        <f t="shared" si="831"/>
        <v>0</v>
      </c>
      <c r="FU69" s="51">
        <f t="shared" si="832"/>
        <v>0</v>
      </c>
      <c r="FV69" s="53">
        <f t="shared" si="833"/>
        <v>0</v>
      </c>
      <c r="FW69" s="51">
        <f t="shared" si="834"/>
        <v>0</v>
      </c>
      <c r="FX69" s="53">
        <f t="shared" si="835"/>
        <v>0</v>
      </c>
      <c r="FY69" s="51">
        <f t="shared" si="836"/>
        <v>0</v>
      </c>
      <c r="FZ69" s="53">
        <f t="shared" si="837"/>
        <v>0</v>
      </c>
      <c r="GA69" s="51">
        <f t="shared" si="838"/>
        <v>0</v>
      </c>
      <c r="GB69" s="48">
        <f t="shared" si="839"/>
        <v>0</v>
      </c>
      <c r="GC69" s="51">
        <f t="shared" si="840"/>
        <v>0</v>
      </c>
      <c r="GD69" s="53">
        <f t="shared" si="841"/>
        <v>0</v>
      </c>
      <c r="GE69" s="51">
        <f t="shared" si="842"/>
        <v>0</v>
      </c>
      <c r="GF69" s="53">
        <f t="shared" si="843"/>
        <v>0</v>
      </c>
      <c r="GG69" s="51">
        <f t="shared" si="844"/>
        <v>0</v>
      </c>
      <c r="GH69" s="48">
        <f t="shared" si="845"/>
        <v>0</v>
      </c>
      <c r="GI69" s="51">
        <f t="shared" si="846"/>
        <v>0</v>
      </c>
      <c r="GJ69" s="48"/>
      <c r="GK69" s="48"/>
      <c r="GL69" s="48">
        <v>1</v>
      </c>
      <c r="GM69" s="48">
        <v>0.97</v>
      </c>
      <c r="GN69" s="48">
        <v>0.95</v>
      </c>
      <c r="GO69" s="48">
        <v>0.93</v>
      </c>
      <c r="GP69" s="48">
        <f t="shared" ref="GP69:HG69" si="877">+GO69-0.02</f>
        <v>0.91</v>
      </c>
      <c r="GQ69" s="48">
        <f t="shared" si="877"/>
        <v>0.89</v>
      </c>
      <c r="GR69" s="48">
        <f t="shared" si="877"/>
        <v>0.87</v>
      </c>
      <c r="GS69" s="48">
        <f t="shared" si="877"/>
        <v>0.85</v>
      </c>
      <c r="GT69" s="48">
        <f t="shared" si="877"/>
        <v>0.83</v>
      </c>
      <c r="GU69" s="48">
        <f t="shared" si="877"/>
        <v>0.80999999999999994</v>
      </c>
      <c r="GV69" s="48">
        <f t="shared" si="877"/>
        <v>0.78999999999999992</v>
      </c>
      <c r="GW69" s="48">
        <f t="shared" si="877"/>
        <v>0.76999999999999991</v>
      </c>
      <c r="GX69" s="48">
        <f t="shared" si="877"/>
        <v>0.74999999999999989</v>
      </c>
      <c r="GY69" s="48">
        <f t="shared" si="877"/>
        <v>0.72999999999999987</v>
      </c>
      <c r="GZ69" s="48">
        <f t="shared" si="877"/>
        <v>0.70999999999999985</v>
      </c>
      <c r="HA69" s="48">
        <f t="shared" si="877"/>
        <v>0.68999999999999984</v>
      </c>
      <c r="HB69" s="48">
        <f t="shared" si="877"/>
        <v>0.66999999999999982</v>
      </c>
      <c r="HC69" s="48">
        <f t="shared" si="877"/>
        <v>0.6499999999999998</v>
      </c>
      <c r="HD69" s="48">
        <f t="shared" si="877"/>
        <v>0.62999999999999978</v>
      </c>
      <c r="HE69" s="48">
        <f t="shared" si="877"/>
        <v>0.60999999999999976</v>
      </c>
      <c r="HF69" s="48">
        <f t="shared" si="877"/>
        <v>0.58999999999999975</v>
      </c>
      <c r="HG69" s="48">
        <f t="shared" si="877"/>
        <v>0.56999999999999973</v>
      </c>
    </row>
    <row r="70" spans="1:215" x14ac:dyDescent="0.3">
      <c r="A70" s="2">
        <v>8</v>
      </c>
      <c r="C70" s="39" t="s">
        <v>139</v>
      </c>
      <c r="D70" s="44">
        <v>0</v>
      </c>
      <c r="E70" s="73">
        <f t="shared" si="716"/>
        <v>0</v>
      </c>
      <c r="G70" s="48">
        <f t="shared" si="61"/>
        <v>0</v>
      </c>
      <c r="H70" s="48">
        <f t="shared" si="62"/>
        <v>0</v>
      </c>
      <c r="I70" s="51">
        <f t="shared" si="63"/>
        <v>0</v>
      </c>
      <c r="J70" s="48">
        <f t="shared" si="717"/>
        <v>0</v>
      </c>
      <c r="K70" s="51">
        <f t="shared" si="718"/>
        <v>0</v>
      </c>
      <c r="L70" s="48">
        <f t="shared" si="719"/>
        <v>0</v>
      </c>
      <c r="M70" s="51">
        <f t="shared" si="720"/>
        <v>0</v>
      </c>
      <c r="N70" s="48">
        <f t="shared" si="721"/>
        <v>0</v>
      </c>
      <c r="O70" s="51">
        <f t="shared" si="722"/>
        <v>0</v>
      </c>
      <c r="P70" s="52">
        <f t="shared" si="723"/>
        <v>0</v>
      </c>
      <c r="Q70" s="51">
        <f t="shared" si="724"/>
        <v>0</v>
      </c>
      <c r="R70" s="48">
        <f t="shared" si="725"/>
        <v>0</v>
      </c>
      <c r="S70" s="51">
        <f t="shared" si="726"/>
        <v>0</v>
      </c>
      <c r="T70" s="52">
        <f t="shared" si="727"/>
        <v>0</v>
      </c>
      <c r="U70" s="51">
        <f t="shared" si="728"/>
        <v>0</v>
      </c>
      <c r="V70" s="53">
        <f t="shared" si="729"/>
        <v>0</v>
      </c>
      <c r="W70" s="51">
        <f t="shared" si="730"/>
        <v>0</v>
      </c>
      <c r="X70" s="52">
        <f t="shared" si="731"/>
        <v>0</v>
      </c>
      <c r="Y70" s="51">
        <f t="shared" si="732"/>
        <v>0</v>
      </c>
      <c r="Z70" s="48">
        <f t="shared" si="733"/>
        <v>0</v>
      </c>
      <c r="AA70" s="51">
        <f t="shared" si="734"/>
        <v>0</v>
      </c>
      <c r="AB70" s="53">
        <f t="shared" si="735"/>
        <v>0</v>
      </c>
      <c r="AC70" s="51">
        <f t="shared" si="736"/>
        <v>0</v>
      </c>
      <c r="AD70" s="53">
        <f t="shared" si="737"/>
        <v>0</v>
      </c>
      <c r="AE70" s="51">
        <f t="shared" si="738"/>
        <v>0</v>
      </c>
      <c r="AF70" s="53">
        <f t="shared" si="739"/>
        <v>0</v>
      </c>
      <c r="AG70" s="51">
        <f t="shared" si="740"/>
        <v>0</v>
      </c>
      <c r="AH70" s="48">
        <f t="shared" si="741"/>
        <v>0</v>
      </c>
      <c r="AI70" s="51">
        <f t="shared" si="742"/>
        <v>0</v>
      </c>
      <c r="AJ70" s="53">
        <f t="shared" si="743"/>
        <v>0</v>
      </c>
      <c r="AK70" s="51">
        <f t="shared" si="744"/>
        <v>0</v>
      </c>
      <c r="AL70" s="53">
        <f t="shared" si="745"/>
        <v>0</v>
      </c>
      <c r="AM70" s="51">
        <f t="shared" si="746"/>
        <v>0</v>
      </c>
      <c r="AN70" s="53">
        <f t="shared" si="747"/>
        <v>0</v>
      </c>
      <c r="AO70" s="51">
        <f t="shared" si="748"/>
        <v>0</v>
      </c>
      <c r="AP70" s="53">
        <f t="shared" si="749"/>
        <v>0</v>
      </c>
      <c r="AQ70" s="51">
        <f t="shared" si="750"/>
        <v>0</v>
      </c>
      <c r="AR70" s="48">
        <f t="shared" si="751"/>
        <v>0</v>
      </c>
      <c r="AS70" s="51">
        <f t="shared" si="752"/>
        <v>0</v>
      </c>
      <c r="AT70" s="53">
        <f t="shared" si="753"/>
        <v>0</v>
      </c>
      <c r="AU70" s="51">
        <f t="shared" si="754"/>
        <v>0</v>
      </c>
      <c r="AV70" s="53">
        <f t="shared" si="755"/>
        <v>0</v>
      </c>
      <c r="AW70" s="51">
        <f t="shared" si="756"/>
        <v>0</v>
      </c>
      <c r="AX70" s="48">
        <f t="shared" si="757"/>
        <v>0</v>
      </c>
      <c r="AY70" s="51">
        <f t="shared" si="758"/>
        <v>0</v>
      </c>
      <c r="BB70" s="48">
        <v>1</v>
      </c>
      <c r="BC70" s="48">
        <v>0.97</v>
      </c>
      <c r="BD70" s="48">
        <v>0.95</v>
      </c>
      <c r="BE70" s="48">
        <v>0.93</v>
      </c>
      <c r="BF70" s="48">
        <f t="shared" ref="BF70:BW70" si="878">+BE70-0.02</f>
        <v>0.91</v>
      </c>
      <c r="BG70" s="48">
        <f t="shared" si="878"/>
        <v>0.89</v>
      </c>
      <c r="BH70" s="48">
        <f t="shared" si="878"/>
        <v>0.87</v>
      </c>
      <c r="BI70" s="48">
        <f t="shared" si="878"/>
        <v>0.85</v>
      </c>
      <c r="BJ70" s="48">
        <f t="shared" si="878"/>
        <v>0.83</v>
      </c>
      <c r="BK70" s="48">
        <f t="shared" si="878"/>
        <v>0.80999999999999994</v>
      </c>
      <c r="BL70" s="48">
        <f t="shared" si="878"/>
        <v>0.78999999999999992</v>
      </c>
      <c r="BM70" s="48">
        <f t="shared" si="878"/>
        <v>0.76999999999999991</v>
      </c>
      <c r="BN70" s="48">
        <f t="shared" si="878"/>
        <v>0.74999999999999989</v>
      </c>
      <c r="BO70" s="48">
        <f t="shared" si="878"/>
        <v>0.72999999999999987</v>
      </c>
      <c r="BP70" s="48">
        <f t="shared" si="878"/>
        <v>0.70999999999999985</v>
      </c>
      <c r="BQ70" s="48">
        <f t="shared" si="878"/>
        <v>0.68999999999999984</v>
      </c>
      <c r="BR70" s="48">
        <f t="shared" si="878"/>
        <v>0.66999999999999982</v>
      </c>
      <c r="BS70" s="48">
        <f t="shared" si="878"/>
        <v>0.6499999999999998</v>
      </c>
      <c r="BT70" s="48">
        <f t="shared" si="878"/>
        <v>0.62999999999999978</v>
      </c>
      <c r="BU70" s="48">
        <f t="shared" si="878"/>
        <v>0.60999999999999976</v>
      </c>
      <c r="BV70" s="48">
        <f t="shared" si="878"/>
        <v>0.58999999999999975</v>
      </c>
      <c r="BW70" s="48">
        <f t="shared" si="878"/>
        <v>0.56999999999999973</v>
      </c>
      <c r="BY70" s="48">
        <f t="shared" si="88"/>
        <v>0</v>
      </c>
      <c r="BZ70" s="48">
        <f t="shared" si="89"/>
        <v>0</v>
      </c>
      <c r="CA70" s="51">
        <f t="shared" ref="CA70" si="879">+BZ70*3.3058</f>
        <v>0</v>
      </c>
      <c r="CB70" s="48">
        <f t="shared" si="761"/>
        <v>0</v>
      </c>
      <c r="CC70" s="51">
        <f t="shared" si="762"/>
        <v>0</v>
      </c>
      <c r="CD70" s="48">
        <f t="shared" si="763"/>
        <v>0</v>
      </c>
      <c r="CE70" s="51">
        <f t="shared" si="764"/>
        <v>0</v>
      </c>
      <c r="CF70" s="48">
        <f t="shared" si="765"/>
        <v>0</v>
      </c>
      <c r="CG70" s="51">
        <f t="shared" si="766"/>
        <v>0</v>
      </c>
      <c r="CH70" s="52">
        <f t="shared" si="767"/>
        <v>0</v>
      </c>
      <c r="CI70" s="51">
        <f t="shared" si="768"/>
        <v>0</v>
      </c>
      <c r="CJ70" s="48">
        <f t="shared" si="769"/>
        <v>0</v>
      </c>
      <c r="CK70" s="51">
        <f t="shared" si="770"/>
        <v>0</v>
      </c>
      <c r="CL70" s="52">
        <f t="shared" si="771"/>
        <v>0</v>
      </c>
      <c r="CM70" s="51">
        <f t="shared" si="772"/>
        <v>0</v>
      </c>
      <c r="CN70" s="53">
        <f t="shared" si="773"/>
        <v>0</v>
      </c>
      <c r="CO70" s="51">
        <f t="shared" si="774"/>
        <v>0</v>
      </c>
      <c r="CP70" s="52">
        <f t="shared" si="775"/>
        <v>0</v>
      </c>
      <c r="CQ70" s="51">
        <f t="shared" si="776"/>
        <v>0</v>
      </c>
      <c r="CR70" s="48">
        <f t="shared" si="777"/>
        <v>0</v>
      </c>
      <c r="CS70" s="51">
        <f t="shared" si="778"/>
        <v>0</v>
      </c>
      <c r="CT70" s="53">
        <f t="shared" si="779"/>
        <v>0</v>
      </c>
      <c r="CU70" s="51">
        <f t="shared" si="780"/>
        <v>0</v>
      </c>
      <c r="CV70" s="53">
        <f t="shared" si="781"/>
        <v>0</v>
      </c>
      <c r="CW70" s="51">
        <f t="shared" si="782"/>
        <v>0</v>
      </c>
      <c r="CX70" s="53">
        <f t="shared" si="783"/>
        <v>0</v>
      </c>
      <c r="CY70" s="51">
        <f t="shared" si="784"/>
        <v>0</v>
      </c>
      <c r="CZ70" s="48">
        <f t="shared" si="785"/>
        <v>0</v>
      </c>
      <c r="DA70" s="51">
        <f t="shared" si="786"/>
        <v>0</v>
      </c>
      <c r="DB70" s="53">
        <f t="shared" si="787"/>
        <v>0</v>
      </c>
      <c r="DC70" s="51">
        <f t="shared" si="788"/>
        <v>0</v>
      </c>
      <c r="DD70" s="53">
        <f t="shared" si="789"/>
        <v>0</v>
      </c>
      <c r="DE70" s="51">
        <f t="shared" si="790"/>
        <v>0</v>
      </c>
      <c r="DF70" s="53">
        <f t="shared" si="791"/>
        <v>0</v>
      </c>
      <c r="DG70" s="51">
        <f t="shared" si="792"/>
        <v>0</v>
      </c>
      <c r="DH70" s="53">
        <f t="shared" si="793"/>
        <v>0</v>
      </c>
      <c r="DI70" s="51">
        <f t="shared" si="794"/>
        <v>0</v>
      </c>
      <c r="DJ70" s="48">
        <f t="shared" si="795"/>
        <v>0</v>
      </c>
      <c r="DK70" s="51">
        <f t="shared" si="796"/>
        <v>0</v>
      </c>
      <c r="DL70" s="53">
        <f t="shared" si="797"/>
        <v>0</v>
      </c>
      <c r="DM70" s="51">
        <f t="shared" si="798"/>
        <v>0</v>
      </c>
      <c r="DN70" s="53">
        <f t="shared" si="799"/>
        <v>0</v>
      </c>
      <c r="DO70" s="51">
        <f t="shared" si="800"/>
        <v>0</v>
      </c>
      <c r="DP70" s="48">
        <f t="shared" si="801"/>
        <v>0</v>
      </c>
      <c r="DQ70" s="51">
        <f t="shared" si="802"/>
        <v>0</v>
      </c>
      <c r="DT70" s="48">
        <v>1</v>
      </c>
      <c r="DU70" s="48">
        <v>0.97</v>
      </c>
      <c r="DV70" s="48">
        <v>0.95</v>
      </c>
      <c r="DW70" s="48">
        <v>0.93</v>
      </c>
      <c r="DX70" s="48">
        <f t="shared" ref="DX70:EO70" si="880">+DW70-0.02</f>
        <v>0.91</v>
      </c>
      <c r="DY70" s="48">
        <f t="shared" si="880"/>
        <v>0.89</v>
      </c>
      <c r="DZ70" s="48">
        <f t="shared" si="880"/>
        <v>0.87</v>
      </c>
      <c r="EA70" s="48">
        <f t="shared" si="880"/>
        <v>0.85</v>
      </c>
      <c r="EB70" s="48">
        <f t="shared" si="880"/>
        <v>0.83</v>
      </c>
      <c r="EC70" s="48">
        <f t="shared" si="880"/>
        <v>0.80999999999999994</v>
      </c>
      <c r="ED70" s="48">
        <f t="shared" si="880"/>
        <v>0.78999999999999992</v>
      </c>
      <c r="EE70" s="48">
        <f t="shared" si="880"/>
        <v>0.76999999999999991</v>
      </c>
      <c r="EF70" s="48">
        <f t="shared" si="880"/>
        <v>0.74999999999999989</v>
      </c>
      <c r="EG70" s="48">
        <f t="shared" si="880"/>
        <v>0.72999999999999987</v>
      </c>
      <c r="EH70" s="48">
        <f t="shared" si="880"/>
        <v>0.70999999999999985</v>
      </c>
      <c r="EI70" s="48">
        <f t="shared" si="880"/>
        <v>0.68999999999999984</v>
      </c>
      <c r="EJ70" s="48">
        <f t="shared" si="880"/>
        <v>0.66999999999999982</v>
      </c>
      <c r="EK70" s="48">
        <f t="shared" si="880"/>
        <v>0.6499999999999998</v>
      </c>
      <c r="EL70" s="48">
        <f t="shared" si="880"/>
        <v>0.62999999999999978</v>
      </c>
      <c r="EM70" s="48">
        <f t="shared" si="880"/>
        <v>0.60999999999999976</v>
      </c>
      <c r="EN70" s="48">
        <f t="shared" si="880"/>
        <v>0.58999999999999975</v>
      </c>
      <c r="EO70" s="48">
        <f t="shared" si="880"/>
        <v>0.56999999999999973</v>
      </c>
      <c r="EQ70" s="48">
        <f t="shared" si="188"/>
        <v>0</v>
      </c>
      <c r="ER70" s="48">
        <f t="shared" si="116"/>
        <v>0</v>
      </c>
      <c r="ES70" s="51">
        <f t="shared" ref="ES70" si="881">+ER70*3.3058</f>
        <v>0</v>
      </c>
      <c r="ET70" s="48">
        <f t="shared" si="805"/>
        <v>0</v>
      </c>
      <c r="EU70" s="51">
        <f t="shared" si="806"/>
        <v>0</v>
      </c>
      <c r="EV70" s="48">
        <f t="shared" si="807"/>
        <v>0</v>
      </c>
      <c r="EW70" s="51">
        <f t="shared" si="808"/>
        <v>0</v>
      </c>
      <c r="EX70" s="48">
        <f t="shared" si="809"/>
        <v>0</v>
      </c>
      <c r="EY70" s="51">
        <f t="shared" si="810"/>
        <v>0</v>
      </c>
      <c r="EZ70" s="52">
        <f t="shared" si="811"/>
        <v>0</v>
      </c>
      <c r="FA70" s="51">
        <f t="shared" si="812"/>
        <v>0</v>
      </c>
      <c r="FB70" s="48">
        <f t="shared" si="813"/>
        <v>0</v>
      </c>
      <c r="FC70" s="51">
        <f t="shared" si="814"/>
        <v>0</v>
      </c>
      <c r="FD70" s="52">
        <f t="shared" si="815"/>
        <v>0</v>
      </c>
      <c r="FE70" s="51">
        <f t="shared" si="816"/>
        <v>0</v>
      </c>
      <c r="FF70" s="53">
        <f t="shared" si="817"/>
        <v>0</v>
      </c>
      <c r="FG70" s="51">
        <f t="shared" si="818"/>
        <v>0</v>
      </c>
      <c r="FH70" s="52">
        <f t="shared" si="819"/>
        <v>0</v>
      </c>
      <c r="FI70" s="51">
        <f t="shared" si="820"/>
        <v>0</v>
      </c>
      <c r="FJ70" s="48">
        <f t="shared" si="821"/>
        <v>0</v>
      </c>
      <c r="FK70" s="51">
        <f t="shared" si="822"/>
        <v>0</v>
      </c>
      <c r="FL70" s="53">
        <f t="shared" si="823"/>
        <v>0</v>
      </c>
      <c r="FM70" s="51">
        <f t="shared" si="824"/>
        <v>0</v>
      </c>
      <c r="FN70" s="53">
        <f t="shared" si="825"/>
        <v>0</v>
      </c>
      <c r="FO70" s="51">
        <f t="shared" si="826"/>
        <v>0</v>
      </c>
      <c r="FP70" s="53">
        <f t="shared" si="827"/>
        <v>0</v>
      </c>
      <c r="FQ70" s="51">
        <f t="shared" si="828"/>
        <v>0</v>
      </c>
      <c r="FR70" s="48">
        <f t="shared" si="829"/>
        <v>0</v>
      </c>
      <c r="FS70" s="51">
        <f t="shared" si="830"/>
        <v>0</v>
      </c>
      <c r="FT70" s="53">
        <f t="shared" si="831"/>
        <v>0</v>
      </c>
      <c r="FU70" s="51">
        <f t="shared" si="832"/>
        <v>0</v>
      </c>
      <c r="FV70" s="53">
        <f t="shared" si="833"/>
        <v>0</v>
      </c>
      <c r="FW70" s="51">
        <f t="shared" si="834"/>
        <v>0</v>
      </c>
      <c r="FX70" s="53">
        <f t="shared" si="835"/>
        <v>0</v>
      </c>
      <c r="FY70" s="51">
        <f t="shared" si="836"/>
        <v>0</v>
      </c>
      <c r="FZ70" s="53">
        <f t="shared" si="837"/>
        <v>0</v>
      </c>
      <c r="GA70" s="51">
        <f t="shared" si="838"/>
        <v>0</v>
      </c>
      <c r="GB70" s="48">
        <f t="shared" si="839"/>
        <v>0</v>
      </c>
      <c r="GC70" s="51">
        <f t="shared" si="840"/>
        <v>0</v>
      </c>
      <c r="GD70" s="53">
        <f t="shared" si="841"/>
        <v>0</v>
      </c>
      <c r="GE70" s="51">
        <f t="shared" si="842"/>
        <v>0</v>
      </c>
      <c r="GF70" s="53">
        <f t="shared" si="843"/>
        <v>0</v>
      </c>
      <c r="GG70" s="51">
        <f t="shared" si="844"/>
        <v>0</v>
      </c>
      <c r="GH70" s="48">
        <f t="shared" si="845"/>
        <v>0</v>
      </c>
      <c r="GI70" s="51">
        <f t="shared" si="846"/>
        <v>0</v>
      </c>
      <c r="GJ70" s="48"/>
      <c r="GK70" s="48"/>
      <c r="GL70" s="48">
        <v>1</v>
      </c>
      <c r="GM70" s="48">
        <v>0.97</v>
      </c>
      <c r="GN70" s="48">
        <v>0.95</v>
      </c>
      <c r="GO70" s="48">
        <v>0.93</v>
      </c>
      <c r="GP70" s="48">
        <f t="shared" ref="GP70:HG70" si="882">+GO70-0.02</f>
        <v>0.91</v>
      </c>
      <c r="GQ70" s="48">
        <f t="shared" si="882"/>
        <v>0.89</v>
      </c>
      <c r="GR70" s="48">
        <f t="shared" si="882"/>
        <v>0.87</v>
      </c>
      <c r="GS70" s="48">
        <f t="shared" si="882"/>
        <v>0.85</v>
      </c>
      <c r="GT70" s="48">
        <f t="shared" si="882"/>
        <v>0.83</v>
      </c>
      <c r="GU70" s="48">
        <f t="shared" si="882"/>
        <v>0.80999999999999994</v>
      </c>
      <c r="GV70" s="48">
        <f t="shared" si="882"/>
        <v>0.78999999999999992</v>
      </c>
      <c r="GW70" s="48">
        <f t="shared" si="882"/>
        <v>0.76999999999999991</v>
      </c>
      <c r="GX70" s="48">
        <f t="shared" si="882"/>
        <v>0.74999999999999989</v>
      </c>
      <c r="GY70" s="48">
        <f t="shared" si="882"/>
        <v>0.72999999999999987</v>
      </c>
      <c r="GZ70" s="48">
        <f t="shared" si="882"/>
        <v>0.70999999999999985</v>
      </c>
      <c r="HA70" s="48">
        <f t="shared" si="882"/>
        <v>0.68999999999999984</v>
      </c>
      <c r="HB70" s="48">
        <f t="shared" si="882"/>
        <v>0.66999999999999982</v>
      </c>
      <c r="HC70" s="48">
        <f t="shared" si="882"/>
        <v>0.6499999999999998</v>
      </c>
      <c r="HD70" s="48">
        <f t="shared" si="882"/>
        <v>0.62999999999999978</v>
      </c>
      <c r="HE70" s="48">
        <f t="shared" si="882"/>
        <v>0.60999999999999976</v>
      </c>
      <c r="HF70" s="48">
        <f t="shared" si="882"/>
        <v>0.58999999999999975</v>
      </c>
      <c r="HG70" s="48">
        <f t="shared" si="882"/>
        <v>0.56999999999999973</v>
      </c>
    </row>
    <row r="71" spans="1:215" x14ac:dyDescent="0.3">
      <c r="A71" s="2">
        <v>9</v>
      </c>
      <c r="C71" s="39" t="s">
        <v>140</v>
      </c>
      <c r="D71" s="44">
        <v>0</v>
      </c>
      <c r="E71" s="73">
        <f t="shared" si="716"/>
        <v>0</v>
      </c>
      <c r="G71" s="48">
        <f t="shared" si="61"/>
        <v>0</v>
      </c>
      <c r="H71" s="48">
        <f t="shared" si="62"/>
        <v>0</v>
      </c>
      <c r="I71" s="51">
        <f t="shared" si="63"/>
        <v>0</v>
      </c>
      <c r="J71" s="48">
        <f t="shared" si="717"/>
        <v>0</v>
      </c>
      <c r="K71" s="51">
        <f t="shared" si="718"/>
        <v>0</v>
      </c>
      <c r="L71" s="48">
        <f t="shared" si="719"/>
        <v>0</v>
      </c>
      <c r="M71" s="51">
        <f t="shared" si="720"/>
        <v>0</v>
      </c>
      <c r="N71" s="48">
        <f t="shared" si="721"/>
        <v>0</v>
      </c>
      <c r="O71" s="51">
        <f t="shared" si="722"/>
        <v>0</v>
      </c>
      <c r="P71" s="52">
        <f t="shared" si="723"/>
        <v>0</v>
      </c>
      <c r="Q71" s="51">
        <f t="shared" si="724"/>
        <v>0</v>
      </c>
      <c r="R71" s="48">
        <f t="shared" si="725"/>
        <v>0</v>
      </c>
      <c r="S71" s="51">
        <f t="shared" si="726"/>
        <v>0</v>
      </c>
      <c r="T71" s="52">
        <f t="shared" si="727"/>
        <v>0</v>
      </c>
      <c r="U71" s="51">
        <f t="shared" si="728"/>
        <v>0</v>
      </c>
      <c r="V71" s="53">
        <f t="shared" si="729"/>
        <v>0</v>
      </c>
      <c r="W71" s="51">
        <f t="shared" si="730"/>
        <v>0</v>
      </c>
      <c r="X71" s="52">
        <f t="shared" si="731"/>
        <v>0</v>
      </c>
      <c r="Y71" s="51">
        <f t="shared" si="732"/>
        <v>0</v>
      </c>
      <c r="Z71" s="48">
        <f t="shared" si="733"/>
        <v>0</v>
      </c>
      <c r="AA71" s="51">
        <f t="shared" si="734"/>
        <v>0</v>
      </c>
      <c r="AB71" s="53">
        <f t="shared" si="735"/>
        <v>0</v>
      </c>
      <c r="AC71" s="51">
        <f t="shared" si="736"/>
        <v>0</v>
      </c>
      <c r="AD71" s="53">
        <f t="shared" si="737"/>
        <v>0</v>
      </c>
      <c r="AE71" s="51">
        <f t="shared" si="738"/>
        <v>0</v>
      </c>
      <c r="AF71" s="53">
        <f t="shared" si="739"/>
        <v>0</v>
      </c>
      <c r="AG71" s="51">
        <f t="shared" si="740"/>
        <v>0</v>
      </c>
      <c r="AH71" s="48">
        <f t="shared" si="741"/>
        <v>0</v>
      </c>
      <c r="AI71" s="51">
        <f t="shared" si="742"/>
        <v>0</v>
      </c>
      <c r="AJ71" s="53">
        <f t="shared" si="743"/>
        <v>0</v>
      </c>
      <c r="AK71" s="51">
        <f t="shared" si="744"/>
        <v>0</v>
      </c>
      <c r="AL71" s="53">
        <f t="shared" si="745"/>
        <v>0</v>
      </c>
      <c r="AM71" s="51">
        <f t="shared" si="746"/>
        <v>0</v>
      </c>
      <c r="AN71" s="53">
        <f t="shared" si="747"/>
        <v>0</v>
      </c>
      <c r="AO71" s="51">
        <f t="shared" si="748"/>
        <v>0</v>
      </c>
      <c r="AP71" s="53">
        <f t="shared" si="749"/>
        <v>0</v>
      </c>
      <c r="AQ71" s="51">
        <f t="shared" si="750"/>
        <v>0</v>
      </c>
      <c r="AR71" s="48">
        <f t="shared" si="751"/>
        <v>0</v>
      </c>
      <c r="AS71" s="51">
        <f t="shared" si="752"/>
        <v>0</v>
      </c>
      <c r="AT71" s="53">
        <f t="shared" si="753"/>
        <v>0</v>
      </c>
      <c r="AU71" s="51">
        <f t="shared" si="754"/>
        <v>0</v>
      </c>
      <c r="AV71" s="53">
        <f t="shared" si="755"/>
        <v>0</v>
      </c>
      <c r="AW71" s="51">
        <f t="shared" si="756"/>
        <v>0</v>
      </c>
      <c r="AX71" s="48">
        <f t="shared" si="757"/>
        <v>0</v>
      </c>
      <c r="AY71" s="51">
        <f t="shared" si="758"/>
        <v>0</v>
      </c>
      <c r="BB71" s="48">
        <v>1</v>
      </c>
      <c r="BC71" s="48">
        <v>0.97</v>
      </c>
      <c r="BD71" s="48">
        <v>0.95</v>
      </c>
      <c r="BE71" s="48">
        <v>0.93</v>
      </c>
      <c r="BF71" s="48">
        <f t="shared" ref="BF71:BW71" si="883">+BE71-0.02</f>
        <v>0.91</v>
      </c>
      <c r="BG71" s="48">
        <f t="shared" si="883"/>
        <v>0.89</v>
      </c>
      <c r="BH71" s="48">
        <f t="shared" si="883"/>
        <v>0.87</v>
      </c>
      <c r="BI71" s="48">
        <f t="shared" si="883"/>
        <v>0.85</v>
      </c>
      <c r="BJ71" s="48">
        <f t="shared" si="883"/>
        <v>0.83</v>
      </c>
      <c r="BK71" s="48">
        <f t="shared" si="883"/>
        <v>0.80999999999999994</v>
      </c>
      <c r="BL71" s="48">
        <f t="shared" si="883"/>
        <v>0.78999999999999992</v>
      </c>
      <c r="BM71" s="48">
        <f t="shared" si="883"/>
        <v>0.76999999999999991</v>
      </c>
      <c r="BN71" s="48">
        <f t="shared" si="883"/>
        <v>0.74999999999999989</v>
      </c>
      <c r="BO71" s="48">
        <f t="shared" si="883"/>
        <v>0.72999999999999987</v>
      </c>
      <c r="BP71" s="48">
        <f t="shared" si="883"/>
        <v>0.70999999999999985</v>
      </c>
      <c r="BQ71" s="48">
        <f t="shared" si="883"/>
        <v>0.68999999999999984</v>
      </c>
      <c r="BR71" s="48">
        <f t="shared" si="883"/>
        <v>0.66999999999999982</v>
      </c>
      <c r="BS71" s="48">
        <f t="shared" si="883"/>
        <v>0.6499999999999998</v>
      </c>
      <c r="BT71" s="48">
        <f t="shared" si="883"/>
        <v>0.62999999999999978</v>
      </c>
      <c r="BU71" s="48">
        <f t="shared" si="883"/>
        <v>0.60999999999999976</v>
      </c>
      <c r="BV71" s="48">
        <f t="shared" si="883"/>
        <v>0.58999999999999975</v>
      </c>
      <c r="BW71" s="48">
        <f t="shared" si="883"/>
        <v>0.56999999999999973</v>
      </c>
      <c r="BY71" s="48">
        <f t="shared" si="88"/>
        <v>0</v>
      </c>
      <c r="BZ71" s="48">
        <f t="shared" si="89"/>
        <v>0</v>
      </c>
      <c r="CA71" s="51">
        <f t="shared" ref="CA71" si="884">+BZ71*3.3058</f>
        <v>0</v>
      </c>
      <c r="CB71" s="48">
        <f t="shared" si="761"/>
        <v>0</v>
      </c>
      <c r="CC71" s="51">
        <f t="shared" si="762"/>
        <v>0</v>
      </c>
      <c r="CD71" s="48">
        <f t="shared" si="763"/>
        <v>0</v>
      </c>
      <c r="CE71" s="51">
        <f t="shared" si="764"/>
        <v>0</v>
      </c>
      <c r="CF71" s="48">
        <f t="shared" si="765"/>
        <v>0</v>
      </c>
      <c r="CG71" s="51">
        <f t="shared" si="766"/>
        <v>0</v>
      </c>
      <c r="CH71" s="52">
        <f t="shared" si="767"/>
        <v>0</v>
      </c>
      <c r="CI71" s="51">
        <f t="shared" si="768"/>
        <v>0</v>
      </c>
      <c r="CJ71" s="48">
        <f t="shared" si="769"/>
        <v>0</v>
      </c>
      <c r="CK71" s="51">
        <f t="shared" si="770"/>
        <v>0</v>
      </c>
      <c r="CL71" s="52">
        <f t="shared" si="771"/>
        <v>0</v>
      </c>
      <c r="CM71" s="51">
        <f t="shared" si="772"/>
        <v>0</v>
      </c>
      <c r="CN71" s="53">
        <f t="shared" si="773"/>
        <v>0</v>
      </c>
      <c r="CO71" s="51">
        <f t="shared" si="774"/>
        <v>0</v>
      </c>
      <c r="CP71" s="52">
        <f t="shared" si="775"/>
        <v>0</v>
      </c>
      <c r="CQ71" s="51">
        <f t="shared" si="776"/>
        <v>0</v>
      </c>
      <c r="CR71" s="48">
        <f t="shared" si="777"/>
        <v>0</v>
      </c>
      <c r="CS71" s="51">
        <f t="shared" si="778"/>
        <v>0</v>
      </c>
      <c r="CT71" s="53">
        <f t="shared" si="779"/>
        <v>0</v>
      </c>
      <c r="CU71" s="51">
        <f t="shared" si="780"/>
        <v>0</v>
      </c>
      <c r="CV71" s="53">
        <f t="shared" si="781"/>
        <v>0</v>
      </c>
      <c r="CW71" s="51">
        <f t="shared" si="782"/>
        <v>0</v>
      </c>
      <c r="CX71" s="53">
        <f t="shared" si="783"/>
        <v>0</v>
      </c>
      <c r="CY71" s="51">
        <f t="shared" si="784"/>
        <v>0</v>
      </c>
      <c r="CZ71" s="48">
        <f t="shared" si="785"/>
        <v>0</v>
      </c>
      <c r="DA71" s="51">
        <f t="shared" si="786"/>
        <v>0</v>
      </c>
      <c r="DB71" s="53">
        <f t="shared" si="787"/>
        <v>0</v>
      </c>
      <c r="DC71" s="51">
        <f t="shared" si="788"/>
        <v>0</v>
      </c>
      <c r="DD71" s="53">
        <f t="shared" si="789"/>
        <v>0</v>
      </c>
      <c r="DE71" s="51">
        <f t="shared" si="790"/>
        <v>0</v>
      </c>
      <c r="DF71" s="53">
        <f t="shared" si="791"/>
        <v>0</v>
      </c>
      <c r="DG71" s="51">
        <f t="shared" si="792"/>
        <v>0</v>
      </c>
      <c r="DH71" s="53">
        <f t="shared" si="793"/>
        <v>0</v>
      </c>
      <c r="DI71" s="51">
        <f t="shared" si="794"/>
        <v>0</v>
      </c>
      <c r="DJ71" s="48">
        <f t="shared" si="795"/>
        <v>0</v>
      </c>
      <c r="DK71" s="51">
        <f t="shared" si="796"/>
        <v>0</v>
      </c>
      <c r="DL71" s="53">
        <f t="shared" si="797"/>
        <v>0</v>
      </c>
      <c r="DM71" s="51">
        <f t="shared" si="798"/>
        <v>0</v>
      </c>
      <c r="DN71" s="53">
        <f t="shared" si="799"/>
        <v>0</v>
      </c>
      <c r="DO71" s="51">
        <f t="shared" si="800"/>
        <v>0</v>
      </c>
      <c r="DP71" s="48">
        <f t="shared" si="801"/>
        <v>0</v>
      </c>
      <c r="DQ71" s="51">
        <f t="shared" si="802"/>
        <v>0</v>
      </c>
      <c r="DT71" s="48">
        <v>1</v>
      </c>
      <c r="DU71" s="48">
        <v>0.97</v>
      </c>
      <c r="DV71" s="48">
        <v>0.95</v>
      </c>
      <c r="DW71" s="48">
        <v>0.93</v>
      </c>
      <c r="DX71" s="48">
        <f t="shared" ref="DX71:EO71" si="885">+DW71-0.02</f>
        <v>0.91</v>
      </c>
      <c r="DY71" s="48">
        <f t="shared" si="885"/>
        <v>0.89</v>
      </c>
      <c r="DZ71" s="48">
        <f t="shared" si="885"/>
        <v>0.87</v>
      </c>
      <c r="EA71" s="48">
        <f t="shared" si="885"/>
        <v>0.85</v>
      </c>
      <c r="EB71" s="48">
        <f t="shared" si="885"/>
        <v>0.83</v>
      </c>
      <c r="EC71" s="48">
        <f t="shared" si="885"/>
        <v>0.80999999999999994</v>
      </c>
      <c r="ED71" s="48">
        <f t="shared" si="885"/>
        <v>0.78999999999999992</v>
      </c>
      <c r="EE71" s="48">
        <f t="shared" si="885"/>
        <v>0.76999999999999991</v>
      </c>
      <c r="EF71" s="48">
        <f t="shared" si="885"/>
        <v>0.74999999999999989</v>
      </c>
      <c r="EG71" s="48">
        <f t="shared" si="885"/>
        <v>0.72999999999999987</v>
      </c>
      <c r="EH71" s="48">
        <f t="shared" si="885"/>
        <v>0.70999999999999985</v>
      </c>
      <c r="EI71" s="48">
        <f t="shared" si="885"/>
        <v>0.68999999999999984</v>
      </c>
      <c r="EJ71" s="48">
        <f t="shared" si="885"/>
        <v>0.66999999999999982</v>
      </c>
      <c r="EK71" s="48">
        <f t="shared" si="885"/>
        <v>0.6499999999999998</v>
      </c>
      <c r="EL71" s="48">
        <f t="shared" si="885"/>
        <v>0.62999999999999978</v>
      </c>
      <c r="EM71" s="48">
        <f t="shared" si="885"/>
        <v>0.60999999999999976</v>
      </c>
      <c r="EN71" s="48">
        <f t="shared" si="885"/>
        <v>0.58999999999999975</v>
      </c>
      <c r="EO71" s="48">
        <f t="shared" si="885"/>
        <v>0.56999999999999973</v>
      </c>
      <c r="EQ71" s="48">
        <f t="shared" si="188"/>
        <v>0</v>
      </c>
      <c r="ER71" s="48">
        <f t="shared" si="116"/>
        <v>0</v>
      </c>
      <c r="ES71" s="51">
        <f t="shared" ref="ES71" si="886">+ER71*3.3058</f>
        <v>0</v>
      </c>
      <c r="ET71" s="48">
        <f t="shared" si="805"/>
        <v>0</v>
      </c>
      <c r="EU71" s="51">
        <f t="shared" si="806"/>
        <v>0</v>
      </c>
      <c r="EV71" s="48">
        <f t="shared" si="807"/>
        <v>0</v>
      </c>
      <c r="EW71" s="51">
        <f t="shared" si="808"/>
        <v>0</v>
      </c>
      <c r="EX71" s="48">
        <f t="shared" si="809"/>
        <v>0</v>
      </c>
      <c r="EY71" s="51">
        <f t="shared" si="810"/>
        <v>0</v>
      </c>
      <c r="EZ71" s="52">
        <f t="shared" si="811"/>
        <v>0</v>
      </c>
      <c r="FA71" s="51">
        <f t="shared" si="812"/>
        <v>0</v>
      </c>
      <c r="FB71" s="48">
        <f t="shared" si="813"/>
        <v>0</v>
      </c>
      <c r="FC71" s="51">
        <f t="shared" si="814"/>
        <v>0</v>
      </c>
      <c r="FD71" s="52">
        <f t="shared" si="815"/>
        <v>0</v>
      </c>
      <c r="FE71" s="51">
        <f t="shared" si="816"/>
        <v>0</v>
      </c>
      <c r="FF71" s="53">
        <f t="shared" si="817"/>
        <v>0</v>
      </c>
      <c r="FG71" s="51">
        <f t="shared" si="818"/>
        <v>0</v>
      </c>
      <c r="FH71" s="52">
        <f t="shared" si="819"/>
        <v>0</v>
      </c>
      <c r="FI71" s="51">
        <f t="shared" si="820"/>
        <v>0</v>
      </c>
      <c r="FJ71" s="48">
        <f t="shared" si="821"/>
        <v>0</v>
      </c>
      <c r="FK71" s="51">
        <f t="shared" si="822"/>
        <v>0</v>
      </c>
      <c r="FL71" s="53">
        <f t="shared" si="823"/>
        <v>0</v>
      </c>
      <c r="FM71" s="51">
        <f t="shared" si="824"/>
        <v>0</v>
      </c>
      <c r="FN71" s="53">
        <f t="shared" si="825"/>
        <v>0</v>
      </c>
      <c r="FO71" s="51">
        <f t="shared" si="826"/>
        <v>0</v>
      </c>
      <c r="FP71" s="53">
        <f t="shared" si="827"/>
        <v>0</v>
      </c>
      <c r="FQ71" s="51">
        <f t="shared" si="828"/>
        <v>0</v>
      </c>
      <c r="FR71" s="48">
        <f t="shared" si="829"/>
        <v>0</v>
      </c>
      <c r="FS71" s="51">
        <f t="shared" si="830"/>
        <v>0</v>
      </c>
      <c r="FT71" s="53">
        <f t="shared" si="831"/>
        <v>0</v>
      </c>
      <c r="FU71" s="51">
        <f t="shared" si="832"/>
        <v>0</v>
      </c>
      <c r="FV71" s="53">
        <f t="shared" si="833"/>
        <v>0</v>
      </c>
      <c r="FW71" s="51">
        <f t="shared" si="834"/>
        <v>0</v>
      </c>
      <c r="FX71" s="53">
        <f t="shared" si="835"/>
        <v>0</v>
      </c>
      <c r="FY71" s="51">
        <f t="shared" si="836"/>
        <v>0</v>
      </c>
      <c r="FZ71" s="53">
        <f t="shared" si="837"/>
        <v>0</v>
      </c>
      <c r="GA71" s="51">
        <f t="shared" si="838"/>
        <v>0</v>
      </c>
      <c r="GB71" s="48">
        <f t="shared" si="839"/>
        <v>0</v>
      </c>
      <c r="GC71" s="51">
        <f t="shared" si="840"/>
        <v>0</v>
      </c>
      <c r="GD71" s="53">
        <f t="shared" si="841"/>
        <v>0</v>
      </c>
      <c r="GE71" s="51">
        <f t="shared" si="842"/>
        <v>0</v>
      </c>
      <c r="GF71" s="53">
        <f t="shared" si="843"/>
        <v>0</v>
      </c>
      <c r="GG71" s="51">
        <f t="shared" si="844"/>
        <v>0</v>
      </c>
      <c r="GH71" s="48">
        <f t="shared" si="845"/>
        <v>0</v>
      </c>
      <c r="GI71" s="51">
        <f t="shared" si="846"/>
        <v>0</v>
      </c>
      <c r="GJ71" s="48"/>
      <c r="GK71" s="48"/>
      <c r="GL71" s="48">
        <v>1</v>
      </c>
      <c r="GM71" s="48">
        <v>0.97</v>
      </c>
      <c r="GN71" s="48">
        <v>0.95</v>
      </c>
      <c r="GO71" s="48">
        <v>0.93</v>
      </c>
      <c r="GP71" s="48">
        <f t="shared" ref="GP71:HG71" si="887">+GO71-0.02</f>
        <v>0.91</v>
      </c>
      <c r="GQ71" s="48">
        <f t="shared" si="887"/>
        <v>0.89</v>
      </c>
      <c r="GR71" s="48">
        <f t="shared" si="887"/>
        <v>0.87</v>
      </c>
      <c r="GS71" s="48">
        <f t="shared" si="887"/>
        <v>0.85</v>
      </c>
      <c r="GT71" s="48">
        <f t="shared" si="887"/>
        <v>0.83</v>
      </c>
      <c r="GU71" s="48">
        <f t="shared" si="887"/>
        <v>0.80999999999999994</v>
      </c>
      <c r="GV71" s="48">
        <f t="shared" si="887"/>
        <v>0.78999999999999992</v>
      </c>
      <c r="GW71" s="48">
        <f t="shared" si="887"/>
        <v>0.76999999999999991</v>
      </c>
      <c r="GX71" s="48">
        <f t="shared" si="887"/>
        <v>0.74999999999999989</v>
      </c>
      <c r="GY71" s="48">
        <f t="shared" si="887"/>
        <v>0.72999999999999987</v>
      </c>
      <c r="GZ71" s="48">
        <f t="shared" si="887"/>
        <v>0.70999999999999985</v>
      </c>
      <c r="HA71" s="48">
        <f t="shared" si="887"/>
        <v>0.68999999999999984</v>
      </c>
      <c r="HB71" s="48">
        <f t="shared" si="887"/>
        <v>0.66999999999999982</v>
      </c>
      <c r="HC71" s="48">
        <f t="shared" si="887"/>
        <v>0.6499999999999998</v>
      </c>
      <c r="HD71" s="48">
        <f t="shared" si="887"/>
        <v>0.62999999999999978</v>
      </c>
      <c r="HE71" s="48">
        <f t="shared" si="887"/>
        <v>0.60999999999999976</v>
      </c>
      <c r="HF71" s="48">
        <f t="shared" si="887"/>
        <v>0.58999999999999975</v>
      </c>
      <c r="HG71" s="48">
        <f t="shared" si="887"/>
        <v>0.56999999999999973</v>
      </c>
    </row>
    <row r="72" spans="1:215" x14ac:dyDescent="0.3">
      <c r="A72" s="2">
        <v>10</v>
      </c>
      <c r="C72" s="39" t="s">
        <v>141</v>
      </c>
      <c r="D72" s="44">
        <v>0</v>
      </c>
      <c r="E72" s="73">
        <f t="shared" si="716"/>
        <v>0</v>
      </c>
      <c r="G72" s="48">
        <f t="shared" si="61"/>
        <v>0</v>
      </c>
      <c r="H72" s="48">
        <f t="shared" si="62"/>
        <v>0</v>
      </c>
      <c r="I72" s="51">
        <f t="shared" si="63"/>
        <v>0</v>
      </c>
      <c r="J72" s="48">
        <f t="shared" si="717"/>
        <v>0</v>
      </c>
      <c r="K72" s="51">
        <f t="shared" si="718"/>
        <v>0</v>
      </c>
      <c r="L72" s="48">
        <f t="shared" si="719"/>
        <v>0</v>
      </c>
      <c r="M72" s="51">
        <f t="shared" si="720"/>
        <v>0</v>
      </c>
      <c r="N72" s="48">
        <f t="shared" si="721"/>
        <v>0</v>
      </c>
      <c r="O72" s="51">
        <f t="shared" si="722"/>
        <v>0</v>
      </c>
      <c r="P72" s="52">
        <f t="shared" si="723"/>
        <v>0</v>
      </c>
      <c r="Q72" s="51">
        <f t="shared" si="724"/>
        <v>0</v>
      </c>
      <c r="R72" s="48">
        <f t="shared" si="725"/>
        <v>0</v>
      </c>
      <c r="S72" s="51">
        <f t="shared" si="726"/>
        <v>0</v>
      </c>
      <c r="T72" s="52">
        <f t="shared" si="727"/>
        <v>0</v>
      </c>
      <c r="U72" s="51">
        <f t="shared" si="728"/>
        <v>0</v>
      </c>
      <c r="V72" s="53">
        <f t="shared" si="729"/>
        <v>0</v>
      </c>
      <c r="W72" s="51">
        <f t="shared" si="730"/>
        <v>0</v>
      </c>
      <c r="X72" s="52">
        <f t="shared" si="731"/>
        <v>0</v>
      </c>
      <c r="Y72" s="51">
        <f t="shared" si="732"/>
        <v>0</v>
      </c>
      <c r="Z72" s="48">
        <f t="shared" si="733"/>
        <v>0</v>
      </c>
      <c r="AA72" s="51">
        <f t="shared" si="734"/>
        <v>0</v>
      </c>
      <c r="AB72" s="53">
        <f t="shared" si="735"/>
        <v>0</v>
      </c>
      <c r="AC72" s="51">
        <f t="shared" si="736"/>
        <v>0</v>
      </c>
      <c r="AD72" s="53">
        <f t="shared" si="737"/>
        <v>0</v>
      </c>
      <c r="AE72" s="51">
        <f t="shared" si="738"/>
        <v>0</v>
      </c>
      <c r="AF72" s="53">
        <f t="shared" si="739"/>
        <v>0</v>
      </c>
      <c r="AG72" s="51">
        <f t="shared" si="740"/>
        <v>0</v>
      </c>
      <c r="AH72" s="48">
        <f t="shared" si="741"/>
        <v>0</v>
      </c>
      <c r="AI72" s="51">
        <f t="shared" si="742"/>
        <v>0</v>
      </c>
      <c r="AJ72" s="53">
        <f t="shared" si="743"/>
        <v>0</v>
      </c>
      <c r="AK72" s="51">
        <f t="shared" si="744"/>
        <v>0</v>
      </c>
      <c r="AL72" s="53">
        <f t="shared" si="745"/>
        <v>0</v>
      </c>
      <c r="AM72" s="51">
        <f t="shared" si="746"/>
        <v>0</v>
      </c>
      <c r="AN72" s="53">
        <f t="shared" si="747"/>
        <v>0</v>
      </c>
      <c r="AO72" s="51">
        <f t="shared" si="748"/>
        <v>0</v>
      </c>
      <c r="AP72" s="53">
        <f t="shared" si="749"/>
        <v>0</v>
      </c>
      <c r="AQ72" s="51">
        <f t="shared" si="750"/>
        <v>0</v>
      </c>
      <c r="AR72" s="48">
        <f t="shared" si="751"/>
        <v>0</v>
      </c>
      <c r="AS72" s="51">
        <f t="shared" si="752"/>
        <v>0</v>
      </c>
      <c r="AT72" s="53">
        <f t="shared" si="753"/>
        <v>0</v>
      </c>
      <c r="AU72" s="51">
        <f t="shared" si="754"/>
        <v>0</v>
      </c>
      <c r="AV72" s="53">
        <f t="shared" si="755"/>
        <v>0</v>
      </c>
      <c r="AW72" s="51">
        <f t="shared" si="756"/>
        <v>0</v>
      </c>
      <c r="AX72" s="48">
        <f t="shared" si="757"/>
        <v>0</v>
      </c>
      <c r="AY72" s="51">
        <f t="shared" si="758"/>
        <v>0</v>
      </c>
      <c r="BB72" s="48">
        <v>1</v>
      </c>
      <c r="BC72" s="48">
        <v>0.97</v>
      </c>
      <c r="BD72" s="48">
        <v>0.95</v>
      </c>
      <c r="BE72" s="48">
        <v>0.93</v>
      </c>
      <c r="BF72" s="48">
        <f t="shared" ref="BF72:BW72" si="888">+BE72-0.02</f>
        <v>0.91</v>
      </c>
      <c r="BG72" s="48">
        <f t="shared" si="888"/>
        <v>0.89</v>
      </c>
      <c r="BH72" s="48">
        <f t="shared" si="888"/>
        <v>0.87</v>
      </c>
      <c r="BI72" s="48">
        <f t="shared" si="888"/>
        <v>0.85</v>
      </c>
      <c r="BJ72" s="48">
        <f t="shared" si="888"/>
        <v>0.83</v>
      </c>
      <c r="BK72" s="48">
        <f t="shared" si="888"/>
        <v>0.80999999999999994</v>
      </c>
      <c r="BL72" s="48">
        <f t="shared" si="888"/>
        <v>0.78999999999999992</v>
      </c>
      <c r="BM72" s="48">
        <f t="shared" si="888"/>
        <v>0.76999999999999991</v>
      </c>
      <c r="BN72" s="48">
        <f t="shared" si="888"/>
        <v>0.74999999999999989</v>
      </c>
      <c r="BO72" s="48">
        <f t="shared" si="888"/>
        <v>0.72999999999999987</v>
      </c>
      <c r="BP72" s="48">
        <f t="shared" si="888"/>
        <v>0.70999999999999985</v>
      </c>
      <c r="BQ72" s="48">
        <f t="shared" si="888"/>
        <v>0.68999999999999984</v>
      </c>
      <c r="BR72" s="48">
        <f t="shared" si="888"/>
        <v>0.66999999999999982</v>
      </c>
      <c r="BS72" s="48">
        <f t="shared" si="888"/>
        <v>0.6499999999999998</v>
      </c>
      <c r="BT72" s="48">
        <f t="shared" si="888"/>
        <v>0.62999999999999978</v>
      </c>
      <c r="BU72" s="48">
        <f t="shared" si="888"/>
        <v>0.60999999999999976</v>
      </c>
      <c r="BV72" s="48">
        <f t="shared" si="888"/>
        <v>0.58999999999999975</v>
      </c>
      <c r="BW72" s="48">
        <f t="shared" si="888"/>
        <v>0.56999999999999973</v>
      </c>
      <c r="BY72" s="48">
        <f t="shared" si="88"/>
        <v>0</v>
      </c>
      <c r="BZ72" s="48">
        <f t="shared" si="89"/>
        <v>0</v>
      </c>
      <c r="CA72" s="51">
        <f t="shared" ref="CA72" si="889">+BZ72*3.3058</f>
        <v>0</v>
      </c>
      <c r="CB72" s="48">
        <f t="shared" si="761"/>
        <v>0</v>
      </c>
      <c r="CC72" s="51">
        <f t="shared" si="762"/>
        <v>0</v>
      </c>
      <c r="CD72" s="48">
        <f t="shared" si="763"/>
        <v>0</v>
      </c>
      <c r="CE72" s="51">
        <f t="shared" si="764"/>
        <v>0</v>
      </c>
      <c r="CF72" s="48">
        <f t="shared" si="765"/>
        <v>0</v>
      </c>
      <c r="CG72" s="51">
        <f t="shared" si="766"/>
        <v>0</v>
      </c>
      <c r="CH72" s="52">
        <f t="shared" si="767"/>
        <v>0</v>
      </c>
      <c r="CI72" s="51">
        <f t="shared" si="768"/>
        <v>0</v>
      </c>
      <c r="CJ72" s="48">
        <f t="shared" si="769"/>
        <v>0</v>
      </c>
      <c r="CK72" s="51">
        <f t="shared" si="770"/>
        <v>0</v>
      </c>
      <c r="CL72" s="52">
        <f t="shared" si="771"/>
        <v>0</v>
      </c>
      <c r="CM72" s="51">
        <f t="shared" si="772"/>
        <v>0</v>
      </c>
      <c r="CN72" s="53">
        <f t="shared" si="773"/>
        <v>0</v>
      </c>
      <c r="CO72" s="51">
        <f t="shared" si="774"/>
        <v>0</v>
      </c>
      <c r="CP72" s="52">
        <f t="shared" si="775"/>
        <v>0</v>
      </c>
      <c r="CQ72" s="51">
        <f t="shared" si="776"/>
        <v>0</v>
      </c>
      <c r="CR72" s="48">
        <f t="shared" si="777"/>
        <v>0</v>
      </c>
      <c r="CS72" s="51">
        <f t="shared" si="778"/>
        <v>0</v>
      </c>
      <c r="CT72" s="53">
        <f t="shared" si="779"/>
        <v>0</v>
      </c>
      <c r="CU72" s="51">
        <f t="shared" si="780"/>
        <v>0</v>
      </c>
      <c r="CV72" s="53">
        <f t="shared" si="781"/>
        <v>0</v>
      </c>
      <c r="CW72" s="51">
        <f t="shared" si="782"/>
        <v>0</v>
      </c>
      <c r="CX72" s="53">
        <f t="shared" si="783"/>
        <v>0</v>
      </c>
      <c r="CY72" s="51">
        <f t="shared" si="784"/>
        <v>0</v>
      </c>
      <c r="CZ72" s="48">
        <f t="shared" si="785"/>
        <v>0</v>
      </c>
      <c r="DA72" s="51">
        <f t="shared" si="786"/>
        <v>0</v>
      </c>
      <c r="DB72" s="53">
        <f t="shared" si="787"/>
        <v>0</v>
      </c>
      <c r="DC72" s="51">
        <f t="shared" si="788"/>
        <v>0</v>
      </c>
      <c r="DD72" s="53">
        <f t="shared" si="789"/>
        <v>0</v>
      </c>
      <c r="DE72" s="51">
        <f t="shared" si="790"/>
        <v>0</v>
      </c>
      <c r="DF72" s="53">
        <f t="shared" si="791"/>
        <v>0</v>
      </c>
      <c r="DG72" s="51">
        <f t="shared" si="792"/>
        <v>0</v>
      </c>
      <c r="DH72" s="53">
        <f t="shared" si="793"/>
        <v>0</v>
      </c>
      <c r="DI72" s="51">
        <f t="shared" si="794"/>
        <v>0</v>
      </c>
      <c r="DJ72" s="48">
        <f t="shared" si="795"/>
        <v>0</v>
      </c>
      <c r="DK72" s="51">
        <f t="shared" si="796"/>
        <v>0</v>
      </c>
      <c r="DL72" s="53">
        <f t="shared" si="797"/>
        <v>0</v>
      </c>
      <c r="DM72" s="51">
        <f t="shared" si="798"/>
        <v>0</v>
      </c>
      <c r="DN72" s="53">
        <f t="shared" si="799"/>
        <v>0</v>
      </c>
      <c r="DO72" s="51">
        <f t="shared" si="800"/>
        <v>0</v>
      </c>
      <c r="DP72" s="48">
        <f t="shared" si="801"/>
        <v>0</v>
      </c>
      <c r="DQ72" s="51">
        <f t="shared" si="802"/>
        <v>0</v>
      </c>
      <c r="DT72" s="48">
        <v>1</v>
      </c>
      <c r="DU72" s="48">
        <v>0.97</v>
      </c>
      <c r="DV72" s="48">
        <v>0.95</v>
      </c>
      <c r="DW72" s="48">
        <v>0.93</v>
      </c>
      <c r="DX72" s="48">
        <f t="shared" ref="DX72:EO72" si="890">+DW72-0.02</f>
        <v>0.91</v>
      </c>
      <c r="DY72" s="48">
        <f t="shared" si="890"/>
        <v>0.89</v>
      </c>
      <c r="DZ72" s="48">
        <f t="shared" si="890"/>
        <v>0.87</v>
      </c>
      <c r="EA72" s="48">
        <f t="shared" si="890"/>
        <v>0.85</v>
      </c>
      <c r="EB72" s="48">
        <f t="shared" si="890"/>
        <v>0.83</v>
      </c>
      <c r="EC72" s="48">
        <f t="shared" si="890"/>
        <v>0.80999999999999994</v>
      </c>
      <c r="ED72" s="48">
        <f t="shared" si="890"/>
        <v>0.78999999999999992</v>
      </c>
      <c r="EE72" s="48">
        <f t="shared" si="890"/>
        <v>0.76999999999999991</v>
      </c>
      <c r="EF72" s="48">
        <f t="shared" si="890"/>
        <v>0.74999999999999989</v>
      </c>
      <c r="EG72" s="48">
        <f t="shared" si="890"/>
        <v>0.72999999999999987</v>
      </c>
      <c r="EH72" s="48">
        <f t="shared" si="890"/>
        <v>0.70999999999999985</v>
      </c>
      <c r="EI72" s="48">
        <f t="shared" si="890"/>
        <v>0.68999999999999984</v>
      </c>
      <c r="EJ72" s="48">
        <f t="shared" si="890"/>
        <v>0.66999999999999982</v>
      </c>
      <c r="EK72" s="48">
        <f t="shared" si="890"/>
        <v>0.6499999999999998</v>
      </c>
      <c r="EL72" s="48">
        <f t="shared" si="890"/>
        <v>0.62999999999999978</v>
      </c>
      <c r="EM72" s="48">
        <f t="shared" si="890"/>
        <v>0.60999999999999976</v>
      </c>
      <c r="EN72" s="48">
        <f t="shared" si="890"/>
        <v>0.58999999999999975</v>
      </c>
      <c r="EO72" s="48">
        <f t="shared" si="890"/>
        <v>0.56999999999999973</v>
      </c>
      <c r="EQ72" s="48">
        <f t="shared" si="188"/>
        <v>0</v>
      </c>
      <c r="ER72" s="48">
        <f t="shared" si="116"/>
        <v>0</v>
      </c>
      <c r="ES72" s="51">
        <f t="shared" ref="ES72" si="891">+ER72*3.3058</f>
        <v>0</v>
      </c>
      <c r="ET72" s="48">
        <f t="shared" si="805"/>
        <v>0</v>
      </c>
      <c r="EU72" s="51">
        <f t="shared" si="806"/>
        <v>0</v>
      </c>
      <c r="EV72" s="48">
        <f t="shared" si="807"/>
        <v>0</v>
      </c>
      <c r="EW72" s="51">
        <f t="shared" si="808"/>
        <v>0</v>
      </c>
      <c r="EX72" s="48">
        <f t="shared" si="809"/>
        <v>0</v>
      </c>
      <c r="EY72" s="51">
        <f t="shared" si="810"/>
        <v>0</v>
      </c>
      <c r="EZ72" s="52">
        <f t="shared" si="811"/>
        <v>0</v>
      </c>
      <c r="FA72" s="51">
        <f t="shared" si="812"/>
        <v>0</v>
      </c>
      <c r="FB72" s="48">
        <f t="shared" si="813"/>
        <v>0</v>
      </c>
      <c r="FC72" s="51">
        <f t="shared" si="814"/>
        <v>0</v>
      </c>
      <c r="FD72" s="52">
        <f t="shared" si="815"/>
        <v>0</v>
      </c>
      <c r="FE72" s="51">
        <f t="shared" si="816"/>
        <v>0</v>
      </c>
      <c r="FF72" s="53">
        <f t="shared" si="817"/>
        <v>0</v>
      </c>
      <c r="FG72" s="51">
        <f t="shared" si="818"/>
        <v>0</v>
      </c>
      <c r="FH72" s="52">
        <f t="shared" si="819"/>
        <v>0</v>
      </c>
      <c r="FI72" s="51">
        <f t="shared" si="820"/>
        <v>0</v>
      </c>
      <c r="FJ72" s="48">
        <f t="shared" si="821"/>
        <v>0</v>
      </c>
      <c r="FK72" s="51">
        <f t="shared" si="822"/>
        <v>0</v>
      </c>
      <c r="FL72" s="53">
        <f t="shared" si="823"/>
        <v>0</v>
      </c>
      <c r="FM72" s="51">
        <f t="shared" si="824"/>
        <v>0</v>
      </c>
      <c r="FN72" s="53">
        <f t="shared" si="825"/>
        <v>0</v>
      </c>
      <c r="FO72" s="51">
        <f t="shared" si="826"/>
        <v>0</v>
      </c>
      <c r="FP72" s="53">
        <f t="shared" si="827"/>
        <v>0</v>
      </c>
      <c r="FQ72" s="51">
        <f t="shared" si="828"/>
        <v>0</v>
      </c>
      <c r="FR72" s="48">
        <f t="shared" si="829"/>
        <v>0</v>
      </c>
      <c r="FS72" s="51">
        <f t="shared" si="830"/>
        <v>0</v>
      </c>
      <c r="FT72" s="53">
        <f t="shared" si="831"/>
        <v>0</v>
      </c>
      <c r="FU72" s="51">
        <f t="shared" si="832"/>
        <v>0</v>
      </c>
      <c r="FV72" s="53">
        <f t="shared" si="833"/>
        <v>0</v>
      </c>
      <c r="FW72" s="51">
        <f t="shared" si="834"/>
        <v>0</v>
      </c>
      <c r="FX72" s="53">
        <f t="shared" si="835"/>
        <v>0</v>
      </c>
      <c r="FY72" s="51">
        <f t="shared" si="836"/>
        <v>0</v>
      </c>
      <c r="FZ72" s="53">
        <f t="shared" si="837"/>
        <v>0</v>
      </c>
      <c r="GA72" s="51">
        <f t="shared" si="838"/>
        <v>0</v>
      </c>
      <c r="GB72" s="48">
        <f t="shared" si="839"/>
        <v>0</v>
      </c>
      <c r="GC72" s="51">
        <f t="shared" si="840"/>
        <v>0</v>
      </c>
      <c r="GD72" s="53">
        <f t="shared" si="841"/>
        <v>0</v>
      </c>
      <c r="GE72" s="51">
        <f t="shared" si="842"/>
        <v>0</v>
      </c>
      <c r="GF72" s="53">
        <f t="shared" si="843"/>
        <v>0</v>
      </c>
      <c r="GG72" s="51">
        <f t="shared" si="844"/>
        <v>0</v>
      </c>
      <c r="GH72" s="48">
        <f t="shared" si="845"/>
        <v>0</v>
      </c>
      <c r="GI72" s="51">
        <f t="shared" si="846"/>
        <v>0</v>
      </c>
      <c r="GJ72" s="48"/>
      <c r="GK72" s="48"/>
      <c r="GL72" s="48">
        <v>1</v>
      </c>
      <c r="GM72" s="48">
        <v>0.97</v>
      </c>
      <c r="GN72" s="48">
        <v>0.95</v>
      </c>
      <c r="GO72" s="48">
        <v>0.93</v>
      </c>
      <c r="GP72" s="48">
        <f t="shared" ref="GP72:HG72" si="892">+GO72-0.02</f>
        <v>0.91</v>
      </c>
      <c r="GQ72" s="48">
        <f t="shared" si="892"/>
        <v>0.89</v>
      </c>
      <c r="GR72" s="48">
        <f t="shared" si="892"/>
        <v>0.87</v>
      </c>
      <c r="GS72" s="48">
        <f t="shared" si="892"/>
        <v>0.85</v>
      </c>
      <c r="GT72" s="48">
        <f t="shared" si="892"/>
        <v>0.83</v>
      </c>
      <c r="GU72" s="48">
        <f t="shared" si="892"/>
        <v>0.80999999999999994</v>
      </c>
      <c r="GV72" s="48">
        <f t="shared" si="892"/>
        <v>0.78999999999999992</v>
      </c>
      <c r="GW72" s="48">
        <f t="shared" si="892"/>
        <v>0.76999999999999991</v>
      </c>
      <c r="GX72" s="48">
        <f t="shared" si="892"/>
        <v>0.74999999999999989</v>
      </c>
      <c r="GY72" s="48">
        <f t="shared" si="892"/>
        <v>0.72999999999999987</v>
      </c>
      <c r="GZ72" s="48">
        <f t="shared" si="892"/>
        <v>0.70999999999999985</v>
      </c>
      <c r="HA72" s="48">
        <f t="shared" si="892"/>
        <v>0.68999999999999984</v>
      </c>
      <c r="HB72" s="48">
        <f t="shared" si="892"/>
        <v>0.66999999999999982</v>
      </c>
      <c r="HC72" s="48">
        <f t="shared" si="892"/>
        <v>0.6499999999999998</v>
      </c>
      <c r="HD72" s="48">
        <f t="shared" si="892"/>
        <v>0.62999999999999978</v>
      </c>
      <c r="HE72" s="48">
        <f t="shared" si="892"/>
        <v>0.60999999999999976</v>
      </c>
      <c r="HF72" s="48">
        <f t="shared" si="892"/>
        <v>0.58999999999999975</v>
      </c>
      <c r="HG72" s="48">
        <f t="shared" si="892"/>
        <v>0.56999999999999973</v>
      </c>
    </row>
    <row r="73" spans="1:215" x14ac:dyDescent="0.3">
      <c r="A73" s="2">
        <v>11</v>
      </c>
      <c r="C73" s="39" t="s">
        <v>142</v>
      </c>
      <c r="D73" s="44">
        <v>0</v>
      </c>
      <c r="E73" s="73">
        <f t="shared" si="716"/>
        <v>0</v>
      </c>
      <c r="G73" s="48">
        <f t="shared" si="61"/>
        <v>0</v>
      </c>
      <c r="H73" s="48">
        <f t="shared" si="62"/>
        <v>0</v>
      </c>
      <c r="I73" s="51">
        <f t="shared" si="63"/>
        <v>0</v>
      </c>
      <c r="J73" s="48">
        <f t="shared" si="717"/>
        <v>0</v>
      </c>
      <c r="K73" s="51">
        <f t="shared" si="718"/>
        <v>0</v>
      </c>
      <c r="L73" s="48">
        <f t="shared" si="719"/>
        <v>0</v>
      </c>
      <c r="M73" s="51">
        <f t="shared" si="720"/>
        <v>0</v>
      </c>
      <c r="N73" s="48">
        <f t="shared" si="721"/>
        <v>0</v>
      </c>
      <c r="O73" s="51">
        <f t="shared" si="722"/>
        <v>0</v>
      </c>
      <c r="P73" s="52">
        <f t="shared" si="723"/>
        <v>0</v>
      </c>
      <c r="Q73" s="51">
        <f t="shared" si="724"/>
        <v>0</v>
      </c>
      <c r="R73" s="48">
        <f t="shared" si="725"/>
        <v>0</v>
      </c>
      <c r="S73" s="51">
        <f t="shared" si="726"/>
        <v>0</v>
      </c>
      <c r="T73" s="52">
        <f t="shared" si="727"/>
        <v>0</v>
      </c>
      <c r="U73" s="51">
        <f t="shared" si="728"/>
        <v>0</v>
      </c>
      <c r="V73" s="53">
        <f t="shared" si="729"/>
        <v>0</v>
      </c>
      <c r="W73" s="51">
        <f t="shared" si="730"/>
        <v>0</v>
      </c>
      <c r="X73" s="52">
        <f t="shared" si="731"/>
        <v>0</v>
      </c>
      <c r="Y73" s="51">
        <f t="shared" si="732"/>
        <v>0</v>
      </c>
      <c r="Z73" s="48">
        <f t="shared" si="733"/>
        <v>0</v>
      </c>
      <c r="AA73" s="51">
        <f t="shared" si="734"/>
        <v>0</v>
      </c>
      <c r="AB73" s="53">
        <f t="shared" si="735"/>
        <v>0</v>
      </c>
      <c r="AC73" s="51">
        <f t="shared" si="736"/>
        <v>0</v>
      </c>
      <c r="AD73" s="53">
        <f t="shared" si="737"/>
        <v>0</v>
      </c>
      <c r="AE73" s="51">
        <f t="shared" si="738"/>
        <v>0</v>
      </c>
      <c r="AF73" s="53">
        <f t="shared" si="739"/>
        <v>0</v>
      </c>
      <c r="AG73" s="51">
        <f t="shared" si="740"/>
        <v>0</v>
      </c>
      <c r="AH73" s="48">
        <f t="shared" si="741"/>
        <v>0</v>
      </c>
      <c r="AI73" s="51">
        <f t="shared" si="742"/>
        <v>0</v>
      </c>
      <c r="AJ73" s="53">
        <f t="shared" si="743"/>
        <v>0</v>
      </c>
      <c r="AK73" s="51">
        <f t="shared" si="744"/>
        <v>0</v>
      </c>
      <c r="AL73" s="53">
        <f t="shared" si="745"/>
        <v>0</v>
      </c>
      <c r="AM73" s="51">
        <f t="shared" si="746"/>
        <v>0</v>
      </c>
      <c r="AN73" s="53">
        <f t="shared" si="747"/>
        <v>0</v>
      </c>
      <c r="AO73" s="51">
        <f t="shared" si="748"/>
        <v>0</v>
      </c>
      <c r="AP73" s="53">
        <f t="shared" si="749"/>
        <v>0</v>
      </c>
      <c r="AQ73" s="51">
        <f t="shared" si="750"/>
        <v>0</v>
      </c>
      <c r="AR73" s="48">
        <f t="shared" si="751"/>
        <v>0</v>
      </c>
      <c r="AS73" s="51">
        <f t="shared" si="752"/>
        <v>0</v>
      </c>
      <c r="AT73" s="53">
        <f t="shared" si="753"/>
        <v>0</v>
      </c>
      <c r="AU73" s="51">
        <f t="shared" si="754"/>
        <v>0</v>
      </c>
      <c r="AV73" s="53">
        <f t="shared" si="755"/>
        <v>0</v>
      </c>
      <c r="AW73" s="51">
        <f t="shared" si="756"/>
        <v>0</v>
      </c>
      <c r="AX73" s="48">
        <f t="shared" si="757"/>
        <v>0</v>
      </c>
      <c r="AY73" s="51">
        <f t="shared" si="758"/>
        <v>0</v>
      </c>
      <c r="BB73" s="48">
        <v>1</v>
      </c>
      <c r="BC73" s="48">
        <v>0.97</v>
      </c>
      <c r="BD73" s="48">
        <v>0.95</v>
      </c>
      <c r="BE73" s="48">
        <v>0.93</v>
      </c>
      <c r="BF73" s="48">
        <f t="shared" ref="BF73:BW73" si="893">+BE73-0.02</f>
        <v>0.91</v>
      </c>
      <c r="BG73" s="48">
        <f t="shared" si="893"/>
        <v>0.89</v>
      </c>
      <c r="BH73" s="48">
        <f t="shared" si="893"/>
        <v>0.87</v>
      </c>
      <c r="BI73" s="48">
        <f t="shared" si="893"/>
        <v>0.85</v>
      </c>
      <c r="BJ73" s="48">
        <f t="shared" si="893"/>
        <v>0.83</v>
      </c>
      <c r="BK73" s="48">
        <f t="shared" si="893"/>
        <v>0.80999999999999994</v>
      </c>
      <c r="BL73" s="48">
        <f t="shared" si="893"/>
        <v>0.78999999999999992</v>
      </c>
      <c r="BM73" s="48">
        <f t="shared" si="893"/>
        <v>0.76999999999999991</v>
      </c>
      <c r="BN73" s="48">
        <f t="shared" si="893"/>
        <v>0.74999999999999989</v>
      </c>
      <c r="BO73" s="48">
        <f t="shared" si="893"/>
        <v>0.72999999999999987</v>
      </c>
      <c r="BP73" s="48">
        <f t="shared" si="893"/>
        <v>0.70999999999999985</v>
      </c>
      <c r="BQ73" s="48">
        <f t="shared" si="893"/>
        <v>0.68999999999999984</v>
      </c>
      <c r="BR73" s="48">
        <f t="shared" si="893"/>
        <v>0.66999999999999982</v>
      </c>
      <c r="BS73" s="48">
        <f t="shared" si="893"/>
        <v>0.6499999999999998</v>
      </c>
      <c r="BT73" s="48">
        <f t="shared" si="893"/>
        <v>0.62999999999999978</v>
      </c>
      <c r="BU73" s="48">
        <f t="shared" si="893"/>
        <v>0.60999999999999976</v>
      </c>
      <c r="BV73" s="48">
        <f t="shared" si="893"/>
        <v>0.58999999999999975</v>
      </c>
      <c r="BW73" s="48">
        <f t="shared" si="893"/>
        <v>0.56999999999999973</v>
      </c>
      <c r="BY73" s="48">
        <f t="shared" si="88"/>
        <v>0</v>
      </c>
      <c r="BZ73" s="48">
        <f t="shared" si="89"/>
        <v>0</v>
      </c>
      <c r="CA73" s="51">
        <f t="shared" ref="CA73" si="894">+BZ73*3.3058</f>
        <v>0</v>
      </c>
      <c r="CB73" s="48">
        <f t="shared" si="761"/>
        <v>0</v>
      </c>
      <c r="CC73" s="51">
        <f t="shared" si="762"/>
        <v>0</v>
      </c>
      <c r="CD73" s="48">
        <f t="shared" si="763"/>
        <v>0</v>
      </c>
      <c r="CE73" s="51">
        <f t="shared" si="764"/>
        <v>0</v>
      </c>
      <c r="CF73" s="48">
        <f t="shared" si="765"/>
        <v>0</v>
      </c>
      <c r="CG73" s="51">
        <f t="shared" si="766"/>
        <v>0</v>
      </c>
      <c r="CH73" s="52">
        <f t="shared" si="767"/>
        <v>0</v>
      </c>
      <c r="CI73" s="51">
        <f t="shared" si="768"/>
        <v>0</v>
      </c>
      <c r="CJ73" s="48">
        <f t="shared" si="769"/>
        <v>0</v>
      </c>
      <c r="CK73" s="51">
        <f t="shared" si="770"/>
        <v>0</v>
      </c>
      <c r="CL73" s="52">
        <f t="shared" si="771"/>
        <v>0</v>
      </c>
      <c r="CM73" s="51">
        <f t="shared" si="772"/>
        <v>0</v>
      </c>
      <c r="CN73" s="53">
        <f t="shared" si="773"/>
        <v>0</v>
      </c>
      <c r="CO73" s="51">
        <f t="shared" si="774"/>
        <v>0</v>
      </c>
      <c r="CP73" s="52">
        <f t="shared" si="775"/>
        <v>0</v>
      </c>
      <c r="CQ73" s="51">
        <f t="shared" si="776"/>
        <v>0</v>
      </c>
      <c r="CR73" s="48">
        <f t="shared" si="777"/>
        <v>0</v>
      </c>
      <c r="CS73" s="51">
        <f t="shared" si="778"/>
        <v>0</v>
      </c>
      <c r="CT73" s="53">
        <f t="shared" si="779"/>
        <v>0</v>
      </c>
      <c r="CU73" s="51">
        <f t="shared" si="780"/>
        <v>0</v>
      </c>
      <c r="CV73" s="53">
        <f t="shared" si="781"/>
        <v>0</v>
      </c>
      <c r="CW73" s="51">
        <f t="shared" si="782"/>
        <v>0</v>
      </c>
      <c r="CX73" s="53">
        <f t="shared" si="783"/>
        <v>0</v>
      </c>
      <c r="CY73" s="51">
        <f t="shared" si="784"/>
        <v>0</v>
      </c>
      <c r="CZ73" s="48">
        <f t="shared" si="785"/>
        <v>0</v>
      </c>
      <c r="DA73" s="51">
        <f t="shared" si="786"/>
        <v>0</v>
      </c>
      <c r="DB73" s="53">
        <f t="shared" si="787"/>
        <v>0</v>
      </c>
      <c r="DC73" s="51">
        <f t="shared" si="788"/>
        <v>0</v>
      </c>
      <c r="DD73" s="53">
        <f t="shared" si="789"/>
        <v>0</v>
      </c>
      <c r="DE73" s="51">
        <f t="shared" si="790"/>
        <v>0</v>
      </c>
      <c r="DF73" s="53">
        <f t="shared" si="791"/>
        <v>0</v>
      </c>
      <c r="DG73" s="51">
        <f t="shared" si="792"/>
        <v>0</v>
      </c>
      <c r="DH73" s="53">
        <f t="shared" si="793"/>
        <v>0</v>
      </c>
      <c r="DI73" s="51">
        <f t="shared" si="794"/>
        <v>0</v>
      </c>
      <c r="DJ73" s="48">
        <f t="shared" si="795"/>
        <v>0</v>
      </c>
      <c r="DK73" s="51">
        <f t="shared" si="796"/>
        <v>0</v>
      </c>
      <c r="DL73" s="53">
        <f t="shared" si="797"/>
        <v>0</v>
      </c>
      <c r="DM73" s="51">
        <f t="shared" si="798"/>
        <v>0</v>
      </c>
      <c r="DN73" s="53">
        <f t="shared" si="799"/>
        <v>0</v>
      </c>
      <c r="DO73" s="51">
        <f t="shared" si="800"/>
        <v>0</v>
      </c>
      <c r="DP73" s="48">
        <f t="shared" si="801"/>
        <v>0</v>
      </c>
      <c r="DQ73" s="51">
        <f t="shared" si="802"/>
        <v>0</v>
      </c>
      <c r="DT73" s="48">
        <v>1</v>
      </c>
      <c r="DU73" s="48">
        <v>0.97</v>
      </c>
      <c r="DV73" s="48">
        <v>0.95</v>
      </c>
      <c r="DW73" s="48">
        <v>0.93</v>
      </c>
      <c r="DX73" s="48">
        <f t="shared" ref="DX73:EO73" si="895">+DW73-0.02</f>
        <v>0.91</v>
      </c>
      <c r="DY73" s="48">
        <f t="shared" si="895"/>
        <v>0.89</v>
      </c>
      <c r="DZ73" s="48">
        <f t="shared" si="895"/>
        <v>0.87</v>
      </c>
      <c r="EA73" s="48">
        <f t="shared" si="895"/>
        <v>0.85</v>
      </c>
      <c r="EB73" s="48">
        <f t="shared" si="895"/>
        <v>0.83</v>
      </c>
      <c r="EC73" s="48">
        <f t="shared" si="895"/>
        <v>0.80999999999999994</v>
      </c>
      <c r="ED73" s="48">
        <f t="shared" si="895"/>
        <v>0.78999999999999992</v>
      </c>
      <c r="EE73" s="48">
        <f t="shared" si="895"/>
        <v>0.76999999999999991</v>
      </c>
      <c r="EF73" s="48">
        <f t="shared" si="895"/>
        <v>0.74999999999999989</v>
      </c>
      <c r="EG73" s="48">
        <f t="shared" si="895"/>
        <v>0.72999999999999987</v>
      </c>
      <c r="EH73" s="48">
        <f t="shared" si="895"/>
        <v>0.70999999999999985</v>
      </c>
      <c r="EI73" s="48">
        <f t="shared" si="895"/>
        <v>0.68999999999999984</v>
      </c>
      <c r="EJ73" s="48">
        <f t="shared" si="895"/>
        <v>0.66999999999999982</v>
      </c>
      <c r="EK73" s="48">
        <f t="shared" si="895"/>
        <v>0.6499999999999998</v>
      </c>
      <c r="EL73" s="48">
        <f t="shared" si="895"/>
        <v>0.62999999999999978</v>
      </c>
      <c r="EM73" s="48">
        <f t="shared" si="895"/>
        <v>0.60999999999999976</v>
      </c>
      <c r="EN73" s="48">
        <f t="shared" si="895"/>
        <v>0.58999999999999975</v>
      </c>
      <c r="EO73" s="48">
        <f t="shared" si="895"/>
        <v>0.56999999999999973</v>
      </c>
      <c r="EQ73" s="48">
        <f t="shared" si="188"/>
        <v>0</v>
      </c>
      <c r="ER73" s="48">
        <f t="shared" si="116"/>
        <v>0</v>
      </c>
      <c r="ES73" s="51">
        <f t="shared" ref="ES73" si="896">+ER73*3.3058</f>
        <v>0</v>
      </c>
      <c r="ET73" s="48">
        <f t="shared" si="805"/>
        <v>0</v>
      </c>
      <c r="EU73" s="51">
        <f t="shared" si="806"/>
        <v>0</v>
      </c>
      <c r="EV73" s="48">
        <f t="shared" si="807"/>
        <v>0</v>
      </c>
      <c r="EW73" s="51">
        <f t="shared" si="808"/>
        <v>0</v>
      </c>
      <c r="EX73" s="48">
        <f t="shared" si="809"/>
        <v>0</v>
      </c>
      <c r="EY73" s="51">
        <f t="shared" si="810"/>
        <v>0</v>
      </c>
      <c r="EZ73" s="52">
        <f t="shared" si="811"/>
        <v>0</v>
      </c>
      <c r="FA73" s="51">
        <f t="shared" si="812"/>
        <v>0</v>
      </c>
      <c r="FB73" s="48">
        <f t="shared" si="813"/>
        <v>0</v>
      </c>
      <c r="FC73" s="51">
        <f t="shared" si="814"/>
        <v>0</v>
      </c>
      <c r="FD73" s="52">
        <f t="shared" si="815"/>
        <v>0</v>
      </c>
      <c r="FE73" s="51">
        <f t="shared" si="816"/>
        <v>0</v>
      </c>
      <c r="FF73" s="53">
        <f t="shared" si="817"/>
        <v>0</v>
      </c>
      <c r="FG73" s="51">
        <f t="shared" si="818"/>
        <v>0</v>
      </c>
      <c r="FH73" s="52">
        <f t="shared" si="819"/>
        <v>0</v>
      </c>
      <c r="FI73" s="51">
        <f t="shared" si="820"/>
        <v>0</v>
      </c>
      <c r="FJ73" s="48">
        <f t="shared" si="821"/>
        <v>0</v>
      </c>
      <c r="FK73" s="51">
        <f t="shared" si="822"/>
        <v>0</v>
      </c>
      <c r="FL73" s="53">
        <f t="shared" si="823"/>
        <v>0</v>
      </c>
      <c r="FM73" s="51">
        <f t="shared" si="824"/>
        <v>0</v>
      </c>
      <c r="FN73" s="53">
        <f t="shared" si="825"/>
        <v>0</v>
      </c>
      <c r="FO73" s="51">
        <f t="shared" si="826"/>
        <v>0</v>
      </c>
      <c r="FP73" s="53">
        <f t="shared" si="827"/>
        <v>0</v>
      </c>
      <c r="FQ73" s="51">
        <f t="shared" si="828"/>
        <v>0</v>
      </c>
      <c r="FR73" s="48">
        <f t="shared" si="829"/>
        <v>0</v>
      </c>
      <c r="FS73" s="51">
        <f t="shared" si="830"/>
        <v>0</v>
      </c>
      <c r="FT73" s="53">
        <f t="shared" si="831"/>
        <v>0</v>
      </c>
      <c r="FU73" s="51">
        <f t="shared" si="832"/>
        <v>0</v>
      </c>
      <c r="FV73" s="53">
        <f t="shared" si="833"/>
        <v>0</v>
      </c>
      <c r="FW73" s="51">
        <f t="shared" si="834"/>
        <v>0</v>
      </c>
      <c r="FX73" s="53">
        <f t="shared" si="835"/>
        <v>0</v>
      </c>
      <c r="FY73" s="51">
        <f t="shared" si="836"/>
        <v>0</v>
      </c>
      <c r="FZ73" s="53">
        <f t="shared" si="837"/>
        <v>0</v>
      </c>
      <c r="GA73" s="51">
        <f t="shared" si="838"/>
        <v>0</v>
      </c>
      <c r="GB73" s="48">
        <f t="shared" si="839"/>
        <v>0</v>
      </c>
      <c r="GC73" s="51">
        <f t="shared" si="840"/>
        <v>0</v>
      </c>
      <c r="GD73" s="53">
        <f t="shared" si="841"/>
        <v>0</v>
      </c>
      <c r="GE73" s="51">
        <f t="shared" si="842"/>
        <v>0</v>
      </c>
      <c r="GF73" s="53">
        <f t="shared" si="843"/>
        <v>0</v>
      </c>
      <c r="GG73" s="51">
        <f t="shared" si="844"/>
        <v>0</v>
      </c>
      <c r="GH73" s="48">
        <f t="shared" si="845"/>
        <v>0</v>
      </c>
      <c r="GI73" s="51">
        <f t="shared" si="846"/>
        <v>0</v>
      </c>
      <c r="GJ73" s="48"/>
      <c r="GK73" s="48"/>
      <c r="GL73" s="48">
        <v>1</v>
      </c>
      <c r="GM73" s="48">
        <v>0.97</v>
      </c>
      <c r="GN73" s="48">
        <v>0.95</v>
      </c>
      <c r="GO73" s="48">
        <v>0.93</v>
      </c>
      <c r="GP73" s="48">
        <f t="shared" ref="GP73:HG73" si="897">+GO73-0.02</f>
        <v>0.91</v>
      </c>
      <c r="GQ73" s="48">
        <f t="shared" si="897"/>
        <v>0.89</v>
      </c>
      <c r="GR73" s="48">
        <f t="shared" si="897"/>
        <v>0.87</v>
      </c>
      <c r="GS73" s="48">
        <f t="shared" si="897"/>
        <v>0.85</v>
      </c>
      <c r="GT73" s="48">
        <f t="shared" si="897"/>
        <v>0.83</v>
      </c>
      <c r="GU73" s="48">
        <f t="shared" si="897"/>
        <v>0.80999999999999994</v>
      </c>
      <c r="GV73" s="48">
        <f t="shared" si="897"/>
        <v>0.78999999999999992</v>
      </c>
      <c r="GW73" s="48">
        <f t="shared" si="897"/>
        <v>0.76999999999999991</v>
      </c>
      <c r="GX73" s="48">
        <f t="shared" si="897"/>
        <v>0.74999999999999989</v>
      </c>
      <c r="GY73" s="48">
        <f t="shared" si="897"/>
        <v>0.72999999999999987</v>
      </c>
      <c r="GZ73" s="48">
        <f t="shared" si="897"/>
        <v>0.70999999999999985</v>
      </c>
      <c r="HA73" s="48">
        <f t="shared" si="897"/>
        <v>0.68999999999999984</v>
      </c>
      <c r="HB73" s="48">
        <f t="shared" si="897"/>
        <v>0.66999999999999982</v>
      </c>
      <c r="HC73" s="48">
        <f t="shared" si="897"/>
        <v>0.6499999999999998</v>
      </c>
      <c r="HD73" s="48">
        <f t="shared" si="897"/>
        <v>0.62999999999999978</v>
      </c>
      <c r="HE73" s="48">
        <f t="shared" si="897"/>
        <v>0.60999999999999976</v>
      </c>
      <c r="HF73" s="48">
        <f t="shared" si="897"/>
        <v>0.58999999999999975</v>
      </c>
      <c r="HG73" s="48">
        <f t="shared" si="897"/>
        <v>0.56999999999999973</v>
      </c>
    </row>
    <row r="74" spans="1:215" x14ac:dyDescent="0.3">
      <c r="A74" s="2">
        <v>12</v>
      </c>
      <c r="C74" s="39" t="s">
        <v>143</v>
      </c>
      <c r="D74" s="44">
        <v>0</v>
      </c>
      <c r="E74" s="73">
        <f t="shared" si="716"/>
        <v>0</v>
      </c>
      <c r="G74" s="48">
        <f t="shared" si="61"/>
        <v>0</v>
      </c>
      <c r="H74" s="48">
        <f t="shared" si="62"/>
        <v>0</v>
      </c>
      <c r="I74" s="51">
        <f t="shared" si="63"/>
        <v>0</v>
      </c>
      <c r="J74" s="48">
        <f t="shared" si="717"/>
        <v>0</v>
      </c>
      <c r="K74" s="51">
        <f t="shared" si="718"/>
        <v>0</v>
      </c>
      <c r="L74" s="48">
        <f t="shared" si="719"/>
        <v>0</v>
      </c>
      <c r="M74" s="51">
        <f t="shared" si="720"/>
        <v>0</v>
      </c>
      <c r="N74" s="48">
        <f t="shared" si="721"/>
        <v>0</v>
      </c>
      <c r="O74" s="51">
        <f t="shared" si="722"/>
        <v>0</v>
      </c>
      <c r="P74" s="52">
        <f t="shared" si="723"/>
        <v>0</v>
      </c>
      <c r="Q74" s="51">
        <f t="shared" si="724"/>
        <v>0</v>
      </c>
      <c r="R74" s="48">
        <f t="shared" si="725"/>
        <v>0</v>
      </c>
      <c r="S74" s="51">
        <f t="shared" si="726"/>
        <v>0</v>
      </c>
      <c r="T74" s="52">
        <f t="shared" si="727"/>
        <v>0</v>
      </c>
      <c r="U74" s="51">
        <f t="shared" si="728"/>
        <v>0</v>
      </c>
      <c r="V74" s="53">
        <f t="shared" si="729"/>
        <v>0</v>
      </c>
      <c r="W74" s="51">
        <f t="shared" si="730"/>
        <v>0</v>
      </c>
      <c r="X74" s="52">
        <f t="shared" si="731"/>
        <v>0</v>
      </c>
      <c r="Y74" s="51">
        <f t="shared" si="732"/>
        <v>0</v>
      </c>
      <c r="Z74" s="48">
        <f t="shared" si="733"/>
        <v>0</v>
      </c>
      <c r="AA74" s="51">
        <f t="shared" si="734"/>
        <v>0</v>
      </c>
      <c r="AB74" s="53">
        <f t="shared" si="735"/>
        <v>0</v>
      </c>
      <c r="AC74" s="51">
        <f t="shared" si="736"/>
        <v>0</v>
      </c>
      <c r="AD74" s="53">
        <f t="shared" si="737"/>
        <v>0</v>
      </c>
      <c r="AE74" s="51">
        <f t="shared" si="738"/>
        <v>0</v>
      </c>
      <c r="AF74" s="53">
        <f t="shared" si="739"/>
        <v>0</v>
      </c>
      <c r="AG74" s="51">
        <f t="shared" si="740"/>
        <v>0</v>
      </c>
      <c r="AH74" s="48">
        <f t="shared" si="741"/>
        <v>0</v>
      </c>
      <c r="AI74" s="51">
        <f t="shared" si="742"/>
        <v>0</v>
      </c>
      <c r="AJ74" s="53">
        <f t="shared" si="743"/>
        <v>0</v>
      </c>
      <c r="AK74" s="51">
        <f t="shared" si="744"/>
        <v>0</v>
      </c>
      <c r="AL74" s="53">
        <f t="shared" si="745"/>
        <v>0</v>
      </c>
      <c r="AM74" s="51">
        <f t="shared" si="746"/>
        <v>0</v>
      </c>
      <c r="AN74" s="53">
        <f t="shared" si="747"/>
        <v>0</v>
      </c>
      <c r="AO74" s="51">
        <f t="shared" si="748"/>
        <v>0</v>
      </c>
      <c r="AP74" s="53">
        <f t="shared" si="749"/>
        <v>0</v>
      </c>
      <c r="AQ74" s="51">
        <f t="shared" si="750"/>
        <v>0</v>
      </c>
      <c r="AR74" s="48">
        <f t="shared" si="751"/>
        <v>0</v>
      </c>
      <c r="AS74" s="51">
        <f t="shared" si="752"/>
        <v>0</v>
      </c>
      <c r="AT74" s="53">
        <f t="shared" si="753"/>
        <v>0</v>
      </c>
      <c r="AU74" s="51">
        <f t="shared" si="754"/>
        <v>0</v>
      </c>
      <c r="AV74" s="53">
        <f t="shared" si="755"/>
        <v>0</v>
      </c>
      <c r="AW74" s="51">
        <f t="shared" si="756"/>
        <v>0</v>
      </c>
      <c r="AX74" s="48">
        <f t="shared" si="757"/>
        <v>0</v>
      </c>
      <c r="AY74" s="51">
        <f t="shared" si="758"/>
        <v>0</v>
      </c>
      <c r="BB74" s="48">
        <v>1</v>
      </c>
      <c r="BC74" s="48">
        <v>0.97</v>
      </c>
      <c r="BD74" s="48">
        <v>0.95</v>
      </c>
      <c r="BE74" s="48">
        <v>0.93</v>
      </c>
      <c r="BF74" s="48">
        <f t="shared" ref="BF74:BW74" si="898">+BE74-0.02</f>
        <v>0.91</v>
      </c>
      <c r="BG74" s="48">
        <f t="shared" si="898"/>
        <v>0.89</v>
      </c>
      <c r="BH74" s="48">
        <f t="shared" si="898"/>
        <v>0.87</v>
      </c>
      <c r="BI74" s="48">
        <f t="shared" si="898"/>
        <v>0.85</v>
      </c>
      <c r="BJ74" s="48">
        <f t="shared" si="898"/>
        <v>0.83</v>
      </c>
      <c r="BK74" s="48">
        <f t="shared" si="898"/>
        <v>0.80999999999999994</v>
      </c>
      <c r="BL74" s="48">
        <f t="shared" si="898"/>
        <v>0.78999999999999992</v>
      </c>
      <c r="BM74" s="48">
        <f t="shared" si="898"/>
        <v>0.76999999999999991</v>
      </c>
      <c r="BN74" s="48">
        <f t="shared" si="898"/>
        <v>0.74999999999999989</v>
      </c>
      <c r="BO74" s="48">
        <f t="shared" si="898"/>
        <v>0.72999999999999987</v>
      </c>
      <c r="BP74" s="48">
        <f t="shared" si="898"/>
        <v>0.70999999999999985</v>
      </c>
      <c r="BQ74" s="48">
        <f t="shared" si="898"/>
        <v>0.68999999999999984</v>
      </c>
      <c r="BR74" s="48">
        <f t="shared" si="898"/>
        <v>0.66999999999999982</v>
      </c>
      <c r="BS74" s="48">
        <f t="shared" si="898"/>
        <v>0.6499999999999998</v>
      </c>
      <c r="BT74" s="48">
        <f t="shared" si="898"/>
        <v>0.62999999999999978</v>
      </c>
      <c r="BU74" s="48">
        <f t="shared" si="898"/>
        <v>0.60999999999999976</v>
      </c>
      <c r="BV74" s="48">
        <f t="shared" si="898"/>
        <v>0.58999999999999975</v>
      </c>
      <c r="BW74" s="48">
        <f t="shared" si="898"/>
        <v>0.56999999999999973</v>
      </c>
      <c r="BY74" s="48">
        <f t="shared" si="88"/>
        <v>0</v>
      </c>
      <c r="BZ74" s="48">
        <f t="shared" si="89"/>
        <v>0</v>
      </c>
      <c r="CA74" s="51">
        <f t="shared" ref="CA74" si="899">+BZ74*3.3058</f>
        <v>0</v>
      </c>
      <c r="CB74" s="48">
        <f t="shared" si="761"/>
        <v>0</v>
      </c>
      <c r="CC74" s="51">
        <f t="shared" si="762"/>
        <v>0</v>
      </c>
      <c r="CD74" s="48">
        <f t="shared" si="763"/>
        <v>0</v>
      </c>
      <c r="CE74" s="51">
        <f t="shared" si="764"/>
        <v>0</v>
      </c>
      <c r="CF74" s="48">
        <f t="shared" si="765"/>
        <v>0</v>
      </c>
      <c r="CG74" s="51">
        <f t="shared" si="766"/>
        <v>0</v>
      </c>
      <c r="CH74" s="52">
        <f t="shared" si="767"/>
        <v>0</v>
      </c>
      <c r="CI74" s="51">
        <f t="shared" si="768"/>
        <v>0</v>
      </c>
      <c r="CJ74" s="48">
        <f t="shared" si="769"/>
        <v>0</v>
      </c>
      <c r="CK74" s="51">
        <f t="shared" si="770"/>
        <v>0</v>
      </c>
      <c r="CL74" s="52">
        <f t="shared" si="771"/>
        <v>0</v>
      </c>
      <c r="CM74" s="51">
        <f t="shared" si="772"/>
        <v>0</v>
      </c>
      <c r="CN74" s="53">
        <f t="shared" si="773"/>
        <v>0</v>
      </c>
      <c r="CO74" s="51">
        <f t="shared" si="774"/>
        <v>0</v>
      </c>
      <c r="CP74" s="52">
        <f t="shared" si="775"/>
        <v>0</v>
      </c>
      <c r="CQ74" s="51">
        <f t="shared" si="776"/>
        <v>0</v>
      </c>
      <c r="CR74" s="48">
        <f t="shared" si="777"/>
        <v>0</v>
      </c>
      <c r="CS74" s="51">
        <f t="shared" si="778"/>
        <v>0</v>
      </c>
      <c r="CT74" s="53">
        <f t="shared" si="779"/>
        <v>0</v>
      </c>
      <c r="CU74" s="51">
        <f t="shared" si="780"/>
        <v>0</v>
      </c>
      <c r="CV74" s="53">
        <f t="shared" si="781"/>
        <v>0</v>
      </c>
      <c r="CW74" s="51">
        <f t="shared" si="782"/>
        <v>0</v>
      </c>
      <c r="CX74" s="53">
        <f t="shared" si="783"/>
        <v>0</v>
      </c>
      <c r="CY74" s="51">
        <f t="shared" si="784"/>
        <v>0</v>
      </c>
      <c r="CZ74" s="48">
        <f t="shared" si="785"/>
        <v>0</v>
      </c>
      <c r="DA74" s="51">
        <f t="shared" si="786"/>
        <v>0</v>
      </c>
      <c r="DB74" s="53">
        <f t="shared" si="787"/>
        <v>0</v>
      </c>
      <c r="DC74" s="51">
        <f t="shared" si="788"/>
        <v>0</v>
      </c>
      <c r="DD74" s="53">
        <f t="shared" si="789"/>
        <v>0</v>
      </c>
      <c r="DE74" s="51">
        <f t="shared" si="790"/>
        <v>0</v>
      </c>
      <c r="DF74" s="53">
        <f t="shared" si="791"/>
        <v>0</v>
      </c>
      <c r="DG74" s="51">
        <f t="shared" si="792"/>
        <v>0</v>
      </c>
      <c r="DH74" s="53">
        <f t="shared" si="793"/>
        <v>0</v>
      </c>
      <c r="DI74" s="51">
        <f t="shared" si="794"/>
        <v>0</v>
      </c>
      <c r="DJ74" s="48">
        <f t="shared" si="795"/>
        <v>0</v>
      </c>
      <c r="DK74" s="51">
        <f t="shared" si="796"/>
        <v>0</v>
      </c>
      <c r="DL74" s="53">
        <f t="shared" si="797"/>
        <v>0</v>
      </c>
      <c r="DM74" s="51">
        <f t="shared" si="798"/>
        <v>0</v>
      </c>
      <c r="DN74" s="53">
        <f t="shared" si="799"/>
        <v>0</v>
      </c>
      <c r="DO74" s="51">
        <f t="shared" si="800"/>
        <v>0</v>
      </c>
      <c r="DP74" s="48">
        <f t="shared" si="801"/>
        <v>0</v>
      </c>
      <c r="DQ74" s="51">
        <f t="shared" si="802"/>
        <v>0</v>
      </c>
      <c r="DT74" s="48">
        <v>1</v>
      </c>
      <c r="DU74" s="48">
        <v>0.97</v>
      </c>
      <c r="DV74" s="48">
        <v>0.95</v>
      </c>
      <c r="DW74" s="48">
        <v>0.93</v>
      </c>
      <c r="DX74" s="48">
        <f t="shared" ref="DX74:EO74" si="900">+DW74-0.02</f>
        <v>0.91</v>
      </c>
      <c r="DY74" s="48">
        <f t="shared" si="900"/>
        <v>0.89</v>
      </c>
      <c r="DZ74" s="48">
        <f t="shared" si="900"/>
        <v>0.87</v>
      </c>
      <c r="EA74" s="48">
        <f t="shared" si="900"/>
        <v>0.85</v>
      </c>
      <c r="EB74" s="48">
        <f t="shared" si="900"/>
        <v>0.83</v>
      </c>
      <c r="EC74" s="48">
        <f t="shared" si="900"/>
        <v>0.80999999999999994</v>
      </c>
      <c r="ED74" s="48">
        <f t="shared" si="900"/>
        <v>0.78999999999999992</v>
      </c>
      <c r="EE74" s="48">
        <f t="shared" si="900"/>
        <v>0.76999999999999991</v>
      </c>
      <c r="EF74" s="48">
        <f t="shared" si="900"/>
        <v>0.74999999999999989</v>
      </c>
      <c r="EG74" s="48">
        <f t="shared" si="900"/>
        <v>0.72999999999999987</v>
      </c>
      <c r="EH74" s="48">
        <f t="shared" si="900"/>
        <v>0.70999999999999985</v>
      </c>
      <c r="EI74" s="48">
        <f t="shared" si="900"/>
        <v>0.68999999999999984</v>
      </c>
      <c r="EJ74" s="48">
        <f t="shared" si="900"/>
        <v>0.66999999999999982</v>
      </c>
      <c r="EK74" s="48">
        <f t="shared" si="900"/>
        <v>0.6499999999999998</v>
      </c>
      <c r="EL74" s="48">
        <f t="shared" si="900"/>
        <v>0.62999999999999978</v>
      </c>
      <c r="EM74" s="48">
        <f t="shared" si="900"/>
        <v>0.60999999999999976</v>
      </c>
      <c r="EN74" s="48">
        <f t="shared" si="900"/>
        <v>0.58999999999999975</v>
      </c>
      <c r="EO74" s="48">
        <f t="shared" si="900"/>
        <v>0.56999999999999973</v>
      </c>
      <c r="EQ74" s="48">
        <f t="shared" si="188"/>
        <v>0</v>
      </c>
      <c r="ER74" s="48">
        <f t="shared" si="116"/>
        <v>0</v>
      </c>
      <c r="ES74" s="51">
        <f t="shared" ref="ES74" si="901">+ER74*3.3058</f>
        <v>0</v>
      </c>
      <c r="ET74" s="48">
        <f t="shared" si="805"/>
        <v>0</v>
      </c>
      <c r="EU74" s="51">
        <f t="shared" si="806"/>
        <v>0</v>
      </c>
      <c r="EV74" s="48">
        <f t="shared" si="807"/>
        <v>0</v>
      </c>
      <c r="EW74" s="51">
        <f t="shared" si="808"/>
        <v>0</v>
      </c>
      <c r="EX74" s="48">
        <f t="shared" si="809"/>
        <v>0</v>
      </c>
      <c r="EY74" s="51">
        <f t="shared" si="810"/>
        <v>0</v>
      </c>
      <c r="EZ74" s="52">
        <f t="shared" si="811"/>
        <v>0</v>
      </c>
      <c r="FA74" s="51">
        <f t="shared" si="812"/>
        <v>0</v>
      </c>
      <c r="FB74" s="48">
        <f t="shared" si="813"/>
        <v>0</v>
      </c>
      <c r="FC74" s="51">
        <f t="shared" si="814"/>
        <v>0</v>
      </c>
      <c r="FD74" s="52">
        <f t="shared" si="815"/>
        <v>0</v>
      </c>
      <c r="FE74" s="51">
        <f t="shared" si="816"/>
        <v>0</v>
      </c>
      <c r="FF74" s="53">
        <f t="shared" si="817"/>
        <v>0</v>
      </c>
      <c r="FG74" s="51">
        <f t="shared" si="818"/>
        <v>0</v>
      </c>
      <c r="FH74" s="52">
        <f t="shared" si="819"/>
        <v>0</v>
      </c>
      <c r="FI74" s="51">
        <f t="shared" si="820"/>
        <v>0</v>
      </c>
      <c r="FJ74" s="48">
        <f t="shared" si="821"/>
        <v>0</v>
      </c>
      <c r="FK74" s="51">
        <f t="shared" si="822"/>
        <v>0</v>
      </c>
      <c r="FL74" s="53">
        <f t="shared" si="823"/>
        <v>0</v>
      </c>
      <c r="FM74" s="51">
        <f t="shared" si="824"/>
        <v>0</v>
      </c>
      <c r="FN74" s="53">
        <f t="shared" si="825"/>
        <v>0</v>
      </c>
      <c r="FO74" s="51">
        <f t="shared" si="826"/>
        <v>0</v>
      </c>
      <c r="FP74" s="53">
        <f t="shared" si="827"/>
        <v>0</v>
      </c>
      <c r="FQ74" s="51">
        <f t="shared" si="828"/>
        <v>0</v>
      </c>
      <c r="FR74" s="48">
        <f t="shared" si="829"/>
        <v>0</v>
      </c>
      <c r="FS74" s="51">
        <f t="shared" si="830"/>
        <v>0</v>
      </c>
      <c r="FT74" s="53">
        <f t="shared" si="831"/>
        <v>0</v>
      </c>
      <c r="FU74" s="51">
        <f t="shared" si="832"/>
        <v>0</v>
      </c>
      <c r="FV74" s="53">
        <f t="shared" si="833"/>
        <v>0</v>
      </c>
      <c r="FW74" s="51">
        <f t="shared" si="834"/>
        <v>0</v>
      </c>
      <c r="FX74" s="53">
        <f t="shared" si="835"/>
        <v>0</v>
      </c>
      <c r="FY74" s="51">
        <f t="shared" si="836"/>
        <v>0</v>
      </c>
      <c r="FZ74" s="53">
        <f t="shared" si="837"/>
        <v>0</v>
      </c>
      <c r="GA74" s="51">
        <f t="shared" si="838"/>
        <v>0</v>
      </c>
      <c r="GB74" s="48">
        <f t="shared" si="839"/>
        <v>0</v>
      </c>
      <c r="GC74" s="51">
        <f t="shared" si="840"/>
        <v>0</v>
      </c>
      <c r="GD74" s="53">
        <f t="shared" si="841"/>
        <v>0</v>
      </c>
      <c r="GE74" s="51">
        <f t="shared" si="842"/>
        <v>0</v>
      </c>
      <c r="GF74" s="53">
        <f t="shared" si="843"/>
        <v>0</v>
      </c>
      <c r="GG74" s="51">
        <f t="shared" si="844"/>
        <v>0</v>
      </c>
      <c r="GH74" s="48">
        <f t="shared" si="845"/>
        <v>0</v>
      </c>
      <c r="GI74" s="51">
        <f t="shared" si="846"/>
        <v>0</v>
      </c>
      <c r="GJ74" s="48"/>
      <c r="GK74" s="48"/>
      <c r="GL74" s="48">
        <v>1</v>
      </c>
      <c r="GM74" s="48">
        <v>0.97</v>
      </c>
      <c r="GN74" s="48">
        <v>0.95</v>
      </c>
      <c r="GO74" s="48">
        <v>0.93</v>
      </c>
      <c r="GP74" s="48">
        <f t="shared" ref="GP74:HG74" si="902">+GO74-0.02</f>
        <v>0.91</v>
      </c>
      <c r="GQ74" s="48">
        <f t="shared" si="902"/>
        <v>0.89</v>
      </c>
      <c r="GR74" s="48">
        <f t="shared" si="902"/>
        <v>0.87</v>
      </c>
      <c r="GS74" s="48">
        <f t="shared" si="902"/>
        <v>0.85</v>
      </c>
      <c r="GT74" s="48">
        <f t="shared" si="902"/>
        <v>0.83</v>
      </c>
      <c r="GU74" s="48">
        <f t="shared" si="902"/>
        <v>0.80999999999999994</v>
      </c>
      <c r="GV74" s="48">
        <f t="shared" si="902"/>
        <v>0.78999999999999992</v>
      </c>
      <c r="GW74" s="48">
        <f t="shared" si="902"/>
        <v>0.76999999999999991</v>
      </c>
      <c r="GX74" s="48">
        <f t="shared" si="902"/>
        <v>0.74999999999999989</v>
      </c>
      <c r="GY74" s="48">
        <f t="shared" si="902"/>
        <v>0.72999999999999987</v>
      </c>
      <c r="GZ74" s="48">
        <f t="shared" si="902"/>
        <v>0.70999999999999985</v>
      </c>
      <c r="HA74" s="48">
        <f t="shared" si="902"/>
        <v>0.68999999999999984</v>
      </c>
      <c r="HB74" s="48">
        <f t="shared" si="902"/>
        <v>0.66999999999999982</v>
      </c>
      <c r="HC74" s="48">
        <f t="shared" si="902"/>
        <v>0.6499999999999998</v>
      </c>
      <c r="HD74" s="48">
        <f t="shared" si="902"/>
        <v>0.62999999999999978</v>
      </c>
      <c r="HE74" s="48">
        <f t="shared" si="902"/>
        <v>0.60999999999999976</v>
      </c>
      <c r="HF74" s="48">
        <f t="shared" si="902"/>
        <v>0.58999999999999975</v>
      </c>
      <c r="HG74" s="48">
        <f t="shared" si="902"/>
        <v>0.56999999999999973</v>
      </c>
    </row>
    <row r="75" spans="1:215" x14ac:dyDescent="0.3">
      <c r="A75" s="2">
        <v>13</v>
      </c>
      <c r="C75" s="39" t="s">
        <v>144</v>
      </c>
      <c r="D75" s="44">
        <v>0</v>
      </c>
      <c r="E75" s="73">
        <f t="shared" si="716"/>
        <v>0</v>
      </c>
      <c r="G75" s="48">
        <f t="shared" si="61"/>
        <v>0</v>
      </c>
      <c r="H75" s="48">
        <f t="shared" si="62"/>
        <v>0</v>
      </c>
      <c r="I75" s="51">
        <f t="shared" si="63"/>
        <v>0</v>
      </c>
      <c r="J75" s="48">
        <f t="shared" si="717"/>
        <v>0</v>
      </c>
      <c r="K75" s="51">
        <f t="shared" si="718"/>
        <v>0</v>
      </c>
      <c r="L75" s="48">
        <f t="shared" si="719"/>
        <v>0</v>
      </c>
      <c r="M75" s="51">
        <f t="shared" si="720"/>
        <v>0</v>
      </c>
      <c r="N75" s="48">
        <f t="shared" si="721"/>
        <v>0</v>
      </c>
      <c r="O75" s="51">
        <f t="shared" si="722"/>
        <v>0</v>
      </c>
      <c r="P75" s="52">
        <f t="shared" si="723"/>
        <v>0</v>
      </c>
      <c r="Q75" s="51">
        <f t="shared" si="724"/>
        <v>0</v>
      </c>
      <c r="R75" s="48">
        <f t="shared" si="725"/>
        <v>0</v>
      </c>
      <c r="S75" s="51">
        <f t="shared" si="726"/>
        <v>0</v>
      </c>
      <c r="T75" s="52">
        <f t="shared" si="727"/>
        <v>0</v>
      </c>
      <c r="U75" s="51">
        <f t="shared" si="728"/>
        <v>0</v>
      </c>
      <c r="V75" s="53">
        <f t="shared" si="729"/>
        <v>0</v>
      </c>
      <c r="W75" s="51">
        <f t="shared" si="730"/>
        <v>0</v>
      </c>
      <c r="X75" s="52">
        <f t="shared" si="731"/>
        <v>0</v>
      </c>
      <c r="Y75" s="51">
        <f t="shared" si="732"/>
        <v>0</v>
      </c>
      <c r="Z75" s="48">
        <f t="shared" si="733"/>
        <v>0</v>
      </c>
      <c r="AA75" s="51">
        <f t="shared" si="734"/>
        <v>0</v>
      </c>
      <c r="AB75" s="53">
        <f t="shared" si="735"/>
        <v>0</v>
      </c>
      <c r="AC75" s="51">
        <f t="shared" si="736"/>
        <v>0</v>
      </c>
      <c r="AD75" s="53">
        <f t="shared" si="737"/>
        <v>0</v>
      </c>
      <c r="AE75" s="51">
        <f t="shared" si="738"/>
        <v>0</v>
      </c>
      <c r="AF75" s="53">
        <f t="shared" si="739"/>
        <v>0</v>
      </c>
      <c r="AG75" s="51">
        <f t="shared" si="740"/>
        <v>0</v>
      </c>
      <c r="AH75" s="48">
        <f t="shared" si="741"/>
        <v>0</v>
      </c>
      <c r="AI75" s="51">
        <f t="shared" si="742"/>
        <v>0</v>
      </c>
      <c r="AJ75" s="53">
        <f t="shared" si="743"/>
        <v>0</v>
      </c>
      <c r="AK75" s="51">
        <f t="shared" si="744"/>
        <v>0</v>
      </c>
      <c r="AL75" s="53">
        <f t="shared" si="745"/>
        <v>0</v>
      </c>
      <c r="AM75" s="51">
        <f t="shared" si="746"/>
        <v>0</v>
      </c>
      <c r="AN75" s="53">
        <f t="shared" si="747"/>
        <v>0</v>
      </c>
      <c r="AO75" s="51">
        <f t="shared" si="748"/>
        <v>0</v>
      </c>
      <c r="AP75" s="53">
        <f t="shared" si="749"/>
        <v>0</v>
      </c>
      <c r="AQ75" s="51">
        <f t="shared" si="750"/>
        <v>0</v>
      </c>
      <c r="AR75" s="48">
        <f t="shared" si="751"/>
        <v>0</v>
      </c>
      <c r="AS75" s="51">
        <f t="shared" si="752"/>
        <v>0</v>
      </c>
      <c r="AT75" s="53">
        <f t="shared" si="753"/>
        <v>0</v>
      </c>
      <c r="AU75" s="51">
        <f t="shared" si="754"/>
        <v>0</v>
      </c>
      <c r="AV75" s="53">
        <f t="shared" si="755"/>
        <v>0</v>
      </c>
      <c r="AW75" s="51">
        <f t="shared" si="756"/>
        <v>0</v>
      </c>
      <c r="AX75" s="48">
        <f t="shared" si="757"/>
        <v>0</v>
      </c>
      <c r="AY75" s="51">
        <f t="shared" si="758"/>
        <v>0</v>
      </c>
      <c r="BB75" s="48">
        <v>1</v>
      </c>
      <c r="BC75" s="48">
        <v>0.97</v>
      </c>
      <c r="BD75" s="48">
        <v>0.95</v>
      </c>
      <c r="BE75" s="48">
        <v>0.93</v>
      </c>
      <c r="BF75" s="48">
        <f t="shared" ref="BF75:BW75" si="903">+BE75-0.02</f>
        <v>0.91</v>
      </c>
      <c r="BG75" s="48">
        <f t="shared" si="903"/>
        <v>0.89</v>
      </c>
      <c r="BH75" s="48">
        <f t="shared" si="903"/>
        <v>0.87</v>
      </c>
      <c r="BI75" s="48">
        <f t="shared" si="903"/>
        <v>0.85</v>
      </c>
      <c r="BJ75" s="48">
        <f t="shared" si="903"/>
        <v>0.83</v>
      </c>
      <c r="BK75" s="48">
        <f t="shared" si="903"/>
        <v>0.80999999999999994</v>
      </c>
      <c r="BL75" s="48">
        <f t="shared" si="903"/>
        <v>0.78999999999999992</v>
      </c>
      <c r="BM75" s="48">
        <f t="shared" si="903"/>
        <v>0.76999999999999991</v>
      </c>
      <c r="BN75" s="48">
        <f t="shared" si="903"/>
        <v>0.74999999999999989</v>
      </c>
      <c r="BO75" s="48">
        <f t="shared" si="903"/>
        <v>0.72999999999999987</v>
      </c>
      <c r="BP75" s="48">
        <f t="shared" si="903"/>
        <v>0.70999999999999985</v>
      </c>
      <c r="BQ75" s="48">
        <f t="shared" si="903"/>
        <v>0.68999999999999984</v>
      </c>
      <c r="BR75" s="48">
        <f t="shared" si="903"/>
        <v>0.66999999999999982</v>
      </c>
      <c r="BS75" s="48">
        <f t="shared" si="903"/>
        <v>0.6499999999999998</v>
      </c>
      <c r="BT75" s="48">
        <f t="shared" si="903"/>
        <v>0.62999999999999978</v>
      </c>
      <c r="BU75" s="48">
        <f t="shared" si="903"/>
        <v>0.60999999999999976</v>
      </c>
      <c r="BV75" s="48">
        <f t="shared" si="903"/>
        <v>0.58999999999999975</v>
      </c>
      <c r="BW75" s="48">
        <f t="shared" si="903"/>
        <v>0.56999999999999973</v>
      </c>
      <c r="BY75" s="48">
        <f t="shared" si="88"/>
        <v>0</v>
      </c>
      <c r="BZ75" s="48">
        <f t="shared" si="89"/>
        <v>0</v>
      </c>
      <c r="CA75" s="51">
        <f t="shared" ref="CA75" si="904">+BZ75*3.3058</f>
        <v>0</v>
      </c>
      <c r="CB75" s="48">
        <f t="shared" si="761"/>
        <v>0</v>
      </c>
      <c r="CC75" s="51">
        <f t="shared" si="762"/>
        <v>0</v>
      </c>
      <c r="CD75" s="48">
        <f t="shared" si="763"/>
        <v>0</v>
      </c>
      <c r="CE75" s="51">
        <f t="shared" si="764"/>
        <v>0</v>
      </c>
      <c r="CF75" s="48">
        <f t="shared" si="765"/>
        <v>0</v>
      </c>
      <c r="CG75" s="51">
        <f t="shared" si="766"/>
        <v>0</v>
      </c>
      <c r="CH75" s="52">
        <f t="shared" si="767"/>
        <v>0</v>
      </c>
      <c r="CI75" s="51">
        <f t="shared" si="768"/>
        <v>0</v>
      </c>
      <c r="CJ75" s="48">
        <f t="shared" si="769"/>
        <v>0</v>
      </c>
      <c r="CK75" s="51">
        <f t="shared" si="770"/>
        <v>0</v>
      </c>
      <c r="CL75" s="52">
        <f t="shared" si="771"/>
        <v>0</v>
      </c>
      <c r="CM75" s="51">
        <f t="shared" si="772"/>
        <v>0</v>
      </c>
      <c r="CN75" s="53">
        <f t="shared" si="773"/>
        <v>0</v>
      </c>
      <c r="CO75" s="51">
        <f t="shared" si="774"/>
        <v>0</v>
      </c>
      <c r="CP75" s="52">
        <f t="shared" si="775"/>
        <v>0</v>
      </c>
      <c r="CQ75" s="51">
        <f t="shared" si="776"/>
        <v>0</v>
      </c>
      <c r="CR75" s="48">
        <f t="shared" si="777"/>
        <v>0</v>
      </c>
      <c r="CS75" s="51">
        <f t="shared" si="778"/>
        <v>0</v>
      </c>
      <c r="CT75" s="53">
        <f t="shared" si="779"/>
        <v>0</v>
      </c>
      <c r="CU75" s="51">
        <f t="shared" si="780"/>
        <v>0</v>
      </c>
      <c r="CV75" s="53">
        <f t="shared" si="781"/>
        <v>0</v>
      </c>
      <c r="CW75" s="51">
        <f t="shared" si="782"/>
        <v>0</v>
      </c>
      <c r="CX75" s="53">
        <f t="shared" si="783"/>
        <v>0</v>
      </c>
      <c r="CY75" s="51">
        <f t="shared" si="784"/>
        <v>0</v>
      </c>
      <c r="CZ75" s="48">
        <f t="shared" si="785"/>
        <v>0</v>
      </c>
      <c r="DA75" s="51">
        <f t="shared" si="786"/>
        <v>0</v>
      </c>
      <c r="DB75" s="53">
        <f t="shared" si="787"/>
        <v>0</v>
      </c>
      <c r="DC75" s="51">
        <f t="shared" si="788"/>
        <v>0</v>
      </c>
      <c r="DD75" s="53">
        <f t="shared" si="789"/>
        <v>0</v>
      </c>
      <c r="DE75" s="51">
        <f t="shared" si="790"/>
        <v>0</v>
      </c>
      <c r="DF75" s="53">
        <f t="shared" si="791"/>
        <v>0</v>
      </c>
      <c r="DG75" s="51">
        <f t="shared" si="792"/>
        <v>0</v>
      </c>
      <c r="DH75" s="53">
        <f t="shared" si="793"/>
        <v>0</v>
      </c>
      <c r="DI75" s="51">
        <f t="shared" si="794"/>
        <v>0</v>
      </c>
      <c r="DJ75" s="48">
        <f t="shared" si="795"/>
        <v>0</v>
      </c>
      <c r="DK75" s="51">
        <f t="shared" si="796"/>
        <v>0</v>
      </c>
      <c r="DL75" s="53">
        <f t="shared" si="797"/>
        <v>0</v>
      </c>
      <c r="DM75" s="51">
        <f t="shared" si="798"/>
        <v>0</v>
      </c>
      <c r="DN75" s="53">
        <f t="shared" si="799"/>
        <v>0</v>
      </c>
      <c r="DO75" s="51">
        <f t="shared" si="800"/>
        <v>0</v>
      </c>
      <c r="DP75" s="48">
        <f t="shared" si="801"/>
        <v>0</v>
      </c>
      <c r="DQ75" s="51">
        <f t="shared" si="802"/>
        <v>0</v>
      </c>
      <c r="DT75" s="48">
        <v>1</v>
      </c>
      <c r="DU75" s="48">
        <v>0.97</v>
      </c>
      <c r="DV75" s="48">
        <v>0.95</v>
      </c>
      <c r="DW75" s="48">
        <v>0.93</v>
      </c>
      <c r="DX75" s="48">
        <f t="shared" ref="DX75:EO75" si="905">+DW75-0.02</f>
        <v>0.91</v>
      </c>
      <c r="DY75" s="48">
        <f t="shared" si="905"/>
        <v>0.89</v>
      </c>
      <c r="DZ75" s="48">
        <f t="shared" si="905"/>
        <v>0.87</v>
      </c>
      <c r="EA75" s="48">
        <f t="shared" si="905"/>
        <v>0.85</v>
      </c>
      <c r="EB75" s="48">
        <f t="shared" si="905"/>
        <v>0.83</v>
      </c>
      <c r="EC75" s="48">
        <f t="shared" si="905"/>
        <v>0.80999999999999994</v>
      </c>
      <c r="ED75" s="48">
        <f t="shared" si="905"/>
        <v>0.78999999999999992</v>
      </c>
      <c r="EE75" s="48">
        <f t="shared" si="905"/>
        <v>0.76999999999999991</v>
      </c>
      <c r="EF75" s="48">
        <f t="shared" si="905"/>
        <v>0.74999999999999989</v>
      </c>
      <c r="EG75" s="48">
        <f t="shared" si="905"/>
        <v>0.72999999999999987</v>
      </c>
      <c r="EH75" s="48">
        <f t="shared" si="905"/>
        <v>0.70999999999999985</v>
      </c>
      <c r="EI75" s="48">
        <f t="shared" si="905"/>
        <v>0.68999999999999984</v>
      </c>
      <c r="EJ75" s="48">
        <f t="shared" si="905"/>
        <v>0.66999999999999982</v>
      </c>
      <c r="EK75" s="48">
        <f t="shared" si="905"/>
        <v>0.6499999999999998</v>
      </c>
      <c r="EL75" s="48">
        <f t="shared" si="905"/>
        <v>0.62999999999999978</v>
      </c>
      <c r="EM75" s="48">
        <f t="shared" si="905"/>
        <v>0.60999999999999976</v>
      </c>
      <c r="EN75" s="48">
        <f t="shared" si="905"/>
        <v>0.58999999999999975</v>
      </c>
      <c r="EO75" s="48">
        <f t="shared" si="905"/>
        <v>0.56999999999999973</v>
      </c>
      <c r="EQ75" s="48">
        <f t="shared" si="188"/>
        <v>0</v>
      </c>
      <c r="ER75" s="48">
        <f t="shared" si="116"/>
        <v>0</v>
      </c>
      <c r="ES75" s="51">
        <f t="shared" ref="ES75" si="906">+ER75*3.3058</f>
        <v>0</v>
      </c>
      <c r="ET75" s="48">
        <f t="shared" si="805"/>
        <v>0</v>
      </c>
      <c r="EU75" s="51">
        <f t="shared" si="806"/>
        <v>0</v>
      </c>
      <c r="EV75" s="48">
        <f t="shared" si="807"/>
        <v>0</v>
      </c>
      <c r="EW75" s="51">
        <f t="shared" si="808"/>
        <v>0</v>
      </c>
      <c r="EX75" s="48">
        <f t="shared" si="809"/>
        <v>0</v>
      </c>
      <c r="EY75" s="51">
        <f t="shared" si="810"/>
        <v>0</v>
      </c>
      <c r="EZ75" s="52">
        <f t="shared" si="811"/>
        <v>0</v>
      </c>
      <c r="FA75" s="51">
        <f t="shared" si="812"/>
        <v>0</v>
      </c>
      <c r="FB75" s="48">
        <f t="shared" si="813"/>
        <v>0</v>
      </c>
      <c r="FC75" s="51">
        <f t="shared" si="814"/>
        <v>0</v>
      </c>
      <c r="FD75" s="52">
        <f t="shared" si="815"/>
        <v>0</v>
      </c>
      <c r="FE75" s="51">
        <f t="shared" si="816"/>
        <v>0</v>
      </c>
      <c r="FF75" s="53">
        <f t="shared" si="817"/>
        <v>0</v>
      </c>
      <c r="FG75" s="51">
        <f t="shared" si="818"/>
        <v>0</v>
      </c>
      <c r="FH75" s="52">
        <f t="shared" si="819"/>
        <v>0</v>
      </c>
      <c r="FI75" s="51">
        <f t="shared" si="820"/>
        <v>0</v>
      </c>
      <c r="FJ75" s="48">
        <f t="shared" si="821"/>
        <v>0</v>
      </c>
      <c r="FK75" s="51">
        <f t="shared" si="822"/>
        <v>0</v>
      </c>
      <c r="FL75" s="53">
        <f t="shared" si="823"/>
        <v>0</v>
      </c>
      <c r="FM75" s="51">
        <f t="shared" si="824"/>
        <v>0</v>
      </c>
      <c r="FN75" s="53">
        <f t="shared" si="825"/>
        <v>0</v>
      </c>
      <c r="FO75" s="51">
        <f t="shared" si="826"/>
        <v>0</v>
      </c>
      <c r="FP75" s="53">
        <f t="shared" si="827"/>
        <v>0</v>
      </c>
      <c r="FQ75" s="51">
        <f t="shared" si="828"/>
        <v>0</v>
      </c>
      <c r="FR75" s="48">
        <f t="shared" si="829"/>
        <v>0</v>
      </c>
      <c r="FS75" s="51">
        <f t="shared" si="830"/>
        <v>0</v>
      </c>
      <c r="FT75" s="53">
        <f t="shared" si="831"/>
        <v>0</v>
      </c>
      <c r="FU75" s="51">
        <f t="shared" si="832"/>
        <v>0</v>
      </c>
      <c r="FV75" s="53">
        <f t="shared" si="833"/>
        <v>0</v>
      </c>
      <c r="FW75" s="51">
        <f t="shared" si="834"/>
        <v>0</v>
      </c>
      <c r="FX75" s="53">
        <f t="shared" si="835"/>
        <v>0</v>
      </c>
      <c r="FY75" s="51">
        <f t="shared" si="836"/>
        <v>0</v>
      </c>
      <c r="FZ75" s="53">
        <f t="shared" si="837"/>
        <v>0</v>
      </c>
      <c r="GA75" s="51">
        <f t="shared" si="838"/>
        <v>0</v>
      </c>
      <c r="GB75" s="48">
        <f t="shared" si="839"/>
        <v>0</v>
      </c>
      <c r="GC75" s="51">
        <f t="shared" si="840"/>
        <v>0</v>
      </c>
      <c r="GD75" s="53">
        <f t="shared" si="841"/>
        <v>0</v>
      </c>
      <c r="GE75" s="51">
        <f t="shared" si="842"/>
        <v>0</v>
      </c>
      <c r="GF75" s="53">
        <f t="shared" si="843"/>
        <v>0</v>
      </c>
      <c r="GG75" s="51">
        <f t="shared" si="844"/>
        <v>0</v>
      </c>
      <c r="GH75" s="48">
        <f t="shared" si="845"/>
        <v>0</v>
      </c>
      <c r="GI75" s="51">
        <f t="shared" si="846"/>
        <v>0</v>
      </c>
      <c r="GJ75" s="48"/>
      <c r="GK75" s="48"/>
      <c r="GL75" s="48">
        <v>1</v>
      </c>
      <c r="GM75" s="48">
        <v>0.97</v>
      </c>
      <c r="GN75" s="48">
        <v>0.95</v>
      </c>
      <c r="GO75" s="48">
        <v>0.93</v>
      </c>
      <c r="GP75" s="48">
        <f t="shared" ref="GP75:HG75" si="907">+GO75-0.02</f>
        <v>0.91</v>
      </c>
      <c r="GQ75" s="48">
        <f t="shared" si="907"/>
        <v>0.89</v>
      </c>
      <c r="GR75" s="48">
        <f t="shared" si="907"/>
        <v>0.87</v>
      </c>
      <c r="GS75" s="48">
        <f t="shared" si="907"/>
        <v>0.85</v>
      </c>
      <c r="GT75" s="48">
        <f t="shared" si="907"/>
        <v>0.83</v>
      </c>
      <c r="GU75" s="48">
        <f t="shared" si="907"/>
        <v>0.80999999999999994</v>
      </c>
      <c r="GV75" s="48">
        <f t="shared" si="907"/>
        <v>0.78999999999999992</v>
      </c>
      <c r="GW75" s="48">
        <f t="shared" si="907"/>
        <v>0.76999999999999991</v>
      </c>
      <c r="GX75" s="48">
        <f t="shared" si="907"/>
        <v>0.74999999999999989</v>
      </c>
      <c r="GY75" s="48">
        <f t="shared" si="907"/>
        <v>0.72999999999999987</v>
      </c>
      <c r="GZ75" s="48">
        <f t="shared" si="907"/>
        <v>0.70999999999999985</v>
      </c>
      <c r="HA75" s="48">
        <f t="shared" si="907"/>
        <v>0.68999999999999984</v>
      </c>
      <c r="HB75" s="48">
        <f t="shared" si="907"/>
        <v>0.66999999999999982</v>
      </c>
      <c r="HC75" s="48">
        <f t="shared" si="907"/>
        <v>0.6499999999999998</v>
      </c>
      <c r="HD75" s="48">
        <f t="shared" si="907"/>
        <v>0.62999999999999978</v>
      </c>
      <c r="HE75" s="48">
        <f t="shared" si="907"/>
        <v>0.60999999999999976</v>
      </c>
      <c r="HF75" s="48">
        <f t="shared" si="907"/>
        <v>0.58999999999999975</v>
      </c>
      <c r="HG75" s="48">
        <f t="shared" si="907"/>
        <v>0.56999999999999973</v>
      </c>
    </row>
    <row r="76" spans="1:215" x14ac:dyDescent="0.3">
      <c r="A76" s="2">
        <v>14</v>
      </c>
      <c r="C76" s="39" t="s">
        <v>145</v>
      </c>
      <c r="D76" s="44">
        <v>0</v>
      </c>
      <c r="E76" s="73">
        <f t="shared" si="716"/>
        <v>0</v>
      </c>
      <c r="G76" s="48">
        <f t="shared" si="61"/>
        <v>0</v>
      </c>
      <c r="H76" s="48">
        <f t="shared" si="62"/>
        <v>0</v>
      </c>
      <c r="I76" s="51">
        <f t="shared" si="63"/>
        <v>0</v>
      </c>
      <c r="J76" s="48">
        <f t="shared" si="717"/>
        <v>0</v>
      </c>
      <c r="K76" s="51">
        <f t="shared" si="718"/>
        <v>0</v>
      </c>
      <c r="L76" s="48">
        <f t="shared" si="719"/>
        <v>0</v>
      </c>
      <c r="M76" s="51">
        <f t="shared" si="720"/>
        <v>0</v>
      </c>
      <c r="N76" s="48">
        <f t="shared" si="721"/>
        <v>0</v>
      </c>
      <c r="O76" s="51">
        <f t="shared" si="722"/>
        <v>0</v>
      </c>
      <c r="P76" s="52">
        <f t="shared" si="723"/>
        <v>0</v>
      </c>
      <c r="Q76" s="51">
        <f t="shared" si="724"/>
        <v>0</v>
      </c>
      <c r="R76" s="48">
        <f t="shared" si="725"/>
        <v>0</v>
      </c>
      <c r="S76" s="51">
        <f t="shared" si="726"/>
        <v>0</v>
      </c>
      <c r="T76" s="52">
        <f t="shared" si="727"/>
        <v>0</v>
      </c>
      <c r="U76" s="51">
        <f t="shared" si="728"/>
        <v>0</v>
      </c>
      <c r="V76" s="53">
        <f t="shared" si="729"/>
        <v>0</v>
      </c>
      <c r="W76" s="51">
        <f t="shared" si="730"/>
        <v>0</v>
      </c>
      <c r="X76" s="52">
        <f t="shared" si="731"/>
        <v>0</v>
      </c>
      <c r="Y76" s="51">
        <f t="shared" si="732"/>
        <v>0</v>
      </c>
      <c r="Z76" s="48">
        <f t="shared" si="733"/>
        <v>0</v>
      </c>
      <c r="AA76" s="51">
        <f t="shared" si="734"/>
        <v>0</v>
      </c>
      <c r="AB76" s="53">
        <f t="shared" si="735"/>
        <v>0</v>
      </c>
      <c r="AC76" s="51">
        <f t="shared" si="736"/>
        <v>0</v>
      </c>
      <c r="AD76" s="53">
        <f t="shared" si="737"/>
        <v>0</v>
      </c>
      <c r="AE76" s="51">
        <f t="shared" si="738"/>
        <v>0</v>
      </c>
      <c r="AF76" s="53">
        <f t="shared" si="739"/>
        <v>0</v>
      </c>
      <c r="AG76" s="51">
        <f t="shared" si="740"/>
        <v>0</v>
      </c>
      <c r="AH76" s="48">
        <f t="shared" si="741"/>
        <v>0</v>
      </c>
      <c r="AI76" s="51">
        <f t="shared" si="742"/>
        <v>0</v>
      </c>
      <c r="AJ76" s="53">
        <f t="shared" si="743"/>
        <v>0</v>
      </c>
      <c r="AK76" s="51">
        <f t="shared" si="744"/>
        <v>0</v>
      </c>
      <c r="AL76" s="53">
        <f t="shared" si="745"/>
        <v>0</v>
      </c>
      <c r="AM76" s="51">
        <f t="shared" si="746"/>
        <v>0</v>
      </c>
      <c r="AN76" s="53">
        <f t="shared" si="747"/>
        <v>0</v>
      </c>
      <c r="AO76" s="51">
        <f t="shared" si="748"/>
        <v>0</v>
      </c>
      <c r="AP76" s="53">
        <f t="shared" si="749"/>
        <v>0</v>
      </c>
      <c r="AQ76" s="51">
        <f t="shared" si="750"/>
        <v>0</v>
      </c>
      <c r="AR76" s="48">
        <f t="shared" si="751"/>
        <v>0</v>
      </c>
      <c r="AS76" s="51">
        <f t="shared" si="752"/>
        <v>0</v>
      </c>
      <c r="AT76" s="53">
        <f t="shared" si="753"/>
        <v>0</v>
      </c>
      <c r="AU76" s="51">
        <f t="shared" si="754"/>
        <v>0</v>
      </c>
      <c r="AV76" s="53">
        <f t="shared" si="755"/>
        <v>0</v>
      </c>
      <c r="AW76" s="51">
        <f t="shared" si="756"/>
        <v>0</v>
      </c>
      <c r="AX76" s="48">
        <f t="shared" si="757"/>
        <v>0</v>
      </c>
      <c r="AY76" s="51">
        <f t="shared" si="758"/>
        <v>0</v>
      </c>
      <c r="BB76" s="48">
        <v>1</v>
      </c>
      <c r="BC76" s="48">
        <v>0.97</v>
      </c>
      <c r="BD76" s="48">
        <v>0.95</v>
      </c>
      <c r="BE76" s="48">
        <v>0.93</v>
      </c>
      <c r="BF76" s="48">
        <f t="shared" ref="BF76:BW76" si="908">+BE76-0.02</f>
        <v>0.91</v>
      </c>
      <c r="BG76" s="48">
        <f t="shared" si="908"/>
        <v>0.89</v>
      </c>
      <c r="BH76" s="48">
        <f t="shared" si="908"/>
        <v>0.87</v>
      </c>
      <c r="BI76" s="48">
        <f t="shared" si="908"/>
        <v>0.85</v>
      </c>
      <c r="BJ76" s="48">
        <f t="shared" si="908"/>
        <v>0.83</v>
      </c>
      <c r="BK76" s="48">
        <f t="shared" si="908"/>
        <v>0.80999999999999994</v>
      </c>
      <c r="BL76" s="48">
        <f t="shared" si="908"/>
        <v>0.78999999999999992</v>
      </c>
      <c r="BM76" s="48">
        <f t="shared" si="908"/>
        <v>0.76999999999999991</v>
      </c>
      <c r="BN76" s="48">
        <f t="shared" si="908"/>
        <v>0.74999999999999989</v>
      </c>
      <c r="BO76" s="48">
        <f t="shared" si="908"/>
        <v>0.72999999999999987</v>
      </c>
      <c r="BP76" s="48">
        <f t="shared" si="908"/>
        <v>0.70999999999999985</v>
      </c>
      <c r="BQ76" s="48">
        <f t="shared" si="908"/>
        <v>0.68999999999999984</v>
      </c>
      <c r="BR76" s="48">
        <f t="shared" si="908"/>
        <v>0.66999999999999982</v>
      </c>
      <c r="BS76" s="48">
        <f t="shared" si="908"/>
        <v>0.6499999999999998</v>
      </c>
      <c r="BT76" s="48">
        <f t="shared" si="908"/>
        <v>0.62999999999999978</v>
      </c>
      <c r="BU76" s="48">
        <f t="shared" si="908"/>
        <v>0.60999999999999976</v>
      </c>
      <c r="BV76" s="48">
        <f t="shared" si="908"/>
        <v>0.58999999999999975</v>
      </c>
      <c r="BW76" s="48">
        <f t="shared" si="908"/>
        <v>0.56999999999999973</v>
      </c>
      <c r="BY76" s="48">
        <f t="shared" si="88"/>
        <v>0</v>
      </c>
      <c r="BZ76" s="48">
        <f t="shared" si="89"/>
        <v>0</v>
      </c>
      <c r="CA76" s="51">
        <f t="shared" ref="CA76" si="909">+BZ76*3.3058</f>
        <v>0</v>
      </c>
      <c r="CB76" s="48">
        <f t="shared" si="761"/>
        <v>0</v>
      </c>
      <c r="CC76" s="51">
        <f t="shared" si="762"/>
        <v>0</v>
      </c>
      <c r="CD76" s="48">
        <f t="shared" si="763"/>
        <v>0</v>
      </c>
      <c r="CE76" s="51">
        <f t="shared" si="764"/>
        <v>0</v>
      </c>
      <c r="CF76" s="48">
        <f t="shared" si="765"/>
        <v>0</v>
      </c>
      <c r="CG76" s="51">
        <f t="shared" si="766"/>
        <v>0</v>
      </c>
      <c r="CH76" s="52">
        <f t="shared" si="767"/>
        <v>0</v>
      </c>
      <c r="CI76" s="51">
        <f t="shared" si="768"/>
        <v>0</v>
      </c>
      <c r="CJ76" s="48">
        <f t="shared" si="769"/>
        <v>0</v>
      </c>
      <c r="CK76" s="51">
        <f t="shared" si="770"/>
        <v>0</v>
      </c>
      <c r="CL76" s="52">
        <f t="shared" si="771"/>
        <v>0</v>
      </c>
      <c r="CM76" s="51">
        <f t="shared" si="772"/>
        <v>0</v>
      </c>
      <c r="CN76" s="53">
        <f t="shared" si="773"/>
        <v>0</v>
      </c>
      <c r="CO76" s="51">
        <f t="shared" si="774"/>
        <v>0</v>
      </c>
      <c r="CP76" s="52">
        <f t="shared" si="775"/>
        <v>0</v>
      </c>
      <c r="CQ76" s="51">
        <f t="shared" si="776"/>
        <v>0</v>
      </c>
      <c r="CR76" s="48">
        <f t="shared" si="777"/>
        <v>0</v>
      </c>
      <c r="CS76" s="51">
        <f t="shared" si="778"/>
        <v>0</v>
      </c>
      <c r="CT76" s="53">
        <f t="shared" si="779"/>
        <v>0</v>
      </c>
      <c r="CU76" s="51">
        <f t="shared" si="780"/>
        <v>0</v>
      </c>
      <c r="CV76" s="53">
        <f t="shared" si="781"/>
        <v>0</v>
      </c>
      <c r="CW76" s="51">
        <f t="shared" si="782"/>
        <v>0</v>
      </c>
      <c r="CX76" s="53">
        <f t="shared" si="783"/>
        <v>0</v>
      </c>
      <c r="CY76" s="51">
        <f t="shared" si="784"/>
        <v>0</v>
      </c>
      <c r="CZ76" s="48">
        <f t="shared" si="785"/>
        <v>0</v>
      </c>
      <c r="DA76" s="51">
        <f t="shared" si="786"/>
        <v>0</v>
      </c>
      <c r="DB76" s="53">
        <f t="shared" si="787"/>
        <v>0</v>
      </c>
      <c r="DC76" s="51">
        <f t="shared" si="788"/>
        <v>0</v>
      </c>
      <c r="DD76" s="53">
        <f t="shared" si="789"/>
        <v>0</v>
      </c>
      <c r="DE76" s="51">
        <f t="shared" si="790"/>
        <v>0</v>
      </c>
      <c r="DF76" s="53">
        <f t="shared" si="791"/>
        <v>0</v>
      </c>
      <c r="DG76" s="51">
        <f t="shared" si="792"/>
        <v>0</v>
      </c>
      <c r="DH76" s="53">
        <f t="shared" si="793"/>
        <v>0</v>
      </c>
      <c r="DI76" s="51">
        <f t="shared" si="794"/>
        <v>0</v>
      </c>
      <c r="DJ76" s="48">
        <f t="shared" si="795"/>
        <v>0</v>
      </c>
      <c r="DK76" s="51">
        <f t="shared" si="796"/>
        <v>0</v>
      </c>
      <c r="DL76" s="53">
        <f t="shared" si="797"/>
        <v>0</v>
      </c>
      <c r="DM76" s="51">
        <f t="shared" si="798"/>
        <v>0</v>
      </c>
      <c r="DN76" s="53">
        <f t="shared" si="799"/>
        <v>0</v>
      </c>
      <c r="DO76" s="51">
        <f t="shared" si="800"/>
        <v>0</v>
      </c>
      <c r="DP76" s="48">
        <f t="shared" si="801"/>
        <v>0</v>
      </c>
      <c r="DQ76" s="51">
        <f t="shared" si="802"/>
        <v>0</v>
      </c>
      <c r="DT76" s="48">
        <v>1</v>
      </c>
      <c r="DU76" s="48">
        <v>0.97</v>
      </c>
      <c r="DV76" s="48">
        <v>0.95</v>
      </c>
      <c r="DW76" s="48">
        <v>0.93</v>
      </c>
      <c r="DX76" s="48">
        <f t="shared" ref="DX76:EO76" si="910">+DW76-0.02</f>
        <v>0.91</v>
      </c>
      <c r="DY76" s="48">
        <f t="shared" si="910"/>
        <v>0.89</v>
      </c>
      <c r="DZ76" s="48">
        <f t="shared" si="910"/>
        <v>0.87</v>
      </c>
      <c r="EA76" s="48">
        <f t="shared" si="910"/>
        <v>0.85</v>
      </c>
      <c r="EB76" s="48">
        <f t="shared" si="910"/>
        <v>0.83</v>
      </c>
      <c r="EC76" s="48">
        <f t="shared" si="910"/>
        <v>0.80999999999999994</v>
      </c>
      <c r="ED76" s="48">
        <f t="shared" si="910"/>
        <v>0.78999999999999992</v>
      </c>
      <c r="EE76" s="48">
        <f t="shared" si="910"/>
        <v>0.76999999999999991</v>
      </c>
      <c r="EF76" s="48">
        <f t="shared" si="910"/>
        <v>0.74999999999999989</v>
      </c>
      <c r="EG76" s="48">
        <f t="shared" si="910"/>
        <v>0.72999999999999987</v>
      </c>
      <c r="EH76" s="48">
        <f t="shared" si="910"/>
        <v>0.70999999999999985</v>
      </c>
      <c r="EI76" s="48">
        <f t="shared" si="910"/>
        <v>0.68999999999999984</v>
      </c>
      <c r="EJ76" s="48">
        <f t="shared" si="910"/>
        <v>0.66999999999999982</v>
      </c>
      <c r="EK76" s="48">
        <f t="shared" si="910"/>
        <v>0.6499999999999998</v>
      </c>
      <c r="EL76" s="48">
        <f t="shared" si="910"/>
        <v>0.62999999999999978</v>
      </c>
      <c r="EM76" s="48">
        <f t="shared" si="910"/>
        <v>0.60999999999999976</v>
      </c>
      <c r="EN76" s="48">
        <f t="shared" si="910"/>
        <v>0.58999999999999975</v>
      </c>
      <c r="EO76" s="48">
        <f t="shared" si="910"/>
        <v>0.56999999999999973</v>
      </c>
      <c r="EQ76" s="48">
        <f t="shared" si="188"/>
        <v>0</v>
      </c>
      <c r="ER76" s="48">
        <f t="shared" si="116"/>
        <v>0</v>
      </c>
      <c r="ES76" s="51">
        <f t="shared" ref="ES76" si="911">+ER76*3.3058</f>
        <v>0</v>
      </c>
      <c r="ET76" s="48">
        <f t="shared" si="805"/>
        <v>0</v>
      </c>
      <c r="EU76" s="51">
        <f t="shared" si="806"/>
        <v>0</v>
      </c>
      <c r="EV76" s="48">
        <f t="shared" si="807"/>
        <v>0</v>
      </c>
      <c r="EW76" s="51">
        <f t="shared" si="808"/>
        <v>0</v>
      </c>
      <c r="EX76" s="48">
        <f t="shared" si="809"/>
        <v>0</v>
      </c>
      <c r="EY76" s="51">
        <f t="shared" si="810"/>
        <v>0</v>
      </c>
      <c r="EZ76" s="52">
        <f t="shared" si="811"/>
        <v>0</v>
      </c>
      <c r="FA76" s="51">
        <f t="shared" si="812"/>
        <v>0</v>
      </c>
      <c r="FB76" s="48">
        <f t="shared" si="813"/>
        <v>0</v>
      </c>
      <c r="FC76" s="51">
        <f t="shared" si="814"/>
        <v>0</v>
      </c>
      <c r="FD76" s="52">
        <f t="shared" si="815"/>
        <v>0</v>
      </c>
      <c r="FE76" s="51">
        <f t="shared" si="816"/>
        <v>0</v>
      </c>
      <c r="FF76" s="53">
        <f t="shared" si="817"/>
        <v>0</v>
      </c>
      <c r="FG76" s="51">
        <f t="shared" si="818"/>
        <v>0</v>
      </c>
      <c r="FH76" s="52">
        <f t="shared" si="819"/>
        <v>0</v>
      </c>
      <c r="FI76" s="51">
        <f t="shared" si="820"/>
        <v>0</v>
      </c>
      <c r="FJ76" s="48">
        <f t="shared" si="821"/>
        <v>0</v>
      </c>
      <c r="FK76" s="51">
        <f t="shared" si="822"/>
        <v>0</v>
      </c>
      <c r="FL76" s="53">
        <f t="shared" si="823"/>
        <v>0</v>
      </c>
      <c r="FM76" s="51">
        <f t="shared" si="824"/>
        <v>0</v>
      </c>
      <c r="FN76" s="53">
        <f t="shared" si="825"/>
        <v>0</v>
      </c>
      <c r="FO76" s="51">
        <f t="shared" si="826"/>
        <v>0</v>
      </c>
      <c r="FP76" s="53">
        <f t="shared" si="827"/>
        <v>0</v>
      </c>
      <c r="FQ76" s="51">
        <f t="shared" si="828"/>
        <v>0</v>
      </c>
      <c r="FR76" s="48">
        <f t="shared" si="829"/>
        <v>0</v>
      </c>
      <c r="FS76" s="51">
        <f t="shared" si="830"/>
        <v>0</v>
      </c>
      <c r="FT76" s="53">
        <f t="shared" si="831"/>
        <v>0</v>
      </c>
      <c r="FU76" s="51">
        <f t="shared" si="832"/>
        <v>0</v>
      </c>
      <c r="FV76" s="53">
        <f t="shared" si="833"/>
        <v>0</v>
      </c>
      <c r="FW76" s="51">
        <f t="shared" si="834"/>
        <v>0</v>
      </c>
      <c r="FX76" s="53">
        <f t="shared" si="835"/>
        <v>0</v>
      </c>
      <c r="FY76" s="51">
        <f t="shared" si="836"/>
        <v>0</v>
      </c>
      <c r="FZ76" s="53">
        <f t="shared" si="837"/>
        <v>0</v>
      </c>
      <c r="GA76" s="51">
        <f t="shared" si="838"/>
        <v>0</v>
      </c>
      <c r="GB76" s="48">
        <f t="shared" si="839"/>
        <v>0</v>
      </c>
      <c r="GC76" s="51">
        <f t="shared" si="840"/>
        <v>0</v>
      </c>
      <c r="GD76" s="53">
        <f t="shared" si="841"/>
        <v>0</v>
      </c>
      <c r="GE76" s="51">
        <f t="shared" si="842"/>
        <v>0</v>
      </c>
      <c r="GF76" s="53">
        <f t="shared" si="843"/>
        <v>0</v>
      </c>
      <c r="GG76" s="51">
        <f t="shared" si="844"/>
        <v>0</v>
      </c>
      <c r="GH76" s="48">
        <f t="shared" si="845"/>
        <v>0</v>
      </c>
      <c r="GI76" s="51">
        <f t="shared" si="846"/>
        <v>0</v>
      </c>
      <c r="GJ76" s="48"/>
      <c r="GK76" s="48"/>
      <c r="GL76" s="48">
        <v>1</v>
      </c>
      <c r="GM76" s="48">
        <v>0.97</v>
      </c>
      <c r="GN76" s="48">
        <v>0.95</v>
      </c>
      <c r="GO76" s="48">
        <v>0.93</v>
      </c>
      <c r="GP76" s="48">
        <f t="shared" ref="GP76:HG76" si="912">+GO76-0.02</f>
        <v>0.91</v>
      </c>
      <c r="GQ76" s="48">
        <f t="shared" si="912"/>
        <v>0.89</v>
      </c>
      <c r="GR76" s="48">
        <f t="shared" si="912"/>
        <v>0.87</v>
      </c>
      <c r="GS76" s="48">
        <f t="shared" si="912"/>
        <v>0.85</v>
      </c>
      <c r="GT76" s="48">
        <f t="shared" si="912"/>
        <v>0.83</v>
      </c>
      <c r="GU76" s="48">
        <f t="shared" si="912"/>
        <v>0.80999999999999994</v>
      </c>
      <c r="GV76" s="48">
        <f t="shared" si="912"/>
        <v>0.78999999999999992</v>
      </c>
      <c r="GW76" s="48">
        <f t="shared" si="912"/>
        <v>0.76999999999999991</v>
      </c>
      <c r="GX76" s="48">
        <f t="shared" si="912"/>
        <v>0.74999999999999989</v>
      </c>
      <c r="GY76" s="48">
        <f t="shared" si="912"/>
        <v>0.72999999999999987</v>
      </c>
      <c r="GZ76" s="48">
        <f t="shared" si="912"/>
        <v>0.70999999999999985</v>
      </c>
      <c r="HA76" s="48">
        <f t="shared" si="912"/>
        <v>0.68999999999999984</v>
      </c>
      <c r="HB76" s="48">
        <f t="shared" si="912"/>
        <v>0.66999999999999982</v>
      </c>
      <c r="HC76" s="48">
        <f t="shared" si="912"/>
        <v>0.6499999999999998</v>
      </c>
      <c r="HD76" s="48">
        <f t="shared" si="912"/>
        <v>0.62999999999999978</v>
      </c>
      <c r="HE76" s="48">
        <f t="shared" si="912"/>
        <v>0.60999999999999976</v>
      </c>
      <c r="HF76" s="48">
        <f t="shared" si="912"/>
        <v>0.58999999999999975</v>
      </c>
      <c r="HG76" s="48">
        <f t="shared" si="912"/>
        <v>0.56999999999999973</v>
      </c>
    </row>
    <row r="77" spans="1:215" x14ac:dyDescent="0.3">
      <c r="A77" s="2">
        <v>15</v>
      </c>
      <c r="C77" s="39" t="s">
        <v>146</v>
      </c>
      <c r="D77" s="44">
        <v>0</v>
      </c>
      <c r="E77" s="73">
        <f t="shared" si="716"/>
        <v>0</v>
      </c>
      <c r="G77" s="48">
        <f t="shared" si="61"/>
        <v>0</v>
      </c>
      <c r="H77" s="48">
        <f t="shared" si="62"/>
        <v>0</v>
      </c>
      <c r="I77" s="51">
        <f t="shared" si="63"/>
        <v>0</v>
      </c>
      <c r="J77" s="48">
        <f t="shared" si="717"/>
        <v>0</v>
      </c>
      <c r="K77" s="51">
        <f t="shared" si="718"/>
        <v>0</v>
      </c>
      <c r="L77" s="48">
        <f t="shared" si="719"/>
        <v>0</v>
      </c>
      <c r="M77" s="51">
        <f t="shared" si="720"/>
        <v>0</v>
      </c>
      <c r="N77" s="48">
        <f t="shared" si="721"/>
        <v>0</v>
      </c>
      <c r="O77" s="51">
        <f t="shared" si="722"/>
        <v>0</v>
      </c>
      <c r="P77" s="52">
        <f t="shared" si="723"/>
        <v>0</v>
      </c>
      <c r="Q77" s="51">
        <f t="shared" si="724"/>
        <v>0</v>
      </c>
      <c r="R77" s="48">
        <f t="shared" si="725"/>
        <v>0</v>
      </c>
      <c r="S77" s="51">
        <f t="shared" si="726"/>
        <v>0</v>
      </c>
      <c r="T77" s="52">
        <f t="shared" si="727"/>
        <v>0</v>
      </c>
      <c r="U77" s="51">
        <f t="shared" si="728"/>
        <v>0</v>
      </c>
      <c r="V77" s="53">
        <f t="shared" si="729"/>
        <v>0</v>
      </c>
      <c r="W77" s="51">
        <f t="shared" si="730"/>
        <v>0</v>
      </c>
      <c r="X77" s="52">
        <f t="shared" si="731"/>
        <v>0</v>
      </c>
      <c r="Y77" s="51">
        <f t="shared" si="732"/>
        <v>0</v>
      </c>
      <c r="Z77" s="48">
        <f t="shared" si="733"/>
        <v>0</v>
      </c>
      <c r="AA77" s="51">
        <f t="shared" si="734"/>
        <v>0</v>
      </c>
      <c r="AB77" s="53">
        <f t="shared" si="735"/>
        <v>0</v>
      </c>
      <c r="AC77" s="51">
        <f t="shared" si="736"/>
        <v>0</v>
      </c>
      <c r="AD77" s="53">
        <f t="shared" si="737"/>
        <v>0</v>
      </c>
      <c r="AE77" s="51">
        <f t="shared" si="738"/>
        <v>0</v>
      </c>
      <c r="AF77" s="53">
        <f t="shared" si="739"/>
        <v>0</v>
      </c>
      <c r="AG77" s="51">
        <f t="shared" si="740"/>
        <v>0</v>
      </c>
      <c r="AH77" s="48">
        <f t="shared" si="741"/>
        <v>0</v>
      </c>
      <c r="AI77" s="51">
        <f t="shared" si="742"/>
        <v>0</v>
      </c>
      <c r="AJ77" s="53">
        <f t="shared" si="743"/>
        <v>0</v>
      </c>
      <c r="AK77" s="51">
        <f t="shared" si="744"/>
        <v>0</v>
      </c>
      <c r="AL77" s="53">
        <f t="shared" si="745"/>
        <v>0</v>
      </c>
      <c r="AM77" s="51">
        <f t="shared" si="746"/>
        <v>0</v>
      </c>
      <c r="AN77" s="53">
        <f t="shared" si="747"/>
        <v>0</v>
      </c>
      <c r="AO77" s="51">
        <f t="shared" si="748"/>
        <v>0</v>
      </c>
      <c r="AP77" s="53">
        <f t="shared" si="749"/>
        <v>0</v>
      </c>
      <c r="AQ77" s="51">
        <f t="shared" si="750"/>
        <v>0</v>
      </c>
      <c r="AR77" s="48">
        <f t="shared" si="751"/>
        <v>0</v>
      </c>
      <c r="AS77" s="51">
        <f t="shared" si="752"/>
        <v>0</v>
      </c>
      <c r="AT77" s="53">
        <f t="shared" si="753"/>
        <v>0</v>
      </c>
      <c r="AU77" s="51">
        <f t="shared" si="754"/>
        <v>0</v>
      </c>
      <c r="AV77" s="53">
        <f t="shared" si="755"/>
        <v>0</v>
      </c>
      <c r="AW77" s="51">
        <f t="shared" si="756"/>
        <v>0</v>
      </c>
      <c r="AX77" s="48">
        <f t="shared" si="757"/>
        <v>0</v>
      </c>
      <c r="AY77" s="51">
        <f t="shared" si="758"/>
        <v>0</v>
      </c>
      <c r="BB77" s="48">
        <v>1</v>
      </c>
      <c r="BC77" s="48">
        <v>0.97</v>
      </c>
      <c r="BD77" s="48">
        <v>0.95</v>
      </c>
      <c r="BE77" s="48">
        <v>0.93</v>
      </c>
      <c r="BF77" s="48">
        <f t="shared" ref="BF77:BW77" si="913">+BE77-0.02</f>
        <v>0.91</v>
      </c>
      <c r="BG77" s="48">
        <f t="shared" si="913"/>
        <v>0.89</v>
      </c>
      <c r="BH77" s="48">
        <f t="shared" si="913"/>
        <v>0.87</v>
      </c>
      <c r="BI77" s="48">
        <f t="shared" si="913"/>
        <v>0.85</v>
      </c>
      <c r="BJ77" s="48">
        <f t="shared" si="913"/>
        <v>0.83</v>
      </c>
      <c r="BK77" s="48">
        <f t="shared" si="913"/>
        <v>0.80999999999999994</v>
      </c>
      <c r="BL77" s="48">
        <f t="shared" si="913"/>
        <v>0.78999999999999992</v>
      </c>
      <c r="BM77" s="48">
        <f t="shared" si="913"/>
        <v>0.76999999999999991</v>
      </c>
      <c r="BN77" s="48">
        <f t="shared" si="913"/>
        <v>0.74999999999999989</v>
      </c>
      <c r="BO77" s="48">
        <f t="shared" si="913"/>
        <v>0.72999999999999987</v>
      </c>
      <c r="BP77" s="48">
        <f t="shared" si="913"/>
        <v>0.70999999999999985</v>
      </c>
      <c r="BQ77" s="48">
        <f t="shared" si="913"/>
        <v>0.68999999999999984</v>
      </c>
      <c r="BR77" s="48">
        <f t="shared" si="913"/>
        <v>0.66999999999999982</v>
      </c>
      <c r="BS77" s="48">
        <f t="shared" si="913"/>
        <v>0.6499999999999998</v>
      </c>
      <c r="BT77" s="48">
        <f t="shared" si="913"/>
        <v>0.62999999999999978</v>
      </c>
      <c r="BU77" s="48">
        <f t="shared" si="913"/>
        <v>0.60999999999999976</v>
      </c>
      <c r="BV77" s="48">
        <f t="shared" si="913"/>
        <v>0.58999999999999975</v>
      </c>
      <c r="BW77" s="48">
        <f t="shared" si="913"/>
        <v>0.56999999999999973</v>
      </c>
      <c r="BY77" s="48">
        <f t="shared" si="88"/>
        <v>0</v>
      </c>
      <c r="BZ77" s="48">
        <f t="shared" si="89"/>
        <v>0</v>
      </c>
      <c r="CA77" s="51">
        <f t="shared" ref="CA77" si="914">+BZ77*3.3058</f>
        <v>0</v>
      </c>
      <c r="CB77" s="48">
        <f t="shared" si="761"/>
        <v>0</v>
      </c>
      <c r="CC77" s="51">
        <f t="shared" si="762"/>
        <v>0</v>
      </c>
      <c r="CD77" s="48">
        <f t="shared" si="763"/>
        <v>0</v>
      </c>
      <c r="CE77" s="51">
        <f t="shared" si="764"/>
        <v>0</v>
      </c>
      <c r="CF77" s="48">
        <f t="shared" si="765"/>
        <v>0</v>
      </c>
      <c r="CG77" s="51">
        <f t="shared" si="766"/>
        <v>0</v>
      </c>
      <c r="CH77" s="52">
        <f t="shared" si="767"/>
        <v>0</v>
      </c>
      <c r="CI77" s="51">
        <f t="shared" si="768"/>
        <v>0</v>
      </c>
      <c r="CJ77" s="48">
        <f t="shared" si="769"/>
        <v>0</v>
      </c>
      <c r="CK77" s="51">
        <f t="shared" si="770"/>
        <v>0</v>
      </c>
      <c r="CL77" s="52">
        <f t="shared" si="771"/>
        <v>0</v>
      </c>
      <c r="CM77" s="51">
        <f t="shared" si="772"/>
        <v>0</v>
      </c>
      <c r="CN77" s="53">
        <f t="shared" si="773"/>
        <v>0</v>
      </c>
      <c r="CO77" s="51">
        <f t="shared" si="774"/>
        <v>0</v>
      </c>
      <c r="CP77" s="52">
        <f t="shared" si="775"/>
        <v>0</v>
      </c>
      <c r="CQ77" s="51">
        <f t="shared" si="776"/>
        <v>0</v>
      </c>
      <c r="CR77" s="48">
        <f t="shared" si="777"/>
        <v>0</v>
      </c>
      <c r="CS77" s="51">
        <f t="shared" si="778"/>
        <v>0</v>
      </c>
      <c r="CT77" s="53">
        <f t="shared" si="779"/>
        <v>0</v>
      </c>
      <c r="CU77" s="51">
        <f t="shared" si="780"/>
        <v>0</v>
      </c>
      <c r="CV77" s="53">
        <f t="shared" si="781"/>
        <v>0</v>
      </c>
      <c r="CW77" s="51">
        <f t="shared" si="782"/>
        <v>0</v>
      </c>
      <c r="CX77" s="53">
        <f t="shared" si="783"/>
        <v>0</v>
      </c>
      <c r="CY77" s="51">
        <f t="shared" si="784"/>
        <v>0</v>
      </c>
      <c r="CZ77" s="48">
        <f t="shared" si="785"/>
        <v>0</v>
      </c>
      <c r="DA77" s="51">
        <f t="shared" si="786"/>
        <v>0</v>
      </c>
      <c r="DB77" s="53">
        <f t="shared" si="787"/>
        <v>0</v>
      </c>
      <c r="DC77" s="51">
        <f t="shared" si="788"/>
        <v>0</v>
      </c>
      <c r="DD77" s="53">
        <f t="shared" si="789"/>
        <v>0</v>
      </c>
      <c r="DE77" s="51">
        <f t="shared" si="790"/>
        <v>0</v>
      </c>
      <c r="DF77" s="53">
        <f t="shared" si="791"/>
        <v>0</v>
      </c>
      <c r="DG77" s="51">
        <f t="shared" si="792"/>
        <v>0</v>
      </c>
      <c r="DH77" s="53">
        <f t="shared" si="793"/>
        <v>0</v>
      </c>
      <c r="DI77" s="51">
        <f t="shared" si="794"/>
        <v>0</v>
      </c>
      <c r="DJ77" s="48">
        <f t="shared" si="795"/>
        <v>0</v>
      </c>
      <c r="DK77" s="51">
        <f t="shared" si="796"/>
        <v>0</v>
      </c>
      <c r="DL77" s="53">
        <f t="shared" si="797"/>
        <v>0</v>
      </c>
      <c r="DM77" s="51">
        <f t="shared" si="798"/>
        <v>0</v>
      </c>
      <c r="DN77" s="53">
        <f t="shared" si="799"/>
        <v>0</v>
      </c>
      <c r="DO77" s="51">
        <f t="shared" si="800"/>
        <v>0</v>
      </c>
      <c r="DP77" s="48">
        <f t="shared" si="801"/>
        <v>0</v>
      </c>
      <c r="DQ77" s="51">
        <f t="shared" si="802"/>
        <v>0</v>
      </c>
      <c r="DT77" s="48">
        <v>1</v>
      </c>
      <c r="DU77" s="48">
        <v>0.97</v>
      </c>
      <c r="DV77" s="48">
        <v>0.95</v>
      </c>
      <c r="DW77" s="48">
        <v>0.93</v>
      </c>
      <c r="DX77" s="48">
        <f t="shared" ref="DX77:EO77" si="915">+DW77-0.02</f>
        <v>0.91</v>
      </c>
      <c r="DY77" s="48">
        <f t="shared" si="915"/>
        <v>0.89</v>
      </c>
      <c r="DZ77" s="48">
        <f t="shared" si="915"/>
        <v>0.87</v>
      </c>
      <c r="EA77" s="48">
        <f t="shared" si="915"/>
        <v>0.85</v>
      </c>
      <c r="EB77" s="48">
        <f t="shared" si="915"/>
        <v>0.83</v>
      </c>
      <c r="EC77" s="48">
        <f t="shared" si="915"/>
        <v>0.80999999999999994</v>
      </c>
      <c r="ED77" s="48">
        <f t="shared" si="915"/>
        <v>0.78999999999999992</v>
      </c>
      <c r="EE77" s="48">
        <f t="shared" si="915"/>
        <v>0.76999999999999991</v>
      </c>
      <c r="EF77" s="48">
        <f t="shared" si="915"/>
        <v>0.74999999999999989</v>
      </c>
      <c r="EG77" s="48">
        <f t="shared" si="915"/>
        <v>0.72999999999999987</v>
      </c>
      <c r="EH77" s="48">
        <f t="shared" si="915"/>
        <v>0.70999999999999985</v>
      </c>
      <c r="EI77" s="48">
        <f t="shared" si="915"/>
        <v>0.68999999999999984</v>
      </c>
      <c r="EJ77" s="48">
        <f t="shared" si="915"/>
        <v>0.66999999999999982</v>
      </c>
      <c r="EK77" s="48">
        <f t="shared" si="915"/>
        <v>0.6499999999999998</v>
      </c>
      <c r="EL77" s="48">
        <f t="shared" si="915"/>
        <v>0.62999999999999978</v>
      </c>
      <c r="EM77" s="48">
        <f t="shared" si="915"/>
        <v>0.60999999999999976</v>
      </c>
      <c r="EN77" s="48">
        <f t="shared" si="915"/>
        <v>0.58999999999999975</v>
      </c>
      <c r="EO77" s="48">
        <f t="shared" si="915"/>
        <v>0.56999999999999973</v>
      </c>
      <c r="EQ77" s="48">
        <f t="shared" si="188"/>
        <v>0</v>
      </c>
      <c r="ER77" s="48">
        <f t="shared" si="116"/>
        <v>0</v>
      </c>
      <c r="ES77" s="51">
        <f t="shared" ref="ES77" si="916">+ER77*3.3058</f>
        <v>0</v>
      </c>
      <c r="ET77" s="48">
        <f t="shared" si="805"/>
        <v>0</v>
      </c>
      <c r="EU77" s="51">
        <f t="shared" si="806"/>
        <v>0</v>
      </c>
      <c r="EV77" s="48">
        <f t="shared" si="807"/>
        <v>0</v>
      </c>
      <c r="EW77" s="51">
        <f t="shared" si="808"/>
        <v>0</v>
      </c>
      <c r="EX77" s="48">
        <f t="shared" si="809"/>
        <v>0</v>
      </c>
      <c r="EY77" s="51">
        <f t="shared" si="810"/>
        <v>0</v>
      </c>
      <c r="EZ77" s="52">
        <f t="shared" si="811"/>
        <v>0</v>
      </c>
      <c r="FA77" s="51">
        <f t="shared" si="812"/>
        <v>0</v>
      </c>
      <c r="FB77" s="48">
        <f t="shared" si="813"/>
        <v>0</v>
      </c>
      <c r="FC77" s="51">
        <f t="shared" si="814"/>
        <v>0</v>
      </c>
      <c r="FD77" s="52">
        <f t="shared" si="815"/>
        <v>0</v>
      </c>
      <c r="FE77" s="51">
        <f t="shared" si="816"/>
        <v>0</v>
      </c>
      <c r="FF77" s="53">
        <f t="shared" si="817"/>
        <v>0</v>
      </c>
      <c r="FG77" s="51">
        <f t="shared" si="818"/>
        <v>0</v>
      </c>
      <c r="FH77" s="52">
        <f t="shared" si="819"/>
        <v>0</v>
      </c>
      <c r="FI77" s="51">
        <f t="shared" si="820"/>
        <v>0</v>
      </c>
      <c r="FJ77" s="48">
        <f t="shared" si="821"/>
        <v>0</v>
      </c>
      <c r="FK77" s="51">
        <f t="shared" si="822"/>
        <v>0</v>
      </c>
      <c r="FL77" s="53">
        <f t="shared" si="823"/>
        <v>0</v>
      </c>
      <c r="FM77" s="51">
        <f t="shared" si="824"/>
        <v>0</v>
      </c>
      <c r="FN77" s="53">
        <f t="shared" si="825"/>
        <v>0</v>
      </c>
      <c r="FO77" s="51">
        <f t="shared" si="826"/>
        <v>0</v>
      </c>
      <c r="FP77" s="53">
        <f t="shared" si="827"/>
        <v>0</v>
      </c>
      <c r="FQ77" s="51">
        <f t="shared" si="828"/>
        <v>0</v>
      </c>
      <c r="FR77" s="48">
        <f t="shared" si="829"/>
        <v>0</v>
      </c>
      <c r="FS77" s="51">
        <f t="shared" si="830"/>
        <v>0</v>
      </c>
      <c r="FT77" s="53">
        <f t="shared" si="831"/>
        <v>0</v>
      </c>
      <c r="FU77" s="51">
        <f t="shared" si="832"/>
        <v>0</v>
      </c>
      <c r="FV77" s="53">
        <f t="shared" si="833"/>
        <v>0</v>
      </c>
      <c r="FW77" s="51">
        <f t="shared" si="834"/>
        <v>0</v>
      </c>
      <c r="FX77" s="53">
        <f t="shared" si="835"/>
        <v>0</v>
      </c>
      <c r="FY77" s="51">
        <f t="shared" si="836"/>
        <v>0</v>
      </c>
      <c r="FZ77" s="53">
        <f t="shared" si="837"/>
        <v>0</v>
      </c>
      <c r="GA77" s="51">
        <f t="shared" si="838"/>
        <v>0</v>
      </c>
      <c r="GB77" s="48">
        <f t="shared" si="839"/>
        <v>0</v>
      </c>
      <c r="GC77" s="51">
        <f t="shared" si="840"/>
        <v>0</v>
      </c>
      <c r="GD77" s="53">
        <f t="shared" si="841"/>
        <v>0</v>
      </c>
      <c r="GE77" s="51">
        <f t="shared" si="842"/>
        <v>0</v>
      </c>
      <c r="GF77" s="53">
        <f t="shared" si="843"/>
        <v>0</v>
      </c>
      <c r="GG77" s="51">
        <f t="shared" si="844"/>
        <v>0</v>
      </c>
      <c r="GH77" s="48">
        <f t="shared" si="845"/>
        <v>0</v>
      </c>
      <c r="GI77" s="51">
        <f t="shared" si="846"/>
        <v>0</v>
      </c>
      <c r="GJ77" s="48"/>
      <c r="GK77" s="48"/>
      <c r="GL77" s="48">
        <v>1</v>
      </c>
      <c r="GM77" s="48">
        <v>0.97</v>
      </c>
      <c r="GN77" s="48">
        <v>0.95</v>
      </c>
      <c r="GO77" s="48">
        <v>0.93</v>
      </c>
      <c r="GP77" s="48">
        <f t="shared" ref="GP77:HG77" si="917">+GO77-0.02</f>
        <v>0.91</v>
      </c>
      <c r="GQ77" s="48">
        <f t="shared" si="917"/>
        <v>0.89</v>
      </c>
      <c r="GR77" s="48">
        <f t="shared" si="917"/>
        <v>0.87</v>
      </c>
      <c r="GS77" s="48">
        <f t="shared" si="917"/>
        <v>0.85</v>
      </c>
      <c r="GT77" s="48">
        <f t="shared" si="917"/>
        <v>0.83</v>
      </c>
      <c r="GU77" s="48">
        <f t="shared" si="917"/>
        <v>0.80999999999999994</v>
      </c>
      <c r="GV77" s="48">
        <f t="shared" si="917"/>
        <v>0.78999999999999992</v>
      </c>
      <c r="GW77" s="48">
        <f t="shared" si="917"/>
        <v>0.76999999999999991</v>
      </c>
      <c r="GX77" s="48">
        <f t="shared" si="917"/>
        <v>0.74999999999999989</v>
      </c>
      <c r="GY77" s="48">
        <f t="shared" si="917"/>
        <v>0.72999999999999987</v>
      </c>
      <c r="GZ77" s="48">
        <f t="shared" si="917"/>
        <v>0.70999999999999985</v>
      </c>
      <c r="HA77" s="48">
        <f t="shared" si="917"/>
        <v>0.68999999999999984</v>
      </c>
      <c r="HB77" s="48">
        <f t="shared" si="917"/>
        <v>0.66999999999999982</v>
      </c>
      <c r="HC77" s="48">
        <f t="shared" si="917"/>
        <v>0.6499999999999998</v>
      </c>
      <c r="HD77" s="48">
        <f t="shared" si="917"/>
        <v>0.62999999999999978</v>
      </c>
      <c r="HE77" s="48">
        <f t="shared" si="917"/>
        <v>0.60999999999999976</v>
      </c>
      <c r="HF77" s="48">
        <f t="shared" si="917"/>
        <v>0.58999999999999975</v>
      </c>
      <c r="HG77" s="48">
        <f t="shared" si="917"/>
        <v>0.56999999999999973</v>
      </c>
    </row>
    <row r="78" spans="1:215" x14ac:dyDescent="0.3">
      <c r="A78" s="2">
        <v>16</v>
      </c>
      <c r="C78" s="39" t="s">
        <v>147</v>
      </c>
      <c r="D78" s="44">
        <f>TRUNC(0,-1)</f>
        <v>0</v>
      </c>
      <c r="E78" s="73">
        <f t="shared" si="716"/>
        <v>0</v>
      </c>
      <c r="G78" s="48">
        <f t="shared" si="61"/>
        <v>0</v>
      </c>
      <c r="H78" s="48">
        <f t="shared" si="62"/>
        <v>0</v>
      </c>
      <c r="I78" s="51">
        <f t="shared" si="63"/>
        <v>0</v>
      </c>
      <c r="J78" s="48">
        <f t="shared" si="717"/>
        <v>0</v>
      </c>
      <c r="K78" s="51">
        <f t="shared" si="718"/>
        <v>0</v>
      </c>
      <c r="L78" s="48">
        <f t="shared" si="719"/>
        <v>0</v>
      </c>
      <c r="M78" s="51">
        <f t="shared" si="720"/>
        <v>0</v>
      </c>
      <c r="N78" s="48">
        <f t="shared" si="721"/>
        <v>0</v>
      </c>
      <c r="O78" s="51">
        <f t="shared" si="722"/>
        <v>0</v>
      </c>
      <c r="P78" s="52">
        <f t="shared" si="723"/>
        <v>0</v>
      </c>
      <c r="Q78" s="51">
        <f t="shared" si="724"/>
        <v>0</v>
      </c>
      <c r="R78" s="48">
        <f t="shared" si="725"/>
        <v>0</v>
      </c>
      <c r="S78" s="51">
        <f t="shared" si="726"/>
        <v>0</v>
      </c>
      <c r="T78" s="52">
        <f t="shared" si="727"/>
        <v>0</v>
      </c>
      <c r="U78" s="51">
        <f t="shared" si="728"/>
        <v>0</v>
      </c>
      <c r="V78" s="53">
        <f t="shared" si="729"/>
        <v>0</v>
      </c>
      <c r="W78" s="51">
        <f t="shared" si="730"/>
        <v>0</v>
      </c>
      <c r="X78" s="52">
        <f t="shared" si="731"/>
        <v>0</v>
      </c>
      <c r="Y78" s="51">
        <f t="shared" si="732"/>
        <v>0</v>
      </c>
      <c r="Z78" s="48">
        <f t="shared" si="733"/>
        <v>0</v>
      </c>
      <c r="AA78" s="51">
        <f t="shared" si="734"/>
        <v>0</v>
      </c>
      <c r="AB78" s="53">
        <f t="shared" si="735"/>
        <v>0</v>
      </c>
      <c r="AC78" s="51">
        <f t="shared" si="736"/>
        <v>0</v>
      </c>
      <c r="AD78" s="53">
        <f t="shared" si="737"/>
        <v>0</v>
      </c>
      <c r="AE78" s="51">
        <f t="shared" si="738"/>
        <v>0</v>
      </c>
      <c r="AF78" s="53">
        <f t="shared" si="739"/>
        <v>0</v>
      </c>
      <c r="AG78" s="51">
        <f t="shared" si="740"/>
        <v>0</v>
      </c>
      <c r="AH78" s="48">
        <f t="shared" si="741"/>
        <v>0</v>
      </c>
      <c r="AI78" s="51">
        <f t="shared" si="742"/>
        <v>0</v>
      </c>
      <c r="AJ78" s="53">
        <f t="shared" si="743"/>
        <v>0</v>
      </c>
      <c r="AK78" s="51">
        <f t="shared" si="744"/>
        <v>0</v>
      </c>
      <c r="AL78" s="53">
        <f t="shared" si="745"/>
        <v>0</v>
      </c>
      <c r="AM78" s="51">
        <f t="shared" si="746"/>
        <v>0</v>
      </c>
      <c r="AN78" s="53">
        <f t="shared" si="747"/>
        <v>0</v>
      </c>
      <c r="AO78" s="51">
        <f t="shared" si="748"/>
        <v>0</v>
      </c>
      <c r="AP78" s="53">
        <f t="shared" si="749"/>
        <v>0</v>
      </c>
      <c r="AQ78" s="51">
        <f t="shared" si="750"/>
        <v>0</v>
      </c>
      <c r="AR78" s="48">
        <f t="shared" si="751"/>
        <v>0</v>
      </c>
      <c r="AS78" s="51">
        <f t="shared" si="752"/>
        <v>0</v>
      </c>
      <c r="AT78" s="53">
        <f t="shared" si="753"/>
        <v>0</v>
      </c>
      <c r="AU78" s="51">
        <f t="shared" si="754"/>
        <v>0</v>
      </c>
      <c r="AV78" s="53">
        <f t="shared" si="755"/>
        <v>0</v>
      </c>
      <c r="AW78" s="51">
        <f t="shared" si="756"/>
        <v>0</v>
      </c>
      <c r="AX78" s="48">
        <f t="shared" si="757"/>
        <v>0</v>
      </c>
      <c r="AY78" s="51">
        <f t="shared" si="758"/>
        <v>0</v>
      </c>
      <c r="BB78" s="48">
        <v>1</v>
      </c>
      <c r="BC78" s="48">
        <v>0.97</v>
      </c>
      <c r="BD78" s="48">
        <v>0.95</v>
      </c>
      <c r="BE78" s="48">
        <v>0.93</v>
      </c>
      <c r="BF78" s="48">
        <f t="shared" ref="BF78:BW78" si="918">+BE78-0.02</f>
        <v>0.91</v>
      </c>
      <c r="BG78" s="48">
        <f t="shared" si="918"/>
        <v>0.89</v>
      </c>
      <c r="BH78" s="48">
        <f t="shared" si="918"/>
        <v>0.87</v>
      </c>
      <c r="BI78" s="48">
        <f t="shared" si="918"/>
        <v>0.85</v>
      </c>
      <c r="BJ78" s="48">
        <f t="shared" si="918"/>
        <v>0.83</v>
      </c>
      <c r="BK78" s="48">
        <f t="shared" si="918"/>
        <v>0.80999999999999994</v>
      </c>
      <c r="BL78" s="48">
        <f t="shared" si="918"/>
        <v>0.78999999999999992</v>
      </c>
      <c r="BM78" s="48">
        <f t="shared" si="918"/>
        <v>0.76999999999999991</v>
      </c>
      <c r="BN78" s="48">
        <f t="shared" si="918"/>
        <v>0.74999999999999989</v>
      </c>
      <c r="BO78" s="48">
        <f t="shared" si="918"/>
        <v>0.72999999999999987</v>
      </c>
      <c r="BP78" s="48">
        <f t="shared" si="918"/>
        <v>0.70999999999999985</v>
      </c>
      <c r="BQ78" s="48">
        <f t="shared" si="918"/>
        <v>0.68999999999999984</v>
      </c>
      <c r="BR78" s="48">
        <f t="shared" si="918"/>
        <v>0.66999999999999982</v>
      </c>
      <c r="BS78" s="48">
        <f t="shared" si="918"/>
        <v>0.6499999999999998</v>
      </c>
      <c r="BT78" s="48">
        <f t="shared" si="918"/>
        <v>0.62999999999999978</v>
      </c>
      <c r="BU78" s="48">
        <f t="shared" si="918"/>
        <v>0.60999999999999976</v>
      </c>
      <c r="BV78" s="48">
        <f t="shared" si="918"/>
        <v>0.58999999999999975</v>
      </c>
      <c r="BW78" s="48">
        <f t="shared" si="918"/>
        <v>0.56999999999999973</v>
      </c>
      <c r="BY78" s="48">
        <f t="shared" si="88"/>
        <v>0</v>
      </c>
      <c r="BZ78" s="48">
        <f t="shared" si="89"/>
        <v>0</v>
      </c>
      <c r="CA78" s="51">
        <f t="shared" ref="CA78" si="919">+BZ78*3.3058</f>
        <v>0</v>
      </c>
      <c r="CB78" s="48">
        <f t="shared" si="761"/>
        <v>0</v>
      </c>
      <c r="CC78" s="51">
        <f t="shared" si="762"/>
        <v>0</v>
      </c>
      <c r="CD78" s="48">
        <f t="shared" si="763"/>
        <v>0</v>
      </c>
      <c r="CE78" s="51">
        <f t="shared" si="764"/>
        <v>0</v>
      </c>
      <c r="CF78" s="48">
        <f t="shared" si="765"/>
        <v>0</v>
      </c>
      <c r="CG78" s="51">
        <f t="shared" si="766"/>
        <v>0</v>
      </c>
      <c r="CH78" s="52">
        <f t="shared" si="767"/>
        <v>0</v>
      </c>
      <c r="CI78" s="51">
        <f t="shared" si="768"/>
        <v>0</v>
      </c>
      <c r="CJ78" s="48">
        <f t="shared" si="769"/>
        <v>0</v>
      </c>
      <c r="CK78" s="51">
        <f t="shared" si="770"/>
        <v>0</v>
      </c>
      <c r="CL78" s="52">
        <f t="shared" si="771"/>
        <v>0</v>
      </c>
      <c r="CM78" s="51">
        <f t="shared" si="772"/>
        <v>0</v>
      </c>
      <c r="CN78" s="53">
        <f t="shared" si="773"/>
        <v>0</v>
      </c>
      <c r="CO78" s="51">
        <f t="shared" si="774"/>
        <v>0</v>
      </c>
      <c r="CP78" s="52">
        <f t="shared" si="775"/>
        <v>0</v>
      </c>
      <c r="CQ78" s="51">
        <f t="shared" si="776"/>
        <v>0</v>
      </c>
      <c r="CR78" s="48">
        <f t="shared" si="777"/>
        <v>0</v>
      </c>
      <c r="CS78" s="51">
        <f t="shared" si="778"/>
        <v>0</v>
      </c>
      <c r="CT78" s="53">
        <f t="shared" si="779"/>
        <v>0</v>
      </c>
      <c r="CU78" s="51">
        <f t="shared" si="780"/>
        <v>0</v>
      </c>
      <c r="CV78" s="53">
        <f t="shared" si="781"/>
        <v>0</v>
      </c>
      <c r="CW78" s="51">
        <f t="shared" si="782"/>
        <v>0</v>
      </c>
      <c r="CX78" s="53">
        <f t="shared" si="783"/>
        <v>0</v>
      </c>
      <c r="CY78" s="51">
        <f t="shared" si="784"/>
        <v>0</v>
      </c>
      <c r="CZ78" s="48">
        <f t="shared" si="785"/>
        <v>0</v>
      </c>
      <c r="DA78" s="51">
        <f t="shared" si="786"/>
        <v>0</v>
      </c>
      <c r="DB78" s="53">
        <f t="shared" si="787"/>
        <v>0</v>
      </c>
      <c r="DC78" s="51">
        <f t="shared" si="788"/>
        <v>0</v>
      </c>
      <c r="DD78" s="53">
        <f t="shared" si="789"/>
        <v>0</v>
      </c>
      <c r="DE78" s="51">
        <f t="shared" si="790"/>
        <v>0</v>
      </c>
      <c r="DF78" s="53">
        <f t="shared" si="791"/>
        <v>0</v>
      </c>
      <c r="DG78" s="51">
        <f t="shared" si="792"/>
        <v>0</v>
      </c>
      <c r="DH78" s="53">
        <f t="shared" si="793"/>
        <v>0</v>
      </c>
      <c r="DI78" s="51">
        <f t="shared" si="794"/>
        <v>0</v>
      </c>
      <c r="DJ78" s="48">
        <f t="shared" si="795"/>
        <v>0</v>
      </c>
      <c r="DK78" s="51">
        <f t="shared" si="796"/>
        <v>0</v>
      </c>
      <c r="DL78" s="53">
        <f t="shared" si="797"/>
        <v>0</v>
      </c>
      <c r="DM78" s="51">
        <f t="shared" si="798"/>
        <v>0</v>
      </c>
      <c r="DN78" s="53">
        <f t="shared" si="799"/>
        <v>0</v>
      </c>
      <c r="DO78" s="51">
        <f t="shared" si="800"/>
        <v>0</v>
      </c>
      <c r="DP78" s="48">
        <f t="shared" si="801"/>
        <v>0</v>
      </c>
      <c r="DQ78" s="51">
        <f t="shared" si="802"/>
        <v>0</v>
      </c>
      <c r="DT78" s="48">
        <v>1</v>
      </c>
      <c r="DU78" s="48">
        <v>0.97</v>
      </c>
      <c r="DV78" s="48">
        <v>0.95</v>
      </c>
      <c r="DW78" s="48">
        <v>0.93</v>
      </c>
      <c r="DX78" s="48">
        <f t="shared" ref="DX78:EO78" si="920">+DW78-0.02</f>
        <v>0.91</v>
      </c>
      <c r="DY78" s="48">
        <f t="shared" si="920"/>
        <v>0.89</v>
      </c>
      <c r="DZ78" s="48">
        <f t="shared" si="920"/>
        <v>0.87</v>
      </c>
      <c r="EA78" s="48">
        <f t="shared" si="920"/>
        <v>0.85</v>
      </c>
      <c r="EB78" s="48">
        <f t="shared" si="920"/>
        <v>0.83</v>
      </c>
      <c r="EC78" s="48">
        <f t="shared" si="920"/>
        <v>0.80999999999999994</v>
      </c>
      <c r="ED78" s="48">
        <f t="shared" si="920"/>
        <v>0.78999999999999992</v>
      </c>
      <c r="EE78" s="48">
        <f t="shared" si="920"/>
        <v>0.76999999999999991</v>
      </c>
      <c r="EF78" s="48">
        <f t="shared" si="920"/>
        <v>0.74999999999999989</v>
      </c>
      <c r="EG78" s="48">
        <f t="shared" si="920"/>
        <v>0.72999999999999987</v>
      </c>
      <c r="EH78" s="48">
        <f t="shared" si="920"/>
        <v>0.70999999999999985</v>
      </c>
      <c r="EI78" s="48">
        <f t="shared" si="920"/>
        <v>0.68999999999999984</v>
      </c>
      <c r="EJ78" s="48">
        <f t="shared" si="920"/>
        <v>0.66999999999999982</v>
      </c>
      <c r="EK78" s="48">
        <f t="shared" si="920"/>
        <v>0.6499999999999998</v>
      </c>
      <c r="EL78" s="48">
        <f t="shared" si="920"/>
        <v>0.62999999999999978</v>
      </c>
      <c r="EM78" s="48">
        <f t="shared" si="920"/>
        <v>0.60999999999999976</v>
      </c>
      <c r="EN78" s="48">
        <f t="shared" si="920"/>
        <v>0.58999999999999975</v>
      </c>
      <c r="EO78" s="48">
        <f t="shared" si="920"/>
        <v>0.56999999999999973</v>
      </c>
      <c r="EQ78" s="48">
        <f t="shared" si="188"/>
        <v>0</v>
      </c>
      <c r="ER78" s="48">
        <f t="shared" si="116"/>
        <v>0</v>
      </c>
      <c r="ES78" s="51">
        <f t="shared" ref="ES78" si="921">+ER78*3.3058</f>
        <v>0</v>
      </c>
      <c r="ET78" s="48">
        <f t="shared" si="805"/>
        <v>0</v>
      </c>
      <c r="EU78" s="51">
        <f t="shared" si="806"/>
        <v>0</v>
      </c>
      <c r="EV78" s="48">
        <f t="shared" si="807"/>
        <v>0</v>
      </c>
      <c r="EW78" s="51">
        <f t="shared" si="808"/>
        <v>0</v>
      </c>
      <c r="EX78" s="48">
        <f t="shared" si="809"/>
        <v>0</v>
      </c>
      <c r="EY78" s="51">
        <f t="shared" si="810"/>
        <v>0</v>
      </c>
      <c r="EZ78" s="52">
        <f t="shared" si="811"/>
        <v>0</v>
      </c>
      <c r="FA78" s="51">
        <f t="shared" si="812"/>
        <v>0</v>
      </c>
      <c r="FB78" s="48">
        <f t="shared" si="813"/>
        <v>0</v>
      </c>
      <c r="FC78" s="51">
        <f t="shared" si="814"/>
        <v>0</v>
      </c>
      <c r="FD78" s="52">
        <f t="shared" si="815"/>
        <v>0</v>
      </c>
      <c r="FE78" s="51">
        <f t="shared" si="816"/>
        <v>0</v>
      </c>
      <c r="FF78" s="53">
        <f t="shared" si="817"/>
        <v>0</v>
      </c>
      <c r="FG78" s="51">
        <f t="shared" si="818"/>
        <v>0</v>
      </c>
      <c r="FH78" s="52">
        <f t="shared" si="819"/>
        <v>0</v>
      </c>
      <c r="FI78" s="51">
        <f t="shared" si="820"/>
        <v>0</v>
      </c>
      <c r="FJ78" s="48">
        <f t="shared" si="821"/>
        <v>0</v>
      </c>
      <c r="FK78" s="51">
        <f t="shared" si="822"/>
        <v>0</v>
      </c>
      <c r="FL78" s="53">
        <f t="shared" si="823"/>
        <v>0</v>
      </c>
      <c r="FM78" s="51">
        <f t="shared" si="824"/>
        <v>0</v>
      </c>
      <c r="FN78" s="53">
        <f t="shared" si="825"/>
        <v>0</v>
      </c>
      <c r="FO78" s="51">
        <f t="shared" si="826"/>
        <v>0</v>
      </c>
      <c r="FP78" s="53">
        <f t="shared" si="827"/>
        <v>0</v>
      </c>
      <c r="FQ78" s="51">
        <f t="shared" si="828"/>
        <v>0</v>
      </c>
      <c r="FR78" s="48">
        <f t="shared" si="829"/>
        <v>0</v>
      </c>
      <c r="FS78" s="51">
        <f t="shared" si="830"/>
        <v>0</v>
      </c>
      <c r="FT78" s="53">
        <f t="shared" si="831"/>
        <v>0</v>
      </c>
      <c r="FU78" s="51">
        <f t="shared" si="832"/>
        <v>0</v>
      </c>
      <c r="FV78" s="53">
        <f t="shared" si="833"/>
        <v>0</v>
      </c>
      <c r="FW78" s="51">
        <f t="shared" si="834"/>
        <v>0</v>
      </c>
      <c r="FX78" s="53">
        <f t="shared" si="835"/>
        <v>0</v>
      </c>
      <c r="FY78" s="51">
        <f t="shared" si="836"/>
        <v>0</v>
      </c>
      <c r="FZ78" s="53">
        <f t="shared" si="837"/>
        <v>0</v>
      </c>
      <c r="GA78" s="51">
        <f t="shared" si="838"/>
        <v>0</v>
      </c>
      <c r="GB78" s="48">
        <f t="shared" si="839"/>
        <v>0</v>
      </c>
      <c r="GC78" s="51">
        <f t="shared" si="840"/>
        <v>0</v>
      </c>
      <c r="GD78" s="53">
        <f t="shared" si="841"/>
        <v>0</v>
      </c>
      <c r="GE78" s="51">
        <f t="shared" si="842"/>
        <v>0</v>
      </c>
      <c r="GF78" s="53">
        <f t="shared" si="843"/>
        <v>0</v>
      </c>
      <c r="GG78" s="51">
        <f t="shared" si="844"/>
        <v>0</v>
      </c>
      <c r="GH78" s="48">
        <f t="shared" si="845"/>
        <v>0</v>
      </c>
      <c r="GI78" s="51">
        <f t="shared" si="846"/>
        <v>0</v>
      </c>
      <c r="GJ78" s="48"/>
      <c r="GK78" s="48"/>
      <c r="GL78" s="48">
        <v>1</v>
      </c>
      <c r="GM78" s="48">
        <v>0.97</v>
      </c>
      <c r="GN78" s="48">
        <v>0.95</v>
      </c>
      <c r="GO78" s="48">
        <v>0.93</v>
      </c>
      <c r="GP78" s="48">
        <f t="shared" ref="GP78:HG78" si="922">+GO78-0.02</f>
        <v>0.91</v>
      </c>
      <c r="GQ78" s="48">
        <f t="shared" si="922"/>
        <v>0.89</v>
      </c>
      <c r="GR78" s="48">
        <f t="shared" si="922"/>
        <v>0.87</v>
      </c>
      <c r="GS78" s="48">
        <f t="shared" si="922"/>
        <v>0.85</v>
      </c>
      <c r="GT78" s="48">
        <f t="shared" si="922"/>
        <v>0.83</v>
      </c>
      <c r="GU78" s="48">
        <f t="shared" si="922"/>
        <v>0.80999999999999994</v>
      </c>
      <c r="GV78" s="48">
        <f t="shared" si="922"/>
        <v>0.78999999999999992</v>
      </c>
      <c r="GW78" s="48">
        <f t="shared" si="922"/>
        <v>0.76999999999999991</v>
      </c>
      <c r="GX78" s="48">
        <f t="shared" si="922"/>
        <v>0.74999999999999989</v>
      </c>
      <c r="GY78" s="48">
        <f t="shared" si="922"/>
        <v>0.72999999999999987</v>
      </c>
      <c r="GZ78" s="48">
        <f t="shared" si="922"/>
        <v>0.70999999999999985</v>
      </c>
      <c r="HA78" s="48">
        <f t="shared" si="922"/>
        <v>0.68999999999999984</v>
      </c>
      <c r="HB78" s="48">
        <f t="shared" si="922"/>
        <v>0.66999999999999982</v>
      </c>
      <c r="HC78" s="48">
        <f t="shared" si="922"/>
        <v>0.6499999999999998</v>
      </c>
      <c r="HD78" s="48">
        <f t="shared" si="922"/>
        <v>0.62999999999999978</v>
      </c>
      <c r="HE78" s="48">
        <f t="shared" si="922"/>
        <v>0.60999999999999976</v>
      </c>
      <c r="HF78" s="48">
        <f t="shared" si="922"/>
        <v>0.58999999999999975</v>
      </c>
      <c r="HG78" s="48">
        <f t="shared" si="922"/>
        <v>0.56999999999999973</v>
      </c>
    </row>
    <row r="79" spans="1:215" x14ac:dyDescent="0.3">
      <c r="A79" s="2">
        <v>17</v>
      </c>
      <c r="C79" s="39" t="s">
        <v>148</v>
      </c>
      <c r="D79" s="44">
        <v>0</v>
      </c>
      <c r="E79" s="73">
        <f t="shared" si="716"/>
        <v>0</v>
      </c>
      <c r="G79" s="48">
        <f t="shared" si="61"/>
        <v>0</v>
      </c>
      <c r="H79" s="48">
        <f t="shared" si="62"/>
        <v>0</v>
      </c>
      <c r="I79" s="51">
        <f t="shared" si="63"/>
        <v>0</v>
      </c>
      <c r="J79" s="48">
        <f t="shared" si="717"/>
        <v>0</v>
      </c>
      <c r="K79" s="51">
        <f t="shared" si="718"/>
        <v>0</v>
      </c>
      <c r="L79" s="48">
        <f t="shared" si="719"/>
        <v>0</v>
      </c>
      <c r="M79" s="51">
        <f t="shared" si="720"/>
        <v>0</v>
      </c>
      <c r="N79" s="48">
        <f t="shared" si="721"/>
        <v>0</v>
      </c>
      <c r="O79" s="51">
        <f t="shared" si="722"/>
        <v>0</v>
      </c>
      <c r="P79" s="52">
        <f t="shared" si="723"/>
        <v>0</v>
      </c>
      <c r="Q79" s="51">
        <f t="shared" si="724"/>
        <v>0</v>
      </c>
      <c r="R79" s="48">
        <f t="shared" si="725"/>
        <v>0</v>
      </c>
      <c r="S79" s="51">
        <f t="shared" si="726"/>
        <v>0</v>
      </c>
      <c r="T79" s="52">
        <f t="shared" si="727"/>
        <v>0</v>
      </c>
      <c r="U79" s="51">
        <f t="shared" si="728"/>
        <v>0</v>
      </c>
      <c r="V79" s="53">
        <f t="shared" si="729"/>
        <v>0</v>
      </c>
      <c r="W79" s="51">
        <f t="shared" si="730"/>
        <v>0</v>
      </c>
      <c r="X79" s="52">
        <f t="shared" si="731"/>
        <v>0</v>
      </c>
      <c r="Y79" s="51">
        <f t="shared" si="732"/>
        <v>0</v>
      </c>
      <c r="Z79" s="48">
        <f t="shared" si="733"/>
        <v>0</v>
      </c>
      <c r="AA79" s="51">
        <f t="shared" si="734"/>
        <v>0</v>
      </c>
      <c r="AB79" s="53">
        <f t="shared" si="735"/>
        <v>0</v>
      </c>
      <c r="AC79" s="51">
        <f t="shared" si="736"/>
        <v>0</v>
      </c>
      <c r="AD79" s="53">
        <f t="shared" si="737"/>
        <v>0</v>
      </c>
      <c r="AE79" s="51">
        <f t="shared" si="738"/>
        <v>0</v>
      </c>
      <c r="AF79" s="53">
        <f t="shared" si="739"/>
        <v>0</v>
      </c>
      <c r="AG79" s="51">
        <f t="shared" si="740"/>
        <v>0</v>
      </c>
      <c r="AH79" s="48">
        <f t="shared" si="741"/>
        <v>0</v>
      </c>
      <c r="AI79" s="51">
        <f t="shared" si="742"/>
        <v>0</v>
      </c>
      <c r="AJ79" s="53">
        <f t="shared" si="743"/>
        <v>0</v>
      </c>
      <c r="AK79" s="51">
        <f t="shared" si="744"/>
        <v>0</v>
      </c>
      <c r="AL79" s="53">
        <f t="shared" si="745"/>
        <v>0</v>
      </c>
      <c r="AM79" s="51">
        <f t="shared" si="746"/>
        <v>0</v>
      </c>
      <c r="AN79" s="53">
        <f t="shared" si="747"/>
        <v>0</v>
      </c>
      <c r="AO79" s="51">
        <f t="shared" si="748"/>
        <v>0</v>
      </c>
      <c r="AP79" s="53">
        <f t="shared" si="749"/>
        <v>0</v>
      </c>
      <c r="AQ79" s="51">
        <f t="shared" si="750"/>
        <v>0</v>
      </c>
      <c r="AR79" s="48">
        <f t="shared" si="751"/>
        <v>0</v>
      </c>
      <c r="AS79" s="51">
        <f t="shared" si="752"/>
        <v>0</v>
      </c>
      <c r="AT79" s="53">
        <f t="shared" si="753"/>
        <v>0</v>
      </c>
      <c r="AU79" s="51">
        <f t="shared" si="754"/>
        <v>0</v>
      </c>
      <c r="AV79" s="53">
        <f t="shared" si="755"/>
        <v>0</v>
      </c>
      <c r="AW79" s="51">
        <f t="shared" si="756"/>
        <v>0</v>
      </c>
      <c r="AX79" s="48">
        <f t="shared" si="757"/>
        <v>0</v>
      </c>
      <c r="AY79" s="51">
        <f t="shared" si="758"/>
        <v>0</v>
      </c>
      <c r="BB79" s="48">
        <v>1</v>
      </c>
      <c r="BC79" s="48">
        <v>0.97</v>
      </c>
      <c r="BD79" s="48">
        <v>0.95</v>
      </c>
      <c r="BE79" s="48">
        <v>0.93</v>
      </c>
      <c r="BF79" s="48">
        <f t="shared" ref="BF79:BW79" si="923">+BE79-0.02</f>
        <v>0.91</v>
      </c>
      <c r="BG79" s="48">
        <f t="shared" si="923"/>
        <v>0.89</v>
      </c>
      <c r="BH79" s="48">
        <f t="shared" si="923"/>
        <v>0.87</v>
      </c>
      <c r="BI79" s="48">
        <f t="shared" si="923"/>
        <v>0.85</v>
      </c>
      <c r="BJ79" s="48">
        <f t="shared" si="923"/>
        <v>0.83</v>
      </c>
      <c r="BK79" s="48">
        <f t="shared" si="923"/>
        <v>0.80999999999999994</v>
      </c>
      <c r="BL79" s="48">
        <f t="shared" si="923"/>
        <v>0.78999999999999992</v>
      </c>
      <c r="BM79" s="48">
        <f t="shared" si="923"/>
        <v>0.76999999999999991</v>
      </c>
      <c r="BN79" s="48">
        <f t="shared" si="923"/>
        <v>0.74999999999999989</v>
      </c>
      <c r="BO79" s="48">
        <f t="shared" si="923"/>
        <v>0.72999999999999987</v>
      </c>
      <c r="BP79" s="48">
        <f t="shared" si="923"/>
        <v>0.70999999999999985</v>
      </c>
      <c r="BQ79" s="48">
        <f t="shared" si="923"/>
        <v>0.68999999999999984</v>
      </c>
      <c r="BR79" s="48">
        <f t="shared" si="923"/>
        <v>0.66999999999999982</v>
      </c>
      <c r="BS79" s="48">
        <f t="shared" si="923"/>
        <v>0.6499999999999998</v>
      </c>
      <c r="BT79" s="48">
        <f t="shared" si="923"/>
        <v>0.62999999999999978</v>
      </c>
      <c r="BU79" s="48">
        <f t="shared" si="923"/>
        <v>0.60999999999999976</v>
      </c>
      <c r="BV79" s="48">
        <f t="shared" si="923"/>
        <v>0.58999999999999975</v>
      </c>
      <c r="BW79" s="48">
        <f t="shared" si="923"/>
        <v>0.56999999999999973</v>
      </c>
      <c r="BY79" s="48">
        <f t="shared" si="88"/>
        <v>0</v>
      </c>
      <c r="BZ79" s="48">
        <f t="shared" si="89"/>
        <v>0</v>
      </c>
      <c r="CA79" s="51">
        <f t="shared" ref="CA79" si="924">+BZ79*3.3058</f>
        <v>0</v>
      </c>
      <c r="CB79" s="48">
        <f t="shared" si="761"/>
        <v>0</v>
      </c>
      <c r="CC79" s="51">
        <f t="shared" si="762"/>
        <v>0</v>
      </c>
      <c r="CD79" s="48">
        <f t="shared" si="763"/>
        <v>0</v>
      </c>
      <c r="CE79" s="51">
        <f t="shared" si="764"/>
        <v>0</v>
      </c>
      <c r="CF79" s="48">
        <f t="shared" si="765"/>
        <v>0</v>
      </c>
      <c r="CG79" s="51">
        <f t="shared" si="766"/>
        <v>0</v>
      </c>
      <c r="CH79" s="52">
        <f t="shared" si="767"/>
        <v>0</v>
      </c>
      <c r="CI79" s="51">
        <f t="shared" si="768"/>
        <v>0</v>
      </c>
      <c r="CJ79" s="48">
        <f t="shared" si="769"/>
        <v>0</v>
      </c>
      <c r="CK79" s="51">
        <f t="shared" si="770"/>
        <v>0</v>
      </c>
      <c r="CL79" s="52">
        <f t="shared" si="771"/>
        <v>0</v>
      </c>
      <c r="CM79" s="51">
        <f t="shared" si="772"/>
        <v>0</v>
      </c>
      <c r="CN79" s="53">
        <f t="shared" si="773"/>
        <v>0</v>
      </c>
      <c r="CO79" s="51">
        <f t="shared" si="774"/>
        <v>0</v>
      </c>
      <c r="CP79" s="52">
        <f t="shared" si="775"/>
        <v>0</v>
      </c>
      <c r="CQ79" s="51">
        <f t="shared" si="776"/>
        <v>0</v>
      </c>
      <c r="CR79" s="48">
        <f t="shared" si="777"/>
        <v>0</v>
      </c>
      <c r="CS79" s="51">
        <f t="shared" si="778"/>
        <v>0</v>
      </c>
      <c r="CT79" s="53">
        <f t="shared" si="779"/>
        <v>0</v>
      </c>
      <c r="CU79" s="51">
        <f t="shared" si="780"/>
        <v>0</v>
      </c>
      <c r="CV79" s="53">
        <f t="shared" si="781"/>
        <v>0</v>
      </c>
      <c r="CW79" s="51">
        <f t="shared" si="782"/>
        <v>0</v>
      </c>
      <c r="CX79" s="53">
        <f t="shared" si="783"/>
        <v>0</v>
      </c>
      <c r="CY79" s="51">
        <f t="shared" si="784"/>
        <v>0</v>
      </c>
      <c r="CZ79" s="48">
        <f t="shared" si="785"/>
        <v>0</v>
      </c>
      <c r="DA79" s="51">
        <f t="shared" si="786"/>
        <v>0</v>
      </c>
      <c r="DB79" s="53">
        <f t="shared" si="787"/>
        <v>0</v>
      </c>
      <c r="DC79" s="51">
        <f t="shared" si="788"/>
        <v>0</v>
      </c>
      <c r="DD79" s="53">
        <f t="shared" si="789"/>
        <v>0</v>
      </c>
      <c r="DE79" s="51">
        <f t="shared" si="790"/>
        <v>0</v>
      </c>
      <c r="DF79" s="53">
        <f t="shared" si="791"/>
        <v>0</v>
      </c>
      <c r="DG79" s="51">
        <f t="shared" si="792"/>
        <v>0</v>
      </c>
      <c r="DH79" s="53">
        <f t="shared" si="793"/>
        <v>0</v>
      </c>
      <c r="DI79" s="51">
        <f t="shared" si="794"/>
        <v>0</v>
      </c>
      <c r="DJ79" s="48">
        <f t="shared" si="795"/>
        <v>0</v>
      </c>
      <c r="DK79" s="51">
        <f t="shared" si="796"/>
        <v>0</v>
      </c>
      <c r="DL79" s="53">
        <f t="shared" si="797"/>
        <v>0</v>
      </c>
      <c r="DM79" s="51">
        <f t="shared" si="798"/>
        <v>0</v>
      </c>
      <c r="DN79" s="53">
        <f t="shared" si="799"/>
        <v>0</v>
      </c>
      <c r="DO79" s="51">
        <f t="shared" si="800"/>
        <v>0</v>
      </c>
      <c r="DP79" s="48">
        <f t="shared" si="801"/>
        <v>0</v>
      </c>
      <c r="DQ79" s="51">
        <f t="shared" si="802"/>
        <v>0</v>
      </c>
      <c r="DT79" s="48">
        <v>1</v>
      </c>
      <c r="DU79" s="48">
        <v>0.97</v>
      </c>
      <c r="DV79" s="48">
        <v>0.95</v>
      </c>
      <c r="DW79" s="48">
        <v>0.93</v>
      </c>
      <c r="DX79" s="48">
        <f t="shared" ref="DX79:EO79" si="925">+DW79-0.02</f>
        <v>0.91</v>
      </c>
      <c r="DY79" s="48">
        <f t="shared" si="925"/>
        <v>0.89</v>
      </c>
      <c r="DZ79" s="48">
        <f t="shared" si="925"/>
        <v>0.87</v>
      </c>
      <c r="EA79" s="48">
        <f t="shared" si="925"/>
        <v>0.85</v>
      </c>
      <c r="EB79" s="48">
        <f t="shared" si="925"/>
        <v>0.83</v>
      </c>
      <c r="EC79" s="48">
        <f t="shared" si="925"/>
        <v>0.80999999999999994</v>
      </c>
      <c r="ED79" s="48">
        <f t="shared" si="925"/>
        <v>0.78999999999999992</v>
      </c>
      <c r="EE79" s="48">
        <f t="shared" si="925"/>
        <v>0.76999999999999991</v>
      </c>
      <c r="EF79" s="48">
        <f t="shared" si="925"/>
        <v>0.74999999999999989</v>
      </c>
      <c r="EG79" s="48">
        <f t="shared" si="925"/>
        <v>0.72999999999999987</v>
      </c>
      <c r="EH79" s="48">
        <f t="shared" si="925"/>
        <v>0.70999999999999985</v>
      </c>
      <c r="EI79" s="48">
        <f t="shared" si="925"/>
        <v>0.68999999999999984</v>
      </c>
      <c r="EJ79" s="48">
        <f t="shared" si="925"/>
        <v>0.66999999999999982</v>
      </c>
      <c r="EK79" s="48">
        <f t="shared" si="925"/>
        <v>0.6499999999999998</v>
      </c>
      <c r="EL79" s="48">
        <f t="shared" si="925"/>
        <v>0.62999999999999978</v>
      </c>
      <c r="EM79" s="48">
        <f t="shared" si="925"/>
        <v>0.60999999999999976</v>
      </c>
      <c r="EN79" s="48">
        <f t="shared" si="925"/>
        <v>0.58999999999999975</v>
      </c>
      <c r="EO79" s="48">
        <f t="shared" si="925"/>
        <v>0.56999999999999973</v>
      </c>
      <c r="EQ79" s="48">
        <f t="shared" si="188"/>
        <v>0</v>
      </c>
      <c r="ER79" s="48">
        <f t="shared" si="116"/>
        <v>0</v>
      </c>
      <c r="ES79" s="51">
        <f t="shared" ref="ES79" si="926">+ER79*3.3058</f>
        <v>0</v>
      </c>
      <c r="ET79" s="48">
        <f t="shared" si="805"/>
        <v>0</v>
      </c>
      <c r="EU79" s="51">
        <f t="shared" si="806"/>
        <v>0</v>
      </c>
      <c r="EV79" s="48">
        <f t="shared" si="807"/>
        <v>0</v>
      </c>
      <c r="EW79" s="51">
        <f t="shared" si="808"/>
        <v>0</v>
      </c>
      <c r="EX79" s="48">
        <f t="shared" si="809"/>
        <v>0</v>
      </c>
      <c r="EY79" s="51">
        <f t="shared" si="810"/>
        <v>0</v>
      </c>
      <c r="EZ79" s="52">
        <f t="shared" si="811"/>
        <v>0</v>
      </c>
      <c r="FA79" s="51">
        <f t="shared" si="812"/>
        <v>0</v>
      </c>
      <c r="FB79" s="48">
        <f t="shared" si="813"/>
        <v>0</v>
      </c>
      <c r="FC79" s="51">
        <f t="shared" si="814"/>
        <v>0</v>
      </c>
      <c r="FD79" s="52">
        <f t="shared" si="815"/>
        <v>0</v>
      </c>
      <c r="FE79" s="51">
        <f t="shared" si="816"/>
        <v>0</v>
      </c>
      <c r="FF79" s="53">
        <f t="shared" si="817"/>
        <v>0</v>
      </c>
      <c r="FG79" s="51">
        <f t="shared" si="818"/>
        <v>0</v>
      </c>
      <c r="FH79" s="52">
        <f t="shared" si="819"/>
        <v>0</v>
      </c>
      <c r="FI79" s="51">
        <f t="shared" si="820"/>
        <v>0</v>
      </c>
      <c r="FJ79" s="48">
        <f t="shared" si="821"/>
        <v>0</v>
      </c>
      <c r="FK79" s="51">
        <f t="shared" si="822"/>
        <v>0</v>
      </c>
      <c r="FL79" s="53">
        <f t="shared" si="823"/>
        <v>0</v>
      </c>
      <c r="FM79" s="51">
        <f t="shared" si="824"/>
        <v>0</v>
      </c>
      <c r="FN79" s="53">
        <f t="shared" si="825"/>
        <v>0</v>
      </c>
      <c r="FO79" s="51">
        <f t="shared" si="826"/>
        <v>0</v>
      </c>
      <c r="FP79" s="53">
        <f t="shared" si="827"/>
        <v>0</v>
      </c>
      <c r="FQ79" s="51">
        <f t="shared" si="828"/>
        <v>0</v>
      </c>
      <c r="FR79" s="48">
        <f t="shared" si="829"/>
        <v>0</v>
      </c>
      <c r="FS79" s="51">
        <f t="shared" si="830"/>
        <v>0</v>
      </c>
      <c r="FT79" s="53">
        <f t="shared" si="831"/>
        <v>0</v>
      </c>
      <c r="FU79" s="51">
        <f t="shared" si="832"/>
        <v>0</v>
      </c>
      <c r="FV79" s="53">
        <f t="shared" si="833"/>
        <v>0</v>
      </c>
      <c r="FW79" s="51">
        <f t="shared" si="834"/>
        <v>0</v>
      </c>
      <c r="FX79" s="53">
        <f t="shared" si="835"/>
        <v>0</v>
      </c>
      <c r="FY79" s="51">
        <f t="shared" si="836"/>
        <v>0</v>
      </c>
      <c r="FZ79" s="53">
        <f t="shared" si="837"/>
        <v>0</v>
      </c>
      <c r="GA79" s="51">
        <f t="shared" si="838"/>
        <v>0</v>
      </c>
      <c r="GB79" s="48">
        <f t="shared" si="839"/>
        <v>0</v>
      </c>
      <c r="GC79" s="51">
        <f t="shared" si="840"/>
        <v>0</v>
      </c>
      <c r="GD79" s="53">
        <f t="shared" si="841"/>
        <v>0</v>
      </c>
      <c r="GE79" s="51">
        <f t="shared" si="842"/>
        <v>0</v>
      </c>
      <c r="GF79" s="53">
        <f t="shared" si="843"/>
        <v>0</v>
      </c>
      <c r="GG79" s="51">
        <f t="shared" si="844"/>
        <v>0</v>
      </c>
      <c r="GH79" s="48">
        <f t="shared" si="845"/>
        <v>0</v>
      </c>
      <c r="GI79" s="51">
        <f t="shared" si="846"/>
        <v>0</v>
      </c>
      <c r="GJ79" s="48"/>
      <c r="GK79" s="48"/>
      <c r="GL79" s="48">
        <v>1</v>
      </c>
      <c r="GM79" s="48">
        <v>0.97</v>
      </c>
      <c r="GN79" s="48">
        <v>0.95</v>
      </c>
      <c r="GO79" s="48">
        <v>0.93</v>
      </c>
      <c r="GP79" s="48">
        <f t="shared" ref="GP79:HG79" si="927">+GO79-0.02</f>
        <v>0.91</v>
      </c>
      <c r="GQ79" s="48">
        <f t="shared" si="927"/>
        <v>0.89</v>
      </c>
      <c r="GR79" s="48">
        <f t="shared" si="927"/>
        <v>0.87</v>
      </c>
      <c r="GS79" s="48">
        <f t="shared" si="927"/>
        <v>0.85</v>
      </c>
      <c r="GT79" s="48">
        <f t="shared" si="927"/>
        <v>0.83</v>
      </c>
      <c r="GU79" s="48">
        <f t="shared" si="927"/>
        <v>0.80999999999999994</v>
      </c>
      <c r="GV79" s="48">
        <f t="shared" si="927"/>
        <v>0.78999999999999992</v>
      </c>
      <c r="GW79" s="48">
        <f t="shared" si="927"/>
        <v>0.76999999999999991</v>
      </c>
      <c r="GX79" s="48">
        <f t="shared" si="927"/>
        <v>0.74999999999999989</v>
      </c>
      <c r="GY79" s="48">
        <f t="shared" si="927"/>
        <v>0.72999999999999987</v>
      </c>
      <c r="GZ79" s="48">
        <f t="shared" si="927"/>
        <v>0.70999999999999985</v>
      </c>
      <c r="HA79" s="48">
        <f t="shared" si="927"/>
        <v>0.68999999999999984</v>
      </c>
      <c r="HB79" s="48">
        <f t="shared" si="927"/>
        <v>0.66999999999999982</v>
      </c>
      <c r="HC79" s="48">
        <f t="shared" si="927"/>
        <v>0.6499999999999998</v>
      </c>
      <c r="HD79" s="48">
        <f t="shared" si="927"/>
        <v>0.62999999999999978</v>
      </c>
      <c r="HE79" s="48">
        <f t="shared" si="927"/>
        <v>0.60999999999999976</v>
      </c>
      <c r="HF79" s="48">
        <f t="shared" si="927"/>
        <v>0.58999999999999975</v>
      </c>
      <c r="HG79" s="48">
        <f t="shared" si="927"/>
        <v>0.56999999999999973</v>
      </c>
    </row>
    <row r="80" spans="1:215" x14ac:dyDescent="0.3">
      <c r="A80" s="2">
        <v>18</v>
      </c>
      <c r="C80" s="39" t="s">
        <v>149</v>
      </c>
      <c r="D80" s="44">
        <v>0</v>
      </c>
      <c r="E80" s="73">
        <f t="shared" si="716"/>
        <v>0</v>
      </c>
      <c r="G80" s="48">
        <f t="shared" si="61"/>
        <v>0</v>
      </c>
      <c r="H80" s="48">
        <f t="shared" si="62"/>
        <v>0</v>
      </c>
      <c r="I80" s="51">
        <f t="shared" si="63"/>
        <v>0</v>
      </c>
      <c r="J80" s="48">
        <f t="shared" si="717"/>
        <v>0</v>
      </c>
      <c r="K80" s="51">
        <f t="shared" si="718"/>
        <v>0</v>
      </c>
      <c r="L80" s="48">
        <f t="shared" si="719"/>
        <v>0</v>
      </c>
      <c r="M80" s="51">
        <f t="shared" si="720"/>
        <v>0</v>
      </c>
      <c r="N80" s="48">
        <f t="shared" si="721"/>
        <v>0</v>
      </c>
      <c r="O80" s="51">
        <f t="shared" si="722"/>
        <v>0</v>
      </c>
      <c r="P80" s="52">
        <f t="shared" si="723"/>
        <v>0</v>
      </c>
      <c r="Q80" s="51">
        <f t="shared" si="724"/>
        <v>0</v>
      </c>
      <c r="R80" s="48">
        <f t="shared" si="725"/>
        <v>0</v>
      </c>
      <c r="S80" s="51">
        <f t="shared" si="726"/>
        <v>0</v>
      </c>
      <c r="T80" s="52">
        <f t="shared" si="727"/>
        <v>0</v>
      </c>
      <c r="U80" s="51">
        <f t="shared" si="728"/>
        <v>0</v>
      </c>
      <c r="V80" s="53">
        <f t="shared" si="729"/>
        <v>0</v>
      </c>
      <c r="W80" s="51">
        <f t="shared" si="730"/>
        <v>0</v>
      </c>
      <c r="X80" s="52">
        <f t="shared" si="731"/>
        <v>0</v>
      </c>
      <c r="Y80" s="51">
        <f t="shared" si="732"/>
        <v>0</v>
      </c>
      <c r="Z80" s="48">
        <f t="shared" si="733"/>
        <v>0</v>
      </c>
      <c r="AA80" s="51">
        <f t="shared" si="734"/>
        <v>0</v>
      </c>
      <c r="AB80" s="53">
        <f t="shared" si="735"/>
        <v>0</v>
      </c>
      <c r="AC80" s="51">
        <f t="shared" si="736"/>
        <v>0</v>
      </c>
      <c r="AD80" s="53">
        <f t="shared" si="737"/>
        <v>0</v>
      </c>
      <c r="AE80" s="51">
        <f t="shared" si="738"/>
        <v>0</v>
      </c>
      <c r="AF80" s="53">
        <f t="shared" si="739"/>
        <v>0</v>
      </c>
      <c r="AG80" s="51">
        <f t="shared" si="740"/>
        <v>0</v>
      </c>
      <c r="AH80" s="48">
        <f t="shared" si="741"/>
        <v>0</v>
      </c>
      <c r="AI80" s="51">
        <f t="shared" si="742"/>
        <v>0</v>
      </c>
      <c r="AJ80" s="53">
        <f t="shared" si="743"/>
        <v>0</v>
      </c>
      <c r="AK80" s="51">
        <f t="shared" si="744"/>
        <v>0</v>
      </c>
      <c r="AL80" s="53">
        <f t="shared" si="745"/>
        <v>0</v>
      </c>
      <c r="AM80" s="51">
        <f t="shared" si="746"/>
        <v>0</v>
      </c>
      <c r="AN80" s="53">
        <f t="shared" si="747"/>
        <v>0</v>
      </c>
      <c r="AO80" s="51">
        <f t="shared" si="748"/>
        <v>0</v>
      </c>
      <c r="AP80" s="53">
        <f t="shared" si="749"/>
        <v>0</v>
      </c>
      <c r="AQ80" s="51">
        <f t="shared" si="750"/>
        <v>0</v>
      </c>
      <c r="AR80" s="48">
        <f t="shared" si="751"/>
        <v>0</v>
      </c>
      <c r="AS80" s="51">
        <f t="shared" si="752"/>
        <v>0</v>
      </c>
      <c r="AT80" s="53">
        <f t="shared" si="753"/>
        <v>0</v>
      </c>
      <c r="AU80" s="51">
        <f t="shared" si="754"/>
        <v>0</v>
      </c>
      <c r="AV80" s="53">
        <f t="shared" si="755"/>
        <v>0</v>
      </c>
      <c r="AW80" s="51">
        <f t="shared" si="756"/>
        <v>0</v>
      </c>
      <c r="AX80" s="48">
        <f t="shared" si="757"/>
        <v>0</v>
      </c>
      <c r="AY80" s="51">
        <f t="shared" si="758"/>
        <v>0</v>
      </c>
      <c r="BB80" s="48">
        <v>1</v>
      </c>
      <c r="BC80" s="48">
        <v>0.97</v>
      </c>
      <c r="BD80" s="48">
        <v>0.95</v>
      </c>
      <c r="BE80" s="48">
        <v>0.93</v>
      </c>
      <c r="BF80" s="48">
        <f t="shared" ref="BF80:BW80" si="928">+BE80-0.02</f>
        <v>0.91</v>
      </c>
      <c r="BG80" s="48">
        <f t="shared" si="928"/>
        <v>0.89</v>
      </c>
      <c r="BH80" s="48">
        <f t="shared" si="928"/>
        <v>0.87</v>
      </c>
      <c r="BI80" s="48">
        <f t="shared" si="928"/>
        <v>0.85</v>
      </c>
      <c r="BJ80" s="48">
        <f t="shared" si="928"/>
        <v>0.83</v>
      </c>
      <c r="BK80" s="48">
        <f t="shared" si="928"/>
        <v>0.80999999999999994</v>
      </c>
      <c r="BL80" s="48">
        <f t="shared" si="928"/>
        <v>0.78999999999999992</v>
      </c>
      <c r="BM80" s="48">
        <f t="shared" si="928"/>
        <v>0.76999999999999991</v>
      </c>
      <c r="BN80" s="48">
        <f t="shared" si="928"/>
        <v>0.74999999999999989</v>
      </c>
      <c r="BO80" s="48">
        <f t="shared" si="928"/>
        <v>0.72999999999999987</v>
      </c>
      <c r="BP80" s="48">
        <f t="shared" si="928"/>
        <v>0.70999999999999985</v>
      </c>
      <c r="BQ80" s="48">
        <f t="shared" si="928"/>
        <v>0.68999999999999984</v>
      </c>
      <c r="BR80" s="48">
        <f t="shared" si="928"/>
        <v>0.66999999999999982</v>
      </c>
      <c r="BS80" s="48">
        <f t="shared" si="928"/>
        <v>0.6499999999999998</v>
      </c>
      <c r="BT80" s="48">
        <f t="shared" si="928"/>
        <v>0.62999999999999978</v>
      </c>
      <c r="BU80" s="48">
        <f t="shared" si="928"/>
        <v>0.60999999999999976</v>
      </c>
      <c r="BV80" s="48">
        <f t="shared" si="928"/>
        <v>0.58999999999999975</v>
      </c>
      <c r="BW80" s="48">
        <f t="shared" si="928"/>
        <v>0.56999999999999973</v>
      </c>
      <c r="BY80" s="48">
        <f t="shared" si="88"/>
        <v>0</v>
      </c>
      <c r="BZ80" s="48">
        <f t="shared" si="89"/>
        <v>0</v>
      </c>
      <c r="CA80" s="51">
        <f t="shared" ref="CA80" si="929">+BZ80*3.3058</f>
        <v>0</v>
      </c>
      <c r="CB80" s="48">
        <f t="shared" si="761"/>
        <v>0</v>
      </c>
      <c r="CC80" s="51">
        <f t="shared" si="762"/>
        <v>0</v>
      </c>
      <c r="CD80" s="48">
        <f t="shared" si="763"/>
        <v>0</v>
      </c>
      <c r="CE80" s="51">
        <f t="shared" si="764"/>
        <v>0</v>
      </c>
      <c r="CF80" s="48">
        <f t="shared" si="765"/>
        <v>0</v>
      </c>
      <c r="CG80" s="51">
        <f t="shared" si="766"/>
        <v>0</v>
      </c>
      <c r="CH80" s="52">
        <f t="shared" si="767"/>
        <v>0</v>
      </c>
      <c r="CI80" s="51">
        <f t="shared" si="768"/>
        <v>0</v>
      </c>
      <c r="CJ80" s="48">
        <f t="shared" si="769"/>
        <v>0</v>
      </c>
      <c r="CK80" s="51">
        <f t="shared" si="770"/>
        <v>0</v>
      </c>
      <c r="CL80" s="52">
        <f t="shared" si="771"/>
        <v>0</v>
      </c>
      <c r="CM80" s="51">
        <f t="shared" si="772"/>
        <v>0</v>
      </c>
      <c r="CN80" s="53">
        <f t="shared" si="773"/>
        <v>0</v>
      </c>
      <c r="CO80" s="51">
        <f t="shared" si="774"/>
        <v>0</v>
      </c>
      <c r="CP80" s="52">
        <f t="shared" si="775"/>
        <v>0</v>
      </c>
      <c r="CQ80" s="51">
        <f t="shared" si="776"/>
        <v>0</v>
      </c>
      <c r="CR80" s="48">
        <f t="shared" si="777"/>
        <v>0</v>
      </c>
      <c r="CS80" s="51">
        <f t="shared" si="778"/>
        <v>0</v>
      </c>
      <c r="CT80" s="53">
        <f t="shared" si="779"/>
        <v>0</v>
      </c>
      <c r="CU80" s="51">
        <f t="shared" si="780"/>
        <v>0</v>
      </c>
      <c r="CV80" s="53">
        <f t="shared" si="781"/>
        <v>0</v>
      </c>
      <c r="CW80" s="51">
        <f t="shared" si="782"/>
        <v>0</v>
      </c>
      <c r="CX80" s="53">
        <f t="shared" si="783"/>
        <v>0</v>
      </c>
      <c r="CY80" s="51">
        <f t="shared" si="784"/>
        <v>0</v>
      </c>
      <c r="CZ80" s="48">
        <f t="shared" si="785"/>
        <v>0</v>
      </c>
      <c r="DA80" s="51">
        <f t="shared" si="786"/>
        <v>0</v>
      </c>
      <c r="DB80" s="53">
        <f t="shared" si="787"/>
        <v>0</v>
      </c>
      <c r="DC80" s="51">
        <f t="shared" si="788"/>
        <v>0</v>
      </c>
      <c r="DD80" s="53">
        <f t="shared" si="789"/>
        <v>0</v>
      </c>
      <c r="DE80" s="51">
        <f t="shared" si="790"/>
        <v>0</v>
      </c>
      <c r="DF80" s="53">
        <f t="shared" si="791"/>
        <v>0</v>
      </c>
      <c r="DG80" s="51">
        <f t="shared" si="792"/>
        <v>0</v>
      </c>
      <c r="DH80" s="53">
        <f t="shared" si="793"/>
        <v>0</v>
      </c>
      <c r="DI80" s="51">
        <f t="shared" si="794"/>
        <v>0</v>
      </c>
      <c r="DJ80" s="48">
        <f t="shared" si="795"/>
        <v>0</v>
      </c>
      <c r="DK80" s="51">
        <f t="shared" si="796"/>
        <v>0</v>
      </c>
      <c r="DL80" s="53">
        <f t="shared" si="797"/>
        <v>0</v>
      </c>
      <c r="DM80" s="51">
        <f t="shared" si="798"/>
        <v>0</v>
      </c>
      <c r="DN80" s="53">
        <f t="shared" si="799"/>
        <v>0</v>
      </c>
      <c r="DO80" s="51">
        <f t="shared" si="800"/>
        <v>0</v>
      </c>
      <c r="DP80" s="48">
        <f t="shared" si="801"/>
        <v>0</v>
      </c>
      <c r="DQ80" s="51">
        <f t="shared" si="802"/>
        <v>0</v>
      </c>
      <c r="DT80" s="48">
        <v>1</v>
      </c>
      <c r="DU80" s="48">
        <v>0.97</v>
      </c>
      <c r="DV80" s="48">
        <v>0.95</v>
      </c>
      <c r="DW80" s="48">
        <v>0.93</v>
      </c>
      <c r="DX80" s="48">
        <f t="shared" ref="DX80:EO80" si="930">+DW80-0.02</f>
        <v>0.91</v>
      </c>
      <c r="DY80" s="48">
        <f t="shared" si="930"/>
        <v>0.89</v>
      </c>
      <c r="DZ80" s="48">
        <f t="shared" si="930"/>
        <v>0.87</v>
      </c>
      <c r="EA80" s="48">
        <f t="shared" si="930"/>
        <v>0.85</v>
      </c>
      <c r="EB80" s="48">
        <f t="shared" si="930"/>
        <v>0.83</v>
      </c>
      <c r="EC80" s="48">
        <f t="shared" si="930"/>
        <v>0.80999999999999994</v>
      </c>
      <c r="ED80" s="48">
        <f t="shared" si="930"/>
        <v>0.78999999999999992</v>
      </c>
      <c r="EE80" s="48">
        <f t="shared" si="930"/>
        <v>0.76999999999999991</v>
      </c>
      <c r="EF80" s="48">
        <f t="shared" si="930"/>
        <v>0.74999999999999989</v>
      </c>
      <c r="EG80" s="48">
        <f t="shared" si="930"/>
        <v>0.72999999999999987</v>
      </c>
      <c r="EH80" s="48">
        <f t="shared" si="930"/>
        <v>0.70999999999999985</v>
      </c>
      <c r="EI80" s="48">
        <f t="shared" si="930"/>
        <v>0.68999999999999984</v>
      </c>
      <c r="EJ80" s="48">
        <f t="shared" si="930"/>
        <v>0.66999999999999982</v>
      </c>
      <c r="EK80" s="48">
        <f t="shared" si="930"/>
        <v>0.6499999999999998</v>
      </c>
      <c r="EL80" s="48">
        <f t="shared" si="930"/>
        <v>0.62999999999999978</v>
      </c>
      <c r="EM80" s="48">
        <f t="shared" si="930"/>
        <v>0.60999999999999976</v>
      </c>
      <c r="EN80" s="48">
        <f t="shared" si="930"/>
        <v>0.58999999999999975</v>
      </c>
      <c r="EO80" s="48">
        <f t="shared" si="930"/>
        <v>0.56999999999999973</v>
      </c>
      <c r="EQ80" s="48">
        <f t="shared" si="188"/>
        <v>0</v>
      </c>
      <c r="ER80" s="48">
        <f t="shared" si="116"/>
        <v>0</v>
      </c>
      <c r="ES80" s="51">
        <f t="shared" ref="ES80" si="931">+ER80*3.3058</f>
        <v>0</v>
      </c>
      <c r="ET80" s="48">
        <f t="shared" si="805"/>
        <v>0</v>
      </c>
      <c r="EU80" s="51">
        <f t="shared" si="806"/>
        <v>0</v>
      </c>
      <c r="EV80" s="48">
        <f t="shared" si="807"/>
        <v>0</v>
      </c>
      <c r="EW80" s="51">
        <f t="shared" si="808"/>
        <v>0</v>
      </c>
      <c r="EX80" s="48">
        <f t="shared" si="809"/>
        <v>0</v>
      </c>
      <c r="EY80" s="51">
        <f t="shared" si="810"/>
        <v>0</v>
      </c>
      <c r="EZ80" s="52">
        <f t="shared" si="811"/>
        <v>0</v>
      </c>
      <c r="FA80" s="51">
        <f t="shared" si="812"/>
        <v>0</v>
      </c>
      <c r="FB80" s="48">
        <f t="shared" si="813"/>
        <v>0</v>
      </c>
      <c r="FC80" s="51">
        <f t="shared" si="814"/>
        <v>0</v>
      </c>
      <c r="FD80" s="52">
        <f t="shared" si="815"/>
        <v>0</v>
      </c>
      <c r="FE80" s="51">
        <f t="shared" si="816"/>
        <v>0</v>
      </c>
      <c r="FF80" s="53">
        <f t="shared" si="817"/>
        <v>0</v>
      </c>
      <c r="FG80" s="51">
        <f t="shared" si="818"/>
        <v>0</v>
      </c>
      <c r="FH80" s="52">
        <f t="shared" si="819"/>
        <v>0</v>
      </c>
      <c r="FI80" s="51">
        <f t="shared" si="820"/>
        <v>0</v>
      </c>
      <c r="FJ80" s="48">
        <f t="shared" si="821"/>
        <v>0</v>
      </c>
      <c r="FK80" s="51">
        <f t="shared" si="822"/>
        <v>0</v>
      </c>
      <c r="FL80" s="53">
        <f t="shared" si="823"/>
        <v>0</v>
      </c>
      <c r="FM80" s="51">
        <f t="shared" si="824"/>
        <v>0</v>
      </c>
      <c r="FN80" s="53">
        <f t="shared" si="825"/>
        <v>0</v>
      </c>
      <c r="FO80" s="51">
        <f t="shared" si="826"/>
        <v>0</v>
      </c>
      <c r="FP80" s="53">
        <f t="shared" si="827"/>
        <v>0</v>
      </c>
      <c r="FQ80" s="51">
        <f t="shared" si="828"/>
        <v>0</v>
      </c>
      <c r="FR80" s="48">
        <f t="shared" si="829"/>
        <v>0</v>
      </c>
      <c r="FS80" s="51">
        <f t="shared" si="830"/>
        <v>0</v>
      </c>
      <c r="FT80" s="53">
        <f t="shared" si="831"/>
        <v>0</v>
      </c>
      <c r="FU80" s="51">
        <f t="shared" si="832"/>
        <v>0</v>
      </c>
      <c r="FV80" s="53">
        <f t="shared" si="833"/>
        <v>0</v>
      </c>
      <c r="FW80" s="51">
        <f t="shared" si="834"/>
        <v>0</v>
      </c>
      <c r="FX80" s="53">
        <f t="shared" si="835"/>
        <v>0</v>
      </c>
      <c r="FY80" s="51">
        <f t="shared" si="836"/>
        <v>0</v>
      </c>
      <c r="FZ80" s="53">
        <f t="shared" si="837"/>
        <v>0</v>
      </c>
      <c r="GA80" s="51">
        <f t="shared" si="838"/>
        <v>0</v>
      </c>
      <c r="GB80" s="48">
        <f t="shared" si="839"/>
        <v>0</v>
      </c>
      <c r="GC80" s="51">
        <f t="shared" si="840"/>
        <v>0</v>
      </c>
      <c r="GD80" s="53">
        <f t="shared" si="841"/>
        <v>0</v>
      </c>
      <c r="GE80" s="51">
        <f t="shared" si="842"/>
        <v>0</v>
      </c>
      <c r="GF80" s="53">
        <f t="shared" si="843"/>
        <v>0</v>
      </c>
      <c r="GG80" s="51">
        <f t="shared" si="844"/>
        <v>0</v>
      </c>
      <c r="GH80" s="48">
        <f t="shared" si="845"/>
        <v>0</v>
      </c>
      <c r="GI80" s="51">
        <f t="shared" si="846"/>
        <v>0</v>
      </c>
      <c r="GJ80" s="48"/>
      <c r="GK80" s="48"/>
      <c r="GL80" s="48">
        <v>1</v>
      </c>
      <c r="GM80" s="48">
        <v>0.97</v>
      </c>
      <c r="GN80" s="48">
        <v>0.95</v>
      </c>
      <c r="GO80" s="48">
        <v>0.93</v>
      </c>
      <c r="GP80" s="48">
        <f t="shared" ref="GP80:HG80" si="932">+GO80-0.02</f>
        <v>0.91</v>
      </c>
      <c r="GQ80" s="48">
        <f t="shared" si="932"/>
        <v>0.89</v>
      </c>
      <c r="GR80" s="48">
        <f t="shared" si="932"/>
        <v>0.87</v>
      </c>
      <c r="GS80" s="48">
        <f t="shared" si="932"/>
        <v>0.85</v>
      </c>
      <c r="GT80" s="48">
        <f t="shared" si="932"/>
        <v>0.83</v>
      </c>
      <c r="GU80" s="48">
        <f t="shared" si="932"/>
        <v>0.80999999999999994</v>
      </c>
      <c r="GV80" s="48">
        <f t="shared" si="932"/>
        <v>0.78999999999999992</v>
      </c>
      <c r="GW80" s="48">
        <f t="shared" si="932"/>
        <v>0.76999999999999991</v>
      </c>
      <c r="GX80" s="48">
        <f t="shared" si="932"/>
        <v>0.74999999999999989</v>
      </c>
      <c r="GY80" s="48">
        <f t="shared" si="932"/>
        <v>0.72999999999999987</v>
      </c>
      <c r="GZ80" s="48">
        <f t="shared" si="932"/>
        <v>0.70999999999999985</v>
      </c>
      <c r="HA80" s="48">
        <f t="shared" si="932"/>
        <v>0.68999999999999984</v>
      </c>
      <c r="HB80" s="48">
        <f t="shared" si="932"/>
        <v>0.66999999999999982</v>
      </c>
      <c r="HC80" s="48">
        <f t="shared" si="932"/>
        <v>0.6499999999999998</v>
      </c>
      <c r="HD80" s="48">
        <f t="shared" si="932"/>
        <v>0.62999999999999978</v>
      </c>
      <c r="HE80" s="48">
        <f t="shared" si="932"/>
        <v>0.60999999999999976</v>
      </c>
      <c r="HF80" s="48">
        <f t="shared" si="932"/>
        <v>0.58999999999999975</v>
      </c>
      <c r="HG80" s="48">
        <f t="shared" si="932"/>
        <v>0.56999999999999973</v>
      </c>
    </row>
    <row r="81" spans="1:215" x14ac:dyDescent="0.3">
      <c r="A81" s="2">
        <v>19</v>
      </c>
      <c r="C81" s="39" t="s">
        <v>150</v>
      </c>
      <c r="D81" s="44">
        <v>0</v>
      </c>
      <c r="E81" s="73">
        <f t="shared" si="716"/>
        <v>0</v>
      </c>
      <c r="G81" s="48">
        <f t="shared" si="61"/>
        <v>0</v>
      </c>
      <c r="H81" s="48">
        <f t="shared" si="62"/>
        <v>0</v>
      </c>
      <c r="I81" s="51">
        <f t="shared" si="63"/>
        <v>0</v>
      </c>
      <c r="J81" s="48">
        <f t="shared" si="717"/>
        <v>0</v>
      </c>
      <c r="K81" s="51">
        <f t="shared" si="718"/>
        <v>0</v>
      </c>
      <c r="L81" s="48">
        <f t="shared" si="719"/>
        <v>0</v>
      </c>
      <c r="M81" s="51">
        <f t="shared" si="720"/>
        <v>0</v>
      </c>
      <c r="N81" s="48">
        <f t="shared" si="721"/>
        <v>0</v>
      </c>
      <c r="O81" s="51">
        <f t="shared" si="722"/>
        <v>0</v>
      </c>
      <c r="P81" s="52">
        <f t="shared" si="723"/>
        <v>0</v>
      </c>
      <c r="Q81" s="51">
        <f t="shared" si="724"/>
        <v>0</v>
      </c>
      <c r="R81" s="48">
        <f t="shared" si="725"/>
        <v>0</v>
      </c>
      <c r="S81" s="51">
        <f t="shared" si="726"/>
        <v>0</v>
      </c>
      <c r="T81" s="52">
        <f t="shared" si="727"/>
        <v>0</v>
      </c>
      <c r="U81" s="51">
        <f t="shared" si="728"/>
        <v>0</v>
      </c>
      <c r="V81" s="53">
        <f t="shared" si="729"/>
        <v>0</v>
      </c>
      <c r="W81" s="51">
        <f t="shared" si="730"/>
        <v>0</v>
      </c>
      <c r="X81" s="52">
        <f t="shared" si="731"/>
        <v>0</v>
      </c>
      <c r="Y81" s="51">
        <f t="shared" si="732"/>
        <v>0</v>
      </c>
      <c r="Z81" s="48">
        <f t="shared" si="733"/>
        <v>0</v>
      </c>
      <c r="AA81" s="51">
        <f t="shared" si="734"/>
        <v>0</v>
      </c>
      <c r="AB81" s="53">
        <f t="shared" si="735"/>
        <v>0</v>
      </c>
      <c r="AC81" s="51">
        <f t="shared" si="736"/>
        <v>0</v>
      </c>
      <c r="AD81" s="53">
        <f t="shared" si="737"/>
        <v>0</v>
      </c>
      <c r="AE81" s="51">
        <f t="shared" si="738"/>
        <v>0</v>
      </c>
      <c r="AF81" s="53">
        <f t="shared" si="739"/>
        <v>0</v>
      </c>
      <c r="AG81" s="51">
        <f t="shared" si="740"/>
        <v>0</v>
      </c>
      <c r="AH81" s="48">
        <f t="shared" si="741"/>
        <v>0</v>
      </c>
      <c r="AI81" s="51">
        <f t="shared" si="742"/>
        <v>0</v>
      </c>
      <c r="AJ81" s="53">
        <f t="shared" si="743"/>
        <v>0</v>
      </c>
      <c r="AK81" s="51">
        <f t="shared" si="744"/>
        <v>0</v>
      </c>
      <c r="AL81" s="53">
        <f t="shared" si="745"/>
        <v>0</v>
      </c>
      <c r="AM81" s="51">
        <f t="shared" si="746"/>
        <v>0</v>
      </c>
      <c r="AN81" s="53">
        <f t="shared" si="747"/>
        <v>0</v>
      </c>
      <c r="AO81" s="51">
        <f t="shared" si="748"/>
        <v>0</v>
      </c>
      <c r="AP81" s="53">
        <f t="shared" si="749"/>
        <v>0</v>
      </c>
      <c r="AQ81" s="51">
        <f t="shared" si="750"/>
        <v>0</v>
      </c>
      <c r="AR81" s="48">
        <f t="shared" si="751"/>
        <v>0</v>
      </c>
      <c r="AS81" s="51">
        <f t="shared" si="752"/>
        <v>0</v>
      </c>
      <c r="AT81" s="53">
        <f t="shared" si="753"/>
        <v>0</v>
      </c>
      <c r="AU81" s="51">
        <f t="shared" si="754"/>
        <v>0</v>
      </c>
      <c r="AV81" s="53">
        <f t="shared" si="755"/>
        <v>0</v>
      </c>
      <c r="AW81" s="51">
        <f t="shared" si="756"/>
        <v>0</v>
      </c>
      <c r="AX81" s="48">
        <f t="shared" si="757"/>
        <v>0</v>
      </c>
      <c r="AY81" s="51">
        <f t="shared" si="758"/>
        <v>0</v>
      </c>
      <c r="BB81" s="48">
        <v>1</v>
      </c>
      <c r="BC81" s="48">
        <v>0.97</v>
      </c>
      <c r="BD81" s="48">
        <v>0.95</v>
      </c>
      <c r="BE81" s="48">
        <v>0.93</v>
      </c>
      <c r="BF81" s="48">
        <f t="shared" ref="BF81:BW81" si="933">+BE81-0.02</f>
        <v>0.91</v>
      </c>
      <c r="BG81" s="48">
        <f t="shared" si="933"/>
        <v>0.89</v>
      </c>
      <c r="BH81" s="48">
        <f t="shared" si="933"/>
        <v>0.87</v>
      </c>
      <c r="BI81" s="48">
        <f t="shared" si="933"/>
        <v>0.85</v>
      </c>
      <c r="BJ81" s="48">
        <f t="shared" si="933"/>
        <v>0.83</v>
      </c>
      <c r="BK81" s="48">
        <f t="shared" si="933"/>
        <v>0.80999999999999994</v>
      </c>
      <c r="BL81" s="48">
        <f t="shared" si="933"/>
        <v>0.78999999999999992</v>
      </c>
      <c r="BM81" s="48">
        <f t="shared" si="933"/>
        <v>0.76999999999999991</v>
      </c>
      <c r="BN81" s="48">
        <f t="shared" si="933"/>
        <v>0.74999999999999989</v>
      </c>
      <c r="BO81" s="48">
        <f t="shared" si="933"/>
        <v>0.72999999999999987</v>
      </c>
      <c r="BP81" s="48">
        <f t="shared" si="933"/>
        <v>0.70999999999999985</v>
      </c>
      <c r="BQ81" s="48">
        <f t="shared" si="933"/>
        <v>0.68999999999999984</v>
      </c>
      <c r="BR81" s="48">
        <f t="shared" si="933"/>
        <v>0.66999999999999982</v>
      </c>
      <c r="BS81" s="48">
        <f t="shared" si="933"/>
        <v>0.6499999999999998</v>
      </c>
      <c r="BT81" s="48">
        <f t="shared" si="933"/>
        <v>0.62999999999999978</v>
      </c>
      <c r="BU81" s="48">
        <f t="shared" si="933"/>
        <v>0.60999999999999976</v>
      </c>
      <c r="BV81" s="48">
        <f t="shared" si="933"/>
        <v>0.58999999999999975</v>
      </c>
      <c r="BW81" s="48">
        <f t="shared" si="933"/>
        <v>0.56999999999999973</v>
      </c>
      <c r="BY81" s="48">
        <f t="shared" si="88"/>
        <v>0</v>
      </c>
      <c r="BZ81" s="48">
        <f t="shared" si="89"/>
        <v>0</v>
      </c>
      <c r="CA81" s="51">
        <f t="shared" ref="CA81" si="934">+BZ81*3.3058</f>
        <v>0</v>
      </c>
      <c r="CB81" s="48">
        <f t="shared" si="761"/>
        <v>0</v>
      </c>
      <c r="CC81" s="51">
        <f t="shared" si="762"/>
        <v>0</v>
      </c>
      <c r="CD81" s="48">
        <f t="shared" si="763"/>
        <v>0</v>
      </c>
      <c r="CE81" s="51">
        <f t="shared" si="764"/>
        <v>0</v>
      </c>
      <c r="CF81" s="48">
        <f t="shared" si="765"/>
        <v>0</v>
      </c>
      <c r="CG81" s="51">
        <f t="shared" si="766"/>
        <v>0</v>
      </c>
      <c r="CH81" s="52">
        <f t="shared" si="767"/>
        <v>0</v>
      </c>
      <c r="CI81" s="51">
        <f t="shared" si="768"/>
        <v>0</v>
      </c>
      <c r="CJ81" s="48">
        <f t="shared" si="769"/>
        <v>0</v>
      </c>
      <c r="CK81" s="51">
        <f t="shared" si="770"/>
        <v>0</v>
      </c>
      <c r="CL81" s="52">
        <f t="shared" si="771"/>
        <v>0</v>
      </c>
      <c r="CM81" s="51">
        <f t="shared" si="772"/>
        <v>0</v>
      </c>
      <c r="CN81" s="53">
        <f t="shared" si="773"/>
        <v>0</v>
      </c>
      <c r="CO81" s="51">
        <f t="shared" si="774"/>
        <v>0</v>
      </c>
      <c r="CP81" s="52">
        <f t="shared" si="775"/>
        <v>0</v>
      </c>
      <c r="CQ81" s="51">
        <f t="shared" si="776"/>
        <v>0</v>
      </c>
      <c r="CR81" s="48">
        <f t="shared" si="777"/>
        <v>0</v>
      </c>
      <c r="CS81" s="51">
        <f t="shared" si="778"/>
        <v>0</v>
      </c>
      <c r="CT81" s="53">
        <f t="shared" si="779"/>
        <v>0</v>
      </c>
      <c r="CU81" s="51">
        <f t="shared" si="780"/>
        <v>0</v>
      </c>
      <c r="CV81" s="53">
        <f t="shared" si="781"/>
        <v>0</v>
      </c>
      <c r="CW81" s="51">
        <f t="shared" si="782"/>
        <v>0</v>
      </c>
      <c r="CX81" s="53">
        <f t="shared" si="783"/>
        <v>0</v>
      </c>
      <c r="CY81" s="51">
        <f t="shared" si="784"/>
        <v>0</v>
      </c>
      <c r="CZ81" s="48">
        <f t="shared" si="785"/>
        <v>0</v>
      </c>
      <c r="DA81" s="51">
        <f t="shared" si="786"/>
        <v>0</v>
      </c>
      <c r="DB81" s="53">
        <f t="shared" si="787"/>
        <v>0</v>
      </c>
      <c r="DC81" s="51">
        <f t="shared" si="788"/>
        <v>0</v>
      </c>
      <c r="DD81" s="53">
        <f t="shared" si="789"/>
        <v>0</v>
      </c>
      <c r="DE81" s="51">
        <f t="shared" si="790"/>
        <v>0</v>
      </c>
      <c r="DF81" s="53">
        <f t="shared" si="791"/>
        <v>0</v>
      </c>
      <c r="DG81" s="51">
        <f t="shared" si="792"/>
        <v>0</v>
      </c>
      <c r="DH81" s="53">
        <f t="shared" si="793"/>
        <v>0</v>
      </c>
      <c r="DI81" s="51">
        <f t="shared" si="794"/>
        <v>0</v>
      </c>
      <c r="DJ81" s="48">
        <f t="shared" si="795"/>
        <v>0</v>
      </c>
      <c r="DK81" s="51">
        <f t="shared" si="796"/>
        <v>0</v>
      </c>
      <c r="DL81" s="53">
        <f t="shared" si="797"/>
        <v>0</v>
      </c>
      <c r="DM81" s="51">
        <f t="shared" si="798"/>
        <v>0</v>
      </c>
      <c r="DN81" s="53">
        <f t="shared" si="799"/>
        <v>0</v>
      </c>
      <c r="DO81" s="51">
        <f t="shared" si="800"/>
        <v>0</v>
      </c>
      <c r="DP81" s="48">
        <f t="shared" si="801"/>
        <v>0</v>
      </c>
      <c r="DQ81" s="51">
        <f t="shared" si="802"/>
        <v>0</v>
      </c>
      <c r="DT81" s="48">
        <v>1</v>
      </c>
      <c r="DU81" s="48">
        <v>0.97</v>
      </c>
      <c r="DV81" s="48">
        <v>0.95</v>
      </c>
      <c r="DW81" s="48">
        <v>0.93</v>
      </c>
      <c r="DX81" s="48">
        <f t="shared" ref="DX81:EO81" si="935">+DW81-0.02</f>
        <v>0.91</v>
      </c>
      <c r="DY81" s="48">
        <f t="shared" si="935"/>
        <v>0.89</v>
      </c>
      <c r="DZ81" s="48">
        <f t="shared" si="935"/>
        <v>0.87</v>
      </c>
      <c r="EA81" s="48">
        <f t="shared" si="935"/>
        <v>0.85</v>
      </c>
      <c r="EB81" s="48">
        <f t="shared" si="935"/>
        <v>0.83</v>
      </c>
      <c r="EC81" s="48">
        <f t="shared" si="935"/>
        <v>0.80999999999999994</v>
      </c>
      <c r="ED81" s="48">
        <f t="shared" si="935"/>
        <v>0.78999999999999992</v>
      </c>
      <c r="EE81" s="48">
        <f t="shared" si="935"/>
        <v>0.76999999999999991</v>
      </c>
      <c r="EF81" s="48">
        <f t="shared" si="935"/>
        <v>0.74999999999999989</v>
      </c>
      <c r="EG81" s="48">
        <f t="shared" si="935"/>
        <v>0.72999999999999987</v>
      </c>
      <c r="EH81" s="48">
        <f t="shared" si="935"/>
        <v>0.70999999999999985</v>
      </c>
      <c r="EI81" s="48">
        <f t="shared" si="935"/>
        <v>0.68999999999999984</v>
      </c>
      <c r="EJ81" s="48">
        <f t="shared" si="935"/>
        <v>0.66999999999999982</v>
      </c>
      <c r="EK81" s="48">
        <f t="shared" si="935"/>
        <v>0.6499999999999998</v>
      </c>
      <c r="EL81" s="48">
        <f t="shared" si="935"/>
        <v>0.62999999999999978</v>
      </c>
      <c r="EM81" s="48">
        <f t="shared" si="935"/>
        <v>0.60999999999999976</v>
      </c>
      <c r="EN81" s="48">
        <f t="shared" si="935"/>
        <v>0.58999999999999975</v>
      </c>
      <c r="EO81" s="48">
        <f t="shared" si="935"/>
        <v>0.56999999999999973</v>
      </c>
      <c r="EQ81" s="48">
        <f t="shared" si="188"/>
        <v>0</v>
      </c>
      <c r="ER81" s="48">
        <f t="shared" si="116"/>
        <v>0</v>
      </c>
      <c r="ES81" s="51">
        <f t="shared" ref="ES81" si="936">+ER81*3.3058</f>
        <v>0</v>
      </c>
      <c r="ET81" s="48">
        <f t="shared" si="805"/>
        <v>0</v>
      </c>
      <c r="EU81" s="51">
        <f t="shared" si="806"/>
        <v>0</v>
      </c>
      <c r="EV81" s="48">
        <f t="shared" si="807"/>
        <v>0</v>
      </c>
      <c r="EW81" s="51">
        <f t="shared" si="808"/>
        <v>0</v>
      </c>
      <c r="EX81" s="48">
        <f t="shared" si="809"/>
        <v>0</v>
      </c>
      <c r="EY81" s="51">
        <f t="shared" si="810"/>
        <v>0</v>
      </c>
      <c r="EZ81" s="52">
        <f t="shared" si="811"/>
        <v>0</v>
      </c>
      <c r="FA81" s="51">
        <f t="shared" si="812"/>
        <v>0</v>
      </c>
      <c r="FB81" s="48">
        <f t="shared" si="813"/>
        <v>0</v>
      </c>
      <c r="FC81" s="51">
        <f t="shared" si="814"/>
        <v>0</v>
      </c>
      <c r="FD81" s="52">
        <f t="shared" si="815"/>
        <v>0</v>
      </c>
      <c r="FE81" s="51">
        <f t="shared" si="816"/>
        <v>0</v>
      </c>
      <c r="FF81" s="53">
        <f t="shared" si="817"/>
        <v>0</v>
      </c>
      <c r="FG81" s="51">
        <f t="shared" si="818"/>
        <v>0</v>
      </c>
      <c r="FH81" s="52">
        <f t="shared" si="819"/>
        <v>0</v>
      </c>
      <c r="FI81" s="51">
        <f t="shared" si="820"/>
        <v>0</v>
      </c>
      <c r="FJ81" s="48">
        <f t="shared" si="821"/>
        <v>0</v>
      </c>
      <c r="FK81" s="51">
        <f t="shared" si="822"/>
        <v>0</v>
      </c>
      <c r="FL81" s="53">
        <f t="shared" si="823"/>
        <v>0</v>
      </c>
      <c r="FM81" s="51">
        <f t="shared" si="824"/>
        <v>0</v>
      </c>
      <c r="FN81" s="53">
        <f t="shared" si="825"/>
        <v>0</v>
      </c>
      <c r="FO81" s="51">
        <f t="shared" si="826"/>
        <v>0</v>
      </c>
      <c r="FP81" s="53">
        <f t="shared" si="827"/>
        <v>0</v>
      </c>
      <c r="FQ81" s="51">
        <f t="shared" si="828"/>
        <v>0</v>
      </c>
      <c r="FR81" s="48">
        <f t="shared" si="829"/>
        <v>0</v>
      </c>
      <c r="FS81" s="51">
        <f t="shared" si="830"/>
        <v>0</v>
      </c>
      <c r="FT81" s="53">
        <f t="shared" si="831"/>
        <v>0</v>
      </c>
      <c r="FU81" s="51">
        <f t="shared" si="832"/>
        <v>0</v>
      </c>
      <c r="FV81" s="53">
        <f t="shared" si="833"/>
        <v>0</v>
      </c>
      <c r="FW81" s="51">
        <f t="shared" si="834"/>
        <v>0</v>
      </c>
      <c r="FX81" s="53">
        <f t="shared" si="835"/>
        <v>0</v>
      </c>
      <c r="FY81" s="51">
        <f t="shared" si="836"/>
        <v>0</v>
      </c>
      <c r="FZ81" s="53">
        <f t="shared" si="837"/>
        <v>0</v>
      </c>
      <c r="GA81" s="51">
        <f t="shared" si="838"/>
        <v>0</v>
      </c>
      <c r="GB81" s="48">
        <f t="shared" si="839"/>
        <v>0</v>
      </c>
      <c r="GC81" s="51">
        <f t="shared" si="840"/>
        <v>0</v>
      </c>
      <c r="GD81" s="53">
        <f t="shared" si="841"/>
        <v>0</v>
      </c>
      <c r="GE81" s="51">
        <f t="shared" si="842"/>
        <v>0</v>
      </c>
      <c r="GF81" s="53">
        <f t="shared" si="843"/>
        <v>0</v>
      </c>
      <c r="GG81" s="51">
        <f t="shared" si="844"/>
        <v>0</v>
      </c>
      <c r="GH81" s="48">
        <f t="shared" si="845"/>
        <v>0</v>
      </c>
      <c r="GI81" s="51">
        <f t="shared" si="846"/>
        <v>0</v>
      </c>
      <c r="GJ81" s="48"/>
      <c r="GK81" s="48"/>
      <c r="GL81" s="48">
        <v>1</v>
      </c>
      <c r="GM81" s="48">
        <v>0.97</v>
      </c>
      <c r="GN81" s="48">
        <v>0.95</v>
      </c>
      <c r="GO81" s="48">
        <v>0.93</v>
      </c>
      <c r="GP81" s="48">
        <f t="shared" ref="GP81:HG81" si="937">+GO81-0.02</f>
        <v>0.91</v>
      </c>
      <c r="GQ81" s="48">
        <f t="shared" si="937"/>
        <v>0.89</v>
      </c>
      <c r="GR81" s="48">
        <f t="shared" si="937"/>
        <v>0.87</v>
      </c>
      <c r="GS81" s="48">
        <f t="shared" si="937"/>
        <v>0.85</v>
      </c>
      <c r="GT81" s="48">
        <f t="shared" si="937"/>
        <v>0.83</v>
      </c>
      <c r="GU81" s="48">
        <f t="shared" si="937"/>
        <v>0.80999999999999994</v>
      </c>
      <c r="GV81" s="48">
        <f t="shared" si="937"/>
        <v>0.78999999999999992</v>
      </c>
      <c r="GW81" s="48">
        <f t="shared" si="937"/>
        <v>0.76999999999999991</v>
      </c>
      <c r="GX81" s="48">
        <f t="shared" si="937"/>
        <v>0.74999999999999989</v>
      </c>
      <c r="GY81" s="48">
        <f t="shared" si="937"/>
        <v>0.72999999999999987</v>
      </c>
      <c r="GZ81" s="48">
        <f t="shared" si="937"/>
        <v>0.70999999999999985</v>
      </c>
      <c r="HA81" s="48">
        <f t="shared" si="937"/>
        <v>0.68999999999999984</v>
      </c>
      <c r="HB81" s="48">
        <f t="shared" si="937"/>
        <v>0.66999999999999982</v>
      </c>
      <c r="HC81" s="48">
        <f t="shared" si="937"/>
        <v>0.6499999999999998</v>
      </c>
      <c r="HD81" s="48">
        <f t="shared" si="937"/>
        <v>0.62999999999999978</v>
      </c>
      <c r="HE81" s="48">
        <f t="shared" si="937"/>
        <v>0.60999999999999976</v>
      </c>
      <c r="HF81" s="48">
        <f t="shared" si="937"/>
        <v>0.58999999999999975</v>
      </c>
      <c r="HG81" s="48">
        <f t="shared" si="937"/>
        <v>0.56999999999999973</v>
      </c>
    </row>
    <row r="82" spans="1:215" x14ac:dyDescent="0.3">
      <c r="A82" s="2">
        <v>20</v>
      </c>
      <c r="C82" s="39" t="s">
        <v>151</v>
      </c>
      <c r="D82" s="44">
        <v>0</v>
      </c>
      <c r="E82" s="73">
        <f t="shared" si="716"/>
        <v>0</v>
      </c>
      <c r="G82" s="48">
        <f t="shared" si="61"/>
        <v>0</v>
      </c>
      <c r="H82" s="48">
        <f t="shared" si="62"/>
        <v>0</v>
      </c>
      <c r="I82" s="51">
        <f t="shared" si="63"/>
        <v>0</v>
      </c>
      <c r="J82" s="48">
        <f t="shared" si="717"/>
        <v>0</v>
      </c>
      <c r="K82" s="51">
        <f t="shared" si="718"/>
        <v>0</v>
      </c>
      <c r="L82" s="48">
        <f t="shared" si="719"/>
        <v>0</v>
      </c>
      <c r="M82" s="51">
        <f t="shared" si="720"/>
        <v>0</v>
      </c>
      <c r="N82" s="48">
        <f t="shared" si="721"/>
        <v>0</v>
      </c>
      <c r="O82" s="51">
        <f t="shared" si="722"/>
        <v>0</v>
      </c>
      <c r="P82" s="52">
        <f t="shared" si="723"/>
        <v>0</v>
      </c>
      <c r="Q82" s="51">
        <f t="shared" si="724"/>
        <v>0</v>
      </c>
      <c r="R82" s="48">
        <f t="shared" si="725"/>
        <v>0</v>
      </c>
      <c r="S82" s="51">
        <f t="shared" si="726"/>
        <v>0</v>
      </c>
      <c r="T82" s="52">
        <f t="shared" si="727"/>
        <v>0</v>
      </c>
      <c r="U82" s="51">
        <f t="shared" si="728"/>
        <v>0</v>
      </c>
      <c r="V82" s="53">
        <f t="shared" si="729"/>
        <v>0</v>
      </c>
      <c r="W82" s="51">
        <f t="shared" si="730"/>
        <v>0</v>
      </c>
      <c r="X82" s="52">
        <f t="shared" si="731"/>
        <v>0</v>
      </c>
      <c r="Y82" s="51">
        <f t="shared" si="732"/>
        <v>0</v>
      </c>
      <c r="Z82" s="48">
        <f t="shared" si="733"/>
        <v>0</v>
      </c>
      <c r="AA82" s="51">
        <f t="shared" si="734"/>
        <v>0</v>
      </c>
      <c r="AB82" s="53">
        <f t="shared" si="735"/>
        <v>0</v>
      </c>
      <c r="AC82" s="51">
        <f t="shared" si="736"/>
        <v>0</v>
      </c>
      <c r="AD82" s="53">
        <f t="shared" si="737"/>
        <v>0</v>
      </c>
      <c r="AE82" s="51">
        <f t="shared" si="738"/>
        <v>0</v>
      </c>
      <c r="AF82" s="53">
        <f t="shared" si="739"/>
        <v>0</v>
      </c>
      <c r="AG82" s="51">
        <f t="shared" si="740"/>
        <v>0</v>
      </c>
      <c r="AH82" s="48">
        <f t="shared" si="741"/>
        <v>0</v>
      </c>
      <c r="AI82" s="51">
        <f t="shared" si="742"/>
        <v>0</v>
      </c>
      <c r="AJ82" s="53">
        <f t="shared" si="743"/>
        <v>0</v>
      </c>
      <c r="AK82" s="51">
        <f t="shared" si="744"/>
        <v>0</v>
      </c>
      <c r="AL82" s="53">
        <f t="shared" si="745"/>
        <v>0</v>
      </c>
      <c r="AM82" s="51">
        <f t="shared" si="746"/>
        <v>0</v>
      </c>
      <c r="AN82" s="53">
        <f t="shared" si="747"/>
        <v>0</v>
      </c>
      <c r="AO82" s="51">
        <f t="shared" si="748"/>
        <v>0</v>
      </c>
      <c r="AP82" s="53">
        <f t="shared" si="749"/>
        <v>0</v>
      </c>
      <c r="AQ82" s="51">
        <f t="shared" si="750"/>
        <v>0</v>
      </c>
      <c r="AR82" s="48">
        <f t="shared" si="751"/>
        <v>0</v>
      </c>
      <c r="AS82" s="51">
        <f t="shared" si="752"/>
        <v>0</v>
      </c>
      <c r="AT82" s="53">
        <f t="shared" si="753"/>
        <v>0</v>
      </c>
      <c r="AU82" s="51">
        <f t="shared" si="754"/>
        <v>0</v>
      </c>
      <c r="AV82" s="53">
        <f t="shared" si="755"/>
        <v>0</v>
      </c>
      <c r="AW82" s="51">
        <f t="shared" si="756"/>
        <v>0</v>
      </c>
      <c r="AX82" s="48">
        <f t="shared" si="757"/>
        <v>0</v>
      </c>
      <c r="AY82" s="51">
        <f t="shared" si="758"/>
        <v>0</v>
      </c>
      <c r="BB82" s="48">
        <v>1</v>
      </c>
      <c r="BC82" s="48">
        <v>0.97</v>
      </c>
      <c r="BD82" s="48">
        <v>0.95</v>
      </c>
      <c r="BE82" s="48">
        <v>0.93</v>
      </c>
      <c r="BF82" s="48">
        <f t="shared" ref="BF82:BW82" si="938">+BE82-0.02</f>
        <v>0.91</v>
      </c>
      <c r="BG82" s="48">
        <f t="shared" si="938"/>
        <v>0.89</v>
      </c>
      <c r="BH82" s="48">
        <f t="shared" si="938"/>
        <v>0.87</v>
      </c>
      <c r="BI82" s="48">
        <f t="shared" si="938"/>
        <v>0.85</v>
      </c>
      <c r="BJ82" s="48">
        <f t="shared" si="938"/>
        <v>0.83</v>
      </c>
      <c r="BK82" s="48">
        <f t="shared" si="938"/>
        <v>0.80999999999999994</v>
      </c>
      <c r="BL82" s="48">
        <f t="shared" si="938"/>
        <v>0.78999999999999992</v>
      </c>
      <c r="BM82" s="48">
        <f t="shared" si="938"/>
        <v>0.76999999999999991</v>
      </c>
      <c r="BN82" s="48">
        <f t="shared" si="938"/>
        <v>0.74999999999999989</v>
      </c>
      <c r="BO82" s="48">
        <f t="shared" si="938"/>
        <v>0.72999999999999987</v>
      </c>
      <c r="BP82" s="48">
        <f t="shared" si="938"/>
        <v>0.70999999999999985</v>
      </c>
      <c r="BQ82" s="48">
        <f t="shared" si="938"/>
        <v>0.68999999999999984</v>
      </c>
      <c r="BR82" s="48">
        <f t="shared" si="938"/>
        <v>0.66999999999999982</v>
      </c>
      <c r="BS82" s="48">
        <f t="shared" si="938"/>
        <v>0.6499999999999998</v>
      </c>
      <c r="BT82" s="48">
        <f t="shared" si="938"/>
        <v>0.62999999999999978</v>
      </c>
      <c r="BU82" s="48">
        <f t="shared" si="938"/>
        <v>0.60999999999999976</v>
      </c>
      <c r="BV82" s="48">
        <f t="shared" si="938"/>
        <v>0.58999999999999975</v>
      </c>
      <c r="BW82" s="48">
        <f t="shared" si="938"/>
        <v>0.56999999999999973</v>
      </c>
      <c r="BY82" s="48">
        <f t="shared" si="88"/>
        <v>0</v>
      </c>
      <c r="BZ82" s="48">
        <f t="shared" si="89"/>
        <v>0</v>
      </c>
      <c r="CA82" s="51">
        <f t="shared" ref="CA82" si="939">+BZ82*3.3058</f>
        <v>0</v>
      </c>
      <c r="CB82" s="48">
        <f t="shared" si="761"/>
        <v>0</v>
      </c>
      <c r="CC82" s="51">
        <f t="shared" si="762"/>
        <v>0</v>
      </c>
      <c r="CD82" s="48">
        <f t="shared" si="763"/>
        <v>0</v>
      </c>
      <c r="CE82" s="51">
        <f t="shared" si="764"/>
        <v>0</v>
      </c>
      <c r="CF82" s="48">
        <f t="shared" si="765"/>
        <v>0</v>
      </c>
      <c r="CG82" s="51">
        <f t="shared" si="766"/>
        <v>0</v>
      </c>
      <c r="CH82" s="52">
        <f t="shared" si="767"/>
        <v>0</v>
      </c>
      <c r="CI82" s="51">
        <f t="shared" si="768"/>
        <v>0</v>
      </c>
      <c r="CJ82" s="48">
        <f t="shared" si="769"/>
        <v>0</v>
      </c>
      <c r="CK82" s="51">
        <f t="shared" si="770"/>
        <v>0</v>
      </c>
      <c r="CL82" s="52">
        <f t="shared" si="771"/>
        <v>0</v>
      </c>
      <c r="CM82" s="51">
        <f t="shared" si="772"/>
        <v>0</v>
      </c>
      <c r="CN82" s="53">
        <f t="shared" si="773"/>
        <v>0</v>
      </c>
      <c r="CO82" s="51">
        <f t="shared" si="774"/>
        <v>0</v>
      </c>
      <c r="CP82" s="52">
        <f t="shared" si="775"/>
        <v>0</v>
      </c>
      <c r="CQ82" s="51">
        <f t="shared" si="776"/>
        <v>0</v>
      </c>
      <c r="CR82" s="48">
        <f t="shared" si="777"/>
        <v>0</v>
      </c>
      <c r="CS82" s="51">
        <f t="shared" si="778"/>
        <v>0</v>
      </c>
      <c r="CT82" s="53">
        <f t="shared" si="779"/>
        <v>0</v>
      </c>
      <c r="CU82" s="51">
        <f t="shared" si="780"/>
        <v>0</v>
      </c>
      <c r="CV82" s="53">
        <f t="shared" si="781"/>
        <v>0</v>
      </c>
      <c r="CW82" s="51">
        <f t="shared" si="782"/>
        <v>0</v>
      </c>
      <c r="CX82" s="53">
        <f t="shared" si="783"/>
        <v>0</v>
      </c>
      <c r="CY82" s="51">
        <f t="shared" si="784"/>
        <v>0</v>
      </c>
      <c r="CZ82" s="48">
        <f t="shared" si="785"/>
        <v>0</v>
      </c>
      <c r="DA82" s="51">
        <f t="shared" si="786"/>
        <v>0</v>
      </c>
      <c r="DB82" s="53">
        <f t="shared" si="787"/>
        <v>0</v>
      </c>
      <c r="DC82" s="51">
        <f t="shared" si="788"/>
        <v>0</v>
      </c>
      <c r="DD82" s="53">
        <f t="shared" si="789"/>
        <v>0</v>
      </c>
      <c r="DE82" s="51">
        <f t="shared" si="790"/>
        <v>0</v>
      </c>
      <c r="DF82" s="53">
        <f t="shared" si="791"/>
        <v>0</v>
      </c>
      <c r="DG82" s="51">
        <f t="shared" si="792"/>
        <v>0</v>
      </c>
      <c r="DH82" s="53">
        <f t="shared" si="793"/>
        <v>0</v>
      </c>
      <c r="DI82" s="51">
        <f t="shared" si="794"/>
        <v>0</v>
      </c>
      <c r="DJ82" s="48">
        <f t="shared" si="795"/>
        <v>0</v>
      </c>
      <c r="DK82" s="51">
        <f t="shared" si="796"/>
        <v>0</v>
      </c>
      <c r="DL82" s="53">
        <f t="shared" si="797"/>
        <v>0</v>
      </c>
      <c r="DM82" s="51">
        <f t="shared" si="798"/>
        <v>0</v>
      </c>
      <c r="DN82" s="53">
        <f t="shared" si="799"/>
        <v>0</v>
      </c>
      <c r="DO82" s="51">
        <f t="shared" si="800"/>
        <v>0</v>
      </c>
      <c r="DP82" s="48">
        <f t="shared" si="801"/>
        <v>0</v>
      </c>
      <c r="DQ82" s="51">
        <f t="shared" si="802"/>
        <v>0</v>
      </c>
      <c r="DT82" s="48">
        <v>1</v>
      </c>
      <c r="DU82" s="48">
        <v>0.97</v>
      </c>
      <c r="DV82" s="48">
        <v>0.95</v>
      </c>
      <c r="DW82" s="48">
        <v>0.93</v>
      </c>
      <c r="DX82" s="48">
        <f t="shared" ref="DX82:EO82" si="940">+DW82-0.02</f>
        <v>0.91</v>
      </c>
      <c r="DY82" s="48">
        <f t="shared" si="940"/>
        <v>0.89</v>
      </c>
      <c r="DZ82" s="48">
        <f t="shared" si="940"/>
        <v>0.87</v>
      </c>
      <c r="EA82" s="48">
        <f t="shared" si="940"/>
        <v>0.85</v>
      </c>
      <c r="EB82" s="48">
        <f t="shared" si="940"/>
        <v>0.83</v>
      </c>
      <c r="EC82" s="48">
        <f t="shared" si="940"/>
        <v>0.80999999999999994</v>
      </c>
      <c r="ED82" s="48">
        <f t="shared" si="940"/>
        <v>0.78999999999999992</v>
      </c>
      <c r="EE82" s="48">
        <f t="shared" si="940"/>
        <v>0.76999999999999991</v>
      </c>
      <c r="EF82" s="48">
        <f t="shared" si="940"/>
        <v>0.74999999999999989</v>
      </c>
      <c r="EG82" s="48">
        <f t="shared" si="940"/>
        <v>0.72999999999999987</v>
      </c>
      <c r="EH82" s="48">
        <f t="shared" si="940"/>
        <v>0.70999999999999985</v>
      </c>
      <c r="EI82" s="48">
        <f t="shared" si="940"/>
        <v>0.68999999999999984</v>
      </c>
      <c r="EJ82" s="48">
        <f t="shared" si="940"/>
        <v>0.66999999999999982</v>
      </c>
      <c r="EK82" s="48">
        <f t="shared" si="940"/>
        <v>0.6499999999999998</v>
      </c>
      <c r="EL82" s="48">
        <f t="shared" si="940"/>
        <v>0.62999999999999978</v>
      </c>
      <c r="EM82" s="48">
        <f t="shared" si="940"/>
        <v>0.60999999999999976</v>
      </c>
      <c r="EN82" s="48">
        <f t="shared" si="940"/>
        <v>0.58999999999999975</v>
      </c>
      <c r="EO82" s="48">
        <f t="shared" si="940"/>
        <v>0.56999999999999973</v>
      </c>
      <c r="EQ82" s="48">
        <f t="shared" si="188"/>
        <v>0</v>
      </c>
      <c r="ER82" s="48">
        <f t="shared" si="116"/>
        <v>0</v>
      </c>
      <c r="ES82" s="51">
        <f t="shared" ref="ES82" si="941">+ER82*3.3058</f>
        <v>0</v>
      </c>
      <c r="ET82" s="48">
        <f t="shared" si="805"/>
        <v>0</v>
      </c>
      <c r="EU82" s="51">
        <f t="shared" si="806"/>
        <v>0</v>
      </c>
      <c r="EV82" s="48">
        <f t="shared" si="807"/>
        <v>0</v>
      </c>
      <c r="EW82" s="51">
        <f t="shared" si="808"/>
        <v>0</v>
      </c>
      <c r="EX82" s="48">
        <f t="shared" si="809"/>
        <v>0</v>
      </c>
      <c r="EY82" s="51">
        <f t="shared" si="810"/>
        <v>0</v>
      </c>
      <c r="EZ82" s="52">
        <f t="shared" si="811"/>
        <v>0</v>
      </c>
      <c r="FA82" s="51">
        <f t="shared" si="812"/>
        <v>0</v>
      </c>
      <c r="FB82" s="48">
        <f t="shared" si="813"/>
        <v>0</v>
      </c>
      <c r="FC82" s="51">
        <f t="shared" si="814"/>
        <v>0</v>
      </c>
      <c r="FD82" s="52">
        <f t="shared" si="815"/>
        <v>0</v>
      </c>
      <c r="FE82" s="51">
        <f t="shared" si="816"/>
        <v>0</v>
      </c>
      <c r="FF82" s="53">
        <f t="shared" si="817"/>
        <v>0</v>
      </c>
      <c r="FG82" s="51">
        <f t="shared" si="818"/>
        <v>0</v>
      </c>
      <c r="FH82" s="52">
        <f t="shared" si="819"/>
        <v>0</v>
      </c>
      <c r="FI82" s="51">
        <f t="shared" si="820"/>
        <v>0</v>
      </c>
      <c r="FJ82" s="48">
        <f t="shared" si="821"/>
        <v>0</v>
      </c>
      <c r="FK82" s="51">
        <f t="shared" si="822"/>
        <v>0</v>
      </c>
      <c r="FL82" s="53">
        <f t="shared" si="823"/>
        <v>0</v>
      </c>
      <c r="FM82" s="51">
        <f t="shared" si="824"/>
        <v>0</v>
      </c>
      <c r="FN82" s="53">
        <f t="shared" si="825"/>
        <v>0</v>
      </c>
      <c r="FO82" s="51">
        <f t="shared" si="826"/>
        <v>0</v>
      </c>
      <c r="FP82" s="53">
        <f t="shared" si="827"/>
        <v>0</v>
      </c>
      <c r="FQ82" s="51">
        <f t="shared" si="828"/>
        <v>0</v>
      </c>
      <c r="FR82" s="48">
        <f t="shared" si="829"/>
        <v>0</v>
      </c>
      <c r="FS82" s="51">
        <f t="shared" si="830"/>
        <v>0</v>
      </c>
      <c r="FT82" s="53">
        <f t="shared" si="831"/>
        <v>0</v>
      </c>
      <c r="FU82" s="51">
        <f t="shared" si="832"/>
        <v>0</v>
      </c>
      <c r="FV82" s="53">
        <f t="shared" si="833"/>
        <v>0</v>
      </c>
      <c r="FW82" s="51">
        <f t="shared" si="834"/>
        <v>0</v>
      </c>
      <c r="FX82" s="53">
        <f t="shared" si="835"/>
        <v>0</v>
      </c>
      <c r="FY82" s="51">
        <f t="shared" si="836"/>
        <v>0</v>
      </c>
      <c r="FZ82" s="53">
        <f t="shared" si="837"/>
        <v>0</v>
      </c>
      <c r="GA82" s="51">
        <f t="shared" si="838"/>
        <v>0</v>
      </c>
      <c r="GB82" s="48">
        <f t="shared" si="839"/>
        <v>0</v>
      </c>
      <c r="GC82" s="51">
        <f t="shared" si="840"/>
        <v>0</v>
      </c>
      <c r="GD82" s="53">
        <f t="shared" si="841"/>
        <v>0</v>
      </c>
      <c r="GE82" s="51">
        <f t="shared" si="842"/>
        <v>0</v>
      </c>
      <c r="GF82" s="53">
        <f t="shared" si="843"/>
        <v>0</v>
      </c>
      <c r="GG82" s="51">
        <f t="shared" si="844"/>
        <v>0</v>
      </c>
      <c r="GH82" s="48">
        <f t="shared" si="845"/>
        <v>0</v>
      </c>
      <c r="GI82" s="51">
        <f t="shared" si="846"/>
        <v>0</v>
      </c>
      <c r="GJ82" s="48"/>
      <c r="GK82" s="48"/>
      <c r="GL82" s="48">
        <v>1</v>
      </c>
      <c r="GM82" s="48">
        <v>0.97</v>
      </c>
      <c r="GN82" s="48">
        <v>0.95</v>
      </c>
      <c r="GO82" s="48">
        <v>0.93</v>
      </c>
      <c r="GP82" s="48">
        <f t="shared" ref="GP82:HG82" si="942">+GO82-0.02</f>
        <v>0.91</v>
      </c>
      <c r="GQ82" s="48">
        <f t="shared" si="942"/>
        <v>0.89</v>
      </c>
      <c r="GR82" s="48">
        <f t="shared" si="942"/>
        <v>0.87</v>
      </c>
      <c r="GS82" s="48">
        <f t="shared" si="942"/>
        <v>0.85</v>
      </c>
      <c r="GT82" s="48">
        <f t="shared" si="942"/>
        <v>0.83</v>
      </c>
      <c r="GU82" s="48">
        <f t="shared" si="942"/>
        <v>0.80999999999999994</v>
      </c>
      <c r="GV82" s="48">
        <f t="shared" si="942"/>
        <v>0.78999999999999992</v>
      </c>
      <c r="GW82" s="48">
        <f t="shared" si="942"/>
        <v>0.76999999999999991</v>
      </c>
      <c r="GX82" s="48">
        <f t="shared" si="942"/>
        <v>0.74999999999999989</v>
      </c>
      <c r="GY82" s="48">
        <f t="shared" si="942"/>
        <v>0.72999999999999987</v>
      </c>
      <c r="GZ82" s="48">
        <f t="shared" si="942"/>
        <v>0.70999999999999985</v>
      </c>
      <c r="HA82" s="48">
        <f t="shared" si="942"/>
        <v>0.68999999999999984</v>
      </c>
      <c r="HB82" s="48">
        <f t="shared" si="942"/>
        <v>0.66999999999999982</v>
      </c>
      <c r="HC82" s="48">
        <f t="shared" si="942"/>
        <v>0.6499999999999998</v>
      </c>
      <c r="HD82" s="48">
        <f t="shared" si="942"/>
        <v>0.62999999999999978</v>
      </c>
      <c r="HE82" s="48">
        <f t="shared" si="942"/>
        <v>0.60999999999999976</v>
      </c>
      <c r="HF82" s="48">
        <f t="shared" si="942"/>
        <v>0.58999999999999975</v>
      </c>
      <c r="HG82" s="48">
        <f t="shared" si="942"/>
        <v>0.56999999999999973</v>
      </c>
    </row>
    <row r="83" spans="1:215" x14ac:dyDescent="0.3">
      <c r="A83" s="2">
        <v>21</v>
      </c>
      <c r="C83" s="39" t="s">
        <v>152</v>
      </c>
      <c r="D83" s="44">
        <v>0</v>
      </c>
      <c r="E83" s="73">
        <f t="shared" si="716"/>
        <v>0</v>
      </c>
      <c r="G83" s="48">
        <f t="shared" si="61"/>
        <v>0</v>
      </c>
      <c r="H83" s="48">
        <f t="shared" si="62"/>
        <v>0</v>
      </c>
      <c r="I83" s="51">
        <f t="shared" si="63"/>
        <v>0</v>
      </c>
      <c r="J83" s="48">
        <f t="shared" si="717"/>
        <v>0</v>
      </c>
      <c r="K83" s="51">
        <f t="shared" si="718"/>
        <v>0</v>
      </c>
      <c r="L83" s="48">
        <f t="shared" si="719"/>
        <v>0</v>
      </c>
      <c r="M83" s="51">
        <f t="shared" si="720"/>
        <v>0</v>
      </c>
      <c r="N83" s="48">
        <f t="shared" si="721"/>
        <v>0</v>
      </c>
      <c r="O83" s="51">
        <f t="shared" si="722"/>
        <v>0</v>
      </c>
      <c r="P83" s="52">
        <f t="shared" si="723"/>
        <v>0</v>
      </c>
      <c r="Q83" s="51">
        <f t="shared" si="724"/>
        <v>0</v>
      </c>
      <c r="R83" s="48">
        <f t="shared" si="725"/>
        <v>0</v>
      </c>
      <c r="S83" s="51">
        <f t="shared" si="726"/>
        <v>0</v>
      </c>
      <c r="T83" s="52">
        <f t="shared" si="727"/>
        <v>0</v>
      </c>
      <c r="U83" s="51">
        <f t="shared" si="728"/>
        <v>0</v>
      </c>
      <c r="V83" s="53">
        <f t="shared" si="729"/>
        <v>0</v>
      </c>
      <c r="W83" s="51">
        <f t="shared" si="730"/>
        <v>0</v>
      </c>
      <c r="X83" s="52">
        <f t="shared" si="731"/>
        <v>0</v>
      </c>
      <c r="Y83" s="51">
        <f t="shared" si="732"/>
        <v>0</v>
      </c>
      <c r="Z83" s="48">
        <f t="shared" si="733"/>
        <v>0</v>
      </c>
      <c r="AA83" s="51">
        <f t="shared" si="734"/>
        <v>0</v>
      </c>
      <c r="AB83" s="53">
        <f t="shared" si="735"/>
        <v>0</v>
      </c>
      <c r="AC83" s="51">
        <f t="shared" si="736"/>
        <v>0</v>
      </c>
      <c r="AD83" s="53">
        <f t="shared" si="737"/>
        <v>0</v>
      </c>
      <c r="AE83" s="51">
        <f t="shared" si="738"/>
        <v>0</v>
      </c>
      <c r="AF83" s="53">
        <f t="shared" si="739"/>
        <v>0</v>
      </c>
      <c r="AG83" s="51">
        <f t="shared" si="740"/>
        <v>0</v>
      </c>
      <c r="AH83" s="48">
        <f t="shared" si="741"/>
        <v>0</v>
      </c>
      <c r="AI83" s="51">
        <f t="shared" si="742"/>
        <v>0</v>
      </c>
      <c r="AJ83" s="53">
        <f t="shared" si="743"/>
        <v>0</v>
      </c>
      <c r="AK83" s="51">
        <f t="shared" si="744"/>
        <v>0</v>
      </c>
      <c r="AL83" s="53">
        <f t="shared" si="745"/>
        <v>0</v>
      </c>
      <c r="AM83" s="51">
        <f t="shared" si="746"/>
        <v>0</v>
      </c>
      <c r="AN83" s="53">
        <f t="shared" si="747"/>
        <v>0</v>
      </c>
      <c r="AO83" s="51">
        <f t="shared" si="748"/>
        <v>0</v>
      </c>
      <c r="AP83" s="53">
        <f t="shared" si="749"/>
        <v>0</v>
      </c>
      <c r="AQ83" s="51">
        <f t="shared" si="750"/>
        <v>0</v>
      </c>
      <c r="AR83" s="48">
        <f t="shared" si="751"/>
        <v>0</v>
      </c>
      <c r="AS83" s="51">
        <f t="shared" si="752"/>
        <v>0</v>
      </c>
      <c r="AT83" s="53">
        <f t="shared" si="753"/>
        <v>0</v>
      </c>
      <c r="AU83" s="51">
        <f t="shared" si="754"/>
        <v>0</v>
      </c>
      <c r="AV83" s="53">
        <f t="shared" si="755"/>
        <v>0</v>
      </c>
      <c r="AW83" s="51">
        <f t="shared" si="756"/>
        <v>0</v>
      </c>
      <c r="AX83" s="48">
        <f t="shared" si="757"/>
        <v>0</v>
      </c>
      <c r="AY83" s="51">
        <f t="shared" si="758"/>
        <v>0</v>
      </c>
      <c r="BB83" s="48">
        <v>1</v>
      </c>
      <c r="BC83" s="48">
        <v>0.97</v>
      </c>
      <c r="BD83" s="48">
        <v>0.95</v>
      </c>
      <c r="BE83" s="48">
        <v>0.93</v>
      </c>
      <c r="BF83" s="48">
        <f t="shared" ref="BF83:BW83" si="943">+BE83-0.02</f>
        <v>0.91</v>
      </c>
      <c r="BG83" s="48">
        <f t="shared" si="943"/>
        <v>0.89</v>
      </c>
      <c r="BH83" s="48">
        <f t="shared" si="943"/>
        <v>0.87</v>
      </c>
      <c r="BI83" s="48">
        <f t="shared" si="943"/>
        <v>0.85</v>
      </c>
      <c r="BJ83" s="48">
        <f t="shared" si="943"/>
        <v>0.83</v>
      </c>
      <c r="BK83" s="48">
        <f t="shared" si="943"/>
        <v>0.80999999999999994</v>
      </c>
      <c r="BL83" s="48">
        <f t="shared" si="943"/>
        <v>0.78999999999999992</v>
      </c>
      <c r="BM83" s="48">
        <f t="shared" si="943"/>
        <v>0.76999999999999991</v>
      </c>
      <c r="BN83" s="48">
        <f t="shared" si="943"/>
        <v>0.74999999999999989</v>
      </c>
      <c r="BO83" s="48">
        <f t="shared" si="943"/>
        <v>0.72999999999999987</v>
      </c>
      <c r="BP83" s="48">
        <f t="shared" si="943"/>
        <v>0.70999999999999985</v>
      </c>
      <c r="BQ83" s="48">
        <f t="shared" si="943"/>
        <v>0.68999999999999984</v>
      </c>
      <c r="BR83" s="48">
        <f t="shared" si="943"/>
        <v>0.66999999999999982</v>
      </c>
      <c r="BS83" s="48">
        <f t="shared" si="943"/>
        <v>0.6499999999999998</v>
      </c>
      <c r="BT83" s="48">
        <f t="shared" si="943"/>
        <v>0.62999999999999978</v>
      </c>
      <c r="BU83" s="48">
        <f t="shared" si="943"/>
        <v>0.60999999999999976</v>
      </c>
      <c r="BV83" s="48">
        <f t="shared" si="943"/>
        <v>0.58999999999999975</v>
      </c>
      <c r="BW83" s="48">
        <f t="shared" si="943"/>
        <v>0.56999999999999973</v>
      </c>
      <c r="BY83" s="48">
        <f t="shared" si="88"/>
        <v>0</v>
      </c>
      <c r="BZ83" s="48">
        <f t="shared" si="89"/>
        <v>0</v>
      </c>
      <c r="CA83" s="51">
        <f t="shared" ref="CA83" si="944">+BZ83*3.3058</f>
        <v>0</v>
      </c>
      <c r="CB83" s="48">
        <f t="shared" si="761"/>
        <v>0</v>
      </c>
      <c r="CC83" s="51">
        <f t="shared" si="762"/>
        <v>0</v>
      </c>
      <c r="CD83" s="48">
        <f t="shared" si="763"/>
        <v>0</v>
      </c>
      <c r="CE83" s="51">
        <f t="shared" si="764"/>
        <v>0</v>
      </c>
      <c r="CF83" s="48">
        <f t="shared" si="765"/>
        <v>0</v>
      </c>
      <c r="CG83" s="51">
        <f t="shared" si="766"/>
        <v>0</v>
      </c>
      <c r="CH83" s="52">
        <f t="shared" si="767"/>
        <v>0</v>
      </c>
      <c r="CI83" s="51">
        <f t="shared" si="768"/>
        <v>0</v>
      </c>
      <c r="CJ83" s="48">
        <f t="shared" si="769"/>
        <v>0</v>
      </c>
      <c r="CK83" s="51">
        <f t="shared" si="770"/>
        <v>0</v>
      </c>
      <c r="CL83" s="52">
        <f t="shared" si="771"/>
        <v>0</v>
      </c>
      <c r="CM83" s="51">
        <f t="shared" si="772"/>
        <v>0</v>
      </c>
      <c r="CN83" s="53">
        <f t="shared" si="773"/>
        <v>0</v>
      </c>
      <c r="CO83" s="51">
        <f t="shared" si="774"/>
        <v>0</v>
      </c>
      <c r="CP83" s="52">
        <f t="shared" si="775"/>
        <v>0</v>
      </c>
      <c r="CQ83" s="51">
        <f t="shared" si="776"/>
        <v>0</v>
      </c>
      <c r="CR83" s="48">
        <f t="shared" si="777"/>
        <v>0</v>
      </c>
      <c r="CS83" s="51">
        <f t="shared" si="778"/>
        <v>0</v>
      </c>
      <c r="CT83" s="53">
        <f t="shared" si="779"/>
        <v>0</v>
      </c>
      <c r="CU83" s="51">
        <f t="shared" si="780"/>
        <v>0</v>
      </c>
      <c r="CV83" s="53">
        <f t="shared" si="781"/>
        <v>0</v>
      </c>
      <c r="CW83" s="51">
        <f t="shared" si="782"/>
        <v>0</v>
      </c>
      <c r="CX83" s="53">
        <f t="shared" si="783"/>
        <v>0</v>
      </c>
      <c r="CY83" s="51">
        <f t="shared" si="784"/>
        <v>0</v>
      </c>
      <c r="CZ83" s="48">
        <f t="shared" si="785"/>
        <v>0</v>
      </c>
      <c r="DA83" s="51">
        <f t="shared" si="786"/>
        <v>0</v>
      </c>
      <c r="DB83" s="53">
        <f t="shared" si="787"/>
        <v>0</v>
      </c>
      <c r="DC83" s="51">
        <f t="shared" si="788"/>
        <v>0</v>
      </c>
      <c r="DD83" s="53">
        <f t="shared" si="789"/>
        <v>0</v>
      </c>
      <c r="DE83" s="51">
        <f t="shared" si="790"/>
        <v>0</v>
      </c>
      <c r="DF83" s="53">
        <f t="shared" si="791"/>
        <v>0</v>
      </c>
      <c r="DG83" s="51">
        <f t="shared" si="792"/>
        <v>0</v>
      </c>
      <c r="DH83" s="53">
        <f t="shared" si="793"/>
        <v>0</v>
      </c>
      <c r="DI83" s="51">
        <f t="shared" si="794"/>
        <v>0</v>
      </c>
      <c r="DJ83" s="48">
        <f t="shared" si="795"/>
        <v>0</v>
      </c>
      <c r="DK83" s="51">
        <f t="shared" si="796"/>
        <v>0</v>
      </c>
      <c r="DL83" s="53">
        <f t="shared" si="797"/>
        <v>0</v>
      </c>
      <c r="DM83" s="51">
        <f t="shared" si="798"/>
        <v>0</v>
      </c>
      <c r="DN83" s="53">
        <f t="shared" si="799"/>
        <v>0</v>
      </c>
      <c r="DO83" s="51">
        <f t="shared" si="800"/>
        <v>0</v>
      </c>
      <c r="DP83" s="48">
        <f t="shared" si="801"/>
        <v>0</v>
      </c>
      <c r="DQ83" s="51">
        <f t="shared" si="802"/>
        <v>0</v>
      </c>
      <c r="DT83" s="48">
        <v>1</v>
      </c>
      <c r="DU83" s="48">
        <v>0.97</v>
      </c>
      <c r="DV83" s="48">
        <v>0.95</v>
      </c>
      <c r="DW83" s="48">
        <v>0.93</v>
      </c>
      <c r="DX83" s="48">
        <f t="shared" ref="DX83:EO83" si="945">+DW83-0.02</f>
        <v>0.91</v>
      </c>
      <c r="DY83" s="48">
        <f t="shared" si="945"/>
        <v>0.89</v>
      </c>
      <c r="DZ83" s="48">
        <f t="shared" si="945"/>
        <v>0.87</v>
      </c>
      <c r="EA83" s="48">
        <f t="shared" si="945"/>
        <v>0.85</v>
      </c>
      <c r="EB83" s="48">
        <f t="shared" si="945"/>
        <v>0.83</v>
      </c>
      <c r="EC83" s="48">
        <f t="shared" si="945"/>
        <v>0.80999999999999994</v>
      </c>
      <c r="ED83" s="48">
        <f t="shared" si="945"/>
        <v>0.78999999999999992</v>
      </c>
      <c r="EE83" s="48">
        <f t="shared" si="945"/>
        <v>0.76999999999999991</v>
      </c>
      <c r="EF83" s="48">
        <f t="shared" si="945"/>
        <v>0.74999999999999989</v>
      </c>
      <c r="EG83" s="48">
        <f t="shared" si="945"/>
        <v>0.72999999999999987</v>
      </c>
      <c r="EH83" s="48">
        <f t="shared" si="945"/>
        <v>0.70999999999999985</v>
      </c>
      <c r="EI83" s="48">
        <f t="shared" si="945"/>
        <v>0.68999999999999984</v>
      </c>
      <c r="EJ83" s="48">
        <f t="shared" si="945"/>
        <v>0.66999999999999982</v>
      </c>
      <c r="EK83" s="48">
        <f t="shared" si="945"/>
        <v>0.6499999999999998</v>
      </c>
      <c r="EL83" s="48">
        <f t="shared" si="945"/>
        <v>0.62999999999999978</v>
      </c>
      <c r="EM83" s="48">
        <f t="shared" si="945"/>
        <v>0.60999999999999976</v>
      </c>
      <c r="EN83" s="48">
        <f t="shared" si="945"/>
        <v>0.58999999999999975</v>
      </c>
      <c r="EO83" s="48">
        <f t="shared" si="945"/>
        <v>0.56999999999999973</v>
      </c>
      <c r="EQ83" s="48">
        <f t="shared" si="188"/>
        <v>0</v>
      </c>
      <c r="ER83" s="48">
        <f t="shared" si="116"/>
        <v>0</v>
      </c>
      <c r="ES83" s="51">
        <f t="shared" ref="ES83" si="946">+ER83*3.3058</f>
        <v>0</v>
      </c>
      <c r="ET83" s="48">
        <f t="shared" si="805"/>
        <v>0</v>
      </c>
      <c r="EU83" s="51">
        <f t="shared" si="806"/>
        <v>0</v>
      </c>
      <c r="EV83" s="48">
        <f t="shared" si="807"/>
        <v>0</v>
      </c>
      <c r="EW83" s="51">
        <f t="shared" si="808"/>
        <v>0</v>
      </c>
      <c r="EX83" s="48">
        <f t="shared" si="809"/>
        <v>0</v>
      </c>
      <c r="EY83" s="51">
        <f t="shared" si="810"/>
        <v>0</v>
      </c>
      <c r="EZ83" s="52">
        <f t="shared" si="811"/>
        <v>0</v>
      </c>
      <c r="FA83" s="51">
        <f t="shared" si="812"/>
        <v>0</v>
      </c>
      <c r="FB83" s="48">
        <f t="shared" si="813"/>
        <v>0</v>
      </c>
      <c r="FC83" s="51">
        <f t="shared" si="814"/>
        <v>0</v>
      </c>
      <c r="FD83" s="52">
        <f t="shared" si="815"/>
        <v>0</v>
      </c>
      <c r="FE83" s="51">
        <f t="shared" si="816"/>
        <v>0</v>
      </c>
      <c r="FF83" s="53">
        <f t="shared" si="817"/>
        <v>0</v>
      </c>
      <c r="FG83" s="51">
        <f t="shared" si="818"/>
        <v>0</v>
      </c>
      <c r="FH83" s="52">
        <f t="shared" si="819"/>
        <v>0</v>
      </c>
      <c r="FI83" s="51">
        <f t="shared" si="820"/>
        <v>0</v>
      </c>
      <c r="FJ83" s="48">
        <f t="shared" si="821"/>
        <v>0</v>
      </c>
      <c r="FK83" s="51">
        <f t="shared" si="822"/>
        <v>0</v>
      </c>
      <c r="FL83" s="53">
        <f t="shared" si="823"/>
        <v>0</v>
      </c>
      <c r="FM83" s="51">
        <f t="shared" si="824"/>
        <v>0</v>
      </c>
      <c r="FN83" s="53">
        <f t="shared" si="825"/>
        <v>0</v>
      </c>
      <c r="FO83" s="51">
        <f t="shared" si="826"/>
        <v>0</v>
      </c>
      <c r="FP83" s="53">
        <f t="shared" si="827"/>
        <v>0</v>
      </c>
      <c r="FQ83" s="51">
        <f t="shared" si="828"/>
        <v>0</v>
      </c>
      <c r="FR83" s="48">
        <f t="shared" si="829"/>
        <v>0</v>
      </c>
      <c r="FS83" s="51">
        <f t="shared" si="830"/>
        <v>0</v>
      </c>
      <c r="FT83" s="53">
        <f t="shared" si="831"/>
        <v>0</v>
      </c>
      <c r="FU83" s="51">
        <f t="shared" si="832"/>
        <v>0</v>
      </c>
      <c r="FV83" s="53">
        <f t="shared" si="833"/>
        <v>0</v>
      </c>
      <c r="FW83" s="51">
        <f t="shared" si="834"/>
        <v>0</v>
      </c>
      <c r="FX83" s="53">
        <f t="shared" si="835"/>
        <v>0</v>
      </c>
      <c r="FY83" s="51">
        <f t="shared" si="836"/>
        <v>0</v>
      </c>
      <c r="FZ83" s="53">
        <f t="shared" si="837"/>
        <v>0</v>
      </c>
      <c r="GA83" s="51">
        <f t="shared" si="838"/>
        <v>0</v>
      </c>
      <c r="GB83" s="48">
        <f t="shared" si="839"/>
        <v>0</v>
      </c>
      <c r="GC83" s="51">
        <f t="shared" si="840"/>
        <v>0</v>
      </c>
      <c r="GD83" s="53">
        <f t="shared" si="841"/>
        <v>0</v>
      </c>
      <c r="GE83" s="51">
        <f t="shared" si="842"/>
        <v>0</v>
      </c>
      <c r="GF83" s="53">
        <f t="shared" si="843"/>
        <v>0</v>
      </c>
      <c r="GG83" s="51">
        <f t="shared" si="844"/>
        <v>0</v>
      </c>
      <c r="GH83" s="48">
        <f t="shared" si="845"/>
        <v>0</v>
      </c>
      <c r="GI83" s="51">
        <f t="shared" si="846"/>
        <v>0</v>
      </c>
      <c r="GJ83" s="48"/>
      <c r="GK83" s="48"/>
      <c r="GL83" s="48">
        <v>1</v>
      </c>
      <c r="GM83" s="48">
        <v>0.97</v>
      </c>
      <c r="GN83" s="48">
        <v>0.95</v>
      </c>
      <c r="GO83" s="48">
        <v>0.93</v>
      </c>
      <c r="GP83" s="48">
        <f t="shared" ref="GP83:HG83" si="947">+GO83-0.02</f>
        <v>0.91</v>
      </c>
      <c r="GQ83" s="48">
        <f t="shared" si="947"/>
        <v>0.89</v>
      </c>
      <c r="GR83" s="48">
        <f t="shared" si="947"/>
        <v>0.87</v>
      </c>
      <c r="GS83" s="48">
        <f t="shared" si="947"/>
        <v>0.85</v>
      </c>
      <c r="GT83" s="48">
        <f t="shared" si="947"/>
        <v>0.83</v>
      </c>
      <c r="GU83" s="48">
        <f t="shared" si="947"/>
        <v>0.80999999999999994</v>
      </c>
      <c r="GV83" s="48">
        <f t="shared" si="947"/>
        <v>0.78999999999999992</v>
      </c>
      <c r="GW83" s="48">
        <f t="shared" si="947"/>
        <v>0.76999999999999991</v>
      </c>
      <c r="GX83" s="48">
        <f t="shared" si="947"/>
        <v>0.74999999999999989</v>
      </c>
      <c r="GY83" s="48">
        <f t="shared" si="947"/>
        <v>0.72999999999999987</v>
      </c>
      <c r="GZ83" s="48">
        <f t="shared" si="947"/>
        <v>0.70999999999999985</v>
      </c>
      <c r="HA83" s="48">
        <f t="shared" si="947"/>
        <v>0.68999999999999984</v>
      </c>
      <c r="HB83" s="48">
        <f t="shared" si="947"/>
        <v>0.66999999999999982</v>
      </c>
      <c r="HC83" s="48">
        <f t="shared" si="947"/>
        <v>0.6499999999999998</v>
      </c>
      <c r="HD83" s="48">
        <f t="shared" si="947"/>
        <v>0.62999999999999978</v>
      </c>
      <c r="HE83" s="48">
        <f t="shared" si="947"/>
        <v>0.60999999999999976</v>
      </c>
      <c r="HF83" s="48">
        <f t="shared" si="947"/>
        <v>0.58999999999999975</v>
      </c>
      <c r="HG83" s="48">
        <f t="shared" si="947"/>
        <v>0.56999999999999973</v>
      </c>
    </row>
    <row r="84" spans="1:215" x14ac:dyDescent="0.3">
      <c r="A84" s="2">
        <v>22</v>
      </c>
      <c r="C84" s="39" t="s">
        <v>153</v>
      </c>
      <c r="D84" s="44">
        <v>0</v>
      </c>
      <c r="E84" s="73">
        <f t="shared" si="716"/>
        <v>0</v>
      </c>
      <c r="G84" s="48">
        <f t="shared" ref="G84:G147" si="948">+D84*1.1</f>
        <v>0</v>
      </c>
      <c r="H84" s="48">
        <f t="shared" ref="H84:H147" si="949">+G84</f>
        <v>0</v>
      </c>
      <c r="I84" s="51">
        <f t="shared" ref="I84:I147" si="950">+H84*3.3058</f>
        <v>0</v>
      </c>
      <c r="J84" s="48">
        <f t="shared" si="717"/>
        <v>0</v>
      </c>
      <c r="K84" s="51">
        <f t="shared" si="718"/>
        <v>0</v>
      </c>
      <c r="L84" s="48">
        <f t="shared" si="719"/>
        <v>0</v>
      </c>
      <c r="M84" s="51">
        <f t="shared" si="720"/>
        <v>0</v>
      </c>
      <c r="N84" s="48">
        <f t="shared" si="721"/>
        <v>0</v>
      </c>
      <c r="O84" s="51">
        <f t="shared" si="722"/>
        <v>0</v>
      </c>
      <c r="P84" s="52">
        <f t="shared" si="723"/>
        <v>0</v>
      </c>
      <c r="Q84" s="51">
        <f t="shared" si="724"/>
        <v>0</v>
      </c>
      <c r="R84" s="48">
        <f t="shared" si="725"/>
        <v>0</v>
      </c>
      <c r="S84" s="51">
        <f t="shared" si="726"/>
        <v>0</v>
      </c>
      <c r="T84" s="52">
        <f t="shared" si="727"/>
        <v>0</v>
      </c>
      <c r="U84" s="51">
        <f t="shared" si="728"/>
        <v>0</v>
      </c>
      <c r="V84" s="53">
        <f t="shared" si="729"/>
        <v>0</v>
      </c>
      <c r="W84" s="51">
        <f t="shared" si="730"/>
        <v>0</v>
      </c>
      <c r="X84" s="52">
        <f t="shared" si="731"/>
        <v>0</v>
      </c>
      <c r="Y84" s="51">
        <f t="shared" si="732"/>
        <v>0</v>
      </c>
      <c r="Z84" s="48">
        <f t="shared" si="733"/>
        <v>0</v>
      </c>
      <c r="AA84" s="51">
        <f t="shared" si="734"/>
        <v>0</v>
      </c>
      <c r="AB84" s="53">
        <f t="shared" si="735"/>
        <v>0</v>
      </c>
      <c r="AC84" s="51">
        <f t="shared" si="736"/>
        <v>0</v>
      </c>
      <c r="AD84" s="53">
        <f t="shared" si="737"/>
        <v>0</v>
      </c>
      <c r="AE84" s="51">
        <f t="shared" si="738"/>
        <v>0</v>
      </c>
      <c r="AF84" s="53">
        <f t="shared" si="739"/>
        <v>0</v>
      </c>
      <c r="AG84" s="51">
        <f t="shared" si="740"/>
        <v>0</v>
      </c>
      <c r="AH84" s="48">
        <f t="shared" si="741"/>
        <v>0</v>
      </c>
      <c r="AI84" s="51">
        <f t="shared" si="742"/>
        <v>0</v>
      </c>
      <c r="AJ84" s="53">
        <f t="shared" si="743"/>
        <v>0</v>
      </c>
      <c r="AK84" s="51">
        <f t="shared" si="744"/>
        <v>0</v>
      </c>
      <c r="AL84" s="53">
        <f t="shared" si="745"/>
        <v>0</v>
      </c>
      <c r="AM84" s="51">
        <f t="shared" si="746"/>
        <v>0</v>
      </c>
      <c r="AN84" s="53">
        <f t="shared" si="747"/>
        <v>0</v>
      </c>
      <c r="AO84" s="51">
        <f t="shared" si="748"/>
        <v>0</v>
      </c>
      <c r="AP84" s="53">
        <f t="shared" si="749"/>
        <v>0</v>
      </c>
      <c r="AQ84" s="51">
        <f t="shared" si="750"/>
        <v>0</v>
      </c>
      <c r="AR84" s="48">
        <f t="shared" si="751"/>
        <v>0</v>
      </c>
      <c r="AS84" s="51">
        <f t="shared" si="752"/>
        <v>0</v>
      </c>
      <c r="AT84" s="53">
        <f t="shared" si="753"/>
        <v>0</v>
      </c>
      <c r="AU84" s="51">
        <f t="shared" si="754"/>
        <v>0</v>
      </c>
      <c r="AV84" s="53">
        <f t="shared" si="755"/>
        <v>0</v>
      </c>
      <c r="AW84" s="51">
        <f t="shared" si="756"/>
        <v>0</v>
      </c>
      <c r="AX84" s="48">
        <f t="shared" si="757"/>
        <v>0</v>
      </c>
      <c r="AY84" s="51">
        <f t="shared" si="758"/>
        <v>0</v>
      </c>
      <c r="BB84" s="48">
        <v>1</v>
      </c>
      <c r="BC84" s="48">
        <v>0.97</v>
      </c>
      <c r="BD84" s="48">
        <v>0.95</v>
      </c>
      <c r="BE84" s="48">
        <v>0.93</v>
      </c>
      <c r="BF84" s="48">
        <f t="shared" ref="BF84:BW84" si="951">+BE84-0.02</f>
        <v>0.91</v>
      </c>
      <c r="BG84" s="48">
        <f t="shared" si="951"/>
        <v>0.89</v>
      </c>
      <c r="BH84" s="48">
        <f t="shared" si="951"/>
        <v>0.87</v>
      </c>
      <c r="BI84" s="48">
        <f t="shared" si="951"/>
        <v>0.85</v>
      </c>
      <c r="BJ84" s="48">
        <f t="shared" si="951"/>
        <v>0.83</v>
      </c>
      <c r="BK84" s="48">
        <f t="shared" si="951"/>
        <v>0.80999999999999994</v>
      </c>
      <c r="BL84" s="48">
        <f t="shared" si="951"/>
        <v>0.78999999999999992</v>
      </c>
      <c r="BM84" s="48">
        <f t="shared" si="951"/>
        <v>0.76999999999999991</v>
      </c>
      <c r="BN84" s="48">
        <f t="shared" si="951"/>
        <v>0.74999999999999989</v>
      </c>
      <c r="BO84" s="48">
        <f t="shared" si="951"/>
        <v>0.72999999999999987</v>
      </c>
      <c r="BP84" s="48">
        <f t="shared" si="951"/>
        <v>0.70999999999999985</v>
      </c>
      <c r="BQ84" s="48">
        <f t="shared" si="951"/>
        <v>0.68999999999999984</v>
      </c>
      <c r="BR84" s="48">
        <f t="shared" si="951"/>
        <v>0.66999999999999982</v>
      </c>
      <c r="BS84" s="48">
        <f t="shared" si="951"/>
        <v>0.6499999999999998</v>
      </c>
      <c r="BT84" s="48">
        <f t="shared" si="951"/>
        <v>0.62999999999999978</v>
      </c>
      <c r="BU84" s="48">
        <f t="shared" si="951"/>
        <v>0.60999999999999976</v>
      </c>
      <c r="BV84" s="48">
        <f t="shared" si="951"/>
        <v>0.58999999999999975</v>
      </c>
      <c r="BW84" s="48">
        <f t="shared" si="951"/>
        <v>0.56999999999999973</v>
      </c>
      <c r="BY84" s="48">
        <f t="shared" ref="BY84:BY147" si="952">+G84*0.91</f>
        <v>0</v>
      </c>
      <c r="BZ84" s="48">
        <f t="shared" ref="BZ84:BZ147" si="953">+BY84</f>
        <v>0</v>
      </c>
      <c r="CA84" s="51">
        <f t="shared" ref="CA84" si="954">+BZ84*3.3058</f>
        <v>0</v>
      </c>
      <c r="CB84" s="48">
        <f t="shared" si="761"/>
        <v>0</v>
      </c>
      <c r="CC84" s="51">
        <f t="shared" si="762"/>
        <v>0</v>
      </c>
      <c r="CD84" s="48">
        <f t="shared" si="763"/>
        <v>0</v>
      </c>
      <c r="CE84" s="51">
        <f t="shared" si="764"/>
        <v>0</v>
      </c>
      <c r="CF84" s="48">
        <f t="shared" si="765"/>
        <v>0</v>
      </c>
      <c r="CG84" s="51">
        <f t="shared" si="766"/>
        <v>0</v>
      </c>
      <c r="CH84" s="52">
        <f t="shared" si="767"/>
        <v>0</v>
      </c>
      <c r="CI84" s="51">
        <f t="shared" si="768"/>
        <v>0</v>
      </c>
      <c r="CJ84" s="48">
        <f t="shared" si="769"/>
        <v>0</v>
      </c>
      <c r="CK84" s="51">
        <f t="shared" si="770"/>
        <v>0</v>
      </c>
      <c r="CL84" s="52">
        <f t="shared" si="771"/>
        <v>0</v>
      </c>
      <c r="CM84" s="51">
        <f t="shared" si="772"/>
        <v>0</v>
      </c>
      <c r="CN84" s="53">
        <f t="shared" si="773"/>
        <v>0</v>
      </c>
      <c r="CO84" s="51">
        <f t="shared" si="774"/>
        <v>0</v>
      </c>
      <c r="CP84" s="52">
        <f t="shared" si="775"/>
        <v>0</v>
      </c>
      <c r="CQ84" s="51">
        <f t="shared" si="776"/>
        <v>0</v>
      </c>
      <c r="CR84" s="48">
        <f t="shared" si="777"/>
        <v>0</v>
      </c>
      <c r="CS84" s="51">
        <f t="shared" si="778"/>
        <v>0</v>
      </c>
      <c r="CT84" s="53">
        <f t="shared" si="779"/>
        <v>0</v>
      </c>
      <c r="CU84" s="51">
        <f t="shared" si="780"/>
        <v>0</v>
      </c>
      <c r="CV84" s="53">
        <f t="shared" si="781"/>
        <v>0</v>
      </c>
      <c r="CW84" s="51">
        <f t="shared" si="782"/>
        <v>0</v>
      </c>
      <c r="CX84" s="53">
        <f t="shared" si="783"/>
        <v>0</v>
      </c>
      <c r="CY84" s="51">
        <f t="shared" si="784"/>
        <v>0</v>
      </c>
      <c r="CZ84" s="48">
        <f t="shared" si="785"/>
        <v>0</v>
      </c>
      <c r="DA84" s="51">
        <f t="shared" si="786"/>
        <v>0</v>
      </c>
      <c r="DB84" s="53">
        <f t="shared" si="787"/>
        <v>0</v>
      </c>
      <c r="DC84" s="51">
        <f t="shared" si="788"/>
        <v>0</v>
      </c>
      <c r="DD84" s="53">
        <f t="shared" si="789"/>
        <v>0</v>
      </c>
      <c r="DE84" s="51">
        <f t="shared" si="790"/>
        <v>0</v>
      </c>
      <c r="DF84" s="53">
        <f t="shared" si="791"/>
        <v>0</v>
      </c>
      <c r="DG84" s="51">
        <f t="shared" si="792"/>
        <v>0</v>
      </c>
      <c r="DH84" s="53">
        <f t="shared" si="793"/>
        <v>0</v>
      </c>
      <c r="DI84" s="51">
        <f t="shared" si="794"/>
        <v>0</v>
      </c>
      <c r="DJ84" s="48">
        <f t="shared" si="795"/>
        <v>0</v>
      </c>
      <c r="DK84" s="51">
        <f t="shared" si="796"/>
        <v>0</v>
      </c>
      <c r="DL84" s="53">
        <f t="shared" si="797"/>
        <v>0</v>
      </c>
      <c r="DM84" s="51">
        <f t="shared" si="798"/>
        <v>0</v>
      </c>
      <c r="DN84" s="53">
        <f t="shared" si="799"/>
        <v>0</v>
      </c>
      <c r="DO84" s="51">
        <f t="shared" si="800"/>
        <v>0</v>
      </c>
      <c r="DP84" s="48">
        <f t="shared" si="801"/>
        <v>0</v>
      </c>
      <c r="DQ84" s="51">
        <f t="shared" si="802"/>
        <v>0</v>
      </c>
      <c r="DT84" s="48">
        <v>1</v>
      </c>
      <c r="DU84" s="48">
        <v>0.97</v>
      </c>
      <c r="DV84" s="48">
        <v>0.95</v>
      </c>
      <c r="DW84" s="48">
        <v>0.93</v>
      </c>
      <c r="DX84" s="48">
        <f t="shared" ref="DX84:EO84" si="955">+DW84-0.02</f>
        <v>0.91</v>
      </c>
      <c r="DY84" s="48">
        <f t="shared" si="955"/>
        <v>0.89</v>
      </c>
      <c r="DZ84" s="48">
        <f t="shared" si="955"/>
        <v>0.87</v>
      </c>
      <c r="EA84" s="48">
        <f t="shared" si="955"/>
        <v>0.85</v>
      </c>
      <c r="EB84" s="48">
        <f t="shared" si="955"/>
        <v>0.83</v>
      </c>
      <c r="EC84" s="48">
        <f t="shared" si="955"/>
        <v>0.80999999999999994</v>
      </c>
      <c r="ED84" s="48">
        <f t="shared" si="955"/>
        <v>0.78999999999999992</v>
      </c>
      <c r="EE84" s="48">
        <f t="shared" si="955"/>
        <v>0.76999999999999991</v>
      </c>
      <c r="EF84" s="48">
        <f t="shared" si="955"/>
        <v>0.74999999999999989</v>
      </c>
      <c r="EG84" s="48">
        <f t="shared" si="955"/>
        <v>0.72999999999999987</v>
      </c>
      <c r="EH84" s="48">
        <f t="shared" si="955"/>
        <v>0.70999999999999985</v>
      </c>
      <c r="EI84" s="48">
        <f t="shared" si="955"/>
        <v>0.68999999999999984</v>
      </c>
      <c r="EJ84" s="48">
        <f t="shared" si="955"/>
        <v>0.66999999999999982</v>
      </c>
      <c r="EK84" s="48">
        <f t="shared" si="955"/>
        <v>0.6499999999999998</v>
      </c>
      <c r="EL84" s="48">
        <f t="shared" si="955"/>
        <v>0.62999999999999978</v>
      </c>
      <c r="EM84" s="48">
        <f t="shared" si="955"/>
        <v>0.60999999999999976</v>
      </c>
      <c r="EN84" s="48">
        <f t="shared" si="955"/>
        <v>0.58999999999999975</v>
      </c>
      <c r="EO84" s="48">
        <f t="shared" si="955"/>
        <v>0.56999999999999973</v>
      </c>
      <c r="EQ84" s="48">
        <f t="shared" si="188"/>
        <v>0</v>
      </c>
      <c r="ER84" s="48">
        <f t="shared" ref="ER84:ER147" si="956">+EQ84</f>
        <v>0</v>
      </c>
      <c r="ES84" s="51">
        <f t="shared" ref="ES84" si="957">+ER84*3.3058</f>
        <v>0</v>
      </c>
      <c r="ET84" s="48">
        <f t="shared" si="805"/>
        <v>0</v>
      </c>
      <c r="EU84" s="51">
        <f t="shared" si="806"/>
        <v>0</v>
      </c>
      <c r="EV84" s="48">
        <f t="shared" si="807"/>
        <v>0</v>
      </c>
      <c r="EW84" s="51">
        <f t="shared" si="808"/>
        <v>0</v>
      </c>
      <c r="EX84" s="48">
        <f t="shared" si="809"/>
        <v>0</v>
      </c>
      <c r="EY84" s="51">
        <f t="shared" si="810"/>
        <v>0</v>
      </c>
      <c r="EZ84" s="52">
        <f t="shared" si="811"/>
        <v>0</v>
      </c>
      <c r="FA84" s="51">
        <f t="shared" si="812"/>
        <v>0</v>
      </c>
      <c r="FB84" s="48">
        <f t="shared" si="813"/>
        <v>0</v>
      </c>
      <c r="FC84" s="51">
        <f t="shared" si="814"/>
        <v>0</v>
      </c>
      <c r="FD84" s="52">
        <f t="shared" si="815"/>
        <v>0</v>
      </c>
      <c r="FE84" s="51">
        <f t="shared" si="816"/>
        <v>0</v>
      </c>
      <c r="FF84" s="53">
        <f t="shared" si="817"/>
        <v>0</v>
      </c>
      <c r="FG84" s="51">
        <f t="shared" si="818"/>
        <v>0</v>
      </c>
      <c r="FH84" s="52">
        <f t="shared" si="819"/>
        <v>0</v>
      </c>
      <c r="FI84" s="51">
        <f t="shared" si="820"/>
        <v>0</v>
      </c>
      <c r="FJ84" s="48">
        <f t="shared" si="821"/>
        <v>0</v>
      </c>
      <c r="FK84" s="51">
        <f t="shared" si="822"/>
        <v>0</v>
      </c>
      <c r="FL84" s="53">
        <f t="shared" si="823"/>
        <v>0</v>
      </c>
      <c r="FM84" s="51">
        <f t="shared" si="824"/>
        <v>0</v>
      </c>
      <c r="FN84" s="53">
        <f t="shared" si="825"/>
        <v>0</v>
      </c>
      <c r="FO84" s="51">
        <f t="shared" si="826"/>
        <v>0</v>
      </c>
      <c r="FP84" s="53">
        <f t="shared" si="827"/>
        <v>0</v>
      </c>
      <c r="FQ84" s="51">
        <f t="shared" si="828"/>
        <v>0</v>
      </c>
      <c r="FR84" s="48">
        <f t="shared" si="829"/>
        <v>0</v>
      </c>
      <c r="FS84" s="51">
        <f t="shared" si="830"/>
        <v>0</v>
      </c>
      <c r="FT84" s="53">
        <f t="shared" si="831"/>
        <v>0</v>
      </c>
      <c r="FU84" s="51">
        <f t="shared" si="832"/>
        <v>0</v>
      </c>
      <c r="FV84" s="53">
        <f t="shared" si="833"/>
        <v>0</v>
      </c>
      <c r="FW84" s="51">
        <f t="shared" si="834"/>
        <v>0</v>
      </c>
      <c r="FX84" s="53">
        <f t="shared" si="835"/>
        <v>0</v>
      </c>
      <c r="FY84" s="51">
        <f t="shared" si="836"/>
        <v>0</v>
      </c>
      <c r="FZ84" s="53">
        <f t="shared" si="837"/>
        <v>0</v>
      </c>
      <c r="GA84" s="51">
        <f t="shared" si="838"/>
        <v>0</v>
      </c>
      <c r="GB84" s="48">
        <f t="shared" si="839"/>
        <v>0</v>
      </c>
      <c r="GC84" s="51">
        <f t="shared" si="840"/>
        <v>0</v>
      </c>
      <c r="GD84" s="53">
        <f t="shared" si="841"/>
        <v>0</v>
      </c>
      <c r="GE84" s="51">
        <f t="shared" si="842"/>
        <v>0</v>
      </c>
      <c r="GF84" s="53">
        <f t="shared" si="843"/>
        <v>0</v>
      </c>
      <c r="GG84" s="51">
        <f t="shared" si="844"/>
        <v>0</v>
      </c>
      <c r="GH84" s="48">
        <f t="shared" si="845"/>
        <v>0</v>
      </c>
      <c r="GI84" s="51">
        <f t="shared" si="846"/>
        <v>0</v>
      </c>
      <c r="GJ84" s="48"/>
      <c r="GK84" s="48"/>
      <c r="GL84" s="48">
        <v>1</v>
      </c>
      <c r="GM84" s="48">
        <v>0.97</v>
      </c>
      <c r="GN84" s="48">
        <v>0.95</v>
      </c>
      <c r="GO84" s="48">
        <v>0.93</v>
      </c>
      <c r="GP84" s="48">
        <f t="shared" ref="GP84:HG84" si="958">+GO84-0.02</f>
        <v>0.91</v>
      </c>
      <c r="GQ84" s="48">
        <f t="shared" si="958"/>
        <v>0.89</v>
      </c>
      <c r="GR84" s="48">
        <f t="shared" si="958"/>
        <v>0.87</v>
      </c>
      <c r="GS84" s="48">
        <f t="shared" si="958"/>
        <v>0.85</v>
      </c>
      <c r="GT84" s="48">
        <f t="shared" si="958"/>
        <v>0.83</v>
      </c>
      <c r="GU84" s="48">
        <f t="shared" si="958"/>
        <v>0.80999999999999994</v>
      </c>
      <c r="GV84" s="48">
        <f t="shared" si="958"/>
        <v>0.78999999999999992</v>
      </c>
      <c r="GW84" s="48">
        <f t="shared" si="958"/>
        <v>0.76999999999999991</v>
      </c>
      <c r="GX84" s="48">
        <f t="shared" si="958"/>
        <v>0.74999999999999989</v>
      </c>
      <c r="GY84" s="48">
        <f t="shared" si="958"/>
        <v>0.72999999999999987</v>
      </c>
      <c r="GZ84" s="48">
        <f t="shared" si="958"/>
        <v>0.70999999999999985</v>
      </c>
      <c r="HA84" s="48">
        <f t="shared" si="958"/>
        <v>0.68999999999999984</v>
      </c>
      <c r="HB84" s="48">
        <f t="shared" si="958"/>
        <v>0.66999999999999982</v>
      </c>
      <c r="HC84" s="48">
        <f t="shared" si="958"/>
        <v>0.6499999999999998</v>
      </c>
      <c r="HD84" s="48">
        <f t="shared" si="958"/>
        <v>0.62999999999999978</v>
      </c>
      <c r="HE84" s="48">
        <f t="shared" si="958"/>
        <v>0.60999999999999976</v>
      </c>
      <c r="HF84" s="48">
        <f t="shared" si="958"/>
        <v>0.58999999999999975</v>
      </c>
      <c r="HG84" s="48">
        <f t="shared" si="958"/>
        <v>0.56999999999999973</v>
      </c>
    </row>
    <row r="85" spans="1:215" x14ac:dyDescent="0.3">
      <c r="A85" s="2">
        <v>23</v>
      </c>
      <c r="C85" s="39" t="s">
        <v>154</v>
      </c>
      <c r="D85" s="44">
        <f>TRUNC(57097.7178649237,-1)</f>
        <v>57090</v>
      </c>
      <c r="E85" s="73">
        <f t="shared" si="716"/>
        <v>188720</v>
      </c>
      <c r="G85" s="48">
        <f t="shared" si="948"/>
        <v>62799.000000000007</v>
      </c>
      <c r="H85" s="48">
        <f t="shared" si="949"/>
        <v>62799.000000000007</v>
      </c>
      <c r="I85" s="51">
        <f t="shared" si="950"/>
        <v>207600.93420000002</v>
      </c>
      <c r="J85" s="48">
        <f t="shared" si="717"/>
        <v>60915.030000000006</v>
      </c>
      <c r="K85" s="51">
        <f t="shared" si="718"/>
        <v>201372.90617400003</v>
      </c>
      <c r="L85" s="48">
        <f t="shared" si="719"/>
        <v>59659.05</v>
      </c>
      <c r="M85" s="51">
        <f t="shared" si="720"/>
        <v>197220.88749000002</v>
      </c>
      <c r="N85" s="48">
        <f t="shared" si="721"/>
        <v>58403.070000000007</v>
      </c>
      <c r="O85" s="51">
        <f t="shared" si="722"/>
        <v>193068.86880600001</v>
      </c>
      <c r="P85" s="52">
        <f t="shared" si="723"/>
        <v>57147.090000000011</v>
      </c>
      <c r="Q85" s="51">
        <f t="shared" si="724"/>
        <v>188916.85012200003</v>
      </c>
      <c r="R85" s="48">
        <f t="shared" si="725"/>
        <v>55891.110000000008</v>
      </c>
      <c r="S85" s="51">
        <f t="shared" si="726"/>
        <v>184764.83143800002</v>
      </c>
      <c r="T85" s="52">
        <f t="shared" si="727"/>
        <v>54635.130000000005</v>
      </c>
      <c r="U85" s="51">
        <f t="shared" si="728"/>
        <v>180612.81275400001</v>
      </c>
      <c r="V85" s="53">
        <f t="shared" si="729"/>
        <v>53379.15</v>
      </c>
      <c r="W85" s="51">
        <f t="shared" si="730"/>
        <v>176460.79407</v>
      </c>
      <c r="X85" s="52">
        <f t="shared" si="731"/>
        <v>52123.170000000006</v>
      </c>
      <c r="Y85" s="51">
        <f t="shared" si="732"/>
        <v>172308.77538600002</v>
      </c>
      <c r="Z85" s="48">
        <f t="shared" si="733"/>
        <v>50867.19</v>
      </c>
      <c r="AA85" s="51">
        <f t="shared" si="734"/>
        <v>168156.75670200001</v>
      </c>
      <c r="AB85" s="53">
        <f t="shared" si="735"/>
        <v>49611.21</v>
      </c>
      <c r="AC85" s="51">
        <f t="shared" si="736"/>
        <v>164004.738018</v>
      </c>
      <c r="AD85" s="53">
        <f t="shared" si="737"/>
        <v>48355.23</v>
      </c>
      <c r="AE85" s="51">
        <f t="shared" si="738"/>
        <v>159852.71933400002</v>
      </c>
      <c r="AF85" s="53">
        <f t="shared" si="739"/>
        <v>47099.25</v>
      </c>
      <c r="AG85" s="51">
        <f t="shared" si="740"/>
        <v>155700.70065000001</v>
      </c>
      <c r="AH85" s="48">
        <f t="shared" si="741"/>
        <v>45843.27</v>
      </c>
      <c r="AI85" s="51">
        <f t="shared" si="742"/>
        <v>151548.681966</v>
      </c>
      <c r="AJ85" s="53">
        <f t="shared" si="743"/>
        <v>44587.289999999994</v>
      </c>
      <c r="AK85" s="51">
        <f t="shared" si="744"/>
        <v>147396.66328199999</v>
      </c>
      <c r="AL85" s="53">
        <f t="shared" si="745"/>
        <v>43331.31</v>
      </c>
      <c r="AM85" s="51">
        <f t="shared" si="746"/>
        <v>143244.64459799998</v>
      </c>
      <c r="AN85" s="53">
        <f t="shared" si="747"/>
        <v>42075.329999999994</v>
      </c>
      <c r="AO85" s="51">
        <f t="shared" si="748"/>
        <v>139092.62591399997</v>
      </c>
      <c r="AP85" s="53">
        <f t="shared" si="749"/>
        <v>40819.349999999991</v>
      </c>
      <c r="AQ85" s="51">
        <f t="shared" si="750"/>
        <v>134940.60722999997</v>
      </c>
      <c r="AR85" s="48">
        <f t="shared" si="751"/>
        <v>39563.369999999988</v>
      </c>
      <c r="AS85" s="51">
        <f t="shared" si="752"/>
        <v>130788.58854599997</v>
      </c>
      <c r="AT85" s="53">
        <f t="shared" si="753"/>
        <v>38307.389999999992</v>
      </c>
      <c r="AU85" s="51">
        <f t="shared" si="754"/>
        <v>126636.56986199997</v>
      </c>
      <c r="AV85" s="53">
        <f t="shared" si="755"/>
        <v>37051.409999999989</v>
      </c>
      <c r="AW85" s="51">
        <f t="shared" si="756"/>
        <v>122484.55117799997</v>
      </c>
      <c r="AX85" s="48">
        <f t="shared" si="757"/>
        <v>35795.429999999986</v>
      </c>
      <c r="AY85" s="51">
        <f t="shared" si="758"/>
        <v>118332.53249399996</v>
      </c>
      <c r="BB85" s="48">
        <v>1</v>
      </c>
      <c r="BC85" s="48">
        <v>0.97</v>
      </c>
      <c r="BD85" s="48">
        <v>0.95</v>
      </c>
      <c r="BE85" s="48">
        <v>0.93</v>
      </c>
      <c r="BF85" s="48">
        <f t="shared" ref="BF85:BW85" si="959">+BE85-0.02</f>
        <v>0.91</v>
      </c>
      <c r="BG85" s="48">
        <f t="shared" si="959"/>
        <v>0.89</v>
      </c>
      <c r="BH85" s="48">
        <f t="shared" si="959"/>
        <v>0.87</v>
      </c>
      <c r="BI85" s="48">
        <f t="shared" si="959"/>
        <v>0.85</v>
      </c>
      <c r="BJ85" s="48">
        <f t="shared" si="959"/>
        <v>0.83</v>
      </c>
      <c r="BK85" s="48">
        <f t="shared" si="959"/>
        <v>0.80999999999999994</v>
      </c>
      <c r="BL85" s="48">
        <f t="shared" si="959"/>
        <v>0.78999999999999992</v>
      </c>
      <c r="BM85" s="48">
        <f t="shared" si="959"/>
        <v>0.76999999999999991</v>
      </c>
      <c r="BN85" s="48">
        <f t="shared" si="959"/>
        <v>0.74999999999999989</v>
      </c>
      <c r="BO85" s="48">
        <f t="shared" si="959"/>
        <v>0.72999999999999987</v>
      </c>
      <c r="BP85" s="48">
        <f t="shared" si="959"/>
        <v>0.70999999999999985</v>
      </c>
      <c r="BQ85" s="48">
        <f t="shared" si="959"/>
        <v>0.68999999999999984</v>
      </c>
      <c r="BR85" s="48">
        <f t="shared" si="959"/>
        <v>0.66999999999999982</v>
      </c>
      <c r="BS85" s="48">
        <f t="shared" si="959"/>
        <v>0.6499999999999998</v>
      </c>
      <c r="BT85" s="48">
        <f t="shared" si="959"/>
        <v>0.62999999999999978</v>
      </c>
      <c r="BU85" s="48">
        <f t="shared" si="959"/>
        <v>0.60999999999999976</v>
      </c>
      <c r="BV85" s="48">
        <f t="shared" si="959"/>
        <v>0.58999999999999975</v>
      </c>
      <c r="BW85" s="48">
        <f t="shared" si="959"/>
        <v>0.56999999999999973</v>
      </c>
      <c r="BY85" s="48">
        <f t="shared" si="952"/>
        <v>57147.090000000011</v>
      </c>
      <c r="BZ85" s="48">
        <f t="shared" si="953"/>
        <v>57147.090000000011</v>
      </c>
      <c r="CA85" s="51">
        <f t="shared" ref="CA85" si="960">+BZ85*3.3058</f>
        <v>188916.85012200003</v>
      </c>
      <c r="CB85" s="48">
        <f t="shared" si="761"/>
        <v>55432.67730000001</v>
      </c>
      <c r="CC85" s="51">
        <f t="shared" si="762"/>
        <v>183249.34461834005</v>
      </c>
      <c r="CD85" s="48">
        <f t="shared" si="763"/>
        <v>54289.73550000001</v>
      </c>
      <c r="CE85" s="51">
        <f t="shared" si="764"/>
        <v>179471.00761590005</v>
      </c>
      <c r="CF85" s="48">
        <f t="shared" si="765"/>
        <v>53146.793700000017</v>
      </c>
      <c r="CG85" s="51">
        <f t="shared" si="766"/>
        <v>175692.67061346007</v>
      </c>
      <c r="CH85" s="52">
        <f t="shared" si="767"/>
        <v>52003.851900000009</v>
      </c>
      <c r="CI85" s="51">
        <f t="shared" si="768"/>
        <v>171914.33361102003</v>
      </c>
      <c r="CJ85" s="48">
        <f t="shared" si="769"/>
        <v>50860.910100000008</v>
      </c>
      <c r="CK85" s="51">
        <f t="shared" si="770"/>
        <v>168135.99660858003</v>
      </c>
      <c r="CL85" s="52">
        <f t="shared" si="771"/>
        <v>49717.968300000008</v>
      </c>
      <c r="CM85" s="51">
        <f t="shared" si="772"/>
        <v>164357.65960614002</v>
      </c>
      <c r="CN85" s="53">
        <f t="shared" si="773"/>
        <v>48575.026500000007</v>
      </c>
      <c r="CO85" s="51">
        <f t="shared" si="774"/>
        <v>160579.32260370001</v>
      </c>
      <c r="CP85" s="52">
        <f t="shared" si="775"/>
        <v>47432.084700000007</v>
      </c>
      <c r="CQ85" s="51">
        <f t="shared" si="776"/>
        <v>156800.98560126004</v>
      </c>
      <c r="CR85" s="48">
        <f t="shared" si="777"/>
        <v>46289.142900000006</v>
      </c>
      <c r="CS85" s="51">
        <f t="shared" si="778"/>
        <v>153022.64859882003</v>
      </c>
      <c r="CT85" s="53">
        <f t="shared" si="779"/>
        <v>45146.201100000006</v>
      </c>
      <c r="CU85" s="51">
        <f t="shared" si="780"/>
        <v>149244.31159638002</v>
      </c>
      <c r="CV85" s="53">
        <f t="shared" si="781"/>
        <v>44003.259300000005</v>
      </c>
      <c r="CW85" s="51">
        <f t="shared" si="782"/>
        <v>145465.97459394002</v>
      </c>
      <c r="CX85" s="53">
        <f t="shared" si="783"/>
        <v>42860.317500000005</v>
      </c>
      <c r="CY85" s="51">
        <f t="shared" si="784"/>
        <v>141687.63759150001</v>
      </c>
      <c r="CZ85" s="48">
        <f t="shared" si="785"/>
        <v>41717.375700000004</v>
      </c>
      <c r="DA85" s="51">
        <f t="shared" si="786"/>
        <v>137909.30058906</v>
      </c>
      <c r="DB85" s="53">
        <f t="shared" si="787"/>
        <v>40574.433899999996</v>
      </c>
      <c r="DC85" s="51">
        <f t="shared" si="788"/>
        <v>134130.96358662</v>
      </c>
      <c r="DD85" s="53">
        <f t="shared" si="789"/>
        <v>39431.492099999996</v>
      </c>
      <c r="DE85" s="51">
        <f t="shared" si="790"/>
        <v>130352.62658417999</v>
      </c>
      <c r="DF85" s="53">
        <f t="shared" si="791"/>
        <v>38288.550299999995</v>
      </c>
      <c r="DG85" s="51">
        <f t="shared" si="792"/>
        <v>126574.28958173998</v>
      </c>
      <c r="DH85" s="53">
        <f t="shared" si="793"/>
        <v>37145.608499999995</v>
      </c>
      <c r="DI85" s="51">
        <f t="shared" si="794"/>
        <v>122795.95257929999</v>
      </c>
      <c r="DJ85" s="48">
        <f t="shared" si="795"/>
        <v>36002.666699999994</v>
      </c>
      <c r="DK85" s="51">
        <f t="shared" si="796"/>
        <v>119017.61557685999</v>
      </c>
      <c r="DL85" s="53">
        <f t="shared" si="797"/>
        <v>34859.724899999994</v>
      </c>
      <c r="DM85" s="51">
        <f t="shared" si="798"/>
        <v>115239.27857441998</v>
      </c>
      <c r="DN85" s="53">
        <f t="shared" si="799"/>
        <v>33716.783099999993</v>
      </c>
      <c r="DO85" s="51">
        <f t="shared" si="800"/>
        <v>111460.94157197999</v>
      </c>
      <c r="DP85" s="48">
        <f t="shared" si="801"/>
        <v>32573.841299999989</v>
      </c>
      <c r="DQ85" s="51">
        <f t="shared" si="802"/>
        <v>107682.60456953997</v>
      </c>
      <c r="DT85" s="48">
        <v>1</v>
      </c>
      <c r="DU85" s="48">
        <v>0.97</v>
      </c>
      <c r="DV85" s="48">
        <v>0.95</v>
      </c>
      <c r="DW85" s="48">
        <v>0.93</v>
      </c>
      <c r="DX85" s="48">
        <f t="shared" ref="DX85:EO85" si="961">+DW85-0.02</f>
        <v>0.91</v>
      </c>
      <c r="DY85" s="48">
        <f t="shared" si="961"/>
        <v>0.89</v>
      </c>
      <c r="DZ85" s="48">
        <f t="shared" si="961"/>
        <v>0.87</v>
      </c>
      <c r="EA85" s="48">
        <f t="shared" si="961"/>
        <v>0.85</v>
      </c>
      <c r="EB85" s="48">
        <f t="shared" si="961"/>
        <v>0.83</v>
      </c>
      <c r="EC85" s="48">
        <f t="shared" si="961"/>
        <v>0.80999999999999994</v>
      </c>
      <c r="ED85" s="48">
        <f t="shared" si="961"/>
        <v>0.78999999999999992</v>
      </c>
      <c r="EE85" s="48">
        <f t="shared" si="961"/>
        <v>0.76999999999999991</v>
      </c>
      <c r="EF85" s="48">
        <f t="shared" si="961"/>
        <v>0.74999999999999989</v>
      </c>
      <c r="EG85" s="48">
        <f t="shared" si="961"/>
        <v>0.72999999999999987</v>
      </c>
      <c r="EH85" s="48">
        <f t="shared" si="961"/>
        <v>0.70999999999999985</v>
      </c>
      <c r="EI85" s="48">
        <f t="shared" si="961"/>
        <v>0.68999999999999984</v>
      </c>
      <c r="EJ85" s="48">
        <f t="shared" si="961"/>
        <v>0.66999999999999982</v>
      </c>
      <c r="EK85" s="48">
        <f t="shared" si="961"/>
        <v>0.6499999999999998</v>
      </c>
      <c r="EL85" s="48">
        <f t="shared" si="961"/>
        <v>0.62999999999999978</v>
      </c>
      <c r="EM85" s="48">
        <f t="shared" si="961"/>
        <v>0.60999999999999976</v>
      </c>
      <c r="EN85" s="48">
        <f t="shared" si="961"/>
        <v>0.58999999999999975</v>
      </c>
      <c r="EO85" s="48">
        <f t="shared" si="961"/>
        <v>0.56999999999999973</v>
      </c>
      <c r="EQ85" s="48">
        <f t="shared" si="188"/>
        <v>52003.851900000009</v>
      </c>
      <c r="ER85" s="48">
        <f t="shared" si="956"/>
        <v>52003.851900000009</v>
      </c>
      <c r="ES85" s="51">
        <f t="shared" ref="ES85" si="962">+ER85*3.3058</f>
        <v>171914.33361102003</v>
      </c>
      <c r="ET85" s="48">
        <f t="shared" si="805"/>
        <v>50443.736343000004</v>
      </c>
      <c r="EU85" s="51">
        <f t="shared" si="806"/>
        <v>166756.90360268942</v>
      </c>
      <c r="EV85" s="48">
        <f t="shared" si="807"/>
        <v>49403.659305000008</v>
      </c>
      <c r="EW85" s="51">
        <f t="shared" si="808"/>
        <v>163318.61693046903</v>
      </c>
      <c r="EX85" s="48">
        <f t="shared" si="809"/>
        <v>48363.582267000013</v>
      </c>
      <c r="EY85" s="51">
        <f t="shared" si="810"/>
        <v>159880.33025824864</v>
      </c>
      <c r="EZ85" s="52">
        <f t="shared" si="811"/>
        <v>47323.505229000009</v>
      </c>
      <c r="FA85" s="51">
        <f t="shared" si="812"/>
        <v>156442.04358602825</v>
      </c>
      <c r="FB85" s="48">
        <f t="shared" si="813"/>
        <v>46283.428191000006</v>
      </c>
      <c r="FC85" s="51">
        <f t="shared" si="814"/>
        <v>153003.75691380783</v>
      </c>
      <c r="FD85" s="52">
        <f t="shared" si="815"/>
        <v>45243.351153000011</v>
      </c>
      <c r="FE85" s="51">
        <f t="shared" si="816"/>
        <v>149565.47024158743</v>
      </c>
      <c r="FF85" s="53">
        <f t="shared" si="817"/>
        <v>44203.274115000007</v>
      </c>
      <c r="FG85" s="51">
        <f t="shared" si="818"/>
        <v>146127.18356936701</v>
      </c>
      <c r="FH85" s="52">
        <f t="shared" si="819"/>
        <v>43163.197077000004</v>
      </c>
      <c r="FI85" s="51">
        <f t="shared" si="820"/>
        <v>142688.89689714662</v>
      </c>
      <c r="FJ85" s="48">
        <f t="shared" si="821"/>
        <v>42123.120039000001</v>
      </c>
      <c r="FK85" s="51">
        <f t="shared" si="822"/>
        <v>139250.6102249262</v>
      </c>
      <c r="FL85" s="53">
        <f t="shared" si="823"/>
        <v>41083.043001000005</v>
      </c>
      <c r="FM85" s="51">
        <f t="shared" si="824"/>
        <v>135812.32355270581</v>
      </c>
      <c r="FN85" s="53">
        <f t="shared" si="825"/>
        <v>40042.965963000002</v>
      </c>
      <c r="FO85" s="51">
        <f t="shared" si="826"/>
        <v>132374.03688048542</v>
      </c>
      <c r="FP85" s="53">
        <f t="shared" si="827"/>
        <v>39002.888924999999</v>
      </c>
      <c r="FQ85" s="51">
        <f t="shared" si="828"/>
        <v>128935.750208265</v>
      </c>
      <c r="FR85" s="48">
        <f t="shared" si="829"/>
        <v>37962.811886999996</v>
      </c>
      <c r="FS85" s="51">
        <f t="shared" si="830"/>
        <v>125497.4635360446</v>
      </c>
      <c r="FT85" s="53">
        <f t="shared" si="831"/>
        <v>36922.734849</v>
      </c>
      <c r="FU85" s="51">
        <f t="shared" si="832"/>
        <v>122059.17686382421</v>
      </c>
      <c r="FV85" s="53">
        <f t="shared" si="833"/>
        <v>35882.657810999997</v>
      </c>
      <c r="FW85" s="51">
        <f t="shared" si="834"/>
        <v>118620.89019160379</v>
      </c>
      <c r="FX85" s="53">
        <f t="shared" si="835"/>
        <v>34842.580772999994</v>
      </c>
      <c r="FY85" s="51">
        <f t="shared" si="836"/>
        <v>115182.60351938338</v>
      </c>
      <c r="FZ85" s="53">
        <f t="shared" si="837"/>
        <v>33802.503734999998</v>
      </c>
      <c r="GA85" s="51">
        <f t="shared" si="838"/>
        <v>111744.31684716299</v>
      </c>
      <c r="GB85" s="48">
        <f t="shared" si="839"/>
        <v>32762.426696999995</v>
      </c>
      <c r="GC85" s="51">
        <f t="shared" si="840"/>
        <v>108306.03017494259</v>
      </c>
      <c r="GD85" s="53">
        <f t="shared" si="841"/>
        <v>31722.349658999992</v>
      </c>
      <c r="GE85" s="51">
        <f t="shared" si="842"/>
        <v>104867.74350272218</v>
      </c>
      <c r="GF85" s="53">
        <f t="shared" si="843"/>
        <v>30682.272620999993</v>
      </c>
      <c r="GG85" s="51">
        <f t="shared" si="844"/>
        <v>101429.45683050177</v>
      </c>
      <c r="GH85" s="48">
        <f t="shared" si="845"/>
        <v>29642.19558299999</v>
      </c>
      <c r="GI85" s="51">
        <f t="shared" si="846"/>
        <v>97991.170158281369</v>
      </c>
      <c r="GJ85" s="48"/>
      <c r="GK85" s="48"/>
      <c r="GL85" s="48">
        <v>1</v>
      </c>
      <c r="GM85" s="48">
        <v>0.97</v>
      </c>
      <c r="GN85" s="48">
        <v>0.95</v>
      </c>
      <c r="GO85" s="48">
        <v>0.93</v>
      </c>
      <c r="GP85" s="48">
        <f t="shared" ref="GP85:HG85" si="963">+GO85-0.02</f>
        <v>0.91</v>
      </c>
      <c r="GQ85" s="48">
        <f t="shared" si="963"/>
        <v>0.89</v>
      </c>
      <c r="GR85" s="48">
        <f t="shared" si="963"/>
        <v>0.87</v>
      </c>
      <c r="GS85" s="48">
        <f t="shared" si="963"/>
        <v>0.85</v>
      </c>
      <c r="GT85" s="48">
        <f t="shared" si="963"/>
        <v>0.83</v>
      </c>
      <c r="GU85" s="48">
        <f t="shared" si="963"/>
        <v>0.80999999999999994</v>
      </c>
      <c r="GV85" s="48">
        <f t="shared" si="963"/>
        <v>0.78999999999999992</v>
      </c>
      <c r="GW85" s="48">
        <f t="shared" si="963"/>
        <v>0.76999999999999991</v>
      </c>
      <c r="GX85" s="48">
        <f t="shared" si="963"/>
        <v>0.74999999999999989</v>
      </c>
      <c r="GY85" s="48">
        <f t="shared" si="963"/>
        <v>0.72999999999999987</v>
      </c>
      <c r="GZ85" s="48">
        <f t="shared" si="963"/>
        <v>0.70999999999999985</v>
      </c>
      <c r="HA85" s="48">
        <f t="shared" si="963"/>
        <v>0.68999999999999984</v>
      </c>
      <c r="HB85" s="48">
        <f t="shared" si="963"/>
        <v>0.66999999999999982</v>
      </c>
      <c r="HC85" s="48">
        <f t="shared" si="963"/>
        <v>0.6499999999999998</v>
      </c>
      <c r="HD85" s="48">
        <f t="shared" si="963"/>
        <v>0.62999999999999978</v>
      </c>
      <c r="HE85" s="48">
        <f t="shared" si="963"/>
        <v>0.60999999999999976</v>
      </c>
      <c r="HF85" s="48">
        <f t="shared" si="963"/>
        <v>0.58999999999999975</v>
      </c>
      <c r="HG85" s="48">
        <f t="shared" si="963"/>
        <v>0.56999999999999973</v>
      </c>
    </row>
    <row r="86" spans="1:215" x14ac:dyDescent="0.3">
      <c r="A86" s="2">
        <v>24</v>
      </c>
      <c r="C86" s="39" t="s">
        <v>155</v>
      </c>
      <c r="D86" s="44">
        <v>0</v>
      </c>
      <c r="E86" s="73">
        <f t="shared" si="716"/>
        <v>0</v>
      </c>
      <c r="G86" s="48">
        <f t="shared" si="948"/>
        <v>0</v>
      </c>
      <c r="H86" s="48">
        <f t="shared" si="949"/>
        <v>0</v>
      </c>
      <c r="I86" s="51">
        <f t="shared" si="950"/>
        <v>0</v>
      </c>
      <c r="J86" s="48">
        <f t="shared" si="717"/>
        <v>0</v>
      </c>
      <c r="K86" s="51">
        <f t="shared" si="718"/>
        <v>0</v>
      </c>
      <c r="L86" s="48">
        <f t="shared" si="719"/>
        <v>0</v>
      </c>
      <c r="M86" s="51">
        <f t="shared" si="720"/>
        <v>0</v>
      </c>
      <c r="N86" s="48">
        <f t="shared" si="721"/>
        <v>0</v>
      </c>
      <c r="O86" s="51">
        <f t="shared" si="722"/>
        <v>0</v>
      </c>
      <c r="P86" s="52">
        <f t="shared" si="723"/>
        <v>0</v>
      </c>
      <c r="Q86" s="51">
        <f t="shared" si="724"/>
        <v>0</v>
      </c>
      <c r="R86" s="48">
        <f t="shared" si="725"/>
        <v>0</v>
      </c>
      <c r="S86" s="51">
        <f t="shared" si="726"/>
        <v>0</v>
      </c>
      <c r="T86" s="52">
        <f t="shared" si="727"/>
        <v>0</v>
      </c>
      <c r="U86" s="51">
        <f t="shared" si="728"/>
        <v>0</v>
      </c>
      <c r="V86" s="53">
        <f t="shared" si="729"/>
        <v>0</v>
      </c>
      <c r="W86" s="51">
        <f t="shared" si="730"/>
        <v>0</v>
      </c>
      <c r="X86" s="52">
        <f t="shared" si="731"/>
        <v>0</v>
      </c>
      <c r="Y86" s="51">
        <f t="shared" si="732"/>
        <v>0</v>
      </c>
      <c r="Z86" s="48">
        <f t="shared" si="733"/>
        <v>0</v>
      </c>
      <c r="AA86" s="51">
        <f t="shared" si="734"/>
        <v>0</v>
      </c>
      <c r="AB86" s="53">
        <f t="shared" si="735"/>
        <v>0</v>
      </c>
      <c r="AC86" s="51">
        <f t="shared" si="736"/>
        <v>0</v>
      </c>
      <c r="AD86" s="53">
        <f t="shared" si="737"/>
        <v>0</v>
      </c>
      <c r="AE86" s="51">
        <f t="shared" si="738"/>
        <v>0</v>
      </c>
      <c r="AF86" s="53">
        <f t="shared" si="739"/>
        <v>0</v>
      </c>
      <c r="AG86" s="51">
        <f t="shared" si="740"/>
        <v>0</v>
      </c>
      <c r="AH86" s="48">
        <f t="shared" si="741"/>
        <v>0</v>
      </c>
      <c r="AI86" s="51">
        <f t="shared" si="742"/>
        <v>0</v>
      </c>
      <c r="AJ86" s="53">
        <f t="shared" si="743"/>
        <v>0</v>
      </c>
      <c r="AK86" s="51">
        <f t="shared" si="744"/>
        <v>0</v>
      </c>
      <c r="AL86" s="53">
        <f t="shared" si="745"/>
        <v>0</v>
      </c>
      <c r="AM86" s="51">
        <f t="shared" si="746"/>
        <v>0</v>
      </c>
      <c r="AN86" s="53">
        <f t="shared" si="747"/>
        <v>0</v>
      </c>
      <c r="AO86" s="51">
        <f t="shared" si="748"/>
        <v>0</v>
      </c>
      <c r="AP86" s="53">
        <f t="shared" si="749"/>
        <v>0</v>
      </c>
      <c r="AQ86" s="51">
        <f t="shared" si="750"/>
        <v>0</v>
      </c>
      <c r="AR86" s="48">
        <f t="shared" si="751"/>
        <v>0</v>
      </c>
      <c r="AS86" s="51">
        <f t="shared" si="752"/>
        <v>0</v>
      </c>
      <c r="AT86" s="53">
        <f t="shared" si="753"/>
        <v>0</v>
      </c>
      <c r="AU86" s="51">
        <f t="shared" si="754"/>
        <v>0</v>
      </c>
      <c r="AV86" s="53">
        <f t="shared" si="755"/>
        <v>0</v>
      </c>
      <c r="AW86" s="51">
        <f t="shared" si="756"/>
        <v>0</v>
      </c>
      <c r="AX86" s="48">
        <f t="shared" si="757"/>
        <v>0</v>
      </c>
      <c r="AY86" s="51">
        <f t="shared" si="758"/>
        <v>0</v>
      </c>
      <c r="BB86" s="48">
        <v>1</v>
      </c>
      <c r="BC86" s="48">
        <v>0.97</v>
      </c>
      <c r="BD86" s="48">
        <v>0.95</v>
      </c>
      <c r="BE86" s="48">
        <v>0.93</v>
      </c>
      <c r="BF86" s="48">
        <f t="shared" ref="BF86:BW86" si="964">+BE86-0.02</f>
        <v>0.91</v>
      </c>
      <c r="BG86" s="48">
        <f t="shared" si="964"/>
        <v>0.89</v>
      </c>
      <c r="BH86" s="48">
        <f t="shared" si="964"/>
        <v>0.87</v>
      </c>
      <c r="BI86" s="48">
        <f t="shared" si="964"/>
        <v>0.85</v>
      </c>
      <c r="BJ86" s="48">
        <f t="shared" si="964"/>
        <v>0.83</v>
      </c>
      <c r="BK86" s="48">
        <f t="shared" si="964"/>
        <v>0.80999999999999994</v>
      </c>
      <c r="BL86" s="48">
        <f t="shared" si="964"/>
        <v>0.78999999999999992</v>
      </c>
      <c r="BM86" s="48">
        <f t="shared" si="964"/>
        <v>0.76999999999999991</v>
      </c>
      <c r="BN86" s="48">
        <f t="shared" si="964"/>
        <v>0.74999999999999989</v>
      </c>
      <c r="BO86" s="48">
        <f t="shared" si="964"/>
        <v>0.72999999999999987</v>
      </c>
      <c r="BP86" s="48">
        <f t="shared" si="964"/>
        <v>0.70999999999999985</v>
      </c>
      <c r="BQ86" s="48">
        <f t="shared" si="964"/>
        <v>0.68999999999999984</v>
      </c>
      <c r="BR86" s="48">
        <f t="shared" si="964"/>
        <v>0.66999999999999982</v>
      </c>
      <c r="BS86" s="48">
        <f t="shared" si="964"/>
        <v>0.6499999999999998</v>
      </c>
      <c r="BT86" s="48">
        <f t="shared" si="964"/>
        <v>0.62999999999999978</v>
      </c>
      <c r="BU86" s="48">
        <f t="shared" si="964"/>
        <v>0.60999999999999976</v>
      </c>
      <c r="BV86" s="48">
        <f t="shared" si="964"/>
        <v>0.58999999999999975</v>
      </c>
      <c r="BW86" s="48">
        <f t="shared" si="964"/>
        <v>0.56999999999999973</v>
      </c>
      <c r="BY86" s="48">
        <f t="shared" si="952"/>
        <v>0</v>
      </c>
      <c r="BZ86" s="48">
        <f t="shared" si="953"/>
        <v>0</v>
      </c>
      <c r="CA86" s="51">
        <f t="shared" ref="CA86" si="965">+BZ86*3.3058</f>
        <v>0</v>
      </c>
      <c r="CB86" s="48">
        <f t="shared" si="761"/>
        <v>0</v>
      </c>
      <c r="CC86" s="51">
        <f t="shared" si="762"/>
        <v>0</v>
      </c>
      <c r="CD86" s="48">
        <f t="shared" si="763"/>
        <v>0</v>
      </c>
      <c r="CE86" s="51">
        <f t="shared" si="764"/>
        <v>0</v>
      </c>
      <c r="CF86" s="48">
        <f t="shared" si="765"/>
        <v>0</v>
      </c>
      <c r="CG86" s="51">
        <f t="shared" si="766"/>
        <v>0</v>
      </c>
      <c r="CH86" s="52">
        <f t="shared" si="767"/>
        <v>0</v>
      </c>
      <c r="CI86" s="51">
        <f t="shared" si="768"/>
        <v>0</v>
      </c>
      <c r="CJ86" s="48">
        <f t="shared" si="769"/>
        <v>0</v>
      </c>
      <c r="CK86" s="51">
        <f t="shared" si="770"/>
        <v>0</v>
      </c>
      <c r="CL86" s="52">
        <f t="shared" si="771"/>
        <v>0</v>
      </c>
      <c r="CM86" s="51">
        <f t="shared" si="772"/>
        <v>0</v>
      </c>
      <c r="CN86" s="53">
        <f t="shared" si="773"/>
        <v>0</v>
      </c>
      <c r="CO86" s="51">
        <f t="shared" si="774"/>
        <v>0</v>
      </c>
      <c r="CP86" s="52">
        <f t="shared" si="775"/>
        <v>0</v>
      </c>
      <c r="CQ86" s="51">
        <f t="shared" si="776"/>
        <v>0</v>
      </c>
      <c r="CR86" s="48">
        <f t="shared" si="777"/>
        <v>0</v>
      </c>
      <c r="CS86" s="51">
        <f t="shared" si="778"/>
        <v>0</v>
      </c>
      <c r="CT86" s="53">
        <f t="shared" si="779"/>
        <v>0</v>
      </c>
      <c r="CU86" s="51">
        <f t="shared" si="780"/>
        <v>0</v>
      </c>
      <c r="CV86" s="53">
        <f t="shared" si="781"/>
        <v>0</v>
      </c>
      <c r="CW86" s="51">
        <f t="shared" si="782"/>
        <v>0</v>
      </c>
      <c r="CX86" s="53">
        <f t="shared" si="783"/>
        <v>0</v>
      </c>
      <c r="CY86" s="51">
        <f t="shared" si="784"/>
        <v>0</v>
      </c>
      <c r="CZ86" s="48">
        <f t="shared" si="785"/>
        <v>0</v>
      </c>
      <c r="DA86" s="51">
        <f t="shared" si="786"/>
        <v>0</v>
      </c>
      <c r="DB86" s="53">
        <f t="shared" si="787"/>
        <v>0</v>
      </c>
      <c r="DC86" s="51">
        <f t="shared" si="788"/>
        <v>0</v>
      </c>
      <c r="DD86" s="53">
        <f t="shared" si="789"/>
        <v>0</v>
      </c>
      <c r="DE86" s="51">
        <f t="shared" si="790"/>
        <v>0</v>
      </c>
      <c r="DF86" s="53">
        <f t="shared" si="791"/>
        <v>0</v>
      </c>
      <c r="DG86" s="51">
        <f t="shared" si="792"/>
        <v>0</v>
      </c>
      <c r="DH86" s="53">
        <f t="shared" si="793"/>
        <v>0</v>
      </c>
      <c r="DI86" s="51">
        <f t="shared" si="794"/>
        <v>0</v>
      </c>
      <c r="DJ86" s="48">
        <f t="shared" si="795"/>
        <v>0</v>
      </c>
      <c r="DK86" s="51">
        <f t="shared" si="796"/>
        <v>0</v>
      </c>
      <c r="DL86" s="53">
        <f t="shared" si="797"/>
        <v>0</v>
      </c>
      <c r="DM86" s="51">
        <f t="shared" si="798"/>
        <v>0</v>
      </c>
      <c r="DN86" s="53">
        <f t="shared" si="799"/>
        <v>0</v>
      </c>
      <c r="DO86" s="51">
        <f t="shared" si="800"/>
        <v>0</v>
      </c>
      <c r="DP86" s="48">
        <f t="shared" si="801"/>
        <v>0</v>
      </c>
      <c r="DQ86" s="51">
        <f t="shared" si="802"/>
        <v>0</v>
      </c>
      <c r="DT86" s="48">
        <v>1</v>
      </c>
      <c r="DU86" s="48">
        <v>0.97</v>
      </c>
      <c r="DV86" s="48">
        <v>0.95</v>
      </c>
      <c r="DW86" s="48">
        <v>0.93</v>
      </c>
      <c r="DX86" s="48">
        <f t="shared" ref="DX86:EO86" si="966">+DW86-0.02</f>
        <v>0.91</v>
      </c>
      <c r="DY86" s="48">
        <f t="shared" si="966"/>
        <v>0.89</v>
      </c>
      <c r="DZ86" s="48">
        <f t="shared" si="966"/>
        <v>0.87</v>
      </c>
      <c r="EA86" s="48">
        <f t="shared" si="966"/>
        <v>0.85</v>
      </c>
      <c r="EB86" s="48">
        <f t="shared" si="966"/>
        <v>0.83</v>
      </c>
      <c r="EC86" s="48">
        <f t="shared" si="966"/>
        <v>0.80999999999999994</v>
      </c>
      <c r="ED86" s="48">
        <f t="shared" si="966"/>
        <v>0.78999999999999992</v>
      </c>
      <c r="EE86" s="48">
        <f t="shared" si="966"/>
        <v>0.76999999999999991</v>
      </c>
      <c r="EF86" s="48">
        <f t="shared" si="966"/>
        <v>0.74999999999999989</v>
      </c>
      <c r="EG86" s="48">
        <f t="shared" si="966"/>
        <v>0.72999999999999987</v>
      </c>
      <c r="EH86" s="48">
        <f t="shared" si="966"/>
        <v>0.70999999999999985</v>
      </c>
      <c r="EI86" s="48">
        <f t="shared" si="966"/>
        <v>0.68999999999999984</v>
      </c>
      <c r="EJ86" s="48">
        <f t="shared" si="966"/>
        <v>0.66999999999999982</v>
      </c>
      <c r="EK86" s="48">
        <f t="shared" si="966"/>
        <v>0.6499999999999998</v>
      </c>
      <c r="EL86" s="48">
        <f t="shared" si="966"/>
        <v>0.62999999999999978</v>
      </c>
      <c r="EM86" s="48">
        <f t="shared" si="966"/>
        <v>0.60999999999999976</v>
      </c>
      <c r="EN86" s="48">
        <f t="shared" si="966"/>
        <v>0.58999999999999975</v>
      </c>
      <c r="EO86" s="48">
        <f t="shared" si="966"/>
        <v>0.56999999999999973</v>
      </c>
      <c r="EQ86" s="48">
        <f t="shared" si="188"/>
        <v>0</v>
      </c>
      <c r="ER86" s="48">
        <f t="shared" si="956"/>
        <v>0</v>
      </c>
      <c r="ES86" s="51">
        <f t="shared" ref="ES86" si="967">+ER86*3.3058</f>
        <v>0</v>
      </c>
      <c r="ET86" s="48">
        <f t="shared" si="805"/>
        <v>0</v>
      </c>
      <c r="EU86" s="51">
        <f t="shared" si="806"/>
        <v>0</v>
      </c>
      <c r="EV86" s="48">
        <f t="shared" si="807"/>
        <v>0</v>
      </c>
      <c r="EW86" s="51">
        <f t="shared" si="808"/>
        <v>0</v>
      </c>
      <c r="EX86" s="48">
        <f t="shared" si="809"/>
        <v>0</v>
      </c>
      <c r="EY86" s="51">
        <f t="shared" si="810"/>
        <v>0</v>
      </c>
      <c r="EZ86" s="52">
        <f t="shared" si="811"/>
        <v>0</v>
      </c>
      <c r="FA86" s="51">
        <f t="shared" si="812"/>
        <v>0</v>
      </c>
      <c r="FB86" s="48">
        <f t="shared" si="813"/>
        <v>0</v>
      </c>
      <c r="FC86" s="51">
        <f t="shared" si="814"/>
        <v>0</v>
      </c>
      <c r="FD86" s="52">
        <f t="shared" si="815"/>
        <v>0</v>
      </c>
      <c r="FE86" s="51">
        <f t="shared" si="816"/>
        <v>0</v>
      </c>
      <c r="FF86" s="53">
        <f t="shared" si="817"/>
        <v>0</v>
      </c>
      <c r="FG86" s="51">
        <f t="shared" si="818"/>
        <v>0</v>
      </c>
      <c r="FH86" s="52">
        <f t="shared" si="819"/>
        <v>0</v>
      </c>
      <c r="FI86" s="51">
        <f t="shared" si="820"/>
        <v>0</v>
      </c>
      <c r="FJ86" s="48">
        <f t="shared" si="821"/>
        <v>0</v>
      </c>
      <c r="FK86" s="51">
        <f t="shared" si="822"/>
        <v>0</v>
      </c>
      <c r="FL86" s="53">
        <f t="shared" si="823"/>
        <v>0</v>
      </c>
      <c r="FM86" s="51">
        <f t="shared" si="824"/>
        <v>0</v>
      </c>
      <c r="FN86" s="53">
        <f t="shared" si="825"/>
        <v>0</v>
      </c>
      <c r="FO86" s="51">
        <f t="shared" si="826"/>
        <v>0</v>
      </c>
      <c r="FP86" s="53">
        <f t="shared" si="827"/>
        <v>0</v>
      </c>
      <c r="FQ86" s="51">
        <f t="shared" si="828"/>
        <v>0</v>
      </c>
      <c r="FR86" s="48">
        <f t="shared" si="829"/>
        <v>0</v>
      </c>
      <c r="FS86" s="51">
        <f t="shared" si="830"/>
        <v>0</v>
      </c>
      <c r="FT86" s="53">
        <f t="shared" si="831"/>
        <v>0</v>
      </c>
      <c r="FU86" s="51">
        <f t="shared" si="832"/>
        <v>0</v>
      </c>
      <c r="FV86" s="53">
        <f t="shared" si="833"/>
        <v>0</v>
      </c>
      <c r="FW86" s="51">
        <f t="shared" si="834"/>
        <v>0</v>
      </c>
      <c r="FX86" s="53">
        <f t="shared" si="835"/>
        <v>0</v>
      </c>
      <c r="FY86" s="51">
        <f t="shared" si="836"/>
        <v>0</v>
      </c>
      <c r="FZ86" s="53">
        <f t="shared" si="837"/>
        <v>0</v>
      </c>
      <c r="GA86" s="51">
        <f t="shared" si="838"/>
        <v>0</v>
      </c>
      <c r="GB86" s="48">
        <f t="shared" si="839"/>
        <v>0</v>
      </c>
      <c r="GC86" s="51">
        <f t="shared" si="840"/>
        <v>0</v>
      </c>
      <c r="GD86" s="53">
        <f t="shared" si="841"/>
        <v>0</v>
      </c>
      <c r="GE86" s="51">
        <f t="shared" si="842"/>
        <v>0</v>
      </c>
      <c r="GF86" s="53">
        <f t="shared" si="843"/>
        <v>0</v>
      </c>
      <c r="GG86" s="51">
        <f t="shared" si="844"/>
        <v>0</v>
      </c>
      <c r="GH86" s="48">
        <f t="shared" si="845"/>
        <v>0</v>
      </c>
      <c r="GI86" s="51">
        <f t="shared" si="846"/>
        <v>0</v>
      </c>
      <c r="GJ86" s="48"/>
      <c r="GK86" s="48"/>
      <c r="GL86" s="48">
        <v>1</v>
      </c>
      <c r="GM86" s="48">
        <v>0.97</v>
      </c>
      <c r="GN86" s="48">
        <v>0.95</v>
      </c>
      <c r="GO86" s="48">
        <v>0.93</v>
      </c>
      <c r="GP86" s="48">
        <f t="shared" ref="GP86:HG86" si="968">+GO86-0.02</f>
        <v>0.91</v>
      </c>
      <c r="GQ86" s="48">
        <f t="shared" si="968"/>
        <v>0.89</v>
      </c>
      <c r="GR86" s="48">
        <f t="shared" si="968"/>
        <v>0.87</v>
      </c>
      <c r="GS86" s="48">
        <f t="shared" si="968"/>
        <v>0.85</v>
      </c>
      <c r="GT86" s="48">
        <f t="shared" si="968"/>
        <v>0.83</v>
      </c>
      <c r="GU86" s="48">
        <f t="shared" si="968"/>
        <v>0.80999999999999994</v>
      </c>
      <c r="GV86" s="48">
        <f t="shared" si="968"/>
        <v>0.78999999999999992</v>
      </c>
      <c r="GW86" s="48">
        <f t="shared" si="968"/>
        <v>0.76999999999999991</v>
      </c>
      <c r="GX86" s="48">
        <f t="shared" si="968"/>
        <v>0.74999999999999989</v>
      </c>
      <c r="GY86" s="48">
        <f t="shared" si="968"/>
        <v>0.72999999999999987</v>
      </c>
      <c r="GZ86" s="48">
        <f t="shared" si="968"/>
        <v>0.70999999999999985</v>
      </c>
      <c r="HA86" s="48">
        <f t="shared" si="968"/>
        <v>0.68999999999999984</v>
      </c>
      <c r="HB86" s="48">
        <f t="shared" si="968"/>
        <v>0.66999999999999982</v>
      </c>
      <c r="HC86" s="48">
        <f t="shared" si="968"/>
        <v>0.6499999999999998</v>
      </c>
      <c r="HD86" s="48">
        <f t="shared" si="968"/>
        <v>0.62999999999999978</v>
      </c>
      <c r="HE86" s="48">
        <f t="shared" si="968"/>
        <v>0.60999999999999976</v>
      </c>
      <c r="HF86" s="48">
        <f t="shared" si="968"/>
        <v>0.58999999999999975</v>
      </c>
      <c r="HG86" s="48">
        <f t="shared" si="968"/>
        <v>0.56999999999999973</v>
      </c>
    </row>
    <row r="87" spans="1:215" x14ac:dyDescent="0.3">
      <c r="A87" s="2">
        <v>25</v>
      </c>
      <c r="C87" s="39" t="s">
        <v>156</v>
      </c>
      <c r="D87" s="44">
        <f>TRUNC(231060.820624546,-1)</f>
        <v>231060</v>
      </c>
      <c r="E87" s="73">
        <f t="shared" si="716"/>
        <v>763830</v>
      </c>
      <c r="G87" s="48">
        <f t="shared" si="948"/>
        <v>254166.00000000003</v>
      </c>
      <c r="H87" s="48">
        <f t="shared" si="949"/>
        <v>254166.00000000003</v>
      </c>
      <c r="I87" s="51">
        <f t="shared" si="950"/>
        <v>840221.9628000001</v>
      </c>
      <c r="J87" s="48">
        <f t="shared" si="717"/>
        <v>246541.02000000002</v>
      </c>
      <c r="K87" s="51">
        <f t="shared" si="718"/>
        <v>815015.30391600006</v>
      </c>
      <c r="L87" s="48">
        <f t="shared" si="719"/>
        <v>241457.7</v>
      </c>
      <c r="M87" s="51">
        <f t="shared" si="720"/>
        <v>798210.86466000008</v>
      </c>
      <c r="N87" s="48">
        <f t="shared" si="721"/>
        <v>236374.38000000003</v>
      </c>
      <c r="O87" s="51">
        <f t="shared" si="722"/>
        <v>781406.4254040001</v>
      </c>
      <c r="P87" s="52">
        <f t="shared" si="723"/>
        <v>231291.06000000003</v>
      </c>
      <c r="Q87" s="51">
        <f t="shared" si="724"/>
        <v>764601.98614800011</v>
      </c>
      <c r="R87" s="48">
        <f t="shared" si="725"/>
        <v>226207.74000000002</v>
      </c>
      <c r="S87" s="51">
        <f t="shared" si="726"/>
        <v>747797.54689200013</v>
      </c>
      <c r="T87" s="52">
        <f t="shared" si="727"/>
        <v>221124.42</v>
      </c>
      <c r="U87" s="51">
        <f t="shared" si="728"/>
        <v>730993.10763600003</v>
      </c>
      <c r="V87" s="53">
        <f t="shared" si="729"/>
        <v>216041.1</v>
      </c>
      <c r="W87" s="51">
        <f t="shared" si="730"/>
        <v>714188.66838000005</v>
      </c>
      <c r="X87" s="52">
        <f t="shared" si="731"/>
        <v>210957.78000000003</v>
      </c>
      <c r="Y87" s="51">
        <f t="shared" si="732"/>
        <v>697384.22912400006</v>
      </c>
      <c r="Z87" s="48">
        <f t="shared" si="733"/>
        <v>205874.46000000002</v>
      </c>
      <c r="AA87" s="51">
        <f t="shared" si="734"/>
        <v>680579.78986800008</v>
      </c>
      <c r="AB87" s="53">
        <f t="shared" si="735"/>
        <v>200791.14</v>
      </c>
      <c r="AC87" s="51">
        <f t="shared" si="736"/>
        <v>663775.3506120001</v>
      </c>
      <c r="AD87" s="53">
        <f t="shared" si="737"/>
        <v>195707.82</v>
      </c>
      <c r="AE87" s="51">
        <f t="shared" si="738"/>
        <v>646970.911356</v>
      </c>
      <c r="AF87" s="53">
        <f t="shared" si="739"/>
        <v>190624.5</v>
      </c>
      <c r="AG87" s="51">
        <f t="shared" si="740"/>
        <v>630166.47210000001</v>
      </c>
      <c r="AH87" s="48">
        <f t="shared" si="741"/>
        <v>185541.18</v>
      </c>
      <c r="AI87" s="51">
        <f t="shared" si="742"/>
        <v>613362.03284400003</v>
      </c>
      <c r="AJ87" s="53">
        <f t="shared" si="743"/>
        <v>180457.86</v>
      </c>
      <c r="AK87" s="51">
        <f t="shared" si="744"/>
        <v>596557.59358799993</v>
      </c>
      <c r="AL87" s="53">
        <f t="shared" si="745"/>
        <v>175374.53999999998</v>
      </c>
      <c r="AM87" s="51">
        <f t="shared" si="746"/>
        <v>579753.15433199995</v>
      </c>
      <c r="AN87" s="53">
        <f t="shared" si="747"/>
        <v>170291.21999999997</v>
      </c>
      <c r="AO87" s="51">
        <f t="shared" si="748"/>
        <v>562948.71507599996</v>
      </c>
      <c r="AP87" s="53">
        <f t="shared" si="749"/>
        <v>165207.89999999997</v>
      </c>
      <c r="AQ87" s="51">
        <f t="shared" si="750"/>
        <v>546144.27581999986</v>
      </c>
      <c r="AR87" s="48">
        <f t="shared" si="751"/>
        <v>160124.57999999996</v>
      </c>
      <c r="AS87" s="51">
        <f t="shared" si="752"/>
        <v>529339.83656399988</v>
      </c>
      <c r="AT87" s="53">
        <f t="shared" si="753"/>
        <v>155041.25999999995</v>
      </c>
      <c r="AU87" s="51">
        <f t="shared" si="754"/>
        <v>512535.39730799984</v>
      </c>
      <c r="AV87" s="53">
        <f t="shared" si="755"/>
        <v>149957.93999999994</v>
      </c>
      <c r="AW87" s="51">
        <f t="shared" si="756"/>
        <v>495730.9580519998</v>
      </c>
      <c r="AX87" s="48">
        <f t="shared" si="757"/>
        <v>144874.61999999994</v>
      </c>
      <c r="AY87" s="51">
        <f t="shared" si="758"/>
        <v>478926.51879599981</v>
      </c>
      <c r="BB87" s="48">
        <v>1</v>
      </c>
      <c r="BC87" s="48">
        <v>0.97</v>
      </c>
      <c r="BD87" s="48">
        <v>0.95</v>
      </c>
      <c r="BE87" s="48">
        <v>0.93</v>
      </c>
      <c r="BF87" s="48">
        <f t="shared" ref="BF87:BW87" si="969">+BE87-0.02</f>
        <v>0.91</v>
      </c>
      <c r="BG87" s="48">
        <f t="shared" si="969"/>
        <v>0.89</v>
      </c>
      <c r="BH87" s="48">
        <f t="shared" si="969"/>
        <v>0.87</v>
      </c>
      <c r="BI87" s="48">
        <f t="shared" si="969"/>
        <v>0.85</v>
      </c>
      <c r="BJ87" s="48">
        <f t="shared" si="969"/>
        <v>0.83</v>
      </c>
      <c r="BK87" s="48">
        <f t="shared" si="969"/>
        <v>0.80999999999999994</v>
      </c>
      <c r="BL87" s="48">
        <f t="shared" si="969"/>
        <v>0.78999999999999992</v>
      </c>
      <c r="BM87" s="48">
        <f t="shared" si="969"/>
        <v>0.76999999999999991</v>
      </c>
      <c r="BN87" s="48">
        <f t="shared" si="969"/>
        <v>0.74999999999999989</v>
      </c>
      <c r="BO87" s="48">
        <f t="shared" si="969"/>
        <v>0.72999999999999987</v>
      </c>
      <c r="BP87" s="48">
        <f t="shared" si="969"/>
        <v>0.70999999999999985</v>
      </c>
      <c r="BQ87" s="48">
        <f t="shared" si="969"/>
        <v>0.68999999999999984</v>
      </c>
      <c r="BR87" s="48">
        <f t="shared" si="969"/>
        <v>0.66999999999999982</v>
      </c>
      <c r="BS87" s="48">
        <f t="shared" si="969"/>
        <v>0.6499999999999998</v>
      </c>
      <c r="BT87" s="48">
        <f t="shared" si="969"/>
        <v>0.62999999999999978</v>
      </c>
      <c r="BU87" s="48">
        <f t="shared" si="969"/>
        <v>0.60999999999999976</v>
      </c>
      <c r="BV87" s="48">
        <f t="shared" si="969"/>
        <v>0.58999999999999975</v>
      </c>
      <c r="BW87" s="48">
        <f t="shared" si="969"/>
        <v>0.56999999999999973</v>
      </c>
      <c r="BY87" s="48">
        <f t="shared" si="952"/>
        <v>231291.06000000003</v>
      </c>
      <c r="BZ87" s="48">
        <f t="shared" si="953"/>
        <v>231291.06000000003</v>
      </c>
      <c r="CA87" s="51">
        <f t="shared" ref="CA87" si="970">+BZ87*3.3058</f>
        <v>764601.98614800011</v>
      </c>
      <c r="CB87" s="48">
        <f t="shared" si="761"/>
        <v>224352.32820000002</v>
      </c>
      <c r="CC87" s="51">
        <f t="shared" si="762"/>
        <v>741663.92656356003</v>
      </c>
      <c r="CD87" s="48">
        <f t="shared" si="763"/>
        <v>219726.50700000001</v>
      </c>
      <c r="CE87" s="51">
        <f t="shared" si="764"/>
        <v>726371.88684060005</v>
      </c>
      <c r="CF87" s="48">
        <f t="shared" si="765"/>
        <v>215100.68580000004</v>
      </c>
      <c r="CG87" s="51">
        <f t="shared" si="766"/>
        <v>711079.84711764008</v>
      </c>
      <c r="CH87" s="52">
        <f t="shared" si="767"/>
        <v>210474.86460000003</v>
      </c>
      <c r="CI87" s="51">
        <f t="shared" si="768"/>
        <v>695787.8073946801</v>
      </c>
      <c r="CJ87" s="48">
        <f t="shared" si="769"/>
        <v>205849.04340000002</v>
      </c>
      <c r="CK87" s="51">
        <f t="shared" si="770"/>
        <v>680495.76767172012</v>
      </c>
      <c r="CL87" s="52">
        <f t="shared" si="771"/>
        <v>201223.22220000002</v>
      </c>
      <c r="CM87" s="51">
        <f t="shared" si="772"/>
        <v>665203.72794876003</v>
      </c>
      <c r="CN87" s="53">
        <f t="shared" si="773"/>
        <v>196597.40100000001</v>
      </c>
      <c r="CO87" s="51">
        <f t="shared" si="774"/>
        <v>649911.68822580006</v>
      </c>
      <c r="CP87" s="52">
        <f t="shared" si="775"/>
        <v>191971.57980000001</v>
      </c>
      <c r="CQ87" s="51">
        <f t="shared" si="776"/>
        <v>634619.64850284008</v>
      </c>
      <c r="CR87" s="48">
        <f t="shared" si="777"/>
        <v>187345.7586</v>
      </c>
      <c r="CS87" s="51">
        <f t="shared" si="778"/>
        <v>619327.60877987999</v>
      </c>
      <c r="CT87" s="53">
        <f t="shared" si="779"/>
        <v>182719.9374</v>
      </c>
      <c r="CU87" s="51">
        <f t="shared" si="780"/>
        <v>604035.56905692001</v>
      </c>
      <c r="CV87" s="53">
        <f t="shared" si="781"/>
        <v>178094.11619999999</v>
      </c>
      <c r="CW87" s="51">
        <f t="shared" si="782"/>
        <v>588743.52933396003</v>
      </c>
      <c r="CX87" s="53">
        <f t="shared" si="783"/>
        <v>173468.29499999998</v>
      </c>
      <c r="CY87" s="51">
        <f t="shared" si="784"/>
        <v>573451.48961099994</v>
      </c>
      <c r="CZ87" s="48">
        <f t="shared" si="785"/>
        <v>168842.47379999998</v>
      </c>
      <c r="DA87" s="51">
        <f t="shared" si="786"/>
        <v>558159.44988803996</v>
      </c>
      <c r="DB87" s="53">
        <f t="shared" si="787"/>
        <v>164216.65259999997</v>
      </c>
      <c r="DC87" s="51">
        <f t="shared" si="788"/>
        <v>542867.41016507987</v>
      </c>
      <c r="DD87" s="53">
        <f t="shared" si="789"/>
        <v>159590.83139999997</v>
      </c>
      <c r="DE87" s="51">
        <f t="shared" si="790"/>
        <v>527575.37044211989</v>
      </c>
      <c r="DF87" s="53">
        <f t="shared" si="791"/>
        <v>154965.01019999999</v>
      </c>
      <c r="DG87" s="51">
        <f t="shared" si="792"/>
        <v>512283.33071915997</v>
      </c>
      <c r="DH87" s="53">
        <f t="shared" si="793"/>
        <v>150339.18899999998</v>
      </c>
      <c r="DI87" s="51">
        <f t="shared" si="794"/>
        <v>496991.29099619994</v>
      </c>
      <c r="DJ87" s="48">
        <f t="shared" si="795"/>
        <v>145713.36779999998</v>
      </c>
      <c r="DK87" s="51">
        <f t="shared" si="796"/>
        <v>481699.25127323996</v>
      </c>
      <c r="DL87" s="53">
        <f t="shared" si="797"/>
        <v>141087.54659999997</v>
      </c>
      <c r="DM87" s="51">
        <f t="shared" si="798"/>
        <v>466407.21155027993</v>
      </c>
      <c r="DN87" s="53">
        <f t="shared" si="799"/>
        <v>136461.72539999997</v>
      </c>
      <c r="DO87" s="51">
        <f t="shared" si="800"/>
        <v>451115.17182731989</v>
      </c>
      <c r="DP87" s="48">
        <f t="shared" si="801"/>
        <v>131835.90419999996</v>
      </c>
      <c r="DQ87" s="51">
        <f t="shared" si="802"/>
        <v>435823.13210435986</v>
      </c>
      <c r="DT87" s="48">
        <v>1</v>
      </c>
      <c r="DU87" s="48">
        <v>0.97</v>
      </c>
      <c r="DV87" s="48">
        <v>0.95</v>
      </c>
      <c r="DW87" s="48">
        <v>0.93</v>
      </c>
      <c r="DX87" s="48">
        <f t="shared" ref="DX87:EO87" si="971">+DW87-0.02</f>
        <v>0.91</v>
      </c>
      <c r="DY87" s="48">
        <f t="shared" si="971"/>
        <v>0.89</v>
      </c>
      <c r="DZ87" s="48">
        <f t="shared" si="971"/>
        <v>0.87</v>
      </c>
      <c r="EA87" s="48">
        <f t="shared" si="971"/>
        <v>0.85</v>
      </c>
      <c r="EB87" s="48">
        <f t="shared" si="971"/>
        <v>0.83</v>
      </c>
      <c r="EC87" s="48">
        <f t="shared" si="971"/>
        <v>0.80999999999999994</v>
      </c>
      <c r="ED87" s="48">
        <f t="shared" si="971"/>
        <v>0.78999999999999992</v>
      </c>
      <c r="EE87" s="48">
        <f t="shared" si="971"/>
        <v>0.76999999999999991</v>
      </c>
      <c r="EF87" s="48">
        <f t="shared" si="971"/>
        <v>0.74999999999999989</v>
      </c>
      <c r="EG87" s="48">
        <f t="shared" si="971"/>
        <v>0.72999999999999987</v>
      </c>
      <c r="EH87" s="48">
        <f t="shared" si="971"/>
        <v>0.70999999999999985</v>
      </c>
      <c r="EI87" s="48">
        <f t="shared" si="971"/>
        <v>0.68999999999999984</v>
      </c>
      <c r="EJ87" s="48">
        <f t="shared" si="971"/>
        <v>0.66999999999999982</v>
      </c>
      <c r="EK87" s="48">
        <f t="shared" si="971"/>
        <v>0.6499999999999998</v>
      </c>
      <c r="EL87" s="48">
        <f t="shared" si="971"/>
        <v>0.62999999999999978</v>
      </c>
      <c r="EM87" s="48">
        <f t="shared" si="971"/>
        <v>0.60999999999999976</v>
      </c>
      <c r="EN87" s="48">
        <f t="shared" si="971"/>
        <v>0.58999999999999975</v>
      </c>
      <c r="EO87" s="48">
        <f t="shared" si="971"/>
        <v>0.56999999999999973</v>
      </c>
      <c r="EQ87" s="48">
        <f t="shared" si="188"/>
        <v>210474.86460000003</v>
      </c>
      <c r="ER87" s="48">
        <f t="shared" si="956"/>
        <v>210474.86460000003</v>
      </c>
      <c r="ES87" s="51">
        <f t="shared" ref="ES87" si="972">+ER87*3.3058</f>
        <v>695787.8073946801</v>
      </c>
      <c r="ET87" s="48">
        <f t="shared" si="805"/>
        <v>204160.61866200002</v>
      </c>
      <c r="EU87" s="51">
        <f t="shared" si="806"/>
        <v>674914.17317283968</v>
      </c>
      <c r="EV87" s="48">
        <f t="shared" si="807"/>
        <v>199951.12137000001</v>
      </c>
      <c r="EW87" s="51">
        <f t="shared" si="808"/>
        <v>660998.41702494607</v>
      </c>
      <c r="EX87" s="48">
        <f t="shared" si="809"/>
        <v>195741.62407800005</v>
      </c>
      <c r="EY87" s="51">
        <f t="shared" si="810"/>
        <v>647082.66087705258</v>
      </c>
      <c r="EZ87" s="52">
        <f t="shared" si="811"/>
        <v>191532.12678600004</v>
      </c>
      <c r="FA87" s="51">
        <f t="shared" si="812"/>
        <v>633166.90472915897</v>
      </c>
      <c r="FB87" s="48">
        <f t="shared" si="813"/>
        <v>187322.62949400002</v>
      </c>
      <c r="FC87" s="51">
        <f t="shared" si="814"/>
        <v>619251.14858126524</v>
      </c>
      <c r="FD87" s="52">
        <f t="shared" si="815"/>
        <v>183113.13220200004</v>
      </c>
      <c r="FE87" s="51">
        <f t="shared" si="816"/>
        <v>605335.39243337174</v>
      </c>
      <c r="FF87" s="53">
        <f t="shared" si="817"/>
        <v>178903.63491000002</v>
      </c>
      <c r="FG87" s="51">
        <f t="shared" si="818"/>
        <v>591419.63628547813</v>
      </c>
      <c r="FH87" s="52">
        <f t="shared" si="819"/>
        <v>174694.13761800001</v>
      </c>
      <c r="FI87" s="51">
        <f t="shared" si="820"/>
        <v>577503.88013758441</v>
      </c>
      <c r="FJ87" s="48">
        <f t="shared" si="821"/>
        <v>170484.64032600002</v>
      </c>
      <c r="FK87" s="51">
        <f t="shared" si="822"/>
        <v>563588.12398969091</v>
      </c>
      <c r="FL87" s="53">
        <f t="shared" si="823"/>
        <v>166275.14303400001</v>
      </c>
      <c r="FM87" s="51">
        <f t="shared" si="824"/>
        <v>549672.36784179718</v>
      </c>
      <c r="FN87" s="53">
        <f t="shared" si="825"/>
        <v>162065.64574199999</v>
      </c>
      <c r="FO87" s="51">
        <f t="shared" si="826"/>
        <v>535756.61169390357</v>
      </c>
      <c r="FP87" s="53">
        <f t="shared" si="827"/>
        <v>157856.14845000001</v>
      </c>
      <c r="FQ87" s="51">
        <f t="shared" si="828"/>
        <v>521840.85554601002</v>
      </c>
      <c r="FR87" s="48">
        <f t="shared" si="829"/>
        <v>153646.65115799999</v>
      </c>
      <c r="FS87" s="51">
        <f t="shared" si="830"/>
        <v>507925.09939811641</v>
      </c>
      <c r="FT87" s="53">
        <f t="shared" si="831"/>
        <v>149437.15386599998</v>
      </c>
      <c r="FU87" s="51">
        <f t="shared" si="832"/>
        <v>494009.34325022274</v>
      </c>
      <c r="FV87" s="53">
        <f t="shared" si="833"/>
        <v>145227.65657399999</v>
      </c>
      <c r="FW87" s="51">
        <f t="shared" si="834"/>
        <v>480093.58710232918</v>
      </c>
      <c r="FX87" s="53">
        <f t="shared" si="835"/>
        <v>141018.15928199998</v>
      </c>
      <c r="FY87" s="51">
        <f t="shared" si="836"/>
        <v>466177.83095443551</v>
      </c>
      <c r="FZ87" s="53">
        <f t="shared" si="837"/>
        <v>136808.66198999996</v>
      </c>
      <c r="GA87" s="51">
        <f t="shared" si="838"/>
        <v>452262.0748065419</v>
      </c>
      <c r="GB87" s="48">
        <f t="shared" si="839"/>
        <v>132599.16469799998</v>
      </c>
      <c r="GC87" s="51">
        <f t="shared" si="840"/>
        <v>438346.31865864835</v>
      </c>
      <c r="GD87" s="53">
        <f t="shared" si="841"/>
        <v>128389.66740599996</v>
      </c>
      <c r="GE87" s="51">
        <f t="shared" si="842"/>
        <v>424430.56251075468</v>
      </c>
      <c r="GF87" s="53">
        <f t="shared" si="843"/>
        <v>124180.17011399996</v>
      </c>
      <c r="GG87" s="51">
        <f t="shared" si="844"/>
        <v>410514.80636286107</v>
      </c>
      <c r="GH87" s="48">
        <f t="shared" si="845"/>
        <v>119970.67282199996</v>
      </c>
      <c r="GI87" s="51">
        <f t="shared" si="846"/>
        <v>396599.05021496752</v>
      </c>
      <c r="GJ87" s="48"/>
      <c r="GK87" s="48"/>
      <c r="GL87" s="48">
        <v>1</v>
      </c>
      <c r="GM87" s="48">
        <v>0.97</v>
      </c>
      <c r="GN87" s="48">
        <v>0.95</v>
      </c>
      <c r="GO87" s="48">
        <v>0.93</v>
      </c>
      <c r="GP87" s="48">
        <f t="shared" ref="GP87:HG87" si="973">+GO87-0.02</f>
        <v>0.91</v>
      </c>
      <c r="GQ87" s="48">
        <f t="shared" si="973"/>
        <v>0.89</v>
      </c>
      <c r="GR87" s="48">
        <f t="shared" si="973"/>
        <v>0.87</v>
      </c>
      <c r="GS87" s="48">
        <f t="shared" si="973"/>
        <v>0.85</v>
      </c>
      <c r="GT87" s="48">
        <f t="shared" si="973"/>
        <v>0.83</v>
      </c>
      <c r="GU87" s="48">
        <f t="shared" si="973"/>
        <v>0.80999999999999994</v>
      </c>
      <c r="GV87" s="48">
        <f t="shared" si="973"/>
        <v>0.78999999999999992</v>
      </c>
      <c r="GW87" s="48">
        <f t="shared" si="973"/>
        <v>0.76999999999999991</v>
      </c>
      <c r="GX87" s="48">
        <f t="shared" si="973"/>
        <v>0.74999999999999989</v>
      </c>
      <c r="GY87" s="48">
        <f t="shared" si="973"/>
        <v>0.72999999999999987</v>
      </c>
      <c r="GZ87" s="48">
        <f t="shared" si="973"/>
        <v>0.70999999999999985</v>
      </c>
      <c r="HA87" s="48">
        <f t="shared" si="973"/>
        <v>0.68999999999999984</v>
      </c>
      <c r="HB87" s="48">
        <f t="shared" si="973"/>
        <v>0.66999999999999982</v>
      </c>
      <c r="HC87" s="48">
        <f t="shared" si="973"/>
        <v>0.6499999999999998</v>
      </c>
      <c r="HD87" s="48">
        <f t="shared" si="973"/>
        <v>0.62999999999999978</v>
      </c>
      <c r="HE87" s="48">
        <f t="shared" si="973"/>
        <v>0.60999999999999976</v>
      </c>
      <c r="HF87" s="48">
        <f t="shared" si="973"/>
        <v>0.58999999999999975</v>
      </c>
      <c r="HG87" s="48">
        <f t="shared" si="973"/>
        <v>0.56999999999999973</v>
      </c>
    </row>
    <row r="88" spans="1:215" ht="17.25" thickBot="1" x14ac:dyDescent="0.35">
      <c r="A88" s="2">
        <v>26</v>
      </c>
      <c r="C88" s="39" t="s">
        <v>157</v>
      </c>
      <c r="D88" s="45">
        <f>TRUNC(1863.11002178649+18969.2496368918+914.213507625272+1384.1975308642,-1)</f>
        <v>23130</v>
      </c>
      <c r="E88" s="74">
        <f t="shared" si="716"/>
        <v>76460</v>
      </c>
      <c r="F88" s="2" t="s">
        <v>373</v>
      </c>
      <c r="G88" s="48">
        <f t="shared" si="948"/>
        <v>25443.000000000004</v>
      </c>
      <c r="H88" s="48">
        <f t="shared" si="949"/>
        <v>25443.000000000004</v>
      </c>
      <c r="I88" s="51">
        <f t="shared" si="950"/>
        <v>84109.469400000016</v>
      </c>
      <c r="J88" s="48">
        <f t="shared" si="717"/>
        <v>24679.710000000003</v>
      </c>
      <c r="K88" s="51">
        <f t="shared" si="718"/>
        <v>81586.185318000018</v>
      </c>
      <c r="L88" s="48">
        <f t="shared" si="719"/>
        <v>24170.850000000002</v>
      </c>
      <c r="M88" s="51">
        <f t="shared" si="720"/>
        <v>79903.995930000005</v>
      </c>
      <c r="N88" s="48">
        <f t="shared" si="721"/>
        <v>23661.990000000005</v>
      </c>
      <c r="O88" s="51">
        <f t="shared" si="722"/>
        <v>78221.80654200002</v>
      </c>
      <c r="P88" s="52">
        <f t="shared" si="723"/>
        <v>23153.130000000005</v>
      </c>
      <c r="Q88" s="51">
        <f t="shared" si="724"/>
        <v>76539.617154000021</v>
      </c>
      <c r="R88" s="48">
        <f t="shared" si="725"/>
        <v>22644.270000000004</v>
      </c>
      <c r="S88" s="51">
        <f t="shared" si="726"/>
        <v>74857.427766000008</v>
      </c>
      <c r="T88" s="52">
        <f t="shared" si="727"/>
        <v>22135.410000000003</v>
      </c>
      <c r="U88" s="51">
        <f t="shared" si="728"/>
        <v>73175.238378000009</v>
      </c>
      <c r="V88" s="53">
        <f t="shared" si="729"/>
        <v>21626.550000000003</v>
      </c>
      <c r="W88" s="51">
        <f t="shared" si="730"/>
        <v>71493.04899000001</v>
      </c>
      <c r="X88" s="52">
        <f t="shared" si="731"/>
        <v>21117.690000000002</v>
      </c>
      <c r="Y88" s="51">
        <f t="shared" si="732"/>
        <v>69810.859602000011</v>
      </c>
      <c r="Z88" s="48">
        <f t="shared" si="733"/>
        <v>20608.830000000002</v>
      </c>
      <c r="AA88" s="51">
        <f t="shared" si="734"/>
        <v>68128.670214000012</v>
      </c>
      <c r="AB88" s="53">
        <f t="shared" si="735"/>
        <v>20099.97</v>
      </c>
      <c r="AC88" s="51">
        <f t="shared" si="736"/>
        <v>66446.480825999999</v>
      </c>
      <c r="AD88" s="53">
        <f t="shared" si="737"/>
        <v>19591.11</v>
      </c>
      <c r="AE88" s="51">
        <f t="shared" si="738"/>
        <v>64764.291438</v>
      </c>
      <c r="AF88" s="53">
        <f t="shared" si="739"/>
        <v>19082.25</v>
      </c>
      <c r="AG88" s="51">
        <f t="shared" si="740"/>
        <v>63082.102050000001</v>
      </c>
      <c r="AH88" s="48">
        <f t="shared" si="741"/>
        <v>18573.39</v>
      </c>
      <c r="AI88" s="51">
        <f t="shared" si="742"/>
        <v>61399.912662000002</v>
      </c>
      <c r="AJ88" s="53">
        <f t="shared" si="743"/>
        <v>18064.53</v>
      </c>
      <c r="AK88" s="51">
        <f t="shared" si="744"/>
        <v>59717.723273999996</v>
      </c>
      <c r="AL88" s="53">
        <f t="shared" si="745"/>
        <v>17555.669999999998</v>
      </c>
      <c r="AM88" s="51">
        <f t="shared" si="746"/>
        <v>58035.533885999997</v>
      </c>
      <c r="AN88" s="53">
        <f t="shared" si="747"/>
        <v>17046.809999999998</v>
      </c>
      <c r="AO88" s="51">
        <f t="shared" si="748"/>
        <v>56353.344497999991</v>
      </c>
      <c r="AP88" s="53">
        <f t="shared" si="749"/>
        <v>16537.949999999997</v>
      </c>
      <c r="AQ88" s="51">
        <f t="shared" si="750"/>
        <v>54671.155109999992</v>
      </c>
      <c r="AR88" s="48">
        <f t="shared" si="751"/>
        <v>16029.089999999997</v>
      </c>
      <c r="AS88" s="51">
        <f t="shared" si="752"/>
        <v>52988.965721999986</v>
      </c>
      <c r="AT88" s="53">
        <f t="shared" si="753"/>
        <v>15520.229999999996</v>
      </c>
      <c r="AU88" s="51">
        <f t="shared" si="754"/>
        <v>51306.776333999987</v>
      </c>
      <c r="AV88" s="53">
        <f t="shared" si="755"/>
        <v>15011.369999999995</v>
      </c>
      <c r="AW88" s="51">
        <f t="shared" si="756"/>
        <v>49624.586945999989</v>
      </c>
      <c r="AX88" s="48">
        <f t="shared" si="757"/>
        <v>14502.509999999995</v>
      </c>
      <c r="AY88" s="51">
        <f t="shared" si="758"/>
        <v>47942.397557999982</v>
      </c>
      <c r="BB88" s="48">
        <v>1</v>
      </c>
      <c r="BC88" s="48">
        <v>0.97</v>
      </c>
      <c r="BD88" s="48">
        <v>0.95</v>
      </c>
      <c r="BE88" s="48">
        <v>0.93</v>
      </c>
      <c r="BF88" s="48">
        <f t="shared" ref="BF88:BW88" si="974">+BE88-0.02</f>
        <v>0.91</v>
      </c>
      <c r="BG88" s="48">
        <f t="shared" si="974"/>
        <v>0.89</v>
      </c>
      <c r="BH88" s="48">
        <f t="shared" si="974"/>
        <v>0.87</v>
      </c>
      <c r="BI88" s="48">
        <f t="shared" si="974"/>
        <v>0.85</v>
      </c>
      <c r="BJ88" s="48">
        <f t="shared" si="974"/>
        <v>0.83</v>
      </c>
      <c r="BK88" s="48">
        <f t="shared" si="974"/>
        <v>0.80999999999999994</v>
      </c>
      <c r="BL88" s="48">
        <f t="shared" si="974"/>
        <v>0.78999999999999992</v>
      </c>
      <c r="BM88" s="48">
        <f t="shared" si="974"/>
        <v>0.76999999999999991</v>
      </c>
      <c r="BN88" s="48">
        <f t="shared" si="974"/>
        <v>0.74999999999999989</v>
      </c>
      <c r="BO88" s="48">
        <f t="shared" si="974"/>
        <v>0.72999999999999987</v>
      </c>
      <c r="BP88" s="48">
        <f t="shared" si="974"/>
        <v>0.70999999999999985</v>
      </c>
      <c r="BQ88" s="48">
        <f t="shared" si="974"/>
        <v>0.68999999999999984</v>
      </c>
      <c r="BR88" s="48">
        <f t="shared" si="974"/>
        <v>0.66999999999999982</v>
      </c>
      <c r="BS88" s="48">
        <f t="shared" si="974"/>
        <v>0.6499999999999998</v>
      </c>
      <c r="BT88" s="48">
        <f t="shared" si="974"/>
        <v>0.62999999999999978</v>
      </c>
      <c r="BU88" s="48">
        <f t="shared" si="974"/>
        <v>0.60999999999999976</v>
      </c>
      <c r="BV88" s="48">
        <f t="shared" si="974"/>
        <v>0.58999999999999975</v>
      </c>
      <c r="BW88" s="48">
        <f t="shared" si="974"/>
        <v>0.56999999999999973</v>
      </c>
      <c r="BY88" s="48">
        <f t="shared" si="952"/>
        <v>23153.130000000005</v>
      </c>
      <c r="BZ88" s="48">
        <f t="shared" si="953"/>
        <v>23153.130000000005</v>
      </c>
      <c r="CA88" s="51">
        <f t="shared" ref="CA88" si="975">+BZ88*3.3058</f>
        <v>76539.617154000021</v>
      </c>
      <c r="CB88" s="48">
        <f t="shared" si="761"/>
        <v>22458.536100000005</v>
      </c>
      <c r="CC88" s="51">
        <f t="shared" si="762"/>
        <v>74243.428639380014</v>
      </c>
      <c r="CD88" s="48">
        <f t="shared" si="763"/>
        <v>21995.473500000004</v>
      </c>
      <c r="CE88" s="51">
        <f t="shared" si="764"/>
        <v>72712.636296300014</v>
      </c>
      <c r="CF88" s="48">
        <f t="shared" si="765"/>
        <v>21532.410900000006</v>
      </c>
      <c r="CG88" s="51">
        <f t="shared" si="766"/>
        <v>71181.843953220028</v>
      </c>
      <c r="CH88" s="52">
        <f t="shared" si="767"/>
        <v>21069.348300000005</v>
      </c>
      <c r="CI88" s="51">
        <f t="shared" si="768"/>
        <v>69651.051610140014</v>
      </c>
      <c r="CJ88" s="48">
        <f t="shared" si="769"/>
        <v>20606.285700000004</v>
      </c>
      <c r="CK88" s="51">
        <f t="shared" si="770"/>
        <v>68120.259267060013</v>
      </c>
      <c r="CL88" s="52">
        <f t="shared" si="771"/>
        <v>20143.223100000003</v>
      </c>
      <c r="CM88" s="51">
        <f t="shared" si="772"/>
        <v>66589.466923980013</v>
      </c>
      <c r="CN88" s="53">
        <f t="shared" si="773"/>
        <v>19680.160500000002</v>
      </c>
      <c r="CO88" s="51">
        <f t="shared" si="774"/>
        <v>65058.674580900006</v>
      </c>
      <c r="CP88" s="52">
        <f t="shared" si="775"/>
        <v>19217.097900000004</v>
      </c>
      <c r="CQ88" s="51">
        <f t="shared" si="776"/>
        <v>63527.882237820013</v>
      </c>
      <c r="CR88" s="48">
        <f t="shared" si="777"/>
        <v>18754.035300000003</v>
      </c>
      <c r="CS88" s="51">
        <f t="shared" si="778"/>
        <v>61997.089894740013</v>
      </c>
      <c r="CT88" s="53">
        <f t="shared" si="779"/>
        <v>18290.972700000002</v>
      </c>
      <c r="CU88" s="51">
        <f t="shared" si="780"/>
        <v>60466.297551660005</v>
      </c>
      <c r="CV88" s="53">
        <f t="shared" si="781"/>
        <v>17827.910100000001</v>
      </c>
      <c r="CW88" s="51">
        <f t="shared" si="782"/>
        <v>58935.505208580005</v>
      </c>
      <c r="CX88" s="53">
        <f t="shared" si="783"/>
        <v>17364.8475</v>
      </c>
      <c r="CY88" s="51">
        <f t="shared" si="784"/>
        <v>57404.712865499998</v>
      </c>
      <c r="CZ88" s="48">
        <f t="shared" si="785"/>
        <v>16901.784899999999</v>
      </c>
      <c r="DA88" s="51">
        <f t="shared" si="786"/>
        <v>55873.920522419998</v>
      </c>
      <c r="DB88" s="53">
        <f t="shared" si="787"/>
        <v>16438.722300000001</v>
      </c>
      <c r="DC88" s="51">
        <f t="shared" si="788"/>
        <v>54343.128179340005</v>
      </c>
      <c r="DD88" s="53">
        <f t="shared" si="789"/>
        <v>15975.6597</v>
      </c>
      <c r="DE88" s="51">
        <f t="shared" si="790"/>
        <v>52812.335836260005</v>
      </c>
      <c r="DF88" s="53">
        <f t="shared" si="791"/>
        <v>15512.597099999999</v>
      </c>
      <c r="DG88" s="51">
        <f t="shared" si="792"/>
        <v>51281.543493179997</v>
      </c>
      <c r="DH88" s="53">
        <f t="shared" si="793"/>
        <v>15049.534499999998</v>
      </c>
      <c r="DI88" s="51">
        <f t="shared" si="794"/>
        <v>49750.751150099997</v>
      </c>
      <c r="DJ88" s="48">
        <f t="shared" si="795"/>
        <v>14586.471899999999</v>
      </c>
      <c r="DK88" s="51">
        <f t="shared" si="796"/>
        <v>48219.958807019997</v>
      </c>
      <c r="DL88" s="53">
        <f t="shared" si="797"/>
        <v>14123.409299999998</v>
      </c>
      <c r="DM88" s="51">
        <f t="shared" si="798"/>
        <v>46689.16646393999</v>
      </c>
      <c r="DN88" s="53">
        <f t="shared" si="799"/>
        <v>13660.346699999996</v>
      </c>
      <c r="DO88" s="51">
        <f t="shared" si="800"/>
        <v>45158.374120859989</v>
      </c>
      <c r="DP88" s="48">
        <f t="shared" si="801"/>
        <v>13197.284099999997</v>
      </c>
      <c r="DQ88" s="51">
        <f t="shared" si="802"/>
        <v>43627.581777779989</v>
      </c>
      <c r="DT88" s="48">
        <v>1</v>
      </c>
      <c r="DU88" s="48">
        <v>0.97</v>
      </c>
      <c r="DV88" s="48">
        <v>0.95</v>
      </c>
      <c r="DW88" s="48">
        <v>0.93</v>
      </c>
      <c r="DX88" s="48">
        <f t="shared" ref="DX88:EO88" si="976">+DW88-0.02</f>
        <v>0.91</v>
      </c>
      <c r="DY88" s="48">
        <f t="shared" si="976"/>
        <v>0.89</v>
      </c>
      <c r="DZ88" s="48">
        <f t="shared" si="976"/>
        <v>0.87</v>
      </c>
      <c r="EA88" s="48">
        <f t="shared" si="976"/>
        <v>0.85</v>
      </c>
      <c r="EB88" s="48">
        <f t="shared" si="976"/>
        <v>0.83</v>
      </c>
      <c r="EC88" s="48">
        <f t="shared" si="976"/>
        <v>0.80999999999999994</v>
      </c>
      <c r="ED88" s="48">
        <f t="shared" si="976"/>
        <v>0.78999999999999992</v>
      </c>
      <c r="EE88" s="48">
        <f t="shared" si="976"/>
        <v>0.76999999999999991</v>
      </c>
      <c r="EF88" s="48">
        <f t="shared" si="976"/>
        <v>0.74999999999999989</v>
      </c>
      <c r="EG88" s="48">
        <f t="shared" si="976"/>
        <v>0.72999999999999987</v>
      </c>
      <c r="EH88" s="48">
        <f t="shared" si="976"/>
        <v>0.70999999999999985</v>
      </c>
      <c r="EI88" s="48">
        <f t="shared" si="976"/>
        <v>0.68999999999999984</v>
      </c>
      <c r="EJ88" s="48">
        <f t="shared" si="976"/>
        <v>0.66999999999999982</v>
      </c>
      <c r="EK88" s="48">
        <f t="shared" si="976"/>
        <v>0.6499999999999998</v>
      </c>
      <c r="EL88" s="48">
        <f t="shared" si="976"/>
        <v>0.62999999999999978</v>
      </c>
      <c r="EM88" s="48">
        <f t="shared" si="976"/>
        <v>0.60999999999999976</v>
      </c>
      <c r="EN88" s="48">
        <f t="shared" si="976"/>
        <v>0.58999999999999975</v>
      </c>
      <c r="EO88" s="48">
        <f t="shared" si="976"/>
        <v>0.56999999999999973</v>
      </c>
      <c r="EQ88" s="48">
        <f t="shared" si="188"/>
        <v>21069.348300000005</v>
      </c>
      <c r="ER88" s="48">
        <f t="shared" si="956"/>
        <v>21069.348300000005</v>
      </c>
      <c r="ES88" s="51">
        <f t="shared" ref="ES88" si="977">+ER88*3.3058</f>
        <v>69651.051610140014</v>
      </c>
      <c r="ET88" s="48">
        <f t="shared" si="805"/>
        <v>20437.267851000004</v>
      </c>
      <c r="EU88" s="51">
        <f t="shared" si="806"/>
        <v>67561.520061835821</v>
      </c>
      <c r="EV88" s="48">
        <f t="shared" si="807"/>
        <v>20015.880885000002</v>
      </c>
      <c r="EW88" s="51">
        <f t="shared" si="808"/>
        <v>66168.499029633007</v>
      </c>
      <c r="EX88" s="48">
        <f t="shared" si="809"/>
        <v>19594.493919000004</v>
      </c>
      <c r="EY88" s="51">
        <f t="shared" si="810"/>
        <v>64775.477997430215</v>
      </c>
      <c r="EZ88" s="52">
        <f t="shared" si="811"/>
        <v>19173.106953000006</v>
      </c>
      <c r="FA88" s="51">
        <f t="shared" si="812"/>
        <v>63382.456965227422</v>
      </c>
      <c r="FB88" s="48">
        <f t="shared" si="813"/>
        <v>18751.719987000004</v>
      </c>
      <c r="FC88" s="51">
        <f t="shared" si="814"/>
        <v>61989.435933024615</v>
      </c>
      <c r="FD88" s="52">
        <f t="shared" si="815"/>
        <v>18330.333021000006</v>
      </c>
      <c r="FE88" s="51">
        <f t="shared" si="816"/>
        <v>60596.414900821823</v>
      </c>
      <c r="FF88" s="53">
        <f t="shared" si="817"/>
        <v>17908.946055000004</v>
      </c>
      <c r="FG88" s="51">
        <f t="shared" si="818"/>
        <v>59203.393868619016</v>
      </c>
      <c r="FH88" s="52">
        <f t="shared" si="819"/>
        <v>17487.559089000002</v>
      </c>
      <c r="FI88" s="51">
        <f t="shared" si="820"/>
        <v>57810.372836416209</v>
      </c>
      <c r="FJ88" s="48">
        <f t="shared" si="821"/>
        <v>17066.172123000004</v>
      </c>
      <c r="FK88" s="51">
        <f t="shared" si="822"/>
        <v>56417.351804213416</v>
      </c>
      <c r="FL88" s="53">
        <f t="shared" si="823"/>
        <v>16644.785157000002</v>
      </c>
      <c r="FM88" s="51">
        <f t="shared" si="824"/>
        <v>55024.33077201061</v>
      </c>
      <c r="FN88" s="53">
        <f t="shared" si="825"/>
        <v>16223.398191000002</v>
      </c>
      <c r="FO88" s="51">
        <f t="shared" si="826"/>
        <v>53631.30973980781</v>
      </c>
      <c r="FP88" s="53">
        <f t="shared" si="827"/>
        <v>15802.011225000002</v>
      </c>
      <c r="FQ88" s="51">
        <f t="shared" si="828"/>
        <v>52238.28870760501</v>
      </c>
      <c r="FR88" s="48">
        <f t="shared" si="829"/>
        <v>15380.624259</v>
      </c>
      <c r="FS88" s="51">
        <f t="shared" si="830"/>
        <v>50845.267675402203</v>
      </c>
      <c r="FT88" s="53">
        <f t="shared" si="831"/>
        <v>14959.237293</v>
      </c>
      <c r="FU88" s="51">
        <f t="shared" si="832"/>
        <v>49452.246643199403</v>
      </c>
      <c r="FV88" s="53">
        <f t="shared" si="833"/>
        <v>14537.850327</v>
      </c>
      <c r="FW88" s="51">
        <f t="shared" si="834"/>
        <v>48059.225610996604</v>
      </c>
      <c r="FX88" s="53">
        <f t="shared" si="835"/>
        <v>14116.463361</v>
      </c>
      <c r="FY88" s="51">
        <f t="shared" si="836"/>
        <v>46666.204578793804</v>
      </c>
      <c r="FZ88" s="53">
        <f t="shared" si="837"/>
        <v>13695.076394999998</v>
      </c>
      <c r="GA88" s="51">
        <f t="shared" si="838"/>
        <v>45273.183546590997</v>
      </c>
      <c r="GB88" s="48">
        <f t="shared" si="839"/>
        <v>13273.689428999998</v>
      </c>
      <c r="GC88" s="51">
        <f t="shared" si="840"/>
        <v>43880.162514388197</v>
      </c>
      <c r="GD88" s="53">
        <f t="shared" si="841"/>
        <v>12852.302462999998</v>
      </c>
      <c r="GE88" s="51">
        <f t="shared" si="842"/>
        <v>42487.141482185398</v>
      </c>
      <c r="GF88" s="53">
        <f t="shared" si="843"/>
        <v>12430.915496999998</v>
      </c>
      <c r="GG88" s="51">
        <f t="shared" si="844"/>
        <v>41094.120449982598</v>
      </c>
      <c r="GH88" s="48">
        <f t="shared" si="845"/>
        <v>12009.528530999998</v>
      </c>
      <c r="GI88" s="51">
        <f t="shared" si="846"/>
        <v>39701.099417779791</v>
      </c>
      <c r="GJ88" s="48"/>
      <c r="GK88" s="48"/>
      <c r="GL88" s="48">
        <v>1</v>
      </c>
      <c r="GM88" s="48">
        <v>0.97</v>
      </c>
      <c r="GN88" s="48">
        <v>0.95</v>
      </c>
      <c r="GO88" s="48">
        <v>0.93</v>
      </c>
      <c r="GP88" s="48">
        <f t="shared" ref="GP88:HG88" si="978">+GO88-0.02</f>
        <v>0.91</v>
      </c>
      <c r="GQ88" s="48">
        <f t="shared" si="978"/>
        <v>0.89</v>
      </c>
      <c r="GR88" s="48">
        <f t="shared" si="978"/>
        <v>0.87</v>
      </c>
      <c r="GS88" s="48">
        <f t="shared" si="978"/>
        <v>0.85</v>
      </c>
      <c r="GT88" s="48">
        <f t="shared" si="978"/>
        <v>0.83</v>
      </c>
      <c r="GU88" s="48">
        <f t="shared" si="978"/>
        <v>0.80999999999999994</v>
      </c>
      <c r="GV88" s="48">
        <f t="shared" si="978"/>
        <v>0.78999999999999992</v>
      </c>
      <c r="GW88" s="48">
        <f t="shared" si="978"/>
        <v>0.76999999999999991</v>
      </c>
      <c r="GX88" s="48">
        <f t="shared" si="978"/>
        <v>0.74999999999999989</v>
      </c>
      <c r="GY88" s="48">
        <f t="shared" si="978"/>
        <v>0.72999999999999987</v>
      </c>
      <c r="GZ88" s="48">
        <f t="shared" si="978"/>
        <v>0.70999999999999985</v>
      </c>
      <c r="HA88" s="48">
        <f t="shared" si="978"/>
        <v>0.68999999999999984</v>
      </c>
      <c r="HB88" s="48">
        <f t="shared" si="978"/>
        <v>0.66999999999999982</v>
      </c>
      <c r="HC88" s="48">
        <f t="shared" si="978"/>
        <v>0.6499999999999998</v>
      </c>
      <c r="HD88" s="48">
        <f t="shared" si="978"/>
        <v>0.62999999999999978</v>
      </c>
      <c r="HE88" s="48">
        <f t="shared" si="978"/>
        <v>0.60999999999999976</v>
      </c>
      <c r="HF88" s="48">
        <f t="shared" si="978"/>
        <v>0.58999999999999975</v>
      </c>
      <c r="HG88" s="48">
        <f t="shared" si="978"/>
        <v>0.56999999999999973</v>
      </c>
    </row>
    <row r="89" spans="1:215" x14ac:dyDescent="0.3">
      <c r="A89" s="2">
        <v>27</v>
      </c>
      <c r="C89" s="27" t="s">
        <v>158</v>
      </c>
      <c r="D89" s="40">
        <f>SUM(D63:D88)</f>
        <v>329550</v>
      </c>
      <c r="E89" s="40">
        <f>SUM(E63:E88)</f>
        <v>1089390</v>
      </c>
      <c r="G89" s="48">
        <f t="shared" si="948"/>
        <v>362505.00000000006</v>
      </c>
      <c r="H89" s="48">
        <f t="shared" si="949"/>
        <v>362505.00000000006</v>
      </c>
      <c r="I89" s="51">
        <f t="shared" si="950"/>
        <v>1198369.0290000003</v>
      </c>
      <c r="J89" s="48">
        <f t="shared" si="717"/>
        <v>351629.85000000003</v>
      </c>
      <c r="K89" s="51">
        <f t="shared" si="718"/>
        <v>1162417.9581300002</v>
      </c>
      <c r="L89" s="48">
        <f t="shared" si="719"/>
        <v>344379.75000000006</v>
      </c>
      <c r="M89" s="51">
        <f t="shared" si="720"/>
        <v>1138450.5775500003</v>
      </c>
      <c r="N89" s="48">
        <f t="shared" si="721"/>
        <v>337129.65000000008</v>
      </c>
      <c r="O89" s="51">
        <f t="shared" si="722"/>
        <v>1114483.1969700004</v>
      </c>
      <c r="P89" s="52">
        <f t="shared" si="723"/>
        <v>329879.55000000005</v>
      </c>
      <c r="Q89" s="51">
        <f t="shared" si="724"/>
        <v>1090515.8163900003</v>
      </c>
      <c r="R89" s="48">
        <f t="shared" si="725"/>
        <v>322629.45000000007</v>
      </c>
      <c r="S89" s="51">
        <f t="shared" si="726"/>
        <v>1066548.4358100002</v>
      </c>
      <c r="T89" s="52">
        <f t="shared" si="727"/>
        <v>315379.35000000003</v>
      </c>
      <c r="U89" s="51">
        <f t="shared" si="728"/>
        <v>1042581.0552300002</v>
      </c>
      <c r="V89" s="53">
        <f t="shared" si="729"/>
        <v>308129.25000000006</v>
      </c>
      <c r="W89" s="51">
        <f t="shared" si="730"/>
        <v>1018613.6746500002</v>
      </c>
      <c r="X89" s="52">
        <f t="shared" si="731"/>
        <v>300879.15000000002</v>
      </c>
      <c r="Y89" s="51">
        <f t="shared" si="732"/>
        <v>994646.29407000006</v>
      </c>
      <c r="Z89" s="48">
        <f t="shared" si="733"/>
        <v>293629.05000000005</v>
      </c>
      <c r="AA89" s="51">
        <f t="shared" si="734"/>
        <v>970678.91349000018</v>
      </c>
      <c r="AB89" s="53">
        <f t="shared" si="735"/>
        <v>286378.95</v>
      </c>
      <c r="AC89" s="51">
        <f t="shared" si="736"/>
        <v>946711.53291000007</v>
      </c>
      <c r="AD89" s="53">
        <f t="shared" si="737"/>
        <v>279128.85000000003</v>
      </c>
      <c r="AE89" s="51">
        <f t="shared" si="738"/>
        <v>922744.15233000019</v>
      </c>
      <c r="AF89" s="53">
        <f t="shared" si="739"/>
        <v>271878.75</v>
      </c>
      <c r="AG89" s="51">
        <f t="shared" si="740"/>
        <v>898776.77175000007</v>
      </c>
      <c r="AH89" s="48">
        <f t="shared" si="741"/>
        <v>264628.65000000002</v>
      </c>
      <c r="AI89" s="51">
        <f t="shared" si="742"/>
        <v>874809.39117000008</v>
      </c>
      <c r="AJ89" s="53">
        <f t="shared" si="743"/>
        <v>257378.55</v>
      </c>
      <c r="AK89" s="51">
        <f t="shared" si="744"/>
        <v>850842.01058999996</v>
      </c>
      <c r="AL89" s="53">
        <f t="shared" si="745"/>
        <v>250128.44999999998</v>
      </c>
      <c r="AM89" s="51">
        <f t="shared" si="746"/>
        <v>826874.63000999996</v>
      </c>
      <c r="AN89" s="53">
        <f t="shared" si="747"/>
        <v>242878.34999999998</v>
      </c>
      <c r="AO89" s="51">
        <f t="shared" si="748"/>
        <v>802907.24942999997</v>
      </c>
      <c r="AP89" s="53">
        <f t="shared" si="749"/>
        <v>235628.24999999997</v>
      </c>
      <c r="AQ89" s="51">
        <f t="shared" si="750"/>
        <v>778939.86884999997</v>
      </c>
      <c r="AR89" s="48">
        <f t="shared" si="751"/>
        <v>228378.14999999997</v>
      </c>
      <c r="AS89" s="51">
        <f t="shared" si="752"/>
        <v>754972.48826999986</v>
      </c>
      <c r="AT89" s="53">
        <f t="shared" si="753"/>
        <v>221128.04999999996</v>
      </c>
      <c r="AU89" s="51">
        <f t="shared" si="754"/>
        <v>731005.10768999986</v>
      </c>
      <c r="AV89" s="53">
        <f t="shared" si="755"/>
        <v>213877.94999999995</v>
      </c>
      <c r="AW89" s="51">
        <f t="shared" si="756"/>
        <v>707037.72710999986</v>
      </c>
      <c r="AX89" s="48">
        <f t="shared" si="757"/>
        <v>206627.84999999995</v>
      </c>
      <c r="AY89" s="51">
        <f t="shared" si="758"/>
        <v>683070.34652999986</v>
      </c>
      <c r="BB89" s="48">
        <v>1</v>
      </c>
      <c r="BC89" s="48">
        <v>0.97</v>
      </c>
      <c r="BD89" s="48">
        <v>0.95</v>
      </c>
      <c r="BE89" s="48">
        <v>0.93</v>
      </c>
      <c r="BF89" s="48">
        <f t="shared" ref="BF89:BW89" si="979">+BE89-0.02</f>
        <v>0.91</v>
      </c>
      <c r="BG89" s="48">
        <f t="shared" si="979"/>
        <v>0.89</v>
      </c>
      <c r="BH89" s="48">
        <f t="shared" si="979"/>
        <v>0.87</v>
      </c>
      <c r="BI89" s="48">
        <f t="shared" si="979"/>
        <v>0.85</v>
      </c>
      <c r="BJ89" s="48">
        <f t="shared" si="979"/>
        <v>0.83</v>
      </c>
      <c r="BK89" s="48">
        <f t="shared" si="979"/>
        <v>0.80999999999999994</v>
      </c>
      <c r="BL89" s="48">
        <f t="shared" si="979"/>
        <v>0.78999999999999992</v>
      </c>
      <c r="BM89" s="48">
        <f t="shared" si="979"/>
        <v>0.76999999999999991</v>
      </c>
      <c r="BN89" s="48">
        <f t="shared" si="979"/>
        <v>0.74999999999999989</v>
      </c>
      <c r="BO89" s="48">
        <f t="shared" si="979"/>
        <v>0.72999999999999987</v>
      </c>
      <c r="BP89" s="48">
        <f t="shared" si="979"/>
        <v>0.70999999999999985</v>
      </c>
      <c r="BQ89" s="48">
        <f t="shared" si="979"/>
        <v>0.68999999999999984</v>
      </c>
      <c r="BR89" s="48">
        <f t="shared" si="979"/>
        <v>0.66999999999999982</v>
      </c>
      <c r="BS89" s="48">
        <f t="shared" si="979"/>
        <v>0.6499999999999998</v>
      </c>
      <c r="BT89" s="48">
        <f t="shared" si="979"/>
        <v>0.62999999999999978</v>
      </c>
      <c r="BU89" s="48">
        <f t="shared" si="979"/>
        <v>0.60999999999999976</v>
      </c>
      <c r="BV89" s="48">
        <f t="shared" si="979"/>
        <v>0.58999999999999975</v>
      </c>
      <c r="BW89" s="48">
        <f t="shared" si="979"/>
        <v>0.56999999999999973</v>
      </c>
      <c r="BY89" s="48">
        <f t="shared" si="952"/>
        <v>329879.55000000005</v>
      </c>
      <c r="BZ89" s="48">
        <f t="shared" si="953"/>
        <v>329879.55000000005</v>
      </c>
      <c r="CA89" s="51">
        <f t="shared" ref="CA89" si="980">+BZ89*3.3058</f>
        <v>1090515.8163900003</v>
      </c>
      <c r="CB89" s="48">
        <f t="shared" si="761"/>
        <v>319983.16350000002</v>
      </c>
      <c r="CC89" s="51">
        <f t="shared" si="762"/>
        <v>1057800.3418983002</v>
      </c>
      <c r="CD89" s="48">
        <f t="shared" si="763"/>
        <v>313385.57250000001</v>
      </c>
      <c r="CE89" s="51">
        <f t="shared" si="764"/>
        <v>1035990.0255705001</v>
      </c>
      <c r="CF89" s="48">
        <f t="shared" si="765"/>
        <v>306787.98150000005</v>
      </c>
      <c r="CG89" s="51">
        <f t="shared" si="766"/>
        <v>1014179.7092427002</v>
      </c>
      <c r="CH89" s="52">
        <f t="shared" si="767"/>
        <v>300190.39050000004</v>
      </c>
      <c r="CI89" s="51">
        <f t="shared" si="768"/>
        <v>992369.39291490009</v>
      </c>
      <c r="CJ89" s="48">
        <f t="shared" si="769"/>
        <v>293592.79950000002</v>
      </c>
      <c r="CK89" s="51">
        <f t="shared" si="770"/>
        <v>970559.07658710005</v>
      </c>
      <c r="CL89" s="52">
        <f t="shared" si="771"/>
        <v>286995.20850000007</v>
      </c>
      <c r="CM89" s="51">
        <f t="shared" si="772"/>
        <v>948748.76025930024</v>
      </c>
      <c r="CN89" s="53">
        <f t="shared" si="773"/>
        <v>280397.61750000005</v>
      </c>
      <c r="CO89" s="51">
        <f t="shared" si="774"/>
        <v>926938.44393150019</v>
      </c>
      <c r="CP89" s="52">
        <f t="shared" si="775"/>
        <v>273800.02650000004</v>
      </c>
      <c r="CQ89" s="51">
        <f t="shared" si="776"/>
        <v>905128.12760370015</v>
      </c>
      <c r="CR89" s="48">
        <f t="shared" si="777"/>
        <v>267202.43550000002</v>
      </c>
      <c r="CS89" s="51">
        <f t="shared" si="778"/>
        <v>883317.81127590011</v>
      </c>
      <c r="CT89" s="53">
        <f t="shared" si="779"/>
        <v>260604.84450000001</v>
      </c>
      <c r="CU89" s="51">
        <f t="shared" si="780"/>
        <v>861507.49494810007</v>
      </c>
      <c r="CV89" s="53">
        <f t="shared" si="781"/>
        <v>254007.25349999999</v>
      </c>
      <c r="CW89" s="51">
        <f t="shared" si="782"/>
        <v>839697.17862030002</v>
      </c>
      <c r="CX89" s="53">
        <f t="shared" si="783"/>
        <v>247409.66250000001</v>
      </c>
      <c r="CY89" s="51">
        <f t="shared" si="784"/>
        <v>817886.86229249998</v>
      </c>
      <c r="CZ89" s="48">
        <f t="shared" si="785"/>
        <v>240812.07149999999</v>
      </c>
      <c r="DA89" s="51">
        <f t="shared" si="786"/>
        <v>796076.54596469994</v>
      </c>
      <c r="DB89" s="53">
        <f t="shared" si="787"/>
        <v>234214.48049999998</v>
      </c>
      <c r="DC89" s="51">
        <f t="shared" si="788"/>
        <v>774266.22963689989</v>
      </c>
      <c r="DD89" s="53">
        <f t="shared" si="789"/>
        <v>227616.88949999999</v>
      </c>
      <c r="DE89" s="51">
        <f t="shared" si="790"/>
        <v>752455.91330909997</v>
      </c>
      <c r="DF89" s="53">
        <f t="shared" si="791"/>
        <v>221019.29849999998</v>
      </c>
      <c r="DG89" s="51">
        <f t="shared" si="792"/>
        <v>730645.59698129992</v>
      </c>
      <c r="DH89" s="53">
        <f t="shared" si="793"/>
        <v>214421.70749999996</v>
      </c>
      <c r="DI89" s="51">
        <f t="shared" si="794"/>
        <v>708835.28065349988</v>
      </c>
      <c r="DJ89" s="48">
        <f t="shared" si="795"/>
        <v>207824.11649999995</v>
      </c>
      <c r="DK89" s="51">
        <f t="shared" si="796"/>
        <v>687024.96432569984</v>
      </c>
      <c r="DL89" s="53">
        <f t="shared" si="797"/>
        <v>201226.52549999996</v>
      </c>
      <c r="DM89" s="51">
        <f t="shared" si="798"/>
        <v>665214.64799789991</v>
      </c>
      <c r="DN89" s="53">
        <f t="shared" si="799"/>
        <v>194628.93449999994</v>
      </c>
      <c r="DO89" s="51">
        <f t="shared" si="800"/>
        <v>643404.33167009987</v>
      </c>
      <c r="DP89" s="48">
        <f t="shared" si="801"/>
        <v>188031.34349999993</v>
      </c>
      <c r="DQ89" s="51">
        <f t="shared" si="802"/>
        <v>621594.01534229983</v>
      </c>
      <c r="DT89" s="48">
        <v>1</v>
      </c>
      <c r="DU89" s="48">
        <v>0.97</v>
      </c>
      <c r="DV89" s="48">
        <v>0.95</v>
      </c>
      <c r="DW89" s="48">
        <v>0.93</v>
      </c>
      <c r="DX89" s="48">
        <f t="shared" ref="DX89:EO89" si="981">+DW89-0.02</f>
        <v>0.91</v>
      </c>
      <c r="DY89" s="48">
        <f t="shared" si="981"/>
        <v>0.89</v>
      </c>
      <c r="DZ89" s="48">
        <f t="shared" si="981"/>
        <v>0.87</v>
      </c>
      <c r="EA89" s="48">
        <f t="shared" si="981"/>
        <v>0.85</v>
      </c>
      <c r="EB89" s="48">
        <f t="shared" si="981"/>
        <v>0.83</v>
      </c>
      <c r="EC89" s="48">
        <f t="shared" si="981"/>
        <v>0.80999999999999994</v>
      </c>
      <c r="ED89" s="48">
        <f t="shared" si="981"/>
        <v>0.78999999999999992</v>
      </c>
      <c r="EE89" s="48">
        <f t="shared" si="981"/>
        <v>0.76999999999999991</v>
      </c>
      <c r="EF89" s="48">
        <f t="shared" si="981"/>
        <v>0.74999999999999989</v>
      </c>
      <c r="EG89" s="48">
        <f t="shared" si="981"/>
        <v>0.72999999999999987</v>
      </c>
      <c r="EH89" s="48">
        <f t="shared" si="981"/>
        <v>0.70999999999999985</v>
      </c>
      <c r="EI89" s="48">
        <f t="shared" si="981"/>
        <v>0.68999999999999984</v>
      </c>
      <c r="EJ89" s="48">
        <f t="shared" si="981"/>
        <v>0.66999999999999982</v>
      </c>
      <c r="EK89" s="48">
        <f t="shared" si="981"/>
        <v>0.6499999999999998</v>
      </c>
      <c r="EL89" s="48">
        <f t="shared" si="981"/>
        <v>0.62999999999999978</v>
      </c>
      <c r="EM89" s="48">
        <f t="shared" si="981"/>
        <v>0.60999999999999976</v>
      </c>
      <c r="EN89" s="48">
        <f t="shared" si="981"/>
        <v>0.58999999999999975</v>
      </c>
      <c r="EO89" s="48">
        <f t="shared" si="981"/>
        <v>0.56999999999999973</v>
      </c>
      <c r="EQ89" s="48">
        <f t="shared" si="188"/>
        <v>300190.39050000004</v>
      </c>
      <c r="ER89" s="48">
        <f t="shared" si="956"/>
        <v>300190.39050000004</v>
      </c>
      <c r="ES89" s="51">
        <f t="shared" ref="ES89" si="982">+ER89*3.3058</f>
        <v>992369.39291490009</v>
      </c>
      <c r="ET89" s="48">
        <f t="shared" si="805"/>
        <v>291184.67878500005</v>
      </c>
      <c r="EU89" s="51">
        <f t="shared" si="806"/>
        <v>962598.31112745323</v>
      </c>
      <c r="EV89" s="48">
        <f t="shared" si="807"/>
        <v>285180.87097500003</v>
      </c>
      <c r="EW89" s="51">
        <f t="shared" si="808"/>
        <v>942750.92326915509</v>
      </c>
      <c r="EX89" s="48">
        <f t="shared" si="809"/>
        <v>279177.06316500006</v>
      </c>
      <c r="EY89" s="51">
        <f t="shared" si="810"/>
        <v>922903.53541085718</v>
      </c>
      <c r="EZ89" s="52">
        <f t="shared" si="811"/>
        <v>273173.25535500003</v>
      </c>
      <c r="FA89" s="51">
        <f t="shared" si="812"/>
        <v>903056.14755255915</v>
      </c>
      <c r="FB89" s="48">
        <f t="shared" si="813"/>
        <v>267169.44754500006</v>
      </c>
      <c r="FC89" s="51">
        <f t="shared" si="814"/>
        <v>883208.75969426124</v>
      </c>
      <c r="FD89" s="52">
        <f t="shared" si="815"/>
        <v>261165.63973500003</v>
      </c>
      <c r="FE89" s="51">
        <f t="shared" si="816"/>
        <v>863361.3718359631</v>
      </c>
      <c r="FF89" s="53">
        <f t="shared" si="817"/>
        <v>255161.83192500003</v>
      </c>
      <c r="FG89" s="51">
        <f t="shared" si="818"/>
        <v>843513.98397766508</v>
      </c>
      <c r="FH89" s="52">
        <f t="shared" si="819"/>
        <v>249158.02411500001</v>
      </c>
      <c r="FI89" s="51">
        <f t="shared" si="820"/>
        <v>823666.59611936705</v>
      </c>
      <c r="FJ89" s="48">
        <f t="shared" si="821"/>
        <v>243154.21630500001</v>
      </c>
      <c r="FK89" s="51">
        <f t="shared" si="822"/>
        <v>803819.20826106903</v>
      </c>
      <c r="FL89" s="53">
        <f t="shared" si="823"/>
        <v>237150.40849500001</v>
      </c>
      <c r="FM89" s="51">
        <f t="shared" si="824"/>
        <v>783971.820402771</v>
      </c>
      <c r="FN89" s="53">
        <f t="shared" si="825"/>
        <v>231146.60068500001</v>
      </c>
      <c r="FO89" s="51">
        <f t="shared" si="826"/>
        <v>764124.43254447309</v>
      </c>
      <c r="FP89" s="53">
        <f t="shared" si="827"/>
        <v>225142.79287499998</v>
      </c>
      <c r="FQ89" s="51">
        <f t="shared" si="828"/>
        <v>744277.04468617495</v>
      </c>
      <c r="FR89" s="48">
        <f t="shared" si="829"/>
        <v>219138.98506499999</v>
      </c>
      <c r="FS89" s="51">
        <f t="shared" si="830"/>
        <v>724429.65682787693</v>
      </c>
      <c r="FT89" s="53">
        <f t="shared" si="831"/>
        <v>213135.17725499999</v>
      </c>
      <c r="FU89" s="51">
        <f t="shared" si="832"/>
        <v>704582.26896957902</v>
      </c>
      <c r="FV89" s="53">
        <f t="shared" si="833"/>
        <v>207131.36944499999</v>
      </c>
      <c r="FW89" s="51">
        <f t="shared" si="834"/>
        <v>684734.88111128099</v>
      </c>
      <c r="FX89" s="53">
        <f t="shared" si="835"/>
        <v>201127.56163499996</v>
      </c>
      <c r="FY89" s="51">
        <f t="shared" si="836"/>
        <v>664887.49325298285</v>
      </c>
      <c r="FZ89" s="53">
        <f t="shared" si="837"/>
        <v>195123.75382499996</v>
      </c>
      <c r="GA89" s="51">
        <f t="shared" si="838"/>
        <v>645040.10539468494</v>
      </c>
      <c r="GB89" s="48">
        <f t="shared" si="839"/>
        <v>189119.94601499996</v>
      </c>
      <c r="GC89" s="51">
        <f t="shared" si="840"/>
        <v>625192.71753638692</v>
      </c>
      <c r="GD89" s="53">
        <f t="shared" si="841"/>
        <v>183116.13820499997</v>
      </c>
      <c r="GE89" s="51">
        <f t="shared" si="842"/>
        <v>605345.32967808889</v>
      </c>
      <c r="GF89" s="53">
        <f t="shared" si="843"/>
        <v>177112.33039499994</v>
      </c>
      <c r="GG89" s="51">
        <f t="shared" si="844"/>
        <v>585497.94181979087</v>
      </c>
      <c r="GH89" s="48">
        <f t="shared" si="845"/>
        <v>171108.52258499994</v>
      </c>
      <c r="GI89" s="51">
        <f t="shared" si="846"/>
        <v>565650.55396149284</v>
      </c>
      <c r="GJ89" s="48"/>
      <c r="GK89" s="48"/>
      <c r="GL89" s="48">
        <v>1</v>
      </c>
      <c r="GM89" s="48">
        <v>0.97</v>
      </c>
      <c r="GN89" s="48">
        <v>0.95</v>
      </c>
      <c r="GO89" s="48">
        <v>0.93</v>
      </c>
      <c r="GP89" s="48">
        <f t="shared" ref="GP89:HG89" si="983">+GO89-0.02</f>
        <v>0.91</v>
      </c>
      <c r="GQ89" s="48">
        <f t="shared" si="983"/>
        <v>0.89</v>
      </c>
      <c r="GR89" s="48">
        <f t="shared" si="983"/>
        <v>0.87</v>
      </c>
      <c r="GS89" s="48">
        <f t="shared" si="983"/>
        <v>0.85</v>
      </c>
      <c r="GT89" s="48">
        <f t="shared" si="983"/>
        <v>0.83</v>
      </c>
      <c r="GU89" s="48">
        <f t="shared" si="983"/>
        <v>0.80999999999999994</v>
      </c>
      <c r="GV89" s="48">
        <f t="shared" si="983"/>
        <v>0.78999999999999992</v>
      </c>
      <c r="GW89" s="48">
        <f t="shared" si="983"/>
        <v>0.76999999999999991</v>
      </c>
      <c r="GX89" s="48">
        <f t="shared" si="983"/>
        <v>0.74999999999999989</v>
      </c>
      <c r="GY89" s="48">
        <f t="shared" si="983"/>
        <v>0.72999999999999987</v>
      </c>
      <c r="GZ89" s="48">
        <f t="shared" si="983"/>
        <v>0.70999999999999985</v>
      </c>
      <c r="HA89" s="48">
        <f t="shared" si="983"/>
        <v>0.68999999999999984</v>
      </c>
      <c r="HB89" s="48">
        <f t="shared" si="983"/>
        <v>0.66999999999999982</v>
      </c>
      <c r="HC89" s="48">
        <f t="shared" si="983"/>
        <v>0.6499999999999998</v>
      </c>
      <c r="HD89" s="48">
        <f t="shared" si="983"/>
        <v>0.62999999999999978</v>
      </c>
      <c r="HE89" s="48">
        <f t="shared" si="983"/>
        <v>0.60999999999999976</v>
      </c>
      <c r="HF89" s="48">
        <f t="shared" si="983"/>
        <v>0.58999999999999975</v>
      </c>
      <c r="HG89" s="48">
        <f t="shared" si="983"/>
        <v>0.56999999999999973</v>
      </c>
    </row>
    <row r="90" spans="1:215" s="54" customFormat="1" x14ac:dyDescent="0.3">
      <c r="C90" s="55"/>
      <c r="D90" s="55"/>
      <c r="E90" s="55"/>
      <c r="G90" s="56"/>
      <c r="H90" s="56"/>
      <c r="I90" s="56"/>
      <c r="J90" s="56"/>
      <c r="K90" s="56"/>
      <c r="L90" s="56"/>
      <c r="M90" s="56"/>
      <c r="N90" s="56"/>
      <c r="O90" s="56"/>
      <c r="P90" s="57"/>
      <c r="Q90" s="56"/>
      <c r="R90" s="56"/>
      <c r="S90" s="56"/>
      <c r="T90" s="57"/>
      <c r="U90" s="56"/>
      <c r="V90" s="58"/>
      <c r="W90" s="56"/>
      <c r="X90" s="57"/>
      <c r="Y90" s="56"/>
      <c r="Z90" s="56"/>
      <c r="AA90" s="56"/>
      <c r="AB90" s="58"/>
      <c r="AC90" s="56"/>
      <c r="AD90" s="58"/>
      <c r="AE90" s="56"/>
      <c r="AF90" s="58"/>
      <c r="AG90" s="56"/>
      <c r="AH90" s="56"/>
      <c r="AI90" s="56"/>
      <c r="AJ90" s="58"/>
      <c r="AK90" s="56"/>
      <c r="AL90" s="58"/>
      <c r="AM90" s="56"/>
      <c r="AN90" s="58"/>
      <c r="AO90" s="56"/>
      <c r="AP90" s="58"/>
      <c r="AQ90" s="56"/>
      <c r="AR90" s="56"/>
      <c r="AS90" s="56"/>
      <c r="AT90" s="58"/>
      <c r="AU90" s="56"/>
      <c r="AV90" s="58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6"/>
      <c r="BM90" s="56"/>
      <c r="BN90" s="56"/>
      <c r="BO90" s="56"/>
      <c r="BP90" s="56"/>
      <c r="BQ90" s="56"/>
      <c r="BR90" s="56"/>
      <c r="BS90" s="56"/>
      <c r="BT90" s="56"/>
      <c r="BU90" s="56"/>
      <c r="BV90" s="56"/>
      <c r="BW90" s="56"/>
      <c r="BX90" s="56"/>
      <c r="BY90" s="56">
        <f t="shared" si="952"/>
        <v>0</v>
      </c>
      <c r="BZ90" s="56"/>
      <c r="CA90" s="56"/>
      <c r="CB90" s="56"/>
      <c r="CC90" s="56"/>
      <c r="CD90" s="56"/>
      <c r="CE90" s="56"/>
      <c r="CF90" s="56"/>
      <c r="CG90" s="56"/>
      <c r="CH90" s="57"/>
      <c r="CI90" s="56"/>
      <c r="CJ90" s="56"/>
      <c r="CK90" s="56"/>
      <c r="CL90" s="57"/>
      <c r="CM90" s="56"/>
      <c r="CN90" s="58"/>
      <c r="CO90" s="56"/>
      <c r="CP90" s="57"/>
      <c r="CQ90" s="56"/>
      <c r="CR90" s="56"/>
      <c r="CS90" s="56"/>
      <c r="CT90" s="58"/>
      <c r="CU90" s="56"/>
      <c r="CV90" s="58"/>
      <c r="CW90" s="56"/>
      <c r="CX90" s="58"/>
      <c r="CY90" s="56"/>
      <c r="CZ90" s="56"/>
      <c r="DA90" s="56"/>
      <c r="DB90" s="58"/>
      <c r="DC90" s="56"/>
      <c r="DD90" s="58"/>
      <c r="DE90" s="56"/>
      <c r="DF90" s="58"/>
      <c r="DG90" s="56"/>
      <c r="DH90" s="58"/>
      <c r="DI90" s="56"/>
      <c r="DJ90" s="56"/>
      <c r="DK90" s="56"/>
      <c r="DL90" s="58"/>
      <c r="DM90" s="56"/>
      <c r="DN90" s="58"/>
      <c r="DO90" s="56"/>
      <c r="DP90" s="56"/>
      <c r="DQ90" s="56"/>
      <c r="DR90" s="56"/>
      <c r="DS90" s="56"/>
      <c r="DT90" s="56">
        <v>1</v>
      </c>
      <c r="DU90" s="56">
        <v>0.97</v>
      </c>
      <c r="DV90" s="56">
        <v>0.95</v>
      </c>
      <c r="DW90" s="56">
        <v>0.93</v>
      </c>
      <c r="DX90" s="56">
        <f t="shared" ref="DX90:EO90" si="984">+DW90-0.02</f>
        <v>0.91</v>
      </c>
      <c r="DY90" s="56">
        <f t="shared" si="984"/>
        <v>0.89</v>
      </c>
      <c r="DZ90" s="56">
        <f t="shared" si="984"/>
        <v>0.87</v>
      </c>
      <c r="EA90" s="56">
        <f t="shared" si="984"/>
        <v>0.85</v>
      </c>
      <c r="EB90" s="56">
        <f t="shared" si="984"/>
        <v>0.83</v>
      </c>
      <c r="EC90" s="56">
        <f t="shared" si="984"/>
        <v>0.80999999999999994</v>
      </c>
      <c r="ED90" s="56">
        <f t="shared" si="984"/>
        <v>0.78999999999999992</v>
      </c>
      <c r="EE90" s="56">
        <f t="shared" si="984"/>
        <v>0.76999999999999991</v>
      </c>
      <c r="EF90" s="56">
        <f t="shared" si="984"/>
        <v>0.74999999999999989</v>
      </c>
      <c r="EG90" s="56">
        <f t="shared" si="984"/>
        <v>0.72999999999999987</v>
      </c>
      <c r="EH90" s="56">
        <f t="shared" si="984"/>
        <v>0.70999999999999985</v>
      </c>
      <c r="EI90" s="56">
        <f t="shared" si="984"/>
        <v>0.68999999999999984</v>
      </c>
      <c r="EJ90" s="56">
        <f t="shared" si="984"/>
        <v>0.66999999999999982</v>
      </c>
      <c r="EK90" s="56">
        <f t="shared" si="984"/>
        <v>0.6499999999999998</v>
      </c>
      <c r="EL90" s="56">
        <f t="shared" si="984"/>
        <v>0.62999999999999978</v>
      </c>
      <c r="EM90" s="56">
        <f t="shared" si="984"/>
        <v>0.60999999999999976</v>
      </c>
      <c r="EN90" s="56">
        <f t="shared" si="984"/>
        <v>0.58999999999999975</v>
      </c>
      <c r="EO90" s="56">
        <f t="shared" si="984"/>
        <v>0.56999999999999973</v>
      </c>
      <c r="EQ90" s="56">
        <f t="shared" si="188"/>
        <v>0</v>
      </c>
      <c r="ER90" s="56"/>
      <c r="ES90" s="56"/>
      <c r="ET90" s="56"/>
      <c r="EU90" s="56"/>
      <c r="EV90" s="56"/>
      <c r="EW90" s="56"/>
      <c r="EX90" s="56"/>
      <c r="EY90" s="56"/>
      <c r="EZ90" s="57"/>
      <c r="FA90" s="56"/>
      <c r="FB90" s="56"/>
      <c r="FC90" s="56"/>
      <c r="FD90" s="57"/>
      <c r="FE90" s="56"/>
      <c r="FF90" s="58"/>
      <c r="FG90" s="56"/>
      <c r="FH90" s="57"/>
      <c r="FI90" s="56"/>
      <c r="FJ90" s="56"/>
      <c r="FK90" s="56"/>
      <c r="FL90" s="58"/>
      <c r="FM90" s="56"/>
      <c r="FN90" s="58"/>
      <c r="FO90" s="56"/>
      <c r="FP90" s="58"/>
      <c r="FQ90" s="56"/>
      <c r="FR90" s="56"/>
      <c r="FS90" s="56"/>
      <c r="FT90" s="58"/>
      <c r="FU90" s="56"/>
      <c r="FV90" s="58"/>
      <c r="FW90" s="56"/>
      <c r="FX90" s="58"/>
      <c r="FY90" s="56"/>
      <c r="FZ90" s="58"/>
      <c r="GA90" s="56"/>
      <c r="GB90" s="56"/>
      <c r="GC90" s="56"/>
      <c r="GD90" s="58"/>
      <c r="GE90" s="56"/>
      <c r="GF90" s="58"/>
      <c r="GG90" s="56"/>
      <c r="GH90" s="56"/>
      <c r="GI90" s="56"/>
      <c r="GJ90" s="56"/>
      <c r="GK90" s="56"/>
      <c r="GL90" s="56">
        <v>1</v>
      </c>
      <c r="GM90" s="56">
        <v>0.97</v>
      </c>
      <c r="GN90" s="56">
        <v>0.95</v>
      </c>
      <c r="GO90" s="56">
        <v>0.93</v>
      </c>
      <c r="GP90" s="56">
        <f t="shared" ref="GP90:HG90" si="985">+GO90-0.02</f>
        <v>0.91</v>
      </c>
      <c r="GQ90" s="56">
        <f t="shared" si="985"/>
        <v>0.89</v>
      </c>
      <c r="GR90" s="56">
        <f t="shared" si="985"/>
        <v>0.87</v>
      </c>
      <c r="GS90" s="56">
        <f t="shared" si="985"/>
        <v>0.85</v>
      </c>
      <c r="GT90" s="56">
        <f t="shared" si="985"/>
        <v>0.83</v>
      </c>
      <c r="GU90" s="56">
        <f t="shared" si="985"/>
        <v>0.80999999999999994</v>
      </c>
      <c r="GV90" s="56">
        <f t="shared" si="985"/>
        <v>0.78999999999999992</v>
      </c>
      <c r="GW90" s="56">
        <f t="shared" si="985"/>
        <v>0.76999999999999991</v>
      </c>
      <c r="GX90" s="56">
        <f t="shared" si="985"/>
        <v>0.74999999999999989</v>
      </c>
      <c r="GY90" s="56">
        <f t="shared" si="985"/>
        <v>0.72999999999999987</v>
      </c>
      <c r="GZ90" s="56">
        <f t="shared" si="985"/>
        <v>0.70999999999999985</v>
      </c>
      <c r="HA90" s="56">
        <f t="shared" si="985"/>
        <v>0.68999999999999984</v>
      </c>
      <c r="HB90" s="56">
        <f t="shared" si="985"/>
        <v>0.66999999999999982</v>
      </c>
      <c r="HC90" s="56">
        <f t="shared" si="985"/>
        <v>0.6499999999999998</v>
      </c>
      <c r="HD90" s="56">
        <f t="shared" si="985"/>
        <v>0.62999999999999978</v>
      </c>
      <c r="HE90" s="56">
        <f t="shared" si="985"/>
        <v>0.60999999999999976</v>
      </c>
      <c r="HF90" s="56">
        <f t="shared" si="985"/>
        <v>0.58999999999999975</v>
      </c>
      <c r="HG90" s="56">
        <f t="shared" si="985"/>
        <v>0.56999999999999973</v>
      </c>
    </row>
    <row r="91" spans="1:215" s="54" customFormat="1" ht="17.25" thickBot="1" x14ac:dyDescent="0.35">
      <c r="B91" s="54" t="s">
        <v>159</v>
      </c>
      <c r="C91" s="54" t="s">
        <v>131</v>
      </c>
      <c r="D91" s="55" t="s">
        <v>49</v>
      </c>
      <c r="E91" s="55" t="s">
        <v>61</v>
      </c>
      <c r="G91" s="56"/>
      <c r="H91" s="56"/>
      <c r="I91" s="56"/>
      <c r="J91" s="56"/>
      <c r="K91" s="56"/>
      <c r="L91" s="56"/>
      <c r="M91" s="56"/>
      <c r="N91" s="56"/>
      <c r="O91" s="56"/>
      <c r="P91" s="57"/>
      <c r="Q91" s="56"/>
      <c r="R91" s="56"/>
      <c r="S91" s="56"/>
      <c r="T91" s="57"/>
      <c r="U91" s="56"/>
      <c r="V91" s="58"/>
      <c r="W91" s="56"/>
      <c r="X91" s="57"/>
      <c r="Y91" s="56"/>
      <c r="Z91" s="56"/>
      <c r="AA91" s="56"/>
      <c r="AB91" s="58"/>
      <c r="AC91" s="56"/>
      <c r="AD91" s="58"/>
      <c r="AE91" s="56"/>
      <c r="AF91" s="58"/>
      <c r="AG91" s="56"/>
      <c r="AH91" s="56"/>
      <c r="AI91" s="56"/>
      <c r="AJ91" s="58"/>
      <c r="AK91" s="56"/>
      <c r="AL91" s="58"/>
      <c r="AM91" s="56"/>
      <c r="AN91" s="58"/>
      <c r="AO91" s="56"/>
      <c r="AP91" s="58"/>
      <c r="AQ91" s="56"/>
      <c r="AR91" s="56"/>
      <c r="AS91" s="56"/>
      <c r="AT91" s="58"/>
      <c r="AU91" s="56"/>
      <c r="AV91" s="58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6"/>
      <c r="BM91" s="56"/>
      <c r="BN91" s="56"/>
      <c r="BO91" s="56"/>
      <c r="BP91" s="56"/>
      <c r="BQ91" s="56"/>
      <c r="BR91" s="56"/>
      <c r="BS91" s="56"/>
      <c r="BT91" s="56"/>
      <c r="BU91" s="56"/>
      <c r="BV91" s="56"/>
      <c r="BW91" s="56"/>
      <c r="BX91" s="56"/>
      <c r="BY91" s="56">
        <f t="shared" si="952"/>
        <v>0</v>
      </c>
      <c r="BZ91" s="56"/>
      <c r="CA91" s="56"/>
      <c r="CB91" s="56"/>
      <c r="CC91" s="56"/>
      <c r="CD91" s="56"/>
      <c r="CE91" s="56"/>
      <c r="CF91" s="56"/>
      <c r="CG91" s="56"/>
      <c r="CH91" s="57"/>
      <c r="CI91" s="56"/>
      <c r="CJ91" s="56"/>
      <c r="CK91" s="56"/>
      <c r="CL91" s="57"/>
      <c r="CM91" s="56"/>
      <c r="CN91" s="58"/>
      <c r="CO91" s="56"/>
      <c r="CP91" s="57"/>
      <c r="CQ91" s="56"/>
      <c r="CR91" s="56"/>
      <c r="CS91" s="56"/>
      <c r="CT91" s="58"/>
      <c r="CU91" s="56"/>
      <c r="CV91" s="58"/>
      <c r="CW91" s="56"/>
      <c r="CX91" s="58"/>
      <c r="CY91" s="56"/>
      <c r="CZ91" s="56"/>
      <c r="DA91" s="56"/>
      <c r="DB91" s="58"/>
      <c r="DC91" s="56"/>
      <c r="DD91" s="58"/>
      <c r="DE91" s="56"/>
      <c r="DF91" s="58"/>
      <c r="DG91" s="56"/>
      <c r="DH91" s="58"/>
      <c r="DI91" s="56"/>
      <c r="DJ91" s="56"/>
      <c r="DK91" s="56"/>
      <c r="DL91" s="58"/>
      <c r="DM91" s="56"/>
      <c r="DN91" s="58"/>
      <c r="DO91" s="56"/>
      <c r="DP91" s="56"/>
      <c r="DQ91" s="56"/>
      <c r="DR91" s="56"/>
      <c r="DS91" s="56"/>
      <c r="DT91" s="56">
        <v>1</v>
      </c>
      <c r="DU91" s="56">
        <v>0.97</v>
      </c>
      <c r="DV91" s="56">
        <v>0.95</v>
      </c>
      <c r="DW91" s="56">
        <v>0.93</v>
      </c>
      <c r="DX91" s="56">
        <f t="shared" ref="DX91:EO91" si="986">+DW91-0.02</f>
        <v>0.91</v>
      </c>
      <c r="DY91" s="56">
        <f t="shared" si="986"/>
        <v>0.89</v>
      </c>
      <c r="DZ91" s="56">
        <f t="shared" si="986"/>
        <v>0.87</v>
      </c>
      <c r="EA91" s="56">
        <f t="shared" si="986"/>
        <v>0.85</v>
      </c>
      <c r="EB91" s="56">
        <f t="shared" si="986"/>
        <v>0.83</v>
      </c>
      <c r="EC91" s="56">
        <f t="shared" si="986"/>
        <v>0.80999999999999994</v>
      </c>
      <c r="ED91" s="56">
        <f t="shared" si="986"/>
        <v>0.78999999999999992</v>
      </c>
      <c r="EE91" s="56">
        <f t="shared" si="986"/>
        <v>0.76999999999999991</v>
      </c>
      <c r="EF91" s="56">
        <f t="shared" si="986"/>
        <v>0.74999999999999989</v>
      </c>
      <c r="EG91" s="56">
        <f t="shared" si="986"/>
        <v>0.72999999999999987</v>
      </c>
      <c r="EH91" s="56">
        <f t="shared" si="986"/>
        <v>0.70999999999999985</v>
      </c>
      <c r="EI91" s="56">
        <f t="shared" si="986"/>
        <v>0.68999999999999984</v>
      </c>
      <c r="EJ91" s="56">
        <f t="shared" si="986"/>
        <v>0.66999999999999982</v>
      </c>
      <c r="EK91" s="56">
        <f t="shared" si="986"/>
        <v>0.6499999999999998</v>
      </c>
      <c r="EL91" s="56">
        <f t="shared" si="986"/>
        <v>0.62999999999999978</v>
      </c>
      <c r="EM91" s="56">
        <f t="shared" si="986"/>
        <v>0.60999999999999976</v>
      </c>
      <c r="EN91" s="56">
        <f t="shared" si="986"/>
        <v>0.58999999999999975</v>
      </c>
      <c r="EO91" s="56">
        <f t="shared" si="986"/>
        <v>0.56999999999999973</v>
      </c>
      <c r="EQ91" s="56">
        <f t="shared" si="188"/>
        <v>0</v>
      </c>
      <c r="ER91" s="56"/>
      <c r="ES91" s="56"/>
      <c r="ET91" s="56"/>
      <c r="EU91" s="56"/>
      <c r="EV91" s="56"/>
      <c r="EW91" s="56"/>
      <c r="EX91" s="56"/>
      <c r="EY91" s="56"/>
      <c r="EZ91" s="57"/>
      <c r="FA91" s="56"/>
      <c r="FB91" s="56"/>
      <c r="FC91" s="56"/>
      <c r="FD91" s="57"/>
      <c r="FE91" s="56"/>
      <c r="FF91" s="58"/>
      <c r="FG91" s="56"/>
      <c r="FH91" s="57"/>
      <c r="FI91" s="56"/>
      <c r="FJ91" s="56"/>
      <c r="FK91" s="56"/>
      <c r="FL91" s="58"/>
      <c r="FM91" s="56"/>
      <c r="FN91" s="58"/>
      <c r="FO91" s="56"/>
      <c r="FP91" s="58"/>
      <c r="FQ91" s="56"/>
      <c r="FR91" s="56"/>
      <c r="FS91" s="56"/>
      <c r="FT91" s="58"/>
      <c r="FU91" s="56"/>
      <c r="FV91" s="58"/>
      <c r="FW91" s="56"/>
      <c r="FX91" s="58"/>
      <c r="FY91" s="56"/>
      <c r="FZ91" s="58"/>
      <c r="GA91" s="56"/>
      <c r="GB91" s="56"/>
      <c r="GC91" s="56"/>
      <c r="GD91" s="58"/>
      <c r="GE91" s="56"/>
      <c r="GF91" s="58"/>
      <c r="GG91" s="56"/>
      <c r="GH91" s="56"/>
      <c r="GI91" s="56"/>
      <c r="GJ91" s="56"/>
      <c r="GK91" s="56"/>
      <c r="GL91" s="56">
        <v>1</v>
      </c>
      <c r="GM91" s="56">
        <v>0.97</v>
      </c>
      <c r="GN91" s="56">
        <v>0.95</v>
      </c>
      <c r="GO91" s="56">
        <v>0.93</v>
      </c>
      <c r="GP91" s="56">
        <f t="shared" ref="GP91:HG91" si="987">+GO91-0.02</f>
        <v>0.91</v>
      </c>
      <c r="GQ91" s="56">
        <f t="shared" si="987"/>
        <v>0.89</v>
      </c>
      <c r="GR91" s="56">
        <f t="shared" si="987"/>
        <v>0.87</v>
      </c>
      <c r="GS91" s="56">
        <f t="shared" si="987"/>
        <v>0.85</v>
      </c>
      <c r="GT91" s="56">
        <f t="shared" si="987"/>
        <v>0.83</v>
      </c>
      <c r="GU91" s="56">
        <f t="shared" si="987"/>
        <v>0.80999999999999994</v>
      </c>
      <c r="GV91" s="56">
        <f t="shared" si="987"/>
        <v>0.78999999999999992</v>
      </c>
      <c r="GW91" s="56">
        <f t="shared" si="987"/>
        <v>0.76999999999999991</v>
      </c>
      <c r="GX91" s="56">
        <f t="shared" si="987"/>
        <v>0.74999999999999989</v>
      </c>
      <c r="GY91" s="56">
        <f t="shared" si="987"/>
        <v>0.72999999999999987</v>
      </c>
      <c r="GZ91" s="56">
        <f t="shared" si="987"/>
        <v>0.70999999999999985</v>
      </c>
      <c r="HA91" s="56">
        <f t="shared" si="987"/>
        <v>0.68999999999999984</v>
      </c>
      <c r="HB91" s="56">
        <f t="shared" si="987"/>
        <v>0.66999999999999982</v>
      </c>
      <c r="HC91" s="56">
        <f t="shared" si="987"/>
        <v>0.6499999999999998</v>
      </c>
      <c r="HD91" s="56">
        <f t="shared" si="987"/>
        <v>0.62999999999999978</v>
      </c>
      <c r="HE91" s="56">
        <f t="shared" si="987"/>
        <v>0.60999999999999976</v>
      </c>
      <c r="HF91" s="56">
        <f t="shared" si="987"/>
        <v>0.58999999999999975</v>
      </c>
      <c r="HG91" s="56">
        <f t="shared" si="987"/>
        <v>0.56999999999999973</v>
      </c>
    </row>
    <row r="92" spans="1:215" x14ac:dyDescent="0.3">
      <c r="A92" s="2">
        <v>1</v>
      </c>
      <c r="C92" s="29" t="s">
        <v>160</v>
      </c>
      <c r="D92" s="42">
        <f>TRUNC(9791.67864923747,-1)</f>
        <v>9790</v>
      </c>
      <c r="E92" s="72">
        <f t="shared" ref="E92:E112" si="988">TRUNC(+D92*3.3058,-1)</f>
        <v>32360</v>
      </c>
      <c r="G92" s="48">
        <f t="shared" si="948"/>
        <v>10769</v>
      </c>
      <c r="H92" s="48">
        <f t="shared" si="949"/>
        <v>10769</v>
      </c>
      <c r="I92" s="51">
        <f t="shared" si="950"/>
        <v>35600.160199999998</v>
      </c>
      <c r="J92" s="48">
        <f t="shared" ref="J92:J113" si="989">+H92*BC92</f>
        <v>10445.93</v>
      </c>
      <c r="K92" s="51">
        <f t="shared" ref="K92:K113" si="990">+J92*3.3058</f>
        <v>34532.155394000001</v>
      </c>
      <c r="L92" s="48">
        <f t="shared" ref="L92:L113" si="991">+H92*BD92</f>
        <v>10230.549999999999</v>
      </c>
      <c r="M92" s="51">
        <f t="shared" ref="M92:M113" si="992">+L92*3.3058</f>
        <v>33820.152190000001</v>
      </c>
      <c r="N92" s="48">
        <f t="shared" ref="N92:N113" si="993">+H92*BE92</f>
        <v>10015.17</v>
      </c>
      <c r="O92" s="51">
        <f t="shared" ref="O92:O113" si="994">+N92*3.3058</f>
        <v>33108.148986</v>
      </c>
      <c r="P92" s="52">
        <f t="shared" ref="P92:P113" si="995">+H92*BF92</f>
        <v>9799.7900000000009</v>
      </c>
      <c r="Q92" s="51">
        <f t="shared" ref="Q92:Q113" si="996">+P92*3.3058</f>
        <v>32396.145782000003</v>
      </c>
      <c r="R92" s="48">
        <f t="shared" ref="R92:R113" si="997">+H92*BG92</f>
        <v>9584.41</v>
      </c>
      <c r="S92" s="51">
        <f t="shared" ref="S92:S113" si="998">+R92*3.3058</f>
        <v>31684.142577999999</v>
      </c>
      <c r="T92" s="52">
        <f t="shared" ref="T92:T113" si="999">+H92*BH92</f>
        <v>9369.0300000000007</v>
      </c>
      <c r="U92" s="51">
        <f t="shared" ref="U92:U113" si="1000">+T92*3.3058</f>
        <v>30972.139374000002</v>
      </c>
      <c r="V92" s="53">
        <f t="shared" ref="V92:V113" si="1001">+H92*BI92</f>
        <v>9153.65</v>
      </c>
      <c r="W92" s="51">
        <f t="shared" ref="W92:W113" si="1002">+V92*3.3058</f>
        <v>30260.136169999998</v>
      </c>
      <c r="X92" s="52">
        <f t="shared" ref="X92:X113" si="1003">+H92*BJ92</f>
        <v>8938.27</v>
      </c>
      <c r="Y92" s="51">
        <f t="shared" ref="Y92:Y113" si="1004">+X92*3.3058</f>
        <v>29548.132966000001</v>
      </c>
      <c r="Z92" s="48">
        <f t="shared" ref="Z92:Z113" si="1005">+H92*BK92</f>
        <v>8722.89</v>
      </c>
      <c r="AA92" s="51">
        <f t="shared" ref="AA92:AA113" si="1006">+Z92*3.3058</f>
        <v>28836.129762</v>
      </c>
      <c r="AB92" s="53">
        <f t="shared" ref="AB92:AB113" si="1007">+H92*BL92</f>
        <v>8507.5099999999984</v>
      </c>
      <c r="AC92" s="51">
        <f t="shared" ref="AC92:AC113" si="1008">+AB92*3.3058</f>
        <v>28124.126557999996</v>
      </c>
      <c r="AD92" s="53">
        <f t="shared" ref="AD92:AD113" si="1009">+H92*BM92</f>
        <v>8292.1299999999992</v>
      </c>
      <c r="AE92" s="51">
        <f t="shared" ref="AE92:AE113" si="1010">+AD92*3.3058</f>
        <v>27412.123353999999</v>
      </c>
      <c r="AF92" s="53">
        <f t="shared" ref="AF92:AF113" si="1011">+H92*BN92</f>
        <v>8076.7499999999991</v>
      </c>
      <c r="AG92" s="51">
        <f t="shared" ref="AG92:AG113" si="1012">+AF92*3.3058</f>
        <v>26700.120149999999</v>
      </c>
      <c r="AH92" s="48">
        <f t="shared" ref="AH92:AH113" si="1013">+H92*BO92</f>
        <v>7861.369999999999</v>
      </c>
      <c r="AI92" s="51">
        <f t="shared" ref="AI92:AI113" si="1014">+AH92*3.3058</f>
        <v>25988.116945999998</v>
      </c>
      <c r="AJ92" s="53">
        <f t="shared" ref="AJ92:AJ113" si="1015">+H92*BP92</f>
        <v>7645.9899999999989</v>
      </c>
      <c r="AK92" s="51">
        <f t="shared" ref="AK92:AK113" si="1016">+AJ92*3.3058</f>
        <v>25276.113741999998</v>
      </c>
      <c r="AL92" s="53">
        <f t="shared" ref="AL92:AL113" si="1017">+H92*BQ92</f>
        <v>7430.6099999999979</v>
      </c>
      <c r="AM92" s="51">
        <f t="shared" ref="AM92:AM113" si="1018">+AL92*3.3058</f>
        <v>24564.110537999994</v>
      </c>
      <c r="AN92" s="53">
        <f t="shared" ref="AN92:AN113" si="1019">+H92*BR92</f>
        <v>7215.2299999999977</v>
      </c>
      <c r="AO92" s="51">
        <f t="shared" ref="AO92:AO113" si="1020">+AN92*3.3058</f>
        <v>23852.107333999993</v>
      </c>
      <c r="AP92" s="53">
        <f t="shared" ref="AP92:AP113" si="1021">+H92*BS92</f>
        <v>6999.8499999999976</v>
      </c>
      <c r="AQ92" s="51">
        <f t="shared" ref="AQ92:AQ113" si="1022">+AP92*3.3058</f>
        <v>23140.104129999992</v>
      </c>
      <c r="AR92" s="48">
        <f t="shared" ref="AR92:AR113" si="1023">+H92*BT92</f>
        <v>6784.4699999999975</v>
      </c>
      <c r="AS92" s="51">
        <f t="shared" ref="AS92:AS113" si="1024">+AR92*3.3058</f>
        <v>22428.100925999992</v>
      </c>
      <c r="AT92" s="53">
        <f t="shared" ref="AT92:AT113" si="1025">+H92*BU92</f>
        <v>6569.0899999999974</v>
      </c>
      <c r="AU92" s="51">
        <f t="shared" ref="AU92:AU113" si="1026">+AT92*3.3058</f>
        <v>21716.097721999991</v>
      </c>
      <c r="AV92" s="53">
        <f t="shared" ref="AV92:AV113" si="1027">+H92*BV92</f>
        <v>6353.7099999999973</v>
      </c>
      <c r="AW92" s="51">
        <f t="shared" ref="AW92:AW113" si="1028">+AV92*3.3058</f>
        <v>21004.094517999991</v>
      </c>
      <c r="AX92" s="48">
        <f t="shared" ref="AX92:AX113" si="1029">+H92*BW92</f>
        <v>6138.3299999999972</v>
      </c>
      <c r="AY92" s="51">
        <f t="shared" ref="AY92:AY113" si="1030">+AX92*3.3058</f>
        <v>20292.09131399999</v>
      </c>
      <c r="BB92" s="48">
        <v>1</v>
      </c>
      <c r="BC92" s="48">
        <v>0.97</v>
      </c>
      <c r="BD92" s="48">
        <v>0.95</v>
      </c>
      <c r="BE92" s="48">
        <v>0.93</v>
      </c>
      <c r="BF92" s="48">
        <f t="shared" ref="BF92:BW92" si="1031">+BE92-0.02</f>
        <v>0.91</v>
      </c>
      <c r="BG92" s="48">
        <f t="shared" si="1031"/>
        <v>0.89</v>
      </c>
      <c r="BH92" s="48">
        <f t="shared" si="1031"/>
        <v>0.87</v>
      </c>
      <c r="BI92" s="48">
        <f t="shared" si="1031"/>
        <v>0.85</v>
      </c>
      <c r="BJ92" s="48">
        <f t="shared" si="1031"/>
        <v>0.83</v>
      </c>
      <c r="BK92" s="48">
        <f t="shared" si="1031"/>
        <v>0.80999999999999994</v>
      </c>
      <c r="BL92" s="48">
        <f t="shared" si="1031"/>
        <v>0.78999999999999992</v>
      </c>
      <c r="BM92" s="48">
        <f t="shared" si="1031"/>
        <v>0.76999999999999991</v>
      </c>
      <c r="BN92" s="48">
        <f t="shared" si="1031"/>
        <v>0.74999999999999989</v>
      </c>
      <c r="BO92" s="48">
        <f t="shared" si="1031"/>
        <v>0.72999999999999987</v>
      </c>
      <c r="BP92" s="48">
        <f t="shared" si="1031"/>
        <v>0.70999999999999985</v>
      </c>
      <c r="BQ92" s="48">
        <f t="shared" si="1031"/>
        <v>0.68999999999999984</v>
      </c>
      <c r="BR92" s="48">
        <f t="shared" si="1031"/>
        <v>0.66999999999999982</v>
      </c>
      <c r="BS92" s="48">
        <f t="shared" si="1031"/>
        <v>0.6499999999999998</v>
      </c>
      <c r="BT92" s="48">
        <f t="shared" si="1031"/>
        <v>0.62999999999999978</v>
      </c>
      <c r="BU92" s="48">
        <f t="shared" si="1031"/>
        <v>0.60999999999999976</v>
      </c>
      <c r="BV92" s="48">
        <f t="shared" si="1031"/>
        <v>0.58999999999999975</v>
      </c>
      <c r="BW92" s="48">
        <f t="shared" si="1031"/>
        <v>0.56999999999999973</v>
      </c>
      <c r="BY92" s="48">
        <f t="shared" si="952"/>
        <v>9799.7900000000009</v>
      </c>
      <c r="BZ92" s="48">
        <f t="shared" si="953"/>
        <v>9799.7900000000009</v>
      </c>
      <c r="CA92" s="51">
        <f t="shared" ref="CA92" si="1032">+BZ92*3.3058</f>
        <v>32396.145782000003</v>
      </c>
      <c r="CB92" s="48">
        <f t="shared" ref="CB92:CB113" si="1033">+BZ92*DU92</f>
        <v>9505.7963</v>
      </c>
      <c r="CC92" s="51">
        <f t="shared" ref="CC92:CC113" si="1034">+CB92*3.3058</f>
        <v>31424.261408540002</v>
      </c>
      <c r="CD92" s="48">
        <f t="shared" ref="CD92:CD113" si="1035">+BZ92*DV92</f>
        <v>9309.8005000000012</v>
      </c>
      <c r="CE92" s="51">
        <f t="shared" ref="CE92:CE113" si="1036">+CD92*3.3058</f>
        <v>30776.338492900006</v>
      </c>
      <c r="CF92" s="48">
        <f t="shared" ref="CF92:CF113" si="1037">+BZ92*DW92</f>
        <v>9113.8047000000006</v>
      </c>
      <c r="CG92" s="51">
        <f t="shared" ref="CG92:CG113" si="1038">+CF92*3.3058</f>
        <v>30128.415577260002</v>
      </c>
      <c r="CH92" s="52">
        <f t="shared" ref="CH92:CH113" si="1039">+BZ92*DX92</f>
        <v>8917.8089000000018</v>
      </c>
      <c r="CI92" s="51">
        <f t="shared" ref="CI92:CI113" si="1040">+CH92*3.3058</f>
        <v>29480.492661620006</v>
      </c>
      <c r="CJ92" s="48">
        <f t="shared" ref="CJ92:CJ113" si="1041">+BZ92*DY92</f>
        <v>8721.8131000000012</v>
      </c>
      <c r="CK92" s="51">
        <f t="shared" ref="CK92:CK113" si="1042">+CJ92*3.3058</f>
        <v>28832.569745980003</v>
      </c>
      <c r="CL92" s="52">
        <f t="shared" ref="CL92:CL113" si="1043">+BZ92*DZ92</f>
        <v>8525.8173000000006</v>
      </c>
      <c r="CM92" s="51">
        <f t="shared" ref="CM92:CM113" si="1044">+CL92*3.3058</f>
        <v>28184.646830340003</v>
      </c>
      <c r="CN92" s="53">
        <f t="shared" ref="CN92:CN113" si="1045">+BZ92*EA92</f>
        <v>8329.8215</v>
      </c>
      <c r="CO92" s="51">
        <f t="shared" ref="CO92:CO113" si="1046">+CN92*3.3058</f>
        <v>27536.7239147</v>
      </c>
      <c r="CP92" s="52">
        <f t="shared" ref="CP92:CP113" si="1047">+BZ92*EB92</f>
        <v>8133.8257000000003</v>
      </c>
      <c r="CQ92" s="51">
        <f t="shared" ref="CQ92:CQ113" si="1048">+CP92*3.3058</f>
        <v>26888.80099906</v>
      </c>
      <c r="CR92" s="48">
        <f t="shared" ref="CR92:CR113" si="1049">+BZ92*EC92</f>
        <v>7937.8298999999997</v>
      </c>
      <c r="CS92" s="51">
        <f t="shared" ref="CS92:CS113" si="1050">+CR92*3.3058</f>
        <v>26240.878083420001</v>
      </c>
      <c r="CT92" s="53">
        <f t="shared" ref="CT92:CT113" si="1051">+BZ92*ED92</f>
        <v>7741.8341</v>
      </c>
      <c r="CU92" s="51">
        <f t="shared" ref="CU92:CU113" si="1052">+CT92*3.3058</f>
        <v>25592.955167780001</v>
      </c>
      <c r="CV92" s="53">
        <f t="shared" ref="CV92:CV113" si="1053">+BZ92*EE92</f>
        <v>7545.8382999999994</v>
      </c>
      <c r="CW92" s="51">
        <f t="shared" ref="CW92:CW113" si="1054">+CV92*3.3058</f>
        <v>24945.032252139998</v>
      </c>
      <c r="CX92" s="53">
        <f t="shared" ref="CX92:CX113" si="1055">+BZ92*EF92</f>
        <v>7349.8424999999997</v>
      </c>
      <c r="CY92" s="51">
        <f t="shared" ref="CY92:CY113" si="1056">+CX92*3.3058</f>
        <v>24297.109336499998</v>
      </c>
      <c r="CZ92" s="48">
        <f t="shared" ref="CZ92:CZ113" si="1057">+BZ92*EG92</f>
        <v>7153.8466999999991</v>
      </c>
      <c r="DA92" s="51">
        <f t="shared" ref="DA92:DA113" si="1058">+CZ92*3.3058</f>
        <v>23649.186420859998</v>
      </c>
      <c r="DB92" s="53">
        <f t="shared" ref="DB92:DB113" si="1059">+BZ92*EH92</f>
        <v>6957.8508999999995</v>
      </c>
      <c r="DC92" s="51">
        <f t="shared" ref="DC92:DC113" si="1060">+DB92*3.3058</f>
        <v>23001.263505219998</v>
      </c>
      <c r="DD92" s="53">
        <f t="shared" ref="DD92:DD113" si="1061">+BZ92*EI92</f>
        <v>6761.8550999999989</v>
      </c>
      <c r="DE92" s="51">
        <f t="shared" ref="DE92:DE113" si="1062">+DD92*3.3058</f>
        <v>22353.340589579995</v>
      </c>
      <c r="DF92" s="53">
        <f t="shared" ref="DF92:DF113" si="1063">+BZ92*EJ92</f>
        <v>6565.8592999999992</v>
      </c>
      <c r="DG92" s="51">
        <f t="shared" ref="DG92:DG113" si="1064">+DF92*3.3058</f>
        <v>21705.417673939999</v>
      </c>
      <c r="DH92" s="53">
        <f t="shared" ref="DH92:DH113" si="1065">+BZ92*EK92</f>
        <v>6369.8634999999986</v>
      </c>
      <c r="DI92" s="51">
        <f t="shared" ref="DI92:DI113" si="1066">+DH92*3.3058</f>
        <v>21057.494758299996</v>
      </c>
      <c r="DJ92" s="48">
        <f t="shared" ref="DJ92:DJ113" si="1067">+BZ92*EL92</f>
        <v>6173.867699999998</v>
      </c>
      <c r="DK92" s="51">
        <f t="shared" ref="DK92:DK113" si="1068">+DJ92*3.3058</f>
        <v>20409.571842659992</v>
      </c>
      <c r="DL92" s="53">
        <f t="shared" ref="DL92:DL113" si="1069">+BZ92*EM92</f>
        <v>5977.8718999999983</v>
      </c>
      <c r="DM92" s="51">
        <f t="shared" ref="DM92:DM113" si="1070">+DL92*3.3058</f>
        <v>19761.648927019996</v>
      </c>
      <c r="DN92" s="53">
        <f t="shared" ref="DN92:DN113" si="1071">+BZ92*EN92</f>
        <v>5781.8760999999977</v>
      </c>
      <c r="DO92" s="51">
        <f t="shared" ref="DO92:DO113" si="1072">+DN92*3.3058</f>
        <v>19113.726011379993</v>
      </c>
      <c r="DP92" s="48">
        <f t="shared" ref="DP92:DP113" si="1073">+BZ92*EO92</f>
        <v>5585.880299999998</v>
      </c>
      <c r="DQ92" s="51">
        <f t="shared" ref="DQ92:DQ113" si="1074">+DP92*3.3058</f>
        <v>18465.803095739993</v>
      </c>
      <c r="DT92" s="48">
        <v>1</v>
      </c>
      <c r="DU92" s="48">
        <v>0.97</v>
      </c>
      <c r="DV92" s="48">
        <v>0.95</v>
      </c>
      <c r="DW92" s="48">
        <v>0.93</v>
      </c>
      <c r="DX92" s="48">
        <f t="shared" ref="DX92:EO92" si="1075">+DW92-0.02</f>
        <v>0.91</v>
      </c>
      <c r="DY92" s="48">
        <f t="shared" si="1075"/>
        <v>0.89</v>
      </c>
      <c r="DZ92" s="48">
        <f t="shared" si="1075"/>
        <v>0.87</v>
      </c>
      <c r="EA92" s="48">
        <f t="shared" si="1075"/>
        <v>0.85</v>
      </c>
      <c r="EB92" s="48">
        <f t="shared" si="1075"/>
        <v>0.83</v>
      </c>
      <c r="EC92" s="48">
        <f t="shared" si="1075"/>
        <v>0.80999999999999994</v>
      </c>
      <c r="ED92" s="48">
        <f t="shared" si="1075"/>
        <v>0.78999999999999992</v>
      </c>
      <c r="EE92" s="48">
        <f t="shared" si="1075"/>
        <v>0.76999999999999991</v>
      </c>
      <c r="EF92" s="48">
        <f t="shared" si="1075"/>
        <v>0.74999999999999989</v>
      </c>
      <c r="EG92" s="48">
        <f t="shared" si="1075"/>
        <v>0.72999999999999987</v>
      </c>
      <c r="EH92" s="48">
        <f t="shared" si="1075"/>
        <v>0.70999999999999985</v>
      </c>
      <c r="EI92" s="48">
        <f t="shared" si="1075"/>
        <v>0.68999999999999984</v>
      </c>
      <c r="EJ92" s="48">
        <f t="shared" si="1075"/>
        <v>0.66999999999999982</v>
      </c>
      <c r="EK92" s="48">
        <f t="shared" si="1075"/>
        <v>0.6499999999999998</v>
      </c>
      <c r="EL92" s="48">
        <f t="shared" si="1075"/>
        <v>0.62999999999999978</v>
      </c>
      <c r="EM92" s="48">
        <f t="shared" si="1075"/>
        <v>0.60999999999999976</v>
      </c>
      <c r="EN92" s="48">
        <f t="shared" si="1075"/>
        <v>0.58999999999999975</v>
      </c>
      <c r="EO92" s="48">
        <f t="shared" si="1075"/>
        <v>0.56999999999999973</v>
      </c>
      <c r="EQ92" s="48">
        <f t="shared" si="188"/>
        <v>8917.8089000000018</v>
      </c>
      <c r="ER92" s="48">
        <f t="shared" si="956"/>
        <v>8917.8089000000018</v>
      </c>
      <c r="ES92" s="51">
        <f t="shared" ref="ES92" si="1076">+ER92*3.3058</f>
        <v>29480.492661620006</v>
      </c>
      <c r="ET92" s="48">
        <f t="shared" ref="ET92:ET113" si="1077">+ER92*GM92</f>
        <v>8650.2746330000009</v>
      </c>
      <c r="EU92" s="51">
        <f t="shared" ref="EU92:EU113" si="1078">+ET92*3.3058</f>
        <v>28596.077881771405</v>
      </c>
      <c r="EV92" s="48">
        <f t="shared" ref="EV92:EV113" si="1079">+ER92*GN92</f>
        <v>8471.9184550000009</v>
      </c>
      <c r="EW92" s="51">
        <f t="shared" ref="EW92:EW113" si="1080">+EV92*3.3058</f>
        <v>28006.468028539002</v>
      </c>
      <c r="EX92" s="48">
        <f t="shared" ref="EX92:EX113" si="1081">+ER92*GO92</f>
        <v>8293.5622770000027</v>
      </c>
      <c r="EY92" s="51">
        <f t="shared" ref="EY92:EY113" si="1082">+EX92*3.3058</f>
        <v>27416.85817530661</v>
      </c>
      <c r="EZ92" s="52">
        <f t="shared" ref="EZ92:EZ113" si="1083">+ER92*GP92</f>
        <v>8115.2060990000018</v>
      </c>
      <c r="FA92" s="51">
        <f t="shared" ref="FA92:FA113" si="1084">+EZ92*3.3058</f>
        <v>26827.248322074207</v>
      </c>
      <c r="FB92" s="48">
        <f t="shared" ref="FB92:FB113" si="1085">+ER92*GQ92</f>
        <v>7936.8499210000018</v>
      </c>
      <c r="FC92" s="51">
        <f t="shared" ref="FC92:FC113" si="1086">+FB92*3.3058</f>
        <v>26237.638468841807</v>
      </c>
      <c r="FD92" s="52">
        <f t="shared" ref="FD92:FD113" si="1087">+ER92*GR92</f>
        <v>7758.4937430000018</v>
      </c>
      <c r="FE92" s="51">
        <f t="shared" ref="FE92:FE113" si="1088">+FD92*3.3058</f>
        <v>25648.028615609408</v>
      </c>
      <c r="FF92" s="53">
        <f t="shared" ref="FF92:FF113" si="1089">+ER92*GS92</f>
        <v>7580.1375650000009</v>
      </c>
      <c r="FG92" s="51">
        <f t="shared" ref="FG92:FG113" si="1090">+FF92*3.3058</f>
        <v>25058.418762377005</v>
      </c>
      <c r="FH92" s="52">
        <f t="shared" ref="FH92:FH113" si="1091">+ER92*GT92</f>
        <v>7401.7813870000009</v>
      </c>
      <c r="FI92" s="51">
        <f t="shared" ref="FI92:FI113" si="1092">+FH92*3.3058</f>
        <v>24468.808909144602</v>
      </c>
      <c r="FJ92" s="48">
        <f t="shared" ref="FJ92:FJ113" si="1093">+ER92*GU92</f>
        <v>7223.4252090000009</v>
      </c>
      <c r="FK92" s="51">
        <f t="shared" ref="FK92:FK113" si="1094">+FJ92*3.3058</f>
        <v>23879.199055912202</v>
      </c>
      <c r="FL92" s="53">
        <f t="shared" ref="FL92:FL113" si="1095">+ER92*GV92</f>
        <v>7045.0690310000009</v>
      </c>
      <c r="FM92" s="51">
        <f t="shared" ref="FM92:FM113" si="1096">+FL92*3.3058</f>
        <v>23289.589202679803</v>
      </c>
      <c r="FN92" s="53">
        <f t="shared" ref="FN92:FN113" si="1097">+ER92*GW92</f>
        <v>6866.7128530000009</v>
      </c>
      <c r="FO92" s="51">
        <f t="shared" ref="FO92:FO113" si="1098">+FN92*3.3058</f>
        <v>22699.979349447403</v>
      </c>
      <c r="FP92" s="53">
        <f t="shared" ref="FP92:FP113" si="1099">+ER92*GX92</f>
        <v>6688.356675</v>
      </c>
      <c r="FQ92" s="51">
        <f t="shared" ref="FQ92:FQ113" si="1100">+FP92*3.3058</f>
        <v>22110.369496215</v>
      </c>
      <c r="FR92" s="48">
        <f t="shared" ref="FR92:FR113" si="1101">+ER92*GY92</f>
        <v>6510.000497</v>
      </c>
      <c r="FS92" s="51">
        <f t="shared" ref="FS92:FS113" si="1102">+FR92*3.3058</f>
        <v>21520.759642982601</v>
      </c>
      <c r="FT92" s="53">
        <f t="shared" ref="FT92:FT113" si="1103">+ER92*GZ92</f>
        <v>6331.644319</v>
      </c>
      <c r="FU92" s="51">
        <f t="shared" ref="FU92:FU113" si="1104">+FT92*3.3058</f>
        <v>20931.149789750201</v>
      </c>
      <c r="FV92" s="53">
        <f t="shared" ref="FV92:FV113" si="1105">+ER92*HA92</f>
        <v>6153.288141</v>
      </c>
      <c r="FW92" s="51">
        <f t="shared" ref="FW92:FW113" si="1106">+FV92*3.3058</f>
        <v>20341.539936517802</v>
      </c>
      <c r="FX92" s="53">
        <f t="shared" ref="FX92:FX113" si="1107">+ER92*HB92</f>
        <v>5974.931963</v>
      </c>
      <c r="FY92" s="51">
        <f t="shared" ref="FY92:FY113" si="1108">+FX92*3.3058</f>
        <v>19751.930083285399</v>
      </c>
      <c r="FZ92" s="53">
        <f t="shared" ref="FZ92:FZ113" si="1109">+ER92*HC92</f>
        <v>5796.5757849999991</v>
      </c>
      <c r="GA92" s="51">
        <f t="shared" ref="GA92:GA113" si="1110">+FZ92*3.3058</f>
        <v>19162.320230052996</v>
      </c>
      <c r="GB92" s="48">
        <f t="shared" ref="GB92:GB113" si="1111">+ER92*HD92</f>
        <v>5618.2196069999991</v>
      </c>
      <c r="GC92" s="51">
        <f t="shared" ref="GC92:GC113" si="1112">+GB92*3.3058</f>
        <v>18572.710376820596</v>
      </c>
      <c r="GD92" s="53">
        <f t="shared" ref="GD92:GD113" si="1113">+ER92*HE92</f>
        <v>5439.8634289999991</v>
      </c>
      <c r="GE92" s="51">
        <f t="shared" ref="GE92:GE113" si="1114">+GD92*3.3058</f>
        <v>17983.100523588197</v>
      </c>
      <c r="GF92" s="53">
        <f t="shared" ref="GF92:GF113" si="1115">+ER92*HF92</f>
        <v>5261.5072509999991</v>
      </c>
      <c r="GG92" s="51">
        <f t="shared" ref="GG92:GG113" si="1116">+GF92*3.3058</f>
        <v>17393.490670355797</v>
      </c>
      <c r="GH92" s="48">
        <f t="shared" ref="GH92:GH113" si="1117">+ER92*HG92</f>
        <v>5083.1510729999982</v>
      </c>
      <c r="GI92" s="51">
        <f t="shared" ref="GI92:GI113" si="1118">+GH92*3.3058</f>
        <v>16803.880817123394</v>
      </c>
      <c r="GJ92" s="48"/>
      <c r="GK92" s="48"/>
      <c r="GL92" s="48">
        <v>1</v>
      </c>
      <c r="GM92" s="48">
        <v>0.97</v>
      </c>
      <c r="GN92" s="48">
        <v>0.95</v>
      </c>
      <c r="GO92" s="48">
        <v>0.93</v>
      </c>
      <c r="GP92" s="48">
        <f t="shared" ref="GP92:HG92" si="1119">+GO92-0.02</f>
        <v>0.91</v>
      </c>
      <c r="GQ92" s="48">
        <f t="shared" si="1119"/>
        <v>0.89</v>
      </c>
      <c r="GR92" s="48">
        <f t="shared" si="1119"/>
        <v>0.87</v>
      </c>
      <c r="GS92" s="48">
        <f t="shared" si="1119"/>
        <v>0.85</v>
      </c>
      <c r="GT92" s="48">
        <f t="shared" si="1119"/>
        <v>0.83</v>
      </c>
      <c r="GU92" s="48">
        <f t="shared" si="1119"/>
        <v>0.80999999999999994</v>
      </c>
      <c r="GV92" s="48">
        <f t="shared" si="1119"/>
        <v>0.78999999999999992</v>
      </c>
      <c r="GW92" s="48">
        <f t="shared" si="1119"/>
        <v>0.76999999999999991</v>
      </c>
      <c r="GX92" s="48">
        <f t="shared" si="1119"/>
        <v>0.74999999999999989</v>
      </c>
      <c r="GY92" s="48">
        <f t="shared" si="1119"/>
        <v>0.72999999999999987</v>
      </c>
      <c r="GZ92" s="48">
        <f t="shared" si="1119"/>
        <v>0.70999999999999985</v>
      </c>
      <c r="HA92" s="48">
        <f t="shared" si="1119"/>
        <v>0.68999999999999984</v>
      </c>
      <c r="HB92" s="48">
        <f t="shared" si="1119"/>
        <v>0.66999999999999982</v>
      </c>
      <c r="HC92" s="48">
        <f t="shared" si="1119"/>
        <v>0.6499999999999998</v>
      </c>
      <c r="HD92" s="48">
        <f t="shared" si="1119"/>
        <v>0.62999999999999978</v>
      </c>
      <c r="HE92" s="48">
        <f t="shared" si="1119"/>
        <v>0.60999999999999976</v>
      </c>
      <c r="HF92" s="48">
        <f t="shared" si="1119"/>
        <v>0.58999999999999975</v>
      </c>
      <c r="HG92" s="48">
        <f t="shared" si="1119"/>
        <v>0.56999999999999973</v>
      </c>
    </row>
    <row r="93" spans="1:215" x14ac:dyDescent="0.3">
      <c r="A93" s="2">
        <v>2</v>
      </c>
      <c r="C93" s="29" t="s">
        <v>161</v>
      </c>
      <c r="D93" s="44">
        <f>TRUNC(8949.03431372549,-1)</f>
        <v>8940</v>
      </c>
      <c r="E93" s="73">
        <f t="shared" si="988"/>
        <v>29550</v>
      </c>
      <c r="G93" s="48">
        <f t="shared" si="948"/>
        <v>9834</v>
      </c>
      <c r="H93" s="48">
        <f t="shared" si="949"/>
        <v>9834</v>
      </c>
      <c r="I93" s="51">
        <f t="shared" si="950"/>
        <v>32509.2372</v>
      </c>
      <c r="J93" s="48">
        <f t="shared" si="989"/>
        <v>9538.98</v>
      </c>
      <c r="K93" s="51">
        <f t="shared" si="990"/>
        <v>31533.960083999998</v>
      </c>
      <c r="L93" s="48">
        <f t="shared" si="991"/>
        <v>9342.2999999999993</v>
      </c>
      <c r="M93" s="51">
        <f t="shared" si="992"/>
        <v>30883.775339999997</v>
      </c>
      <c r="N93" s="48">
        <f t="shared" si="993"/>
        <v>9145.6200000000008</v>
      </c>
      <c r="O93" s="51">
        <f t="shared" si="994"/>
        <v>30233.590596000002</v>
      </c>
      <c r="P93" s="52">
        <f t="shared" si="995"/>
        <v>8948.94</v>
      </c>
      <c r="Q93" s="51">
        <f t="shared" si="996"/>
        <v>29583.405852000004</v>
      </c>
      <c r="R93" s="48">
        <f t="shared" si="997"/>
        <v>8752.26</v>
      </c>
      <c r="S93" s="51">
        <f t="shared" si="998"/>
        <v>28933.221108000002</v>
      </c>
      <c r="T93" s="52">
        <f t="shared" si="999"/>
        <v>8555.58</v>
      </c>
      <c r="U93" s="51">
        <f t="shared" si="1000"/>
        <v>28283.036364</v>
      </c>
      <c r="V93" s="53">
        <f t="shared" si="1001"/>
        <v>8358.9</v>
      </c>
      <c r="W93" s="51">
        <f t="shared" si="1002"/>
        <v>27632.851619999998</v>
      </c>
      <c r="X93" s="52">
        <f t="shared" si="1003"/>
        <v>8162.2199999999993</v>
      </c>
      <c r="Y93" s="51">
        <f t="shared" si="1004"/>
        <v>26982.666875999999</v>
      </c>
      <c r="Z93" s="48">
        <f t="shared" si="1005"/>
        <v>7965.5399999999991</v>
      </c>
      <c r="AA93" s="51">
        <f t="shared" si="1006"/>
        <v>26332.482131999997</v>
      </c>
      <c r="AB93" s="53">
        <f t="shared" si="1007"/>
        <v>7768.86</v>
      </c>
      <c r="AC93" s="51">
        <f t="shared" si="1008"/>
        <v>25682.297387999999</v>
      </c>
      <c r="AD93" s="53">
        <f t="shared" si="1009"/>
        <v>7572.1799999999994</v>
      </c>
      <c r="AE93" s="51">
        <f t="shared" si="1010"/>
        <v>25032.112643999997</v>
      </c>
      <c r="AF93" s="53">
        <f t="shared" si="1011"/>
        <v>7375.4999999999991</v>
      </c>
      <c r="AG93" s="51">
        <f t="shared" si="1012"/>
        <v>24381.927899999999</v>
      </c>
      <c r="AH93" s="48">
        <f t="shared" si="1013"/>
        <v>7178.8199999999988</v>
      </c>
      <c r="AI93" s="51">
        <f t="shared" si="1014"/>
        <v>23731.743155999997</v>
      </c>
      <c r="AJ93" s="53">
        <f t="shared" si="1015"/>
        <v>6982.1399999999985</v>
      </c>
      <c r="AK93" s="51">
        <f t="shared" si="1016"/>
        <v>23081.558411999995</v>
      </c>
      <c r="AL93" s="53">
        <f t="shared" si="1017"/>
        <v>6785.4599999999982</v>
      </c>
      <c r="AM93" s="51">
        <f t="shared" si="1018"/>
        <v>22431.373667999993</v>
      </c>
      <c r="AN93" s="53">
        <f t="shared" si="1019"/>
        <v>6588.7799999999979</v>
      </c>
      <c r="AO93" s="51">
        <f t="shared" si="1020"/>
        <v>21781.188923999995</v>
      </c>
      <c r="AP93" s="53">
        <f t="shared" si="1021"/>
        <v>6392.0999999999976</v>
      </c>
      <c r="AQ93" s="51">
        <f t="shared" si="1022"/>
        <v>21131.004179999993</v>
      </c>
      <c r="AR93" s="48">
        <f t="shared" si="1023"/>
        <v>6195.4199999999983</v>
      </c>
      <c r="AS93" s="51">
        <f t="shared" si="1024"/>
        <v>20480.819435999994</v>
      </c>
      <c r="AT93" s="53">
        <f t="shared" si="1025"/>
        <v>5998.739999999998</v>
      </c>
      <c r="AU93" s="51">
        <f t="shared" si="1026"/>
        <v>19830.634691999992</v>
      </c>
      <c r="AV93" s="53">
        <f t="shared" si="1027"/>
        <v>5802.0599999999977</v>
      </c>
      <c r="AW93" s="51">
        <f t="shared" si="1028"/>
        <v>19180.449947999994</v>
      </c>
      <c r="AX93" s="48">
        <f t="shared" si="1029"/>
        <v>5605.3799999999974</v>
      </c>
      <c r="AY93" s="51">
        <f t="shared" si="1030"/>
        <v>18530.265203999992</v>
      </c>
      <c r="BB93" s="48">
        <v>1</v>
      </c>
      <c r="BC93" s="48">
        <v>0.97</v>
      </c>
      <c r="BD93" s="48">
        <v>0.95</v>
      </c>
      <c r="BE93" s="48">
        <v>0.93</v>
      </c>
      <c r="BF93" s="48">
        <f t="shared" ref="BF93:BW93" si="1120">+BE93-0.02</f>
        <v>0.91</v>
      </c>
      <c r="BG93" s="48">
        <f t="shared" si="1120"/>
        <v>0.89</v>
      </c>
      <c r="BH93" s="48">
        <f t="shared" si="1120"/>
        <v>0.87</v>
      </c>
      <c r="BI93" s="48">
        <f t="shared" si="1120"/>
        <v>0.85</v>
      </c>
      <c r="BJ93" s="48">
        <f t="shared" si="1120"/>
        <v>0.83</v>
      </c>
      <c r="BK93" s="48">
        <f t="shared" si="1120"/>
        <v>0.80999999999999994</v>
      </c>
      <c r="BL93" s="48">
        <f t="shared" si="1120"/>
        <v>0.78999999999999992</v>
      </c>
      <c r="BM93" s="48">
        <f t="shared" si="1120"/>
        <v>0.76999999999999991</v>
      </c>
      <c r="BN93" s="48">
        <f t="shared" si="1120"/>
        <v>0.74999999999999989</v>
      </c>
      <c r="BO93" s="48">
        <f t="shared" si="1120"/>
        <v>0.72999999999999987</v>
      </c>
      <c r="BP93" s="48">
        <f t="shared" si="1120"/>
        <v>0.70999999999999985</v>
      </c>
      <c r="BQ93" s="48">
        <f t="shared" si="1120"/>
        <v>0.68999999999999984</v>
      </c>
      <c r="BR93" s="48">
        <f t="shared" si="1120"/>
        <v>0.66999999999999982</v>
      </c>
      <c r="BS93" s="48">
        <f t="shared" si="1120"/>
        <v>0.6499999999999998</v>
      </c>
      <c r="BT93" s="48">
        <f t="shared" si="1120"/>
        <v>0.62999999999999978</v>
      </c>
      <c r="BU93" s="48">
        <f t="shared" si="1120"/>
        <v>0.60999999999999976</v>
      </c>
      <c r="BV93" s="48">
        <f t="shared" si="1120"/>
        <v>0.58999999999999975</v>
      </c>
      <c r="BW93" s="48">
        <f t="shared" si="1120"/>
        <v>0.56999999999999973</v>
      </c>
      <c r="BY93" s="48">
        <f t="shared" si="952"/>
        <v>8948.94</v>
      </c>
      <c r="BZ93" s="48">
        <f t="shared" si="953"/>
        <v>8948.94</v>
      </c>
      <c r="CA93" s="51">
        <f t="shared" ref="CA93" si="1121">+BZ93*3.3058</f>
        <v>29583.405852000004</v>
      </c>
      <c r="CB93" s="48">
        <f t="shared" si="1033"/>
        <v>8680.4717999999993</v>
      </c>
      <c r="CC93" s="51">
        <f t="shared" si="1034"/>
        <v>28695.903676439997</v>
      </c>
      <c r="CD93" s="48">
        <f t="shared" si="1035"/>
        <v>8501.4930000000004</v>
      </c>
      <c r="CE93" s="51">
        <f t="shared" si="1036"/>
        <v>28104.235559400004</v>
      </c>
      <c r="CF93" s="48">
        <f t="shared" si="1037"/>
        <v>8322.5142000000014</v>
      </c>
      <c r="CG93" s="51">
        <f t="shared" si="1038"/>
        <v>27512.567442360007</v>
      </c>
      <c r="CH93" s="52">
        <f t="shared" si="1039"/>
        <v>8143.5354000000007</v>
      </c>
      <c r="CI93" s="51">
        <f t="shared" si="1040"/>
        <v>26920.899325320002</v>
      </c>
      <c r="CJ93" s="48">
        <f t="shared" si="1041"/>
        <v>7964.5566000000008</v>
      </c>
      <c r="CK93" s="51">
        <f t="shared" si="1042"/>
        <v>26329.231208280002</v>
      </c>
      <c r="CL93" s="52">
        <f t="shared" si="1043"/>
        <v>7785.5778</v>
      </c>
      <c r="CM93" s="51">
        <f t="shared" si="1044"/>
        <v>25737.563091240001</v>
      </c>
      <c r="CN93" s="53">
        <f t="shared" si="1045"/>
        <v>7606.5990000000002</v>
      </c>
      <c r="CO93" s="51">
        <f t="shared" si="1046"/>
        <v>25145.8949742</v>
      </c>
      <c r="CP93" s="52">
        <f t="shared" si="1047"/>
        <v>7427.6202000000003</v>
      </c>
      <c r="CQ93" s="51">
        <f t="shared" si="1048"/>
        <v>24554.22685716</v>
      </c>
      <c r="CR93" s="48">
        <f t="shared" si="1049"/>
        <v>7248.6413999999995</v>
      </c>
      <c r="CS93" s="51">
        <f t="shared" si="1050"/>
        <v>23962.558740119999</v>
      </c>
      <c r="CT93" s="53">
        <f t="shared" si="1051"/>
        <v>7069.6625999999997</v>
      </c>
      <c r="CU93" s="51">
        <f t="shared" si="1052"/>
        <v>23370.890623079998</v>
      </c>
      <c r="CV93" s="53">
        <f t="shared" si="1053"/>
        <v>6890.6837999999998</v>
      </c>
      <c r="CW93" s="51">
        <f t="shared" si="1054"/>
        <v>22779.222506040001</v>
      </c>
      <c r="CX93" s="53">
        <f t="shared" si="1055"/>
        <v>6711.704999999999</v>
      </c>
      <c r="CY93" s="51">
        <f t="shared" si="1056"/>
        <v>22187.554388999997</v>
      </c>
      <c r="CZ93" s="48">
        <f t="shared" si="1057"/>
        <v>6532.7261999999992</v>
      </c>
      <c r="DA93" s="51">
        <f t="shared" si="1058"/>
        <v>21595.886271959997</v>
      </c>
      <c r="DB93" s="53">
        <f t="shared" si="1059"/>
        <v>6353.7473999999993</v>
      </c>
      <c r="DC93" s="51">
        <f t="shared" si="1060"/>
        <v>21004.21815492</v>
      </c>
      <c r="DD93" s="53">
        <f t="shared" si="1061"/>
        <v>6174.7685999999985</v>
      </c>
      <c r="DE93" s="51">
        <f t="shared" si="1062"/>
        <v>20412.550037879995</v>
      </c>
      <c r="DF93" s="53">
        <f t="shared" si="1063"/>
        <v>5995.7897999999986</v>
      </c>
      <c r="DG93" s="51">
        <f t="shared" si="1064"/>
        <v>19820.881920839995</v>
      </c>
      <c r="DH93" s="53">
        <f t="shared" si="1065"/>
        <v>5816.8109999999988</v>
      </c>
      <c r="DI93" s="51">
        <f t="shared" si="1066"/>
        <v>19229.213803799998</v>
      </c>
      <c r="DJ93" s="48">
        <f t="shared" si="1067"/>
        <v>5637.832199999998</v>
      </c>
      <c r="DK93" s="51">
        <f t="shared" si="1068"/>
        <v>18637.545686759993</v>
      </c>
      <c r="DL93" s="53">
        <f t="shared" si="1069"/>
        <v>5458.8533999999981</v>
      </c>
      <c r="DM93" s="51">
        <f t="shared" si="1070"/>
        <v>18045.877569719993</v>
      </c>
      <c r="DN93" s="53">
        <f t="shared" si="1071"/>
        <v>5279.8745999999983</v>
      </c>
      <c r="DO93" s="51">
        <f t="shared" si="1072"/>
        <v>17454.209452679996</v>
      </c>
      <c r="DP93" s="48">
        <f t="shared" si="1073"/>
        <v>5100.8957999999975</v>
      </c>
      <c r="DQ93" s="51">
        <f t="shared" si="1074"/>
        <v>16862.541335639991</v>
      </c>
      <c r="DT93" s="48">
        <v>1</v>
      </c>
      <c r="DU93" s="48">
        <v>0.97</v>
      </c>
      <c r="DV93" s="48">
        <v>0.95</v>
      </c>
      <c r="DW93" s="48">
        <v>0.93</v>
      </c>
      <c r="DX93" s="48">
        <f t="shared" ref="DX93:EO93" si="1122">+DW93-0.02</f>
        <v>0.91</v>
      </c>
      <c r="DY93" s="48">
        <f t="shared" si="1122"/>
        <v>0.89</v>
      </c>
      <c r="DZ93" s="48">
        <f t="shared" si="1122"/>
        <v>0.87</v>
      </c>
      <c r="EA93" s="48">
        <f t="shared" si="1122"/>
        <v>0.85</v>
      </c>
      <c r="EB93" s="48">
        <f t="shared" si="1122"/>
        <v>0.83</v>
      </c>
      <c r="EC93" s="48">
        <f t="shared" si="1122"/>
        <v>0.80999999999999994</v>
      </c>
      <c r="ED93" s="48">
        <f t="shared" si="1122"/>
        <v>0.78999999999999992</v>
      </c>
      <c r="EE93" s="48">
        <f t="shared" si="1122"/>
        <v>0.76999999999999991</v>
      </c>
      <c r="EF93" s="48">
        <f t="shared" si="1122"/>
        <v>0.74999999999999989</v>
      </c>
      <c r="EG93" s="48">
        <f t="shared" si="1122"/>
        <v>0.72999999999999987</v>
      </c>
      <c r="EH93" s="48">
        <f t="shared" si="1122"/>
        <v>0.70999999999999985</v>
      </c>
      <c r="EI93" s="48">
        <f t="shared" si="1122"/>
        <v>0.68999999999999984</v>
      </c>
      <c r="EJ93" s="48">
        <f t="shared" si="1122"/>
        <v>0.66999999999999982</v>
      </c>
      <c r="EK93" s="48">
        <f t="shared" si="1122"/>
        <v>0.6499999999999998</v>
      </c>
      <c r="EL93" s="48">
        <f t="shared" si="1122"/>
        <v>0.62999999999999978</v>
      </c>
      <c r="EM93" s="48">
        <f t="shared" si="1122"/>
        <v>0.60999999999999976</v>
      </c>
      <c r="EN93" s="48">
        <f t="shared" si="1122"/>
        <v>0.58999999999999975</v>
      </c>
      <c r="EO93" s="48">
        <f t="shared" si="1122"/>
        <v>0.56999999999999973</v>
      </c>
      <c r="EQ93" s="48">
        <f t="shared" si="188"/>
        <v>8143.5354000000007</v>
      </c>
      <c r="ER93" s="48">
        <f t="shared" si="956"/>
        <v>8143.5354000000007</v>
      </c>
      <c r="ES93" s="51">
        <f t="shared" ref="ES93" si="1123">+ER93*3.3058</f>
        <v>26920.899325320002</v>
      </c>
      <c r="ET93" s="48">
        <f t="shared" si="1077"/>
        <v>7899.2293380000001</v>
      </c>
      <c r="EU93" s="51">
        <f t="shared" si="1078"/>
        <v>26113.272345560399</v>
      </c>
      <c r="EV93" s="48">
        <f t="shared" si="1079"/>
        <v>7736.3586300000006</v>
      </c>
      <c r="EW93" s="51">
        <f t="shared" si="1080"/>
        <v>25574.854359054003</v>
      </c>
      <c r="EX93" s="48">
        <f t="shared" si="1081"/>
        <v>7573.4879220000012</v>
      </c>
      <c r="EY93" s="51">
        <f t="shared" si="1082"/>
        <v>25036.436372547603</v>
      </c>
      <c r="EZ93" s="52">
        <f t="shared" si="1083"/>
        <v>7410.6172140000008</v>
      </c>
      <c r="FA93" s="51">
        <f t="shared" si="1084"/>
        <v>24498.018386041203</v>
      </c>
      <c r="FB93" s="48">
        <f t="shared" si="1085"/>
        <v>7247.7465060000004</v>
      </c>
      <c r="FC93" s="51">
        <f t="shared" si="1086"/>
        <v>23959.6003995348</v>
      </c>
      <c r="FD93" s="52">
        <f t="shared" si="1087"/>
        <v>7084.8757980000009</v>
      </c>
      <c r="FE93" s="51">
        <f t="shared" si="1088"/>
        <v>23421.182413028404</v>
      </c>
      <c r="FF93" s="53">
        <f t="shared" si="1089"/>
        <v>6922.0050900000006</v>
      </c>
      <c r="FG93" s="51">
        <f t="shared" si="1090"/>
        <v>22882.764426522001</v>
      </c>
      <c r="FH93" s="52">
        <f t="shared" si="1091"/>
        <v>6759.1343820000002</v>
      </c>
      <c r="FI93" s="51">
        <f t="shared" si="1092"/>
        <v>22344.346440015601</v>
      </c>
      <c r="FJ93" s="48">
        <f t="shared" si="1093"/>
        <v>6596.2636739999998</v>
      </c>
      <c r="FK93" s="51">
        <f t="shared" si="1094"/>
        <v>21805.928453509201</v>
      </c>
      <c r="FL93" s="53">
        <f t="shared" si="1095"/>
        <v>6433.3929660000003</v>
      </c>
      <c r="FM93" s="51">
        <f t="shared" si="1096"/>
        <v>21267.510467002801</v>
      </c>
      <c r="FN93" s="53">
        <f t="shared" si="1097"/>
        <v>6270.522258</v>
      </c>
      <c r="FO93" s="51">
        <f t="shared" si="1098"/>
        <v>20729.092480496402</v>
      </c>
      <c r="FP93" s="53">
        <f t="shared" si="1099"/>
        <v>6107.6515499999996</v>
      </c>
      <c r="FQ93" s="51">
        <f t="shared" si="1100"/>
        <v>20190.674493989998</v>
      </c>
      <c r="FR93" s="48">
        <f t="shared" si="1101"/>
        <v>5944.7808419999992</v>
      </c>
      <c r="FS93" s="51">
        <f t="shared" si="1102"/>
        <v>19652.256507483598</v>
      </c>
      <c r="FT93" s="53">
        <f t="shared" si="1103"/>
        <v>5781.9101339999988</v>
      </c>
      <c r="FU93" s="51">
        <f t="shared" si="1104"/>
        <v>19113.838520977195</v>
      </c>
      <c r="FV93" s="53">
        <f t="shared" si="1105"/>
        <v>5619.0394259999994</v>
      </c>
      <c r="FW93" s="51">
        <f t="shared" si="1106"/>
        <v>18575.420534470799</v>
      </c>
      <c r="FX93" s="53">
        <f t="shared" si="1107"/>
        <v>5456.168717999999</v>
      </c>
      <c r="FY93" s="51">
        <f t="shared" si="1108"/>
        <v>18037.002547964395</v>
      </c>
      <c r="FZ93" s="53">
        <f t="shared" si="1109"/>
        <v>5293.2980099999986</v>
      </c>
      <c r="GA93" s="51">
        <f t="shared" si="1110"/>
        <v>17498.584561457996</v>
      </c>
      <c r="GB93" s="48">
        <f t="shared" si="1111"/>
        <v>5130.4273019999982</v>
      </c>
      <c r="GC93" s="51">
        <f t="shared" si="1112"/>
        <v>16960.166574951596</v>
      </c>
      <c r="GD93" s="53">
        <f t="shared" si="1113"/>
        <v>4967.5565939999988</v>
      </c>
      <c r="GE93" s="51">
        <f t="shared" si="1114"/>
        <v>16421.748588445196</v>
      </c>
      <c r="GF93" s="53">
        <f t="shared" si="1115"/>
        <v>4804.6858859999984</v>
      </c>
      <c r="GG93" s="51">
        <f t="shared" si="1116"/>
        <v>15883.330601938795</v>
      </c>
      <c r="GH93" s="48">
        <f t="shared" si="1117"/>
        <v>4641.815177999998</v>
      </c>
      <c r="GI93" s="51">
        <f t="shared" si="1118"/>
        <v>15344.912615432393</v>
      </c>
      <c r="GJ93" s="48"/>
      <c r="GK93" s="48"/>
      <c r="GL93" s="48">
        <v>1</v>
      </c>
      <c r="GM93" s="48">
        <v>0.97</v>
      </c>
      <c r="GN93" s="48">
        <v>0.95</v>
      </c>
      <c r="GO93" s="48">
        <v>0.93</v>
      </c>
      <c r="GP93" s="48">
        <f t="shared" ref="GP93:HG93" si="1124">+GO93-0.02</f>
        <v>0.91</v>
      </c>
      <c r="GQ93" s="48">
        <f t="shared" si="1124"/>
        <v>0.89</v>
      </c>
      <c r="GR93" s="48">
        <f t="shared" si="1124"/>
        <v>0.87</v>
      </c>
      <c r="GS93" s="48">
        <f t="shared" si="1124"/>
        <v>0.85</v>
      </c>
      <c r="GT93" s="48">
        <f t="shared" si="1124"/>
        <v>0.83</v>
      </c>
      <c r="GU93" s="48">
        <f t="shared" si="1124"/>
        <v>0.80999999999999994</v>
      </c>
      <c r="GV93" s="48">
        <f t="shared" si="1124"/>
        <v>0.78999999999999992</v>
      </c>
      <c r="GW93" s="48">
        <f t="shared" si="1124"/>
        <v>0.76999999999999991</v>
      </c>
      <c r="GX93" s="48">
        <f t="shared" si="1124"/>
        <v>0.74999999999999989</v>
      </c>
      <c r="GY93" s="48">
        <f t="shared" si="1124"/>
        <v>0.72999999999999987</v>
      </c>
      <c r="GZ93" s="48">
        <f t="shared" si="1124"/>
        <v>0.70999999999999985</v>
      </c>
      <c r="HA93" s="48">
        <f t="shared" si="1124"/>
        <v>0.68999999999999984</v>
      </c>
      <c r="HB93" s="48">
        <f t="shared" si="1124"/>
        <v>0.66999999999999982</v>
      </c>
      <c r="HC93" s="48">
        <f t="shared" si="1124"/>
        <v>0.6499999999999998</v>
      </c>
      <c r="HD93" s="48">
        <f t="shared" si="1124"/>
        <v>0.62999999999999978</v>
      </c>
      <c r="HE93" s="48">
        <f t="shared" si="1124"/>
        <v>0.60999999999999976</v>
      </c>
      <c r="HF93" s="48">
        <f t="shared" si="1124"/>
        <v>0.58999999999999975</v>
      </c>
      <c r="HG93" s="48">
        <f t="shared" si="1124"/>
        <v>0.56999999999999973</v>
      </c>
    </row>
    <row r="94" spans="1:215" x14ac:dyDescent="0.3">
      <c r="A94" s="2">
        <v>3</v>
      </c>
      <c r="C94" s="29" t="s">
        <v>162</v>
      </c>
      <c r="D94" s="44">
        <f>TRUNC(15525.8315177923,-1)</f>
        <v>15520</v>
      </c>
      <c r="E94" s="73">
        <f t="shared" si="988"/>
        <v>51300</v>
      </c>
      <c r="G94" s="48">
        <f t="shared" si="948"/>
        <v>17072</v>
      </c>
      <c r="H94" s="48">
        <f t="shared" si="949"/>
        <v>17072</v>
      </c>
      <c r="I94" s="51">
        <f t="shared" si="950"/>
        <v>56436.617599999998</v>
      </c>
      <c r="J94" s="48">
        <f t="shared" si="989"/>
        <v>16559.84</v>
      </c>
      <c r="K94" s="51">
        <f t="shared" si="990"/>
        <v>54743.519072000003</v>
      </c>
      <c r="L94" s="48">
        <f t="shared" si="991"/>
        <v>16218.4</v>
      </c>
      <c r="M94" s="51">
        <f t="shared" si="992"/>
        <v>53614.786719999996</v>
      </c>
      <c r="N94" s="48">
        <f t="shared" si="993"/>
        <v>15876.960000000001</v>
      </c>
      <c r="O94" s="51">
        <f t="shared" si="994"/>
        <v>52486.054368000005</v>
      </c>
      <c r="P94" s="52">
        <f t="shared" si="995"/>
        <v>15535.52</v>
      </c>
      <c r="Q94" s="51">
        <f t="shared" si="996"/>
        <v>51357.322016000006</v>
      </c>
      <c r="R94" s="48">
        <f t="shared" si="997"/>
        <v>15194.08</v>
      </c>
      <c r="S94" s="51">
        <f t="shared" si="998"/>
        <v>50228.589663999999</v>
      </c>
      <c r="T94" s="52">
        <f t="shared" si="999"/>
        <v>14852.64</v>
      </c>
      <c r="U94" s="51">
        <f t="shared" si="1000"/>
        <v>49099.857312</v>
      </c>
      <c r="V94" s="53">
        <f t="shared" si="1001"/>
        <v>14511.199999999999</v>
      </c>
      <c r="W94" s="51">
        <f t="shared" si="1002"/>
        <v>47971.124960000001</v>
      </c>
      <c r="X94" s="52">
        <f t="shared" si="1003"/>
        <v>14169.76</v>
      </c>
      <c r="Y94" s="51">
        <f t="shared" si="1004"/>
        <v>46842.392608000002</v>
      </c>
      <c r="Z94" s="48">
        <f t="shared" si="1005"/>
        <v>13828.32</v>
      </c>
      <c r="AA94" s="51">
        <f t="shared" si="1006"/>
        <v>45713.660256000003</v>
      </c>
      <c r="AB94" s="53">
        <f t="shared" si="1007"/>
        <v>13486.88</v>
      </c>
      <c r="AC94" s="51">
        <f t="shared" si="1008"/>
        <v>44584.927903999996</v>
      </c>
      <c r="AD94" s="53">
        <f t="shared" si="1009"/>
        <v>13145.439999999999</v>
      </c>
      <c r="AE94" s="51">
        <f t="shared" si="1010"/>
        <v>43456.195551999997</v>
      </c>
      <c r="AF94" s="53">
        <f t="shared" si="1011"/>
        <v>12803.999999999998</v>
      </c>
      <c r="AG94" s="51">
        <f t="shared" si="1012"/>
        <v>42327.463199999998</v>
      </c>
      <c r="AH94" s="48">
        <f t="shared" si="1013"/>
        <v>12462.559999999998</v>
      </c>
      <c r="AI94" s="51">
        <f t="shared" si="1014"/>
        <v>41198.730847999992</v>
      </c>
      <c r="AJ94" s="53">
        <f t="shared" si="1015"/>
        <v>12121.119999999997</v>
      </c>
      <c r="AK94" s="51">
        <f t="shared" si="1016"/>
        <v>40069.998495999993</v>
      </c>
      <c r="AL94" s="53">
        <f t="shared" si="1017"/>
        <v>11779.679999999997</v>
      </c>
      <c r="AM94" s="51">
        <f t="shared" si="1018"/>
        <v>38941.266143999987</v>
      </c>
      <c r="AN94" s="53">
        <f t="shared" si="1019"/>
        <v>11438.239999999996</v>
      </c>
      <c r="AO94" s="51">
        <f t="shared" si="1020"/>
        <v>37812.533791999987</v>
      </c>
      <c r="AP94" s="53">
        <f t="shared" si="1021"/>
        <v>11096.799999999997</v>
      </c>
      <c r="AQ94" s="51">
        <f t="shared" si="1022"/>
        <v>36683.801439999996</v>
      </c>
      <c r="AR94" s="48">
        <f t="shared" si="1023"/>
        <v>10755.359999999997</v>
      </c>
      <c r="AS94" s="51">
        <f t="shared" si="1024"/>
        <v>35555.069087999989</v>
      </c>
      <c r="AT94" s="53">
        <f t="shared" si="1025"/>
        <v>10413.919999999996</v>
      </c>
      <c r="AU94" s="51">
        <f t="shared" si="1026"/>
        <v>34426.33673599999</v>
      </c>
      <c r="AV94" s="53">
        <f t="shared" si="1027"/>
        <v>10072.479999999996</v>
      </c>
      <c r="AW94" s="51">
        <f t="shared" si="1028"/>
        <v>33297.604383999984</v>
      </c>
      <c r="AX94" s="48">
        <f t="shared" si="1029"/>
        <v>9731.0399999999954</v>
      </c>
      <c r="AY94" s="51">
        <f t="shared" si="1030"/>
        <v>32168.872031999985</v>
      </c>
      <c r="BB94" s="48">
        <v>1</v>
      </c>
      <c r="BC94" s="48">
        <v>0.97</v>
      </c>
      <c r="BD94" s="48">
        <v>0.95</v>
      </c>
      <c r="BE94" s="48">
        <v>0.93</v>
      </c>
      <c r="BF94" s="48">
        <f t="shared" ref="BF94:BW94" si="1125">+BE94-0.02</f>
        <v>0.91</v>
      </c>
      <c r="BG94" s="48">
        <f t="shared" si="1125"/>
        <v>0.89</v>
      </c>
      <c r="BH94" s="48">
        <f t="shared" si="1125"/>
        <v>0.87</v>
      </c>
      <c r="BI94" s="48">
        <f t="shared" si="1125"/>
        <v>0.85</v>
      </c>
      <c r="BJ94" s="48">
        <f t="shared" si="1125"/>
        <v>0.83</v>
      </c>
      <c r="BK94" s="48">
        <f t="shared" si="1125"/>
        <v>0.80999999999999994</v>
      </c>
      <c r="BL94" s="48">
        <f t="shared" si="1125"/>
        <v>0.78999999999999992</v>
      </c>
      <c r="BM94" s="48">
        <f t="shared" si="1125"/>
        <v>0.76999999999999991</v>
      </c>
      <c r="BN94" s="48">
        <f t="shared" si="1125"/>
        <v>0.74999999999999989</v>
      </c>
      <c r="BO94" s="48">
        <f t="shared" si="1125"/>
        <v>0.72999999999999987</v>
      </c>
      <c r="BP94" s="48">
        <f t="shared" si="1125"/>
        <v>0.70999999999999985</v>
      </c>
      <c r="BQ94" s="48">
        <f t="shared" si="1125"/>
        <v>0.68999999999999984</v>
      </c>
      <c r="BR94" s="48">
        <f t="shared" si="1125"/>
        <v>0.66999999999999982</v>
      </c>
      <c r="BS94" s="48">
        <f t="shared" si="1125"/>
        <v>0.6499999999999998</v>
      </c>
      <c r="BT94" s="48">
        <f t="shared" si="1125"/>
        <v>0.62999999999999978</v>
      </c>
      <c r="BU94" s="48">
        <f t="shared" si="1125"/>
        <v>0.60999999999999976</v>
      </c>
      <c r="BV94" s="48">
        <f t="shared" si="1125"/>
        <v>0.58999999999999975</v>
      </c>
      <c r="BW94" s="48">
        <f t="shared" si="1125"/>
        <v>0.56999999999999973</v>
      </c>
      <c r="BY94" s="48">
        <f t="shared" si="952"/>
        <v>15535.52</v>
      </c>
      <c r="BZ94" s="48">
        <f t="shared" si="953"/>
        <v>15535.52</v>
      </c>
      <c r="CA94" s="51">
        <f t="shared" ref="CA94" si="1126">+BZ94*3.3058</f>
        <v>51357.322016000006</v>
      </c>
      <c r="CB94" s="48">
        <f t="shared" si="1033"/>
        <v>15069.454400000001</v>
      </c>
      <c r="CC94" s="51">
        <f t="shared" si="1034"/>
        <v>49816.602355520001</v>
      </c>
      <c r="CD94" s="48">
        <f t="shared" si="1035"/>
        <v>14758.744000000001</v>
      </c>
      <c r="CE94" s="51">
        <f t="shared" si="1036"/>
        <v>48789.4559152</v>
      </c>
      <c r="CF94" s="48">
        <f t="shared" si="1037"/>
        <v>14448.033600000001</v>
      </c>
      <c r="CG94" s="51">
        <f t="shared" si="1038"/>
        <v>47762.309474880007</v>
      </c>
      <c r="CH94" s="52">
        <f t="shared" si="1039"/>
        <v>14137.323200000001</v>
      </c>
      <c r="CI94" s="51">
        <f t="shared" si="1040"/>
        <v>46735.163034560006</v>
      </c>
      <c r="CJ94" s="48">
        <f t="shared" si="1041"/>
        <v>13826.612800000001</v>
      </c>
      <c r="CK94" s="51">
        <f t="shared" si="1042"/>
        <v>45708.016594240005</v>
      </c>
      <c r="CL94" s="52">
        <f t="shared" si="1043"/>
        <v>13515.902400000001</v>
      </c>
      <c r="CM94" s="51">
        <f t="shared" si="1044"/>
        <v>44680.870153920005</v>
      </c>
      <c r="CN94" s="53">
        <f t="shared" si="1045"/>
        <v>13205.192000000001</v>
      </c>
      <c r="CO94" s="51">
        <f t="shared" si="1046"/>
        <v>43653.723713600004</v>
      </c>
      <c r="CP94" s="52">
        <f t="shared" si="1047"/>
        <v>12894.481599999999</v>
      </c>
      <c r="CQ94" s="51">
        <f t="shared" si="1048"/>
        <v>42626.577273279996</v>
      </c>
      <c r="CR94" s="48">
        <f t="shared" si="1049"/>
        <v>12583.771199999999</v>
      </c>
      <c r="CS94" s="51">
        <f t="shared" si="1050"/>
        <v>41599.430832959995</v>
      </c>
      <c r="CT94" s="53">
        <f t="shared" si="1051"/>
        <v>12273.060799999999</v>
      </c>
      <c r="CU94" s="51">
        <f t="shared" si="1052"/>
        <v>40572.284392640002</v>
      </c>
      <c r="CV94" s="53">
        <f t="shared" si="1053"/>
        <v>11962.350399999999</v>
      </c>
      <c r="CW94" s="51">
        <f t="shared" si="1054"/>
        <v>39545.137952320001</v>
      </c>
      <c r="CX94" s="53">
        <f t="shared" si="1055"/>
        <v>11651.64</v>
      </c>
      <c r="CY94" s="51">
        <f t="shared" si="1056"/>
        <v>38517.991512000001</v>
      </c>
      <c r="CZ94" s="48">
        <f t="shared" si="1057"/>
        <v>11340.929599999998</v>
      </c>
      <c r="DA94" s="51">
        <f t="shared" si="1058"/>
        <v>37490.845071679993</v>
      </c>
      <c r="DB94" s="53">
        <f t="shared" si="1059"/>
        <v>11030.219199999998</v>
      </c>
      <c r="DC94" s="51">
        <f t="shared" si="1060"/>
        <v>36463.698631359992</v>
      </c>
      <c r="DD94" s="53">
        <f t="shared" si="1061"/>
        <v>10719.508799999998</v>
      </c>
      <c r="DE94" s="51">
        <f t="shared" si="1062"/>
        <v>35436.552191039991</v>
      </c>
      <c r="DF94" s="53">
        <f t="shared" si="1063"/>
        <v>10408.798399999998</v>
      </c>
      <c r="DG94" s="51">
        <f t="shared" si="1064"/>
        <v>34409.40575071999</v>
      </c>
      <c r="DH94" s="53">
        <f t="shared" si="1065"/>
        <v>10098.087999999998</v>
      </c>
      <c r="DI94" s="51">
        <f t="shared" si="1066"/>
        <v>33382.259310399997</v>
      </c>
      <c r="DJ94" s="48">
        <f t="shared" si="1067"/>
        <v>9787.3775999999962</v>
      </c>
      <c r="DK94" s="51">
        <f t="shared" si="1068"/>
        <v>32355.112870079989</v>
      </c>
      <c r="DL94" s="53">
        <f t="shared" si="1069"/>
        <v>9476.6671999999962</v>
      </c>
      <c r="DM94" s="51">
        <f t="shared" si="1070"/>
        <v>31327.966429759988</v>
      </c>
      <c r="DN94" s="53">
        <f t="shared" si="1071"/>
        <v>9165.9567999999963</v>
      </c>
      <c r="DO94" s="51">
        <f t="shared" si="1072"/>
        <v>30300.819989439988</v>
      </c>
      <c r="DP94" s="48">
        <f t="shared" si="1073"/>
        <v>8855.2463999999964</v>
      </c>
      <c r="DQ94" s="51">
        <f t="shared" si="1074"/>
        <v>29273.673549119987</v>
      </c>
      <c r="DT94" s="48">
        <v>1</v>
      </c>
      <c r="DU94" s="48">
        <v>0.97</v>
      </c>
      <c r="DV94" s="48">
        <v>0.95</v>
      </c>
      <c r="DW94" s="48">
        <v>0.93</v>
      </c>
      <c r="DX94" s="48">
        <f t="shared" ref="DX94:EO94" si="1127">+DW94-0.02</f>
        <v>0.91</v>
      </c>
      <c r="DY94" s="48">
        <f t="shared" si="1127"/>
        <v>0.89</v>
      </c>
      <c r="DZ94" s="48">
        <f t="shared" si="1127"/>
        <v>0.87</v>
      </c>
      <c r="EA94" s="48">
        <f t="shared" si="1127"/>
        <v>0.85</v>
      </c>
      <c r="EB94" s="48">
        <f t="shared" si="1127"/>
        <v>0.83</v>
      </c>
      <c r="EC94" s="48">
        <f t="shared" si="1127"/>
        <v>0.80999999999999994</v>
      </c>
      <c r="ED94" s="48">
        <f t="shared" si="1127"/>
        <v>0.78999999999999992</v>
      </c>
      <c r="EE94" s="48">
        <f t="shared" si="1127"/>
        <v>0.76999999999999991</v>
      </c>
      <c r="EF94" s="48">
        <f t="shared" si="1127"/>
        <v>0.74999999999999989</v>
      </c>
      <c r="EG94" s="48">
        <f t="shared" si="1127"/>
        <v>0.72999999999999987</v>
      </c>
      <c r="EH94" s="48">
        <f t="shared" si="1127"/>
        <v>0.70999999999999985</v>
      </c>
      <c r="EI94" s="48">
        <f t="shared" si="1127"/>
        <v>0.68999999999999984</v>
      </c>
      <c r="EJ94" s="48">
        <f t="shared" si="1127"/>
        <v>0.66999999999999982</v>
      </c>
      <c r="EK94" s="48">
        <f t="shared" si="1127"/>
        <v>0.6499999999999998</v>
      </c>
      <c r="EL94" s="48">
        <f t="shared" si="1127"/>
        <v>0.62999999999999978</v>
      </c>
      <c r="EM94" s="48">
        <f t="shared" si="1127"/>
        <v>0.60999999999999976</v>
      </c>
      <c r="EN94" s="48">
        <f t="shared" si="1127"/>
        <v>0.58999999999999975</v>
      </c>
      <c r="EO94" s="48">
        <f t="shared" si="1127"/>
        <v>0.56999999999999973</v>
      </c>
      <c r="EQ94" s="48">
        <f t="shared" ref="EQ94:EQ155" si="1128">+BY94*0.91</f>
        <v>14137.323200000001</v>
      </c>
      <c r="ER94" s="48">
        <f t="shared" si="956"/>
        <v>14137.323200000001</v>
      </c>
      <c r="ES94" s="51">
        <f t="shared" ref="ES94" si="1129">+ER94*3.3058</f>
        <v>46735.163034560006</v>
      </c>
      <c r="ET94" s="48">
        <f t="shared" si="1077"/>
        <v>13713.203504000001</v>
      </c>
      <c r="EU94" s="51">
        <f t="shared" si="1078"/>
        <v>45333.108143523204</v>
      </c>
      <c r="EV94" s="48">
        <f t="shared" si="1079"/>
        <v>13430.457039999999</v>
      </c>
      <c r="EW94" s="51">
        <f t="shared" si="1080"/>
        <v>44398.404882832001</v>
      </c>
      <c r="EX94" s="48">
        <f t="shared" si="1081"/>
        <v>13147.710576000001</v>
      </c>
      <c r="EY94" s="51">
        <f t="shared" si="1082"/>
        <v>43463.701622140805</v>
      </c>
      <c r="EZ94" s="52">
        <f t="shared" si="1083"/>
        <v>12864.964112000001</v>
      </c>
      <c r="FA94" s="51">
        <f t="shared" si="1084"/>
        <v>42528.998361449609</v>
      </c>
      <c r="FB94" s="48">
        <f t="shared" si="1085"/>
        <v>12582.217648000002</v>
      </c>
      <c r="FC94" s="51">
        <f t="shared" si="1086"/>
        <v>41594.295100758405</v>
      </c>
      <c r="FD94" s="52">
        <f t="shared" si="1087"/>
        <v>12299.471184</v>
      </c>
      <c r="FE94" s="51">
        <f t="shared" si="1088"/>
        <v>40659.591840067202</v>
      </c>
      <c r="FF94" s="53">
        <f t="shared" si="1089"/>
        <v>12016.72472</v>
      </c>
      <c r="FG94" s="51">
        <f t="shared" si="1090"/>
        <v>39724.888579375998</v>
      </c>
      <c r="FH94" s="52">
        <f t="shared" si="1091"/>
        <v>11733.978256</v>
      </c>
      <c r="FI94" s="51">
        <f t="shared" si="1092"/>
        <v>38790.185318684802</v>
      </c>
      <c r="FJ94" s="48">
        <f t="shared" si="1093"/>
        <v>11451.231792</v>
      </c>
      <c r="FK94" s="51">
        <f t="shared" si="1094"/>
        <v>37855.482057993606</v>
      </c>
      <c r="FL94" s="53">
        <f t="shared" si="1095"/>
        <v>11168.485327999999</v>
      </c>
      <c r="FM94" s="51">
        <f t="shared" si="1096"/>
        <v>36920.778797302395</v>
      </c>
      <c r="FN94" s="53">
        <f t="shared" si="1097"/>
        <v>10885.738863999999</v>
      </c>
      <c r="FO94" s="51">
        <f t="shared" si="1098"/>
        <v>35986.075536611199</v>
      </c>
      <c r="FP94" s="53">
        <f t="shared" si="1099"/>
        <v>10602.992399999999</v>
      </c>
      <c r="FQ94" s="51">
        <f t="shared" si="1100"/>
        <v>35051.372275919995</v>
      </c>
      <c r="FR94" s="48">
        <f t="shared" si="1101"/>
        <v>10320.245935999999</v>
      </c>
      <c r="FS94" s="51">
        <f t="shared" si="1102"/>
        <v>34116.669015228799</v>
      </c>
      <c r="FT94" s="53">
        <f t="shared" si="1103"/>
        <v>10037.499471999998</v>
      </c>
      <c r="FU94" s="51">
        <f t="shared" si="1104"/>
        <v>33181.965754537596</v>
      </c>
      <c r="FV94" s="53">
        <f t="shared" si="1105"/>
        <v>9754.7530079999979</v>
      </c>
      <c r="FW94" s="51">
        <f t="shared" si="1106"/>
        <v>32247.262493846392</v>
      </c>
      <c r="FX94" s="53">
        <f t="shared" si="1107"/>
        <v>9472.006543999998</v>
      </c>
      <c r="FY94" s="51">
        <f t="shared" si="1108"/>
        <v>31312.559233155192</v>
      </c>
      <c r="FZ94" s="53">
        <f t="shared" si="1109"/>
        <v>9189.2600799999982</v>
      </c>
      <c r="GA94" s="51">
        <f t="shared" si="1110"/>
        <v>30377.855972463996</v>
      </c>
      <c r="GB94" s="48">
        <f t="shared" si="1111"/>
        <v>8906.5136159999965</v>
      </c>
      <c r="GC94" s="51">
        <f t="shared" si="1112"/>
        <v>29443.152711772789</v>
      </c>
      <c r="GD94" s="53">
        <f t="shared" si="1113"/>
        <v>8623.7671519999967</v>
      </c>
      <c r="GE94" s="51">
        <f t="shared" si="1114"/>
        <v>28508.449451081589</v>
      </c>
      <c r="GF94" s="53">
        <f t="shared" si="1115"/>
        <v>8341.0206879999969</v>
      </c>
      <c r="GG94" s="51">
        <f t="shared" si="1116"/>
        <v>27573.74619039039</v>
      </c>
      <c r="GH94" s="48">
        <f t="shared" si="1117"/>
        <v>8058.2742239999961</v>
      </c>
      <c r="GI94" s="51">
        <f t="shared" si="1118"/>
        <v>26639.042929699186</v>
      </c>
      <c r="GJ94" s="48"/>
      <c r="GK94" s="48"/>
      <c r="GL94" s="48">
        <v>1</v>
      </c>
      <c r="GM94" s="48">
        <v>0.97</v>
      </c>
      <c r="GN94" s="48">
        <v>0.95</v>
      </c>
      <c r="GO94" s="48">
        <v>0.93</v>
      </c>
      <c r="GP94" s="48">
        <f t="shared" ref="GP94:HG94" si="1130">+GO94-0.02</f>
        <v>0.91</v>
      </c>
      <c r="GQ94" s="48">
        <f t="shared" si="1130"/>
        <v>0.89</v>
      </c>
      <c r="GR94" s="48">
        <f t="shared" si="1130"/>
        <v>0.87</v>
      </c>
      <c r="GS94" s="48">
        <f t="shared" si="1130"/>
        <v>0.85</v>
      </c>
      <c r="GT94" s="48">
        <f t="shared" si="1130"/>
        <v>0.83</v>
      </c>
      <c r="GU94" s="48">
        <f t="shared" si="1130"/>
        <v>0.80999999999999994</v>
      </c>
      <c r="GV94" s="48">
        <f t="shared" si="1130"/>
        <v>0.78999999999999992</v>
      </c>
      <c r="GW94" s="48">
        <f t="shared" si="1130"/>
        <v>0.76999999999999991</v>
      </c>
      <c r="GX94" s="48">
        <f t="shared" si="1130"/>
        <v>0.74999999999999989</v>
      </c>
      <c r="GY94" s="48">
        <f t="shared" si="1130"/>
        <v>0.72999999999999987</v>
      </c>
      <c r="GZ94" s="48">
        <f t="shared" si="1130"/>
        <v>0.70999999999999985</v>
      </c>
      <c r="HA94" s="48">
        <f t="shared" si="1130"/>
        <v>0.68999999999999984</v>
      </c>
      <c r="HB94" s="48">
        <f t="shared" si="1130"/>
        <v>0.66999999999999982</v>
      </c>
      <c r="HC94" s="48">
        <f t="shared" si="1130"/>
        <v>0.6499999999999998</v>
      </c>
      <c r="HD94" s="48">
        <f t="shared" si="1130"/>
        <v>0.62999999999999978</v>
      </c>
      <c r="HE94" s="48">
        <f t="shared" si="1130"/>
        <v>0.60999999999999976</v>
      </c>
      <c r="HF94" s="48">
        <f t="shared" si="1130"/>
        <v>0.58999999999999975</v>
      </c>
      <c r="HG94" s="48">
        <f t="shared" si="1130"/>
        <v>0.56999999999999973</v>
      </c>
    </row>
    <row r="95" spans="1:215" x14ac:dyDescent="0.3">
      <c r="A95" s="2">
        <v>4</v>
      </c>
      <c r="C95" s="29" t="s">
        <v>163</v>
      </c>
      <c r="D95" s="44">
        <v>0</v>
      </c>
      <c r="E95" s="73">
        <f t="shared" si="988"/>
        <v>0</v>
      </c>
      <c r="G95" s="48">
        <f t="shared" si="948"/>
        <v>0</v>
      </c>
      <c r="H95" s="48">
        <f t="shared" si="949"/>
        <v>0</v>
      </c>
      <c r="I95" s="51">
        <f t="shared" si="950"/>
        <v>0</v>
      </c>
      <c r="J95" s="48">
        <f t="shared" si="989"/>
        <v>0</v>
      </c>
      <c r="K95" s="51">
        <f t="shared" si="990"/>
        <v>0</v>
      </c>
      <c r="L95" s="48">
        <f t="shared" si="991"/>
        <v>0</v>
      </c>
      <c r="M95" s="51">
        <f t="shared" si="992"/>
        <v>0</v>
      </c>
      <c r="N95" s="48">
        <f t="shared" si="993"/>
        <v>0</v>
      </c>
      <c r="O95" s="51">
        <f t="shared" si="994"/>
        <v>0</v>
      </c>
      <c r="P95" s="52">
        <f t="shared" si="995"/>
        <v>0</v>
      </c>
      <c r="Q95" s="51">
        <f t="shared" si="996"/>
        <v>0</v>
      </c>
      <c r="R95" s="48">
        <f t="shared" si="997"/>
        <v>0</v>
      </c>
      <c r="S95" s="51">
        <f t="shared" si="998"/>
        <v>0</v>
      </c>
      <c r="T95" s="52">
        <f t="shared" si="999"/>
        <v>0</v>
      </c>
      <c r="U95" s="51">
        <f t="shared" si="1000"/>
        <v>0</v>
      </c>
      <c r="V95" s="53">
        <f t="shared" si="1001"/>
        <v>0</v>
      </c>
      <c r="W95" s="51">
        <f t="shared" si="1002"/>
        <v>0</v>
      </c>
      <c r="X95" s="52">
        <f t="shared" si="1003"/>
        <v>0</v>
      </c>
      <c r="Y95" s="51">
        <f t="shared" si="1004"/>
        <v>0</v>
      </c>
      <c r="Z95" s="48">
        <f t="shared" si="1005"/>
        <v>0</v>
      </c>
      <c r="AA95" s="51">
        <f t="shared" si="1006"/>
        <v>0</v>
      </c>
      <c r="AB95" s="53">
        <f t="shared" si="1007"/>
        <v>0</v>
      </c>
      <c r="AC95" s="51">
        <f t="shared" si="1008"/>
        <v>0</v>
      </c>
      <c r="AD95" s="53">
        <f t="shared" si="1009"/>
        <v>0</v>
      </c>
      <c r="AE95" s="51">
        <f t="shared" si="1010"/>
        <v>0</v>
      </c>
      <c r="AF95" s="53">
        <f t="shared" si="1011"/>
        <v>0</v>
      </c>
      <c r="AG95" s="51">
        <f t="shared" si="1012"/>
        <v>0</v>
      </c>
      <c r="AH95" s="48">
        <f t="shared" si="1013"/>
        <v>0</v>
      </c>
      <c r="AI95" s="51">
        <f t="shared" si="1014"/>
        <v>0</v>
      </c>
      <c r="AJ95" s="53">
        <f t="shared" si="1015"/>
        <v>0</v>
      </c>
      <c r="AK95" s="51">
        <f t="shared" si="1016"/>
        <v>0</v>
      </c>
      <c r="AL95" s="53">
        <f t="shared" si="1017"/>
        <v>0</v>
      </c>
      <c r="AM95" s="51">
        <f t="shared" si="1018"/>
        <v>0</v>
      </c>
      <c r="AN95" s="53">
        <f t="shared" si="1019"/>
        <v>0</v>
      </c>
      <c r="AO95" s="51">
        <f t="shared" si="1020"/>
        <v>0</v>
      </c>
      <c r="AP95" s="53">
        <f t="shared" si="1021"/>
        <v>0</v>
      </c>
      <c r="AQ95" s="51">
        <f t="shared" si="1022"/>
        <v>0</v>
      </c>
      <c r="AR95" s="48">
        <f t="shared" si="1023"/>
        <v>0</v>
      </c>
      <c r="AS95" s="51">
        <f t="shared" si="1024"/>
        <v>0</v>
      </c>
      <c r="AT95" s="53">
        <f t="shared" si="1025"/>
        <v>0</v>
      </c>
      <c r="AU95" s="51">
        <f t="shared" si="1026"/>
        <v>0</v>
      </c>
      <c r="AV95" s="53">
        <f t="shared" si="1027"/>
        <v>0</v>
      </c>
      <c r="AW95" s="51">
        <f t="shared" si="1028"/>
        <v>0</v>
      </c>
      <c r="AX95" s="48">
        <f t="shared" si="1029"/>
        <v>0</v>
      </c>
      <c r="AY95" s="51">
        <f t="shared" si="1030"/>
        <v>0</v>
      </c>
      <c r="BB95" s="48">
        <v>1</v>
      </c>
      <c r="BC95" s="48">
        <v>0.97</v>
      </c>
      <c r="BD95" s="48">
        <v>0.95</v>
      </c>
      <c r="BE95" s="48">
        <v>0.93</v>
      </c>
      <c r="BF95" s="48">
        <f t="shared" ref="BF95:BW95" si="1131">+BE95-0.02</f>
        <v>0.91</v>
      </c>
      <c r="BG95" s="48">
        <f t="shared" si="1131"/>
        <v>0.89</v>
      </c>
      <c r="BH95" s="48">
        <f t="shared" si="1131"/>
        <v>0.87</v>
      </c>
      <c r="BI95" s="48">
        <f t="shared" si="1131"/>
        <v>0.85</v>
      </c>
      <c r="BJ95" s="48">
        <f t="shared" si="1131"/>
        <v>0.83</v>
      </c>
      <c r="BK95" s="48">
        <f t="shared" si="1131"/>
        <v>0.80999999999999994</v>
      </c>
      <c r="BL95" s="48">
        <f t="shared" si="1131"/>
        <v>0.78999999999999992</v>
      </c>
      <c r="BM95" s="48">
        <f t="shared" si="1131"/>
        <v>0.76999999999999991</v>
      </c>
      <c r="BN95" s="48">
        <f t="shared" si="1131"/>
        <v>0.74999999999999989</v>
      </c>
      <c r="BO95" s="48">
        <f t="shared" si="1131"/>
        <v>0.72999999999999987</v>
      </c>
      <c r="BP95" s="48">
        <f t="shared" si="1131"/>
        <v>0.70999999999999985</v>
      </c>
      <c r="BQ95" s="48">
        <f t="shared" si="1131"/>
        <v>0.68999999999999984</v>
      </c>
      <c r="BR95" s="48">
        <f t="shared" si="1131"/>
        <v>0.66999999999999982</v>
      </c>
      <c r="BS95" s="48">
        <f t="shared" si="1131"/>
        <v>0.6499999999999998</v>
      </c>
      <c r="BT95" s="48">
        <f t="shared" si="1131"/>
        <v>0.62999999999999978</v>
      </c>
      <c r="BU95" s="48">
        <f t="shared" si="1131"/>
        <v>0.60999999999999976</v>
      </c>
      <c r="BV95" s="48">
        <f t="shared" si="1131"/>
        <v>0.58999999999999975</v>
      </c>
      <c r="BW95" s="48">
        <f t="shared" si="1131"/>
        <v>0.56999999999999973</v>
      </c>
      <c r="BY95" s="48">
        <f t="shared" si="952"/>
        <v>0</v>
      </c>
      <c r="BZ95" s="48">
        <f t="shared" si="953"/>
        <v>0</v>
      </c>
      <c r="CA95" s="51">
        <f t="shared" ref="CA95" si="1132">+BZ95*3.3058</f>
        <v>0</v>
      </c>
      <c r="CB95" s="48">
        <f t="shared" si="1033"/>
        <v>0</v>
      </c>
      <c r="CC95" s="51">
        <f t="shared" si="1034"/>
        <v>0</v>
      </c>
      <c r="CD95" s="48">
        <f t="shared" si="1035"/>
        <v>0</v>
      </c>
      <c r="CE95" s="51">
        <f t="shared" si="1036"/>
        <v>0</v>
      </c>
      <c r="CF95" s="48">
        <f t="shared" si="1037"/>
        <v>0</v>
      </c>
      <c r="CG95" s="51">
        <f t="shared" si="1038"/>
        <v>0</v>
      </c>
      <c r="CH95" s="52">
        <f t="shared" si="1039"/>
        <v>0</v>
      </c>
      <c r="CI95" s="51">
        <f t="shared" si="1040"/>
        <v>0</v>
      </c>
      <c r="CJ95" s="48">
        <f t="shared" si="1041"/>
        <v>0</v>
      </c>
      <c r="CK95" s="51">
        <f t="shared" si="1042"/>
        <v>0</v>
      </c>
      <c r="CL95" s="52">
        <f t="shared" si="1043"/>
        <v>0</v>
      </c>
      <c r="CM95" s="51">
        <f t="shared" si="1044"/>
        <v>0</v>
      </c>
      <c r="CN95" s="53">
        <f t="shared" si="1045"/>
        <v>0</v>
      </c>
      <c r="CO95" s="51">
        <f t="shared" si="1046"/>
        <v>0</v>
      </c>
      <c r="CP95" s="52">
        <f t="shared" si="1047"/>
        <v>0</v>
      </c>
      <c r="CQ95" s="51">
        <f t="shared" si="1048"/>
        <v>0</v>
      </c>
      <c r="CR95" s="48">
        <f t="shared" si="1049"/>
        <v>0</v>
      </c>
      <c r="CS95" s="51">
        <f t="shared" si="1050"/>
        <v>0</v>
      </c>
      <c r="CT95" s="53">
        <f t="shared" si="1051"/>
        <v>0</v>
      </c>
      <c r="CU95" s="51">
        <f t="shared" si="1052"/>
        <v>0</v>
      </c>
      <c r="CV95" s="53">
        <f t="shared" si="1053"/>
        <v>0</v>
      </c>
      <c r="CW95" s="51">
        <f t="shared" si="1054"/>
        <v>0</v>
      </c>
      <c r="CX95" s="53">
        <f t="shared" si="1055"/>
        <v>0</v>
      </c>
      <c r="CY95" s="51">
        <f t="shared" si="1056"/>
        <v>0</v>
      </c>
      <c r="CZ95" s="48">
        <f t="shared" si="1057"/>
        <v>0</v>
      </c>
      <c r="DA95" s="51">
        <f t="shared" si="1058"/>
        <v>0</v>
      </c>
      <c r="DB95" s="53">
        <f t="shared" si="1059"/>
        <v>0</v>
      </c>
      <c r="DC95" s="51">
        <f t="shared" si="1060"/>
        <v>0</v>
      </c>
      <c r="DD95" s="53">
        <f t="shared" si="1061"/>
        <v>0</v>
      </c>
      <c r="DE95" s="51">
        <f t="shared" si="1062"/>
        <v>0</v>
      </c>
      <c r="DF95" s="53">
        <f t="shared" si="1063"/>
        <v>0</v>
      </c>
      <c r="DG95" s="51">
        <f t="shared" si="1064"/>
        <v>0</v>
      </c>
      <c r="DH95" s="53">
        <f t="shared" si="1065"/>
        <v>0</v>
      </c>
      <c r="DI95" s="51">
        <f t="shared" si="1066"/>
        <v>0</v>
      </c>
      <c r="DJ95" s="48">
        <f t="shared" si="1067"/>
        <v>0</v>
      </c>
      <c r="DK95" s="51">
        <f t="shared" si="1068"/>
        <v>0</v>
      </c>
      <c r="DL95" s="53">
        <f t="shared" si="1069"/>
        <v>0</v>
      </c>
      <c r="DM95" s="51">
        <f t="shared" si="1070"/>
        <v>0</v>
      </c>
      <c r="DN95" s="53">
        <f t="shared" si="1071"/>
        <v>0</v>
      </c>
      <c r="DO95" s="51">
        <f t="shared" si="1072"/>
        <v>0</v>
      </c>
      <c r="DP95" s="48">
        <f t="shared" si="1073"/>
        <v>0</v>
      </c>
      <c r="DQ95" s="51">
        <f t="shared" si="1074"/>
        <v>0</v>
      </c>
      <c r="DT95" s="48">
        <v>1</v>
      </c>
      <c r="DU95" s="48">
        <v>0.97</v>
      </c>
      <c r="DV95" s="48">
        <v>0.95</v>
      </c>
      <c r="DW95" s="48">
        <v>0.93</v>
      </c>
      <c r="DX95" s="48">
        <f t="shared" ref="DX95:EO95" si="1133">+DW95-0.02</f>
        <v>0.91</v>
      </c>
      <c r="DY95" s="48">
        <f t="shared" si="1133"/>
        <v>0.89</v>
      </c>
      <c r="DZ95" s="48">
        <f t="shared" si="1133"/>
        <v>0.87</v>
      </c>
      <c r="EA95" s="48">
        <f t="shared" si="1133"/>
        <v>0.85</v>
      </c>
      <c r="EB95" s="48">
        <f t="shared" si="1133"/>
        <v>0.83</v>
      </c>
      <c r="EC95" s="48">
        <f t="shared" si="1133"/>
        <v>0.80999999999999994</v>
      </c>
      <c r="ED95" s="48">
        <f t="shared" si="1133"/>
        <v>0.78999999999999992</v>
      </c>
      <c r="EE95" s="48">
        <f t="shared" si="1133"/>
        <v>0.76999999999999991</v>
      </c>
      <c r="EF95" s="48">
        <f t="shared" si="1133"/>
        <v>0.74999999999999989</v>
      </c>
      <c r="EG95" s="48">
        <f t="shared" si="1133"/>
        <v>0.72999999999999987</v>
      </c>
      <c r="EH95" s="48">
        <f t="shared" si="1133"/>
        <v>0.70999999999999985</v>
      </c>
      <c r="EI95" s="48">
        <f t="shared" si="1133"/>
        <v>0.68999999999999984</v>
      </c>
      <c r="EJ95" s="48">
        <f t="shared" si="1133"/>
        <v>0.66999999999999982</v>
      </c>
      <c r="EK95" s="48">
        <f t="shared" si="1133"/>
        <v>0.6499999999999998</v>
      </c>
      <c r="EL95" s="48">
        <f t="shared" si="1133"/>
        <v>0.62999999999999978</v>
      </c>
      <c r="EM95" s="48">
        <f t="shared" si="1133"/>
        <v>0.60999999999999976</v>
      </c>
      <c r="EN95" s="48">
        <f t="shared" si="1133"/>
        <v>0.58999999999999975</v>
      </c>
      <c r="EO95" s="48">
        <f t="shared" si="1133"/>
        <v>0.56999999999999973</v>
      </c>
      <c r="EQ95" s="48">
        <f t="shared" si="1128"/>
        <v>0</v>
      </c>
      <c r="ER95" s="48">
        <f t="shared" si="956"/>
        <v>0</v>
      </c>
      <c r="ES95" s="51">
        <f t="shared" ref="ES95" si="1134">+ER95*3.3058</f>
        <v>0</v>
      </c>
      <c r="ET95" s="48">
        <f t="shared" si="1077"/>
        <v>0</v>
      </c>
      <c r="EU95" s="51">
        <f t="shared" si="1078"/>
        <v>0</v>
      </c>
      <c r="EV95" s="48">
        <f t="shared" si="1079"/>
        <v>0</v>
      </c>
      <c r="EW95" s="51">
        <f t="shared" si="1080"/>
        <v>0</v>
      </c>
      <c r="EX95" s="48">
        <f t="shared" si="1081"/>
        <v>0</v>
      </c>
      <c r="EY95" s="51">
        <f t="shared" si="1082"/>
        <v>0</v>
      </c>
      <c r="EZ95" s="52">
        <f t="shared" si="1083"/>
        <v>0</v>
      </c>
      <c r="FA95" s="51">
        <f t="shared" si="1084"/>
        <v>0</v>
      </c>
      <c r="FB95" s="48">
        <f t="shared" si="1085"/>
        <v>0</v>
      </c>
      <c r="FC95" s="51">
        <f t="shared" si="1086"/>
        <v>0</v>
      </c>
      <c r="FD95" s="52">
        <f t="shared" si="1087"/>
        <v>0</v>
      </c>
      <c r="FE95" s="51">
        <f t="shared" si="1088"/>
        <v>0</v>
      </c>
      <c r="FF95" s="53">
        <f t="shared" si="1089"/>
        <v>0</v>
      </c>
      <c r="FG95" s="51">
        <f t="shared" si="1090"/>
        <v>0</v>
      </c>
      <c r="FH95" s="52">
        <f t="shared" si="1091"/>
        <v>0</v>
      </c>
      <c r="FI95" s="51">
        <f t="shared" si="1092"/>
        <v>0</v>
      </c>
      <c r="FJ95" s="48">
        <f t="shared" si="1093"/>
        <v>0</v>
      </c>
      <c r="FK95" s="51">
        <f t="shared" si="1094"/>
        <v>0</v>
      </c>
      <c r="FL95" s="53">
        <f t="shared" si="1095"/>
        <v>0</v>
      </c>
      <c r="FM95" s="51">
        <f t="shared" si="1096"/>
        <v>0</v>
      </c>
      <c r="FN95" s="53">
        <f t="shared" si="1097"/>
        <v>0</v>
      </c>
      <c r="FO95" s="51">
        <f t="shared" si="1098"/>
        <v>0</v>
      </c>
      <c r="FP95" s="53">
        <f t="shared" si="1099"/>
        <v>0</v>
      </c>
      <c r="FQ95" s="51">
        <f t="shared" si="1100"/>
        <v>0</v>
      </c>
      <c r="FR95" s="48">
        <f t="shared" si="1101"/>
        <v>0</v>
      </c>
      <c r="FS95" s="51">
        <f t="shared" si="1102"/>
        <v>0</v>
      </c>
      <c r="FT95" s="53">
        <f t="shared" si="1103"/>
        <v>0</v>
      </c>
      <c r="FU95" s="51">
        <f t="shared" si="1104"/>
        <v>0</v>
      </c>
      <c r="FV95" s="53">
        <f t="shared" si="1105"/>
        <v>0</v>
      </c>
      <c r="FW95" s="51">
        <f t="shared" si="1106"/>
        <v>0</v>
      </c>
      <c r="FX95" s="53">
        <f t="shared" si="1107"/>
        <v>0</v>
      </c>
      <c r="FY95" s="51">
        <f t="shared" si="1108"/>
        <v>0</v>
      </c>
      <c r="FZ95" s="53">
        <f t="shared" si="1109"/>
        <v>0</v>
      </c>
      <c r="GA95" s="51">
        <f t="shared" si="1110"/>
        <v>0</v>
      </c>
      <c r="GB95" s="48">
        <f t="shared" si="1111"/>
        <v>0</v>
      </c>
      <c r="GC95" s="51">
        <f t="shared" si="1112"/>
        <v>0</v>
      </c>
      <c r="GD95" s="53">
        <f t="shared" si="1113"/>
        <v>0</v>
      </c>
      <c r="GE95" s="51">
        <f t="shared" si="1114"/>
        <v>0</v>
      </c>
      <c r="GF95" s="53">
        <f t="shared" si="1115"/>
        <v>0</v>
      </c>
      <c r="GG95" s="51">
        <f t="shared" si="1116"/>
        <v>0</v>
      </c>
      <c r="GH95" s="48">
        <f t="shared" si="1117"/>
        <v>0</v>
      </c>
      <c r="GI95" s="51">
        <f t="shared" si="1118"/>
        <v>0</v>
      </c>
      <c r="GJ95" s="48"/>
      <c r="GK95" s="48"/>
      <c r="GL95" s="48">
        <v>1</v>
      </c>
      <c r="GM95" s="48">
        <v>0.97</v>
      </c>
      <c r="GN95" s="48">
        <v>0.95</v>
      </c>
      <c r="GO95" s="48">
        <v>0.93</v>
      </c>
      <c r="GP95" s="48">
        <f t="shared" ref="GP95:HG95" si="1135">+GO95-0.02</f>
        <v>0.91</v>
      </c>
      <c r="GQ95" s="48">
        <f t="shared" si="1135"/>
        <v>0.89</v>
      </c>
      <c r="GR95" s="48">
        <f t="shared" si="1135"/>
        <v>0.87</v>
      </c>
      <c r="GS95" s="48">
        <f t="shared" si="1135"/>
        <v>0.85</v>
      </c>
      <c r="GT95" s="48">
        <f t="shared" si="1135"/>
        <v>0.83</v>
      </c>
      <c r="GU95" s="48">
        <f t="shared" si="1135"/>
        <v>0.80999999999999994</v>
      </c>
      <c r="GV95" s="48">
        <f t="shared" si="1135"/>
        <v>0.78999999999999992</v>
      </c>
      <c r="GW95" s="48">
        <f t="shared" si="1135"/>
        <v>0.76999999999999991</v>
      </c>
      <c r="GX95" s="48">
        <f t="shared" si="1135"/>
        <v>0.74999999999999989</v>
      </c>
      <c r="GY95" s="48">
        <f t="shared" si="1135"/>
        <v>0.72999999999999987</v>
      </c>
      <c r="GZ95" s="48">
        <f t="shared" si="1135"/>
        <v>0.70999999999999985</v>
      </c>
      <c r="HA95" s="48">
        <f t="shared" si="1135"/>
        <v>0.68999999999999984</v>
      </c>
      <c r="HB95" s="48">
        <f t="shared" si="1135"/>
        <v>0.66999999999999982</v>
      </c>
      <c r="HC95" s="48">
        <f t="shared" si="1135"/>
        <v>0.6499999999999998</v>
      </c>
      <c r="HD95" s="48">
        <f t="shared" si="1135"/>
        <v>0.62999999999999978</v>
      </c>
      <c r="HE95" s="48">
        <f t="shared" si="1135"/>
        <v>0.60999999999999976</v>
      </c>
      <c r="HF95" s="48">
        <f t="shared" si="1135"/>
        <v>0.58999999999999975</v>
      </c>
      <c r="HG95" s="48">
        <f t="shared" si="1135"/>
        <v>0.56999999999999973</v>
      </c>
    </row>
    <row r="96" spans="1:215" x14ac:dyDescent="0.3">
      <c r="A96" s="2">
        <v>5</v>
      </c>
      <c r="C96" s="29" t="s">
        <v>164</v>
      </c>
      <c r="D96" s="44">
        <f>TRUNC(7413.72476397966,-1)</f>
        <v>7410</v>
      </c>
      <c r="E96" s="73">
        <f t="shared" si="988"/>
        <v>24490</v>
      </c>
      <c r="G96" s="48">
        <f t="shared" si="948"/>
        <v>8151.0000000000009</v>
      </c>
      <c r="H96" s="48">
        <f t="shared" si="949"/>
        <v>8151.0000000000009</v>
      </c>
      <c r="I96" s="51">
        <f t="shared" si="950"/>
        <v>26945.575800000002</v>
      </c>
      <c r="J96" s="48">
        <f t="shared" si="989"/>
        <v>7906.47</v>
      </c>
      <c r="K96" s="51">
        <f t="shared" si="990"/>
        <v>26137.208526000002</v>
      </c>
      <c r="L96" s="48">
        <f t="shared" si="991"/>
        <v>7743.4500000000007</v>
      </c>
      <c r="M96" s="51">
        <f t="shared" si="992"/>
        <v>25598.297010000002</v>
      </c>
      <c r="N96" s="48">
        <f t="shared" si="993"/>
        <v>7580.4300000000012</v>
      </c>
      <c r="O96" s="51">
        <f t="shared" si="994"/>
        <v>25059.385494000006</v>
      </c>
      <c r="P96" s="52">
        <f t="shared" si="995"/>
        <v>7417.4100000000008</v>
      </c>
      <c r="Q96" s="51">
        <f t="shared" si="996"/>
        <v>24520.473978000002</v>
      </c>
      <c r="R96" s="48">
        <f t="shared" si="997"/>
        <v>7254.3900000000012</v>
      </c>
      <c r="S96" s="51">
        <f t="shared" si="998"/>
        <v>23981.562462000005</v>
      </c>
      <c r="T96" s="52">
        <f t="shared" si="999"/>
        <v>7091.3700000000008</v>
      </c>
      <c r="U96" s="51">
        <f t="shared" si="1000"/>
        <v>23442.650946000002</v>
      </c>
      <c r="V96" s="53">
        <f t="shared" si="1001"/>
        <v>6928.35</v>
      </c>
      <c r="W96" s="51">
        <f t="shared" si="1002"/>
        <v>22903.739430000001</v>
      </c>
      <c r="X96" s="52">
        <f t="shared" si="1003"/>
        <v>6765.3300000000008</v>
      </c>
      <c r="Y96" s="51">
        <f t="shared" si="1004"/>
        <v>22364.827914000005</v>
      </c>
      <c r="Z96" s="48">
        <f t="shared" si="1005"/>
        <v>6602.31</v>
      </c>
      <c r="AA96" s="51">
        <f t="shared" si="1006"/>
        <v>21825.916398000001</v>
      </c>
      <c r="AB96" s="53">
        <f t="shared" si="1007"/>
        <v>6439.29</v>
      </c>
      <c r="AC96" s="51">
        <f t="shared" si="1008"/>
        <v>21287.004882000001</v>
      </c>
      <c r="AD96" s="53">
        <f t="shared" si="1009"/>
        <v>6276.2699999999995</v>
      </c>
      <c r="AE96" s="51">
        <f t="shared" si="1010"/>
        <v>20748.093365999997</v>
      </c>
      <c r="AF96" s="53">
        <f t="shared" si="1011"/>
        <v>6113.25</v>
      </c>
      <c r="AG96" s="51">
        <f t="shared" si="1012"/>
        <v>20209.181850000001</v>
      </c>
      <c r="AH96" s="48">
        <f t="shared" si="1013"/>
        <v>5950.23</v>
      </c>
      <c r="AI96" s="51">
        <f t="shared" si="1014"/>
        <v>19670.270334000001</v>
      </c>
      <c r="AJ96" s="53">
        <f t="shared" si="1015"/>
        <v>5787.2099999999991</v>
      </c>
      <c r="AK96" s="51">
        <f t="shared" si="1016"/>
        <v>19131.358817999997</v>
      </c>
      <c r="AL96" s="53">
        <f t="shared" si="1017"/>
        <v>5624.19</v>
      </c>
      <c r="AM96" s="51">
        <f t="shared" si="1018"/>
        <v>18592.447302</v>
      </c>
      <c r="AN96" s="53">
        <f t="shared" si="1019"/>
        <v>5461.1699999999992</v>
      </c>
      <c r="AO96" s="51">
        <f t="shared" si="1020"/>
        <v>18053.535785999997</v>
      </c>
      <c r="AP96" s="53">
        <f t="shared" si="1021"/>
        <v>5298.1499999999987</v>
      </c>
      <c r="AQ96" s="51">
        <f t="shared" si="1022"/>
        <v>17514.624269999997</v>
      </c>
      <c r="AR96" s="48">
        <f t="shared" si="1023"/>
        <v>5135.1299999999992</v>
      </c>
      <c r="AS96" s="51">
        <f t="shared" si="1024"/>
        <v>16975.712753999996</v>
      </c>
      <c r="AT96" s="53">
        <f t="shared" si="1025"/>
        <v>4972.1099999999988</v>
      </c>
      <c r="AU96" s="51">
        <f t="shared" si="1026"/>
        <v>16436.801237999996</v>
      </c>
      <c r="AV96" s="53">
        <f t="shared" si="1027"/>
        <v>4809.0899999999983</v>
      </c>
      <c r="AW96" s="51">
        <f t="shared" si="1028"/>
        <v>15897.889721999994</v>
      </c>
      <c r="AX96" s="48">
        <f t="shared" si="1029"/>
        <v>4646.0699999999979</v>
      </c>
      <c r="AY96" s="51">
        <f t="shared" si="1030"/>
        <v>15358.978205999992</v>
      </c>
      <c r="BB96" s="48">
        <v>1</v>
      </c>
      <c r="BC96" s="48">
        <v>0.97</v>
      </c>
      <c r="BD96" s="48">
        <v>0.95</v>
      </c>
      <c r="BE96" s="48">
        <v>0.93</v>
      </c>
      <c r="BF96" s="48">
        <f t="shared" ref="BF96:BW96" si="1136">+BE96-0.02</f>
        <v>0.91</v>
      </c>
      <c r="BG96" s="48">
        <f t="shared" si="1136"/>
        <v>0.89</v>
      </c>
      <c r="BH96" s="48">
        <f t="shared" si="1136"/>
        <v>0.87</v>
      </c>
      <c r="BI96" s="48">
        <f t="shared" si="1136"/>
        <v>0.85</v>
      </c>
      <c r="BJ96" s="48">
        <f t="shared" si="1136"/>
        <v>0.83</v>
      </c>
      <c r="BK96" s="48">
        <f t="shared" si="1136"/>
        <v>0.80999999999999994</v>
      </c>
      <c r="BL96" s="48">
        <f t="shared" si="1136"/>
        <v>0.78999999999999992</v>
      </c>
      <c r="BM96" s="48">
        <f t="shared" si="1136"/>
        <v>0.76999999999999991</v>
      </c>
      <c r="BN96" s="48">
        <f t="shared" si="1136"/>
        <v>0.74999999999999989</v>
      </c>
      <c r="BO96" s="48">
        <f t="shared" si="1136"/>
        <v>0.72999999999999987</v>
      </c>
      <c r="BP96" s="48">
        <f t="shared" si="1136"/>
        <v>0.70999999999999985</v>
      </c>
      <c r="BQ96" s="48">
        <f t="shared" si="1136"/>
        <v>0.68999999999999984</v>
      </c>
      <c r="BR96" s="48">
        <f t="shared" si="1136"/>
        <v>0.66999999999999982</v>
      </c>
      <c r="BS96" s="48">
        <f t="shared" si="1136"/>
        <v>0.6499999999999998</v>
      </c>
      <c r="BT96" s="48">
        <f t="shared" si="1136"/>
        <v>0.62999999999999978</v>
      </c>
      <c r="BU96" s="48">
        <f t="shared" si="1136"/>
        <v>0.60999999999999976</v>
      </c>
      <c r="BV96" s="48">
        <f t="shared" si="1136"/>
        <v>0.58999999999999975</v>
      </c>
      <c r="BW96" s="48">
        <f t="shared" si="1136"/>
        <v>0.56999999999999973</v>
      </c>
      <c r="BY96" s="48">
        <f t="shared" si="952"/>
        <v>7417.4100000000008</v>
      </c>
      <c r="BZ96" s="48">
        <f t="shared" si="953"/>
        <v>7417.4100000000008</v>
      </c>
      <c r="CA96" s="51">
        <f t="shared" ref="CA96" si="1137">+BZ96*3.3058</f>
        <v>24520.473978000002</v>
      </c>
      <c r="CB96" s="48">
        <f t="shared" si="1033"/>
        <v>7194.8877000000002</v>
      </c>
      <c r="CC96" s="51">
        <f t="shared" si="1034"/>
        <v>23784.859758660001</v>
      </c>
      <c r="CD96" s="48">
        <f t="shared" si="1035"/>
        <v>7046.5395000000008</v>
      </c>
      <c r="CE96" s="51">
        <f t="shared" si="1036"/>
        <v>23294.450279100001</v>
      </c>
      <c r="CF96" s="48">
        <f t="shared" si="1037"/>
        <v>6898.1913000000013</v>
      </c>
      <c r="CG96" s="51">
        <f t="shared" si="1038"/>
        <v>22804.040799540006</v>
      </c>
      <c r="CH96" s="52">
        <f t="shared" si="1039"/>
        <v>6749.843100000001</v>
      </c>
      <c r="CI96" s="51">
        <f t="shared" si="1040"/>
        <v>22313.631319980002</v>
      </c>
      <c r="CJ96" s="48">
        <f t="shared" si="1041"/>
        <v>6601.4949000000006</v>
      </c>
      <c r="CK96" s="51">
        <f t="shared" si="1042"/>
        <v>21823.221840420003</v>
      </c>
      <c r="CL96" s="52">
        <f t="shared" si="1043"/>
        <v>6453.1467000000002</v>
      </c>
      <c r="CM96" s="51">
        <f t="shared" si="1044"/>
        <v>21332.81236086</v>
      </c>
      <c r="CN96" s="53">
        <f t="shared" si="1045"/>
        <v>6304.7985000000008</v>
      </c>
      <c r="CO96" s="51">
        <f t="shared" si="1046"/>
        <v>20842.402881300004</v>
      </c>
      <c r="CP96" s="52">
        <f t="shared" si="1047"/>
        <v>6156.4503000000004</v>
      </c>
      <c r="CQ96" s="51">
        <f t="shared" si="1048"/>
        <v>20351.993401740001</v>
      </c>
      <c r="CR96" s="48">
        <f t="shared" si="1049"/>
        <v>6008.1021000000001</v>
      </c>
      <c r="CS96" s="51">
        <f t="shared" si="1050"/>
        <v>19861.583922180002</v>
      </c>
      <c r="CT96" s="53">
        <f t="shared" si="1051"/>
        <v>5859.7538999999997</v>
      </c>
      <c r="CU96" s="51">
        <f t="shared" si="1052"/>
        <v>19371.174442619998</v>
      </c>
      <c r="CV96" s="53">
        <f t="shared" si="1053"/>
        <v>5711.4057000000003</v>
      </c>
      <c r="CW96" s="51">
        <f t="shared" si="1054"/>
        <v>18880.764963060003</v>
      </c>
      <c r="CX96" s="53">
        <f t="shared" si="1055"/>
        <v>5563.0574999999999</v>
      </c>
      <c r="CY96" s="51">
        <f t="shared" si="1056"/>
        <v>18390.3554835</v>
      </c>
      <c r="CZ96" s="48">
        <f t="shared" si="1057"/>
        <v>5414.7092999999995</v>
      </c>
      <c r="DA96" s="51">
        <f t="shared" si="1058"/>
        <v>17899.94600394</v>
      </c>
      <c r="DB96" s="53">
        <f t="shared" si="1059"/>
        <v>5266.3610999999992</v>
      </c>
      <c r="DC96" s="51">
        <f t="shared" si="1060"/>
        <v>17409.536524379997</v>
      </c>
      <c r="DD96" s="53">
        <f t="shared" si="1061"/>
        <v>5118.0128999999997</v>
      </c>
      <c r="DE96" s="51">
        <f t="shared" si="1062"/>
        <v>16919.127044820001</v>
      </c>
      <c r="DF96" s="53">
        <f t="shared" si="1063"/>
        <v>4969.6646999999994</v>
      </c>
      <c r="DG96" s="51">
        <f t="shared" si="1064"/>
        <v>16428.717565259998</v>
      </c>
      <c r="DH96" s="53">
        <f t="shared" si="1065"/>
        <v>4821.316499999999</v>
      </c>
      <c r="DI96" s="51">
        <f t="shared" si="1066"/>
        <v>15938.308085699997</v>
      </c>
      <c r="DJ96" s="48">
        <f t="shared" si="1067"/>
        <v>4672.9682999999986</v>
      </c>
      <c r="DK96" s="51">
        <f t="shared" si="1068"/>
        <v>15447.898606139996</v>
      </c>
      <c r="DL96" s="53">
        <f t="shared" si="1069"/>
        <v>4524.6200999999983</v>
      </c>
      <c r="DM96" s="51">
        <f t="shared" si="1070"/>
        <v>14957.489126579994</v>
      </c>
      <c r="DN96" s="53">
        <f t="shared" si="1071"/>
        <v>4376.2718999999988</v>
      </c>
      <c r="DO96" s="51">
        <f t="shared" si="1072"/>
        <v>14467.079647019997</v>
      </c>
      <c r="DP96" s="48">
        <f t="shared" si="1073"/>
        <v>4227.9236999999985</v>
      </c>
      <c r="DQ96" s="51">
        <f t="shared" si="1074"/>
        <v>13976.670167459995</v>
      </c>
      <c r="DT96" s="48">
        <v>1</v>
      </c>
      <c r="DU96" s="48">
        <v>0.97</v>
      </c>
      <c r="DV96" s="48">
        <v>0.95</v>
      </c>
      <c r="DW96" s="48">
        <v>0.93</v>
      </c>
      <c r="DX96" s="48">
        <f t="shared" ref="DX96:EO96" si="1138">+DW96-0.02</f>
        <v>0.91</v>
      </c>
      <c r="DY96" s="48">
        <f t="shared" si="1138"/>
        <v>0.89</v>
      </c>
      <c r="DZ96" s="48">
        <f t="shared" si="1138"/>
        <v>0.87</v>
      </c>
      <c r="EA96" s="48">
        <f t="shared" si="1138"/>
        <v>0.85</v>
      </c>
      <c r="EB96" s="48">
        <f t="shared" si="1138"/>
        <v>0.83</v>
      </c>
      <c r="EC96" s="48">
        <f t="shared" si="1138"/>
        <v>0.80999999999999994</v>
      </c>
      <c r="ED96" s="48">
        <f t="shared" si="1138"/>
        <v>0.78999999999999992</v>
      </c>
      <c r="EE96" s="48">
        <f t="shared" si="1138"/>
        <v>0.76999999999999991</v>
      </c>
      <c r="EF96" s="48">
        <f t="shared" si="1138"/>
        <v>0.74999999999999989</v>
      </c>
      <c r="EG96" s="48">
        <f t="shared" si="1138"/>
        <v>0.72999999999999987</v>
      </c>
      <c r="EH96" s="48">
        <f t="shared" si="1138"/>
        <v>0.70999999999999985</v>
      </c>
      <c r="EI96" s="48">
        <f t="shared" si="1138"/>
        <v>0.68999999999999984</v>
      </c>
      <c r="EJ96" s="48">
        <f t="shared" si="1138"/>
        <v>0.66999999999999982</v>
      </c>
      <c r="EK96" s="48">
        <f t="shared" si="1138"/>
        <v>0.6499999999999998</v>
      </c>
      <c r="EL96" s="48">
        <f t="shared" si="1138"/>
        <v>0.62999999999999978</v>
      </c>
      <c r="EM96" s="48">
        <f t="shared" si="1138"/>
        <v>0.60999999999999976</v>
      </c>
      <c r="EN96" s="48">
        <f t="shared" si="1138"/>
        <v>0.58999999999999975</v>
      </c>
      <c r="EO96" s="48">
        <f t="shared" si="1138"/>
        <v>0.56999999999999973</v>
      </c>
      <c r="EQ96" s="48">
        <f t="shared" si="1128"/>
        <v>6749.843100000001</v>
      </c>
      <c r="ER96" s="48">
        <f t="shared" si="956"/>
        <v>6749.843100000001</v>
      </c>
      <c r="ES96" s="51">
        <f t="shared" ref="ES96" si="1139">+ER96*3.3058</f>
        <v>22313.631319980002</v>
      </c>
      <c r="ET96" s="48">
        <f t="shared" si="1077"/>
        <v>6547.347807000001</v>
      </c>
      <c r="EU96" s="51">
        <f t="shared" si="1078"/>
        <v>21644.222380380605</v>
      </c>
      <c r="EV96" s="48">
        <f t="shared" si="1079"/>
        <v>6412.350945000001</v>
      </c>
      <c r="EW96" s="51">
        <f t="shared" si="1080"/>
        <v>21197.949753981004</v>
      </c>
      <c r="EX96" s="48">
        <f t="shared" si="1081"/>
        <v>6277.3540830000011</v>
      </c>
      <c r="EY96" s="51">
        <f t="shared" si="1082"/>
        <v>20751.677127581403</v>
      </c>
      <c r="EZ96" s="52">
        <f t="shared" si="1083"/>
        <v>6142.3572210000011</v>
      </c>
      <c r="FA96" s="51">
        <f t="shared" si="1084"/>
        <v>20305.404501181805</v>
      </c>
      <c r="FB96" s="48">
        <f t="shared" si="1085"/>
        <v>6007.3603590000012</v>
      </c>
      <c r="FC96" s="51">
        <f t="shared" si="1086"/>
        <v>19859.131874782204</v>
      </c>
      <c r="FD96" s="52">
        <f t="shared" si="1087"/>
        <v>5872.3634970000012</v>
      </c>
      <c r="FE96" s="51">
        <f t="shared" si="1088"/>
        <v>19412.859248382603</v>
      </c>
      <c r="FF96" s="53">
        <f t="shared" si="1089"/>
        <v>5737.3666350000003</v>
      </c>
      <c r="FG96" s="51">
        <f t="shared" si="1090"/>
        <v>18966.586621983002</v>
      </c>
      <c r="FH96" s="52">
        <f t="shared" si="1091"/>
        <v>5602.3697730000004</v>
      </c>
      <c r="FI96" s="51">
        <f t="shared" si="1092"/>
        <v>18520.313995583401</v>
      </c>
      <c r="FJ96" s="48">
        <f t="shared" si="1093"/>
        <v>5467.3729110000004</v>
      </c>
      <c r="FK96" s="51">
        <f t="shared" si="1094"/>
        <v>18074.0413691838</v>
      </c>
      <c r="FL96" s="53">
        <f t="shared" si="1095"/>
        <v>5332.3760490000004</v>
      </c>
      <c r="FM96" s="51">
        <f t="shared" si="1096"/>
        <v>17627.768742784203</v>
      </c>
      <c r="FN96" s="53">
        <f t="shared" si="1097"/>
        <v>5197.3791870000005</v>
      </c>
      <c r="FO96" s="51">
        <f t="shared" si="1098"/>
        <v>17181.496116384602</v>
      </c>
      <c r="FP96" s="53">
        <f t="shared" si="1099"/>
        <v>5062.3823249999996</v>
      </c>
      <c r="FQ96" s="51">
        <f t="shared" si="1100"/>
        <v>16735.223489984997</v>
      </c>
      <c r="FR96" s="48">
        <f t="shared" si="1101"/>
        <v>4927.3854629999996</v>
      </c>
      <c r="FS96" s="51">
        <f t="shared" si="1102"/>
        <v>16288.9508635854</v>
      </c>
      <c r="FT96" s="53">
        <f t="shared" si="1103"/>
        <v>4792.3886009999997</v>
      </c>
      <c r="FU96" s="51">
        <f t="shared" si="1104"/>
        <v>15842.678237185799</v>
      </c>
      <c r="FV96" s="53">
        <f t="shared" si="1105"/>
        <v>4657.3917389999997</v>
      </c>
      <c r="FW96" s="51">
        <f t="shared" si="1106"/>
        <v>15396.4056107862</v>
      </c>
      <c r="FX96" s="53">
        <f t="shared" si="1107"/>
        <v>4522.3948769999997</v>
      </c>
      <c r="FY96" s="51">
        <f t="shared" si="1108"/>
        <v>14950.132984386599</v>
      </c>
      <c r="FZ96" s="53">
        <f t="shared" si="1109"/>
        <v>4387.3980149999988</v>
      </c>
      <c r="GA96" s="51">
        <f t="shared" si="1110"/>
        <v>14503.860357986996</v>
      </c>
      <c r="GB96" s="48">
        <f t="shared" si="1111"/>
        <v>4252.4011529999989</v>
      </c>
      <c r="GC96" s="51">
        <f t="shared" si="1112"/>
        <v>14057.587731587397</v>
      </c>
      <c r="GD96" s="53">
        <f t="shared" si="1113"/>
        <v>4117.4042909999989</v>
      </c>
      <c r="GE96" s="51">
        <f t="shared" si="1114"/>
        <v>13611.315105187798</v>
      </c>
      <c r="GF96" s="53">
        <f t="shared" si="1115"/>
        <v>3982.407428999999</v>
      </c>
      <c r="GG96" s="51">
        <f t="shared" si="1116"/>
        <v>13165.042478788197</v>
      </c>
      <c r="GH96" s="48">
        <f t="shared" si="1117"/>
        <v>3847.4105669999985</v>
      </c>
      <c r="GI96" s="51">
        <f t="shared" si="1118"/>
        <v>12718.769852388596</v>
      </c>
      <c r="GJ96" s="48"/>
      <c r="GK96" s="48"/>
      <c r="GL96" s="48">
        <v>1</v>
      </c>
      <c r="GM96" s="48">
        <v>0.97</v>
      </c>
      <c r="GN96" s="48">
        <v>0.95</v>
      </c>
      <c r="GO96" s="48">
        <v>0.93</v>
      </c>
      <c r="GP96" s="48">
        <f t="shared" ref="GP96:HG96" si="1140">+GO96-0.02</f>
        <v>0.91</v>
      </c>
      <c r="GQ96" s="48">
        <f t="shared" si="1140"/>
        <v>0.89</v>
      </c>
      <c r="GR96" s="48">
        <f t="shared" si="1140"/>
        <v>0.87</v>
      </c>
      <c r="GS96" s="48">
        <f t="shared" si="1140"/>
        <v>0.85</v>
      </c>
      <c r="GT96" s="48">
        <f t="shared" si="1140"/>
        <v>0.83</v>
      </c>
      <c r="GU96" s="48">
        <f t="shared" si="1140"/>
        <v>0.80999999999999994</v>
      </c>
      <c r="GV96" s="48">
        <f t="shared" si="1140"/>
        <v>0.78999999999999992</v>
      </c>
      <c r="GW96" s="48">
        <f t="shared" si="1140"/>
        <v>0.76999999999999991</v>
      </c>
      <c r="GX96" s="48">
        <f t="shared" si="1140"/>
        <v>0.74999999999999989</v>
      </c>
      <c r="GY96" s="48">
        <f t="shared" si="1140"/>
        <v>0.72999999999999987</v>
      </c>
      <c r="GZ96" s="48">
        <f t="shared" si="1140"/>
        <v>0.70999999999999985</v>
      </c>
      <c r="HA96" s="48">
        <f t="shared" si="1140"/>
        <v>0.68999999999999984</v>
      </c>
      <c r="HB96" s="48">
        <f t="shared" si="1140"/>
        <v>0.66999999999999982</v>
      </c>
      <c r="HC96" s="48">
        <f t="shared" si="1140"/>
        <v>0.6499999999999998</v>
      </c>
      <c r="HD96" s="48">
        <f t="shared" si="1140"/>
        <v>0.62999999999999978</v>
      </c>
      <c r="HE96" s="48">
        <f t="shared" si="1140"/>
        <v>0.60999999999999976</v>
      </c>
      <c r="HF96" s="48">
        <f t="shared" si="1140"/>
        <v>0.58999999999999975</v>
      </c>
      <c r="HG96" s="48">
        <f t="shared" si="1140"/>
        <v>0.56999999999999973</v>
      </c>
    </row>
    <row r="97" spans="1:215" x14ac:dyDescent="0.3">
      <c r="A97" s="2">
        <v>6</v>
      </c>
      <c r="C97" s="29" t="s">
        <v>165</v>
      </c>
      <c r="D97" s="44">
        <v>0</v>
      </c>
      <c r="E97" s="73">
        <f t="shared" si="988"/>
        <v>0</v>
      </c>
      <c r="G97" s="48">
        <f t="shared" si="948"/>
        <v>0</v>
      </c>
      <c r="H97" s="48">
        <f t="shared" si="949"/>
        <v>0</v>
      </c>
      <c r="I97" s="51">
        <f t="shared" si="950"/>
        <v>0</v>
      </c>
      <c r="J97" s="48">
        <f t="shared" si="989"/>
        <v>0</v>
      </c>
      <c r="K97" s="51">
        <f t="shared" si="990"/>
        <v>0</v>
      </c>
      <c r="L97" s="48">
        <f t="shared" si="991"/>
        <v>0</v>
      </c>
      <c r="M97" s="51">
        <f t="shared" si="992"/>
        <v>0</v>
      </c>
      <c r="N97" s="48">
        <f t="shared" si="993"/>
        <v>0</v>
      </c>
      <c r="O97" s="51">
        <f t="shared" si="994"/>
        <v>0</v>
      </c>
      <c r="P97" s="52">
        <f t="shared" si="995"/>
        <v>0</v>
      </c>
      <c r="Q97" s="51">
        <f t="shared" si="996"/>
        <v>0</v>
      </c>
      <c r="R97" s="48">
        <f t="shared" si="997"/>
        <v>0</v>
      </c>
      <c r="S97" s="51">
        <f t="shared" si="998"/>
        <v>0</v>
      </c>
      <c r="T97" s="52">
        <f t="shared" si="999"/>
        <v>0</v>
      </c>
      <c r="U97" s="51">
        <f t="shared" si="1000"/>
        <v>0</v>
      </c>
      <c r="V97" s="53">
        <f t="shared" si="1001"/>
        <v>0</v>
      </c>
      <c r="W97" s="51">
        <f t="shared" si="1002"/>
        <v>0</v>
      </c>
      <c r="X97" s="52">
        <f t="shared" si="1003"/>
        <v>0</v>
      </c>
      <c r="Y97" s="51">
        <f t="shared" si="1004"/>
        <v>0</v>
      </c>
      <c r="Z97" s="48">
        <f t="shared" si="1005"/>
        <v>0</v>
      </c>
      <c r="AA97" s="51">
        <f t="shared" si="1006"/>
        <v>0</v>
      </c>
      <c r="AB97" s="53">
        <f t="shared" si="1007"/>
        <v>0</v>
      </c>
      <c r="AC97" s="51">
        <f t="shared" si="1008"/>
        <v>0</v>
      </c>
      <c r="AD97" s="53">
        <f t="shared" si="1009"/>
        <v>0</v>
      </c>
      <c r="AE97" s="51">
        <f t="shared" si="1010"/>
        <v>0</v>
      </c>
      <c r="AF97" s="53">
        <f t="shared" si="1011"/>
        <v>0</v>
      </c>
      <c r="AG97" s="51">
        <f t="shared" si="1012"/>
        <v>0</v>
      </c>
      <c r="AH97" s="48">
        <f t="shared" si="1013"/>
        <v>0</v>
      </c>
      <c r="AI97" s="51">
        <f t="shared" si="1014"/>
        <v>0</v>
      </c>
      <c r="AJ97" s="53">
        <f t="shared" si="1015"/>
        <v>0</v>
      </c>
      <c r="AK97" s="51">
        <f t="shared" si="1016"/>
        <v>0</v>
      </c>
      <c r="AL97" s="53">
        <f t="shared" si="1017"/>
        <v>0</v>
      </c>
      <c r="AM97" s="51">
        <f t="shared" si="1018"/>
        <v>0</v>
      </c>
      <c r="AN97" s="53">
        <f t="shared" si="1019"/>
        <v>0</v>
      </c>
      <c r="AO97" s="51">
        <f t="shared" si="1020"/>
        <v>0</v>
      </c>
      <c r="AP97" s="53">
        <f t="shared" si="1021"/>
        <v>0</v>
      </c>
      <c r="AQ97" s="51">
        <f t="shared" si="1022"/>
        <v>0</v>
      </c>
      <c r="AR97" s="48">
        <f t="shared" si="1023"/>
        <v>0</v>
      </c>
      <c r="AS97" s="51">
        <f t="shared" si="1024"/>
        <v>0</v>
      </c>
      <c r="AT97" s="53">
        <f t="shared" si="1025"/>
        <v>0</v>
      </c>
      <c r="AU97" s="51">
        <f t="shared" si="1026"/>
        <v>0</v>
      </c>
      <c r="AV97" s="53">
        <f t="shared" si="1027"/>
        <v>0</v>
      </c>
      <c r="AW97" s="51">
        <f t="shared" si="1028"/>
        <v>0</v>
      </c>
      <c r="AX97" s="48">
        <f t="shared" si="1029"/>
        <v>0</v>
      </c>
      <c r="AY97" s="51">
        <f t="shared" si="1030"/>
        <v>0</v>
      </c>
      <c r="BB97" s="48">
        <v>1</v>
      </c>
      <c r="BC97" s="48">
        <v>0.97</v>
      </c>
      <c r="BD97" s="48">
        <v>0.95</v>
      </c>
      <c r="BE97" s="48">
        <v>0.93</v>
      </c>
      <c r="BF97" s="48">
        <f t="shared" ref="BF97:BW97" si="1141">+BE97-0.02</f>
        <v>0.91</v>
      </c>
      <c r="BG97" s="48">
        <f t="shared" si="1141"/>
        <v>0.89</v>
      </c>
      <c r="BH97" s="48">
        <f t="shared" si="1141"/>
        <v>0.87</v>
      </c>
      <c r="BI97" s="48">
        <f t="shared" si="1141"/>
        <v>0.85</v>
      </c>
      <c r="BJ97" s="48">
        <f t="shared" si="1141"/>
        <v>0.83</v>
      </c>
      <c r="BK97" s="48">
        <f t="shared" si="1141"/>
        <v>0.80999999999999994</v>
      </c>
      <c r="BL97" s="48">
        <f t="shared" si="1141"/>
        <v>0.78999999999999992</v>
      </c>
      <c r="BM97" s="48">
        <f t="shared" si="1141"/>
        <v>0.76999999999999991</v>
      </c>
      <c r="BN97" s="48">
        <f t="shared" si="1141"/>
        <v>0.74999999999999989</v>
      </c>
      <c r="BO97" s="48">
        <f t="shared" si="1141"/>
        <v>0.72999999999999987</v>
      </c>
      <c r="BP97" s="48">
        <f t="shared" si="1141"/>
        <v>0.70999999999999985</v>
      </c>
      <c r="BQ97" s="48">
        <f t="shared" si="1141"/>
        <v>0.68999999999999984</v>
      </c>
      <c r="BR97" s="48">
        <f t="shared" si="1141"/>
        <v>0.66999999999999982</v>
      </c>
      <c r="BS97" s="48">
        <f t="shared" si="1141"/>
        <v>0.6499999999999998</v>
      </c>
      <c r="BT97" s="48">
        <f t="shared" si="1141"/>
        <v>0.62999999999999978</v>
      </c>
      <c r="BU97" s="48">
        <f t="shared" si="1141"/>
        <v>0.60999999999999976</v>
      </c>
      <c r="BV97" s="48">
        <f t="shared" si="1141"/>
        <v>0.58999999999999975</v>
      </c>
      <c r="BW97" s="48">
        <f t="shared" si="1141"/>
        <v>0.56999999999999973</v>
      </c>
      <c r="BY97" s="48">
        <f t="shared" si="952"/>
        <v>0</v>
      </c>
      <c r="BZ97" s="48">
        <f t="shared" si="953"/>
        <v>0</v>
      </c>
      <c r="CA97" s="51">
        <f t="shared" ref="CA97" si="1142">+BZ97*3.3058</f>
        <v>0</v>
      </c>
      <c r="CB97" s="48">
        <f t="shared" si="1033"/>
        <v>0</v>
      </c>
      <c r="CC97" s="51">
        <f t="shared" si="1034"/>
        <v>0</v>
      </c>
      <c r="CD97" s="48">
        <f t="shared" si="1035"/>
        <v>0</v>
      </c>
      <c r="CE97" s="51">
        <f t="shared" si="1036"/>
        <v>0</v>
      </c>
      <c r="CF97" s="48">
        <f t="shared" si="1037"/>
        <v>0</v>
      </c>
      <c r="CG97" s="51">
        <f t="shared" si="1038"/>
        <v>0</v>
      </c>
      <c r="CH97" s="52">
        <f t="shared" si="1039"/>
        <v>0</v>
      </c>
      <c r="CI97" s="51">
        <f t="shared" si="1040"/>
        <v>0</v>
      </c>
      <c r="CJ97" s="48">
        <f t="shared" si="1041"/>
        <v>0</v>
      </c>
      <c r="CK97" s="51">
        <f t="shared" si="1042"/>
        <v>0</v>
      </c>
      <c r="CL97" s="52">
        <f t="shared" si="1043"/>
        <v>0</v>
      </c>
      <c r="CM97" s="51">
        <f t="shared" si="1044"/>
        <v>0</v>
      </c>
      <c r="CN97" s="53">
        <f t="shared" si="1045"/>
        <v>0</v>
      </c>
      <c r="CO97" s="51">
        <f t="shared" si="1046"/>
        <v>0</v>
      </c>
      <c r="CP97" s="52">
        <f t="shared" si="1047"/>
        <v>0</v>
      </c>
      <c r="CQ97" s="51">
        <f t="shared" si="1048"/>
        <v>0</v>
      </c>
      <c r="CR97" s="48">
        <f t="shared" si="1049"/>
        <v>0</v>
      </c>
      <c r="CS97" s="51">
        <f t="shared" si="1050"/>
        <v>0</v>
      </c>
      <c r="CT97" s="53">
        <f t="shared" si="1051"/>
        <v>0</v>
      </c>
      <c r="CU97" s="51">
        <f t="shared" si="1052"/>
        <v>0</v>
      </c>
      <c r="CV97" s="53">
        <f t="shared" si="1053"/>
        <v>0</v>
      </c>
      <c r="CW97" s="51">
        <f t="shared" si="1054"/>
        <v>0</v>
      </c>
      <c r="CX97" s="53">
        <f t="shared" si="1055"/>
        <v>0</v>
      </c>
      <c r="CY97" s="51">
        <f t="shared" si="1056"/>
        <v>0</v>
      </c>
      <c r="CZ97" s="48">
        <f t="shared" si="1057"/>
        <v>0</v>
      </c>
      <c r="DA97" s="51">
        <f t="shared" si="1058"/>
        <v>0</v>
      </c>
      <c r="DB97" s="53">
        <f t="shared" si="1059"/>
        <v>0</v>
      </c>
      <c r="DC97" s="51">
        <f t="shared" si="1060"/>
        <v>0</v>
      </c>
      <c r="DD97" s="53">
        <f t="shared" si="1061"/>
        <v>0</v>
      </c>
      <c r="DE97" s="51">
        <f t="shared" si="1062"/>
        <v>0</v>
      </c>
      <c r="DF97" s="53">
        <f t="shared" si="1063"/>
        <v>0</v>
      </c>
      <c r="DG97" s="51">
        <f t="shared" si="1064"/>
        <v>0</v>
      </c>
      <c r="DH97" s="53">
        <f t="shared" si="1065"/>
        <v>0</v>
      </c>
      <c r="DI97" s="51">
        <f t="shared" si="1066"/>
        <v>0</v>
      </c>
      <c r="DJ97" s="48">
        <f t="shared" si="1067"/>
        <v>0</v>
      </c>
      <c r="DK97" s="51">
        <f t="shared" si="1068"/>
        <v>0</v>
      </c>
      <c r="DL97" s="53">
        <f t="shared" si="1069"/>
        <v>0</v>
      </c>
      <c r="DM97" s="51">
        <f t="shared" si="1070"/>
        <v>0</v>
      </c>
      <c r="DN97" s="53">
        <f t="shared" si="1071"/>
        <v>0</v>
      </c>
      <c r="DO97" s="51">
        <f t="shared" si="1072"/>
        <v>0</v>
      </c>
      <c r="DP97" s="48">
        <f t="shared" si="1073"/>
        <v>0</v>
      </c>
      <c r="DQ97" s="51">
        <f t="shared" si="1074"/>
        <v>0</v>
      </c>
      <c r="DT97" s="48">
        <v>1</v>
      </c>
      <c r="DU97" s="48">
        <v>0.97</v>
      </c>
      <c r="DV97" s="48">
        <v>0.95</v>
      </c>
      <c r="DW97" s="48">
        <v>0.93</v>
      </c>
      <c r="DX97" s="48">
        <f t="shared" ref="DX97:EO97" si="1143">+DW97-0.02</f>
        <v>0.91</v>
      </c>
      <c r="DY97" s="48">
        <f t="shared" si="1143"/>
        <v>0.89</v>
      </c>
      <c r="DZ97" s="48">
        <f t="shared" si="1143"/>
        <v>0.87</v>
      </c>
      <c r="EA97" s="48">
        <f t="shared" si="1143"/>
        <v>0.85</v>
      </c>
      <c r="EB97" s="48">
        <f t="shared" si="1143"/>
        <v>0.83</v>
      </c>
      <c r="EC97" s="48">
        <f t="shared" si="1143"/>
        <v>0.80999999999999994</v>
      </c>
      <c r="ED97" s="48">
        <f t="shared" si="1143"/>
        <v>0.78999999999999992</v>
      </c>
      <c r="EE97" s="48">
        <f t="shared" si="1143"/>
        <v>0.76999999999999991</v>
      </c>
      <c r="EF97" s="48">
        <f t="shared" si="1143"/>
        <v>0.74999999999999989</v>
      </c>
      <c r="EG97" s="48">
        <f t="shared" si="1143"/>
        <v>0.72999999999999987</v>
      </c>
      <c r="EH97" s="48">
        <f t="shared" si="1143"/>
        <v>0.70999999999999985</v>
      </c>
      <c r="EI97" s="48">
        <f t="shared" si="1143"/>
        <v>0.68999999999999984</v>
      </c>
      <c r="EJ97" s="48">
        <f t="shared" si="1143"/>
        <v>0.66999999999999982</v>
      </c>
      <c r="EK97" s="48">
        <f t="shared" si="1143"/>
        <v>0.6499999999999998</v>
      </c>
      <c r="EL97" s="48">
        <f t="shared" si="1143"/>
        <v>0.62999999999999978</v>
      </c>
      <c r="EM97" s="48">
        <f t="shared" si="1143"/>
        <v>0.60999999999999976</v>
      </c>
      <c r="EN97" s="48">
        <f t="shared" si="1143"/>
        <v>0.58999999999999975</v>
      </c>
      <c r="EO97" s="48">
        <f t="shared" si="1143"/>
        <v>0.56999999999999973</v>
      </c>
      <c r="EQ97" s="48">
        <f t="shared" si="1128"/>
        <v>0</v>
      </c>
      <c r="ER97" s="48">
        <f t="shared" si="956"/>
        <v>0</v>
      </c>
      <c r="ES97" s="51">
        <f t="shared" ref="ES97" si="1144">+ER97*3.3058</f>
        <v>0</v>
      </c>
      <c r="ET97" s="48">
        <f t="shared" si="1077"/>
        <v>0</v>
      </c>
      <c r="EU97" s="51">
        <f t="shared" si="1078"/>
        <v>0</v>
      </c>
      <c r="EV97" s="48">
        <f t="shared" si="1079"/>
        <v>0</v>
      </c>
      <c r="EW97" s="51">
        <f t="shared" si="1080"/>
        <v>0</v>
      </c>
      <c r="EX97" s="48">
        <f t="shared" si="1081"/>
        <v>0</v>
      </c>
      <c r="EY97" s="51">
        <f t="shared" si="1082"/>
        <v>0</v>
      </c>
      <c r="EZ97" s="52">
        <f t="shared" si="1083"/>
        <v>0</v>
      </c>
      <c r="FA97" s="51">
        <f t="shared" si="1084"/>
        <v>0</v>
      </c>
      <c r="FB97" s="48">
        <f t="shared" si="1085"/>
        <v>0</v>
      </c>
      <c r="FC97" s="51">
        <f t="shared" si="1086"/>
        <v>0</v>
      </c>
      <c r="FD97" s="52">
        <f t="shared" si="1087"/>
        <v>0</v>
      </c>
      <c r="FE97" s="51">
        <f t="shared" si="1088"/>
        <v>0</v>
      </c>
      <c r="FF97" s="53">
        <f t="shared" si="1089"/>
        <v>0</v>
      </c>
      <c r="FG97" s="51">
        <f t="shared" si="1090"/>
        <v>0</v>
      </c>
      <c r="FH97" s="52">
        <f t="shared" si="1091"/>
        <v>0</v>
      </c>
      <c r="FI97" s="51">
        <f t="shared" si="1092"/>
        <v>0</v>
      </c>
      <c r="FJ97" s="48">
        <f t="shared" si="1093"/>
        <v>0</v>
      </c>
      <c r="FK97" s="51">
        <f t="shared" si="1094"/>
        <v>0</v>
      </c>
      <c r="FL97" s="53">
        <f t="shared" si="1095"/>
        <v>0</v>
      </c>
      <c r="FM97" s="51">
        <f t="shared" si="1096"/>
        <v>0</v>
      </c>
      <c r="FN97" s="53">
        <f t="shared" si="1097"/>
        <v>0</v>
      </c>
      <c r="FO97" s="51">
        <f t="shared" si="1098"/>
        <v>0</v>
      </c>
      <c r="FP97" s="53">
        <f t="shared" si="1099"/>
        <v>0</v>
      </c>
      <c r="FQ97" s="51">
        <f t="shared" si="1100"/>
        <v>0</v>
      </c>
      <c r="FR97" s="48">
        <f t="shared" si="1101"/>
        <v>0</v>
      </c>
      <c r="FS97" s="51">
        <f t="shared" si="1102"/>
        <v>0</v>
      </c>
      <c r="FT97" s="53">
        <f t="shared" si="1103"/>
        <v>0</v>
      </c>
      <c r="FU97" s="51">
        <f t="shared" si="1104"/>
        <v>0</v>
      </c>
      <c r="FV97" s="53">
        <f t="shared" si="1105"/>
        <v>0</v>
      </c>
      <c r="FW97" s="51">
        <f t="shared" si="1106"/>
        <v>0</v>
      </c>
      <c r="FX97" s="53">
        <f t="shared" si="1107"/>
        <v>0</v>
      </c>
      <c r="FY97" s="51">
        <f t="shared" si="1108"/>
        <v>0</v>
      </c>
      <c r="FZ97" s="53">
        <f t="shared" si="1109"/>
        <v>0</v>
      </c>
      <c r="GA97" s="51">
        <f t="shared" si="1110"/>
        <v>0</v>
      </c>
      <c r="GB97" s="48">
        <f t="shared" si="1111"/>
        <v>0</v>
      </c>
      <c r="GC97" s="51">
        <f t="shared" si="1112"/>
        <v>0</v>
      </c>
      <c r="GD97" s="53">
        <f t="shared" si="1113"/>
        <v>0</v>
      </c>
      <c r="GE97" s="51">
        <f t="shared" si="1114"/>
        <v>0</v>
      </c>
      <c r="GF97" s="53">
        <f t="shared" si="1115"/>
        <v>0</v>
      </c>
      <c r="GG97" s="51">
        <f t="shared" si="1116"/>
        <v>0</v>
      </c>
      <c r="GH97" s="48">
        <f t="shared" si="1117"/>
        <v>0</v>
      </c>
      <c r="GI97" s="51">
        <f t="shared" si="1118"/>
        <v>0</v>
      </c>
      <c r="GJ97" s="48"/>
      <c r="GK97" s="48"/>
      <c r="GL97" s="48">
        <v>1</v>
      </c>
      <c r="GM97" s="48">
        <v>0.97</v>
      </c>
      <c r="GN97" s="48">
        <v>0.95</v>
      </c>
      <c r="GO97" s="48">
        <v>0.93</v>
      </c>
      <c r="GP97" s="48">
        <f t="shared" ref="GP97:HG97" si="1145">+GO97-0.02</f>
        <v>0.91</v>
      </c>
      <c r="GQ97" s="48">
        <f t="shared" si="1145"/>
        <v>0.89</v>
      </c>
      <c r="GR97" s="48">
        <f t="shared" si="1145"/>
        <v>0.87</v>
      </c>
      <c r="GS97" s="48">
        <f t="shared" si="1145"/>
        <v>0.85</v>
      </c>
      <c r="GT97" s="48">
        <f t="shared" si="1145"/>
        <v>0.83</v>
      </c>
      <c r="GU97" s="48">
        <f t="shared" si="1145"/>
        <v>0.80999999999999994</v>
      </c>
      <c r="GV97" s="48">
        <f t="shared" si="1145"/>
        <v>0.78999999999999992</v>
      </c>
      <c r="GW97" s="48">
        <f t="shared" si="1145"/>
        <v>0.76999999999999991</v>
      </c>
      <c r="GX97" s="48">
        <f t="shared" si="1145"/>
        <v>0.74999999999999989</v>
      </c>
      <c r="GY97" s="48">
        <f t="shared" si="1145"/>
        <v>0.72999999999999987</v>
      </c>
      <c r="GZ97" s="48">
        <f t="shared" si="1145"/>
        <v>0.70999999999999985</v>
      </c>
      <c r="HA97" s="48">
        <f t="shared" si="1145"/>
        <v>0.68999999999999984</v>
      </c>
      <c r="HB97" s="48">
        <f t="shared" si="1145"/>
        <v>0.66999999999999982</v>
      </c>
      <c r="HC97" s="48">
        <f t="shared" si="1145"/>
        <v>0.6499999999999998</v>
      </c>
      <c r="HD97" s="48">
        <f t="shared" si="1145"/>
        <v>0.62999999999999978</v>
      </c>
      <c r="HE97" s="48">
        <f t="shared" si="1145"/>
        <v>0.60999999999999976</v>
      </c>
      <c r="HF97" s="48">
        <f t="shared" si="1145"/>
        <v>0.58999999999999975</v>
      </c>
      <c r="HG97" s="48">
        <f t="shared" si="1145"/>
        <v>0.56999999999999973</v>
      </c>
    </row>
    <row r="98" spans="1:215" x14ac:dyDescent="0.3">
      <c r="A98" s="2">
        <v>7</v>
      </c>
      <c r="C98" s="29" t="s">
        <v>166</v>
      </c>
      <c r="D98" s="44">
        <v>0</v>
      </c>
      <c r="E98" s="73">
        <f t="shared" si="988"/>
        <v>0</v>
      </c>
      <c r="G98" s="48">
        <f t="shared" si="948"/>
        <v>0</v>
      </c>
      <c r="H98" s="48">
        <f t="shared" si="949"/>
        <v>0</v>
      </c>
      <c r="I98" s="51">
        <f t="shared" si="950"/>
        <v>0</v>
      </c>
      <c r="J98" s="48">
        <f t="shared" si="989"/>
        <v>0</v>
      </c>
      <c r="K98" s="51">
        <f t="shared" si="990"/>
        <v>0</v>
      </c>
      <c r="L98" s="48">
        <f t="shared" si="991"/>
        <v>0</v>
      </c>
      <c r="M98" s="51">
        <f t="shared" si="992"/>
        <v>0</v>
      </c>
      <c r="N98" s="48">
        <f t="shared" si="993"/>
        <v>0</v>
      </c>
      <c r="O98" s="51">
        <f t="shared" si="994"/>
        <v>0</v>
      </c>
      <c r="P98" s="52">
        <f t="shared" si="995"/>
        <v>0</v>
      </c>
      <c r="Q98" s="51">
        <f t="shared" si="996"/>
        <v>0</v>
      </c>
      <c r="R98" s="48">
        <f t="shared" si="997"/>
        <v>0</v>
      </c>
      <c r="S98" s="51">
        <f t="shared" si="998"/>
        <v>0</v>
      </c>
      <c r="T98" s="52">
        <f t="shared" si="999"/>
        <v>0</v>
      </c>
      <c r="U98" s="51">
        <f t="shared" si="1000"/>
        <v>0</v>
      </c>
      <c r="V98" s="53">
        <f t="shared" si="1001"/>
        <v>0</v>
      </c>
      <c r="W98" s="51">
        <f t="shared" si="1002"/>
        <v>0</v>
      </c>
      <c r="X98" s="52">
        <f t="shared" si="1003"/>
        <v>0</v>
      </c>
      <c r="Y98" s="51">
        <f t="shared" si="1004"/>
        <v>0</v>
      </c>
      <c r="Z98" s="48">
        <f t="shared" si="1005"/>
        <v>0</v>
      </c>
      <c r="AA98" s="51">
        <f t="shared" si="1006"/>
        <v>0</v>
      </c>
      <c r="AB98" s="53">
        <f t="shared" si="1007"/>
        <v>0</v>
      </c>
      <c r="AC98" s="51">
        <f t="shared" si="1008"/>
        <v>0</v>
      </c>
      <c r="AD98" s="53">
        <f t="shared" si="1009"/>
        <v>0</v>
      </c>
      <c r="AE98" s="51">
        <f t="shared" si="1010"/>
        <v>0</v>
      </c>
      <c r="AF98" s="53">
        <f t="shared" si="1011"/>
        <v>0</v>
      </c>
      <c r="AG98" s="51">
        <f t="shared" si="1012"/>
        <v>0</v>
      </c>
      <c r="AH98" s="48">
        <f t="shared" si="1013"/>
        <v>0</v>
      </c>
      <c r="AI98" s="51">
        <f t="shared" si="1014"/>
        <v>0</v>
      </c>
      <c r="AJ98" s="53">
        <f t="shared" si="1015"/>
        <v>0</v>
      </c>
      <c r="AK98" s="51">
        <f t="shared" si="1016"/>
        <v>0</v>
      </c>
      <c r="AL98" s="53">
        <f t="shared" si="1017"/>
        <v>0</v>
      </c>
      <c r="AM98" s="51">
        <f t="shared" si="1018"/>
        <v>0</v>
      </c>
      <c r="AN98" s="53">
        <f t="shared" si="1019"/>
        <v>0</v>
      </c>
      <c r="AO98" s="51">
        <f t="shared" si="1020"/>
        <v>0</v>
      </c>
      <c r="AP98" s="53">
        <f t="shared" si="1021"/>
        <v>0</v>
      </c>
      <c r="AQ98" s="51">
        <f t="shared" si="1022"/>
        <v>0</v>
      </c>
      <c r="AR98" s="48">
        <f t="shared" si="1023"/>
        <v>0</v>
      </c>
      <c r="AS98" s="51">
        <f t="shared" si="1024"/>
        <v>0</v>
      </c>
      <c r="AT98" s="53">
        <f t="shared" si="1025"/>
        <v>0</v>
      </c>
      <c r="AU98" s="51">
        <f t="shared" si="1026"/>
        <v>0</v>
      </c>
      <c r="AV98" s="53">
        <f t="shared" si="1027"/>
        <v>0</v>
      </c>
      <c r="AW98" s="51">
        <f t="shared" si="1028"/>
        <v>0</v>
      </c>
      <c r="AX98" s="48">
        <f t="shared" si="1029"/>
        <v>0</v>
      </c>
      <c r="AY98" s="51">
        <f t="shared" si="1030"/>
        <v>0</v>
      </c>
      <c r="BB98" s="48">
        <v>1</v>
      </c>
      <c r="BC98" s="48">
        <v>0.97</v>
      </c>
      <c r="BD98" s="48">
        <v>0.95</v>
      </c>
      <c r="BE98" s="48">
        <v>0.93</v>
      </c>
      <c r="BF98" s="48">
        <f t="shared" ref="BF98:BW98" si="1146">+BE98-0.02</f>
        <v>0.91</v>
      </c>
      <c r="BG98" s="48">
        <f t="shared" si="1146"/>
        <v>0.89</v>
      </c>
      <c r="BH98" s="48">
        <f t="shared" si="1146"/>
        <v>0.87</v>
      </c>
      <c r="BI98" s="48">
        <f t="shared" si="1146"/>
        <v>0.85</v>
      </c>
      <c r="BJ98" s="48">
        <f t="shared" si="1146"/>
        <v>0.83</v>
      </c>
      <c r="BK98" s="48">
        <f t="shared" si="1146"/>
        <v>0.80999999999999994</v>
      </c>
      <c r="BL98" s="48">
        <f t="shared" si="1146"/>
        <v>0.78999999999999992</v>
      </c>
      <c r="BM98" s="48">
        <f t="shared" si="1146"/>
        <v>0.76999999999999991</v>
      </c>
      <c r="BN98" s="48">
        <f t="shared" si="1146"/>
        <v>0.74999999999999989</v>
      </c>
      <c r="BO98" s="48">
        <f t="shared" si="1146"/>
        <v>0.72999999999999987</v>
      </c>
      <c r="BP98" s="48">
        <f t="shared" si="1146"/>
        <v>0.70999999999999985</v>
      </c>
      <c r="BQ98" s="48">
        <f t="shared" si="1146"/>
        <v>0.68999999999999984</v>
      </c>
      <c r="BR98" s="48">
        <f t="shared" si="1146"/>
        <v>0.66999999999999982</v>
      </c>
      <c r="BS98" s="48">
        <f t="shared" si="1146"/>
        <v>0.6499999999999998</v>
      </c>
      <c r="BT98" s="48">
        <f t="shared" si="1146"/>
        <v>0.62999999999999978</v>
      </c>
      <c r="BU98" s="48">
        <f t="shared" si="1146"/>
        <v>0.60999999999999976</v>
      </c>
      <c r="BV98" s="48">
        <f t="shared" si="1146"/>
        <v>0.58999999999999975</v>
      </c>
      <c r="BW98" s="48">
        <f t="shared" si="1146"/>
        <v>0.56999999999999973</v>
      </c>
      <c r="BY98" s="48">
        <f t="shared" si="952"/>
        <v>0</v>
      </c>
      <c r="BZ98" s="48">
        <f t="shared" si="953"/>
        <v>0</v>
      </c>
      <c r="CA98" s="51">
        <f t="shared" ref="CA98" si="1147">+BZ98*3.3058</f>
        <v>0</v>
      </c>
      <c r="CB98" s="48">
        <f t="shared" si="1033"/>
        <v>0</v>
      </c>
      <c r="CC98" s="51">
        <f t="shared" si="1034"/>
        <v>0</v>
      </c>
      <c r="CD98" s="48">
        <f t="shared" si="1035"/>
        <v>0</v>
      </c>
      <c r="CE98" s="51">
        <f t="shared" si="1036"/>
        <v>0</v>
      </c>
      <c r="CF98" s="48">
        <f t="shared" si="1037"/>
        <v>0</v>
      </c>
      <c r="CG98" s="51">
        <f t="shared" si="1038"/>
        <v>0</v>
      </c>
      <c r="CH98" s="52">
        <f t="shared" si="1039"/>
        <v>0</v>
      </c>
      <c r="CI98" s="51">
        <f t="shared" si="1040"/>
        <v>0</v>
      </c>
      <c r="CJ98" s="48">
        <f t="shared" si="1041"/>
        <v>0</v>
      </c>
      <c r="CK98" s="51">
        <f t="shared" si="1042"/>
        <v>0</v>
      </c>
      <c r="CL98" s="52">
        <f t="shared" si="1043"/>
        <v>0</v>
      </c>
      <c r="CM98" s="51">
        <f t="shared" si="1044"/>
        <v>0</v>
      </c>
      <c r="CN98" s="53">
        <f t="shared" si="1045"/>
        <v>0</v>
      </c>
      <c r="CO98" s="51">
        <f t="shared" si="1046"/>
        <v>0</v>
      </c>
      <c r="CP98" s="52">
        <f t="shared" si="1047"/>
        <v>0</v>
      </c>
      <c r="CQ98" s="51">
        <f t="shared" si="1048"/>
        <v>0</v>
      </c>
      <c r="CR98" s="48">
        <f t="shared" si="1049"/>
        <v>0</v>
      </c>
      <c r="CS98" s="51">
        <f t="shared" si="1050"/>
        <v>0</v>
      </c>
      <c r="CT98" s="53">
        <f t="shared" si="1051"/>
        <v>0</v>
      </c>
      <c r="CU98" s="51">
        <f t="shared" si="1052"/>
        <v>0</v>
      </c>
      <c r="CV98" s="53">
        <f t="shared" si="1053"/>
        <v>0</v>
      </c>
      <c r="CW98" s="51">
        <f t="shared" si="1054"/>
        <v>0</v>
      </c>
      <c r="CX98" s="53">
        <f t="shared" si="1055"/>
        <v>0</v>
      </c>
      <c r="CY98" s="51">
        <f t="shared" si="1056"/>
        <v>0</v>
      </c>
      <c r="CZ98" s="48">
        <f t="shared" si="1057"/>
        <v>0</v>
      </c>
      <c r="DA98" s="51">
        <f t="shared" si="1058"/>
        <v>0</v>
      </c>
      <c r="DB98" s="53">
        <f t="shared" si="1059"/>
        <v>0</v>
      </c>
      <c r="DC98" s="51">
        <f t="shared" si="1060"/>
        <v>0</v>
      </c>
      <c r="DD98" s="53">
        <f t="shared" si="1061"/>
        <v>0</v>
      </c>
      <c r="DE98" s="51">
        <f t="shared" si="1062"/>
        <v>0</v>
      </c>
      <c r="DF98" s="53">
        <f t="shared" si="1063"/>
        <v>0</v>
      </c>
      <c r="DG98" s="51">
        <f t="shared" si="1064"/>
        <v>0</v>
      </c>
      <c r="DH98" s="53">
        <f t="shared" si="1065"/>
        <v>0</v>
      </c>
      <c r="DI98" s="51">
        <f t="shared" si="1066"/>
        <v>0</v>
      </c>
      <c r="DJ98" s="48">
        <f t="shared" si="1067"/>
        <v>0</v>
      </c>
      <c r="DK98" s="51">
        <f t="shared" si="1068"/>
        <v>0</v>
      </c>
      <c r="DL98" s="53">
        <f t="shared" si="1069"/>
        <v>0</v>
      </c>
      <c r="DM98" s="51">
        <f t="shared" si="1070"/>
        <v>0</v>
      </c>
      <c r="DN98" s="53">
        <f t="shared" si="1071"/>
        <v>0</v>
      </c>
      <c r="DO98" s="51">
        <f t="shared" si="1072"/>
        <v>0</v>
      </c>
      <c r="DP98" s="48">
        <f t="shared" si="1073"/>
        <v>0</v>
      </c>
      <c r="DQ98" s="51">
        <f t="shared" si="1074"/>
        <v>0</v>
      </c>
      <c r="DT98" s="48">
        <v>1</v>
      </c>
      <c r="DU98" s="48">
        <v>0.97</v>
      </c>
      <c r="DV98" s="48">
        <v>0.95</v>
      </c>
      <c r="DW98" s="48">
        <v>0.93</v>
      </c>
      <c r="DX98" s="48">
        <f t="shared" ref="DX98:EO98" si="1148">+DW98-0.02</f>
        <v>0.91</v>
      </c>
      <c r="DY98" s="48">
        <f t="shared" si="1148"/>
        <v>0.89</v>
      </c>
      <c r="DZ98" s="48">
        <f t="shared" si="1148"/>
        <v>0.87</v>
      </c>
      <c r="EA98" s="48">
        <f t="shared" si="1148"/>
        <v>0.85</v>
      </c>
      <c r="EB98" s="48">
        <f t="shared" si="1148"/>
        <v>0.83</v>
      </c>
      <c r="EC98" s="48">
        <f t="shared" si="1148"/>
        <v>0.80999999999999994</v>
      </c>
      <c r="ED98" s="48">
        <f t="shared" si="1148"/>
        <v>0.78999999999999992</v>
      </c>
      <c r="EE98" s="48">
        <f t="shared" si="1148"/>
        <v>0.76999999999999991</v>
      </c>
      <c r="EF98" s="48">
        <f t="shared" si="1148"/>
        <v>0.74999999999999989</v>
      </c>
      <c r="EG98" s="48">
        <f t="shared" si="1148"/>
        <v>0.72999999999999987</v>
      </c>
      <c r="EH98" s="48">
        <f t="shared" si="1148"/>
        <v>0.70999999999999985</v>
      </c>
      <c r="EI98" s="48">
        <f t="shared" si="1148"/>
        <v>0.68999999999999984</v>
      </c>
      <c r="EJ98" s="48">
        <f t="shared" si="1148"/>
        <v>0.66999999999999982</v>
      </c>
      <c r="EK98" s="48">
        <f t="shared" si="1148"/>
        <v>0.6499999999999998</v>
      </c>
      <c r="EL98" s="48">
        <f t="shared" si="1148"/>
        <v>0.62999999999999978</v>
      </c>
      <c r="EM98" s="48">
        <f t="shared" si="1148"/>
        <v>0.60999999999999976</v>
      </c>
      <c r="EN98" s="48">
        <f t="shared" si="1148"/>
        <v>0.58999999999999975</v>
      </c>
      <c r="EO98" s="48">
        <f t="shared" si="1148"/>
        <v>0.56999999999999973</v>
      </c>
      <c r="EQ98" s="48">
        <f t="shared" si="1128"/>
        <v>0</v>
      </c>
      <c r="ER98" s="48">
        <f t="shared" si="956"/>
        <v>0</v>
      </c>
      <c r="ES98" s="51">
        <f t="shared" ref="ES98" si="1149">+ER98*3.3058</f>
        <v>0</v>
      </c>
      <c r="ET98" s="48">
        <f t="shared" si="1077"/>
        <v>0</v>
      </c>
      <c r="EU98" s="51">
        <f t="shared" si="1078"/>
        <v>0</v>
      </c>
      <c r="EV98" s="48">
        <f t="shared" si="1079"/>
        <v>0</v>
      </c>
      <c r="EW98" s="51">
        <f t="shared" si="1080"/>
        <v>0</v>
      </c>
      <c r="EX98" s="48">
        <f t="shared" si="1081"/>
        <v>0</v>
      </c>
      <c r="EY98" s="51">
        <f t="shared" si="1082"/>
        <v>0</v>
      </c>
      <c r="EZ98" s="52">
        <f t="shared" si="1083"/>
        <v>0</v>
      </c>
      <c r="FA98" s="51">
        <f t="shared" si="1084"/>
        <v>0</v>
      </c>
      <c r="FB98" s="48">
        <f t="shared" si="1085"/>
        <v>0</v>
      </c>
      <c r="FC98" s="51">
        <f t="shared" si="1086"/>
        <v>0</v>
      </c>
      <c r="FD98" s="52">
        <f t="shared" si="1087"/>
        <v>0</v>
      </c>
      <c r="FE98" s="51">
        <f t="shared" si="1088"/>
        <v>0</v>
      </c>
      <c r="FF98" s="53">
        <f t="shared" si="1089"/>
        <v>0</v>
      </c>
      <c r="FG98" s="51">
        <f t="shared" si="1090"/>
        <v>0</v>
      </c>
      <c r="FH98" s="52">
        <f t="shared" si="1091"/>
        <v>0</v>
      </c>
      <c r="FI98" s="51">
        <f t="shared" si="1092"/>
        <v>0</v>
      </c>
      <c r="FJ98" s="48">
        <f t="shared" si="1093"/>
        <v>0</v>
      </c>
      <c r="FK98" s="51">
        <f t="shared" si="1094"/>
        <v>0</v>
      </c>
      <c r="FL98" s="53">
        <f t="shared" si="1095"/>
        <v>0</v>
      </c>
      <c r="FM98" s="51">
        <f t="shared" si="1096"/>
        <v>0</v>
      </c>
      <c r="FN98" s="53">
        <f t="shared" si="1097"/>
        <v>0</v>
      </c>
      <c r="FO98" s="51">
        <f t="shared" si="1098"/>
        <v>0</v>
      </c>
      <c r="FP98" s="53">
        <f t="shared" si="1099"/>
        <v>0</v>
      </c>
      <c r="FQ98" s="51">
        <f t="shared" si="1100"/>
        <v>0</v>
      </c>
      <c r="FR98" s="48">
        <f t="shared" si="1101"/>
        <v>0</v>
      </c>
      <c r="FS98" s="51">
        <f t="shared" si="1102"/>
        <v>0</v>
      </c>
      <c r="FT98" s="53">
        <f t="shared" si="1103"/>
        <v>0</v>
      </c>
      <c r="FU98" s="51">
        <f t="shared" si="1104"/>
        <v>0</v>
      </c>
      <c r="FV98" s="53">
        <f t="shared" si="1105"/>
        <v>0</v>
      </c>
      <c r="FW98" s="51">
        <f t="shared" si="1106"/>
        <v>0</v>
      </c>
      <c r="FX98" s="53">
        <f t="shared" si="1107"/>
        <v>0</v>
      </c>
      <c r="FY98" s="51">
        <f t="shared" si="1108"/>
        <v>0</v>
      </c>
      <c r="FZ98" s="53">
        <f t="shared" si="1109"/>
        <v>0</v>
      </c>
      <c r="GA98" s="51">
        <f t="shared" si="1110"/>
        <v>0</v>
      </c>
      <c r="GB98" s="48">
        <f t="shared" si="1111"/>
        <v>0</v>
      </c>
      <c r="GC98" s="51">
        <f t="shared" si="1112"/>
        <v>0</v>
      </c>
      <c r="GD98" s="53">
        <f t="shared" si="1113"/>
        <v>0</v>
      </c>
      <c r="GE98" s="51">
        <f t="shared" si="1114"/>
        <v>0</v>
      </c>
      <c r="GF98" s="53">
        <f t="shared" si="1115"/>
        <v>0</v>
      </c>
      <c r="GG98" s="51">
        <f t="shared" si="1116"/>
        <v>0</v>
      </c>
      <c r="GH98" s="48">
        <f t="shared" si="1117"/>
        <v>0</v>
      </c>
      <c r="GI98" s="51">
        <f t="shared" si="1118"/>
        <v>0</v>
      </c>
      <c r="GJ98" s="48"/>
      <c r="GK98" s="48"/>
      <c r="GL98" s="48">
        <v>1</v>
      </c>
      <c r="GM98" s="48">
        <v>0.97</v>
      </c>
      <c r="GN98" s="48">
        <v>0.95</v>
      </c>
      <c r="GO98" s="48">
        <v>0.93</v>
      </c>
      <c r="GP98" s="48">
        <f t="shared" ref="GP98:HG98" si="1150">+GO98-0.02</f>
        <v>0.91</v>
      </c>
      <c r="GQ98" s="48">
        <f t="shared" si="1150"/>
        <v>0.89</v>
      </c>
      <c r="GR98" s="48">
        <f t="shared" si="1150"/>
        <v>0.87</v>
      </c>
      <c r="GS98" s="48">
        <f t="shared" si="1150"/>
        <v>0.85</v>
      </c>
      <c r="GT98" s="48">
        <f t="shared" si="1150"/>
        <v>0.83</v>
      </c>
      <c r="GU98" s="48">
        <f t="shared" si="1150"/>
        <v>0.80999999999999994</v>
      </c>
      <c r="GV98" s="48">
        <f t="shared" si="1150"/>
        <v>0.78999999999999992</v>
      </c>
      <c r="GW98" s="48">
        <f t="shared" si="1150"/>
        <v>0.76999999999999991</v>
      </c>
      <c r="GX98" s="48">
        <f t="shared" si="1150"/>
        <v>0.74999999999999989</v>
      </c>
      <c r="GY98" s="48">
        <f t="shared" si="1150"/>
        <v>0.72999999999999987</v>
      </c>
      <c r="GZ98" s="48">
        <f t="shared" si="1150"/>
        <v>0.70999999999999985</v>
      </c>
      <c r="HA98" s="48">
        <f t="shared" si="1150"/>
        <v>0.68999999999999984</v>
      </c>
      <c r="HB98" s="48">
        <f t="shared" si="1150"/>
        <v>0.66999999999999982</v>
      </c>
      <c r="HC98" s="48">
        <f t="shared" si="1150"/>
        <v>0.6499999999999998</v>
      </c>
      <c r="HD98" s="48">
        <f t="shared" si="1150"/>
        <v>0.62999999999999978</v>
      </c>
      <c r="HE98" s="48">
        <f t="shared" si="1150"/>
        <v>0.60999999999999976</v>
      </c>
      <c r="HF98" s="48">
        <f t="shared" si="1150"/>
        <v>0.58999999999999975</v>
      </c>
      <c r="HG98" s="48">
        <f t="shared" si="1150"/>
        <v>0.56999999999999973</v>
      </c>
    </row>
    <row r="99" spans="1:215" x14ac:dyDescent="0.3">
      <c r="A99" s="2">
        <v>8</v>
      </c>
      <c r="C99" s="29" t="s">
        <v>167</v>
      </c>
      <c r="D99" s="44">
        <f>TRUNC(2744.08424110385,-1)</f>
        <v>2740</v>
      </c>
      <c r="E99" s="73">
        <f t="shared" si="988"/>
        <v>9050</v>
      </c>
      <c r="G99" s="48">
        <f t="shared" si="948"/>
        <v>3014.0000000000005</v>
      </c>
      <c r="H99" s="48">
        <f t="shared" si="949"/>
        <v>3014.0000000000005</v>
      </c>
      <c r="I99" s="51">
        <f t="shared" si="950"/>
        <v>9963.6812000000009</v>
      </c>
      <c r="J99" s="48">
        <f t="shared" si="989"/>
        <v>2923.5800000000004</v>
      </c>
      <c r="K99" s="51">
        <f t="shared" si="990"/>
        <v>9664.7707640000008</v>
      </c>
      <c r="L99" s="48">
        <f t="shared" si="991"/>
        <v>2863.3</v>
      </c>
      <c r="M99" s="51">
        <f t="shared" si="992"/>
        <v>9465.4971400000013</v>
      </c>
      <c r="N99" s="48">
        <f t="shared" si="993"/>
        <v>2803.0200000000004</v>
      </c>
      <c r="O99" s="51">
        <f t="shared" si="994"/>
        <v>9266.2235160000018</v>
      </c>
      <c r="P99" s="52">
        <f t="shared" si="995"/>
        <v>2742.7400000000007</v>
      </c>
      <c r="Q99" s="51">
        <f t="shared" si="996"/>
        <v>9066.9498920000024</v>
      </c>
      <c r="R99" s="48">
        <f t="shared" si="997"/>
        <v>2682.4600000000005</v>
      </c>
      <c r="S99" s="51">
        <f t="shared" si="998"/>
        <v>8867.6762680000011</v>
      </c>
      <c r="T99" s="52">
        <f t="shared" si="999"/>
        <v>2622.1800000000003</v>
      </c>
      <c r="U99" s="51">
        <f t="shared" si="1000"/>
        <v>8668.4026440000016</v>
      </c>
      <c r="V99" s="53">
        <f t="shared" si="1001"/>
        <v>2561.9000000000005</v>
      </c>
      <c r="W99" s="51">
        <f t="shared" si="1002"/>
        <v>8469.1290200000021</v>
      </c>
      <c r="X99" s="52">
        <f t="shared" si="1003"/>
        <v>2501.6200000000003</v>
      </c>
      <c r="Y99" s="51">
        <f t="shared" si="1004"/>
        <v>8269.8553960000008</v>
      </c>
      <c r="Z99" s="48">
        <f t="shared" si="1005"/>
        <v>2441.34</v>
      </c>
      <c r="AA99" s="51">
        <f t="shared" si="1006"/>
        <v>8070.5817720000005</v>
      </c>
      <c r="AB99" s="53">
        <f t="shared" si="1007"/>
        <v>2381.06</v>
      </c>
      <c r="AC99" s="51">
        <f t="shared" si="1008"/>
        <v>7871.3081480000001</v>
      </c>
      <c r="AD99" s="53">
        <f t="shared" si="1009"/>
        <v>2320.7800000000002</v>
      </c>
      <c r="AE99" s="51">
        <f t="shared" si="1010"/>
        <v>7672.0345240000006</v>
      </c>
      <c r="AF99" s="53">
        <f t="shared" si="1011"/>
        <v>2260.5</v>
      </c>
      <c r="AG99" s="51">
        <f t="shared" si="1012"/>
        <v>7472.7609000000002</v>
      </c>
      <c r="AH99" s="48">
        <f t="shared" si="1013"/>
        <v>2200.2199999999998</v>
      </c>
      <c r="AI99" s="51">
        <f t="shared" si="1014"/>
        <v>7273.4872759999998</v>
      </c>
      <c r="AJ99" s="53">
        <f t="shared" si="1015"/>
        <v>2139.94</v>
      </c>
      <c r="AK99" s="51">
        <f t="shared" si="1016"/>
        <v>7074.2136520000004</v>
      </c>
      <c r="AL99" s="53">
        <f t="shared" si="1017"/>
        <v>2079.66</v>
      </c>
      <c r="AM99" s="51">
        <f t="shared" si="1018"/>
        <v>6874.940028</v>
      </c>
      <c r="AN99" s="53">
        <f t="shared" si="1019"/>
        <v>2019.3799999999997</v>
      </c>
      <c r="AO99" s="51">
        <f t="shared" si="1020"/>
        <v>6675.6664039999987</v>
      </c>
      <c r="AP99" s="53">
        <f t="shared" si="1021"/>
        <v>1959.0999999999997</v>
      </c>
      <c r="AQ99" s="51">
        <f t="shared" si="1022"/>
        <v>6476.3927799999992</v>
      </c>
      <c r="AR99" s="48">
        <f t="shared" si="1023"/>
        <v>1898.8199999999997</v>
      </c>
      <c r="AS99" s="51">
        <f t="shared" si="1024"/>
        <v>6277.1191559999988</v>
      </c>
      <c r="AT99" s="53">
        <f t="shared" si="1025"/>
        <v>1838.5399999999995</v>
      </c>
      <c r="AU99" s="51">
        <f t="shared" si="1026"/>
        <v>6077.8455319999985</v>
      </c>
      <c r="AV99" s="53">
        <f t="shared" si="1027"/>
        <v>1778.2599999999995</v>
      </c>
      <c r="AW99" s="51">
        <f t="shared" si="1028"/>
        <v>5878.571907999999</v>
      </c>
      <c r="AX99" s="48">
        <f t="shared" si="1029"/>
        <v>1717.9799999999993</v>
      </c>
      <c r="AY99" s="51">
        <f t="shared" si="1030"/>
        <v>5679.2982839999977</v>
      </c>
      <c r="BB99" s="48">
        <v>1</v>
      </c>
      <c r="BC99" s="48">
        <v>0.97</v>
      </c>
      <c r="BD99" s="48">
        <v>0.95</v>
      </c>
      <c r="BE99" s="48">
        <v>0.93</v>
      </c>
      <c r="BF99" s="48">
        <f t="shared" ref="BF99:BW99" si="1151">+BE99-0.02</f>
        <v>0.91</v>
      </c>
      <c r="BG99" s="48">
        <f t="shared" si="1151"/>
        <v>0.89</v>
      </c>
      <c r="BH99" s="48">
        <f t="shared" si="1151"/>
        <v>0.87</v>
      </c>
      <c r="BI99" s="48">
        <f t="shared" si="1151"/>
        <v>0.85</v>
      </c>
      <c r="BJ99" s="48">
        <f t="shared" si="1151"/>
        <v>0.83</v>
      </c>
      <c r="BK99" s="48">
        <f t="shared" si="1151"/>
        <v>0.80999999999999994</v>
      </c>
      <c r="BL99" s="48">
        <f t="shared" si="1151"/>
        <v>0.78999999999999992</v>
      </c>
      <c r="BM99" s="48">
        <f t="shared" si="1151"/>
        <v>0.76999999999999991</v>
      </c>
      <c r="BN99" s="48">
        <f t="shared" si="1151"/>
        <v>0.74999999999999989</v>
      </c>
      <c r="BO99" s="48">
        <f t="shared" si="1151"/>
        <v>0.72999999999999987</v>
      </c>
      <c r="BP99" s="48">
        <f t="shared" si="1151"/>
        <v>0.70999999999999985</v>
      </c>
      <c r="BQ99" s="48">
        <f t="shared" si="1151"/>
        <v>0.68999999999999984</v>
      </c>
      <c r="BR99" s="48">
        <f t="shared" si="1151"/>
        <v>0.66999999999999982</v>
      </c>
      <c r="BS99" s="48">
        <f t="shared" si="1151"/>
        <v>0.6499999999999998</v>
      </c>
      <c r="BT99" s="48">
        <f t="shared" si="1151"/>
        <v>0.62999999999999978</v>
      </c>
      <c r="BU99" s="48">
        <f t="shared" si="1151"/>
        <v>0.60999999999999976</v>
      </c>
      <c r="BV99" s="48">
        <f t="shared" si="1151"/>
        <v>0.58999999999999975</v>
      </c>
      <c r="BW99" s="48">
        <f t="shared" si="1151"/>
        <v>0.56999999999999973</v>
      </c>
      <c r="BY99" s="48">
        <f t="shared" si="952"/>
        <v>2742.7400000000007</v>
      </c>
      <c r="BZ99" s="48">
        <f t="shared" si="953"/>
        <v>2742.7400000000007</v>
      </c>
      <c r="CA99" s="51">
        <f t="shared" ref="CA99" si="1152">+BZ99*3.3058</f>
        <v>9066.9498920000024</v>
      </c>
      <c r="CB99" s="48">
        <f t="shared" si="1033"/>
        <v>2660.4578000000006</v>
      </c>
      <c r="CC99" s="51">
        <f t="shared" si="1034"/>
        <v>8794.9413952400027</v>
      </c>
      <c r="CD99" s="48">
        <f t="shared" si="1035"/>
        <v>2605.6030000000005</v>
      </c>
      <c r="CE99" s="51">
        <f t="shared" si="1036"/>
        <v>8613.6023974000018</v>
      </c>
      <c r="CF99" s="48">
        <f t="shared" si="1037"/>
        <v>2550.7482000000009</v>
      </c>
      <c r="CG99" s="51">
        <f t="shared" si="1038"/>
        <v>8432.2633995600027</v>
      </c>
      <c r="CH99" s="52">
        <f t="shared" si="1039"/>
        <v>2495.8934000000008</v>
      </c>
      <c r="CI99" s="51">
        <f t="shared" si="1040"/>
        <v>8250.9244017200035</v>
      </c>
      <c r="CJ99" s="48">
        <f t="shared" si="1041"/>
        <v>2441.0386000000008</v>
      </c>
      <c r="CK99" s="51">
        <f t="shared" si="1042"/>
        <v>8069.5854038800026</v>
      </c>
      <c r="CL99" s="52">
        <f t="shared" si="1043"/>
        <v>2386.1838000000007</v>
      </c>
      <c r="CM99" s="51">
        <f t="shared" si="1044"/>
        <v>7888.2464060400025</v>
      </c>
      <c r="CN99" s="53">
        <f t="shared" si="1045"/>
        <v>2331.3290000000006</v>
      </c>
      <c r="CO99" s="51">
        <f t="shared" si="1046"/>
        <v>7706.9074082000025</v>
      </c>
      <c r="CP99" s="52">
        <f t="shared" si="1047"/>
        <v>2276.4742000000006</v>
      </c>
      <c r="CQ99" s="51">
        <f t="shared" si="1048"/>
        <v>7525.5684103600024</v>
      </c>
      <c r="CR99" s="48">
        <f t="shared" si="1049"/>
        <v>2221.6194000000005</v>
      </c>
      <c r="CS99" s="51">
        <f t="shared" si="1050"/>
        <v>7344.2294125200015</v>
      </c>
      <c r="CT99" s="53">
        <f t="shared" si="1051"/>
        <v>2166.7646000000004</v>
      </c>
      <c r="CU99" s="51">
        <f t="shared" si="1052"/>
        <v>7162.8904146800014</v>
      </c>
      <c r="CV99" s="53">
        <f t="shared" si="1053"/>
        <v>2111.9098000000004</v>
      </c>
      <c r="CW99" s="51">
        <f t="shared" si="1054"/>
        <v>6981.5514168400014</v>
      </c>
      <c r="CX99" s="53">
        <f t="shared" si="1055"/>
        <v>2057.0550000000003</v>
      </c>
      <c r="CY99" s="51">
        <f t="shared" si="1056"/>
        <v>6800.2124190000013</v>
      </c>
      <c r="CZ99" s="48">
        <f t="shared" si="1057"/>
        <v>2002.2002000000002</v>
      </c>
      <c r="DA99" s="51">
        <f t="shared" si="1058"/>
        <v>6618.8734211600013</v>
      </c>
      <c r="DB99" s="53">
        <f t="shared" si="1059"/>
        <v>1947.3454000000002</v>
      </c>
      <c r="DC99" s="51">
        <f t="shared" si="1060"/>
        <v>6437.5344233200003</v>
      </c>
      <c r="DD99" s="53">
        <f t="shared" si="1061"/>
        <v>1892.4906000000001</v>
      </c>
      <c r="DE99" s="51">
        <f t="shared" si="1062"/>
        <v>6256.1954254800003</v>
      </c>
      <c r="DF99" s="53">
        <f t="shared" si="1063"/>
        <v>1837.6358</v>
      </c>
      <c r="DG99" s="51">
        <f t="shared" si="1064"/>
        <v>6074.8564276400002</v>
      </c>
      <c r="DH99" s="53">
        <f t="shared" si="1065"/>
        <v>1782.7809999999999</v>
      </c>
      <c r="DI99" s="51">
        <f t="shared" si="1066"/>
        <v>5893.5174298000002</v>
      </c>
      <c r="DJ99" s="48">
        <f t="shared" si="1067"/>
        <v>1727.9261999999999</v>
      </c>
      <c r="DK99" s="51">
        <f t="shared" si="1068"/>
        <v>5712.1784319600001</v>
      </c>
      <c r="DL99" s="53">
        <f t="shared" si="1069"/>
        <v>1673.0713999999998</v>
      </c>
      <c r="DM99" s="51">
        <f t="shared" si="1070"/>
        <v>5530.8394341199992</v>
      </c>
      <c r="DN99" s="53">
        <f t="shared" si="1071"/>
        <v>1618.2165999999997</v>
      </c>
      <c r="DO99" s="51">
        <f t="shared" si="1072"/>
        <v>5349.5004362799991</v>
      </c>
      <c r="DP99" s="48">
        <f t="shared" si="1073"/>
        <v>1563.3617999999997</v>
      </c>
      <c r="DQ99" s="51">
        <f t="shared" si="1074"/>
        <v>5168.1614384399991</v>
      </c>
      <c r="DT99" s="48">
        <v>1</v>
      </c>
      <c r="DU99" s="48">
        <v>0.97</v>
      </c>
      <c r="DV99" s="48">
        <v>0.95</v>
      </c>
      <c r="DW99" s="48">
        <v>0.93</v>
      </c>
      <c r="DX99" s="48">
        <f t="shared" ref="DX99:EO99" si="1153">+DW99-0.02</f>
        <v>0.91</v>
      </c>
      <c r="DY99" s="48">
        <f t="shared" si="1153"/>
        <v>0.89</v>
      </c>
      <c r="DZ99" s="48">
        <f t="shared" si="1153"/>
        <v>0.87</v>
      </c>
      <c r="EA99" s="48">
        <f t="shared" si="1153"/>
        <v>0.85</v>
      </c>
      <c r="EB99" s="48">
        <f t="shared" si="1153"/>
        <v>0.83</v>
      </c>
      <c r="EC99" s="48">
        <f t="shared" si="1153"/>
        <v>0.80999999999999994</v>
      </c>
      <c r="ED99" s="48">
        <f t="shared" si="1153"/>
        <v>0.78999999999999992</v>
      </c>
      <c r="EE99" s="48">
        <f t="shared" si="1153"/>
        <v>0.76999999999999991</v>
      </c>
      <c r="EF99" s="48">
        <f t="shared" si="1153"/>
        <v>0.74999999999999989</v>
      </c>
      <c r="EG99" s="48">
        <f t="shared" si="1153"/>
        <v>0.72999999999999987</v>
      </c>
      <c r="EH99" s="48">
        <f t="shared" si="1153"/>
        <v>0.70999999999999985</v>
      </c>
      <c r="EI99" s="48">
        <f t="shared" si="1153"/>
        <v>0.68999999999999984</v>
      </c>
      <c r="EJ99" s="48">
        <f t="shared" si="1153"/>
        <v>0.66999999999999982</v>
      </c>
      <c r="EK99" s="48">
        <f t="shared" si="1153"/>
        <v>0.6499999999999998</v>
      </c>
      <c r="EL99" s="48">
        <f t="shared" si="1153"/>
        <v>0.62999999999999978</v>
      </c>
      <c r="EM99" s="48">
        <f t="shared" si="1153"/>
        <v>0.60999999999999976</v>
      </c>
      <c r="EN99" s="48">
        <f t="shared" si="1153"/>
        <v>0.58999999999999975</v>
      </c>
      <c r="EO99" s="48">
        <f t="shared" si="1153"/>
        <v>0.56999999999999973</v>
      </c>
      <c r="EQ99" s="48">
        <f t="shared" si="1128"/>
        <v>2495.8934000000008</v>
      </c>
      <c r="ER99" s="48">
        <f t="shared" si="956"/>
        <v>2495.8934000000008</v>
      </c>
      <c r="ES99" s="51">
        <f t="shared" ref="ES99" si="1154">+ER99*3.3058</f>
        <v>8250.9244017200035</v>
      </c>
      <c r="ET99" s="48">
        <f t="shared" si="1077"/>
        <v>2421.0165980000006</v>
      </c>
      <c r="EU99" s="51">
        <f t="shared" si="1078"/>
        <v>8003.396669668402</v>
      </c>
      <c r="EV99" s="48">
        <f t="shared" si="1079"/>
        <v>2371.0987300000006</v>
      </c>
      <c r="EW99" s="51">
        <f t="shared" si="1080"/>
        <v>7838.3781816340024</v>
      </c>
      <c r="EX99" s="48">
        <f t="shared" si="1081"/>
        <v>2321.1808620000011</v>
      </c>
      <c r="EY99" s="51">
        <f t="shared" si="1082"/>
        <v>7673.3596935996038</v>
      </c>
      <c r="EZ99" s="52">
        <f t="shared" si="1083"/>
        <v>2271.2629940000006</v>
      </c>
      <c r="FA99" s="51">
        <f t="shared" si="1084"/>
        <v>7508.3412055652025</v>
      </c>
      <c r="FB99" s="48">
        <f t="shared" si="1085"/>
        <v>2221.3451260000006</v>
      </c>
      <c r="FC99" s="51">
        <f t="shared" si="1086"/>
        <v>7343.322717530802</v>
      </c>
      <c r="FD99" s="52">
        <f t="shared" si="1087"/>
        <v>2171.4272580000006</v>
      </c>
      <c r="FE99" s="51">
        <f t="shared" si="1088"/>
        <v>7178.3042294964025</v>
      </c>
      <c r="FF99" s="53">
        <f t="shared" si="1089"/>
        <v>2121.5093900000006</v>
      </c>
      <c r="FG99" s="51">
        <f t="shared" si="1090"/>
        <v>7013.2857414620021</v>
      </c>
      <c r="FH99" s="52">
        <f t="shared" si="1091"/>
        <v>2071.5915220000006</v>
      </c>
      <c r="FI99" s="51">
        <f t="shared" si="1092"/>
        <v>6848.2672534276026</v>
      </c>
      <c r="FJ99" s="48">
        <f t="shared" si="1093"/>
        <v>2021.6736540000006</v>
      </c>
      <c r="FK99" s="51">
        <f t="shared" si="1094"/>
        <v>6683.2487653932021</v>
      </c>
      <c r="FL99" s="53">
        <f t="shared" si="1095"/>
        <v>1971.7557860000004</v>
      </c>
      <c r="FM99" s="51">
        <f t="shared" si="1096"/>
        <v>6518.2302773588017</v>
      </c>
      <c r="FN99" s="53">
        <f t="shared" si="1097"/>
        <v>1921.8379180000004</v>
      </c>
      <c r="FO99" s="51">
        <f t="shared" si="1098"/>
        <v>6353.2117893244013</v>
      </c>
      <c r="FP99" s="53">
        <f t="shared" si="1099"/>
        <v>1871.9200500000004</v>
      </c>
      <c r="FQ99" s="51">
        <f t="shared" si="1100"/>
        <v>6188.1933012900017</v>
      </c>
      <c r="FR99" s="48">
        <f t="shared" si="1101"/>
        <v>1822.0021820000004</v>
      </c>
      <c r="FS99" s="51">
        <f t="shared" si="1102"/>
        <v>6023.1748132556013</v>
      </c>
      <c r="FT99" s="53">
        <f t="shared" si="1103"/>
        <v>1772.0843140000002</v>
      </c>
      <c r="FU99" s="51">
        <f t="shared" si="1104"/>
        <v>5858.1563252212009</v>
      </c>
      <c r="FV99" s="53">
        <f t="shared" si="1105"/>
        <v>1722.1664460000002</v>
      </c>
      <c r="FW99" s="51">
        <f t="shared" si="1106"/>
        <v>5693.1378371868004</v>
      </c>
      <c r="FX99" s="53">
        <f t="shared" si="1107"/>
        <v>1672.2485780000002</v>
      </c>
      <c r="FY99" s="51">
        <f t="shared" si="1108"/>
        <v>5528.1193491524009</v>
      </c>
      <c r="FZ99" s="53">
        <f t="shared" si="1109"/>
        <v>1622.33071</v>
      </c>
      <c r="GA99" s="51">
        <f t="shared" si="1110"/>
        <v>5363.1008611179996</v>
      </c>
      <c r="GB99" s="48">
        <f t="shared" si="1111"/>
        <v>1572.412842</v>
      </c>
      <c r="GC99" s="51">
        <f t="shared" si="1112"/>
        <v>5198.0823730836</v>
      </c>
      <c r="GD99" s="53">
        <f t="shared" si="1113"/>
        <v>1522.494974</v>
      </c>
      <c r="GE99" s="51">
        <f t="shared" si="1114"/>
        <v>5033.0638850491996</v>
      </c>
      <c r="GF99" s="53">
        <f t="shared" si="1115"/>
        <v>1472.577106</v>
      </c>
      <c r="GG99" s="51">
        <f t="shared" si="1116"/>
        <v>4868.0453970148001</v>
      </c>
      <c r="GH99" s="48">
        <f t="shared" si="1117"/>
        <v>1422.6592379999997</v>
      </c>
      <c r="GI99" s="51">
        <f t="shared" si="1118"/>
        <v>4703.0269089803996</v>
      </c>
      <c r="GJ99" s="48"/>
      <c r="GK99" s="48"/>
      <c r="GL99" s="48">
        <v>1</v>
      </c>
      <c r="GM99" s="48">
        <v>0.97</v>
      </c>
      <c r="GN99" s="48">
        <v>0.95</v>
      </c>
      <c r="GO99" s="48">
        <v>0.93</v>
      </c>
      <c r="GP99" s="48">
        <f t="shared" ref="GP99:HG99" si="1155">+GO99-0.02</f>
        <v>0.91</v>
      </c>
      <c r="GQ99" s="48">
        <f t="shared" si="1155"/>
        <v>0.89</v>
      </c>
      <c r="GR99" s="48">
        <f t="shared" si="1155"/>
        <v>0.87</v>
      </c>
      <c r="GS99" s="48">
        <f t="shared" si="1155"/>
        <v>0.85</v>
      </c>
      <c r="GT99" s="48">
        <f t="shared" si="1155"/>
        <v>0.83</v>
      </c>
      <c r="GU99" s="48">
        <f t="shared" si="1155"/>
        <v>0.80999999999999994</v>
      </c>
      <c r="GV99" s="48">
        <f t="shared" si="1155"/>
        <v>0.78999999999999992</v>
      </c>
      <c r="GW99" s="48">
        <f t="shared" si="1155"/>
        <v>0.76999999999999991</v>
      </c>
      <c r="GX99" s="48">
        <f t="shared" si="1155"/>
        <v>0.74999999999999989</v>
      </c>
      <c r="GY99" s="48">
        <f t="shared" si="1155"/>
        <v>0.72999999999999987</v>
      </c>
      <c r="GZ99" s="48">
        <f t="shared" si="1155"/>
        <v>0.70999999999999985</v>
      </c>
      <c r="HA99" s="48">
        <f t="shared" si="1155"/>
        <v>0.68999999999999984</v>
      </c>
      <c r="HB99" s="48">
        <f t="shared" si="1155"/>
        <v>0.66999999999999982</v>
      </c>
      <c r="HC99" s="48">
        <f t="shared" si="1155"/>
        <v>0.6499999999999998</v>
      </c>
      <c r="HD99" s="48">
        <f t="shared" si="1155"/>
        <v>0.62999999999999978</v>
      </c>
      <c r="HE99" s="48">
        <f t="shared" si="1155"/>
        <v>0.60999999999999976</v>
      </c>
      <c r="HF99" s="48">
        <f t="shared" si="1155"/>
        <v>0.58999999999999975</v>
      </c>
      <c r="HG99" s="48">
        <f t="shared" si="1155"/>
        <v>0.56999999999999973</v>
      </c>
    </row>
    <row r="100" spans="1:215" x14ac:dyDescent="0.3">
      <c r="A100" s="2">
        <v>9</v>
      </c>
      <c r="C100" s="29" t="s">
        <v>168</v>
      </c>
      <c r="D100" s="44">
        <v>0</v>
      </c>
      <c r="E100" s="73">
        <f t="shared" si="988"/>
        <v>0</v>
      </c>
      <c r="G100" s="48">
        <f t="shared" si="948"/>
        <v>0</v>
      </c>
      <c r="H100" s="48">
        <f t="shared" si="949"/>
        <v>0</v>
      </c>
      <c r="I100" s="51">
        <f t="shared" si="950"/>
        <v>0</v>
      </c>
      <c r="J100" s="48">
        <f t="shared" si="989"/>
        <v>0</v>
      </c>
      <c r="K100" s="51">
        <f t="shared" si="990"/>
        <v>0</v>
      </c>
      <c r="L100" s="48">
        <f t="shared" si="991"/>
        <v>0</v>
      </c>
      <c r="M100" s="51">
        <f t="shared" si="992"/>
        <v>0</v>
      </c>
      <c r="N100" s="48">
        <f t="shared" si="993"/>
        <v>0</v>
      </c>
      <c r="O100" s="51">
        <f t="shared" si="994"/>
        <v>0</v>
      </c>
      <c r="P100" s="52">
        <f t="shared" si="995"/>
        <v>0</v>
      </c>
      <c r="Q100" s="51">
        <f t="shared" si="996"/>
        <v>0</v>
      </c>
      <c r="R100" s="48">
        <f t="shared" si="997"/>
        <v>0</v>
      </c>
      <c r="S100" s="51">
        <f t="shared" si="998"/>
        <v>0</v>
      </c>
      <c r="T100" s="52">
        <f t="shared" si="999"/>
        <v>0</v>
      </c>
      <c r="U100" s="51">
        <f t="shared" si="1000"/>
        <v>0</v>
      </c>
      <c r="V100" s="53">
        <f t="shared" si="1001"/>
        <v>0</v>
      </c>
      <c r="W100" s="51">
        <f t="shared" si="1002"/>
        <v>0</v>
      </c>
      <c r="X100" s="52">
        <f t="shared" si="1003"/>
        <v>0</v>
      </c>
      <c r="Y100" s="51">
        <f t="shared" si="1004"/>
        <v>0</v>
      </c>
      <c r="Z100" s="48">
        <f t="shared" si="1005"/>
        <v>0</v>
      </c>
      <c r="AA100" s="51">
        <f t="shared" si="1006"/>
        <v>0</v>
      </c>
      <c r="AB100" s="53">
        <f t="shared" si="1007"/>
        <v>0</v>
      </c>
      <c r="AC100" s="51">
        <f t="shared" si="1008"/>
        <v>0</v>
      </c>
      <c r="AD100" s="53">
        <f t="shared" si="1009"/>
        <v>0</v>
      </c>
      <c r="AE100" s="51">
        <f t="shared" si="1010"/>
        <v>0</v>
      </c>
      <c r="AF100" s="53">
        <f t="shared" si="1011"/>
        <v>0</v>
      </c>
      <c r="AG100" s="51">
        <f t="shared" si="1012"/>
        <v>0</v>
      </c>
      <c r="AH100" s="48">
        <f t="shared" si="1013"/>
        <v>0</v>
      </c>
      <c r="AI100" s="51">
        <f t="shared" si="1014"/>
        <v>0</v>
      </c>
      <c r="AJ100" s="53">
        <f t="shared" si="1015"/>
        <v>0</v>
      </c>
      <c r="AK100" s="51">
        <f t="shared" si="1016"/>
        <v>0</v>
      </c>
      <c r="AL100" s="53">
        <f t="shared" si="1017"/>
        <v>0</v>
      </c>
      <c r="AM100" s="51">
        <f t="shared" si="1018"/>
        <v>0</v>
      </c>
      <c r="AN100" s="53">
        <f t="shared" si="1019"/>
        <v>0</v>
      </c>
      <c r="AO100" s="51">
        <f t="shared" si="1020"/>
        <v>0</v>
      </c>
      <c r="AP100" s="53">
        <f t="shared" si="1021"/>
        <v>0</v>
      </c>
      <c r="AQ100" s="51">
        <f t="shared" si="1022"/>
        <v>0</v>
      </c>
      <c r="AR100" s="48">
        <f t="shared" si="1023"/>
        <v>0</v>
      </c>
      <c r="AS100" s="51">
        <f t="shared" si="1024"/>
        <v>0</v>
      </c>
      <c r="AT100" s="53">
        <f t="shared" si="1025"/>
        <v>0</v>
      </c>
      <c r="AU100" s="51">
        <f t="shared" si="1026"/>
        <v>0</v>
      </c>
      <c r="AV100" s="53">
        <f t="shared" si="1027"/>
        <v>0</v>
      </c>
      <c r="AW100" s="51">
        <f t="shared" si="1028"/>
        <v>0</v>
      </c>
      <c r="AX100" s="48">
        <f t="shared" si="1029"/>
        <v>0</v>
      </c>
      <c r="AY100" s="51">
        <f t="shared" si="1030"/>
        <v>0</v>
      </c>
      <c r="BB100" s="48">
        <v>1</v>
      </c>
      <c r="BC100" s="48">
        <v>0.97</v>
      </c>
      <c r="BD100" s="48">
        <v>0.95</v>
      </c>
      <c r="BE100" s="48">
        <v>0.93</v>
      </c>
      <c r="BF100" s="48">
        <f t="shared" ref="BF100:BW100" si="1156">+BE100-0.02</f>
        <v>0.91</v>
      </c>
      <c r="BG100" s="48">
        <f t="shared" si="1156"/>
        <v>0.89</v>
      </c>
      <c r="BH100" s="48">
        <f t="shared" si="1156"/>
        <v>0.87</v>
      </c>
      <c r="BI100" s="48">
        <f t="shared" si="1156"/>
        <v>0.85</v>
      </c>
      <c r="BJ100" s="48">
        <f t="shared" si="1156"/>
        <v>0.83</v>
      </c>
      <c r="BK100" s="48">
        <f t="shared" si="1156"/>
        <v>0.80999999999999994</v>
      </c>
      <c r="BL100" s="48">
        <f t="shared" si="1156"/>
        <v>0.78999999999999992</v>
      </c>
      <c r="BM100" s="48">
        <f t="shared" si="1156"/>
        <v>0.76999999999999991</v>
      </c>
      <c r="BN100" s="48">
        <f t="shared" si="1156"/>
        <v>0.74999999999999989</v>
      </c>
      <c r="BO100" s="48">
        <f t="shared" si="1156"/>
        <v>0.72999999999999987</v>
      </c>
      <c r="BP100" s="48">
        <f t="shared" si="1156"/>
        <v>0.70999999999999985</v>
      </c>
      <c r="BQ100" s="48">
        <f t="shared" si="1156"/>
        <v>0.68999999999999984</v>
      </c>
      <c r="BR100" s="48">
        <f t="shared" si="1156"/>
        <v>0.66999999999999982</v>
      </c>
      <c r="BS100" s="48">
        <f t="shared" si="1156"/>
        <v>0.6499999999999998</v>
      </c>
      <c r="BT100" s="48">
        <f t="shared" si="1156"/>
        <v>0.62999999999999978</v>
      </c>
      <c r="BU100" s="48">
        <f t="shared" si="1156"/>
        <v>0.60999999999999976</v>
      </c>
      <c r="BV100" s="48">
        <f t="shared" si="1156"/>
        <v>0.58999999999999975</v>
      </c>
      <c r="BW100" s="48">
        <f t="shared" si="1156"/>
        <v>0.56999999999999973</v>
      </c>
      <c r="BY100" s="48">
        <f t="shared" si="952"/>
        <v>0</v>
      </c>
      <c r="BZ100" s="48">
        <f t="shared" si="953"/>
        <v>0</v>
      </c>
      <c r="CA100" s="51">
        <f t="shared" ref="CA100" si="1157">+BZ100*3.3058</f>
        <v>0</v>
      </c>
      <c r="CB100" s="48">
        <f t="shared" si="1033"/>
        <v>0</v>
      </c>
      <c r="CC100" s="51">
        <f t="shared" si="1034"/>
        <v>0</v>
      </c>
      <c r="CD100" s="48">
        <f t="shared" si="1035"/>
        <v>0</v>
      </c>
      <c r="CE100" s="51">
        <f t="shared" si="1036"/>
        <v>0</v>
      </c>
      <c r="CF100" s="48">
        <f t="shared" si="1037"/>
        <v>0</v>
      </c>
      <c r="CG100" s="51">
        <f t="shared" si="1038"/>
        <v>0</v>
      </c>
      <c r="CH100" s="52">
        <f t="shared" si="1039"/>
        <v>0</v>
      </c>
      <c r="CI100" s="51">
        <f t="shared" si="1040"/>
        <v>0</v>
      </c>
      <c r="CJ100" s="48">
        <f t="shared" si="1041"/>
        <v>0</v>
      </c>
      <c r="CK100" s="51">
        <f t="shared" si="1042"/>
        <v>0</v>
      </c>
      <c r="CL100" s="52">
        <f t="shared" si="1043"/>
        <v>0</v>
      </c>
      <c r="CM100" s="51">
        <f t="shared" si="1044"/>
        <v>0</v>
      </c>
      <c r="CN100" s="53">
        <f t="shared" si="1045"/>
        <v>0</v>
      </c>
      <c r="CO100" s="51">
        <f t="shared" si="1046"/>
        <v>0</v>
      </c>
      <c r="CP100" s="52">
        <f t="shared" si="1047"/>
        <v>0</v>
      </c>
      <c r="CQ100" s="51">
        <f t="shared" si="1048"/>
        <v>0</v>
      </c>
      <c r="CR100" s="48">
        <f t="shared" si="1049"/>
        <v>0</v>
      </c>
      <c r="CS100" s="51">
        <f t="shared" si="1050"/>
        <v>0</v>
      </c>
      <c r="CT100" s="53">
        <f t="shared" si="1051"/>
        <v>0</v>
      </c>
      <c r="CU100" s="51">
        <f t="shared" si="1052"/>
        <v>0</v>
      </c>
      <c r="CV100" s="53">
        <f t="shared" si="1053"/>
        <v>0</v>
      </c>
      <c r="CW100" s="51">
        <f t="shared" si="1054"/>
        <v>0</v>
      </c>
      <c r="CX100" s="53">
        <f t="shared" si="1055"/>
        <v>0</v>
      </c>
      <c r="CY100" s="51">
        <f t="shared" si="1056"/>
        <v>0</v>
      </c>
      <c r="CZ100" s="48">
        <f t="shared" si="1057"/>
        <v>0</v>
      </c>
      <c r="DA100" s="51">
        <f t="shared" si="1058"/>
        <v>0</v>
      </c>
      <c r="DB100" s="53">
        <f t="shared" si="1059"/>
        <v>0</v>
      </c>
      <c r="DC100" s="51">
        <f t="shared" si="1060"/>
        <v>0</v>
      </c>
      <c r="DD100" s="53">
        <f t="shared" si="1061"/>
        <v>0</v>
      </c>
      <c r="DE100" s="51">
        <f t="shared" si="1062"/>
        <v>0</v>
      </c>
      <c r="DF100" s="53">
        <f t="shared" si="1063"/>
        <v>0</v>
      </c>
      <c r="DG100" s="51">
        <f t="shared" si="1064"/>
        <v>0</v>
      </c>
      <c r="DH100" s="53">
        <f t="shared" si="1065"/>
        <v>0</v>
      </c>
      <c r="DI100" s="51">
        <f t="shared" si="1066"/>
        <v>0</v>
      </c>
      <c r="DJ100" s="48">
        <f t="shared" si="1067"/>
        <v>0</v>
      </c>
      <c r="DK100" s="51">
        <f t="shared" si="1068"/>
        <v>0</v>
      </c>
      <c r="DL100" s="53">
        <f t="shared" si="1069"/>
        <v>0</v>
      </c>
      <c r="DM100" s="51">
        <f t="shared" si="1070"/>
        <v>0</v>
      </c>
      <c r="DN100" s="53">
        <f t="shared" si="1071"/>
        <v>0</v>
      </c>
      <c r="DO100" s="51">
        <f t="shared" si="1072"/>
        <v>0</v>
      </c>
      <c r="DP100" s="48">
        <f t="shared" si="1073"/>
        <v>0</v>
      </c>
      <c r="DQ100" s="51">
        <f t="shared" si="1074"/>
        <v>0</v>
      </c>
      <c r="DT100" s="48">
        <v>1</v>
      </c>
      <c r="DU100" s="48">
        <v>0.97</v>
      </c>
      <c r="DV100" s="48">
        <v>0.95</v>
      </c>
      <c r="DW100" s="48">
        <v>0.93</v>
      </c>
      <c r="DX100" s="48">
        <f t="shared" ref="DX100:EO100" si="1158">+DW100-0.02</f>
        <v>0.91</v>
      </c>
      <c r="DY100" s="48">
        <f t="shared" si="1158"/>
        <v>0.89</v>
      </c>
      <c r="DZ100" s="48">
        <f t="shared" si="1158"/>
        <v>0.87</v>
      </c>
      <c r="EA100" s="48">
        <f t="shared" si="1158"/>
        <v>0.85</v>
      </c>
      <c r="EB100" s="48">
        <f t="shared" si="1158"/>
        <v>0.83</v>
      </c>
      <c r="EC100" s="48">
        <f t="shared" si="1158"/>
        <v>0.80999999999999994</v>
      </c>
      <c r="ED100" s="48">
        <f t="shared" si="1158"/>
        <v>0.78999999999999992</v>
      </c>
      <c r="EE100" s="48">
        <f t="shared" si="1158"/>
        <v>0.76999999999999991</v>
      </c>
      <c r="EF100" s="48">
        <f t="shared" si="1158"/>
        <v>0.74999999999999989</v>
      </c>
      <c r="EG100" s="48">
        <f t="shared" si="1158"/>
        <v>0.72999999999999987</v>
      </c>
      <c r="EH100" s="48">
        <f t="shared" si="1158"/>
        <v>0.70999999999999985</v>
      </c>
      <c r="EI100" s="48">
        <f t="shared" si="1158"/>
        <v>0.68999999999999984</v>
      </c>
      <c r="EJ100" s="48">
        <f t="shared" si="1158"/>
        <v>0.66999999999999982</v>
      </c>
      <c r="EK100" s="48">
        <f t="shared" si="1158"/>
        <v>0.6499999999999998</v>
      </c>
      <c r="EL100" s="48">
        <f t="shared" si="1158"/>
        <v>0.62999999999999978</v>
      </c>
      <c r="EM100" s="48">
        <f t="shared" si="1158"/>
        <v>0.60999999999999976</v>
      </c>
      <c r="EN100" s="48">
        <f t="shared" si="1158"/>
        <v>0.58999999999999975</v>
      </c>
      <c r="EO100" s="48">
        <f t="shared" si="1158"/>
        <v>0.56999999999999973</v>
      </c>
      <c r="EQ100" s="48">
        <f t="shared" si="1128"/>
        <v>0</v>
      </c>
      <c r="ER100" s="48">
        <f t="shared" si="956"/>
        <v>0</v>
      </c>
      <c r="ES100" s="51">
        <f t="shared" ref="ES100" si="1159">+ER100*3.3058</f>
        <v>0</v>
      </c>
      <c r="ET100" s="48">
        <f t="shared" si="1077"/>
        <v>0</v>
      </c>
      <c r="EU100" s="51">
        <f t="shared" si="1078"/>
        <v>0</v>
      </c>
      <c r="EV100" s="48">
        <f t="shared" si="1079"/>
        <v>0</v>
      </c>
      <c r="EW100" s="51">
        <f t="shared" si="1080"/>
        <v>0</v>
      </c>
      <c r="EX100" s="48">
        <f t="shared" si="1081"/>
        <v>0</v>
      </c>
      <c r="EY100" s="51">
        <f t="shared" si="1082"/>
        <v>0</v>
      </c>
      <c r="EZ100" s="52">
        <f t="shared" si="1083"/>
        <v>0</v>
      </c>
      <c r="FA100" s="51">
        <f t="shared" si="1084"/>
        <v>0</v>
      </c>
      <c r="FB100" s="48">
        <f t="shared" si="1085"/>
        <v>0</v>
      </c>
      <c r="FC100" s="51">
        <f t="shared" si="1086"/>
        <v>0</v>
      </c>
      <c r="FD100" s="52">
        <f t="shared" si="1087"/>
        <v>0</v>
      </c>
      <c r="FE100" s="51">
        <f t="shared" si="1088"/>
        <v>0</v>
      </c>
      <c r="FF100" s="53">
        <f t="shared" si="1089"/>
        <v>0</v>
      </c>
      <c r="FG100" s="51">
        <f t="shared" si="1090"/>
        <v>0</v>
      </c>
      <c r="FH100" s="52">
        <f t="shared" si="1091"/>
        <v>0</v>
      </c>
      <c r="FI100" s="51">
        <f t="shared" si="1092"/>
        <v>0</v>
      </c>
      <c r="FJ100" s="48">
        <f t="shared" si="1093"/>
        <v>0</v>
      </c>
      <c r="FK100" s="51">
        <f t="shared" si="1094"/>
        <v>0</v>
      </c>
      <c r="FL100" s="53">
        <f t="shared" si="1095"/>
        <v>0</v>
      </c>
      <c r="FM100" s="51">
        <f t="shared" si="1096"/>
        <v>0</v>
      </c>
      <c r="FN100" s="53">
        <f t="shared" si="1097"/>
        <v>0</v>
      </c>
      <c r="FO100" s="51">
        <f t="shared" si="1098"/>
        <v>0</v>
      </c>
      <c r="FP100" s="53">
        <f t="shared" si="1099"/>
        <v>0</v>
      </c>
      <c r="FQ100" s="51">
        <f t="shared" si="1100"/>
        <v>0</v>
      </c>
      <c r="FR100" s="48">
        <f t="shared" si="1101"/>
        <v>0</v>
      </c>
      <c r="FS100" s="51">
        <f t="shared" si="1102"/>
        <v>0</v>
      </c>
      <c r="FT100" s="53">
        <f t="shared" si="1103"/>
        <v>0</v>
      </c>
      <c r="FU100" s="51">
        <f t="shared" si="1104"/>
        <v>0</v>
      </c>
      <c r="FV100" s="53">
        <f t="shared" si="1105"/>
        <v>0</v>
      </c>
      <c r="FW100" s="51">
        <f t="shared" si="1106"/>
        <v>0</v>
      </c>
      <c r="FX100" s="53">
        <f t="shared" si="1107"/>
        <v>0</v>
      </c>
      <c r="FY100" s="51">
        <f t="shared" si="1108"/>
        <v>0</v>
      </c>
      <c r="FZ100" s="53">
        <f t="shared" si="1109"/>
        <v>0</v>
      </c>
      <c r="GA100" s="51">
        <f t="shared" si="1110"/>
        <v>0</v>
      </c>
      <c r="GB100" s="48">
        <f t="shared" si="1111"/>
        <v>0</v>
      </c>
      <c r="GC100" s="51">
        <f t="shared" si="1112"/>
        <v>0</v>
      </c>
      <c r="GD100" s="53">
        <f t="shared" si="1113"/>
        <v>0</v>
      </c>
      <c r="GE100" s="51">
        <f t="shared" si="1114"/>
        <v>0</v>
      </c>
      <c r="GF100" s="53">
        <f t="shared" si="1115"/>
        <v>0</v>
      </c>
      <c r="GG100" s="51">
        <f t="shared" si="1116"/>
        <v>0</v>
      </c>
      <c r="GH100" s="48">
        <f t="shared" si="1117"/>
        <v>0</v>
      </c>
      <c r="GI100" s="51">
        <f t="shared" si="1118"/>
        <v>0</v>
      </c>
      <c r="GJ100" s="48"/>
      <c r="GK100" s="48"/>
      <c r="GL100" s="48">
        <v>1</v>
      </c>
      <c r="GM100" s="48">
        <v>0.97</v>
      </c>
      <c r="GN100" s="48">
        <v>0.95</v>
      </c>
      <c r="GO100" s="48">
        <v>0.93</v>
      </c>
      <c r="GP100" s="48">
        <f t="shared" ref="GP100:HG100" si="1160">+GO100-0.02</f>
        <v>0.91</v>
      </c>
      <c r="GQ100" s="48">
        <f t="shared" si="1160"/>
        <v>0.89</v>
      </c>
      <c r="GR100" s="48">
        <f t="shared" si="1160"/>
        <v>0.87</v>
      </c>
      <c r="GS100" s="48">
        <f t="shared" si="1160"/>
        <v>0.85</v>
      </c>
      <c r="GT100" s="48">
        <f t="shared" si="1160"/>
        <v>0.83</v>
      </c>
      <c r="GU100" s="48">
        <f t="shared" si="1160"/>
        <v>0.80999999999999994</v>
      </c>
      <c r="GV100" s="48">
        <f t="shared" si="1160"/>
        <v>0.78999999999999992</v>
      </c>
      <c r="GW100" s="48">
        <f t="shared" si="1160"/>
        <v>0.76999999999999991</v>
      </c>
      <c r="GX100" s="48">
        <f t="shared" si="1160"/>
        <v>0.74999999999999989</v>
      </c>
      <c r="GY100" s="48">
        <f t="shared" si="1160"/>
        <v>0.72999999999999987</v>
      </c>
      <c r="GZ100" s="48">
        <f t="shared" si="1160"/>
        <v>0.70999999999999985</v>
      </c>
      <c r="HA100" s="48">
        <f t="shared" si="1160"/>
        <v>0.68999999999999984</v>
      </c>
      <c r="HB100" s="48">
        <f t="shared" si="1160"/>
        <v>0.66999999999999982</v>
      </c>
      <c r="HC100" s="48">
        <f t="shared" si="1160"/>
        <v>0.6499999999999998</v>
      </c>
      <c r="HD100" s="48">
        <f t="shared" si="1160"/>
        <v>0.62999999999999978</v>
      </c>
      <c r="HE100" s="48">
        <f t="shared" si="1160"/>
        <v>0.60999999999999976</v>
      </c>
      <c r="HF100" s="48">
        <f t="shared" si="1160"/>
        <v>0.58999999999999975</v>
      </c>
      <c r="HG100" s="48">
        <f t="shared" si="1160"/>
        <v>0.56999999999999973</v>
      </c>
    </row>
    <row r="101" spans="1:215" x14ac:dyDescent="0.3">
      <c r="A101" s="2">
        <v>10</v>
      </c>
      <c r="C101" s="29" t="s">
        <v>169</v>
      </c>
      <c r="D101" s="44">
        <v>0</v>
      </c>
      <c r="E101" s="73">
        <f t="shared" si="988"/>
        <v>0</v>
      </c>
      <c r="G101" s="48">
        <f t="shared" si="948"/>
        <v>0</v>
      </c>
      <c r="H101" s="48">
        <f t="shared" si="949"/>
        <v>0</v>
      </c>
      <c r="I101" s="51">
        <f t="shared" si="950"/>
        <v>0</v>
      </c>
      <c r="J101" s="48">
        <f t="shared" si="989"/>
        <v>0</v>
      </c>
      <c r="K101" s="51">
        <f t="shared" si="990"/>
        <v>0</v>
      </c>
      <c r="L101" s="48">
        <f t="shared" si="991"/>
        <v>0</v>
      </c>
      <c r="M101" s="51">
        <f t="shared" si="992"/>
        <v>0</v>
      </c>
      <c r="N101" s="48">
        <f t="shared" si="993"/>
        <v>0</v>
      </c>
      <c r="O101" s="51">
        <f t="shared" si="994"/>
        <v>0</v>
      </c>
      <c r="P101" s="52">
        <f t="shared" si="995"/>
        <v>0</v>
      </c>
      <c r="Q101" s="51">
        <f t="shared" si="996"/>
        <v>0</v>
      </c>
      <c r="R101" s="48">
        <f t="shared" si="997"/>
        <v>0</v>
      </c>
      <c r="S101" s="51">
        <f t="shared" si="998"/>
        <v>0</v>
      </c>
      <c r="T101" s="52">
        <f t="shared" si="999"/>
        <v>0</v>
      </c>
      <c r="U101" s="51">
        <f t="shared" si="1000"/>
        <v>0</v>
      </c>
      <c r="V101" s="53">
        <f t="shared" si="1001"/>
        <v>0</v>
      </c>
      <c r="W101" s="51">
        <f t="shared" si="1002"/>
        <v>0</v>
      </c>
      <c r="X101" s="52">
        <f t="shared" si="1003"/>
        <v>0</v>
      </c>
      <c r="Y101" s="51">
        <f t="shared" si="1004"/>
        <v>0</v>
      </c>
      <c r="Z101" s="48">
        <f t="shared" si="1005"/>
        <v>0</v>
      </c>
      <c r="AA101" s="51">
        <f t="shared" si="1006"/>
        <v>0</v>
      </c>
      <c r="AB101" s="53">
        <f t="shared" si="1007"/>
        <v>0</v>
      </c>
      <c r="AC101" s="51">
        <f t="shared" si="1008"/>
        <v>0</v>
      </c>
      <c r="AD101" s="53">
        <f t="shared" si="1009"/>
        <v>0</v>
      </c>
      <c r="AE101" s="51">
        <f t="shared" si="1010"/>
        <v>0</v>
      </c>
      <c r="AF101" s="53">
        <f t="shared" si="1011"/>
        <v>0</v>
      </c>
      <c r="AG101" s="51">
        <f t="shared" si="1012"/>
        <v>0</v>
      </c>
      <c r="AH101" s="48">
        <f t="shared" si="1013"/>
        <v>0</v>
      </c>
      <c r="AI101" s="51">
        <f t="shared" si="1014"/>
        <v>0</v>
      </c>
      <c r="AJ101" s="53">
        <f t="shared" si="1015"/>
        <v>0</v>
      </c>
      <c r="AK101" s="51">
        <f t="shared" si="1016"/>
        <v>0</v>
      </c>
      <c r="AL101" s="53">
        <f t="shared" si="1017"/>
        <v>0</v>
      </c>
      <c r="AM101" s="51">
        <f t="shared" si="1018"/>
        <v>0</v>
      </c>
      <c r="AN101" s="53">
        <f t="shared" si="1019"/>
        <v>0</v>
      </c>
      <c r="AO101" s="51">
        <f t="shared" si="1020"/>
        <v>0</v>
      </c>
      <c r="AP101" s="53">
        <f t="shared" si="1021"/>
        <v>0</v>
      </c>
      <c r="AQ101" s="51">
        <f t="shared" si="1022"/>
        <v>0</v>
      </c>
      <c r="AR101" s="48">
        <f t="shared" si="1023"/>
        <v>0</v>
      </c>
      <c r="AS101" s="51">
        <f t="shared" si="1024"/>
        <v>0</v>
      </c>
      <c r="AT101" s="53">
        <f t="shared" si="1025"/>
        <v>0</v>
      </c>
      <c r="AU101" s="51">
        <f t="shared" si="1026"/>
        <v>0</v>
      </c>
      <c r="AV101" s="53">
        <f t="shared" si="1027"/>
        <v>0</v>
      </c>
      <c r="AW101" s="51">
        <f t="shared" si="1028"/>
        <v>0</v>
      </c>
      <c r="AX101" s="48">
        <f t="shared" si="1029"/>
        <v>0</v>
      </c>
      <c r="AY101" s="51">
        <f t="shared" si="1030"/>
        <v>0</v>
      </c>
      <c r="BB101" s="48">
        <v>1</v>
      </c>
      <c r="BC101" s="48">
        <v>0.97</v>
      </c>
      <c r="BD101" s="48">
        <v>0.95</v>
      </c>
      <c r="BE101" s="48">
        <v>0.93</v>
      </c>
      <c r="BF101" s="48">
        <f t="shared" ref="BF101:BW101" si="1161">+BE101-0.02</f>
        <v>0.91</v>
      </c>
      <c r="BG101" s="48">
        <f t="shared" si="1161"/>
        <v>0.89</v>
      </c>
      <c r="BH101" s="48">
        <f t="shared" si="1161"/>
        <v>0.87</v>
      </c>
      <c r="BI101" s="48">
        <f t="shared" si="1161"/>
        <v>0.85</v>
      </c>
      <c r="BJ101" s="48">
        <f t="shared" si="1161"/>
        <v>0.83</v>
      </c>
      <c r="BK101" s="48">
        <f t="shared" si="1161"/>
        <v>0.80999999999999994</v>
      </c>
      <c r="BL101" s="48">
        <f t="shared" si="1161"/>
        <v>0.78999999999999992</v>
      </c>
      <c r="BM101" s="48">
        <f t="shared" si="1161"/>
        <v>0.76999999999999991</v>
      </c>
      <c r="BN101" s="48">
        <f t="shared" si="1161"/>
        <v>0.74999999999999989</v>
      </c>
      <c r="BO101" s="48">
        <f t="shared" si="1161"/>
        <v>0.72999999999999987</v>
      </c>
      <c r="BP101" s="48">
        <f t="shared" si="1161"/>
        <v>0.70999999999999985</v>
      </c>
      <c r="BQ101" s="48">
        <f t="shared" si="1161"/>
        <v>0.68999999999999984</v>
      </c>
      <c r="BR101" s="48">
        <f t="shared" si="1161"/>
        <v>0.66999999999999982</v>
      </c>
      <c r="BS101" s="48">
        <f t="shared" si="1161"/>
        <v>0.6499999999999998</v>
      </c>
      <c r="BT101" s="48">
        <f t="shared" si="1161"/>
        <v>0.62999999999999978</v>
      </c>
      <c r="BU101" s="48">
        <f t="shared" si="1161"/>
        <v>0.60999999999999976</v>
      </c>
      <c r="BV101" s="48">
        <f t="shared" si="1161"/>
        <v>0.58999999999999975</v>
      </c>
      <c r="BW101" s="48">
        <f t="shared" si="1161"/>
        <v>0.56999999999999973</v>
      </c>
      <c r="BY101" s="48">
        <f t="shared" si="952"/>
        <v>0</v>
      </c>
      <c r="BZ101" s="48">
        <f t="shared" si="953"/>
        <v>0</v>
      </c>
      <c r="CA101" s="51">
        <f t="shared" ref="CA101" si="1162">+BZ101*3.3058</f>
        <v>0</v>
      </c>
      <c r="CB101" s="48">
        <f t="shared" si="1033"/>
        <v>0</v>
      </c>
      <c r="CC101" s="51">
        <f t="shared" si="1034"/>
        <v>0</v>
      </c>
      <c r="CD101" s="48">
        <f t="shared" si="1035"/>
        <v>0</v>
      </c>
      <c r="CE101" s="51">
        <f t="shared" si="1036"/>
        <v>0</v>
      </c>
      <c r="CF101" s="48">
        <f t="shared" si="1037"/>
        <v>0</v>
      </c>
      <c r="CG101" s="51">
        <f t="shared" si="1038"/>
        <v>0</v>
      </c>
      <c r="CH101" s="52">
        <f t="shared" si="1039"/>
        <v>0</v>
      </c>
      <c r="CI101" s="51">
        <f t="shared" si="1040"/>
        <v>0</v>
      </c>
      <c r="CJ101" s="48">
        <f t="shared" si="1041"/>
        <v>0</v>
      </c>
      <c r="CK101" s="51">
        <f t="shared" si="1042"/>
        <v>0</v>
      </c>
      <c r="CL101" s="52">
        <f t="shared" si="1043"/>
        <v>0</v>
      </c>
      <c r="CM101" s="51">
        <f t="shared" si="1044"/>
        <v>0</v>
      </c>
      <c r="CN101" s="53">
        <f t="shared" si="1045"/>
        <v>0</v>
      </c>
      <c r="CO101" s="51">
        <f t="shared" si="1046"/>
        <v>0</v>
      </c>
      <c r="CP101" s="52">
        <f t="shared" si="1047"/>
        <v>0</v>
      </c>
      <c r="CQ101" s="51">
        <f t="shared" si="1048"/>
        <v>0</v>
      </c>
      <c r="CR101" s="48">
        <f t="shared" si="1049"/>
        <v>0</v>
      </c>
      <c r="CS101" s="51">
        <f t="shared" si="1050"/>
        <v>0</v>
      </c>
      <c r="CT101" s="53">
        <f t="shared" si="1051"/>
        <v>0</v>
      </c>
      <c r="CU101" s="51">
        <f t="shared" si="1052"/>
        <v>0</v>
      </c>
      <c r="CV101" s="53">
        <f t="shared" si="1053"/>
        <v>0</v>
      </c>
      <c r="CW101" s="51">
        <f t="shared" si="1054"/>
        <v>0</v>
      </c>
      <c r="CX101" s="53">
        <f t="shared" si="1055"/>
        <v>0</v>
      </c>
      <c r="CY101" s="51">
        <f t="shared" si="1056"/>
        <v>0</v>
      </c>
      <c r="CZ101" s="48">
        <f t="shared" si="1057"/>
        <v>0</v>
      </c>
      <c r="DA101" s="51">
        <f t="shared" si="1058"/>
        <v>0</v>
      </c>
      <c r="DB101" s="53">
        <f t="shared" si="1059"/>
        <v>0</v>
      </c>
      <c r="DC101" s="51">
        <f t="shared" si="1060"/>
        <v>0</v>
      </c>
      <c r="DD101" s="53">
        <f t="shared" si="1061"/>
        <v>0</v>
      </c>
      <c r="DE101" s="51">
        <f t="shared" si="1062"/>
        <v>0</v>
      </c>
      <c r="DF101" s="53">
        <f t="shared" si="1063"/>
        <v>0</v>
      </c>
      <c r="DG101" s="51">
        <f t="shared" si="1064"/>
        <v>0</v>
      </c>
      <c r="DH101" s="53">
        <f t="shared" si="1065"/>
        <v>0</v>
      </c>
      <c r="DI101" s="51">
        <f t="shared" si="1066"/>
        <v>0</v>
      </c>
      <c r="DJ101" s="48">
        <f t="shared" si="1067"/>
        <v>0</v>
      </c>
      <c r="DK101" s="51">
        <f t="shared" si="1068"/>
        <v>0</v>
      </c>
      <c r="DL101" s="53">
        <f t="shared" si="1069"/>
        <v>0</v>
      </c>
      <c r="DM101" s="51">
        <f t="shared" si="1070"/>
        <v>0</v>
      </c>
      <c r="DN101" s="53">
        <f t="shared" si="1071"/>
        <v>0</v>
      </c>
      <c r="DO101" s="51">
        <f t="shared" si="1072"/>
        <v>0</v>
      </c>
      <c r="DP101" s="48">
        <f t="shared" si="1073"/>
        <v>0</v>
      </c>
      <c r="DQ101" s="51">
        <f t="shared" si="1074"/>
        <v>0</v>
      </c>
      <c r="DT101" s="48">
        <v>1</v>
      </c>
      <c r="DU101" s="48">
        <v>0.97</v>
      </c>
      <c r="DV101" s="48">
        <v>0.95</v>
      </c>
      <c r="DW101" s="48">
        <v>0.93</v>
      </c>
      <c r="DX101" s="48">
        <f t="shared" ref="DX101:EO101" si="1163">+DW101-0.02</f>
        <v>0.91</v>
      </c>
      <c r="DY101" s="48">
        <f t="shared" si="1163"/>
        <v>0.89</v>
      </c>
      <c r="DZ101" s="48">
        <f t="shared" si="1163"/>
        <v>0.87</v>
      </c>
      <c r="EA101" s="48">
        <f t="shared" si="1163"/>
        <v>0.85</v>
      </c>
      <c r="EB101" s="48">
        <f t="shared" si="1163"/>
        <v>0.83</v>
      </c>
      <c r="EC101" s="48">
        <f t="shared" si="1163"/>
        <v>0.80999999999999994</v>
      </c>
      <c r="ED101" s="48">
        <f t="shared" si="1163"/>
        <v>0.78999999999999992</v>
      </c>
      <c r="EE101" s="48">
        <f t="shared" si="1163"/>
        <v>0.76999999999999991</v>
      </c>
      <c r="EF101" s="48">
        <f t="shared" si="1163"/>
        <v>0.74999999999999989</v>
      </c>
      <c r="EG101" s="48">
        <f t="shared" si="1163"/>
        <v>0.72999999999999987</v>
      </c>
      <c r="EH101" s="48">
        <f t="shared" si="1163"/>
        <v>0.70999999999999985</v>
      </c>
      <c r="EI101" s="48">
        <f t="shared" si="1163"/>
        <v>0.68999999999999984</v>
      </c>
      <c r="EJ101" s="48">
        <f t="shared" si="1163"/>
        <v>0.66999999999999982</v>
      </c>
      <c r="EK101" s="48">
        <f t="shared" si="1163"/>
        <v>0.6499999999999998</v>
      </c>
      <c r="EL101" s="48">
        <f t="shared" si="1163"/>
        <v>0.62999999999999978</v>
      </c>
      <c r="EM101" s="48">
        <f t="shared" si="1163"/>
        <v>0.60999999999999976</v>
      </c>
      <c r="EN101" s="48">
        <f t="shared" si="1163"/>
        <v>0.58999999999999975</v>
      </c>
      <c r="EO101" s="48">
        <f t="shared" si="1163"/>
        <v>0.56999999999999973</v>
      </c>
      <c r="EQ101" s="48">
        <f t="shared" si="1128"/>
        <v>0</v>
      </c>
      <c r="ER101" s="48">
        <f t="shared" si="956"/>
        <v>0</v>
      </c>
      <c r="ES101" s="51">
        <f t="shared" ref="ES101" si="1164">+ER101*3.3058</f>
        <v>0</v>
      </c>
      <c r="ET101" s="48">
        <f t="shared" si="1077"/>
        <v>0</v>
      </c>
      <c r="EU101" s="51">
        <f t="shared" si="1078"/>
        <v>0</v>
      </c>
      <c r="EV101" s="48">
        <f t="shared" si="1079"/>
        <v>0</v>
      </c>
      <c r="EW101" s="51">
        <f t="shared" si="1080"/>
        <v>0</v>
      </c>
      <c r="EX101" s="48">
        <f t="shared" si="1081"/>
        <v>0</v>
      </c>
      <c r="EY101" s="51">
        <f t="shared" si="1082"/>
        <v>0</v>
      </c>
      <c r="EZ101" s="52">
        <f t="shared" si="1083"/>
        <v>0</v>
      </c>
      <c r="FA101" s="51">
        <f t="shared" si="1084"/>
        <v>0</v>
      </c>
      <c r="FB101" s="48">
        <f t="shared" si="1085"/>
        <v>0</v>
      </c>
      <c r="FC101" s="51">
        <f t="shared" si="1086"/>
        <v>0</v>
      </c>
      <c r="FD101" s="52">
        <f t="shared" si="1087"/>
        <v>0</v>
      </c>
      <c r="FE101" s="51">
        <f t="shared" si="1088"/>
        <v>0</v>
      </c>
      <c r="FF101" s="53">
        <f t="shared" si="1089"/>
        <v>0</v>
      </c>
      <c r="FG101" s="51">
        <f t="shared" si="1090"/>
        <v>0</v>
      </c>
      <c r="FH101" s="52">
        <f t="shared" si="1091"/>
        <v>0</v>
      </c>
      <c r="FI101" s="51">
        <f t="shared" si="1092"/>
        <v>0</v>
      </c>
      <c r="FJ101" s="48">
        <f t="shared" si="1093"/>
        <v>0</v>
      </c>
      <c r="FK101" s="51">
        <f t="shared" si="1094"/>
        <v>0</v>
      </c>
      <c r="FL101" s="53">
        <f t="shared" si="1095"/>
        <v>0</v>
      </c>
      <c r="FM101" s="51">
        <f t="shared" si="1096"/>
        <v>0</v>
      </c>
      <c r="FN101" s="53">
        <f t="shared" si="1097"/>
        <v>0</v>
      </c>
      <c r="FO101" s="51">
        <f t="shared" si="1098"/>
        <v>0</v>
      </c>
      <c r="FP101" s="53">
        <f t="shared" si="1099"/>
        <v>0</v>
      </c>
      <c r="FQ101" s="51">
        <f t="shared" si="1100"/>
        <v>0</v>
      </c>
      <c r="FR101" s="48">
        <f t="shared" si="1101"/>
        <v>0</v>
      </c>
      <c r="FS101" s="51">
        <f t="shared" si="1102"/>
        <v>0</v>
      </c>
      <c r="FT101" s="53">
        <f t="shared" si="1103"/>
        <v>0</v>
      </c>
      <c r="FU101" s="51">
        <f t="shared" si="1104"/>
        <v>0</v>
      </c>
      <c r="FV101" s="53">
        <f t="shared" si="1105"/>
        <v>0</v>
      </c>
      <c r="FW101" s="51">
        <f t="shared" si="1106"/>
        <v>0</v>
      </c>
      <c r="FX101" s="53">
        <f t="shared" si="1107"/>
        <v>0</v>
      </c>
      <c r="FY101" s="51">
        <f t="shared" si="1108"/>
        <v>0</v>
      </c>
      <c r="FZ101" s="53">
        <f t="shared" si="1109"/>
        <v>0</v>
      </c>
      <c r="GA101" s="51">
        <f t="shared" si="1110"/>
        <v>0</v>
      </c>
      <c r="GB101" s="48">
        <f t="shared" si="1111"/>
        <v>0</v>
      </c>
      <c r="GC101" s="51">
        <f t="shared" si="1112"/>
        <v>0</v>
      </c>
      <c r="GD101" s="53">
        <f t="shared" si="1113"/>
        <v>0</v>
      </c>
      <c r="GE101" s="51">
        <f t="shared" si="1114"/>
        <v>0</v>
      </c>
      <c r="GF101" s="53">
        <f t="shared" si="1115"/>
        <v>0</v>
      </c>
      <c r="GG101" s="51">
        <f t="shared" si="1116"/>
        <v>0</v>
      </c>
      <c r="GH101" s="48">
        <f t="shared" si="1117"/>
        <v>0</v>
      </c>
      <c r="GI101" s="51">
        <f t="shared" si="1118"/>
        <v>0</v>
      </c>
      <c r="GJ101" s="48"/>
      <c r="GK101" s="48"/>
      <c r="GL101" s="48">
        <v>1</v>
      </c>
      <c r="GM101" s="48">
        <v>0.97</v>
      </c>
      <c r="GN101" s="48">
        <v>0.95</v>
      </c>
      <c r="GO101" s="48">
        <v>0.93</v>
      </c>
      <c r="GP101" s="48">
        <f t="shared" ref="GP101:HG101" si="1165">+GO101-0.02</f>
        <v>0.91</v>
      </c>
      <c r="GQ101" s="48">
        <f t="shared" si="1165"/>
        <v>0.89</v>
      </c>
      <c r="GR101" s="48">
        <f t="shared" si="1165"/>
        <v>0.87</v>
      </c>
      <c r="GS101" s="48">
        <f t="shared" si="1165"/>
        <v>0.85</v>
      </c>
      <c r="GT101" s="48">
        <f t="shared" si="1165"/>
        <v>0.83</v>
      </c>
      <c r="GU101" s="48">
        <f t="shared" si="1165"/>
        <v>0.80999999999999994</v>
      </c>
      <c r="GV101" s="48">
        <f t="shared" si="1165"/>
        <v>0.78999999999999992</v>
      </c>
      <c r="GW101" s="48">
        <f t="shared" si="1165"/>
        <v>0.76999999999999991</v>
      </c>
      <c r="GX101" s="48">
        <f t="shared" si="1165"/>
        <v>0.74999999999999989</v>
      </c>
      <c r="GY101" s="48">
        <f t="shared" si="1165"/>
        <v>0.72999999999999987</v>
      </c>
      <c r="GZ101" s="48">
        <f t="shared" si="1165"/>
        <v>0.70999999999999985</v>
      </c>
      <c r="HA101" s="48">
        <f t="shared" si="1165"/>
        <v>0.68999999999999984</v>
      </c>
      <c r="HB101" s="48">
        <f t="shared" si="1165"/>
        <v>0.66999999999999982</v>
      </c>
      <c r="HC101" s="48">
        <f t="shared" si="1165"/>
        <v>0.6499999999999998</v>
      </c>
      <c r="HD101" s="48">
        <f t="shared" si="1165"/>
        <v>0.62999999999999978</v>
      </c>
      <c r="HE101" s="48">
        <f t="shared" si="1165"/>
        <v>0.60999999999999976</v>
      </c>
      <c r="HF101" s="48">
        <f t="shared" si="1165"/>
        <v>0.58999999999999975</v>
      </c>
      <c r="HG101" s="48">
        <f t="shared" si="1165"/>
        <v>0.56999999999999973</v>
      </c>
    </row>
    <row r="102" spans="1:215" x14ac:dyDescent="0.3">
      <c r="A102" s="2">
        <v>11</v>
      </c>
      <c r="C102" s="29" t="s">
        <v>170</v>
      </c>
      <c r="D102" s="44">
        <v>0</v>
      </c>
      <c r="E102" s="73">
        <f t="shared" si="988"/>
        <v>0</v>
      </c>
      <c r="G102" s="48">
        <f t="shared" si="948"/>
        <v>0</v>
      </c>
      <c r="H102" s="48">
        <f t="shared" si="949"/>
        <v>0</v>
      </c>
      <c r="I102" s="51">
        <f t="shared" si="950"/>
        <v>0</v>
      </c>
      <c r="J102" s="48">
        <f t="shared" si="989"/>
        <v>0</v>
      </c>
      <c r="K102" s="51">
        <f t="shared" si="990"/>
        <v>0</v>
      </c>
      <c r="L102" s="48">
        <f t="shared" si="991"/>
        <v>0</v>
      </c>
      <c r="M102" s="51">
        <f t="shared" si="992"/>
        <v>0</v>
      </c>
      <c r="N102" s="48">
        <f t="shared" si="993"/>
        <v>0</v>
      </c>
      <c r="O102" s="51">
        <f t="shared" si="994"/>
        <v>0</v>
      </c>
      <c r="P102" s="52">
        <f t="shared" si="995"/>
        <v>0</v>
      </c>
      <c r="Q102" s="51">
        <f t="shared" si="996"/>
        <v>0</v>
      </c>
      <c r="R102" s="48">
        <f t="shared" si="997"/>
        <v>0</v>
      </c>
      <c r="S102" s="51">
        <f t="shared" si="998"/>
        <v>0</v>
      </c>
      <c r="T102" s="52">
        <f t="shared" si="999"/>
        <v>0</v>
      </c>
      <c r="U102" s="51">
        <f t="shared" si="1000"/>
        <v>0</v>
      </c>
      <c r="V102" s="53">
        <f t="shared" si="1001"/>
        <v>0</v>
      </c>
      <c r="W102" s="51">
        <f t="shared" si="1002"/>
        <v>0</v>
      </c>
      <c r="X102" s="52">
        <f t="shared" si="1003"/>
        <v>0</v>
      </c>
      <c r="Y102" s="51">
        <f t="shared" si="1004"/>
        <v>0</v>
      </c>
      <c r="Z102" s="48">
        <f t="shared" si="1005"/>
        <v>0</v>
      </c>
      <c r="AA102" s="51">
        <f t="shared" si="1006"/>
        <v>0</v>
      </c>
      <c r="AB102" s="53">
        <f t="shared" si="1007"/>
        <v>0</v>
      </c>
      <c r="AC102" s="51">
        <f t="shared" si="1008"/>
        <v>0</v>
      </c>
      <c r="AD102" s="53">
        <f t="shared" si="1009"/>
        <v>0</v>
      </c>
      <c r="AE102" s="51">
        <f t="shared" si="1010"/>
        <v>0</v>
      </c>
      <c r="AF102" s="53">
        <f t="shared" si="1011"/>
        <v>0</v>
      </c>
      <c r="AG102" s="51">
        <f t="shared" si="1012"/>
        <v>0</v>
      </c>
      <c r="AH102" s="48">
        <f t="shared" si="1013"/>
        <v>0</v>
      </c>
      <c r="AI102" s="51">
        <f t="shared" si="1014"/>
        <v>0</v>
      </c>
      <c r="AJ102" s="53">
        <f t="shared" si="1015"/>
        <v>0</v>
      </c>
      <c r="AK102" s="51">
        <f t="shared" si="1016"/>
        <v>0</v>
      </c>
      <c r="AL102" s="53">
        <f t="shared" si="1017"/>
        <v>0</v>
      </c>
      <c r="AM102" s="51">
        <f t="shared" si="1018"/>
        <v>0</v>
      </c>
      <c r="AN102" s="53">
        <f t="shared" si="1019"/>
        <v>0</v>
      </c>
      <c r="AO102" s="51">
        <f t="shared" si="1020"/>
        <v>0</v>
      </c>
      <c r="AP102" s="53">
        <f t="shared" si="1021"/>
        <v>0</v>
      </c>
      <c r="AQ102" s="51">
        <f t="shared" si="1022"/>
        <v>0</v>
      </c>
      <c r="AR102" s="48">
        <f t="shared" si="1023"/>
        <v>0</v>
      </c>
      <c r="AS102" s="51">
        <f t="shared" si="1024"/>
        <v>0</v>
      </c>
      <c r="AT102" s="53">
        <f t="shared" si="1025"/>
        <v>0</v>
      </c>
      <c r="AU102" s="51">
        <f t="shared" si="1026"/>
        <v>0</v>
      </c>
      <c r="AV102" s="53">
        <f t="shared" si="1027"/>
        <v>0</v>
      </c>
      <c r="AW102" s="51">
        <f t="shared" si="1028"/>
        <v>0</v>
      </c>
      <c r="AX102" s="48">
        <f t="shared" si="1029"/>
        <v>0</v>
      </c>
      <c r="AY102" s="51">
        <f t="shared" si="1030"/>
        <v>0</v>
      </c>
      <c r="BB102" s="48">
        <v>1</v>
      </c>
      <c r="BC102" s="48">
        <v>0.97</v>
      </c>
      <c r="BD102" s="48">
        <v>0.95</v>
      </c>
      <c r="BE102" s="48">
        <v>0.93</v>
      </c>
      <c r="BF102" s="48">
        <f t="shared" ref="BF102:BW102" si="1166">+BE102-0.02</f>
        <v>0.91</v>
      </c>
      <c r="BG102" s="48">
        <f t="shared" si="1166"/>
        <v>0.89</v>
      </c>
      <c r="BH102" s="48">
        <f t="shared" si="1166"/>
        <v>0.87</v>
      </c>
      <c r="BI102" s="48">
        <f t="shared" si="1166"/>
        <v>0.85</v>
      </c>
      <c r="BJ102" s="48">
        <f t="shared" si="1166"/>
        <v>0.83</v>
      </c>
      <c r="BK102" s="48">
        <f t="shared" si="1166"/>
        <v>0.80999999999999994</v>
      </c>
      <c r="BL102" s="48">
        <f t="shared" si="1166"/>
        <v>0.78999999999999992</v>
      </c>
      <c r="BM102" s="48">
        <f t="shared" si="1166"/>
        <v>0.76999999999999991</v>
      </c>
      <c r="BN102" s="48">
        <f t="shared" si="1166"/>
        <v>0.74999999999999989</v>
      </c>
      <c r="BO102" s="48">
        <f t="shared" si="1166"/>
        <v>0.72999999999999987</v>
      </c>
      <c r="BP102" s="48">
        <f t="shared" si="1166"/>
        <v>0.70999999999999985</v>
      </c>
      <c r="BQ102" s="48">
        <f t="shared" si="1166"/>
        <v>0.68999999999999984</v>
      </c>
      <c r="BR102" s="48">
        <f t="shared" si="1166"/>
        <v>0.66999999999999982</v>
      </c>
      <c r="BS102" s="48">
        <f t="shared" si="1166"/>
        <v>0.6499999999999998</v>
      </c>
      <c r="BT102" s="48">
        <f t="shared" si="1166"/>
        <v>0.62999999999999978</v>
      </c>
      <c r="BU102" s="48">
        <f t="shared" si="1166"/>
        <v>0.60999999999999976</v>
      </c>
      <c r="BV102" s="48">
        <f t="shared" si="1166"/>
        <v>0.58999999999999975</v>
      </c>
      <c r="BW102" s="48">
        <f t="shared" si="1166"/>
        <v>0.56999999999999973</v>
      </c>
      <c r="BY102" s="48">
        <f t="shared" si="952"/>
        <v>0</v>
      </c>
      <c r="BZ102" s="48">
        <f t="shared" si="953"/>
        <v>0</v>
      </c>
      <c r="CA102" s="51">
        <f t="shared" ref="CA102" si="1167">+BZ102*3.3058</f>
        <v>0</v>
      </c>
      <c r="CB102" s="48">
        <f t="shared" si="1033"/>
        <v>0</v>
      </c>
      <c r="CC102" s="51">
        <f t="shared" si="1034"/>
        <v>0</v>
      </c>
      <c r="CD102" s="48">
        <f t="shared" si="1035"/>
        <v>0</v>
      </c>
      <c r="CE102" s="51">
        <f t="shared" si="1036"/>
        <v>0</v>
      </c>
      <c r="CF102" s="48">
        <f t="shared" si="1037"/>
        <v>0</v>
      </c>
      <c r="CG102" s="51">
        <f t="shared" si="1038"/>
        <v>0</v>
      </c>
      <c r="CH102" s="52">
        <f t="shared" si="1039"/>
        <v>0</v>
      </c>
      <c r="CI102" s="51">
        <f t="shared" si="1040"/>
        <v>0</v>
      </c>
      <c r="CJ102" s="48">
        <f t="shared" si="1041"/>
        <v>0</v>
      </c>
      <c r="CK102" s="51">
        <f t="shared" si="1042"/>
        <v>0</v>
      </c>
      <c r="CL102" s="52">
        <f t="shared" si="1043"/>
        <v>0</v>
      </c>
      <c r="CM102" s="51">
        <f t="shared" si="1044"/>
        <v>0</v>
      </c>
      <c r="CN102" s="53">
        <f t="shared" si="1045"/>
        <v>0</v>
      </c>
      <c r="CO102" s="51">
        <f t="shared" si="1046"/>
        <v>0</v>
      </c>
      <c r="CP102" s="52">
        <f t="shared" si="1047"/>
        <v>0</v>
      </c>
      <c r="CQ102" s="51">
        <f t="shared" si="1048"/>
        <v>0</v>
      </c>
      <c r="CR102" s="48">
        <f t="shared" si="1049"/>
        <v>0</v>
      </c>
      <c r="CS102" s="51">
        <f t="shared" si="1050"/>
        <v>0</v>
      </c>
      <c r="CT102" s="53">
        <f t="shared" si="1051"/>
        <v>0</v>
      </c>
      <c r="CU102" s="51">
        <f t="shared" si="1052"/>
        <v>0</v>
      </c>
      <c r="CV102" s="53">
        <f t="shared" si="1053"/>
        <v>0</v>
      </c>
      <c r="CW102" s="51">
        <f t="shared" si="1054"/>
        <v>0</v>
      </c>
      <c r="CX102" s="53">
        <f t="shared" si="1055"/>
        <v>0</v>
      </c>
      <c r="CY102" s="51">
        <f t="shared" si="1056"/>
        <v>0</v>
      </c>
      <c r="CZ102" s="48">
        <f t="shared" si="1057"/>
        <v>0</v>
      </c>
      <c r="DA102" s="51">
        <f t="shared" si="1058"/>
        <v>0</v>
      </c>
      <c r="DB102" s="53">
        <f t="shared" si="1059"/>
        <v>0</v>
      </c>
      <c r="DC102" s="51">
        <f t="shared" si="1060"/>
        <v>0</v>
      </c>
      <c r="DD102" s="53">
        <f t="shared" si="1061"/>
        <v>0</v>
      </c>
      <c r="DE102" s="51">
        <f t="shared" si="1062"/>
        <v>0</v>
      </c>
      <c r="DF102" s="53">
        <f t="shared" si="1063"/>
        <v>0</v>
      </c>
      <c r="DG102" s="51">
        <f t="shared" si="1064"/>
        <v>0</v>
      </c>
      <c r="DH102" s="53">
        <f t="shared" si="1065"/>
        <v>0</v>
      </c>
      <c r="DI102" s="51">
        <f t="shared" si="1066"/>
        <v>0</v>
      </c>
      <c r="DJ102" s="48">
        <f t="shared" si="1067"/>
        <v>0</v>
      </c>
      <c r="DK102" s="51">
        <f t="shared" si="1068"/>
        <v>0</v>
      </c>
      <c r="DL102" s="53">
        <f t="shared" si="1069"/>
        <v>0</v>
      </c>
      <c r="DM102" s="51">
        <f t="shared" si="1070"/>
        <v>0</v>
      </c>
      <c r="DN102" s="53">
        <f t="shared" si="1071"/>
        <v>0</v>
      </c>
      <c r="DO102" s="51">
        <f t="shared" si="1072"/>
        <v>0</v>
      </c>
      <c r="DP102" s="48">
        <f t="shared" si="1073"/>
        <v>0</v>
      </c>
      <c r="DQ102" s="51">
        <f t="shared" si="1074"/>
        <v>0</v>
      </c>
      <c r="DT102" s="48">
        <v>1</v>
      </c>
      <c r="DU102" s="48">
        <v>0.97</v>
      </c>
      <c r="DV102" s="48">
        <v>0.95</v>
      </c>
      <c r="DW102" s="48">
        <v>0.93</v>
      </c>
      <c r="DX102" s="48">
        <f t="shared" ref="DX102:EO102" si="1168">+DW102-0.02</f>
        <v>0.91</v>
      </c>
      <c r="DY102" s="48">
        <f t="shared" si="1168"/>
        <v>0.89</v>
      </c>
      <c r="DZ102" s="48">
        <f t="shared" si="1168"/>
        <v>0.87</v>
      </c>
      <c r="EA102" s="48">
        <f t="shared" si="1168"/>
        <v>0.85</v>
      </c>
      <c r="EB102" s="48">
        <f t="shared" si="1168"/>
        <v>0.83</v>
      </c>
      <c r="EC102" s="48">
        <f t="shared" si="1168"/>
        <v>0.80999999999999994</v>
      </c>
      <c r="ED102" s="48">
        <f t="shared" si="1168"/>
        <v>0.78999999999999992</v>
      </c>
      <c r="EE102" s="48">
        <f t="shared" si="1168"/>
        <v>0.76999999999999991</v>
      </c>
      <c r="EF102" s="48">
        <f t="shared" si="1168"/>
        <v>0.74999999999999989</v>
      </c>
      <c r="EG102" s="48">
        <f t="shared" si="1168"/>
        <v>0.72999999999999987</v>
      </c>
      <c r="EH102" s="48">
        <f t="shared" si="1168"/>
        <v>0.70999999999999985</v>
      </c>
      <c r="EI102" s="48">
        <f t="shared" si="1168"/>
        <v>0.68999999999999984</v>
      </c>
      <c r="EJ102" s="48">
        <f t="shared" si="1168"/>
        <v>0.66999999999999982</v>
      </c>
      <c r="EK102" s="48">
        <f t="shared" si="1168"/>
        <v>0.6499999999999998</v>
      </c>
      <c r="EL102" s="48">
        <f t="shared" si="1168"/>
        <v>0.62999999999999978</v>
      </c>
      <c r="EM102" s="48">
        <f t="shared" si="1168"/>
        <v>0.60999999999999976</v>
      </c>
      <c r="EN102" s="48">
        <f t="shared" si="1168"/>
        <v>0.58999999999999975</v>
      </c>
      <c r="EO102" s="48">
        <f t="shared" si="1168"/>
        <v>0.56999999999999973</v>
      </c>
      <c r="EQ102" s="48">
        <f t="shared" si="1128"/>
        <v>0</v>
      </c>
      <c r="ER102" s="48">
        <f t="shared" si="956"/>
        <v>0</v>
      </c>
      <c r="ES102" s="51">
        <f t="shared" ref="ES102" si="1169">+ER102*3.3058</f>
        <v>0</v>
      </c>
      <c r="ET102" s="48">
        <f t="shared" si="1077"/>
        <v>0</v>
      </c>
      <c r="EU102" s="51">
        <f t="shared" si="1078"/>
        <v>0</v>
      </c>
      <c r="EV102" s="48">
        <f t="shared" si="1079"/>
        <v>0</v>
      </c>
      <c r="EW102" s="51">
        <f t="shared" si="1080"/>
        <v>0</v>
      </c>
      <c r="EX102" s="48">
        <f t="shared" si="1081"/>
        <v>0</v>
      </c>
      <c r="EY102" s="51">
        <f t="shared" si="1082"/>
        <v>0</v>
      </c>
      <c r="EZ102" s="52">
        <f t="shared" si="1083"/>
        <v>0</v>
      </c>
      <c r="FA102" s="51">
        <f t="shared" si="1084"/>
        <v>0</v>
      </c>
      <c r="FB102" s="48">
        <f t="shared" si="1085"/>
        <v>0</v>
      </c>
      <c r="FC102" s="51">
        <f t="shared" si="1086"/>
        <v>0</v>
      </c>
      <c r="FD102" s="52">
        <f t="shared" si="1087"/>
        <v>0</v>
      </c>
      <c r="FE102" s="51">
        <f t="shared" si="1088"/>
        <v>0</v>
      </c>
      <c r="FF102" s="53">
        <f t="shared" si="1089"/>
        <v>0</v>
      </c>
      <c r="FG102" s="51">
        <f t="shared" si="1090"/>
        <v>0</v>
      </c>
      <c r="FH102" s="52">
        <f t="shared" si="1091"/>
        <v>0</v>
      </c>
      <c r="FI102" s="51">
        <f t="shared" si="1092"/>
        <v>0</v>
      </c>
      <c r="FJ102" s="48">
        <f t="shared" si="1093"/>
        <v>0</v>
      </c>
      <c r="FK102" s="51">
        <f t="shared" si="1094"/>
        <v>0</v>
      </c>
      <c r="FL102" s="53">
        <f t="shared" si="1095"/>
        <v>0</v>
      </c>
      <c r="FM102" s="51">
        <f t="shared" si="1096"/>
        <v>0</v>
      </c>
      <c r="FN102" s="53">
        <f t="shared" si="1097"/>
        <v>0</v>
      </c>
      <c r="FO102" s="51">
        <f t="shared" si="1098"/>
        <v>0</v>
      </c>
      <c r="FP102" s="53">
        <f t="shared" si="1099"/>
        <v>0</v>
      </c>
      <c r="FQ102" s="51">
        <f t="shared" si="1100"/>
        <v>0</v>
      </c>
      <c r="FR102" s="48">
        <f t="shared" si="1101"/>
        <v>0</v>
      </c>
      <c r="FS102" s="51">
        <f t="shared" si="1102"/>
        <v>0</v>
      </c>
      <c r="FT102" s="53">
        <f t="shared" si="1103"/>
        <v>0</v>
      </c>
      <c r="FU102" s="51">
        <f t="shared" si="1104"/>
        <v>0</v>
      </c>
      <c r="FV102" s="53">
        <f t="shared" si="1105"/>
        <v>0</v>
      </c>
      <c r="FW102" s="51">
        <f t="shared" si="1106"/>
        <v>0</v>
      </c>
      <c r="FX102" s="53">
        <f t="shared" si="1107"/>
        <v>0</v>
      </c>
      <c r="FY102" s="51">
        <f t="shared" si="1108"/>
        <v>0</v>
      </c>
      <c r="FZ102" s="53">
        <f t="shared" si="1109"/>
        <v>0</v>
      </c>
      <c r="GA102" s="51">
        <f t="shared" si="1110"/>
        <v>0</v>
      </c>
      <c r="GB102" s="48">
        <f t="shared" si="1111"/>
        <v>0</v>
      </c>
      <c r="GC102" s="51">
        <f t="shared" si="1112"/>
        <v>0</v>
      </c>
      <c r="GD102" s="53">
        <f t="shared" si="1113"/>
        <v>0</v>
      </c>
      <c r="GE102" s="51">
        <f t="shared" si="1114"/>
        <v>0</v>
      </c>
      <c r="GF102" s="53">
        <f t="shared" si="1115"/>
        <v>0</v>
      </c>
      <c r="GG102" s="51">
        <f t="shared" si="1116"/>
        <v>0</v>
      </c>
      <c r="GH102" s="48">
        <f t="shared" si="1117"/>
        <v>0</v>
      </c>
      <c r="GI102" s="51">
        <f t="shared" si="1118"/>
        <v>0</v>
      </c>
      <c r="GJ102" s="48"/>
      <c r="GK102" s="48"/>
      <c r="GL102" s="48">
        <v>1</v>
      </c>
      <c r="GM102" s="48">
        <v>0.97</v>
      </c>
      <c r="GN102" s="48">
        <v>0.95</v>
      </c>
      <c r="GO102" s="48">
        <v>0.93</v>
      </c>
      <c r="GP102" s="48">
        <f t="shared" ref="GP102:HG102" si="1170">+GO102-0.02</f>
        <v>0.91</v>
      </c>
      <c r="GQ102" s="48">
        <f t="shared" si="1170"/>
        <v>0.89</v>
      </c>
      <c r="GR102" s="48">
        <f t="shared" si="1170"/>
        <v>0.87</v>
      </c>
      <c r="GS102" s="48">
        <f t="shared" si="1170"/>
        <v>0.85</v>
      </c>
      <c r="GT102" s="48">
        <f t="shared" si="1170"/>
        <v>0.83</v>
      </c>
      <c r="GU102" s="48">
        <f t="shared" si="1170"/>
        <v>0.80999999999999994</v>
      </c>
      <c r="GV102" s="48">
        <f t="shared" si="1170"/>
        <v>0.78999999999999992</v>
      </c>
      <c r="GW102" s="48">
        <f t="shared" si="1170"/>
        <v>0.76999999999999991</v>
      </c>
      <c r="GX102" s="48">
        <f t="shared" si="1170"/>
        <v>0.74999999999999989</v>
      </c>
      <c r="GY102" s="48">
        <f t="shared" si="1170"/>
        <v>0.72999999999999987</v>
      </c>
      <c r="GZ102" s="48">
        <f t="shared" si="1170"/>
        <v>0.70999999999999985</v>
      </c>
      <c r="HA102" s="48">
        <f t="shared" si="1170"/>
        <v>0.68999999999999984</v>
      </c>
      <c r="HB102" s="48">
        <f t="shared" si="1170"/>
        <v>0.66999999999999982</v>
      </c>
      <c r="HC102" s="48">
        <f t="shared" si="1170"/>
        <v>0.6499999999999998</v>
      </c>
      <c r="HD102" s="48">
        <f t="shared" si="1170"/>
        <v>0.62999999999999978</v>
      </c>
      <c r="HE102" s="48">
        <f t="shared" si="1170"/>
        <v>0.60999999999999976</v>
      </c>
      <c r="HF102" s="48">
        <f t="shared" si="1170"/>
        <v>0.58999999999999975</v>
      </c>
      <c r="HG102" s="48">
        <f t="shared" si="1170"/>
        <v>0.56999999999999973</v>
      </c>
    </row>
    <row r="103" spans="1:215" x14ac:dyDescent="0.3">
      <c r="A103" s="2">
        <v>12</v>
      </c>
      <c r="C103" s="29" t="s">
        <v>171</v>
      </c>
      <c r="D103" s="44">
        <v>0</v>
      </c>
      <c r="E103" s="73">
        <f t="shared" si="988"/>
        <v>0</v>
      </c>
      <c r="G103" s="48">
        <f t="shared" si="948"/>
        <v>0</v>
      </c>
      <c r="H103" s="48">
        <f t="shared" si="949"/>
        <v>0</v>
      </c>
      <c r="I103" s="51">
        <f t="shared" si="950"/>
        <v>0</v>
      </c>
      <c r="J103" s="48">
        <f t="shared" si="989"/>
        <v>0</v>
      </c>
      <c r="K103" s="51">
        <f t="shared" si="990"/>
        <v>0</v>
      </c>
      <c r="L103" s="48">
        <f t="shared" si="991"/>
        <v>0</v>
      </c>
      <c r="M103" s="51">
        <f t="shared" si="992"/>
        <v>0</v>
      </c>
      <c r="N103" s="48">
        <f t="shared" si="993"/>
        <v>0</v>
      </c>
      <c r="O103" s="51">
        <f t="shared" si="994"/>
        <v>0</v>
      </c>
      <c r="P103" s="52">
        <f t="shared" si="995"/>
        <v>0</v>
      </c>
      <c r="Q103" s="51">
        <f t="shared" si="996"/>
        <v>0</v>
      </c>
      <c r="R103" s="48">
        <f t="shared" si="997"/>
        <v>0</v>
      </c>
      <c r="S103" s="51">
        <f t="shared" si="998"/>
        <v>0</v>
      </c>
      <c r="T103" s="52">
        <f t="shared" si="999"/>
        <v>0</v>
      </c>
      <c r="U103" s="51">
        <f t="shared" si="1000"/>
        <v>0</v>
      </c>
      <c r="V103" s="53">
        <f t="shared" si="1001"/>
        <v>0</v>
      </c>
      <c r="W103" s="51">
        <f t="shared" si="1002"/>
        <v>0</v>
      </c>
      <c r="X103" s="52">
        <f t="shared" si="1003"/>
        <v>0</v>
      </c>
      <c r="Y103" s="51">
        <f t="shared" si="1004"/>
        <v>0</v>
      </c>
      <c r="Z103" s="48">
        <f t="shared" si="1005"/>
        <v>0</v>
      </c>
      <c r="AA103" s="51">
        <f t="shared" si="1006"/>
        <v>0</v>
      </c>
      <c r="AB103" s="53">
        <f t="shared" si="1007"/>
        <v>0</v>
      </c>
      <c r="AC103" s="51">
        <f t="shared" si="1008"/>
        <v>0</v>
      </c>
      <c r="AD103" s="53">
        <f t="shared" si="1009"/>
        <v>0</v>
      </c>
      <c r="AE103" s="51">
        <f t="shared" si="1010"/>
        <v>0</v>
      </c>
      <c r="AF103" s="53">
        <f t="shared" si="1011"/>
        <v>0</v>
      </c>
      <c r="AG103" s="51">
        <f t="shared" si="1012"/>
        <v>0</v>
      </c>
      <c r="AH103" s="48">
        <f t="shared" si="1013"/>
        <v>0</v>
      </c>
      <c r="AI103" s="51">
        <f t="shared" si="1014"/>
        <v>0</v>
      </c>
      <c r="AJ103" s="53">
        <f t="shared" si="1015"/>
        <v>0</v>
      </c>
      <c r="AK103" s="51">
        <f t="shared" si="1016"/>
        <v>0</v>
      </c>
      <c r="AL103" s="53">
        <f t="shared" si="1017"/>
        <v>0</v>
      </c>
      <c r="AM103" s="51">
        <f t="shared" si="1018"/>
        <v>0</v>
      </c>
      <c r="AN103" s="53">
        <f t="shared" si="1019"/>
        <v>0</v>
      </c>
      <c r="AO103" s="51">
        <f t="shared" si="1020"/>
        <v>0</v>
      </c>
      <c r="AP103" s="53">
        <f t="shared" si="1021"/>
        <v>0</v>
      </c>
      <c r="AQ103" s="51">
        <f t="shared" si="1022"/>
        <v>0</v>
      </c>
      <c r="AR103" s="48">
        <f t="shared" si="1023"/>
        <v>0</v>
      </c>
      <c r="AS103" s="51">
        <f t="shared" si="1024"/>
        <v>0</v>
      </c>
      <c r="AT103" s="53">
        <f t="shared" si="1025"/>
        <v>0</v>
      </c>
      <c r="AU103" s="51">
        <f t="shared" si="1026"/>
        <v>0</v>
      </c>
      <c r="AV103" s="53">
        <f t="shared" si="1027"/>
        <v>0</v>
      </c>
      <c r="AW103" s="51">
        <f t="shared" si="1028"/>
        <v>0</v>
      </c>
      <c r="AX103" s="48">
        <f t="shared" si="1029"/>
        <v>0</v>
      </c>
      <c r="AY103" s="51">
        <f t="shared" si="1030"/>
        <v>0</v>
      </c>
      <c r="BB103" s="48">
        <v>1</v>
      </c>
      <c r="BC103" s="48">
        <v>0.97</v>
      </c>
      <c r="BD103" s="48">
        <v>0.95</v>
      </c>
      <c r="BE103" s="48">
        <v>0.93</v>
      </c>
      <c r="BF103" s="48">
        <f t="shared" ref="BF103:BW103" si="1171">+BE103-0.02</f>
        <v>0.91</v>
      </c>
      <c r="BG103" s="48">
        <f t="shared" si="1171"/>
        <v>0.89</v>
      </c>
      <c r="BH103" s="48">
        <f t="shared" si="1171"/>
        <v>0.87</v>
      </c>
      <c r="BI103" s="48">
        <f t="shared" si="1171"/>
        <v>0.85</v>
      </c>
      <c r="BJ103" s="48">
        <f t="shared" si="1171"/>
        <v>0.83</v>
      </c>
      <c r="BK103" s="48">
        <f t="shared" si="1171"/>
        <v>0.80999999999999994</v>
      </c>
      <c r="BL103" s="48">
        <f t="shared" si="1171"/>
        <v>0.78999999999999992</v>
      </c>
      <c r="BM103" s="48">
        <f t="shared" si="1171"/>
        <v>0.76999999999999991</v>
      </c>
      <c r="BN103" s="48">
        <f t="shared" si="1171"/>
        <v>0.74999999999999989</v>
      </c>
      <c r="BO103" s="48">
        <f t="shared" si="1171"/>
        <v>0.72999999999999987</v>
      </c>
      <c r="BP103" s="48">
        <f t="shared" si="1171"/>
        <v>0.70999999999999985</v>
      </c>
      <c r="BQ103" s="48">
        <f t="shared" si="1171"/>
        <v>0.68999999999999984</v>
      </c>
      <c r="BR103" s="48">
        <f t="shared" si="1171"/>
        <v>0.66999999999999982</v>
      </c>
      <c r="BS103" s="48">
        <f t="shared" si="1171"/>
        <v>0.6499999999999998</v>
      </c>
      <c r="BT103" s="48">
        <f t="shared" si="1171"/>
        <v>0.62999999999999978</v>
      </c>
      <c r="BU103" s="48">
        <f t="shared" si="1171"/>
        <v>0.60999999999999976</v>
      </c>
      <c r="BV103" s="48">
        <f t="shared" si="1171"/>
        <v>0.58999999999999975</v>
      </c>
      <c r="BW103" s="48">
        <f t="shared" si="1171"/>
        <v>0.56999999999999973</v>
      </c>
      <c r="BY103" s="48">
        <f t="shared" si="952"/>
        <v>0</v>
      </c>
      <c r="BZ103" s="48">
        <f t="shared" si="953"/>
        <v>0</v>
      </c>
      <c r="CA103" s="51">
        <f t="shared" ref="CA103" si="1172">+BZ103*3.3058</f>
        <v>0</v>
      </c>
      <c r="CB103" s="48">
        <f t="shared" si="1033"/>
        <v>0</v>
      </c>
      <c r="CC103" s="51">
        <f t="shared" si="1034"/>
        <v>0</v>
      </c>
      <c r="CD103" s="48">
        <f t="shared" si="1035"/>
        <v>0</v>
      </c>
      <c r="CE103" s="51">
        <f t="shared" si="1036"/>
        <v>0</v>
      </c>
      <c r="CF103" s="48">
        <f t="shared" si="1037"/>
        <v>0</v>
      </c>
      <c r="CG103" s="51">
        <f t="shared" si="1038"/>
        <v>0</v>
      </c>
      <c r="CH103" s="52">
        <f t="shared" si="1039"/>
        <v>0</v>
      </c>
      <c r="CI103" s="51">
        <f t="shared" si="1040"/>
        <v>0</v>
      </c>
      <c r="CJ103" s="48">
        <f t="shared" si="1041"/>
        <v>0</v>
      </c>
      <c r="CK103" s="51">
        <f t="shared" si="1042"/>
        <v>0</v>
      </c>
      <c r="CL103" s="52">
        <f t="shared" si="1043"/>
        <v>0</v>
      </c>
      <c r="CM103" s="51">
        <f t="shared" si="1044"/>
        <v>0</v>
      </c>
      <c r="CN103" s="53">
        <f t="shared" si="1045"/>
        <v>0</v>
      </c>
      <c r="CO103" s="51">
        <f t="shared" si="1046"/>
        <v>0</v>
      </c>
      <c r="CP103" s="52">
        <f t="shared" si="1047"/>
        <v>0</v>
      </c>
      <c r="CQ103" s="51">
        <f t="shared" si="1048"/>
        <v>0</v>
      </c>
      <c r="CR103" s="48">
        <f t="shared" si="1049"/>
        <v>0</v>
      </c>
      <c r="CS103" s="51">
        <f t="shared" si="1050"/>
        <v>0</v>
      </c>
      <c r="CT103" s="53">
        <f t="shared" si="1051"/>
        <v>0</v>
      </c>
      <c r="CU103" s="51">
        <f t="shared" si="1052"/>
        <v>0</v>
      </c>
      <c r="CV103" s="53">
        <f t="shared" si="1053"/>
        <v>0</v>
      </c>
      <c r="CW103" s="51">
        <f t="shared" si="1054"/>
        <v>0</v>
      </c>
      <c r="CX103" s="53">
        <f t="shared" si="1055"/>
        <v>0</v>
      </c>
      <c r="CY103" s="51">
        <f t="shared" si="1056"/>
        <v>0</v>
      </c>
      <c r="CZ103" s="48">
        <f t="shared" si="1057"/>
        <v>0</v>
      </c>
      <c r="DA103" s="51">
        <f t="shared" si="1058"/>
        <v>0</v>
      </c>
      <c r="DB103" s="53">
        <f t="shared" si="1059"/>
        <v>0</v>
      </c>
      <c r="DC103" s="51">
        <f t="shared" si="1060"/>
        <v>0</v>
      </c>
      <c r="DD103" s="53">
        <f t="shared" si="1061"/>
        <v>0</v>
      </c>
      <c r="DE103" s="51">
        <f t="shared" si="1062"/>
        <v>0</v>
      </c>
      <c r="DF103" s="53">
        <f t="shared" si="1063"/>
        <v>0</v>
      </c>
      <c r="DG103" s="51">
        <f t="shared" si="1064"/>
        <v>0</v>
      </c>
      <c r="DH103" s="53">
        <f t="shared" si="1065"/>
        <v>0</v>
      </c>
      <c r="DI103" s="51">
        <f t="shared" si="1066"/>
        <v>0</v>
      </c>
      <c r="DJ103" s="48">
        <f t="shared" si="1067"/>
        <v>0</v>
      </c>
      <c r="DK103" s="51">
        <f t="shared" si="1068"/>
        <v>0</v>
      </c>
      <c r="DL103" s="53">
        <f t="shared" si="1069"/>
        <v>0</v>
      </c>
      <c r="DM103" s="51">
        <f t="shared" si="1070"/>
        <v>0</v>
      </c>
      <c r="DN103" s="53">
        <f t="shared" si="1071"/>
        <v>0</v>
      </c>
      <c r="DO103" s="51">
        <f t="shared" si="1072"/>
        <v>0</v>
      </c>
      <c r="DP103" s="48">
        <f t="shared" si="1073"/>
        <v>0</v>
      </c>
      <c r="DQ103" s="51">
        <f t="shared" si="1074"/>
        <v>0</v>
      </c>
      <c r="DT103" s="48">
        <v>1</v>
      </c>
      <c r="DU103" s="48">
        <v>0.97</v>
      </c>
      <c r="DV103" s="48">
        <v>0.95</v>
      </c>
      <c r="DW103" s="48">
        <v>0.93</v>
      </c>
      <c r="DX103" s="48">
        <f t="shared" ref="DX103:EO103" si="1173">+DW103-0.02</f>
        <v>0.91</v>
      </c>
      <c r="DY103" s="48">
        <f t="shared" si="1173"/>
        <v>0.89</v>
      </c>
      <c r="DZ103" s="48">
        <f t="shared" si="1173"/>
        <v>0.87</v>
      </c>
      <c r="EA103" s="48">
        <f t="shared" si="1173"/>
        <v>0.85</v>
      </c>
      <c r="EB103" s="48">
        <f t="shared" si="1173"/>
        <v>0.83</v>
      </c>
      <c r="EC103" s="48">
        <f t="shared" si="1173"/>
        <v>0.80999999999999994</v>
      </c>
      <c r="ED103" s="48">
        <f t="shared" si="1173"/>
        <v>0.78999999999999992</v>
      </c>
      <c r="EE103" s="48">
        <f t="shared" si="1173"/>
        <v>0.76999999999999991</v>
      </c>
      <c r="EF103" s="48">
        <f t="shared" si="1173"/>
        <v>0.74999999999999989</v>
      </c>
      <c r="EG103" s="48">
        <f t="shared" si="1173"/>
        <v>0.72999999999999987</v>
      </c>
      <c r="EH103" s="48">
        <f t="shared" si="1173"/>
        <v>0.70999999999999985</v>
      </c>
      <c r="EI103" s="48">
        <f t="shared" si="1173"/>
        <v>0.68999999999999984</v>
      </c>
      <c r="EJ103" s="48">
        <f t="shared" si="1173"/>
        <v>0.66999999999999982</v>
      </c>
      <c r="EK103" s="48">
        <f t="shared" si="1173"/>
        <v>0.6499999999999998</v>
      </c>
      <c r="EL103" s="48">
        <f t="shared" si="1173"/>
        <v>0.62999999999999978</v>
      </c>
      <c r="EM103" s="48">
        <f t="shared" si="1173"/>
        <v>0.60999999999999976</v>
      </c>
      <c r="EN103" s="48">
        <f t="shared" si="1173"/>
        <v>0.58999999999999975</v>
      </c>
      <c r="EO103" s="48">
        <f t="shared" si="1173"/>
        <v>0.56999999999999973</v>
      </c>
      <c r="EQ103" s="48">
        <f t="shared" si="1128"/>
        <v>0</v>
      </c>
      <c r="ER103" s="48">
        <f t="shared" si="956"/>
        <v>0</v>
      </c>
      <c r="ES103" s="51">
        <f t="shared" ref="ES103" si="1174">+ER103*3.3058</f>
        <v>0</v>
      </c>
      <c r="ET103" s="48">
        <f t="shared" si="1077"/>
        <v>0</v>
      </c>
      <c r="EU103" s="51">
        <f t="shared" si="1078"/>
        <v>0</v>
      </c>
      <c r="EV103" s="48">
        <f t="shared" si="1079"/>
        <v>0</v>
      </c>
      <c r="EW103" s="51">
        <f t="shared" si="1080"/>
        <v>0</v>
      </c>
      <c r="EX103" s="48">
        <f t="shared" si="1081"/>
        <v>0</v>
      </c>
      <c r="EY103" s="51">
        <f t="shared" si="1082"/>
        <v>0</v>
      </c>
      <c r="EZ103" s="52">
        <f t="shared" si="1083"/>
        <v>0</v>
      </c>
      <c r="FA103" s="51">
        <f t="shared" si="1084"/>
        <v>0</v>
      </c>
      <c r="FB103" s="48">
        <f t="shared" si="1085"/>
        <v>0</v>
      </c>
      <c r="FC103" s="51">
        <f t="shared" si="1086"/>
        <v>0</v>
      </c>
      <c r="FD103" s="52">
        <f t="shared" si="1087"/>
        <v>0</v>
      </c>
      <c r="FE103" s="51">
        <f t="shared" si="1088"/>
        <v>0</v>
      </c>
      <c r="FF103" s="53">
        <f t="shared" si="1089"/>
        <v>0</v>
      </c>
      <c r="FG103" s="51">
        <f t="shared" si="1090"/>
        <v>0</v>
      </c>
      <c r="FH103" s="52">
        <f t="shared" si="1091"/>
        <v>0</v>
      </c>
      <c r="FI103" s="51">
        <f t="shared" si="1092"/>
        <v>0</v>
      </c>
      <c r="FJ103" s="48">
        <f t="shared" si="1093"/>
        <v>0</v>
      </c>
      <c r="FK103" s="51">
        <f t="shared" si="1094"/>
        <v>0</v>
      </c>
      <c r="FL103" s="53">
        <f t="shared" si="1095"/>
        <v>0</v>
      </c>
      <c r="FM103" s="51">
        <f t="shared" si="1096"/>
        <v>0</v>
      </c>
      <c r="FN103" s="53">
        <f t="shared" si="1097"/>
        <v>0</v>
      </c>
      <c r="FO103" s="51">
        <f t="shared" si="1098"/>
        <v>0</v>
      </c>
      <c r="FP103" s="53">
        <f t="shared" si="1099"/>
        <v>0</v>
      </c>
      <c r="FQ103" s="51">
        <f t="shared" si="1100"/>
        <v>0</v>
      </c>
      <c r="FR103" s="48">
        <f t="shared" si="1101"/>
        <v>0</v>
      </c>
      <c r="FS103" s="51">
        <f t="shared" si="1102"/>
        <v>0</v>
      </c>
      <c r="FT103" s="53">
        <f t="shared" si="1103"/>
        <v>0</v>
      </c>
      <c r="FU103" s="51">
        <f t="shared" si="1104"/>
        <v>0</v>
      </c>
      <c r="FV103" s="53">
        <f t="shared" si="1105"/>
        <v>0</v>
      </c>
      <c r="FW103" s="51">
        <f t="shared" si="1106"/>
        <v>0</v>
      </c>
      <c r="FX103" s="53">
        <f t="shared" si="1107"/>
        <v>0</v>
      </c>
      <c r="FY103" s="51">
        <f t="shared" si="1108"/>
        <v>0</v>
      </c>
      <c r="FZ103" s="53">
        <f t="shared" si="1109"/>
        <v>0</v>
      </c>
      <c r="GA103" s="51">
        <f t="shared" si="1110"/>
        <v>0</v>
      </c>
      <c r="GB103" s="48">
        <f t="shared" si="1111"/>
        <v>0</v>
      </c>
      <c r="GC103" s="51">
        <f t="shared" si="1112"/>
        <v>0</v>
      </c>
      <c r="GD103" s="53">
        <f t="shared" si="1113"/>
        <v>0</v>
      </c>
      <c r="GE103" s="51">
        <f t="shared" si="1114"/>
        <v>0</v>
      </c>
      <c r="GF103" s="53">
        <f t="shared" si="1115"/>
        <v>0</v>
      </c>
      <c r="GG103" s="51">
        <f t="shared" si="1116"/>
        <v>0</v>
      </c>
      <c r="GH103" s="48">
        <f t="shared" si="1117"/>
        <v>0</v>
      </c>
      <c r="GI103" s="51">
        <f t="shared" si="1118"/>
        <v>0</v>
      </c>
      <c r="GJ103" s="48"/>
      <c r="GK103" s="48"/>
      <c r="GL103" s="48">
        <v>1</v>
      </c>
      <c r="GM103" s="48">
        <v>0.97</v>
      </c>
      <c r="GN103" s="48">
        <v>0.95</v>
      </c>
      <c r="GO103" s="48">
        <v>0.93</v>
      </c>
      <c r="GP103" s="48">
        <f t="shared" ref="GP103:HG103" si="1175">+GO103-0.02</f>
        <v>0.91</v>
      </c>
      <c r="GQ103" s="48">
        <f t="shared" si="1175"/>
        <v>0.89</v>
      </c>
      <c r="GR103" s="48">
        <f t="shared" si="1175"/>
        <v>0.87</v>
      </c>
      <c r="GS103" s="48">
        <f t="shared" si="1175"/>
        <v>0.85</v>
      </c>
      <c r="GT103" s="48">
        <f t="shared" si="1175"/>
        <v>0.83</v>
      </c>
      <c r="GU103" s="48">
        <f t="shared" si="1175"/>
        <v>0.80999999999999994</v>
      </c>
      <c r="GV103" s="48">
        <f t="shared" si="1175"/>
        <v>0.78999999999999992</v>
      </c>
      <c r="GW103" s="48">
        <f t="shared" si="1175"/>
        <v>0.76999999999999991</v>
      </c>
      <c r="GX103" s="48">
        <f t="shared" si="1175"/>
        <v>0.74999999999999989</v>
      </c>
      <c r="GY103" s="48">
        <f t="shared" si="1175"/>
        <v>0.72999999999999987</v>
      </c>
      <c r="GZ103" s="48">
        <f t="shared" si="1175"/>
        <v>0.70999999999999985</v>
      </c>
      <c r="HA103" s="48">
        <f t="shared" si="1175"/>
        <v>0.68999999999999984</v>
      </c>
      <c r="HB103" s="48">
        <f t="shared" si="1175"/>
        <v>0.66999999999999982</v>
      </c>
      <c r="HC103" s="48">
        <f t="shared" si="1175"/>
        <v>0.6499999999999998</v>
      </c>
      <c r="HD103" s="48">
        <f t="shared" si="1175"/>
        <v>0.62999999999999978</v>
      </c>
      <c r="HE103" s="48">
        <f t="shared" si="1175"/>
        <v>0.60999999999999976</v>
      </c>
      <c r="HF103" s="48">
        <f t="shared" si="1175"/>
        <v>0.58999999999999975</v>
      </c>
      <c r="HG103" s="48">
        <f t="shared" si="1175"/>
        <v>0.56999999999999973</v>
      </c>
    </row>
    <row r="104" spans="1:215" x14ac:dyDescent="0.3">
      <c r="A104" s="2">
        <v>13</v>
      </c>
      <c r="C104" s="29" t="s">
        <v>172</v>
      </c>
      <c r="D104" s="44">
        <v>0</v>
      </c>
      <c r="E104" s="73">
        <f t="shared" si="988"/>
        <v>0</v>
      </c>
      <c r="G104" s="48">
        <f t="shared" si="948"/>
        <v>0</v>
      </c>
      <c r="H104" s="48">
        <f t="shared" si="949"/>
        <v>0</v>
      </c>
      <c r="I104" s="51">
        <f t="shared" si="950"/>
        <v>0</v>
      </c>
      <c r="J104" s="48">
        <f t="shared" si="989"/>
        <v>0</v>
      </c>
      <c r="K104" s="51">
        <f t="shared" si="990"/>
        <v>0</v>
      </c>
      <c r="L104" s="48">
        <f t="shared" si="991"/>
        <v>0</v>
      </c>
      <c r="M104" s="51">
        <f t="shared" si="992"/>
        <v>0</v>
      </c>
      <c r="N104" s="48">
        <f t="shared" si="993"/>
        <v>0</v>
      </c>
      <c r="O104" s="51">
        <f t="shared" si="994"/>
        <v>0</v>
      </c>
      <c r="P104" s="52">
        <f t="shared" si="995"/>
        <v>0</v>
      </c>
      <c r="Q104" s="51">
        <f t="shared" si="996"/>
        <v>0</v>
      </c>
      <c r="R104" s="48">
        <f t="shared" si="997"/>
        <v>0</v>
      </c>
      <c r="S104" s="51">
        <f t="shared" si="998"/>
        <v>0</v>
      </c>
      <c r="T104" s="52">
        <f t="shared" si="999"/>
        <v>0</v>
      </c>
      <c r="U104" s="51">
        <f t="shared" si="1000"/>
        <v>0</v>
      </c>
      <c r="V104" s="53">
        <f t="shared" si="1001"/>
        <v>0</v>
      </c>
      <c r="W104" s="51">
        <f t="shared" si="1002"/>
        <v>0</v>
      </c>
      <c r="X104" s="52">
        <f t="shared" si="1003"/>
        <v>0</v>
      </c>
      <c r="Y104" s="51">
        <f t="shared" si="1004"/>
        <v>0</v>
      </c>
      <c r="Z104" s="48">
        <f t="shared" si="1005"/>
        <v>0</v>
      </c>
      <c r="AA104" s="51">
        <f t="shared" si="1006"/>
        <v>0</v>
      </c>
      <c r="AB104" s="53">
        <f t="shared" si="1007"/>
        <v>0</v>
      </c>
      <c r="AC104" s="51">
        <f t="shared" si="1008"/>
        <v>0</v>
      </c>
      <c r="AD104" s="53">
        <f t="shared" si="1009"/>
        <v>0</v>
      </c>
      <c r="AE104" s="51">
        <f t="shared" si="1010"/>
        <v>0</v>
      </c>
      <c r="AF104" s="53">
        <f t="shared" si="1011"/>
        <v>0</v>
      </c>
      <c r="AG104" s="51">
        <f t="shared" si="1012"/>
        <v>0</v>
      </c>
      <c r="AH104" s="48">
        <f t="shared" si="1013"/>
        <v>0</v>
      </c>
      <c r="AI104" s="51">
        <f t="shared" si="1014"/>
        <v>0</v>
      </c>
      <c r="AJ104" s="53">
        <f t="shared" si="1015"/>
        <v>0</v>
      </c>
      <c r="AK104" s="51">
        <f t="shared" si="1016"/>
        <v>0</v>
      </c>
      <c r="AL104" s="53">
        <f t="shared" si="1017"/>
        <v>0</v>
      </c>
      <c r="AM104" s="51">
        <f t="shared" si="1018"/>
        <v>0</v>
      </c>
      <c r="AN104" s="53">
        <f t="shared" si="1019"/>
        <v>0</v>
      </c>
      <c r="AO104" s="51">
        <f t="shared" si="1020"/>
        <v>0</v>
      </c>
      <c r="AP104" s="53">
        <f t="shared" si="1021"/>
        <v>0</v>
      </c>
      <c r="AQ104" s="51">
        <f t="shared" si="1022"/>
        <v>0</v>
      </c>
      <c r="AR104" s="48">
        <f t="shared" si="1023"/>
        <v>0</v>
      </c>
      <c r="AS104" s="51">
        <f t="shared" si="1024"/>
        <v>0</v>
      </c>
      <c r="AT104" s="53">
        <f t="shared" si="1025"/>
        <v>0</v>
      </c>
      <c r="AU104" s="51">
        <f t="shared" si="1026"/>
        <v>0</v>
      </c>
      <c r="AV104" s="53">
        <f t="shared" si="1027"/>
        <v>0</v>
      </c>
      <c r="AW104" s="51">
        <f t="shared" si="1028"/>
        <v>0</v>
      </c>
      <c r="AX104" s="48">
        <f t="shared" si="1029"/>
        <v>0</v>
      </c>
      <c r="AY104" s="51">
        <f t="shared" si="1030"/>
        <v>0</v>
      </c>
      <c r="BB104" s="48">
        <v>1</v>
      </c>
      <c r="BC104" s="48">
        <v>0.97</v>
      </c>
      <c r="BD104" s="48">
        <v>0.95</v>
      </c>
      <c r="BE104" s="48">
        <v>0.93</v>
      </c>
      <c r="BF104" s="48">
        <f t="shared" ref="BF104:BW104" si="1176">+BE104-0.02</f>
        <v>0.91</v>
      </c>
      <c r="BG104" s="48">
        <f t="shared" si="1176"/>
        <v>0.89</v>
      </c>
      <c r="BH104" s="48">
        <f t="shared" si="1176"/>
        <v>0.87</v>
      </c>
      <c r="BI104" s="48">
        <f t="shared" si="1176"/>
        <v>0.85</v>
      </c>
      <c r="BJ104" s="48">
        <f t="shared" si="1176"/>
        <v>0.83</v>
      </c>
      <c r="BK104" s="48">
        <f t="shared" si="1176"/>
        <v>0.80999999999999994</v>
      </c>
      <c r="BL104" s="48">
        <f t="shared" si="1176"/>
        <v>0.78999999999999992</v>
      </c>
      <c r="BM104" s="48">
        <f t="shared" si="1176"/>
        <v>0.76999999999999991</v>
      </c>
      <c r="BN104" s="48">
        <f t="shared" si="1176"/>
        <v>0.74999999999999989</v>
      </c>
      <c r="BO104" s="48">
        <f t="shared" si="1176"/>
        <v>0.72999999999999987</v>
      </c>
      <c r="BP104" s="48">
        <f t="shared" si="1176"/>
        <v>0.70999999999999985</v>
      </c>
      <c r="BQ104" s="48">
        <f t="shared" si="1176"/>
        <v>0.68999999999999984</v>
      </c>
      <c r="BR104" s="48">
        <f t="shared" si="1176"/>
        <v>0.66999999999999982</v>
      </c>
      <c r="BS104" s="48">
        <f t="shared" si="1176"/>
        <v>0.6499999999999998</v>
      </c>
      <c r="BT104" s="48">
        <f t="shared" si="1176"/>
        <v>0.62999999999999978</v>
      </c>
      <c r="BU104" s="48">
        <f t="shared" si="1176"/>
        <v>0.60999999999999976</v>
      </c>
      <c r="BV104" s="48">
        <f t="shared" si="1176"/>
        <v>0.58999999999999975</v>
      </c>
      <c r="BW104" s="48">
        <f t="shared" si="1176"/>
        <v>0.56999999999999973</v>
      </c>
      <c r="BY104" s="48">
        <f t="shared" si="952"/>
        <v>0</v>
      </c>
      <c r="BZ104" s="48">
        <f t="shared" si="953"/>
        <v>0</v>
      </c>
      <c r="CA104" s="51">
        <f t="shared" ref="CA104" si="1177">+BZ104*3.3058</f>
        <v>0</v>
      </c>
      <c r="CB104" s="48">
        <f t="shared" si="1033"/>
        <v>0</v>
      </c>
      <c r="CC104" s="51">
        <f t="shared" si="1034"/>
        <v>0</v>
      </c>
      <c r="CD104" s="48">
        <f t="shared" si="1035"/>
        <v>0</v>
      </c>
      <c r="CE104" s="51">
        <f t="shared" si="1036"/>
        <v>0</v>
      </c>
      <c r="CF104" s="48">
        <f t="shared" si="1037"/>
        <v>0</v>
      </c>
      <c r="CG104" s="51">
        <f t="shared" si="1038"/>
        <v>0</v>
      </c>
      <c r="CH104" s="52">
        <f t="shared" si="1039"/>
        <v>0</v>
      </c>
      <c r="CI104" s="51">
        <f t="shared" si="1040"/>
        <v>0</v>
      </c>
      <c r="CJ104" s="48">
        <f t="shared" si="1041"/>
        <v>0</v>
      </c>
      <c r="CK104" s="51">
        <f t="shared" si="1042"/>
        <v>0</v>
      </c>
      <c r="CL104" s="52">
        <f t="shared" si="1043"/>
        <v>0</v>
      </c>
      <c r="CM104" s="51">
        <f t="shared" si="1044"/>
        <v>0</v>
      </c>
      <c r="CN104" s="53">
        <f t="shared" si="1045"/>
        <v>0</v>
      </c>
      <c r="CO104" s="51">
        <f t="shared" si="1046"/>
        <v>0</v>
      </c>
      <c r="CP104" s="52">
        <f t="shared" si="1047"/>
        <v>0</v>
      </c>
      <c r="CQ104" s="51">
        <f t="shared" si="1048"/>
        <v>0</v>
      </c>
      <c r="CR104" s="48">
        <f t="shared" si="1049"/>
        <v>0</v>
      </c>
      <c r="CS104" s="51">
        <f t="shared" si="1050"/>
        <v>0</v>
      </c>
      <c r="CT104" s="53">
        <f t="shared" si="1051"/>
        <v>0</v>
      </c>
      <c r="CU104" s="51">
        <f t="shared" si="1052"/>
        <v>0</v>
      </c>
      <c r="CV104" s="53">
        <f t="shared" si="1053"/>
        <v>0</v>
      </c>
      <c r="CW104" s="51">
        <f t="shared" si="1054"/>
        <v>0</v>
      </c>
      <c r="CX104" s="53">
        <f t="shared" si="1055"/>
        <v>0</v>
      </c>
      <c r="CY104" s="51">
        <f t="shared" si="1056"/>
        <v>0</v>
      </c>
      <c r="CZ104" s="48">
        <f t="shared" si="1057"/>
        <v>0</v>
      </c>
      <c r="DA104" s="51">
        <f t="shared" si="1058"/>
        <v>0</v>
      </c>
      <c r="DB104" s="53">
        <f t="shared" si="1059"/>
        <v>0</v>
      </c>
      <c r="DC104" s="51">
        <f t="shared" si="1060"/>
        <v>0</v>
      </c>
      <c r="DD104" s="53">
        <f t="shared" si="1061"/>
        <v>0</v>
      </c>
      <c r="DE104" s="51">
        <f t="shared" si="1062"/>
        <v>0</v>
      </c>
      <c r="DF104" s="53">
        <f t="shared" si="1063"/>
        <v>0</v>
      </c>
      <c r="DG104" s="51">
        <f t="shared" si="1064"/>
        <v>0</v>
      </c>
      <c r="DH104" s="53">
        <f t="shared" si="1065"/>
        <v>0</v>
      </c>
      <c r="DI104" s="51">
        <f t="shared" si="1066"/>
        <v>0</v>
      </c>
      <c r="DJ104" s="48">
        <f t="shared" si="1067"/>
        <v>0</v>
      </c>
      <c r="DK104" s="51">
        <f t="shared" si="1068"/>
        <v>0</v>
      </c>
      <c r="DL104" s="53">
        <f t="shared" si="1069"/>
        <v>0</v>
      </c>
      <c r="DM104" s="51">
        <f t="shared" si="1070"/>
        <v>0</v>
      </c>
      <c r="DN104" s="53">
        <f t="shared" si="1071"/>
        <v>0</v>
      </c>
      <c r="DO104" s="51">
        <f t="shared" si="1072"/>
        <v>0</v>
      </c>
      <c r="DP104" s="48">
        <f t="shared" si="1073"/>
        <v>0</v>
      </c>
      <c r="DQ104" s="51">
        <f t="shared" si="1074"/>
        <v>0</v>
      </c>
      <c r="DT104" s="48">
        <v>1</v>
      </c>
      <c r="DU104" s="48">
        <v>0.97</v>
      </c>
      <c r="DV104" s="48">
        <v>0.95</v>
      </c>
      <c r="DW104" s="48">
        <v>0.93</v>
      </c>
      <c r="DX104" s="48">
        <f t="shared" ref="DX104:EO104" si="1178">+DW104-0.02</f>
        <v>0.91</v>
      </c>
      <c r="DY104" s="48">
        <f t="shared" si="1178"/>
        <v>0.89</v>
      </c>
      <c r="DZ104" s="48">
        <f t="shared" si="1178"/>
        <v>0.87</v>
      </c>
      <c r="EA104" s="48">
        <f t="shared" si="1178"/>
        <v>0.85</v>
      </c>
      <c r="EB104" s="48">
        <f t="shared" si="1178"/>
        <v>0.83</v>
      </c>
      <c r="EC104" s="48">
        <f t="shared" si="1178"/>
        <v>0.80999999999999994</v>
      </c>
      <c r="ED104" s="48">
        <f t="shared" si="1178"/>
        <v>0.78999999999999992</v>
      </c>
      <c r="EE104" s="48">
        <f t="shared" si="1178"/>
        <v>0.76999999999999991</v>
      </c>
      <c r="EF104" s="48">
        <f t="shared" si="1178"/>
        <v>0.74999999999999989</v>
      </c>
      <c r="EG104" s="48">
        <f t="shared" si="1178"/>
        <v>0.72999999999999987</v>
      </c>
      <c r="EH104" s="48">
        <f t="shared" si="1178"/>
        <v>0.70999999999999985</v>
      </c>
      <c r="EI104" s="48">
        <f t="shared" si="1178"/>
        <v>0.68999999999999984</v>
      </c>
      <c r="EJ104" s="48">
        <f t="shared" si="1178"/>
        <v>0.66999999999999982</v>
      </c>
      <c r="EK104" s="48">
        <f t="shared" si="1178"/>
        <v>0.6499999999999998</v>
      </c>
      <c r="EL104" s="48">
        <f t="shared" si="1178"/>
        <v>0.62999999999999978</v>
      </c>
      <c r="EM104" s="48">
        <f t="shared" si="1178"/>
        <v>0.60999999999999976</v>
      </c>
      <c r="EN104" s="48">
        <f t="shared" si="1178"/>
        <v>0.58999999999999975</v>
      </c>
      <c r="EO104" s="48">
        <f t="shared" si="1178"/>
        <v>0.56999999999999973</v>
      </c>
      <c r="EQ104" s="48">
        <f t="shared" si="1128"/>
        <v>0</v>
      </c>
      <c r="ER104" s="48">
        <f t="shared" si="956"/>
        <v>0</v>
      </c>
      <c r="ES104" s="51">
        <f t="shared" ref="ES104" si="1179">+ER104*3.3058</f>
        <v>0</v>
      </c>
      <c r="ET104" s="48">
        <f t="shared" si="1077"/>
        <v>0</v>
      </c>
      <c r="EU104" s="51">
        <f t="shared" si="1078"/>
        <v>0</v>
      </c>
      <c r="EV104" s="48">
        <f t="shared" si="1079"/>
        <v>0</v>
      </c>
      <c r="EW104" s="51">
        <f t="shared" si="1080"/>
        <v>0</v>
      </c>
      <c r="EX104" s="48">
        <f t="shared" si="1081"/>
        <v>0</v>
      </c>
      <c r="EY104" s="51">
        <f t="shared" si="1082"/>
        <v>0</v>
      </c>
      <c r="EZ104" s="52">
        <f t="shared" si="1083"/>
        <v>0</v>
      </c>
      <c r="FA104" s="51">
        <f t="shared" si="1084"/>
        <v>0</v>
      </c>
      <c r="FB104" s="48">
        <f t="shared" si="1085"/>
        <v>0</v>
      </c>
      <c r="FC104" s="51">
        <f t="shared" si="1086"/>
        <v>0</v>
      </c>
      <c r="FD104" s="52">
        <f t="shared" si="1087"/>
        <v>0</v>
      </c>
      <c r="FE104" s="51">
        <f t="shared" si="1088"/>
        <v>0</v>
      </c>
      <c r="FF104" s="53">
        <f t="shared" si="1089"/>
        <v>0</v>
      </c>
      <c r="FG104" s="51">
        <f t="shared" si="1090"/>
        <v>0</v>
      </c>
      <c r="FH104" s="52">
        <f t="shared" si="1091"/>
        <v>0</v>
      </c>
      <c r="FI104" s="51">
        <f t="shared" si="1092"/>
        <v>0</v>
      </c>
      <c r="FJ104" s="48">
        <f t="shared" si="1093"/>
        <v>0</v>
      </c>
      <c r="FK104" s="51">
        <f t="shared" si="1094"/>
        <v>0</v>
      </c>
      <c r="FL104" s="53">
        <f t="shared" si="1095"/>
        <v>0</v>
      </c>
      <c r="FM104" s="51">
        <f t="shared" si="1096"/>
        <v>0</v>
      </c>
      <c r="FN104" s="53">
        <f t="shared" si="1097"/>
        <v>0</v>
      </c>
      <c r="FO104" s="51">
        <f t="shared" si="1098"/>
        <v>0</v>
      </c>
      <c r="FP104" s="53">
        <f t="shared" si="1099"/>
        <v>0</v>
      </c>
      <c r="FQ104" s="51">
        <f t="shared" si="1100"/>
        <v>0</v>
      </c>
      <c r="FR104" s="48">
        <f t="shared" si="1101"/>
        <v>0</v>
      </c>
      <c r="FS104" s="51">
        <f t="shared" si="1102"/>
        <v>0</v>
      </c>
      <c r="FT104" s="53">
        <f t="shared" si="1103"/>
        <v>0</v>
      </c>
      <c r="FU104" s="51">
        <f t="shared" si="1104"/>
        <v>0</v>
      </c>
      <c r="FV104" s="53">
        <f t="shared" si="1105"/>
        <v>0</v>
      </c>
      <c r="FW104" s="51">
        <f t="shared" si="1106"/>
        <v>0</v>
      </c>
      <c r="FX104" s="53">
        <f t="shared" si="1107"/>
        <v>0</v>
      </c>
      <c r="FY104" s="51">
        <f t="shared" si="1108"/>
        <v>0</v>
      </c>
      <c r="FZ104" s="53">
        <f t="shared" si="1109"/>
        <v>0</v>
      </c>
      <c r="GA104" s="51">
        <f t="shared" si="1110"/>
        <v>0</v>
      </c>
      <c r="GB104" s="48">
        <f t="shared" si="1111"/>
        <v>0</v>
      </c>
      <c r="GC104" s="51">
        <f t="shared" si="1112"/>
        <v>0</v>
      </c>
      <c r="GD104" s="53">
        <f t="shared" si="1113"/>
        <v>0</v>
      </c>
      <c r="GE104" s="51">
        <f t="shared" si="1114"/>
        <v>0</v>
      </c>
      <c r="GF104" s="53">
        <f t="shared" si="1115"/>
        <v>0</v>
      </c>
      <c r="GG104" s="51">
        <f t="shared" si="1116"/>
        <v>0</v>
      </c>
      <c r="GH104" s="48">
        <f t="shared" si="1117"/>
        <v>0</v>
      </c>
      <c r="GI104" s="51">
        <f t="shared" si="1118"/>
        <v>0</v>
      </c>
      <c r="GJ104" s="48"/>
      <c r="GK104" s="48"/>
      <c r="GL104" s="48">
        <v>1</v>
      </c>
      <c r="GM104" s="48">
        <v>0.97</v>
      </c>
      <c r="GN104" s="48">
        <v>0.95</v>
      </c>
      <c r="GO104" s="48">
        <v>0.93</v>
      </c>
      <c r="GP104" s="48">
        <f t="shared" ref="GP104:HG104" si="1180">+GO104-0.02</f>
        <v>0.91</v>
      </c>
      <c r="GQ104" s="48">
        <f t="shared" si="1180"/>
        <v>0.89</v>
      </c>
      <c r="GR104" s="48">
        <f t="shared" si="1180"/>
        <v>0.87</v>
      </c>
      <c r="GS104" s="48">
        <f t="shared" si="1180"/>
        <v>0.85</v>
      </c>
      <c r="GT104" s="48">
        <f t="shared" si="1180"/>
        <v>0.83</v>
      </c>
      <c r="GU104" s="48">
        <f t="shared" si="1180"/>
        <v>0.80999999999999994</v>
      </c>
      <c r="GV104" s="48">
        <f t="shared" si="1180"/>
        <v>0.78999999999999992</v>
      </c>
      <c r="GW104" s="48">
        <f t="shared" si="1180"/>
        <v>0.76999999999999991</v>
      </c>
      <c r="GX104" s="48">
        <f t="shared" si="1180"/>
        <v>0.74999999999999989</v>
      </c>
      <c r="GY104" s="48">
        <f t="shared" si="1180"/>
        <v>0.72999999999999987</v>
      </c>
      <c r="GZ104" s="48">
        <f t="shared" si="1180"/>
        <v>0.70999999999999985</v>
      </c>
      <c r="HA104" s="48">
        <f t="shared" si="1180"/>
        <v>0.68999999999999984</v>
      </c>
      <c r="HB104" s="48">
        <f t="shared" si="1180"/>
        <v>0.66999999999999982</v>
      </c>
      <c r="HC104" s="48">
        <f t="shared" si="1180"/>
        <v>0.6499999999999998</v>
      </c>
      <c r="HD104" s="48">
        <f t="shared" si="1180"/>
        <v>0.62999999999999978</v>
      </c>
      <c r="HE104" s="48">
        <f t="shared" si="1180"/>
        <v>0.60999999999999976</v>
      </c>
      <c r="HF104" s="48">
        <f t="shared" si="1180"/>
        <v>0.58999999999999975</v>
      </c>
      <c r="HG104" s="48">
        <f t="shared" si="1180"/>
        <v>0.56999999999999973</v>
      </c>
    </row>
    <row r="105" spans="1:215" x14ac:dyDescent="0.3">
      <c r="A105" s="2">
        <v>14</v>
      </c>
      <c r="C105" s="29" t="s">
        <v>173</v>
      </c>
      <c r="D105" s="44">
        <v>0</v>
      </c>
      <c r="E105" s="73">
        <f t="shared" si="988"/>
        <v>0</v>
      </c>
      <c r="G105" s="48">
        <f t="shared" si="948"/>
        <v>0</v>
      </c>
      <c r="H105" s="48">
        <f t="shared" si="949"/>
        <v>0</v>
      </c>
      <c r="I105" s="51">
        <f t="shared" si="950"/>
        <v>0</v>
      </c>
      <c r="J105" s="48">
        <f t="shared" si="989"/>
        <v>0</v>
      </c>
      <c r="K105" s="51">
        <f t="shared" si="990"/>
        <v>0</v>
      </c>
      <c r="L105" s="48">
        <f t="shared" si="991"/>
        <v>0</v>
      </c>
      <c r="M105" s="51">
        <f t="shared" si="992"/>
        <v>0</v>
      </c>
      <c r="N105" s="48">
        <f t="shared" si="993"/>
        <v>0</v>
      </c>
      <c r="O105" s="51">
        <f t="shared" si="994"/>
        <v>0</v>
      </c>
      <c r="P105" s="52">
        <f t="shared" si="995"/>
        <v>0</v>
      </c>
      <c r="Q105" s="51">
        <f t="shared" si="996"/>
        <v>0</v>
      </c>
      <c r="R105" s="48">
        <f t="shared" si="997"/>
        <v>0</v>
      </c>
      <c r="S105" s="51">
        <f t="shared" si="998"/>
        <v>0</v>
      </c>
      <c r="T105" s="52">
        <f t="shared" si="999"/>
        <v>0</v>
      </c>
      <c r="U105" s="51">
        <f t="shared" si="1000"/>
        <v>0</v>
      </c>
      <c r="V105" s="53">
        <f t="shared" si="1001"/>
        <v>0</v>
      </c>
      <c r="W105" s="51">
        <f t="shared" si="1002"/>
        <v>0</v>
      </c>
      <c r="X105" s="52">
        <f t="shared" si="1003"/>
        <v>0</v>
      </c>
      <c r="Y105" s="51">
        <f t="shared" si="1004"/>
        <v>0</v>
      </c>
      <c r="Z105" s="48">
        <f t="shared" si="1005"/>
        <v>0</v>
      </c>
      <c r="AA105" s="51">
        <f t="shared" si="1006"/>
        <v>0</v>
      </c>
      <c r="AB105" s="53">
        <f t="shared" si="1007"/>
        <v>0</v>
      </c>
      <c r="AC105" s="51">
        <f t="shared" si="1008"/>
        <v>0</v>
      </c>
      <c r="AD105" s="53">
        <f t="shared" si="1009"/>
        <v>0</v>
      </c>
      <c r="AE105" s="51">
        <f t="shared" si="1010"/>
        <v>0</v>
      </c>
      <c r="AF105" s="53">
        <f t="shared" si="1011"/>
        <v>0</v>
      </c>
      <c r="AG105" s="51">
        <f t="shared" si="1012"/>
        <v>0</v>
      </c>
      <c r="AH105" s="48">
        <f t="shared" si="1013"/>
        <v>0</v>
      </c>
      <c r="AI105" s="51">
        <f t="shared" si="1014"/>
        <v>0</v>
      </c>
      <c r="AJ105" s="53">
        <f t="shared" si="1015"/>
        <v>0</v>
      </c>
      <c r="AK105" s="51">
        <f t="shared" si="1016"/>
        <v>0</v>
      </c>
      <c r="AL105" s="53">
        <f t="shared" si="1017"/>
        <v>0</v>
      </c>
      <c r="AM105" s="51">
        <f t="shared" si="1018"/>
        <v>0</v>
      </c>
      <c r="AN105" s="53">
        <f t="shared" si="1019"/>
        <v>0</v>
      </c>
      <c r="AO105" s="51">
        <f t="shared" si="1020"/>
        <v>0</v>
      </c>
      <c r="AP105" s="53">
        <f t="shared" si="1021"/>
        <v>0</v>
      </c>
      <c r="AQ105" s="51">
        <f t="shared" si="1022"/>
        <v>0</v>
      </c>
      <c r="AR105" s="48">
        <f t="shared" si="1023"/>
        <v>0</v>
      </c>
      <c r="AS105" s="51">
        <f t="shared" si="1024"/>
        <v>0</v>
      </c>
      <c r="AT105" s="53">
        <f t="shared" si="1025"/>
        <v>0</v>
      </c>
      <c r="AU105" s="51">
        <f t="shared" si="1026"/>
        <v>0</v>
      </c>
      <c r="AV105" s="53">
        <f t="shared" si="1027"/>
        <v>0</v>
      </c>
      <c r="AW105" s="51">
        <f t="shared" si="1028"/>
        <v>0</v>
      </c>
      <c r="AX105" s="48">
        <f t="shared" si="1029"/>
        <v>0</v>
      </c>
      <c r="AY105" s="51">
        <f t="shared" si="1030"/>
        <v>0</v>
      </c>
      <c r="BB105" s="48">
        <v>1</v>
      </c>
      <c r="BC105" s="48">
        <v>0.97</v>
      </c>
      <c r="BD105" s="48">
        <v>0.95</v>
      </c>
      <c r="BE105" s="48">
        <v>0.93</v>
      </c>
      <c r="BF105" s="48">
        <f t="shared" ref="BF105:BW105" si="1181">+BE105-0.02</f>
        <v>0.91</v>
      </c>
      <c r="BG105" s="48">
        <f t="shared" si="1181"/>
        <v>0.89</v>
      </c>
      <c r="BH105" s="48">
        <f t="shared" si="1181"/>
        <v>0.87</v>
      </c>
      <c r="BI105" s="48">
        <f t="shared" si="1181"/>
        <v>0.85</v>
      </c>
      <c r="BJ105" s="48">
        <f t="shared" si="1181"/>
        <v>0.83</v>
      </c>
      <c r="BK105" s="48">
        <f t="shared" si="1181"/>
        <v>0.80999999999999994</v>
      </c>
      <c r="BL105" s="48">
        <f t="shared" si="1181"/>
        <v>0.78999999999999992</v>
      </c>
      <c r="BM105" s="48">
        <f t="shared" si="1181"/>
        <v>0.76999999999999991</v>
      </c>
      <c r="BN105" s="48">
        <f t="shared" si="1181"/>
        <v>0.74999999999999989</v>
      </c>
      <c r="BO105" s="48">
        <f t="shared" si="1181"/>
        <v>0.72999999999999987</v>
      </c>
      <c r="BP105" s="48">
        <f t="shared" si="1181"/>
        <v>0.70999999999999985</v>
      </c>
      <c r="BQ105" s="48">
        <f t="shared" si="1181"/>
        <v>0.68999999999999984</v>
      </c>
      <c r="BR105" s="48">
        <f t="shared" si="1181"/>
        <v>0.66999999999999982</v>
      </c>
      <c r="BS105" s="48">
        <f t="shared" si="1181"/>
        <v>0.6499999999999998</v>
      </c>
      <c r="BT105" s="48">
        <f t="shared" si="1181"/>
        <v>0.62999999999999978</v>
      </c>
      <c r="BU105" s="48">
        <f t="shared" si="1181"/>
        <v>0.60999999999999976</v>
      </c>
      <c r="BV105" s="48">
        <f t="shared" si="1181"/>
        <v>0.58999999999999975</v>
      </c>
      <c r="BW105" s="48">
        <f t="shared" si="1181"/>
        <v>0.56999999999999973</v>
      </c>
      <c r="BY105" s="48">
        <f t="shared" si="952"/>
        <v>0</v>
      </c>
      <c r="BZ105" s="48">
        <f t="shared" si="953"/>
        <v>0</v>
      </c>
      <c r="CA105" s="51">
        <f t="shared" ref="CA105" si="1182">+BZ105*3.3058</f>
        <v>0</v>
      </c>
      <c r="CB105" s="48">
        <f t="shared" si="1033"/>
        <v>0</v>
      </c>
      <c r="CC105" s="51">
        <f t="shared" si="1034"/>
        <v>0</v>
      </c>
      <c r="CD105" s="48">
        <f t="shared" si="1035"/>
        <v>0</v>
      </c>
      <c r="CE105" s="51">
        <f t="shared" si="1036"/>
        <v>0</v>
      </c>
      <c r="CF105" s="48">
        <f t="shared" si="1037"/>
        <v>0</v>
      </c>
      <c r="CG105" s="51">
        <f t="shared" si="1038"/>
        <v>0</v>
      </c>
      <c r="CH105" s="52">
        <f t="shared" si="1039"/>
        <v>0</v>
      </c>
      <c r="CI105" s="51">
        <f t="shared" si="1040"/>
        <v>0</v>
      </c>
      <c r="CJ105" s="48">
        <f t="shared" si="1041"/>
        <v>0</v>
      </c>
      <c r="CK105" s="51">
        <f t="shared" si="1042"/>
        <v>0</v>
      </c>
      <c r="CL105" s="52">
        <f t="shared" si="1043"/>
        <v>0</v>
      </c>
      <c r="CM105" s="51">
        <f t="shared" si="1044"/>
        <v>0</v>
      </c>
      <c r="CN105" s="53">
        <f t="shared" si="1045"/>
        <v>0</v>
      </c>
      <c r="CO105" s="51">
        <f t="shared" si="1046"/>
        <v>0</v>
      </c>
      <c r="CP105" s="52">
        <f t="shared" si="1047"/>
        <v>0</v>
      </c>
      <c r="CQ105" s="51">
        <f t="shared" si="1048"/>
        <v>0</v>
      </c>
      <c r="CR105" s="48">
        <f t="shared" si="1049"/>
        <v>0</v>
      </c>
      <c r="CS105" s="51">
        <f t="shared" si="1050"/>
        <v>0</v>
      </c>
      <c r="CT105" s="53">
        <f t="shared" si="1051"/>
        <v>0</v>
      </c>
      <c r="CU105" s="51">
        <f t="shared" si="1052"/>
        <v>0</v>
      </c>
      <c r="CV105" s="53">
        <f t="shared" si="1053"/>
        <v>0</v>
      </c>
      <c r="CW105" s="51">
        <f t="shared" si="1054"/>
        <v>0</v>
      </c>
      <c r="CX105" s="53">
        <f t="shared" si="1055"/>
        <v>0</v>
      </c>
      <c r="CY105" s="51">
        <f t="shared" si="1056"/>
        <v>0</v>
      </c>
      <c r="CZ105" s="48">
        <f t="shared" si="1057"/>
        <v>0</v>
      </c>
      <c r="DA105" s="51">
        <f t="shared" si="1058"/>
        <v>0</v>
      </c>
      <c r="DB105" s="53">
        <f t="shared" si="1059"/>
        <v>0</v>
      </c>
      <c r="DC105" s="51">
        <f t="shared" si="1060"/>
        <v>0</v>
      </c>
      <c r="DD105" s="53">
        <f t="shared" si="1061"/>
        <v>0</v>
      </c>
      <c r="DE105" s="51">
        <f t="shared" si="1062"/>
        <v>0</v>
      </c>
      <c r="DF105" s="53">
        <f t="shared" si="1063"/>
        <v>0</v>
      </c>
      <c r="DG105" s="51">
        <f t="shared" si="1064"/>
        <v>0</v>
      </c>
      <c r="DH105" s="53">
        <f t="shared" si="1065"/>
        <v>0</v>
      </c>
      <c r="DI105" s="51">
        <f t="shared" si="1066"/>
        <v>0</v>
      </c>
      <c r="DJ105" s="48">
        <f t="shared" si="1067"/>
        <v>0</v>
      </c>
      <c r="DK105" s="51">
        <f t="shared" si="1068"/>
        <v>0</v>
      </c>
      <c r="DL105" s="53">
        <f t="shared" si="1069"/>
        <v>0</v>
      </c>
      <c r="DM105" s="51">
        <f t="shared" si="1070"/>
        <v>0</v>
      </c>
      <c r="DN105" s="53">
        <f t="shared" si="1071"/>
        <v>0</v>
      </c>
      <c r="DO105" s="51">
        <f t="shared" si="1072"/>
        <v>0</v>
      </c>
      <c r="DP105" s="48">
        <f t="shared" si="1073"/>
        <v>0</v>
      </c>
      <c r="DQ105" s="51">
        <f t="shared" si="1074"/>
        <v>0</v>
      </c>
      <c r="DT105" s="48">
        <v>1</v>
      </c>
      <c r="DU105" s="48">
        <v>0.97</v>
      </c>
      <c r="DV105" s="48">
        <v>0.95</v>
      </c>
      <c r="DW105" s="48">
        <v>0.93</v>
      </c>
      <c r="DX105" s="48">
        <f t="shared" ref="DX105:EO105" si="1183">+DW105-0.02</f>
        <v>0.91</v>
      </c>
      <c r="DY105" s="48">
        <f t="shared" si="1183"/>
        <v>0.89</v>
      </c>
      <c r="DZ105" s="48">
        <f t="shared" si="1183"/>
        <v>0.87</v>
      </c>
      <c r="EA105" s="48">
        <f t="shared" si="1183"/>
        <v>0.85</v>
      </c>
      <c r="EB105" s="48">
        <f t="shared" si="1183"/>
        <v>0.83</v>
      </c>
      <c r="EC105" s="48">
        <f t="shared" si="1183"/>
        <v>0.80999999999999994</v>
      </c>
      <c r="ED105" s="48">
        <f t="shared" si="1183"/>
        <v>0.78999999999999992</v>
      </c>
      <c r="EE105" s="48">
        <f t="shared" si="1183"/>
        <v>0.76999999999999991</v>
      </c>
      <c r="EF105" s="48">
        <f t="shared" si="1183"/>
        <v>0.74999999999999989</v>
      </c>
      <c r="EG105" s="48">
        <f t="shared" si="1183"/>
        <v>0.72999999999999987</v>
      </c>
      <c r="EH105" s="48">
        <f t="shared" si="1183"/>
        <v>0.70999999999999985</v>
      </c>
      <c r="EI105" s="48">
        <f t="shared" si="1183"/>
        <v>0.68999999999999984</v>
      </c>
      <c r="EJ105" s="48">
        <f t="shared" si="1183"/>
        <v>0.66999999999999982</v>
      </c>
      <c r="EK105" s="48">
        <f t="shared" si="1183"/>
        <v>0.6499999999999998</v>
      </c>
      <c r="EL105" s="48">
        <f t="shared" si="1183"/>
        <v>0.62999999999999978</v>
      </c>
      <c r="EM105" s="48">
        <f t="shared" si="1183"/>
        <v>0.60999999999999976</v>
      </c>
      <c r="EN105" s="48">
        <f t="shared" si="1183"/>
        <v>0.58999999999999975</v>
      </c>
      <c r="EO105" s="48">
        <f t="shared" si="1183"/>
        <v>0.56999999999999973</v>
      </c>
      <c r="EQ105" s="48">
        <f t="shared" si="1128"/>
        <v>0</v>
      </c>
      <c r="ER105" s="48">
        <f t="shared" si="956"/>
        <v>0</v>
      </c>
      <c r="ES105" s="51">
        <f t="shared" ref="ES105" si="1184">+ER105*3.3058</f>
        <v>0</v>
      </c>
      <c r="ET105" s="48">
        <f t="shared" si="1077"/>
        <v>0</v>
      </c>
      <c r="EU105" s="51">
        <f t="shared" si="1078"/>
        <v>0</v>
      </c>
      <c r="EV105" s="48">
        <f t="shared" si="1079"/>
        <v>0</v>
      </c>
      <c r="EW105" s="51">
        <f t="shared" si="1080"/>
        <v>0</v>
      </c>
      <c r="EX105" s="48">
        <f t="shared" si="1081"/>
        <v>0</v>
      </c>
      <c r="EY105" s="51">
        <f t="shared" si="1082"/>
        <v>0</v>
      </c>
      <c r="EZ105" s="52">
        <f t="shared" si="1083"/>
        <v>0</v>
      </c>
      <c r="FA105" s="51">
        <f t="shared" si="1084"/>
        <v>0</v>
      </c>
      <c r="FB105" s="48">
        <f t="shared" si="1085"/>
        <v>0</v>
      </c>
      <c r="FC105" s="51">
        <f t="shared" si="1086"/>
        <v>0</v>
      </c>
      <c r="FD105" s="52">
        <f t="shared" si="1087"/>
        <v>0</v>
      </c>
      <c r="FE105" s="51">
        <f t="shared" si="1088"/>
        <v>0</v>
      </c>
      <c r="FF105" s="53">
        <f t="shared" si="1089"/>
        <v>0</v>
      </c>
      <c r="FG105" s="51">
        <f t="shared" si="1090"/>
        <v>0</v>
      </c>
      <c r="FH105" s="52">
        <f t="shared" si="1091"/>
        <v>0</v>
      </c>
      <c r="FI105" s="51">
        <f t="shared" si="1092"/>
        <v>0</v>
      </c>
      <c r="FJ105" s="48">
        <f t="shared" si="1093"/>
        <v>0</v>
      </c>
      <c r="FK105" s="51">
        <f t="shared" si="1094"/>
        <v>0</v>
      </c>
      <c r="FL105" s="53">
        <f t="shared" si="1095"/>
        <v>0</v>
      </c>
      <c r="FM105" s="51">
        <f t="shared" si="1096"/>
        <v>0</v>
      </c>
      <c r="FN105" s="53">
        <f t="shared" si="1097"/>
        <v>0</v>
      </c>
      <c r="FO105" s="51">
        <f t="shared" si="1098"/>
        <v>0</v>
      </c>
      <c r="FP105" s="53">
        <f t="shared" si="1099"/>
        <v>0</v>
      </c>
      <c r="FQ105" s="51">
        <f t="shared" si="1100"/>
        <v>0</v>
      </c>
      <c r="FR105" s="48">
        <f t="shared" si="1101"/>
        <v>0</v>
      </c>
      <c r="FS105" s="51">
        <f t="shared" si="1102"/>
        <v>0</v>
      </c>
      <c r="FT105" s="53">
        <f t="shared" si="1103"/>
        <v>0</v>
      </c>
      <c r="FU105" s="51">
        <f t="shared" si="1104"/>
        <v>0</v>
      </c>
      <c r="FV105" s="53">
        <f t="shared" si="1105"/>
        <v>0</v>
      </c>
      <c r="FW105" s="51">
        <f t="shared" si="1106"/>
        <v>0</v>
      </c>
      <c r="FX105" s="53">
        <f t="shared" si="1107"/>
        <v>0</v>
      </c>
      <c r="FY105" s="51">
        <f t="shared" si="1108"/>
        <v>0</v>
      </c>
      <c r="FZ105" s="53">
        <f t="shared" si="1109"/>
        <v>0</v>
      </c>
      <c r="GA105" s="51">
        <f t="shared" si="1110"/>
        <v>0</v>
      </c>
      <c r="GB105" s="48">
        <f t="shared" si="1111"/>
        <v>0</v>
      </c>
      <c r="GC105" s="51">
        <f t="shared" si="1112"/>
        <v>0</v>
      </c>
      <c r="GD105" s="53">
        <f t="shared" si="1113"/>
        <v>0</v>
      </c>
      <c r="GE105" s="51">
        <f t="shared" si="1114"/>
        <v>0</v>
      </c>
      <c r="GF105" s="53">
        <f t="shared" si="1115"/>
        <v>0</v>
      </c>
      <c r="GG105" s="51">
        <f t="shared" si="1116"/>
        <v>0</v>
      </c>
      <c r="GH105" s="48">
        <f t="shared" si="1117"/>
        <v>0</v>
      </c>
      <c r="GI105" s="51">
        <f t="shared" si="1118"/>
        <v>0</v>
      </c>
      <c r="GJ105" s="48"/>
      <c r="GK105" s="48"/>
      <c r="GL105" s="48">
        <v>1</v>
      </c>
      <c r="GM105" s="48">
        <v>0.97</v>
      </c>
      <c r="GN105" s="48">
        <v>0.95</v>
      </c>
      <c r="GO105" s="48">
        <v>0.93</v>
      </c>
      <c r="GP105" s="48">
        <f t="shared" ref="GP105:HG105" si="1185">+GO105-0.02</f>
        <v>0.91</v>
      </c>
      <c r="GQ105" s="48">
        <f t="shared" si="1185"/>
        <v>0.89</v>
      </c>
      <c r="GR105" s="48">
        <f t="shared" si="1185"/>
        <v>0.87</v>
      </c>
      <c r="GS105" s="48">
        <f t="shared" si="1185"/>
        <v>0.85</v>
      </c>
      <c r="GT105" s="48">
        <f t="shared" si="1185"/>
        <v>0.83</v>
      </c>
      <c r="GU105" s="48">
        <f t="shared" si="1185"/>
        <v>0.80999999999999994</v>
      </c>
      <c r="GV105" s="48">
        <f t="shared" si="1185"/>
        <v>0.78999999999999992</v>
      </c>
      <c r="GW105" s="48">
        <f t="shared" si="1185"/>
        <v>0.76999999999999991</v>
      </c>
      <c r="GX105" s="48">
        <f t="shared" si="1185"/>
        <v>0.74999999999999989</v>
      </c>
      <c r="GY105" s="48">
        <f t="shared" si="1185"/>
        <v>0.72999999999999987</v>
      </c>
      <c r="GZ105" s="48">
        <f t="shared" si="1185"/>
        <v>0.70999999999999985</v>
      </c>
      <c r="HA105" s="48">
        <f t="shared" si="1185"/>
        <v>0.68999999999999984</v>
      </c>
      <c r="HB105" s="48">
        <f t="shared" si="1185"/>
        <v>0.66999999999999982</v>
      </c>
      <c r="HC105" s="48">
        <f t="shared" si="1185"/>
        <v>0.6499999999999998</v>
      </c>
      <c r="HD105" s="48">
        <f t="shared" si="1185"/>
        <v>0.62999999999999978</v>
      </c>
      <c r="HE105" s="48">
        <f t="shared" si="1185"/>
        <v>0.60999999999999976</v>
      </c>
      <c r="HF105" s="48">
        <f t="shared" si="1185"/>
        <v>0.58999999999999975</v>
      </c>
      <c r="HG105" s="48">
        <f t="shared" si="1185"/>
        <v>0.56999999999999973</v>
      </c>
    </row>
    <row r="106" spans="1:215" x14ac:dyDescent="0.3">
      <c r="A106" s="2">
        <v>15</v>
      </c>
      <c r="C106" s="29" t="s">
        <v>174</v>
      </c>
      <c r="D106" s="44">
        <v>0</v>
      </c>
      <c r="E106" s="73">
        <f t="shared" si="988"/>
        <v>0</v>
      </c>
      <c r="G106" s="48">
        <f t="shared" si="948"/>
        <v>0</v>
      </c>
      <c r="H106" s="48">
        <f t="shared" si="949"/>
        <v>0</v>
      </c>
      <c r="I106" s="51">
        <f t="shared" si="950"/>
        <v>0</v>
      </c>
      <c r="J106" s="48">
        <f t="shared" si="989"/>
        <v>0</v>
      </c>
      <c r="K106" s="51">
        <f t="shared" si="990"/>
        <v>0</v>
      </c>
      <c r="L106" s="48">
        <f t="shared" si="991"/>
        <v>0</v>
      </c>
      <c r="M106" s="51">
        <f t="shared" si="992"/>
        <v>0</v>
      </c>
      <c r="N106" s="48">
        <f t="shared" si="993"/>
        <v>0</v>
      </c>
      <c r="O106" s="51">
        <f t="shared" si="994"/>
        <v>0</v>
      </c>
      <c r="P106" s="52">
        <f t="shared" si="995"/>
        <v>0</v>
      </c>
      <c r="Q106" s="51">
        <f t="shared" si="996"/>
        <v>0</v>
      </c>
      <c r="R106" s="48">
        <f t="shared" si="997"/>
        <v>0</v>
      </c>
      <c r="S106" s="51">
        <f t="shared" si="998"/>
        <v>0</v>
      </c>
      <c r="T106" s="52">
        <f t="shared" si="999"/>
        <v>0</v>
      </c>
      <c r="U106" s="51">
        <f t="shared" si="1000"/>
        <v>0</v>
      </c>
      <c r="V106" s="53">
        <f t="shared" si="1001"/>
        <v>0</v>
      </c>
      <c r="W106" s="51">
        <f t="shared" si="1002"/>
        <v>0</v>
      </c>
      <c r="X106" s="52">
        <f t="shared" si="1003"/>
        <v>0</v>
      </c>
      <c r="Y106" s="51">
        <f t="shared" si="1004"/>
        <v>0</v>
      </c>
      <c r="Z106" s="48">
        <f t="shared" si="1005"/>
        <v>0</v>
      </c>
      <c r="AA106" s="51">
        <f t="shared" si="1006"/>
        <v>0</v>
      </c>
      <c r="AB106" s="53">
        <f t="shared" si="1007"/>
        <v>0</v>
      </c>
      <c r="AC106" s="51">
        <f t="shared" si="1008"/>
        <v>0</v>
      </c>
      <c r="AD106" s="53">
        <f t="shared" si="1009"/>
        <v>0</v>
      </c>
      <c r="AE106" s="51">
        <f t="shared" si="1010"/>
        <v>0</v>
      </c>
      <c r="AF106" s="53">
        <f t="shared" si="1011"/>
        <v>0</v>
      </c>
      <c r="AG106" s="51">
        <f t="shared" si="1012"/>
        <v>0</v>
      </c>
      <c r="AH106" s="48">
        <f t="shared" si="1013"/>
        <v>0</v>
      </c>
      <c r="AI106" s="51">
        <f t="shared" si="1014"/>
        <v>0</v>
      </c>
      <c r="AJ106" s="53">
        <f t="shared" si="1015"/>
        <v>0</v>
      </c>
      <c r="AK106" s="51">
        <f t="shared" si="1016"/>
        <v>0</v>
      </c>
      <c r="AL106" s="53">
        <f t="shared" si="1017"/>
        <v>0</v>
      </c>
      <c r="AM106" s="51">
        <f t="shared" si="1018"/>
        <v>0</v>
      </c>
      <c r="AN106" s="53">
        <f t="shared" si="1019"/>
        <v>0</v>
      </c>
      <c r="AO106" s="51">
        <f t="shared" si="1020"/>
        <v>0</v>
      </c>
      <c r="AP106" s="53">
        <f t="shared" si="1021"/>
        <v>0</v>
      </c>
      <c r="AQ106" s="51">
        <f t="shared" si="1022"/>
        <v>0</v>
      </c>
      <c r="AR106" s="48">
        <f t="shared" si="1023"/>
        <v>0</v>
      </c>
      <c r="AS106" s="51">
        <f t="shared" si="1024"/>
        <v>0</v>
      </c>
      <c r="AT106" s="53">
        <f t="shared" si="1025"/>
        <v>0</v>
      </c>
      <c r="AU106" s="51">
        <f t="shared" si="1026"/>
        <v>0</v>
      </c>
      <c r="AV106" s="53">
        <f t="shared" si="1027"/>
        <v>0</v>
      </c>
      <c r="AW106" s="51">
        <f t="shared" si="1028"/>
        <v>0</v>
      </c>
      <c r="AX106" s="48">
        <f t="shared" si="1029"/>
        <v>0</v>
      </c>
      <c r="AY106" s="51">
        <f t="shared" si="1030"/>
        <v>0</v>
      </c>
      <c r="BB106" s="48">
        <v>1</v>
      </c>
      <c r="BC106" s="48">
        <v>0.97</v>
      </c>
      <c r="BD106" s="48">
        <v>0.95</v>
      </c>
      <c r="BE106" s="48">
        <v>0.93</v>
      </c>
      <c r="BF106" s="48">
        <f t="shared" ref="BF106:BW106" si="1186">+BE106-0.02</f>
        <v>0.91</v>
      </c>
      <c r="BG106" s="48">
        <f t="shared" si="1186"/>
        <v>0.89</v>
      </c>
      <c r="BH106" s="48">
        <f t="shared" si="1186"/>
        <v>0.87</v>
      </c>
      <c r="BI106" s="48">
        <f t="shared" si="1186"/>
        <v>0.85</v>
      </c>
      <c r="BJ106" s="48">
        <f t="shared" si="1186"/>
        <v>0.83</v>
      </c>
      <c r="BK106" s="48">
        <f t="shared" si="1186"/>
        <v>0.80999999999999994</v>
      </c>
      <c r="BL106" s="48">
        <f t="shared" si="1186"/>
        <v>0.78999999999999992</v>
      </c>
      <c r="BM106" s="48">
        <f t="shared" si="1186"/>
        <v>0.76999999999999991</v>
      </c>
      <c r="BN106" s="48">
        <f t="shared" si="1186"/>
        <v>0.74999999999999989</v>
      </c>
      <c r="BO106" s="48">
        <f t="shared" si="1186"/>
        <v>0.72999999999999987</v>
      </c>
      <c r="BP106" s="48">
        <f t="shared" si="1186"/>
        <v>0.70999999999999985</v>
      </c>
      <c r="BQ106" s="48">
        <f t="shared" si="1186"/>
        <v>0.68999999999999984</v>
      </c>
      <c r="BR106" s="48">
        <f t="shared" si="1186"/>
        <v>0.66999999999999982</v>
      </c>
      <c r="BS106" s="48">
        <f t="shared" si="1186"/>
        <v>0.6499999999999998</v>
      </c>
      <c r="BT106" s="48">
        <f t="shared" si="1186"/>
        <v>0.62999999999999978</v>
      </c>
      <c r="BU106" s="48">
        <f t="shared" si="1186"/>
        <v>0.60999999999999976</v>
      </c>
      <c r="BV106" s="48">
        <f t="shared" si="1186"/>
        <v>0.58999999999999975</v>
      </c>
      <c r="BW106" s="48">
        <f t="shared" si="1186"/>
        <v>0.56999999999999973</v>
      </c>
      <c r="BY106" s="48">
        <f t="shared" si="952"/>
        <v>0</v>
      </c>
      <c r="BZ106" s="48">
        <f t="shared" si="953"/>
        <v>0</v>
      </c>
      <c r="CA106" s="51">
        <f t="shared" ref="CA106" si="1187">+BZ106*3.3058</f>
        <v>0</v>
      </c>
      <c r="CB106" s="48">
        <f t="shared" si="1033"/>
        <v>0</v>
      </c>
      <c r="CC106" s="51">
        <f t="shared" si="1034"/>
        <v>0</v>
      </c>
      <c r="CD106" s="48">
        <f t="shared" si="1035"/>
        <v>0</v>
      </c>
      <c r="CE106" s="51">
        <f t="shared" si="1036"/>
        <v>0</v>
      </c>
      <c r="CF106" s="48">
        <f t="shared" si="1037"/>
        <v>0</v>
      </c>
      <c r="CG106" s="51">
        <f t="shared" si="1038"/>
        <v>0</v>
      </c>
      <c r="CH106" s="52">
        <f t="shared" si="1039"/>
        <v>0</v>
      </c>
      <c r="CI106" s="51">
        <f t="shared" si="1040"/>
        <v>0</v>
      </c>
      <c r="CJ106" s="48">
        <f t="shared" si="1041"/>
        <v>0</v>
      </c>
      <c r="CK106" s="51">
        <f t="shared" si="1042"/>
        <v>0</v>
      </c>
      <c r="CL106" s="52">
        <f t="shared" si="1043"/>
        <v>0</v>
      </c>
      <c r="CM106" s="51">
        <f t="shared" si="1044"/>
        <v>0</v>
      </c>
      <c r="CN106" s="53">
        <f t="shared" si="1045"/>
        <v>0</v>
      </c>
      <c r="CO106" s="51">
        <f t="shared" si="1046"/>
        <v>0</v>
      </c>
      <c r="CP106" s="52">
        <f t="shared" si="1047"/>
        <v>0</v>
      </c>
      <c r="CQ106" s="51">
        <f t="shared" si="1048"/>
        <v>0</v>
      </c>
      <c r="CR106" s="48">
        <f t="shared" si="1049"/>
        <v>0</v>
      </c>
      <c r="CS106" s="51">
        <f t="shared" si="1050"/>
        <v>0</v>
      </c>
      <c r="CT106" s="53">
        <f t="shared" si="1051"/>
        <v>0</v>
      </c>
      <c r="CU106" s="51">
        <f t="shared" si="1052"/>
        <v>0</v>
      </c>
      <c r="CV106" s="53">
        <f t="shared" si="1053"/>
        <v>0</v>
      </c>
      <c r="CW106" s="51">
        <f t="shared" si="1054"/>
        <v>0</v>
      </c>
      <c r="CX106" s="53">
        <f t="shared" si="1055"/>
        <v>0</v>
      </c>
      <c r="CY106" s="51">
        <f t="shared" si="1056"/>
        <v>0</v>
      </c>
      <c r="CZ106" s="48">
        <f t="shared" si="1057"/>
        <v>0</v>
      </c>
      <c r="DA106" s="51">
        <f t="shared" si="1058"/>
        <v>0</v>
      </c>
      <c r="DB106" s="53">
        <f t="shared" si="1059"/>
        <v>0</v>
      </c>
      <c r="DC106" s="51">
        <f t="shared" si="1060"/>
        <v>0</v>
      </c>
      <c r="DD106" s="53">
        <f t="shared" si="1061"/>
        <v>0</v>
      </c>
      <c r="DE106" s="51">
        <f t="shared" si="1062"/>
        <v>0</v>
      </c>
      <c r="DF106" s="53">
        <f t="shared" si="1063"/>
        <v>0</v>
      </c>
      <c r="DG106" s="51">
        <f t="shared" si="1064"/>
        <v>0</v>
      </c>
      <c r="DH106" s="53">
        <f t="shared" si="1065"/>
        <v>0</v>
      </c>
      <c r="DI106" s="51">
        <f t="shared" si="1066"/>
        <v>0</v>
      </c>
      <c r="DJ106" s="48">
        <f t="shared" si="1067"/>
        <v>0</v>
      </c>
      <c r="DK106" s="51">
        <f t="shared" si="1068"/>
        <v>0</v>
      </c>
      <c r="DL106" s="53">
        <f t="shared" si="1069"/>
        <v>0</v>
      </c>
      <c r="DM106" s="51">
        <f t="shared" si="1070"/>
        <v>0</v>
      </c>
      <c r="DN106" s="53">
        <f t="shared" si="1071"/>
        <v>0</v>
      </c>
      <c r="DO106" s="51">
        <f t="shared" si="1072"/>
        <v>0</v>
      </c>
      <c r="DP106" s="48">
        <f t="shared" si="1073"/>
        <v>0</v>
      </c>
      <c r="DQ106" s="51">
        <f t="shared" si="1074"/>
        <v>0</v>
      </c>
      <c r="DT106" s="48">
        <v>1</v>
      </c>
      <c r="DU106" s="48">
        <v>0.97</v>
      </c>
      <c r="DV106" s="48">
        <v>0.95</v>
      </c>
      <c r="DW106" s="48">
        <v>0.93</v>
      </c>
      <c r="DX106" s="48">
        <f t="shared" ref="DX106:EO106" si="1188">+DW106-0.02</f>
        <v>0.91</v>
      </c>
      <c r="DY106" s="48">
        <f t="shared" si="1188"/>
        <v>0.89</v>
      </c>
      <c r="DZ106" s="48">
        <f t="shared" si="1188"/>
        <v>0.87</v>
      </c>
      <c r="EA106" s="48">
        <f t="shared" si="1188"/>
        <v>0.85</v>
      </c>
      <c r="EB106" s="48">
        <f t="shared" si="1188"/>
        <v>0.83</v>
      </c>
      <c r="EC106" s="48">
        <f t="shared" si="1188"/>
        <v>0.80999999999999994</v>
      </c>
      <c r="ED106" s="48">
        <f t="shared" si="1188"/>
        <v>0.78999999999999992</v>
      </c>
      <c r="EE106" s="48">
        <f t="shared" si="1188"/>
        <v>0.76999999999999991</v>
      </c>
      <c r="EF106" s="48">
        <f t="shared" si="1188"/>
        <v>0.74999999999999989</v>
      </c>
      <c r="EG106" s="48">
        <f t="shared" si="1188"/>
        <v>0.72999999999999987</v>
      </c>
      <c r="EH106" s="48">
        <f t="shared" si="1188"/>
        <v>0.70999999999999985</v>
      </c>
      <c r="EI106" s="48">
        <f t="shared" si="1188"/>
        <v>0.68999999999999984</v>
      </c>
      <c r="EJ106" s="48">
        <f t="shared" si="1188"/>
        <v>0.66999999999999982</v>
      </c>
      <c r="EK106" s="48">
        <f t="shared" si="1188"/>
        <v>0.6499999999999998</v>
      </c>
      <c r="EL106" s="48">
        <f t="shared" si="1188"/>
        <v>0.62999999999999978</v>
      </c>
      <c r="EM106" s="48">
        <f t="shared" si="1188"/>
        <v>0.60999999999999976</v>
      </c>
      <c r="EN106" s="48">
        <f t="shared" si="1188"/>
        <v>0.58999999999999975</v>
      </c>
      <c r="EO106" s="48">
        <f t="shared" si="1188"/>
        <v>0.56999999999999973</v>
      </c>
      <c r="EQ106" s="48">
        <f t="shared" si="1128"/>
        <v>0</v>
      </c>
      <c r="ER106" s="48">
        <f t="shared" si="956"/>
        <v>0</v>
      </c>
      <c r="ES106" s="51">
        <f t="shared" ref="ES106" si="1189">+ER106*3.3058</f>
        <v>0</v>
      </c>
      <c r="ET106" s="48">
        <f t="shared" si="1077"/>
        <v>0</v>
      </c>
      <c r="EU106" s="51">
        <f t="shared" si="1078"/>
        <v>0</v>
      </c>
      <c r="EV106" s="48">
        <f t="shared" si="1079"/>
        <v>0</v>
      </c>
      <c r="EW106" s="51">
        <f t="shared" si="1080"/>
        <v>0</v>
      </c>
      <c r="EX106" s="48">
        <f t="shared" si="1081"/>
        <v>0</v>
      </c>
      <c r="EY106" s="51">
        <f t="shared" si="1082"/>
        <v>0</v>
      </c>
      <c r="EZ106" s="52">
        <f t="shared" si="1083"/>
        <v>0</v>
      </c>
      <c r="FA106" s="51">
        <f t="shared" si="1084"/>
        <v>0</v>
      </c>
      <c r="FB106" s="48">
        <f t="shared" si="1085"/>
        <v>0</v>
      </c>
      <c r="FC106" s="51">
        <f t="shared" si="1086"/>
        <v>0</v>
      </c>
      <c r="FD106" s="52">
        <f t="shared" si="1087"/>
        <v>0</v>
      </c>
      <c r="FE106" s="51">
        <f t="shared" si="1088"/>
        <v>0</v>
      </c>
      <c r="FF106" s="53">
        <f t="shared" si="1089"/>
        <v>0</v>
      </c>
      <c r="FG106" s="51">
        <f t="shared" si="1090"/>
        <v>0</v>
      </c>
      <c r="FH106" s="52">
        <f t="shared" si="1091"/>
        <v>0</v>
      </c>
      <c r="FI106" s="51">
        <f t="shared" si="1092"/>
        <v>0</v>
      </c>
      <c r="FJ106" s="48">
        <f t="shared" si="1093"/>
        <v>0</v>
      </c>
      <c r="FK106" s="51">
        <f t="shared" si="1094"/>
        <v>0</v>
      </c>
      <c r="FL106" s="53">
        <f t="shared" si="1095"/>
        <v>0</v>
      </c>
      <c r="FM106" s="51">
        <f t="shared" si="1096"/>
        <v>0</v>
      </c>
      <c r="FN106" s="53">
        <f t="shared" si="1097"/>
        <v>0</v>
      </c>
      <c r="FO106" s="51">
        <f t="shared" si="1098"/>
        <v>0</v>
      </c>
      <c r="FP106" s="53">
        <f t="shared" si="1099"/>
        <v>0</v>
      </c>
      <c r="FQ106" s="51">
        <f t="shared" si="1100"/>
        <v>0</v>
      </c>
      <c r="FR106" s="48">
        <f t="shared" si="1101"/>
        <v>0</v>
      </c>
      <c r="FS106" s="51">
        <f t="shared" si="1102"/>
        <v>0</v>
      </c>
      <c r="FT106" s="53">
        <f t="shared" si="1103"/>
        <v>0</v>
      </c>
      <c r="FU106" s="51">
        <f t="shared" si="1104"/>
        <v>0</v>
      </c>
      <c r="FV106" s="53">
        <f t="shared" si="1105"/>
        <v>0</v>
      </c>
      <c r="FW106" s="51">
        <f t="shared" si="1106"/>
        <v>0</v>
      </c>
      <c r="FX106" s="53">
        <f t="shared" si="1107"/>
        <v>0</v>
      </c>
      <c r="FY106" s="51">
        <f t="shared" si="1108"/>
        <v>0</v>
      </c>
      <c r="FZ106" s="53">
        <f t="shared" si="1109"/>
        <v>0</v>
      </c>
      <c r="GA106" s="51">
        <f t="shared" si="1110"/>
        <v>0</v>
      </c>
      <c r="GB106" s="48">
        <f t="shared" si="1111"/>
        <v>0</v>
      </c>
      <c r="GC106" s="51">
        <f t="shared" si="1112"/>
        <v>0</v>
      </c>
      <c r="GD106" s="53">
        <f t="shared" si="1113"/>
        <v>0</v>
      </c>
      <c r="GE106" s="51">
        <f t="shared" si="1114"/>
        <v>0</v>
      </c>
      <c r="GF106" s="53">
        <f t="shared" si="1115"/>
        <v>0</v>
      </c>
      <c r="GG106" s="51">
        <f t="shared" si="1116"/>
        <v>0</v>
      </c>
      <c r="GH106" s="48">
        <f t="shared" si="1117"/>
        <v>0</v>
      </c>
      <c r="GI106" s="51">
        <f t="shared" si="1118"/>
        <v>0</v>
      </c>
      <c r="GJ106" s="48"/>
      <c r="GK106" s="48"/>
      <c r="GL106" s="48">
        <v>1</v>
      </c>
      <c r="GM106" s="48">
        <v>0.97</v>
      </c>
      <c r="GN106" s="48">
        <v>0.95</v>
      </c>
      <c r="GO106" s="48">
        <v>0.93</v>
      </c>
      <c r="GP106" s="48">
        <f t="shared" ref="GP106:HG106" si="1190">+GO106-0.02</f>
        <v>0.91</v>
      </c>
      <c r="GQ106" s="48">
        <f t="shared" si="1190"/>
        <v>0.89</v>
      </c>
      <c r="GR106" s="48">
        <f t="shared" si="1190"/>
        <v>0.87</v>
      </c>
      <c r="GS106" s="48">
        <f t="shared" si="1190"/>
        <v>0.85</v>
      </c>
      <c r="GT106" s="48">
        <f t="shared" si="1190"/>
        <v>0.83</v>
      </c>
      <c r="GU106" s="48">
        <f t="shared" si="1190"/>
        <v>0.80999999999999994</v>
      </c>
      <c r="GV106" s="48">
        <f t="shared" si="1190"/>
        <v>0.78999999999999992</v>
      </c>
      <c r="GW106" s="48">
        <f t="shared" si="1190"/>
        <v>0.76999999999999991</v>
      </c>
      <c r="GX106" s="48">
        <f t="shared" si="1190"/>
        <v>0.74999999999999989</v>
      </c>
      <c r="GY106" s="48">
        <f t="shared" si="1190"/>
        <v>0.72999999999999987</v>
      </c>
      <c r="GZ106" s="48">
        <f t="shared" si="1190"/>
        <v>0.70999999999999985</v>
      </c>
      <c r="HA106" s="48">
        <f t="shared" si="1190"/>
        <v>0.68999999999999984</v>
      </c>
      <c r="HB106" s="48">
        <f t="shared" si="1190"/>
        <v>0.66999999999999982</v>
      </c>
      <c r="HC106" s="48">
        <f t="shared" si="1190"/>
        <v>0.6499999999999998</v>
      </c>
      <c r="HD106" s="48">
        <f t="shared" si="1190"/>
        <v>0.62999999999999978</v>
      </c>
      <c r="HE106" s="48">
        <f t="shared" si="1190"/>
        <v>0.60999999999999976</v>
      </c>
      <c r="HF106" s="48">
        <f t="shared" si="1190"/>
        <v>0.58999999999999975</v>
      </c>
      <c r="HG106" s="48">
        <f t="shared" si="1190"/>
        <v>0.56999999999999973</v>
      </c>
    </row>
    <row r="107" spans="1:215" x14ac:dyDescent="0.3">
      <c r="A107" s="2">
        <v>16</v>
      </c>
      <c r="C107" s="29" t="s">
        <v>175</v>
      </c>
      <c r="D107" s="44">
        <v>0</v>
      </c>
      <c r="E107" s="73">
        <f t="shared" si="988"/>
        <v>0</v>
      </c>
      <c r="G107" s="48">
        <f t="shared" si="948"/>
        <v>0</v>
      </c>
      <c r="H107" s="48">
        <f t="shared" si="949"/>
        <v>0</v>
      </c>
      <c r="I107" s="51">
        <f t="shared" si="950"/>
        <v>0</v>
      </c>
      <c r="J107" s="48">
        <f t="shared" si="989"/>
        <v>0</v>
      </c>
      <c r="K107" s="51">
        <f t="shared" si="990"/>
        <v>0</v>
      </c>
      <c r="L107" s="48">
        <f t="shared" si="991"/>
        <v>0</v>
      </c>
      <c r="M107" s="51">
        <f t="shared" si="992"/>
        <v>0</v>
      </c>
      <c r="N107" s="48">
        <f t="shared" si="993"/>
        <v>0</v>
      </c>
      <c r="O107" s="51">
        <f t="shared" si="994"/>
        <v>0</v>
      </c>
      <c r="P107" s="52">
        <f t="shared" si="995"/>
        <v>0</v>
      </c>
      <c r="Q107" s="51">
        <f t="shared" si="996"/>
        <v>0</v>
      </c>
      <c r="R107" s="48">
        <f t="shared" si="997"/>
        <v>0</v>
      </c>
      <c r="S107" s="51">
        <f t="shared" si="998"/>
        <v>0</v>
      </c>
      <c r="T107" s="52">
        <f t="shared" si="999"/>
        <v>0</v>
      </c>
      <c r="U107" s="51">
        <f t="shared" si="1000"/>
        <v>0</v>
      </c>
      <c r="V107" s="53">
        <f t="shared" si="1001"/>
        <v>0</v>
      </c>
      <c r="W107" s="51">
        <f t="shared" si="1002"/>
        <v>0</v>
      </c>
      <c r="X107" s="52">
        <f t="shared" si="1003"/>
        <v>0</v>
      </c>
      <c r="Y107" s="51">
        <f t="shared" si="1004"/>
        <v>0</v>
      </c>
      <c r="Z107" s="48">
        <f t="shared" si="1005"/>
        <v>0</v>
      </c>
      <c r="AA107" s="51">
        <f t="shared" si="1006"/>
        <v>0</v>
      </c>
      <c r="AB107" s="53">
        <f t="shared" si="1007"/>
        <v>0</v>
      </c>
      <c r="AC107" s="51">
        <f t="shared" si="1008"/>
        <v>0</v>
      </c>
      <c r="AD107" s="53">
        <f t="shared" si="1009"/>
        <v>0</v>
      </c>
      <c r="AE107" s="51">
        <f t="shared" si="1010"/>
        <v>0</v>
      </c>
      <c r="AF107" s="53">
        <f t="shared" si="1011"/>
        <v>0</v>
      </c>
      <c r="AG107" s="51">
        <f t="shared" si="1012"/>
        <v>0</v>
      </c>
      <c r="AH107" s="48">
        <f t="shared" si="1013"/>
        <v>0</v>
      </c>
      <c r="AI107" s="51">
        <f t="shared" si="1014"/>
        <v>0</v>
      </c>
      <c r="AJ107" s="53">
        <f t="shared" si="1015"/>
        <v>0</v>
      </c>
      <c r="AK107" s="51">
        <f t="shared" si="1016"/>
        <v>0</v>
      </c>
      <c r="AL107" s="53">
        <f t="shared" si="1017"/>
        <v>0</v>
      </c>
      <c r="AM107" s="51">
        <f t="shared" si="1018"/>
        <v>0</v>
      </c>
      <c r="AN107" s="53">
        <f t="shared" si="1019"/>
        <v>0</v>
      </c>
      <c r="AO107" s="51">
        <f t="shared" si="1020"/>
        <v>0</v>
      </c>
      <c r="AP107" s="53">
        <f t="shared" si="1021"/>
        <v>0</v>
      </c>
      <c r="AQ107" s="51">
        <f t="shared" si="1022"/>
        <v>0</v>
      </c>
      <c r="AR107" s="48">
        <f t="shared" si="1023"/>
        <v>0</v>
      </c>
      <c r="AS107" s="51">
        <f t="shared" si="1024"/>
        <v>0</v>
      </c>
      <c r="AT107" s="53">
        <f t="shared" si="1025"/>
        <v>0</v>
      </c>
      <c r="AU107" s="51">
        <f t="shared" si="1026"/>
        <v>0</v>
      </c>
      <c r="AV107" s="53">
        <f t="shared" si="1027"/>
        <v>0</v>
      </c>
      <c r="AW107" s="51">
        <f t="shared" si="1028"/>
        <v>0</v>
      </c>
      <c r="AX107" s="48">
        <f t="shared" si="1029"/>
        <v>0</v>
      </c>
      <c r="AY107" s="51">
        <f t="shared" si="1030"/>
        <v>0</v>
      </c>
      <c r="BB107" s="48">
        <v>1</v>
      </c>
      <c r="BC107" s="48">
        <v>0.97</v>
      </c>
      <c r="BD107" s="48">
        <v>0.95</v>
      </c>
      <c r="BE107" s="48">
        <v>0.93</v>
      </c>
      <c r="BF107" s="48">
        <f t="shared" ref="BF107:BW107" si="1191">+BE107-0.02</f>
        <v>0.91</v>
      </c>
      <c r="BG107" s="48">
        <f t="shared" si="1191"/>
        <v>0.89</v>
      </c>
      <c r="BH107" s="48">
        <f t="shared" si="1191"/>
        <v>0.87</v>
      </c>
      <c r="BI107" s="48">
        <f t="shared" si="1191"/>
        <v>0.85</v>
      </c>
      <c r="BJ107" s="48">
        <f t="shared" si="1191"/>
        <v>0.83</v>
      </c>
      <c r="BK107" s="48">
        <f t="shared" si="1191"/>
        <v>0.80999999999999994</v>
      </c>
      <c r="BL107" s="48">
        <f t="shared" si="1191"/>
        <v>0.78999999999999992</v>
      </c>
      <c r="BM107" s="48">
        <f t="shared" si="1191"/>
        <v>0.76999999999999991</v>
      </c>
      <c r="BN107" s="48">
        <f t="shared" si="1191"/>
        <v>0.74999999999999989</v>
      </c>
      <c r="BO107" s="48">
        <f t="shared" si="1191"/>
        <v>0.72999999999999987</v>
      </c>
      <c r="BP107" s="48">
        <f t="shared" si="1191"/>
        <v>0.70999999999999985</v>
      </c>
      <c r="BQ107" s="48">
        <f t="shared" si="1191"/>
        <v>0.68999999999999984</v>
      </c>
      <c r="BR107" s="48">
        <f t="shared" si="1191"/>
        <v>0.66999999999999982</v>
      </c>
      <c r="BS107" s="48">
        <f t="shared" si="1191"/>
        <v>0.6499999999999998</v>
      </c>
      <c r="BT107" s="48">
        <f t="shared" si="1191"/>
        <v>0.62999999999999978</v>
      </c>
      <c r="BU107" s="48">
        <f t="shared" si="1191"/>
        <v>0.60999999999999976</v>
      </c>
      <c r="BV107" s="48">
        <f t="shared" si="1191"/>
        <v>0.58999999999999975</v>
      </c>
      <c r="BW107" s="48">
        <f t="shared" si="1191"/>
        <v>0.56999999999999973</v>
      </c>
      <c r="BY107" s="48">
        <f t="shared" si="952"/>
        <v>0</v>
      </c>
      <c r="BZ107" s="48">
        <f t="shared" si="953"/>
        <v>0</v>
      </c>
      <c r="CA107" s="51">
        <f t="shared" ref="CA107" si="1192">+BZ107*3.3058</f>
        <v>0</v>
      </c>
      <c r="CB107" s="48">
        <f t="shared" si="1033"/>
        <v>0</v>
      </c>
      <c r="CC107" s="51">
        <f t="shared" si="1034"/>
        <v>0</v>
      </c>
      <c r="CD107" s="48">
        <f t="shared" si="1035"/>
        <v>0</v>
      </c>
      <c r="CE107" s="51">
        <f t="shared" si="1036"/>
        <v>0</v>
      </c>
      <c r="CF107" s="48">
        <f t="shared" si="1037"/>
        <v>0</v>
      </c>
      <c r="CG107" s="51">
        <f t="shared" si="1038"/>
        <v>0</v>
      </c>
      <c r="CH107" s="52">
        <f t="shared" si="1039"/>
        <v>0</v>
      </c>
      <c r="CI107" s="51">
        <f t="shared" si="1040"/>
        <v>0</v>
      </c>
      <c r="CJ107" s="48">
        <f t="shared" si="1041"/>
        <v>0</v>
      </c>
      <c r="CK107" s="51">
        <f t="shared" si="1042"/>
        <v>0</v>
      </c>
      <c r="CL107" s="52">
        <f t="shared" si="1043"/>
        <v>0</v>
      </c>
      <c r="CM107" s="51">
        <f t="shared" si="1044"/>
        <v>0</v>
      </c>
      <c r="CN107" s="53">
        <f t="shared" si="1045"/>
        <v>0</v>
      </c>
      <c r="CO107" s="51">
        <f t="shared" si="1046"/>
        <v>0</v>
      </c>
      <c r="CP107" s="52">
        <f t="shared" si="1047"/>
        <v>0</v>
      </c>
      <c r="CQ107" s="51">
        <f t="shared" si="1048"/>
        <v>0</v>
      </c>
      <c r="CR107" s="48">
        <f t="shared" si="1049"/>
        <v>0</v>
      </c>
      <c r="CS107" s="51">
        <f t="shared" si="1050"/>
        <v>0</v>
      </c>
      <c r="CT107" s="53">
        <f t="shared" si="1051"/>
        <v>0</v>
      </c>
      <c r="CU107" s="51">
        <f t="shared" si="1052"/>
        <v>0</v>
      </c>
      <c r="CV107" s="53">
        <f t="shared" si="1053"/>
        <v>0</v>
      </c>
      <c r="CW107" s="51">
        <f t="shared" si="1054"/>
        <v>0</v>
      </c>
      <c r="CX107" s="53">
        <f t="shared" si="1055"/>
        <v>0</v>
      </c>
      <c r="CY107" s="51">
        <f t="shared" si="1056"/>
        <v>0</v>
      </c>
      <c r="CZ107" s="48">
        <f t="shared" si="1057"/>
        <v>0</v>
      </c>
      <c r="DA107" s="51">
        <f t="shared" si="1058"/>
        <v>0</v>
      </c>
      <c r="DB107" s="53">
        <f t="shared" si="1059"/>
        <v>0</v>
      </c>
      <c r="DC107" s="51">
        <f t="shared" si="1060"/>
        <v>0</v>
      </c>
      <c r="DD107" s="53">
        <f t="shared" si="1061"/>
        <v>0</v>
      </c>
      <c r="DE107" s="51">
        <f t="shared" si="1062"/>
        <v>0</v>
      </c>
      <c r="DF107" s="53">
        <f t="shared" si="1063"/>
        <v>0</v>
      </c>
      <c r="DG107" s="51">
        <f t="shared" si="1064"/>
        <v>0</v>
      </c>
      <c r="DH107" s="53">
        <f t="shared" si="1065"/>
        <v>0</v>
      </c>
      <c r="DI107" s="51">
        <f t="shared" si="1066"/>
        <v>0</v>
      </c>
      <c r="DJ107" s="48">
        <f t="shared" si="1067"/>
        <v>0</v>
      </c>
      <c r="DK107" s="51">
        <f t="shared" si="1068"/>
        <v>0</v>
      </c>
      <c r="DL107" s="53">
        <f t="shared" si="1069"/>
        <v>0</v>
      </c>
      <c r="DM107" s="51">
        <f t="shared" si="1070"/>
        <v>0</v>
      </c>
      <c r="DN107" s="53">
        <f t="shared" si="1071"/>
        <v>0</v>
      </c>
      <c r="DO107" s="51">
        <f t="shared" si="1072"/>
        <v>0</v>
      </c>
      <c r="DP107" s="48">
        <f t="shared" si="1073"/>
        <v>0</v>
      </c>
      <c r="DQ107" s="51">
        <f t="shared" si="1074"/>
        <v>0</v>
      </c>
      <c r="DT107" s="48">
        <v>1</v>
      </c>
      <c r="DU107" s="48">
        <v>0.97</v>
      </c>
      <c r="DV107" s="48">
        <v>0.95</v>
      </c>
      <c r="DW107" s="48">
        <v>0.93</v>
      </c>
      <c r="DX107" s="48">
        <f t="shared" ref="DX107:EO107" si="1193">+DW107-0.02</f>
        <v>0.91</v>
      </c>
      <c r="DY107" s="48">
        <f t="shared" si="1193"/>
        <v>0.89</v>
      </c>
      <c r="DZ107" s="48">
        <f t="shared" si="1193"/>
        <v>0.87</v>
      </c>
      <c r="EA107" s="48">
        <f t="shared" si="1193"/>
        <v>0.85</v>
      </c>
      <c r="EB107" s="48">
        <f t="shared" si="1193"/>
        <v>0.83</v>
      </c>
      <c r="EC107" s="48">
        <f t="shared" si="1193"/>
        <v>0.80999999999999994</v>
      </c>
      <c r="ED107" s="48">
        <f t="shared" si="1193"/>
        <v>0.78999999999999992</v>
      </c>
      <c r="EE107" s="48">
        <f t="shared" si="1193"/>
        <v>0.76999999999999991</v>
      </c>
      <c r="EF107" s="48">
        <f t="shared" si="1193"/>
        <v>0.74999999999999989</v>
      </c>
      <c r="EG107" s="48">
        <f t="shared" si="1193"/>
        <v>0.72999999999999987</v>
      </c>
      <c r="EH107" s="48">
        <f t="shared" si="1193"/>
        <v>0.70999999999999985</v>
      </c>
      <c r="EI107" s="48">
        <f t="shared" si="1193"/>
        <v>0.68999999999999984</v>
      </c>
      <c r="EJ107" s="48">
        <f t="shared" si="1193"/>
        <v>0.66999999999999982</v>
      </c>
      <c r="EK107" s="48">
        <f t="shared" si="1193"/>
        <v>0.6499999999999998</v>
      </c>
      <c r="EL107" s="48">
        <f t="shared" si="1193"/>
        <v>0.62999999999999978</v>
      </c>
      <c r="EM107" s="48">
        <f t="shared" si="1193"/>
        <v>0.60999999999999976</v>
      </c>
      <c r="EN107" s="48">
        <f t="shared" si="1193"/>
        <v>0.58999999999999975</v>
      </c>
      <c r="EO107" s="48">
        <f t="shared" si="1193"/>
        <v>0.56999999999999973</v>
      </c>
      <c r="EQ107" s="48">
        <f t="shared" si="1128"/>
        <v>0</v>
      </c>
      <c r="ER107" s="48">
        <f t="shared" si="956"/>
        <v>0</v>
      </c>
      <c r="ES107" s="51">
        <f t="shared" ref="ES107" si="1194">+ER107*3.3058</f>
        <v>0</v>
      </c>
      <c r="ET107" s="48">
        <f t="shared" si="1077"/>
        <v>0</v>
      </c>
      <c r="EU107" s="51">
        <f t="shared" si="1078"/>
        <v>0</v>
      </c>
      <c r="EV107" s="48">
        <f t="shared" si="1079"/>
        <v>0</v>
      </c>
      <c r="EW107" s="51">
        <f t="shared" si="1080"/>
        <v>0</v>
      </c>
      <c r="EX107" s="48">
        <f t="shared" si="1081"/>
        <v>0</v>
      </c>
      <c r="EY107" s="51">
        <f t="shared" si="1082"/>
        <v>0</v>
      </c>
      <c r="EZ107" s="52">
        <f t="shared" si="1083"/>
        <v>0</v>
      </c>
      <c r="FA107" s="51">
        <f t="shared" si="1084"/>
        <v>0</v>
      </c>
      <c r="FB107" s="48">
        <f t="shared" si="1085"/>
        <v>0</v>
      </c>
      <c r="FC107" s="51">
        <f t="shared" si="1086"/>
        <v>0</v>
      </c>
      <c r="FD107" s="52">
        <f t="shared" si="1087"/>
        <v>0</v>
      </c>
      <c r="FE107" s="51">
        <f t="shared" si="1088"/>
        <v>0</v>
      </c>
      <c r="FF107" s="53">
        <f t="shared" si="1089"/>
        <v>0</v>
      </c>
      <c r="FG107" s="51">
        <f t="shared" si="1090"/>
        <v>0</v>
      </c>
      <c r="FH107" s="52">
        <f t="shared" si="1091"/>
        <v>0</v>
      </c>
      <c r="FI107" s="51">
        <f t="shared" si="1092"/>
        <v>0</v>
      </c>
      <c r="FJ107" s="48">
        <f t="shared" si="1093"/>
        <v>0</v>
      </c>
      <c r="FK107" s="51">
        <f t="shared" si="1094"/>
        <v>0</v>
      </c>
      <c r="FL107" s="53">
        <f t="shared" si="1095"/>
        <v>0</v>
      </c>
      <c r="FM107" s="51">
        <f t="shared" si="1096"/>
        <v>0</v>
      </c>
      <c r="FN107" s="53">
        <f t="shared" si="1097"/>
        <v>0</v>
      </c>
      <c r="FO107" s="51">
        <f t="shared" si="1098"/>
        <v>0</v>
      </c>
      <c r="FP107" s="53">
        <f t="shared" si="1099"/>
        <v>0</v>
      </c>
      <c r="FQ107" s="51">
        <f t="shared" si="1100"/>
        <v>0</v>
      </c>
      <c r="FR107" s="48">
        <f t="shared" si="1101"/>
        <v>0</v>
      </c>
      <c r="FS107" s="51">
        <f t="shared" si="1102"/>
        <v>0</v>
      </c>
      <c r="FT107" s="53">
        <f t="shared" si="1103"/>
        <v>0</v>
      </c>
      <c r="FU107" s="51">
        <f t="shared" si="1104"/>
        <v>0</v>
      </c>
      <c r="FV107" s="53">
        <f t="shared" si="1105"/>
        <v>0</v>
      </c>
      <c r="FW107" s="51">
        <f t="shared" si="1106"/>
        <v>0</v>
      </c>
      <c r="FX107" s="53">
        <f t="shared" si="1107"/>
        <v>0</v>
      </c>
      <c r="FY107" s="51">
        <f t="shared" si="1108"/>
        <v>0</v>
      </c>
      <c r="FZ107" s="53">
        <f t="shared" si="1109"/>
        <v>0</v>
      </c>
      <c r="GA107" s="51">
        <f t="shared" si="1110"/>
        <v>0</v>
      </c>
      <c r="GB107" s="48">
        <f t="shared" si="1111"/>
        <v>0</v>
      </c>
      <c r="GC107" s="51">
        <f t="shared" si="1112"/>
        <v>0</v>
      </c>
      <c r="GD107" s="53">
        <f t="shared" si="1113"/>
        <v>0</v>
      </c>
      <c r="GE107" s="51">
        <f t="shared" si="1114"/>
        <v>0</v>
      </c>
      <c r="GF107" s="53">
        <f t="shared" si="1115"/>
        <v>0</v>
      </c>
      <c r="GG107" s="51">
        <f t="shared" si="1116"/>
        <v>0</v>
      </c>
      <c r="GH107" s="48">
        <f t="shared" si="1117"/>
        <v>0</v>
      </c>
      <c r="GI107" s="51">
        <f t="shared" si="1118"/>
        <v>0</v>
      </c>
      <c r="GJ107" s="48"/>
      <c r="GK107" s="48"/>
      <c r="GL107" s="48">
        <v>1</v>
      </c>
      <c r="GM107" s="48">
        <v>0.97</v>
      </c>
      <c r="GN107" s="48">
        <v>0.95</v>
      </c>
      <c r="GO107" s="48">
        <v>0.93</v>
      </c>
      <c r="GP107" s="48">
        <f t="shared" ref="GP107:HG107" si="1195">+GO107-0.02</f>
        <v>0.91</v>
      </c>
      <c r="GQ107" s="48">
        <f t="shared" si="1195"/>
        <v>0.89</v>
      </c>
      <c r="GR107" s="48">
        <f t="shared" si="1195"/>
        <v>0.87</v>
      </c>
      <c r="GS107" s="48">
        <f t="shared" si="1195"/>
        <v>0.85</v>
      </c>
      <c r="GT107" s="48">
        <f t="shared" si="1195"/>
        <v>0.83</v>
      </c>
      <c r="GU107" s="48">
        <f t="shared" si="1195"/>
        <v>0.80999999999999994</v>
      </c>
      <c r="GV107" s="48">
        <f t="shared" si="1195"/>
        <v>0.78999999999999992</v>
      </c>
      <c r="GW107" s="48">
        <f t="shared" si="1195"/>
        <v>0.76999999999999991</v>
      </c>
      <c r="GX107" s="48">
        <f t="shared" si="1195"/>
        <v>0.74999999999999989</v>
      </c>
      <c r="GY107" s="48">
        <f t="shared" si="1195"/>
        <v>0.72999999999999987</v>
      </c>
      <c r="GZ107" s="48">
        <f t="shared" si="1195"/>
        <v>0.70999999999999985</v>
      </c>
      <c r="HA107" s="48">
        <f t="shared" si="1195"/>
        <v>0.68999999999999984</v>
      </c>
      <c r="HB107" s="48">
        <f t="shared" si="1195"/>
        <v>0.66999999999999982</v>
      </c>
      <c r="HC107" s="48">
        <f t="shared" si="1195"/>
        <v>0.6499999999999998</v>
      </c>
      <c r="HD107" s="48">
        <f t="shared" si="1195"/>
        <v>0.62999999999999978</v>
      </c>
      <c r="HE107" s="48">
        <f t="shared" si="1195"/>
        <v>0.60999999999999976</v>
      </c>
      <c r="HF107" s="48">
        <f t="shared" si="1195"/>
        <v>0.58999999999999975</v>
      </c>
      <c r="HG107" s="48">
        <f t="shared" si="1195"/>
        <v>0.56999999999999973</v>
      </c>
    </row>
    <row r="108" spans="1:215" x14ac:dyDescent="0.3">
      <c r="A108" s="2">
        <v>17</v>
      </c>
      <c r="C108" s="29" t="s">
        <v>176</v>
      </c>
      <c r="D108" s="44">
        <v>0</v>
      </c>
      <c r="E108" s="73">
        <f t="shared" si="988"/>
        <v>0</v>
      </c>
      <c r="G108" s="48">
        <f t="shared" si="948"/>
        <v>0</v>
      </c>
      <c r="H108" s="48">
        <f t="shared" si="949"/>
        <v>0</v>
      </c>
      <c r="I108" s="51">
        <f t="shared" si="950"/>
        <v>0</v>
      </c>
      <c r="J108" s="48">
        <f t="shared" si="989"/>
        <v>0</v>
      </c>
      <c r="K108" s="51">
        <f t="shared" si="990"/>
        <v>0</v>
      </c>
      <c r="L108" s="48">
        <f t="shared" si="991"/>
        <v>0</v>
      </c>
      <c r="M108" s="51">
        <f t="shared" si="992"/>
        <v>0</v>
      </c>
      <c r="N108" s="48">
        <f t="shared" si="993"/>
        <v>0</v>
      </c>
      <c r="O108" s="51">
        <f t="shared" si="994"/>
        <v>0</v>
      </c>
      <c r="P108" s="52">
        <f t="shared" si="995"/>
        <v>0</v>
      </c>
      <c r="Q108" s="51">
        <f t="shared" si="996"/>
        <v>0</v>
      </c>
      <c r="R108" s="48">
        <f t="shared" si="997"/>
        <v>0</v>
      </c>
      <c r="S108" s="51">
        <f t="shared" si="998"/>
        <v>0</v>
      </c>
      <c r="T108" s="52">
        <f t="shared" si="999"/>
        <v>0</v>
      </c>
      <c r="U108" s="51">
        <f t="shared" si="1000"/>
        <v>0</v>
      </c>
      <c r="V108" s="53">
        <f t="shared" si="1001"/>
        <v>0</v>
      </c>
      <c r="W108" s="51">
        <f t="shared" si="1002"/>
        <v>0</v>
      </c>
      <c r="X108" s="52">
        <f t="shared" si="1003"/>
        <v>0</v>
      </c>
      <c r="Y108" s="51">
        <f t="shared" si="1004"/>
        <v>0</v>
      </c>
      <c r="Z108" s="48">
        <f t="shared" si="1005"/>
        <v>0</v>
      </c>
      <c r="AA108" s="51">
        <f t="shared" si="1006"/>
        <v>0</v>
      </c>
      <c r="AB108" s="53">
        <f t="shared" si="1007"/>
        <v>0</v>
      </c>
      <c r="AC108" s="51">
        <f t="shared" si="1008"/>
        <v>0</v>
      </c>
      <c r="AD108" s="53">
        <f t="shared" si="1009"/>
        <v>0</v>
      </c>
      <c r="AE108" s="51">
        <f t="shared" si="1010"/>
        <v>0</v>
      </c>
      <c r="AF108" s="53">
        <f t="shared" si="1011"/>
        <v>0</v>
      </c>
      <c r="AG108" s="51">
        <f t="shared" si="1012"/>
        <v>0</v>
      </c>
      <c r="AH108" s="48">
        <f t="shared" si="1013"/>
        <v>0</v>
      </c>
      <c r="AI108" s="51">
        <f t="shared" si="1014"/>
        <v>0</v>
      </c>
      <c r="AJ108" s="53">
        <f t="shared" si="1015"/>
        <v>0</v>
      </c>
      <c r="AK108" s="51">
        <f t="shared" si="1016"/>
        <v>0</v>
      </c>
      <c r="AL108" s="53">
        <f t="shared" si="1017"/>
        <v>0</v>
      </c>
      <c r="AM108" s="51">
        <f t="shared" si="1018"/>
        <v>0</v>
      </c>
      <c r="AN108" s="53">
        <f t="shared" si="1019"/>
        <v>0</v>
      </c>
      <c r="AO108" s="51">
        <f t="shared" si="1020"/>
        <v>0</v>
      </c>
      <c r="AP108" s="53">
        <f t="shared" si="1021"/>
        <v>0</v>
      </c>
      <c r="AQ108" s="51">
        <f t="shared" si="1022"/>
        <v>0</v>
      </c>
      <c r="AR108" s="48">
        <f t="shared" si="1023"/>
        <v>0</v>
      </c>
      <c r="AS108" s="51">
        <f t="shared" si="1024"/>
        <v>0</v>
      </c>
      <c r="AT108" s="53">
        <f t="shared" si="1025"/>
        <v>0</v>
      </c>
      <c r="AU108" s="51">
        <f t="shared" si="1026"/>
        <v>0</v>
      </c>
      <c r="AV108" s="53">
        <f t="shared" si="1027"/>
        <v>0</v>
      </c>
      <c r="AW108" s="51">
        <f t="shared" si="1028"/>
        <v>0</v>
      </c>
      <c r="AX108" s="48">
        <f t="shared" si="1029"/>
        <v>0</v>
      </c>
      <c r="AY108" s="51">
        <f t="shared" si="1030"/>
        <v>0</v>
      </c>
      <c r="BB108" s="48">
        <v>1</v>
      </c>
      <c r="BC108" s="48">
        <v>0.97</v>
      </c>
      <c r="BD108" s="48">
        <v>0.95</v>
      </c>
      <c r="BE108" s="48">
        <v>0.93</v>
      </c>
      <c r="BF108" s="48">
        <f t="shared" ref="BF108:BW108" si="1196">+BE108-0.02</f>
        <v>0.91</v>
      </c>
      <c r="BG108" s="48">
        <f t="shared" si="1196"/>
        <v>0.89</v>
      </c>
      <c r="BH108" s="48">
        <f t="shared" si="1196"/>
        <v>0.87</v>
      </c>
      <c r="BI108" s="48">
        <f t="shared" si="1196"/>
        <v>0.85</v>
      </c>
      <c r="BJ108" s="48">
        <f t="shared" si="1196"/>
        <v>0.83</v>
      </c>
      <c r="BK108" s="48">
        <f t="shared" si="1196"/>
        <v>0.80999999999999994</v>
      </c>
      <c r="BL108" s="48">
        <f t="shared" si="1196"/>
        <v>0.78999999999999992</v>
      </c>
      <c r="BM108" s="48">
        <f t="shared" si="1196"/>
        <v>0.76999999999999991</v>
      </c>
      <c r="BN108" s="48">
        <f t="shared" si="1196"/>
        <v>0.74999999999999989</v>
      </c>
      <c r="BO108" s="48">
        <f t="shared" si="1196"/>
        <v>0.72999999999999987</v>
      </c>
      <c r="BP108" s="48">
        <f t="shared" si="1196"/>
        <v>0.70999999999999985</v>
      </c>
      <c r="BQ108" s="48">
        <f t="shared" si="1196"/>
        <v>0.68999999999999984</v>
      </c>
      <c r="BR108" s="48">
        <f t="shared" si="1196"/>
        <v>0.66999999999999982</v>
      </c>
      <c r="BS108" s="48">
        <f t="shared" si="1196"/>
        <v>0.6499999999999998</v>
      </c>
      <c r="BT108" s="48">
        <f t="shared" si="1196"/>
        <v>0.62999999999999978</v>
      </c>
      <c r="BU108" s="48">
        <f t="shared" si="1196"/>
        <v>0.60999999999999976</v>
      </c>
      <c r="BV108" s="48">
        <f t="shared" si="1196"/>
        <v>0.58999999999999975</v>
      </c>
      <c r="BW108" s="48">
        <f t="shared" si="1196"/>
        <v>0.56999999999999973</v>
      </c>
      <c r="BY108" s="48">
        <f t="shared" si="952"/>
        <v>0</v>
      </c>
      <c r="BZ108" s="48">
        <f t="shared" si="953"/>
        <v>0</v>
      </c>
      <c r="CA108" s="51">
        <f t="shared" ref="CA108" si="1197">+BZ108*3.3058</f>
        <v>0</v>
      </c>
      <c r="CB108" s="48">
        <f t="shared" si="1033"/>
        <v>0</v>
      </c>
      <c r="CC108" s="51">
        <f t="shared" si="1034"/>
        <v>0</v>
      </c>
      <c r="CD108" s="48">
        <f t="shared" si="1035"/>
        <v>0</v>
      </c>
      <c r="CE108" s="51">
        <f t="shared" si="1036"/>
        <v>0</v>
      </c>
      <c r="CF108" s="48">
        <f t="shared" si="1037"/>
        <v>0</v>
      </c>
      <c r="CG108" s="51">
        <f t="shared" si="1038"/>
        <v>0</v>
      </c>
      <c r="CH108" s="52">
        <f t="shared" si="1039"/>
        <v>0</v>
      </c>
      <c r="CI108" s="51">
        <f t="shared" si="1040"/>
        <v>0</v>
      </c>
      <c r="CJ108" s="48">
        <f t="shared" si="1041"/>
        <v>0</v>
      </c>
      <c r="CK108" s="51">
        <f t="shared" si="1042"/>
        <v>0</v>
      </c>
      <c r="CL108" s="52">
        <f t="shared" si="1043"/>
        <v>0</v>
      </c>
      <c r="CM108" s="51">
        <f t="shared" si="1044"/>
        <v>0</v>
      </c>
      <c r="CN108" s="53">
        <f t="shared" si="1045"/>
        <v>0</v>
      </c>
      <c r="CO108" s="51">
        <f t="shared" si="1046"/>
        <v>0</v>
      </c>
      <c r="CP108" s="52">
        <f t="shared" si="1047"/>
        <v>0</v>
      </c>
      <c r="CQ108" s="51">
        <f t="shared" si="1048"/>
        <v>0</v>
      </c>
      <c r="CR108" s="48">
        <f t="shared" si="1049"/>
        <v>0</v>
      </c>
      <c r="CS108" s="51">
        <f t="shared" si="1050"/>
        <v>0</v>
      </c>
      <c r="CT108" s="53">
        <f t="shared" si="1051"/>
        <v>0</v>
      </c>
      <c r="CU108" s="51">
        <f t="shared" si="1052"/>
        <v>0</v>
      </c>
      <c r="CV108" s="53">
        <f t="shared" si="1053"/>
        <v>0</v>
      </c>
      <c r="CW108" s="51">
        <f t="shared" si="1054"/>
        <v>0</v>
      </c>
      <c r="CX108" s="53">
        <f t="shared" si="1055"/>
        <v>0</v>
      </c>
      <c r="CY108" s="51">
        <f t="shared" si="1056"/>
        <v>0</v>
      </c>
      <c r="CZ108" s="48">
        <f t="shared" si="1057"/>
        <v>0</v>
      </c>
      <c r="DA108" s="51">
        <f t="shared" si="1058"/>
        <v>0</v>
      </c>
      <c r="DB108" s="53">
        <f t="shared" si="1059"/>
        <v>0</v>
      </c>
      <c r="DC108" s="51">
        <f t="shared" si="1060"/>
        <v>0</v>
      </c>
      <c r="DD108" s="53">
        <f t="shared" si="1061"/>
        <v>0</v>
      </c>
      <c r="DE108" s="51">
        <f t="shared" si="1062"/>
        <v>0</v>
      </c>
      <c r="DF108" s="53">
        <f t="shared" si="1063"/>
        <v>0</v>
      </c>
      <c r="DG108" s="51">
        <f t="shared" si="1064"/>
        <v>0</v>
      </c>
      <c r="DH108" s="53">
        <f t="shared" si="1065"/>
        <v>0</v>
      </c>
      <c r="DI108" s="51">
        <f t="shared" si="1066"/>
        <v>0</v>
      </c>
      <c r="DJ108" s="48">
        <f t="shared" si="1067"/>
        <v>0</v>
      </c>
      <c r="DK108" s="51">
        <f t="shared" si="1068"/>
        <v>0</v>
      </c>
      <c r="DL108" s="53">
        <f t="shared" si="1069"/>
        <v>0</v>
      </c>
      <c r="DM108" s="51">
        <f t="shared" si="1070"/>
        <v>0</v>
      </c>
      <c r="DN108" s="53">
        <f t="shared" si="1071"/>
        <v>0</v>
      </c>
      <c r="DO108" s="51">
        <f t="shared" si="1072"/>
        <v>0</v>
      </c>
      <c r="DP108" s="48">
        <f t="shared" si="1073"/>
        <v>0</v>
      </c>
      <c r="DQ108" s="51">
        <f t="shared" si="1074"/>
        <v>0</v>
      </c>
      <c r="DT108" s="48">
        <v>1</v>
      </c>
      <c r="DU108" s="48">
        <v>0.97</v>
      </c>
      <c r="DV108" s="48">
        <v>0.95</v>
      </c>
      <c r="DW108" s="48">
        <v>0.93</v>
      </c>
      <c r="DX108" s="48">
        <f t="shared" ref="DX108:EO108" si="1198">+DW108-0.02</f>
        <v>0.91</v>
      </c>
      <c r="DY108" s="48">
        <f t="shared" si="1198"/>
        <v>0.89</v>
      </c>
      <c r="DZ108" s="48">
        <f t="shared" si="1198"/>
        <v>0.87</v>
      </c>
      <c r="EA108" s="48">
        <f t="shared" si="1198"/>
        <v>0.85</v>
      </c>
      <c r="EB108" s="48">
        <f t="shared" si="1198"/>
        <v>0.83</v>
      </c>
      <c r="EC108" s="48">
        <f t="shared" si="1198"/>
        <v>0.80999999999999994</v>
      </c>
      <c r="ED108" s="48">
        <f t="shared" si="1198"/>
        <v>0.78999999999999992</v>
      </c>
      <c r="EE108" s="48">
        <f t="shared" si="1198"/>
        <v>0.76999999999999991</v>
      </c>
      <c r="EF108" s="48">
        <f t="shared" si="1198"/>
        <v>0.74999999999999989</v>
      </c>
      <c r="EG108" s="48">
        <f t="shared" si="1198"/>
        <v>0.72999999999999987</v>
      </c>
      <c r="EH108" s="48">
        <f t="shared" si="1198"/>
        <v>0.70999999999999985</v>
      </c>
      <c r="EI108" s="48">
        <f t="shared" si="1198"/>
        <v>0.68999999999999984</v>
      </c>
      <c r="EJ108" s="48">
        <f t="shared" si="1198"/>
        <v>0.66999999999999982</v>
      </c>
      <c r="EK108" s="48">
        <f t="shared" si="1198"/>
        <v>0.6499999999999998</v>
      </c>
      <c r="EL108" s="48">
        <f t="shared" si="1198"/>
        <v>0.62999999999999978</v>
      </c>
      <c r="EM108" s="48">
        <f t="shared" si="1198"/>
        <v>0.60999999999999976</v>
      </c>
      <c r="EN108" s="48">
        <f t="shared" si="1198"/>
        <v>0.58999999999999975</v>
      </c>
      <c r="EO108" s="48">
        <f t="shared" si="1198"/>
        <v>0.56999999999999973</v>
      </c>
      <c r="EQ108" s="48">
        <f t="shared" si="1128"/>
        <v>0</v>
      </c>
      <c r="ER108" s="48">
        <f t="shared" si="956"/>
        <v>0</v>
      </c>
      <c r="ES108" s="51">
        <f t="shared" ref="ES108" si="1199">+ER108*3.3058</f>
        <v>0</v>
      </c>
      <c r="ET108" s="48">
        <f t="shared" si="1077"/>
        <v>0</v>
      </c>
      <c r="EU108" s="51">
        <f t="shared" si="1078"/>
        <v>0</v>
      </c>
      <c r="EV108" s="48">
        <f t="shared" si="1079"/>
        <v>0</v>
      </c>
      <c r="EW108" s="51">
        <f t="shared" si="1080"/>
        <v>0</v>
      </c>
      <c r="EX108" s="48">
        <f t="shared" si="1081"/>
        <v>0</v>
      </c>
      <c r="EY108" s="51">
        <f t="shared" si="1082"/>
        <v>0</v>
      </c>
      <c r="EZ108" s="52">
        <f t="shared" si="1083"/>
        <v>0</v>
      </c>
      <c r="FA108" s="51">
        <f t="shared" si="1084"/>
        <v>0</v>
      </c>
      <c r="FB108" s="48">
        <f t="shared" si="1085"/>
        <v>0</v>
      </c>
      <c r="FC108" s="51">
        <f t="shared" si="1086"/>
        <v>0</v>
      </c>
      <c r="FD108" s="52">
        <f t="shared" si="1087"/>
        <v>0</v>
      </c>
      <c r="FE108" s="51">
        <f t="shared" si="1088"/>
        <v>0</v>
      </c>
      <c r="FF108" s="53">
        <f t="shared" si="1089"/>
        <v>0</v>
      </c>
      <c r="FG108" s="51">
        <f t="shared" si="1090"/>
        <v>0</v>
      </c>
      <c r="FH108" s="52">
        <f t="shared" si="1091"/>
        <v>0</v>
      </c>
      <c r="FI108" s="51">
        <f t="shared" si="1092"/>
        <v>0</v>
      </c>
      <c r="FJ108" s="48">
        <f t="shared" si="1093"/>
        <v>0</v>
      </c>
      <c r="FK108" s="51">
        <f t="shared" si="1094"/>
        <v>0</v>
      </c>
      <c r="FL108" s="53">
        <f t="shared" si="1095"/>
        <v>0</v>
      </c>
      <c r="FM108" s="51">
        <f t="shared" si="1096"/>
        <v>0</v>
      </c>
      <c r="FN108" s="53">
        <f t="shared" si="1097"/>
        <v>0</v>
      </c>
      <c r="FO108" s="51">
        <f t="shared" si="1098"/>
        <v>0</v>
      </c>
      <c r="FP108" s="53">
        <f t="shared" si="1099"/>
        <v>0</v>
      </c>
      <c r="FQ108" s="51">
        <f t="shared" si="1100"/>
        <v>0</v>
      </c>
      <c r="FR108" s="48">
        <f t="shared" si="1101"/>
        <v>0</v>
      </c>
      <c r="FS108" s="51">
        <f t="shared" si="1102"/>
        <v>0</v>
      </c>
      <c r="FT108" s="53">
        <f t="shared" si="1103"/>
        <v>0</v>
      </c>
      <c r="FU108" s="51">
        <f t="shared" si="1104"/>
        <v>0</v>
      </c>
      <c r="FV108" s="53">
        <f t="shared" si="1105"/>
        <v>0</v>
      </c>
      <c r="FW108" s="51">
        <f t="shared" si="1106"/>
        <v>0</v>
      </c>
      <c r="FX108" s="53">
        <f t="shared" si="1107"/>
        <v>0</v>
      </c>
      <c r="FY108" s="51">
        <f t="shared" si="1108"/>
        <v>0</v>
      </c>
      <c r="FZ108" s="53">
        <f t="shared" si="1109"/>
        <v>0</v>
      </c>
      <c r="GA108" s="51">
        <f t="shared" si="1110"/>
        <v>0</v>
      </c>
      <c r="GB108" s="48">
        <f t="shared" si="1111"/>
        <v>0</v>
      </c>
      <c r="GC108" s="51">
        <f t="shared" si="1112"/>
        <v>0</v>
      </c>
      <c r="GD108" s="53">
        <f t="shared" si="1113"/>
        <v>0</v>
      </c>
      <c r="GE108" s="51">
        <f t="shared" si="1114"/>
        <v>0</v>
      </c>
      <c r="GF108" s="53">
        <f t="shared" si="1115"/>
        <v>0</v>
      </c>
      <c r="GG108" s="51">
        <f t="shared" si="1116"/>
        <v>0</v>
      </c>
      <c r="GH108" s="48">
        <f t="shared" si="1117"/>
        <v>0</v>
      </c>
      <c r="GI108" s="51">
        <f t="shared" si="1118"/>
        <v>0</v>
      </c>
      <c r="GJ108" s="48"/>
      <c r="GK108" s="48"/>
      <c r="GL108" s="48">
        <v>1</v>
      </c>
      <c r="GM108" s="48">
        <v>0.97</v>
      </c>
      <c r="GN108" s="48">
        <v>0.95</v>
      </c>
      <c r="GO108" s="48">
        <v>0.93</v>
      </c>
      <c r="GP108" s="48">
        <f t="shared" ref="GP108:HG108" si="1200">+GO108-0.02</f>
        <v>0.91</v>
      </c>
      <c r="GQ108" s="48">
        <f t="shared" si="1200"/>
        <v>0.89</v>
      </c>
      <c r="GR108" s="48">
        <f t="shared" si="1200"/>
        <v>0.87</v>
      </c>
      <c r="GS108" s="48">
        <f t="shared" si="1200"/>
        <v>0.85</v>
      </c>
      <c r="GT108" s="48">
        <f t="shared" si="1200"/>
        <v>0.83</v>
      </c>
      <c r="GU108" s="48">
        <f t="shared" si="1200"/>
        <v>0.80999999999999994</v>
      </c>
      <c r="GV108" s="48">
        <f t="shared" si="1200"/>
        <v>0.78999999999999992</v>
      </c>
      <c r="GW108" s="48">
        <f t="shared" si="1200"/>
        <v>0.76999999999999991</v>
      </c>
      <c r="GX108" s="48">
        <f t="shared" si="1200"/>
        <v>0.74999999999999989</v>
      </c>
      <c r="GY108" s="48">
        <f t="shared" si="1200"/>
        <v>0.72999999999999987</v>
      </c>
      <c r="GZ108" s="48">
        <f t="shared" si="1200"/>
        <v>0.70999999999999985</v>
      </c>
      <c r="HA108" s="48">
        <f t="shared" si="1200"/>
        <v>0.68999999999999984</v>
      </c>
      <c r="HB108" s="48">
        <f t="shared" si="1200"/>
        <v>0.66999999999999982</v>
      </c>
      <c r="HC108" s="48">
        <f t="shared" si="1200"/>
        <v>0.6499999999999998</v>
      </c>
      <c r="HD108" s="48">
        <f t="shared" si="1200"/>
        <v>0.62999999999999978</v>
      </c>
      <c r="HE108" s="48">
        <f t="shared" si="1200"/>
        <v>0.60999999999999976</v>
      </c>
      <c r="HF108" s="48">
        <f t="shared" si="1200"/>
        <v>0.58999999999999975</v>
      </c>
      <c r="HG108" s="48">
        <f t="shared" si="1200"/>
        <v>0.56999999999999973</v>
      </c>
    </row>
    <row r="109" spans="1:215" x14ac:dyDescent="0.3">
      <c r="A109" s="2">
        <v>18</v>
      </c>
      <c r="C109" s="29" t="s">
        <v>177</v>
      </c>
      <c r="D109" s="44">
        <v>0</v>
      </c>
      <c r="E109" s="73">
        <f t="shared" si="988"/>
        <v>0</v>
      </c>
      <c r="G109" s="48">
        <f t="shared" si="948"/>
        <v>0</v>
      </c>
      <c r="H109" s="48">
        <f t="shared" si="949"/>
        <v>0</v>
      </c>
      <c r="I109" s="51">
        <f t="shared" si="950"/>
        <v>0</v>
      </c>
      <c r="J109" s="48">
        <f t="shared" si="989"/>
        <v>0</v>
      </c>
      <c r="K109" s="51">
        <f t="shared" si="990"/>
        <v>0</v>
      </c>
      <c r="L109" s="48">
        <f t="shared" si="991"/>
        <v>0</v>
      </c>
      <c r="M109" s="51">
        <f t="shared" si="992"/>
        <v>0</v>
      </c>
      <c r="N109" s="48">
        <f t="shared" si="993"/>
        <v>0</v>
      </c>
      <c r="O109" s="51">
        <f t="shared" si="994"/>
        <v>0</v>
      </c>
      <c r="P109" s="52">
        <f t="shared" si="995"/>
        <v>0</v>
      </c>
      <c r="Q109" s="51">
        <f t="shared" si="996"/>
        <v>0</v>
      </c>
      <c r="R109" s="48">
        <f t="shared" si="997"/>
        <v>0</v>
      </c>
      <c r="S109" s="51">
        <f t="shared" si="998"/>
        <v>0</v>
      </c>
      <c r="T109" s="52">
        <f t="shared" si="999"/>
        <v>0</v>
      </c>
      <c r="U109" s="51">
        <f t="shared" si="1000"/>
        <v>0</v>
      </c>
      <c r="V109" s="53">
        <f t="shared" si="1001"/>
        <v>0</v>
      </c>
      <c r="W109" s="51">
        <f t="shared" si="1002"/>
        <v>0</v>
      </c>
      <c r="X109" s="52">
        <f t="shared" si="1003"/>
        <v>0</v>
      </c>
      <c r="Y109" s="51">
        <f t="shared" si="1004"/>
        <v>0</v>
      </c>
      <c r="Z109" s="48">
        <f t="shared" si="1005"/>
        <v>0</v>
      </c>
      <c r="AA109" s="51">
        <f t="shared" si="1006"/>
        <v>0</v>
      </c>
      <c r="AB109" s="53">
        <f t="shared" si="1007"/>
        <v>0</v>
      </c>
      <c r="AC109" s="51">
        <f t="shared" si="1008"/>
        <v>0</v>
      </c>
      <c r="AD109" s="53">
        <f t="shared" si="1009"/>
        <v>0</v>
      </c>
      <c r="AE109" s="51">
        <f t="shared" si="1010"/>
        <v>0</v>
      </c>
      <c r="AF109" s="53">
        <f t="shared" si="1011"/>
        <v>0</v>
      </c>
      <c r="AG109" s="51">
        <f t="shared" si="1012"/>
        <v>0</v>
      </c>
      <c r="AH109" s="48">
        <f t="shared" si="1013"/>
        <v>0</v>
      </c>
      <c r="AI109" s="51">
        <f t="shared" si="1014"/>
        <v>0</v>
      </c>
      <c r="AJ109" s="53">
        <f t="shared" si="1015"/>
        <v>0</v>
      </c>
      <c r="AK109" s="51">
        <f t="shared" si="1016"/>
        <v>0</v>
      </c>
      <c r="AL109" s="53">
        <f t="shared" si="1017"/>
        <v>0</v>
      </c>
      <c r="AM109" s="51">
        <f t="shared" si="1018"/>
        <v>0</v>
      </c>
      <c r="AN109" s="53">
        <f t="shared" si="1019"/>
        <v>0</v>
      </c>
      <c r="AO109" s="51">
        <f t="shared" si="1020"/>
        <v>0</v>
      </c>
      <c r="AP109" s="53">
        <f t="shared" si="1021"/>
        <v>0</v>
      </c>
      <c r="AQ109" s="51">
        <f t="shared" si="1022"/>
        <v>0</v>
      </c>
      <c r="AR109" s="48">
        <f t="shared" si="1023"/>
        <v>0</v>
      </c>
      <c r="AS109" s="51">
        <f t="shared" si="1024"/>
        <v>0</v>
      </c>
      <c r="AT109" s="53">
        <f t="shared" si="1025"/>
        <v>0</v>
      </c>
      <c r="AU109" s="51">
        <f t="shared" si="1026"/>
        <v>0</v>
      </c>
      <c r="AV109" s="53">
        <f t="shared" si="1027"/>
        <v>0</v>
      </c>
      <c r="AW109" s="51">
        <f t="shared" si="1028"/>
        <v>0</v>
      </c>
      <c r="AX109" s="48">
        <f t="shared" si="1029"/>
        <v>0</v>
      </c>
      <c r="AY109" s="51">
        <f t="shared" si="1030"/>
        <v>0</v>
      </c>
      <c r="BB109" s="48">
        <v>1</v>
      </c>
      <c r="BC109" s="48">
        <v>0.97</v>
      </c>
      <c r="BD109" s="48">
        <v>0.95</v>
      </c>
      <c r="BE109" s="48">
        <v>0.93</v>
      </c>
      <c r="BF109" s="48">
        <f t="shared" ref="BF109:BW109" si="1201">+BE109-0.02</f>
        <v>0.91</v>
      </c>
      <c r="BG109" s="48">
        <f t="shared" si="1201"/>
        <v>0.89</v>
      </c>
      <c r="BH109" s="48">
        <f t="shared" si="1201"/>
        <v>0.87</v>
      </c>
      <c r="BI109" s="48">
        <f t="shared" si="1201"/>
        <v>0.85</v>
      </c>
      <c r="BJ109" s="48">
        <f t="shared" si="1201"/>
        <v>0.83</v>
      </c>
      <c r="BK109" s="48">
        <f t="shared" si="1201"/>
        <v>0.80999999999999994</v>
      </c>
      <c r="BL109" s="48">
        <f t="shared" si="1201"/>
        <v>0.78999999999999992</v>
      </c>
      <c r="BM109" s="48">
        <f t="shared" si="1201"/>
        <v>0.76999999999999991</v>
      </c>
      <c r="BN109" s="48">
        <f t="shared" si="1201"/>
        <v>0.74999999999999989</v>
      </c>
      <c r="BO109" s="48">
        <f t="shared" si="1201"/>
        <v>0.72999999999999987</v>
      </c>
      <c r="BP109" s="48">
        <f t="shared" si="1201"/>
        <v>0.70999999999999985</v>
      </c>
      <c r="BQ109" s="48">
        <f t="shared" si="1201"/>
        <v>0.68999999999999984</v>
      </c>
      <c r="BR109" s="48">
        <f t="shared" si="1201"/>
        <v>0.66999999999999982</v>
      </c>
      <c r="BS109" s="48">
        <f t="shared" si="1201"/>
        <v>0.6499999999999998</v>
      </c>
      <c r="BT109" s="48">
        <f t="shared" si="1201"/>
        <v>0.62999999999999978</v>
      </c>
      <c r="BU109" s="48">
        <f t="shared" si="1201"/>
        <v>0.60999999999999976</v>
      </c>
      <c r="BV109" s="48">
        <f t="shared" si="1201"/>
        <v>0.58999999999999975</v>
      </c>
      <c r="BW109" s="48">
        <f t="shared" si="1201"/>
        <v>0.56999999999999973</v>
      </c>
      <c r="BY109" s="48">
        <f t="shared" si="952"/>
        <v>0</v>
      </c>
      <c r="BZ109" s="48">
        <f t="shared" si="953"/>
        <v>0</v>
      </c>
      <c r="CA109" s="51">
        <f t="shared" ref="CA109" si="1202">+BZ109*3.3058</f>
        <v>0</v>
      </c>
      <c r="CB109" s="48">
        <f t="shared" si="1033"/>
        <v>0</v>
      </c>
      <c r="CC109" s="51">
        <f t="shared" si="1034"/>
        <v>0</v>
      </c>
      <c r="CD109" s="48">
        <f t="shared" si="1035"/>
        <v>0</v>
      </c>
      <c r="CE109" s="51">
        <f t="shared" si="1036"/>
        <v>0</v>
      </c>
      <c r="CF109" s="48">
        <f t="shared" si="1037"/>
        <v>0</v>
      </c>
      <c r="CG109" s="51">
        <f t="shared" si="1038"/>
        <v>0</v>
      </c>
      <c r="CH109" s="52">
        <f t="shared" si="1039"/>
        <v>0</v>
      </c>
      <c r="CI109" s="51">
        <f t="shared" si="1040"/>
        <v>0</v>
      </c>
      <c r="CJ109" s="48">
        <f t="shared" si="1041"/>
        <v>0</v>
      </c>
      <c r="CK109" s="51">
        <f t="shared" si="1042"/>
        <v>0</v>
      </c>
      <c r="CL109" s="52">
        <f t="shared" si="1043"/>
        <v>0</v>
      </c>
      <c r="CM109" s="51">
        <f t="shared" si="1044"/>
        <v>0</v>
      </c>
      <c r="CN109" s="53">
        <f t="shared" si="1045"/>
        <v>0</v>
      </c>
      <c r="CO109" s="51">
        <f t="shared" si="1046"/>
        <v>0</v>
      </c>
      <c r="CP109" s="52">
        <f t="shared" si="1047"/>
        <v>0</v>
      </c>
      <c r="CQ109" s="51">
        <f t="shared" si="1048"/>
        <v>0</v>
      </c>
      <c r="CR109" s="48">
        <f t="shared" si="1049"/>
        <v>0</v>
      </c>
      <c r="CS109" s="51">
        <f t="shared" si="1050"/>
        <v>0</v>
      </c>
      <c r="CT109" s="53">
        <f t="shared" si="1051"/>
        <v>0</v>
      </c>
      <c r="CU109" s="51">
        <f t="shared" si="1052"/>
        <v>0</v>
      </c>
      <c r="CV109" s="53">
        <f t="shared" si="1053"/>
        <v>0</v>
      </c>
      <c r="CW109" s="51">
        <f t="shared" si="1054"/>
        <v>0</v>
      </c>
      <c r="CX109" s="53">
        <f t="shared" si="1055"/>
        <v>0</v>
      </c>
      <c r="CY109" s="51">
        <f t="shared" si="1056"/>
        <v>0</v>
      </c>
      <c r="CZ109" s="48">
        <f t="shared" si="1057"/>
        <v>0</v>
      </c>
      <c r="DA109" s="51">
        <f t="shared" si="1058"/>
        <v>0</v>
      </c>
      <c r="DB109" s="53">
        <f t="shared" si="1059"/>
        <v>0</v>
      </c>
      <c r="DC109" s="51">
        <f t="shared" si="1060"/>
        <v>0</v>
      </c>
      <c r="DD109" s="53">
        <f t="shared" si="1061"/>
        <v>0</v>
      </c>
      <c r="DE109" s="51">
        <f t="shared" si="1062"/>
        <v>0</v>
      </c>
      <c r="DF109" s="53">
        <f t="shared" si="1063"/>
        <v>0</v>
      </c>
      <c r="DG109" s="51">
        <f t="shared" si="1064"/>
        <v>0</v>
      </c>
      <c r="DH109" s="53">
        <f t="shared" si="1065"/>
        <v>0</v>
      </c>
      <c r="DI109" s="51">
        <f t="shared" si="1066"/>
        <v>0</v>
      </c>
      <c r="DJ109" s="48">
        <f t="shared" si="1067"/>
        <v>0</v>
      </c>
      <c r="DK109" s="51">
        <f t="shared" si="1068"/>
        <v>0</v>
      </c>
      <c r="DL109" s="53">
        <f t="shared" si="1069"/>
        <v>0</v>
      </c>
      <c r="DM109" s="51">
        <f t="shared" si="1070"/>
        <v>0</v>
      </c>
      <c r="DN109" s="53">
        <f t="shared" si="1071"/>
        <v>0</v>
      </c>
      <c r="DO109" s="51">
        <f t="shared" si="1072"/>
        <v>0</v>
      </c>
      <c r="DP109" s="48">
        <f t="shared" si="1073"/>
        <v>0</v>
      </c>
      <c r="DQ109" s="51">
        <f t="shared" si="1074"/>
        <v>0</v>
      </c>
      <c r="DT109" s="48">
        <v>1</v>
      </c>
      <c r="DU109" s="48">
        <v>0.97</v>
      </c>
      <c r="DV109" s="48">
        <v>0.95</v>
      </c>
      <c r="DW109" s="48">
        <v>0.93</v>
      </c>
      <c r="DX109" s="48">
        <f t="shared" ref="DX109:EO109" si="1203">+DW109-0.02</f>
        <v>0.91</v>
      </c>
      <c r="DY109" s="48">
        <f t="shared" si="1203"/>
        <v>0.89</v>
      </c>
      <c r="DZ109" s="48">
        <f t="shared" si="1203"/>
        <v>0.87</v>
      </c>
      <c r="EA109" s="48">
        <f t="shared" si="1203"/>
        <v>0.85</v>
      </c>
      <c r="EB109" s="48">
        <f t="shared" si="1203"/>
        <v>0.83</v>
      </c>
      <c r="EC109" s="48">
        <f t="shared" si="1203"/>
        <v>0.80999999999999994</v>
      </c>
      <c r="ED109" s="48">
        <f t="shared" si="1203"/>
        <v>0.78999999999999992</v>
      </c>
      <c r="EE109" s="48">
        <f t="shared" si="1203"/>
        <v>0.76999999999999991</v>
      </c>
      <c r="EF109" s="48">
        <f t="shared" si="1203"/>
        <v>0.74999999999999989</v>
      </c>
      <c r="EG109" s="48">
        <f t="shared" si="1203"/>
        <v>0.72999999999999987</v>
      </c>
      <c r="EH109" s="48">
        <f t="shared" si="1203"/>
        <v>0.70999999999999985</v>
      </c>
      <c r="EI109" s="48">
        <f t="shared" si="1203"/>
        <v>0.68999999999999984</v>
      </c>
      <c r="EJ109" s="48">
        <f t="shared" si="1203"/>
        <v>0.66999999999999982</v>
      </c>
      <c r="EK109" s="48">
        <f t="shared" si="1203"/>
        <v>0.6499999999999998</v>
      </c>
      <c r="EL109" s="48">
        <f t="shared" si="1203"/>
        <v>0.62999999999999978</v>
      </c>
      <c r="EM109" s="48">
        <f t="shared" si="1203"/>
        <v>0.60999999999999976</v>
      </c>
      <c r="EN109" s="48">
        <f t="shared" si="1203"/>
        <v>0.58999999999999975</v>
      </c>
      <c r="EO109" s="48">
        <f t="shared" si="1203"/>
        <v>0.56999999999999973</v>
      </c>
      <c r="EQ109" s="48">
        <f t="shared" si="1128"/>
        <v>0</v>
      </c>
      <c r="ER109" s="48">
        <f t="shared" si="956"/>
        <v>0</v>
      </c>
      <c r="ES109" s="51">
        <f t="shared" ref="ES109" si="1204">+ER109*3.3058</f>
        <v>0</v>
      </c>
      <c r="ET109" s="48">
        <f t="shared" si="1077"/>
        <v>0</v>
      </c>
      <c r="EU109" s="51">
        <f t="shared" si="1078"/>
        <v>0</v>
      </c>
      <c r="EV109" s="48">
        <f t="shared" si="1079"/>
        <v>0</v>
      </c>
      <c r="EW109" s="51">
        <f t="shared" si="1080"/>
        <v>0</v>
      </c>
      <c r="EX109" s="48">
        <f t="shared" si="1081"/>
        <v>0</v>
      </c>
      <c r="EY109" s="51">
        <f t="shared" si="1082"/>
        <v>0</v>
      </c>
      <c r="EZ109" s="52">
        <f t="shared" si="1083"/>
        <v>0</v>
      </c>
      <c r="FA109" s="51">
        <f t="shared" si="1084"/>
        <v>0</v>
      </c>
      <c r="FB109" s="48">
        <f t="shared" si="1085"/>
        <v>0</v>
      </c>
      <c r="FC109" s="51">
        <f t="shared" si="1086"/>
        <v>0</v>
      </c>
      <c r="FD109" s="52">
        <f t="shared" si="1087"/>
        <v>0</v>
      </c>
      <c r="FE109" s="51">
        <f t="shared" si="1088"/>
        <v>0</v>
      </c>
      <c r="FF109" s="53">
        <f t="shared" si="1089"/>
        <v>0</v>
      </c>
      <c r="FG109" s="51">
        <f t="shared" si="1090"/>
        <v>0</v>
      </c>
      <c r="FH109" s="52">
        <f t="shared" si="1091"/>
        <v>0</v>
      </c>
      <c r="FI109" s="51">
        <f t="shared" si="1092"/>
        <v>0</v>
      </c>
      <c r="FJ109" s="48">
        <f t="shared" si="1093"/>
        <v>0</v>
      </c>
      <c r="FK109" s="51">
        <f t="shared" si="1094"/>
        <v>0</v>
      </c>
      <c r="FL109" s="53">
        <f t="shared" si="1095"/>
        <v>0</v>
      </c>
      <c r="FM109" s="51">
        <f t="shared" si="1096"/>
        <v>0</v>
      </c>
      <c r="FN109" s="53">
        <f t="shared" si="1097"/>
        <v>0</v>
      </c>
      <c r="FO109" s="51">
        <f t="shared" si="1098"/>
        <v>0</v>
      </c>
      <c r="FP109" s="53">
        <f t="shared" si="1099"/>
        <v>0</v>
      </c>
      <c r="FQ109" s="51">
        <f t="shared" si="1100"/>
        <v>0</v>
      </c>
      <c r="FR109" s="48">
        <f t="shared" si="1101"/>
        <v>0</v>
      </c>
      <c r="FS109" s="51">
        <f t="shared" si="1102"/>
        <v>0</v>
      </c>
      <c r="FT109" s="53">
        <f t="shared" si="1103"/>
        <v>0</v>
      </c>
      <c r="FU109" s="51">
        <f t="shared" si="1104"/>
        <v>0</v>
      </c>
      <c r="FV109" s="53">
        <f t="shared" si="1105"/>
        <v>0</v>
      </c>
      <c r="FW109" s="51">
        <f t="shared" si="1106"/>
        <v>0</v>
      </c>
      <c r="FX109" s="53">
        <f t="shared" si="1107"/>
        <v>0</v>
      </c>
      <c r="FY109" s="51">
        <f t="shared" si="1108"/>
        <v>0</v>
      </c>
      <c r="FZ109" s="53">
        <f t="shared" si="1109"/>
        <v>0</v>
      </c>
      <c r="GA109" s="51">
        <f t="shared" si="1110"/>
        <v>0</v>
      </c>
      <c r="GB109" s="48">
        <f t="shared" si="1111"/>
        <v>0</v>
      </c>
      <c r="GC109" s="51">
        <f t="shared" si="1112"/>
        <v>0</v>
      </c>
      <c r="GD109" s="53">
        <f t="shared" si="1113"/>
        <v>0</v>
      </c>
      <c r="GE109" s="51">
        <f t="shared" si="1114"/>
        <v>0</v>
      </c>
      <c r="GF109" s="53">
        <f t="shared" si="1115"/>
        <v>0</v>
      </c>
      <c r="GG109" s="51">
        <f t="shared" si="1116"/>
        <v>0</v>
      </c>
      <c r="GH109" s="48">
        <f t="shared" si="1117"/>
        <v>0</v>
      </c>
      <c r="GI109" s="51">
        <f t="shared" si="1118"/>
        <v>0</v>
      </c>
      <c r="GJ109" s="48"/>
      <c r="GK109" s="48"/>
      <c r="GL109" s="48">
        <v>1</v>
      </c>
      <c r="GM109" s="48">
        <v>0.97</v>
      </c>
      <c r="GN109" s="48">
        <v>0.95</v>
      </c>
      <c r="GO109" s="48">
        <v>0.93</v>
      </c>
      <c r="GP109" s="48">
        <f t="shared" ref="GP109:HG109" si="1205">+GO109-0.02</f>
        <v>0.91</v>
      </c>
      <c r="GQ109" s="48">
        <f t="shared" si="1205"/>
        <v>0.89</v>
      </c>
      <c r="GR109" s="48">
        <f t="shared" si="1205"/>
        <v>0.87</v>
      </c>
      <c r="GS109" s="48">
        <f t="shared" si="1205"/>
        <v>0.85</v>
      </c>
      <c r="GT109" s="48">
        <f t="shared" si="1205"/>
        <v>0.83</v>
      </c>
      <c r="GU109" s="48">
        <f t="shared" si="1205"/>
        <v>0.80999999999999994</v>
      </c>
      <c r="GV109" s="48">
        <f t="shared" si="1205"/>
        <v>0.78999999999999992</v>
      </c>
      <c r="GW109" s="48">
        <f t="shared" si="1205"/>
        <v>0.76999999999999991</v>
      </c>
      <c r="GX109" s="48">
        <f t="shared" si="1205"/>
        <v>0.74999999999999989</v>
      </c>
      <c r="GY109" s="48">
        <f t="shared" si="1205"/>
        <v>0.72999999999999987</v>
      </c>
      <c r="GZ109" s="48">
        <f t="shared" si="1205"/>
        <v>0.70999999999999985</v>
      </c>
      <c r="HA109" s="48">
        <f t="shared" si="1205"/>
        <v>0.68999999999999984</v>
      </c>
      <c r="HB109" s="48">
        <f t="shared" si="1205"/>
        <v>0.66999999999999982</v>
      </c>
      <c r="HC109" s="48">
        <f t="shared" si="1205"/>
        <v>0.6499999999999998</v>
      </c>
      <c r="HD109" s="48">
        <f t="shared" si="1205"/>
        <v>0.62999999999999978</v>
      </c>
      <c r="HE109" s="48">
        <f t="shared" si="1205"/>
        <v>0.60999999999999976</v>
      </c>
      <c r="HF109" s="48">
        <f t="shared" si="1205"/>
        <v>0.58999999999999975</v>
      </c>
      <c r="HG109" s="48">
        <f t="shared" si="1205"/>
        <v>0.56999999999999973</v>
      </c>
    </row>
    <row r="110" spans="1:215" x14ac:dyDescent="0.3">
      <c r="A110" s="2">
        <v>19</v>
      </c>
      <c r="C110" s="29" t="s">
        <v>178</v>
      </c>
      <c r="D110" s="44">
        <v>0</v>
      </c>
      <c r="E110" s="73">
        <f t="shared" si="988"/>
        <v>0</v>
      </c>
      <c r="G110" s="48">
        <f t="shared" si="948"/>
        <v>0</v>
      </c>
      <c r="H110" s="48">
        <f t="shared" si="949"/>
        <v>0</v>
      </c>
      <c r="I110" s="51">
        <f t="shared" si="950"/>
        <v>0</v>
      </c>
      <c r="J110" s="48">
        <f t="shared" si="989"/>
        <v>0</v>
      </c>
      <c r="K110" s="51">
        <f t="shared" si="990"/>
        <v>0</v>
      </c>
      <c r="L110" s="48">
        <f t="shared" si="991"/>
        <v>0</v>
      </c>
      <c r="M110" s="51">
        <f t="shared" si="992"/>
        <v>0</v>
      </c>
      <c r="N110" s="48">
        <f t="shared" si="993"/>
        <v>0</v>
      </c>
      <c r="O110" s="51">
        <f t="shared" si="994"/>
        <v>0</v>
      </c>
      <c r="P110" s="52">
        <f t="shared" si="995"/>
        <v>0</v>
      </c>
      <c r="Q110" s="51">
        <f t="shared" si="996"/>
        <v>0</v>
      </c>
      <c r="R110" s="48">
        <f t="shared" si="997"/>
        <v>0</v>
      </c>
      <c r="S110" s="51">
        <f t="shared" si="998"/>
        <v>0</v>
      </c>
      <c r="T110" s="52">
        <f t="shared" si="999"/>
        <v>0</v>
      </c>
      <c r="U110" s="51">
        <f t="shared" si="1000"/>
        <v>0</v>
      </c>
      <c r="V110" s="53">
        <f t="shared" si="1001"/>
        <v>0</v>
      </c>
      <c r="W110" s="51">
        <f t="shared" si="1002"/>
        <v>0</v>
      </c>
      <c r="X110" s="52">
        <f t="shared" si="1003"/>
        <v>0</v>
      </c>
      <c r="Y110" s="51">
        <f t="shared" si="1004"/>
        <v>0</v>
      </c>
      <c r="Z110" s="48">
        <f t="shared" si="1005"/>
        <v>0</v>
      </c>
      <c r="AA110" s="51">
        <f t="shared" si="1006"/>
        <v>0</v>
      </c>
      <c r="AB110" s="53">
        <f t="shared" si="1007"/>
        <v>0</v>
      </c>
      <c r="AC110" s="51">
        <f t="shared" si="1008"/>
        <v>0</v>
      </c>
      <c r="AD110" s="53">
        <f t="shared" si="1009"/>
        <v>0</v>
      </c>
      <c r="AE110" s="51">
        <f t="shared" si="1010"/>
        <v>0</v>
      </c>
      <c r="AF110" s="53">
        <f t="shared" si="1011"/>
        <v>0</v>
      </c>
      <c r="AG110" s="51">
        <f t="shared" si="1012"/>
        <v>0</v>
      </c>
      <c r="AH110" s="48">
        <f t="shared" si="1013"/>
        <v>0</v>
      </c>
      <c r="AI110" s="51">
        <f t="shared" si="1014"/>
        <v>0</v>
      </c>
      <c r="AJ110" s="53">
        <f t="shared" si="1015"/>
        <v>0</v>
      </c>
      <c r="AK110" s="51">
        <f t="shared" si="1016"/>
        <v>0</v>
      </c>
      <c r="AL110" s="53">
        <f t="shared" si="1017"/>
        <v>0</v>
      </c>
      <c r="AM110" s="51">
        <f t="shared" si="1018"/>
        <v>0</v>
      </c>
      <c r="AN110" s="53">
        <f t="shared" si="1019"/>
        <v>0</v>
      </c>
      <c r="AO110" s="51">
        <f t="shared" si="1020"/>
        <v>0</v>
      </c>
      <c r="AP110" s="53">
        <f t="shared" si="1021"/>
        <v>0</v>
      </c>
      <c r="AQ110" s="51">
        <f t="shared" si="1022"/>
        <v>0</v>
      </c>
      <c r="AR110" s="48">
        <f t="shared" si="1023"/>
        <v>0</v>
      </c>
      <c r="AS110" s="51">
        <f t="shared" si="1024"/>
        <v>0</v>
      </c>
      <c r="AT110" s="53">
        <f t="shared" si="1025"/>
        <v>0</v>
      </c>
      <c r="AU110" s="51">
        <f t="shared" si="1026"/>
        <v>0</v>
      </c>
      <c r="AV110" s="53">
        <f t="shared" si="1027"/>
        <v>0</v>
      </c>
      <c r="AW110" s="51">
        <f t="shared" si="1028"/>
        <v>0</v>
      </c>
      <c r="AX110" s="48">
        <f t="shared" si="1029"/>
        <v>0</v>
      </c>
      <c r="AY110" s="51">
        <f t="shared" si="1030"/>
        <v>0</v>
      </c>
      <c r="BB110" s="48">
        <v>1</v>
      </c>
      <c r="BC110" s="48">
        <v>0.97</v>
      </c>
      <c r="BD110" s="48">
        <v>0.95</v>
      </c>
      <c r="BE110" s="48">
        <v>0.93</v>
      </c>
      <c r="BF110" s="48">
        <f t="shared" ref="BF110:BW110" si="1206">+BE110-0.02</f>
        <v>0.91</v>
      </c>
      <c r="BG110" s="48">
        <f t="shared" si="1206"/>
        <v>0.89</v>
      </c>
      <c r="BH110" s="48">
        <f t="shared" si="1206"/>
        <v>0.87</v>
      </c>
      <c r="BI110" s="48">
        <f t="shared" si="1206"/>
        <v>0.85</v>
      </c>
      <c r="BJ110" s="48">
        <f t="shared" si="1206"/>
        <v>0.83</v>
      </c>
      <c r="BK110" s="48">
        <f t="shared" si="1206"/>
        <v>0.80999999999999994</v>
      </c>
      <c r="BL110" s="48">
        <f t="shared" si="1206"/>
        <v>0.78999999999999992</v>
      </c>
      <c r="BM110" s="48">
        <f t="shared" si="1206"/>
        <v>0.76999999999999991</v>
      </c>
      <c r="BN110" s="48">
        <f t="shared" si="1206"/>
        <v>0.74999999999999989</v>
      </c>
      <c r="BO110" s="48">
        <f t="shared" si="1206"/>
        <v>0.72999999999999987</v>
      </c>
      <c r="BP110" s="48">
        <f t="shared" si="1206"/>
        <v>0.70999999999999985</v>
      </c>
      <c r="BQ110" s="48">
        <f t="shared" si="1206"/>
        <v>0.68999999999999984</v>
      </c>
      <c r="BR110" s="48">
        <f t="shared" si="1206"/>
        <v>0.66999999999999982</v>
      </c>
      <c r="BS110" s="48">
        <f t="shared" si="1206"/>
        <v>0.6499999999999998</v>
      </c>
      <c r="BT110" s="48">
        <f t="shared" si="1206"/>
        <v>0.62999999999999978</v>
      </c>
      <c r="BU110" s="48">
        <f t="shared" si="1206"/>
        <v>0.60999999999999976</v>
      </c>
      <c r="BV110" s="48">
        <f t="shared" si="1206"/>
        <v>0.58999999999999975</v>
      </c>
      <c r="BW110" s="48">
        <f t="shared" si="1206"/>
        <v>0.56999999999999973</v>
      </c>
      <c r="BY110" s="48">
        <f t="shared" si="952"/>
        <v>0</v>
      </c>
      <c r="BZ110" s="48">
        <f t="shared" si="953"/>
        <v>0</v>
      </c>
      <c r="CA110" s="51">
        <f t="shared" ref="CA110" si="1207">+BZ110*3.3058</f>
        <v>0</v>
      </c>
      <c r="CB110" s="48">
        <f t="shared" si="1033"/>
        <v>0</v>
      </c>
      <c r="CC110" s="51">
        <f t="shared" si="1034"/>
        <v>0</v>
      </c>
      <c r="CD110" s="48">
        <f t="shared" si="1035"/>
        <v>0</v>
      </c>
      <c r="CE110" s="51">
        <f t="shared" si="1036"/>
        <v>0</v>
      </c>
      <c r="CF110" s="48">
        <f t="shared" si="1037"/>
        <v>0</v>
      </c>
      <c r="CG110" s="51">
        <f t="shared" si="1038"/>
        <v>0</v>
      </c>
      <c r="CH110" s="52">
        <f t="shared" si="1039"/>
        <v>0</v>
      </c>
      <c r="CI110" s="51">
        <f t="shared" si="1040"/>
        <v>0</v>
      </c>
      <c r="CJ110" s="48">
        <f t="shared" si="1041"/>
        <v>0</v>
      </c>
      <c r="CK110" s="51">
        <f t="shared" si="1042"/>
        <v>0</v>
      </c>
      <c r="CL110" s="52">
        <f t="shared" si="1043"/>
        <v>0</v>
      </c>
      <c r="CM110" s="51">
        <f t="shared" si="1044"/>
        <v>0</v>
      </c>
      <c r="CN110" s="53">
        <f t="shared" si="1045"/>
        <v>0</v>
      </c>
      <c r="CO110" s="51">
        <f t="shared" si="1046"/>
        <v>0</v>
      </c>
      <c r="CP110" s="52">
        <f t="shared" si="1047"/>
        <v>0</v>
      </c>
      <c r="CQ110" s="51">
        <f t="shared" si="1048"/>
        <v>0</v>
      </c>
      <c r="CR110" s="48">
        <f t="shared" si="1049"/>
        <v>0</v>
      </c>
      <c r="CS110" s="51">
        <f t="shared" si="1050"/>
        <v>0</v>
      </c>
      <c r="CT110" s="53">
        <f t="shared" si="1051"/>
        <v>0</v>
      </c>
      <c r="CU110" s="51">
        <f t="shared" si="1052"/>
        <v>0</v>
      </c>
      <c r="CV110" s="53">
        <f t="shared" si="1053"/>
        <v>0</v>
      </c>
      <c r="CW110" s="51">
        <f t="shared" si="1054"/>
        <v>0</v>
      </c>
      <c r="CX110" s="53">
        <f t="shared" si="1055"/>
        <v>0</v>
      </c>
      <c r="CY110" s="51">
        <f t="shared" si="1056"/>
        <v>0</v>
      </c>
      <c r="CZ110" s="48">
        <f t="shared" si="1057"/>
        <v>0</v>
      </c>
      <c r="DA110" s="51">
        <f t="shared" si="1058"/>
        <v>0</v>
      </c>
      <c r="DB110" s="53">
        <f t="shared" si="1059"/>
        <v>0</v>
      </c>
      <c r="DC110" s="51">
        <f t="shared" si="1060"/>
        <v>0</v>
      </c>
      <c r="DD110" s="53">
        <f t="shared" si="1061"/>
        <v>0</v>
      </c>
      <c r="DE110" s="51">
        <f t="shared" si="1062"/>
        <v>0</v>
      </c>
      <c r="DF110" s="53">
        <f t="shared" si="1063"/>
        <v>0</v>
      </c>
      <c r="DG110" s="51">
        <f t="shared" si="1064"/>
        <v>0</v>
      </c>
      <c r="DH110" s="53">
        <f t="shared" si="1065"/>
        <v>0</v>
      </c>
      <c r="DI110" s="51">
        <f t="shared" si="1066"/>
        <v>0</v>
      </c>
      <c r="DJ110" s="48">
        <f t="shared" si="1067"/>
        <v>0</v>
      </c>
      <c r="DK110" s="51">
        <f t="shared" si="1068"/>
        <v>0</v>
      </c>
      <c r="DL110" s="53">
        <f t="shared" si="1069"/>
        <v>0</v>
      </c>
      <c r="DM110" s="51">
        <f t="shared" si="1070"/>
        <v>0</v>
      </c>
      <c r="DN110" s="53">
        <f t="shared" si="1071"/>
        <v>0</v>
      </c>
      <c r="DO110" s="51">
        <f t="shared" si="1072"/>
        <v>0</v>
      </c>
      <c r="DP110" s="48">
        <f t="shared" si="1073"/>
        <v>0</v>
      </c>
      <c r="DQ110" s="51">
        <f t="shared" si="1074"/>
        <v>0</v>
      </c>
      <c r="DT110" s="48">
        <v>1</v>
      </c>
      <c r="DU110" s="48">
        <v>0.97</v>
      </c>
      <c r="DV110" s="48">
        <v>0.95</v>
      </c>
      <c r="DW110" s="48">
        <v>0.93</v>
      </c>
      <c r="DX110" s="48">
        <f t="shared" ref="DX110:EO110" si="1208">+DW110-0.02</f>
        <v>0.91</v>
      </c>
      <c r="DY110" s="48">
        <f t="shared" si="1208"/>
        <v>0.89</v>
      </c>
      <c r="DZ110" s="48">
        <f t="shared" si="1208"/>
        <v>0.87</v>
      </c>
      <c r="EA110" s="48">
        <f t="shared" si="1208"/>
        <v>0.85</v>
      </c>
      <c r="EB110" s="48">
        <f t="shared" si="1208"/>
        <v>0.83</v>
      </c>
      <c r="EC110" s="48">
        <f t="shared" si="1208"/>
        <v>0.80999999999999994</v>
      </c>
      <c r="ED110" s="48">
        <f t="shared" si="1208"/>
        <v>0.78999999999999992</v>
      </c>
      <c r="EE110" s="48">
        <f t="shared" si="1208"/>
        <v>0.76999999999999991</v>
      </c>
      <c r="EF110" s="48">
        <f t="shared" si="1208"/>
        <v>0.74999999999999989</v>
      </c>
      <c r="EG110" s="48">
        <f t="shared" si="1208"/>
        <v>0.72999999999999987</v>
      </c>
      <c r="EH110" s="48">
        <f t="shared" si="1208"/>
        <v>0.70999999999999985</v>
      </c>
      <c r="EI110" s="48">
        <f t="shared" si="1208"/>
        <v>0.68999999999999984</v>
      </c>
      <c r="EJ110" s="48">
        <f t="shared" si="1208"/>
        <v>0.66999999999999982</v>
      </c>
      <c r="EK110" s="48">
        <f t="shared" si="1208"/>
        <v>0.6499999999999998</v>
      </c>
      <c r="EL110" s="48">
        <f t="shared" si="1208"/>
        <v>0.62999999999999978</v>
      </c>
      <c r="EM110" s="48">
        <f t="shared" si="1208"/>
        <v>0.60999999999999976</v>
      </c>
      <c r="EN110" s="48">
        <f t="shared" si="1208"/>
        <v>0.58999999999999975</v>
      </c>
      <c r="EO110" s="48">
        <f t="shared" si="1208"/>
        <v>0.56999999999999973</v>
      </c>
      <c r="EQ110" s="48">
        <f t="shared" si="1128"/>
        <v>0</v>
      </c>
      <c r="ER110" s="48">
        <f t="shared" si="956"/>
        <v>0</v>
      </c>
      <c r="ES110" s="51">
        <f t="shared" ref="ES110" si="1209">+ER110*3.3058</f>
        <v>0</v>
      </c>
      <c r="ET110" s="48">
        <f t="shared" si="1077"/>
        <v>0</v>
      </c>
      <c r="EU110" s="51">
        <f t="shared" si="1078"/>
        <v>0</v>
      </c>
      <c r="EV110" s="48">
        <f t="shared" si="1079"/>
        <v>0</v>
      </c>
      <c r="EW110" s="51">
        <f t="shared" si="1080"/>
        <v>0</v>
      </c>
      <c r="EX110" s="48">
        <f t="shared" si="1081"/>
        <v>0</v>
      </c>
      <c r="EY110" s="51">
        <f t="shared" si="1082"/>
        <v>0</v>
      </c>
      <c r="EZ110" s="52">
        <f t="shared" si="1083"/>
        <v>0</v>
      </c>
      <c r="FA110" s="51">
        <f t="shared" si="1084"/>
        <v>0</v>
      </c>
      <c r="FB110" s="48">
        <f t="shared" si="1085"/>
        <v>0</v>
      </c>
      <c r="FC110" s="51">
        <f t="shared" si="1086"/>
        <v>0</v>
      </c>
      <c r="FD110" s="52">
        <f t="shared" si="1087"/>
        <v>0</v>
      </c>
      <c r="FE110" s="51">
        <f t="shared" si="1088"/>
        <v>0</v>
      </c>
      <c r="FF110" s="53">
        <f t="shared" si="1089"/>
        <v>0</v>
      </c>
      <c r="FG110" s="51">
        <f t="shared" si="1090"/>
        <v>0</v>
      </c>
      <c r="FH110" s="52">
        <f t="shared" si="1091"/>
        <v>0</v>
      </c>
      <c r="FI110" s="51">
        <f t="shared" si="1092"/>
        <v>0</v>
      </c>
      <c r="FJ110" s="48">
        <f t="shared" si="1093"/>
        <v>0</v>
      </c>
      <c r="FK110" s="51">
        <f t="shared" si="1094"/>
        <v>0</v>
      </c>
      <c r="FL110" s="53">
        <f t="shared" si="1095"/>
        <v>0</v>
      </c>
      <c r="FM110" s="51">
        <f t="shared" si="1096"/>
        <v>0</v>
      </c>
      <c r="FN110" s="53">
        <f t="shared" si="1097"/>
        <v>0</v>
      </c>
      <c r="FO110" s="51">
        <f t="shared" si="1098"/>
        <v>0</v>
      </c>
      <c r="FP110" s="53">
        <f t="shared" si="1099"/>
        <v>0</v>
      </c>
      <c r="FQ110" s="51">
        <f t="shared" si="1100"/>
        <v>0</v>
      </c>
      <c r="FR110" s="48">
        <f t="shared" si="1101"/>
        <v>0</v>
      </c>
      <c r="FS110" s="51">
        <f t="shared" si="1102"/>
        <v>0</v>
      </c>
      <c r="FT110" s="53">
        <f t="shared" si="1103"/>
        <v>0</v>
      </c>
      <c r="FU110" s="51">
        <f t="shared" si="1104"/>
        <v>0</v>
      </c>
      <c r="FV110" s="53">
        <f t="shared" si="1105"/>
        <v>0</v>
      </c>
      <c r="FW110" s="51">
        <f t="shared" si="1106"/>
        <v>0</v>
      </c>
      <c r="FX110" s="53">
        <f t="shared" si="1107"/>
        <v>0</v>
      </c>
      <c r="FY110" s="51">
        <f t="shared" si="1108"/>
        <v>0</v>
      </c>
      <c r="FZ110" s="53">
        <f t="shared" si="1109"/>
        <v>0</v>
      </c>
      <c r="GA110" s="51">
        <f t="shared" si="1110"/>
        <v>0</v>
      </c>
      <c r="GB110" s="48">
        <f t="shared" si="1111"/>
        <v>0</v>
      </c>
      <c r="GC110" s="51">
        <f t="shared" si="1112"/>
        <v>0</v>
      </c>
      <c r="GD110" s="53">
        <f t="shared" si="1113"/>
        <v>0</v>
      </c>
      <c r="GE110" s="51">
        <f t="shared" si="1114"/>
        <v>0</v>
      </c>
      <c r="GF110" s="53">
        <f t="shared" si="1115"/>
        <v>0</v>
      </c>
      <c r="GG110" s="51">
        <f t="shared" si="1116"/>
        <v>0</v>
      </c>
      <c r="GH110" s="48">
        <f t="shared" si="1117"/>
        <v>0</v>
      </c>
      <c r="GI110" s="51">
        <f t="shared" si="1118"/>
        <v>0</v>
      </c>
      <c r="GJ110" s="48"/>
      <c r="GK110" s="48"/>
      <c r="GL110" s="48">
        <v>1</v>
      </c>
      <c r="GM110" s="48">
        <v>0.97</v>
      </c>
      <c r="GN110" s="48">
        <v>0.95</v>
      </c>
      <c r="GO110" s="48">
        <v>0.93</v>
      </c>
      <c r="GP110" s="48">
        <f t="shared" ref="GP110:HG110" si="1210">+GO110-0.02</f>
        <v>0.91</v>
      </c>
      <c r="GQ110" s="48">
        <f t="shared" si="1210"/>
        <v>0.89</v>
      </c>
      <c r="GR110" s="48">
        <f t="shared" si="1210"/>
        <v>0.87</v>
      </c>
      <c r="GS110" s="48">
        <f t="shared" si="1210"/>
        <v>0.85</v>
      </c>
      <c r="GT110" s="48">
        <f t="shared" si="1210"/>
        <v>0.83</v>
      </c>
      <c r="GU110" s="48">
        <f t="shared" si="1210"/>
        <v>0.80999999999999994</v>
      </c>
      <c r="GV110" s="48">
        <f t="shared" si="1210"/>
        <v>0.78999999999999992</v>
      </c>
      <c r="GW110" s="48">
        <f t="shared" si="1210"/>
        <v>0.76999999999999991</v>
      </c>
      <c r="GX110" s="48">
        <f t="shared" si="1210"/>
        <v>0.74999999999999989</v>
      </c>
      <c r="GY110" s="48">
        <f t="shared" si="1210"/>
        <v>0.72999999999999987</v>
      </c>
      <c r="GZ110" s="48">
        <f t="shared" si="1210"/>
        <v>0.70999999999999985</v>
      </c>
      <c r="HA110" s="48">
        <f t="shared" si="1210"/>
        <v>0.68999999999999984</v>
      </c>
      <c r="HB110" s="48">
        <f t="shared" si="1210"/>
        <v>0.66999999999999982</v>
      </c>
      <c r="HC110" s="48">
        <f t="shared" si="1210"/>
        <v>0.6499999999999998</v>
      </c>
      <c r="HD110" s="48">
        <f t="shared" si="1210"/>
        <v>0.62999999999999978</v>
      </c>
      <c r="HE110" s="48">
        <f t="shared" si="1210"/>
        <v>0.60999999999999976</v>
      </c>
      <c r="HF110" s="48">
        <f t="shared" si="1210"/>
        <v>0.58999999999999975</v>
      </c>
      <c r="HG110" s="48">
        <f t="shared" si="1210"/>
        <v>0.56999999999999973</v>
      </c>
    </row>
    <row r="111" spans="1:215" x14ac:dyDescent="0.3">
      <c r="A111" s="2">
        <v>20</v>
      </c>
      <c r="C111" s="29" t="s">
        <v>156</v>
      </c>
      <c r="D111" s="44">
        <f>TRUNC(29377.5780682643+58575.0363108206,-1)</f>
        <v>87950</v>
      </c>
      <c r="E111" s="73">
        <f t="shared" si="988"/>
        <v>290740</v>
      </c>
      <c r="G111" s="48">
        <f t="shared" si="948"/>
        <v>96745.000000000015</v>
      </c>
      <c r="H111" s="48">
        <f t="shared" si="949"/>
        <v>96745.000000000015</v>
      </c>
      <c r="I111" s="51">
        <f t="shared" si="950"/>
        <v>319819.62100000004</v>
      </c>
      <c r="J111" s="48">
        <f t="shared" si="989"/>
        <v>93842.650000000009</v>
      </c>
      <c r="K111" s="51">
        <f t="shared" si="990"/>
        <v>310225.03237000003</v>
      </c>
      <c r="L111" s="48">
        <f t="shared" si="991"/>
        <v>91907.750000000015</v>
      </c>
      <c r="M111" s="51">
        <f t="shared" si="992"/>
        <v>303828.63995000004</v>
      </c>
      <c r="N111" s="48">
        <f t="shared" si="993"/>
        <v>89972.85000000002</v>
      </c>
      <c r="O111" s="51">
        <f t="shared" si="994"/>
        <v>297432.24753000005</v>
      </c>
      <c r="P111" s="52">
        <f t="shared" si="995"/>
        <v>88037.950000000012</v>
      </c>
      <c r="Q111" s="51">
        <f t="shared" si="996"/>
        <v>291035.85511000006</v>
      </c>
      <c r="R111" s="48">
        <f t="shared" si="997"/>
        <v>86103.050000000017</v>
      </c>
      <c r="S111" s="51">
        <f t="shared" si="998"/>
        <v>284639.46269000007</v>
      </c>
      <c r="T111" s="52">
        <f t="shared" si="999"/>
        <v>84168.150000000009</v>
      </c>
      <c r="U111" s="51">
        <f t="shared" si="1000"/>
        <v>278243.07027000003</v>
      </c>
      <c r="V111" s="53">
        <f t="shared" si="1001"/>
        <v>82233.250000000015</v>
      </c>
      <c r="W111" s="51">
        <f t="shared" si="1002"/>
        <v>271846.67785000004</v>
      </c>
      <c r="X111" s="52">
        <f t="shared" si="1003"/>
        <v>80298.350000000006</v>
      </c>
      <c r="Y111" s="51">
        <f t="shared" si="1004"/>
        <v>265450.28543000005</v>
      </c>
      <c r="Z111" s="48">
        <f t="shared" si="1005"/>
        <v>78363.450000000012</v>
      </c>
      <c r="AA111" s="51">
        <f t="shared" si="1006"/>
        <v>259053.89301000006</v>
      </c>
      <c r="AB111" s="53">
        <f t="shared" si="1007"/>
        <v>76428.55</v>
      </c>
      <c r="AC111" s="51">
        <f t="shared" si="1008"/>
        <v>252657.50059000001</v>
      </c>
      <c r="AD111" s="53">
        <f t="shared" si="1009"/>
        <v>74493.650000000009</v>
      </c>
      <c r="AE111" s="51">
        <f t="shared" si="1010"/>
        <v>246261.10817000002</v>
      </c>
      <c r="AF111" s="53">
        <f t="shared" si="1011"/>
        <v>72558.75</v>
      </c>
      <c r="AG111" s="51">
        <f t="shared" si="1012"/>
        <v>239864.71575</v>
      </c>
      <c r="AH111" s="48">
        <f t="shared" si="1013"/>
        <v>70623.849999999991</v>
      </c>
      <c r="AI111" s="51">
        <f t="shared" si="1014"/>
        <v>233468.32332999998</v>
      </c>
      <c r="AJ111" s="53">
        <f t="shared" si="1015"/>
        <v>68688.95</v>
      </c>
      <c r="AK111" s="51">
        <f t="shared" si="1016"/>
        <v>227071.93091</v>
      </c>
      <c r="AL111" s="53">
        <f t="shared" si="1017"/>
        <v>66754.049999999988</v>
      </c>
      <c r="AM111" s="51">
        <f t="shared" si="1018"/>
        <v>220675.53848999998</v>
      </c>
      <c r="AN111" s="53">
        <f t="shared" si="1019"/>
        <v>64819.149999999994</v>
      </c>
      <c r="AO111" s="51">
        <f t="shared" si="1020"/>
        <v>214279.14606999999</v>
      </c>
      <c r="AP111" s="53">
        <f t="shared" si="1021"/>
        <v>62884.249999999993</v>
      </c>
      <c r="AQ111" s="51">
        <f t="shared" si="1022"/>
        <v>207882.75364999997</v>
      </c>
      <c r="AR111" s="48">
        <f t="shared" si="1023"/>
        <v>60949.349999999991</v>
      </c>
      <c r="AS111" s="51">
        <f t="shared" si="1024"/>
        <v>201486.36122999998</v>
      </c>
      <c r="AT111" s="53">
        <f t="shared" si="1025"/>
        <v>59014.449999999983</v>
      </c>
      <c r="AU111" s="51">
        <f t="shared" si="1026"/>
        <v>195089.96880999993</v>
      </c>
      <c r="AV111" s="53">
        <f t="shared" si="1027"/>
        <v>57079.549999999981</v>
      </c>
      <c r="AW111" s="51">
        <f t="shared" si="1028"/>
        <v>188693.57638999994</v>
      </c>
      <c r="AX111" s="48">
        <f t="shared" si="1029"/>
        <v>55144.64999999998</v>
      </c>
      <c r="AY111" s="51">
        <f t="shared" si="1030"/>
        <v>182297.18396999993</v>
      </c>
      <c r="BB111" s="48">
        <v>1</v>
      </c>
      <c r="BC111" s="48">
        <v>0.97</v>
      </c>
      <c r="BD111" s="48">
        <v>0.95</v>
      </c>
      <c r="BE111" s="48">
        <v>0.93</v>
      </c>
      <c r="BF111" s="48">
        <f t="shared" ref="BF111:BW111" si="1211">+BE111-0.02</f>
        <v>0.91</v>
      </c>
      <c r="BG111" s="48">
        <f t="shared" si="1211"/>
        <v>0.89</v>
      </c>
      <c r="BH111" s="48">
        <f t="shared" si="1211"/>
        <v>0.87</v>
      </c>
      <c r="BI111" s="48">
        <f t="shared" si="1211"/>
        <v>0.85</v>
      </c>
      <c r="BJ111" s="48">
        <f t="shared" si="1211"/>
        <v>0.83</v>
      </c>
      <c r="BK111" s="48">
        <f t="shared" si="1211"/>
        <v>0.80999999999999994</v>
      </c>
      <c r="BL111" s="48">
        <f t="shared" si="1211"/>
        <v>0.78999999999999992</v>
      </c>
      <c r="BM111" s="48">
        <f t="shared" si="1211"/>
        <v>0.76999999999999991</v>
      </c>
      <c r="BN111" s="48">
        <f t="shared" si="1211"/>
        <v>0.74999999999999989</v>
      </c>
      <c r="BO111" s="48">
        <f t="shared" si="1211"/>
        <v>0.72999999999999987</v>
      </c>
      <c r="BP111" s="48">
        <f t="shared" si="1211"/>
        <v>0.70999999999999985</v>
      </c>
      <c r="BQ111" s="48">
        <f t="shared" si="1211"/>
        <v>0.68999999999999984</v>
      </c>
      <c r="BR111" s="48">
        <f t="shared" si="1211"/>
        <v>0.66999999999999982</v>
      </c>
      <c r="BS111" s="48">
        <f t="shared" si="1211"/>
        <v>0.6499999999999998</v>
      </c>
      <c r="BT111" s="48">
        <f t="shared" si="1211"/>
        <v>0.62999999999999978</v>
      </c>
      <c r="BU111" s="48">
        <f t="shared" si="1211"/>
        <v>0.60999999999999976</v>
      </c>
      <c r="BV111" s="48">
        <f t="shared" si="1211"/>
        <v>0.58999999999999975</v>
      </c>
      <c r="BW111" s="48">
        <f t="shared" si="1211"/>
        <v>0.56999999999999973</v>
      </c>
      <c r="BY111" s="48">
        <f t="shared" si="952"/>
        <v>88037.950000000012</v>
      </c>
      <c r="BZ111" s="48">
        <f t="shared" si="953"/>
        <v>88037.950000000012</v>
      </c>
      <c r="CA111" s="51">
        <f t="shared" ref="CA111" si="1212">+BZ111*3.3058</f>
        <v>291035.85511000006</v>
      </c>
      <c r="CB111" s="48">
        <f t="shared" si="1033"/>
        <v>85396.811500000011</v>
      </c>
      <c r="CC111" s="51">
        <f t="shared" si="1034"/>
        <v>282304.77945670002</v>
      </c>
      <c r="CD111" s="48">
        <f t="shared" si="1035"/>
        <v>83636.052500000005</v>
      </c>
      <c r="CE111" s="51">
        <f t="shared" si="1036"/>
        <v>276484.0623545</v>
      </c>
      <c r="CF111" s="48">
        <f t="shared" si="1037"/>
        <v>81875.293500000014</v>
      </c>
      <c r="CG111" s="51">
        <f t="shared" si="1038"/>
        <v>270663.34525230003</v>
      </c>
      <c r="CH111" s="52">
        <f t="shared" si="1039"/>
        <v>80114.534500000009</v>
      </c>
      <c r="CI111" s="51">
        <f t="shared" si="1040"/>
        <v>264842.62815010006</v>
      </c>
      <c r="CJ111" s="48">
        <f t="shared" si="1041"/>
        <v>78353.775500000018</v>
      </c>
      <c r="CK111" s="51">
        <f t="shared" si="1042"/>
        <v>259021.91104790007</v>
      </c>
      <c r="CL111" s="52">
        <f t="shared" si="1043"/>
        <v>76593.016500000012</v>
      </c>
      <c r="CM111" s="51">
        <f t="shared" si="1044"/>
        <v>253201.19394570004</v>
      </c>
      <c r="CN111" s="53">
        <f t="shared" si="1045"/>
        <v>74832.257500000007</v>
      </c>
      <c r="CO111" s="51">
        <f t="shared" si="1046"/>
        <v>247380.47684350002</v>
      </c>
      <c r="CP111" s="52">
        <f t="shared" si="1047"/>
        <v>73071.498500000002</v>
      </c>
      <c r="CQ111" s="51">
        <f t="shared" si="1048"/>
        <v>241559.75974130002</v>
      </c>
      <c r="CR111" s="48">
        <f t="shared" si="1049"/>
        <v>71310.739500000011</v>
      </c>
      <c r="CS111" s="51">
        <f t="shared" si="1050"/>
        <v>235739.04263910005</v>
      </c>
      <c r="CT111" s="53">
        <f t="shared" si="1051"/>
        <v>69549.980500000005</v>
      </c>
      <c r="CU111" s="51">
        <f t="shared" si="1052"/>
        <v>229918.32553690003</v>
      </c>
      <c r="CV111" s="53">
        <f t="shared" si="1053"/>
        <v>67789.2215</v>
      </c>
      <c r="CW111" s="51">
        <f t="shared" si="1054"/>
        <v>224097.6084347</v>
      </c>
      <c r="CX111" s="53">
        <f t="shared" si="1055"/>
        <v>66028.462499999994</v>
      </c>
      <c r="CY111" s="51">
        <f t="shared" si="1056"/>
        <v>218276.89133249997</v>
      </c>
      <c r="CZ111" s="48">
        <f t="shared" si="1057"/>
        <v>64267.703499999996</v>
      </c>
      <c r="DA111" s="51">
        <f t="shared" si="1058"/>
        <v>212456.17423029998</v>
      </c>
      <c r="DB111" s="53">
        <f t="shared" si="1059"/>
        <v>62506.944499999998</v>
      </c>
      <c r="DC111" s="51">
        <f t="shared" si="1060"/>
        <v>206635.45712810001</v>
      </c>
      <c r="DD111" s="53">
        <f t="shared" si="1061"/>
        <v>60746.185499999992</v>
      </c>
      <c r="DE111" s="51">
        <f t="shared" si="1062"/>
        <v>200814.74002589998</v>
      </c>
      <c r="DF111" s="53">
        <f t="shared" si="1063"/>
        <v>58985.426499999994</v>
      </c>
      <c r="DG111" s="51">
        <f t="shared" si="1064"/>
        <v>194994.02292369999</v>
      </c>
      <c r="DH111" s="53">
        <f t="shared" si="1065"/>
        <v>57224.667499999989</v>
      </c>
      <c r="DI111" s="51">
        <f t="shared" si="1066"/>
        <v>189173.30582149996</v>
      </c>
      <c r="DJ111" s="48">
        <f t="shared" si="1067"/>
        <v>55463.90849999999</v>
      </c>
      <c r="DK111" s="51">
        <f t="shared" si="1068"/>
        <v>183352.58871929997</v>
      </c>
      <c r="DL111" s="53">
        <f t="shared" si="1069"/>
        <v>53703.149499999985</v>
      </c>
      <c r="DM111" s="51">
        <f t="shared" si="1070"/>
        <v>177531.87161709997</v>
      </c>
      <c r="DN111" s="53">
        <f t="shared" si="1071"/>
        <v>51942.390499999987</v>
      </c>
      <c r="DO111" s="51">
        <f t="shared" si="1072"/>
        <v>171711.15451489997</v>
      </c>
      <c r="DP111" s="48">
        <f t="shared" si="1073"/>
        <v>50181.631499999981</v>
      </c>
      <c r="DQ111" s="51">
        <f t="shared" si="1074"/>
        <v>165890.43741269995</v>
      </c>
      <c r="DT111" s="48">
        <v>1</v>
      </c>
      <c r="DU111" s="48">
        <v>0.97</v>
      </c>
      <c r="DV111" s="48">
        <v>0.95</v>
      </c>
      <c r="DW111" s="48">
        <v>0.93</v>
      </c>
      <c r="DX111" s="48">
        <f t="shared" ref="DX111:EO111" si="1213">+DW111-0.02</f>
        <v>0.91</v>
      </c>
      <c r="DY111" s="48">
        <f t="shared" si="1213"/>
        <v>0.89</v>
      </c>
      <c r="DZ111" s="48">
        <f t="shared" si="1213"/>
        <v>0.87</v>
      </c>
      <c r="EA111" s="48">
        <f t="shared" si="1213"/>
        <v>0.85</v>
      </c>
      <c r="EB111" s="48">
        <f t="shared" si="1213"/>
        <v>0.83</v>
      </c>
      <c r="EC111" s="48">
        <f t="shared" si="1213"/>
        <v>0.80999999999999994</v>
      </c>
      <c r="ED111" s="48">
        <f t="shared" si="1213"/>
        <v>0.78999999999999992</v>
      </c>
      <c r="EE111" s="48">
        <f t="shared" si="1213"/>
        <v>0.76999999999999991</v>
      </c>
      <c r="EF111" s="48">
        <f t="shared" si="1213"/>
        <v>0.74999999999999989</v>
      </c>
      <c r="EG111" s="48">
        <f t="shared" si="1213"/>
        <v>0.72999999999999987</v>
      </c>
      <c r="EH111" s="48">
        <f t="shared" si="1213"/>
        <v>0.70999999999999985</v>
      </c>
      <c r="EI111" s="48">
        <f t="shared" si="1213"/>
        <v>0.68999999999999984</v>
      </c>
      <c r="EJ111" s="48">
        <f t="shared" si="1213"/>
        <v>0.66999999999999982</v>
      </c>
      <c r="EK111" s="48">
        <f t="shared" si="1213"/>
        <v>0.6499999999999998</v>
      </c>
      <c r="EL111" s="48">
        <f t="shared" si="1213"/>
        <v>0.62999999999999978</v>
      </c>
      <c r="EM111" s="48">
        <f t="shared" si="1213"/>
        <v>0.60999999999999976</v>
      </c>
      <c r="EN111" s="48">
        <f t="shared" si="1213"/>
        <v>0.58999999999999975</v>
      </c>
      <c r="EO111" s="48">
        <f t="shared" si="1213"/>
        <v>0.56999999999999973</v>
      </c>
      <c r="EQ111" s="48">
        <f t="shared" si="1128"/>
        <v>80114.534500000009</v>
      </c>
      <c r="ER111" s="48">
        <f t="shared" si="956"/>
        <v>80114.534500000009</v>
      </c>
      <c r="ES111" s="51">
        <f t="shared" ref="ES111" si="1214">+ER111*3.3058</f>
        <v>264842.62815010006</v>
      </c>
      <c r="ET111" s="48">
        <f t="shared" si="1077"/>
        <v>77711.098465000003</v>
      </c>
      <c r="EU111" s="51">
        <f t="shared" si="1078"/>
        <v>256897.34930559702</v>
      </c>
      <c r="EV111" s="48">
        <f t="shared" si="1079"/>
        <v>76108.807775000008</v>
      </c>
      <c r="EW111" s="51">
        <f t="shared" si="1080"/>
        <v>251600.49674259505</v>
      </c>
      <c r="EX111" s="48">
        <f t="shared" si="1081"/>
        <v>74506.517085000014</v>
      </c>
      <c r="EY111" s="51">
        <f t="shared" si="1082"/>
        <v>246303.64417959304</v>
      </c>
      <c r="EZ111" s="52">
        <f t="shared" si="1083"/>
        <v>72904.226395000005</v>
      </c>
      <c r="FA111" s="51">
        <f t="shared" si="1084"/>
        <v>241006.79161659101</v>
      </c>
      <c r="FB111" s="48">
        <f t="shared" si="1085"/>
        <v>71301.935705000011</v>
      </c>
      <c r="FC111" s="51">
        <f t="shared" si="1086"/>
        <v>235709.93905358904</v>
      </c>
      <c r="FD111" s="52">
        <f t="shared" si="1087"/>
        <v>69699.645015000002</v>
      </c>
      <c r="FE111" s="51">
        <f t="shared" si="1088"/>
        <v>230413.08649058701</v>
      </c>
      <c r="FF111" s="53">
        <f t="shared" si="1089"/>
        <v>68097.354325000008</v>
      </c>
      <c r="FG111" s="51">
        <f t="shared" si="1090"/>
        <v>225116.23392758504</v>
      </c>
      <c r="FH111" s="52">
        <f t="shared" si="1091"/>
        <v>66495.063634999999</v>
      </c>
      <c r="FI111" s="51">
        <f t="shared" si="1092"/>
        <v>219819.38136458301</v>
      </c>
      <c r="FJ111" s="48">
        <f t="shared" si="1093"/>
        <v>64892.772945000004</v>
      </c>
      <c r="FK111" s="51">
        <f t="shared" si="1094"/>
        <v>214522.52880158101</v>
      </c>
      <c r="FL111" s="53">
        <f t="shared" si="1095"/>
        <v>63290.482255000003</v>
      </c>
      <c r="FM111" s="51">
        <f t="shared" si="1096"/>
        <v>209225.67623857901</v>
      </c>
      <c r="FN111" s="53">
        <f t="shared" si="1097"/>
        <v>61688.191565000001</v>
      </c>
      <c r="FO111" s="51">
        <f t="shared" si="1098"/>
        <v>203928.823675577</v>
      </c>
      <c r="FP111" s="53">
        <f t="shared" si="1099"/>
        <v>60085.900874999999</v>
      </c>
      <c r="FQ111" s="51">
        <f t="shared" si="1100"/>
        <v>198631.971112575</v>
      </c>
      <c r="FR111" s="48">
        <f t="shared" si="1101"/>
        <v>58483.610184999998</v>
      </c>
      <c r="FS111" s="51">
        <f t="shared" si="1102"/>
        <v>193335.118549573</v>
      </c>
      <c r="FT111" s="53">
        <f t="shared" si="1103"/>
        <v>56881.319494999996</v>
      </c>
      <c r="FU111" s="51">
        <f t="shared" si="1104"/>
        <v>188038.265986571</v>
      </c>
      <c r="FV111" s="53">
        <f t="shared" si="1105"/>
        <v>55279.028804999994</v>
      </c>
      <c r="FW111" s="51">
        <f t="shared" si="1106"/>
        <v>182741.413423569</v>
      </c>
      <c r="FX111" s="53">
        <f t="shared" si="1107"/>
        <v>53676.738114999993</v>
      </c>
      <c r="FY111" s="51">
        <f t="shared" si="1108"/>
        <v>177444.56086056697</v>
      </c>
      <c r="FZ111" s="53">
        <f t="shared" si="1109"/>
        <v>52074.447424999991</v>
      </c>
      <c r="GA111" s="51">
        <f t="shared" si="1110"/>
        <v>172147.70829756497</v>
      </c>
      <c r="GB111" s="48">
        <f t="shared" si="1111"/>
        <v>50472.15673499999</v>
      </c>
      <c r="GC111" s="51">
        <f t="shared" si="1112"/>
        <v>166850.85573456297</v>
      </c>
      <c r="GD111" s="53">
        <f t="shared" si="1113"/>
        <v>48869.866044999988</v>
      </c>
      <c r="GE111" s="51">
        <f t="shared" si="1114"/>
        <v>161554.00317156097</v>
      </c>
      <c r="GF111" s="53">
        <f t="shared" si="1115"/>
        <v>47267.575354999986</v>
      </c>
      <c r="GG111" s="51">
        <f t="shared" si="1116"/>
        <v>156257.15060855896</v>
      </c>
      <c r="GH111" s="48">
        <f t="shared" si="1117"/>
        <v>45665.284664999985</v>
      </c>
      <c r="GI111" s="51">
        <f t="shared" si="1118"/>
        <v>150960.29804555696</v>
      </c>
      <c r="GJ111" s="48"/>
      <c r="GK111" s="48"/>
      <c r="GL111" s="48">
        <v>1</v>
      </c>
      <c r="GM111" s="48">
        <v>0.97</v>
      </c>
      <c r="GN111" s="48">
        <v>0.95</v>
      </c>
      <c r="GO111" s="48">
        <v>0.93</v>
      </c>
      <c r="GP111" s="48">
        <f t="shared" ref="GP111:HG111" si="1215">+GO111-0.02</f>
        <v>0.91</v>
      </c>
      <c r="GQ111" s="48">
        <f t="shared" si="1215"/>
        <v>0.89</v>
      </c>
      <c r="GR111" s="48">
        <f t="shared" si="1215"/>
        <v>0.87</v>
      </c>
      <c r="GS111" s="48">
        <f t="shared" si="1215"/>
        <v>0.85</v>
      </c>
      <c r="GT111" s="48">
        <f t="shared" si="1215"/>
        <v>0.83</v>
      </c>
      <c r="GU111" s="48">
        <f t="shared" si="1215"/>
        <v>0.80999999999999994</v>
      </c>
      <c r="GV111" s="48">
        <f t="shared" si="1215"/>
        <v>0.78999999999999992</v>
      </c>
      <c r="GW111" s="48">
        <f t="shared" si="1215"/>
        <v>0.76999999999999991</v>
      </c>
      <c r="GX111" s="48">
        <f t="shared" si="1215"/>
        <v>0.74999999999999989</v>
      </c>
      <c r="GY111" s="48">
        <f t="shared" si="1215"/>
        <v>0.72999999999999987</v>
      </c>
      <c r="GZ111" s="48">
        <f t="shared" si="1215"/>
        <v>0.70999999999999985</v>
      </c>
      <c r="HA111" s="48">
        <f t="shared" si="1215"/>
        <v>0.68999999999999984</v>
      </c>
      <c r="HB111" s="48">
        <f t="shared" si="1215"/>
        <v>0.66999999999999982</v>
      </c>
      <c r="HC111" s="48">
        <f t="shared" si="1215"/>
        <v>0.6499999999999998</v>
      </c>
      <c r="HD111" s="48">
        <f t="shared" si="1215"/>
        <v>0.62999999999999978</v>
      </c>
      <c r="HE111" s="48">
        <f t="shared" si="1215"/>
        <v>0.60999999999999976</v>
      </c>
      <c r="HF111" s="48">
        <f t="shared" si="1215"/>
        <v>0.58999999999999975</v>
      </c>
      <c r="HG111" s="48">
        <f t="shared" si="1215"/>
        <v>0.56999999999999973</v>
      </c>
    </row>
    <row r="112" spans="1:215" ht="17.25" thickBot="1" x14ac:dyDescent="0.35">
      <c r="A112" s="2">
        <v>21</v>
      </c>
      <c r="C112" s="29" t="s">
        <v>157</v>
      </c>
      <c r="D112" s="45">
        <f>TRUNC(1387.82697893972+385.762708787219+752.422476397967,-1)</f>
        <v>2520</v>
      </c>
      <c r="E112" s="74">
        <f t="shared" si="988"/>
        <v>8330</v>
      </c>
      <c r="F112" s="2" t="s">
        <v>368</v>
      </c>
      <c r="G112" s="48">
        <f t="shared" si="948"/>
        <v>2772</v>
      </c>
      <c r="H112" s="48">
        <f t="shared" si="949"/>
        <v>2772</v>
      </c>
      <c r="I112" s="51">
        <f t="shared" si="950"/>
        <v>9163.6776000000009</v>
      </c>
      <c r="J112" s="48">
        <f t="shared" si="989"/>
        <v>2688.84</v>
      </c>
      <c r="K112" s="51">
        <f t="shared" si="990"/>
        <v>8888.767272000001</v>
      </c>
      <c r="L112" s="48">
        <f t="shared" si="991"/>
        <v>2633.4</v>
      </c>
      <c r="M112" s="51">
        <f t="shared" si="992"/>
        <v>8705.4937200000004</v>
      </c>
      <c r="N112" s="48">
        <f t="shared" si="993"/>
        <v>2577.96</v>
      </c>
      <c r="O112" s="51">
        <f t="shared" si="994"/>
        <v>8522.2201679999998</v>
      </c>
      <c r="P112" s="52">
        <f t="shared" si="995"/>
        <v>2522.52</v>
      </c>
      <c r="Q112" s="51">
        <f t="shared" si="996"/>
        <v>8338.9466159999993</v>
      </c>
      <c r="R112" s="48">
        <f t="shared" si="997"/>
        <v>2467.08</v>
      </c>
      <c r="S112" s="51">
        <f t="shared" si="998"/>
        <v>8155.6730639999996</v>
      </c>
      <c r="T112" s="52">
        <f t="shared" si="999"/>
        <v>2411.64</v>
      </c>
      <c r="U112" s="51">
        <f t="shared" si="1000"/>
        <v>7972.399512</v>
      </c>
      <c r="V112" s="53">
        <f t="shared" si="1001"/>
        <v>2356.1999999999998</v>
      </c>
      <c r="W112" s="51">
        <f t="shared" si="1002"/>
        <v>7789.1259599999994</v>
      </c>
      <c r="X112" s="52">
        <f t="shared" si="1003"/>
        <v>2300.7599999999998</v>
      </c>
      <c r="Y112" s="51">
        <f t="shared" si="1004"/>
        <v>7605.8524079999997</v>
      </c>
      <c r="Z112" s="48">
        <f t="shared" si="1005"/>
        <v>2245.3199999999997</v>
      </c>
      <c r="AA112" s="51">
        <f t="shared" si="1006"/>
        <v>7422.5788559999992</v>
      </c>
      <c r="AB112" s="53">
        <f t="shared" si="1007"/>
        <v>2189.8799999999997</v>
      </c>
      <c r="AC112" s="51">
        <f t="shared" si="1008"/>
        <v>7239.3053039999986</v>
      </c>
      <c r="AD112" s="53">
        <f t="shared" si="1009"/>
        <v>2134.4399999999996</v>
      </c>
      <c r="AE112" s="51">
        <f t="shared" si="1010"/>
        <v>7056.031751999999</v>
      </c>
      <c r="AF112" s="53">
        <f t="shared" si="1011"/>
        <v>2078.9999999999995</v>
      </c>
      <c r="AG112" s="51">
        <f t="shared" si="1012"/>
        <v>6872.7581999999984</v>
      </c>
      <c r="AH112" s="48">
        <f t="shared" si="1013"/>
        <v>2023.5599999999997</v>
      </c>
      <c r="AI112" s="51">
        <f t="shared" si="1014"/>
        <v>6689.4846479999997</v>
      </c>
      <c r="AJ112" s="53">
        <f t="shared" si="1015"/>
        <v>1968.1199999999997</v>
      </c>
      <c r="AK112" s="51">
        <f t="shared" si="1016"/>
        <v>6506.2110959999991</v>
      </c>
      <c r="AL112" s="53">
        <f t="shared" si="1017"/>
        <v>1912.6799999999996</v>
      </c>
      <c r="AM112" s="51">
        <f t="shared" si="1018"/>
        <v>6322.9375439999985</v>
      </c>
      <c r="AN112" s="53">
        <f t="shared" si="1019"/>
        <v>1857.2399999999996</v>
      </c>
      <c r="AO112" s="51">
        <f t="shared" si="1020"/>
        <v>6139.6639919999989</v>
      </c>
      <c r="AP112" s="53">
        <f t="shared" si="1021"/>
        <v>1801.7999999999995</v>
      </c>
      <c r="AQ112" s="51">
        <f t="shared" si="1022"/>
        <v>5956.3904399999983</v>
      </c>
      <c r="AR112" s="48">
        <f t="shared" si="1023"/>
        <v>1746.3599999999994</v>
      </c>
      <c r="AS112" s="51">
        <f t="shared" si="1024"/>
        <v>5773.1168879999987</v>
      </c>
      <c r="AT112" s="53">
        <f t="shared" si="1025"/>
        <v>1690.9199999999994</v>
      </c>
      <c r="AU112" s="51">
        <f t="shared" si="1026"/>
        <v>5589.8433359999981</v>
      </c>
      <c r="AV112" s="53">
        <f t="shared" si="1027"/>
        <v>1635.4799999999993</v>
      </c>
      <c r="AW112" s="51">
        <f t="shared" si="1028"/>
        <v>5406.5697839999975</v>
      </c>
      <c r="AX112" s="48">
        <f t="shared" si="1029"/>
        <v>1580.0399999999993</v>
      </c>
      <c r="AY112" s="51">
        <f t="shared" si="1030"/>
        <v>5223.2962319999979</v>
      </c>
      <c r="BB112" s="48">
        <v>1</v>
      </c>
      <c r="BC112" s="48">
        <v>0.97</v>
      </c>
      <c r="BD112" s="48">
        <v>0.95</v>
      </c>
      <c r="BE112" s="48">
        <v>0.93</v>
      </c>
      <c r="BF112" s="48">
        <f t="shared" ref="BF112:BW112" si="1216">+BE112-0.02</f>
        <v>0.91</v>
      </c>
      <c r="BG112" s="48">
        <f t="shared" si="1216"/>
        <v>0.89</v>
      </c>
      <c r="BH112" s="48">
        <f t="shared" si="1216"/>
        <v>0.87</v>
      </c>
      <c r="BI112" s="48">
        <f t="shared" si="1216"/>
        <v>0.85</v>
      </c>
      <c r="BJ112" s="48">
        <f t="shared" si="1216"/>
        <v>0.83</v>
      </c>
      <c r="BK112" s="48">
        <f t="shared" si="1216"/>
        <v>0.80999999999999994</v>
      </c>
      <c r="BL112" s="48">
        <f t="shared" si="1216"/>
        <v>0.78999999999999992</v>
      </c>
      <c r="BM112" s="48">
        <f t="shared" si="1216"/>
        <v>0.76999999999999991</v>
      </c>
      <c r="BN112" s="48">
        <f t="shared" si="1216"/>
        <v>0.74999999999999989</v>
      </c>
      <c r="BO112" s="48">
        <f t="shared" si="1216"/>
        <v>0.72999999999999987</v>
      </c>
      <c r="BP112" s="48">
        <f t="shared" si="1216"/>
        <v>0.70999999999999985</v>
      </c>
      <c r="BQ112" s="48">
        <f t="shared" si="1216"/>
        <v>0.68999999999999984</v>
      </c>
      <c r="BR112" s="48">
        <f t="shared" si="1216"/>
        <v>0.66999999999999982</v>
      </c>
      <c r="BS112" s="48">
        <f t="shared" si="1216"/>
        <v>0.6499999999999998</v>
      </c>
      <c r="BT112" s="48">
        <f t="shared" si="1216"/>
        <v>0.62999999999999978</v>
      </c>
      <c r="BU112" s="48">
        <f t="shared" si="1216"/>
        <v>0.60999999999999976</v>
      </c>
      <c r="BV112" s="48">
        <f t="shared" si="1216"/>
        <v>0.58999999999999975</v>
      </c>
      <c r="BW112" s="48">
        <f t="shared" si="1216"/>
        <v>0.56999999999999973</v>
      </c>
      <c r="BY112" s="48">
        <f t="shared" si="952"/>
        <v>2522.52</v>
      </c>
      <c r="BZ112" s="48">
        <f t="shared" si="953"/>
        <v>2522.52</v>
      </c>
      <c r="CA112" s="51">
        <f t="shared" ref="CA112" si="1217">+BZ112*3.3058</f>
        <v>8338.9466159999993</v>
      </c>
      <c r="CB112" s="48">
        <f t="shared" si="1033"/>
        <v>2446.8444</v>
      </c>
      <c r="CC112" s="51">
        <f t="shared" si="1034"/>
        <v>8088.77821752</v>
      </c>
      <c r="CD112" s="48">
        <f t="shared" si="1035"/>
        <v>2396.3939999999998</v>
      </c>
      <c r="CE112" s="51">
        <f t="shared" si="1036"/>
        <v>7921.9992851999996</v>
      </c>
      <c r="CF112" s="48">
        <f t="shared" si="1037"/>
        <v>2345.9436000000001</v>
      </c>
      <c r="CG112" s="51">
        <f t="shared" si="1038"/>
        <v>7755.2203528800001</v>
      </c>
      <c r="CH112" s="52">
        <f t="shared" si="1039"/>
        <v>2295.4931999999999</v>
      </c>
      <c r="CI112" s="51">
        <f t="shared" si="1040"/>
        <v>7588.4414205599996</v>
      </c>
      <c r="CJ112" s="48">
        <f t="shared" si="1041"/>
        <v>2245.0428000000002</v>
      </c>
      <c r="CK112" s="51">
        <f t="shared" si="1042"/>
        <v>7421.662488240001</v>
      </c>
      <c r="CL112" s="52">
        <f t="shared" si="1043"/>
        <v>2194.5924</v>
      </c>
      <c r="CM112" s="51">
        <f t="shared" si="1044"/>
        <v>7254.8835559199997</v>
      </c>
      <c r="CN112" s="53">
        <f t="shared" si="1045"/>
        <v>2144.1419999999998</v>
      </c>
      <c r="CO112" s="51">
        <f t="shared" si="1046"/>
        <v>7088.1046235999993</v>
      </c>
      <c r="CP112" s="52">
        <f t="shared" si="1047"/>
        <v>2093.6916000000001</v>
      </c>
      <c r="CQ112" s="51">
        <f t="shared" si="1048"/>
        <v>6921.3256912800007</v>
      </c>
      <c r="CR112" s="48">
        <f t="shared" si="1049"/>
        <v>2043.2411999999999</v>
      </c>
      <c r="CS112" s="51">
        <f t="shared" si="1050"/>
        <v>6754.5467589600003</v>
      </c>
      <c r="CT112" s="53">
        <f t="shared" si="1051"/>
        <v>1992.7907999999998</v>
      </c>
      <c r="CU112" s="51">
        <f t="shared" si="1052"/>
        <v>6587.7678266399989</v>
      </c>
      <c r="CV112" s="53">
        <f t="shared" si="1053"/>
        <v>1942.3403999999998</v>
      </c>
      <c r="CW112" s="51">
        <f t="shared" si="1054"/>
        <v>6420.9888943199994</v>
      </c>
      <c r="CX112" s="53">
        <f t="shared" si="1055"/>
        <v>1891.8899999999996</v>
      </c>
      <c r="CY112" s="51">
        <f t="shared" si="1056"/>
        <v>6254.209961999999</v>
      </c>
      <c r="CZ112" s="48">
        <f t="shared" si="1057"/>
        <v>1841.4395999999997</v>
      </c>
      <c r="DA112" s="51">
        <f t="shared" si="1058"/>
        <v>6087.4310296799995</v>
      </c>
      <c r="DB112" s="53">
        <f t="shared" si="1059"/>
        <v>1790.9891999999995</v>
      </c>
      <c r="DC112" s="51">
        <f t="shared" si="1060"/>
        <v>5920.6520973599982</v>
      </c>
      <c r="DD112" s="53">
        <f t="shared" si="1061"/>
        <v>1740.5387999999996</v>
      </c>
      <c r="DE112" s="51">
        <f t="shared" si="1062"/>
        <v>5753.8731650399986</v>
      </c>
      <c r="DF112" s="53">
        <f t="shared" si="1063"/>
        <v>1690.0883999999996</v>
      </c>
      <c r="DG112" s="51">
        <f t="shared" si="1064"/>
        <v>5587.0942327199991</v>
      </c>
      <c r="DH112" s="53">
        <f t="shared" si="1065"/>
        <v>1639.6379999999995</v>
      </c>
      <c r="DI112" s="51">
        <f t="shared" si="1066"/>
        <v>5420.3153003999987</v>
      </c>
      <c r="DJ112" s="48">
        <f t="shared" si="1067"/>
        <v>1589.1875999999995</v>
      </c>
      <c r="DK112" s="51">
        <f t="shared" si="1068"/>
        <v>5253.5363680799983</v>
      </c>
      <c r="DL112" s="53">
        <f t="shared" si="1069"/>
        <v>1538.7371999999993</v>
      </c>
      <c r="DM112" s="51">
        <f t="shared" si="1070"/>
        <v>5086.7574357599979</v>
      </c>
      <c r="DN112" s="53">
        <f t="shared" si="1071"/>
        <v>1488.2867999999994</v>
      </c>
      <c r="DO112" s="51">
        <f t="shared" si="1072"/>
        <v>4919.9785034399983</v>
      </c>
      <c r="DP112" s="48">
        <f t="shared" si="1073"/>
        <v>1437.8363999999992</v>
      </c>
      <c r="DQ112" s="51">
        <f t="shared" si="1074"/>
        <v>4753.1995711199979</v>
      </c>
      <c r="DT112" s="48">
        <v>1</v>
      </c>
      <c r="DU112" s="48">
        <v>0.97</v>
      </c>
      <c r="DV112" s="48">
        <v>0.95</v>
      </c>
      <c r="DW112" s="48">
        <v>0.93</v>
      </c>
      <c r="DX112" s="48">
        <f t="shared" ref="DX112:EO112" si="1218">+DW112-0.02</f>
        <v>0.91</v>
      </c>
      <c r="DY112" s="48">
        <f t="shared" si="1218"/>
        <v>0.89</v>
      </c>
      <c r="DZ112" s="48">
        <f t="shared" si="1218"/>
        <v>0.87</v>
      </c>
      <c r="EA112" s="48">
        <f t="shared" si="1218"/>
        <v>0.85</v>
      </c>
      <c r="EB112" s="48">
        <f t="shared" si="1218"/>
        <v>0.83</v>
      </c>
      <c r="EC112" s="48">
        <f t="shared" si="1218"/>
        <v>0.80999999999999994</v>
      </c>
      <c r="ED112" s="48">
        <f t="shared" si="1218"/>
        <v>0.78999999999999992</v>
      </c>
      <c r="EE112" s="48">
        <f t="shared" si="1218"/>
        <v>0.76999999999999991</v>
      </c>
      <c r="EF112" s="48">
        <f t="shared" si="1218"/>
        <v>0.74999999999999989</v>
      </c>
      <c r="EG112" s="48">
        <f t="shared" si="1218"/>
        <v>0.72999999999999987</v>
      </c>
      <c r="EH112" s="48">
        <f t="shared" si="1218"/>
        <v>0.70999999999999985</v>
      </c>
      <c r="EI112" s="48">
        <f t="shared" si="1218"/>
        <v>0.68999999999999984</v>
      </c>
      <c r="EJ112" s="48">
        <f t="shared" si="1218"/>
        <v>0.66999999999999982</v>
      </c>
      <c r="EK112" s="48">
        <f t="shared" si="1218"/>
        <v>0.6499999999999998</v>
      </c>
      <c r="EL112" s="48">
        <f t="shared" si="1218"/>
        <v>0.62999999999999978</v>
      </c>
      <c r="EM112" s="48">
        <f t="shared" si="1218"/>
        <v>0.60999999999999976</v>
      </c>
      <c r="EN112" s="48">
        <f t="shared" si="1218"/>
        <v>0.58999999999999975</v>
      </c>
      <c r="EO112" s="48">
        <f t="shared" si="1218"/>
        <v>0.56999999999999973</v>
      </c>
      <c r="EQ112" s="48">
        <f t="shared" si="1128"/>
        <v>2295.4931999999999</v>
      </c>
      <c r="ER112" s="48">
        <f t="shared" si="956"/>
        <v>2295.4931999999999</v>
      </c>
      <c r="ES112" s="51">
        <f t="shared" ref="ES112" si="1219">+ER112*3.3058</f>
        <v>7588.4414205599996</v>
      </c>
      <c r="ET112" s="48">
        <f t="shared" si="1077"/>
        <v>2226.628404</v>
      </c>
      <c r="EU112" s="51">
        <f t="shared" si="1078"/>
        <v>7360.7881779432</v>
      </c>
      <c r="EV112" s="48">
        <f t="shared" si="1079"/>
        <v>2180.7185399999998</v>
      </c>
      <c r="EW112" s="51">
        <f t="shared" si="1080"/>
        <v>7209.019349532</v>
      </c>
      <c r="EX112" s="48">
        <f t="shared" si="1081"/>
        <v>2134.8086760000001</v>
      </c>
      <c r="EY112" s="51">
        <f t="shared" si="1082"/>
        <v>7057.2505211208008</v>
      </c>
      <c r="EZ112" s="52">
        <f t="shared" si="1083"/>
        <v>2088.8988119999999</v>
      </c>
      <c r="FA112" s="51">
        <f t="shared" si="1084"/>
        <v>6905.4816927095999</v>
      </c>
      <c r="FB112" s="48">
        <f t="shared" si="1085"/>
        <v>2042.9889479999999</v>
      </c>
      <c r="FC112" s="51">
        <f t="shared" si="1086"/>
        <v>6753.7128642983998</v>
      </c>
      <c r="FD112" s="52">
        <f t="shared" si="1087"/>
        <v>1997.079084</v>
      </c>
      <c r="FE112" s="51">
        <f t="shared" si="1088"/>
        <v>6601.9440358871998</v>
      </c>
      <c r="FF112" s="53">
        <f t="shared" si="1089"/>
        <v>1951.1692199999998</v>
      </c>
      <c r="FG112" s="51">
        <f t="shared" si="1090"/>
        <v>6450.1752074759997</v>
      </c>
      <c r="FH112" s="52">
        <f t="shared" si="1091"/>
        <v>1905.2593559999998</v>
      </c>
      <c r="FI112" s="51">
        <f t="shared" si="1092"/>
        <v>6298.4063790647997</v>
      </c>
      <c r="FJ112" s="48">
        <f t="shared" si="1093"/>
        <v>1859.3494919999998</v>
      </c>
      <c r="FK112" s="51">
        <f t="shared" si="1094"/>
        <v>6146.6375506535996</v>
      </c>
      <c r="FL112" s="53">
        <f t="shared" si="1095"/>
        <v>1813.4396279999996</v>
      </c>
      <c r="FM112" s="51">
        <f t="shared" si="1096"/>
        <v>5994.8687222423987</v>
      </c>
      <c r="FN112" s="53">
        <f t="shared" si="1097"/>
        <v>1767.5297639999997</v>
      </c>
      <c r="FO112" s="51">
        <f t="shared" si="1098"/>
        <v>5843.0998938311986</v>
      </c>
      <c r="FP112" s="53">
        <f t="shared" si="1099"/>
        <v>1721.6198999999997</v>
      </c>
      <c r="FQ112" s="51">
        <f t="shared" si="1100"/>
        <v>5691.3310654199995</v>
      </c>
      <c r="FR112" s="48">
        <f t="shared" si="1101"/>
        <v>1675.7100359999997</v>
      </c>
      <c r="FS112" s="51">
        <f t="shared" si="1102"/>
        <v>5539.5622370087995</v>
      </c>
      <c r="FT112" s="53">
        <f t="shared" si="1103"/>
        <v>1629.8001719999995</v>
      </c>
      <c r="FU112" s="51">
        <f t="shared" si="1104"/>
        <v>5387.7934085975985</v>
      </c>
      <c r="FV112" s="53">
        <f t="shared" si="1105"/>
        <v>1583.8903079999995</v>
      </c>
      <c r="FW112" s="51">
        <f t="shared" si="1106"/>
        <v>5236.0245801863985</v>
      </c>
      <c r="FX112" s="53">
        <f t="shared" si="1107"/>
        <v>1537.9804439999996</v>
      </c>
      <c r="FY112" s="51">
        <f t="shared" si="1108"/>
        <v>5084.2557517751984</v>
      </c>
      <c r="FZ112" s="53">
        <f t="shared" si="1109"/>
        <v>1492.0705799999994</v>
      </c>
      <c r="GA112" s="51">
        <f t="shared" si="1110"/>
        <v>4932.4869233639984</v>
      </c>
      <c r="GB112" s="48">
        <f t="shared" si="1111"/>
        <v>1446.1607159999994</v>
      </c>
      <c r="GC112" s="51">
        <f t="shared" si="1112"/>
        <v>4780.7180949527983</v>
      </c>
      <c r="GD112" s="53">
        <f t="shared" si="1113"/>
        <v>1400.2508519999994</v>
      </c>
      <c r="GE112" s="51">
        <f t="shared" si="1114"/>
        <v>4628.9492665415983</v>
      </c>
      <c r="GF112" s="53">
        <f t="shared" si="1115"/>
        <v>1354.3409879999992</v>
      </c>
      <c r="GG112" s="51">
        <f t="shared" si="1116"/>
        <v>4477.1804381303973</v>
      </c>
      <c r="GH112" s="48">
        <f t="shared" si="1117"/>
        <v>1308.4311239999993</v>
      </c>
      <c r="GI112" s="51">
        <f t="shared" si="1118"/>
        <v>4325.4116097191973</v>
      </c>
      <c r="GJ112" s="48"/>
      <c r="GK112" s="48"/>
      <c r="GL112" s="48">
        <v>1</v>
      </c>
      <c r="GM112" s="48">
        <v>0.97</v>
      </c>
      <c r="GN112" s="48">
        <v>0.95</v>
      </c>
      <c r="GO112" s="48">
        <v>0.93</v>
      </c>
      <c r="GP112" s="48">
        <f t="shared" ref="GP112:HG112" si="1220">+GO112-0.02</f>
        <v>0.91</v>
      </c>
      <c r="GQ112" s="48">
        <f t="shared" si="1220"/>
        <v>0.89</v>
      </c>
      <c r="GR112" s="48">
        <f t="shared" si="1220"/>
        <v>0.87</v>
      </c>
      <c r="GS112" s="48">
        <f t="shared" si="1220"/>
        <v>0.85</v>
      </c>
      <c r="GT112" s="48">
        <f t="shared" si="1220"/>
        <v>0.83</v>
      </c>
      <c r="GU112" s="48">
        <f t="shared" si="1220"/>
        <v>0.80999999999999994</v>
      </c>
      <c r="GV112" s="48">
        <f t="shared" si="1220"/>
        <v>0.78999999999999992</v>
      </c>
      <c r="GW112" s="48">
        <f t="shared" si="1220"/>
        <v>0.76999999999999991</v>
      </c>
      <c r="GX112" s="48">
        <f t="shared" si="1220"/>
        <v>0.74999999999999989</v>
      </c>
      <c r="GY112" s="48">
        <f t="shared" si="1220"/>
        <v>0.72999999999999987</v>
      </c>
      <c r="GZ112" s="48">
        <f t="shared" si="1220"/>
        <v>0.70999999999999985</v>
      </c>
      <c r="HA112" s="48">
        <f t="shared" si="1220"/>
        <v>0.68999999999999984</v>
      </c>
      <c r="HB112" s="48">
        <f t="shared" si="1220"/>
        <v>0.66999999999999982</v>
      </c>
      <c r="HC112" s="48">
        <f t="shared" si="1220"/>
        <v>0.6499999999999998</v>
      </c>
      <c r="HD112" s="48">
        <f t="shared" si="1220"/>
        <v>0.62999999999999978</v>
      </c>
      <c r="HE112" s="48">
        <f t="shared" si="1220"/>
        <v>0.60999999999999976</v>
      </c>
      <c r="HF112" s="48">
        <f t="shared" si="1220"/>
        <v>0.58999999999999975</v>
      </c>
      <c r="HG112" s="48">
        <f t="shared" si="1220"/>
        <v>0.56999999999999973</v>
      </c>
    </row>
    <row r="113" spans="1:215" x14ac:dyDescent="0.3">
      <c r="A113" s="2">
        <v>22</v>
      </c>
      <c r="C113" s="27" t="s">
        <v>158</v>
      </c>
      <c r="D113" s="40">
        <f>SUM(D92:D112)</f>
        <v>134870</v>
      </c>
      <c r="E113" s="40">
        <f>SUM(E92:E112)</f>
        <v>445820</v>
      </c>
      <c r="G113" s="48">
        <f t="shared" si="948"/>
        <v>148357</v>
      </c>
      <c r="H113" s="48">
        <f t="shared" si="949"/>
        <v>148357</v>
      </c>
      <c r="I113" s="51">
        <f t="shared" si="950"/>
        <v>490438.57060000004</v>
      </c>
      <c r="J113" s="48">
        <f t="shared" si="989"/>
        <v>143906.29</v>
      </c>
      <c r="K113" s="51">
        <f t="shared" si="990"/>
        <v>475725.41348200006</v>
      </c>
      <c r="L113" s="48">
        <f t="shared" si="991"/>
        <v>140939.15</v>
      </c>
      <c r="M113" s="51">
        <f t="shared" si="992"/>
        <v>465916.64207</v>
      </c>
      <c r="N113" s="48">
        <f t="shared" si="993"/>
        <v>137972.01</v>
      </c>
      <c r="O113" s="51">
        <f t="shared" si="994"/>
        <v>456107.87065800006</v>
      </c>
      <c r="P113" s="52">
        <f t="shared" si="995"/>
        <v>135004.87</v>
      </c>
      <c r="Q113" s="51">
        <f t="shared" si="996"/>
        <v>446299.099246</v>
      </c>
      <c r="R113" s="48">
        <f t="shared" si="997"/>
        <v>132037.73000000001</v>
      </c>
      <c r="S113" s="51">
        <f t="shared" si="998"/>
        <v>436490.32783400005</v>
      </c>
      <c r="T113" s="52">
        <f t="shared" si="999"/>
        <v>129070.59</v>
      </c>
      <c r="U113" s="51">
        <f t="shared" si="1000"/>
        <v>426681.55642199999</v>
      </c>
      <c r="V113" s="53">
        <f t="shared" si="1001"/>
        <v>126103.45</v>
      </c>
      <c r="W113" s="51">
        <f t="shared" si="1002"/>
        <v>416872.78500999999</v>
      </c>
      <c r="X113" s="52">
        <f t="shared" si="1003"/>
        <v>123136.31</v>
      </c>
      <c r="Y113" s="51">
        <f t="shared" si="1004"/>
        <v>407064.01359799999</v>
      </c>
      <c r="Z113" s="48">
        <f t="shared" si="1005"/>
        <v>120169.17</v>
      </c>
      <c r="AA113" s="51">
        <f t="shared" si="1006"/>
        <v>397255.24218599999</v>
      </c>
      <c r="AB113" s="53">
        <f t="shared" si="1007"/>
        <v>117202.02999999998</v>
      </c>
      <c r="AC113" s="51">
        <f t="shared" si="1008"/>
        <v>387446.47077399993</v>
      </c>
      <c r="AD113" s="53">
        <f t="shared" si="1009"/>
        <v>114234.88999999998</v>
      </c>
      <c r="AE113" s="51">
        <f t="shared" si="1010"/>
        <v>377637.69936199998</v>
      </c>
      <c r="AF113" s="53">
        <f t="shared" si="1011"/>
        <v>111267.74999999999</v>
      </c>
      <c r="AG113" s="51">
        <f t="shared" si="1012"/>
        <v>367828.92794999998</v>
      </c>
      <c r="AH113" s="48">
        <f t="shared" si="1013"/>
        <v>108300.60999999999</v>
      </c>
      <c r="AI113" s="51">
        <f t="shared" si="1014"/>
        <v>358020.15653799998</v>
      </c>
      <c r="AJ113" s="53">
        <f t="shared" si="1015"/>
        <v>105333.46999999997</v>
      </c>
      <c r="AK113" s="51">
        <f t="shared" si="1016"/>
        <v>348211.38512599992</v>
      </c>
      <c r="AL113" s="53">
        <f t="shared" si="1017"/>
        <v>102366.32999999997</v>
      </c>
      <c r="AM113" s="51">
        <f t="shared" si="1018"/>
        <v>338402.61371399992</v>
      </c>
      <c r="AN113" s="53">
        <f t="shared" si="1019"/>
        <v>99399.189999999973</v>
      </c>
      <c r="AO113" s="51">
        <f t="shared" si="1020"/>
        <v>328593.84230199992</v>
      </c>
      <c r="AP113" s="53">
        <f t="shared" si="1021"/>
        <v>96432.049999999974</v>
      </c>
      <c r="AQ113" s="51">
        <f t="shared" si="1022"/>
        <v>318785.07088999992</v>
      </c>
      <c r="AR113" s="48">
        <f t="shared" si="1023"/>
        <v>93464.909999999974</v>
      </c>
      <c r="AS113" s="51">
        <f t="shared" si="1024"/>
        <v>308976.29947799991</v>
      </c>
      <c r="AT113" s="53">
        <f t="shared" si="1025"/>
        <v>90497.76999999996</v>
      </c>
      <c r="AU113" s="51">
        <f t="shared" si="1026"/>
        <v>299167.52806599985</v>
      </c>
      <c r="AV113" s="53">
        <f t="shared" si="1027"/>
        <v>87530.629999999961</v>
      </c>
      <c r="AW113" s="51">
        <f t="shared" si="1028"/>
        <v>289358.75665399985</v>
      </c>
      <c r="AX113" s="48">
        <f t="shared" si="1029"/>
        <v>84563.489999999962</v>
      </c>
      <c r="AY113" s="51">
        <f t="shared" si="1030"/>
        <v>279549.98524199991</v>
      </c>
      <c r="BB113" s="48">
        <v>1</v>
      </c>
      <c r="BC113" s="48">
        <v>0.97</v>
      </c>
      <c r="BD113" s="48">
        <v>0.95</v>
      </c>
      <c r="BE113" s="48">
        <v>0.93</v>
      </c>
      <c r="BF113" s="48">
        <f t="shared" ref="BF113:BW113" si="1221">+BE113-0.02</f>
        <v>0.91</v>
      </c>
      <c r="BG113" s="48">
        <f t="shared" si="1221"/>
        <v>0.89</v>
      </c>
      <c r="BH113" s="48">
        <f t="shared" si="1221"/>
        <v>0.87</v>
      </c>
      <c r="BI113" s="48">
        <f t="shared" si="1221"/>
        <v>0.85</v>
      </c>
      <c r="BJ113" s="48">
        <f t="shared" si="1221"/>
        <v>0.83</v>
      </c>
      <c r="BK113" s="48">
        <f t="shared" si="1221"/>
        <v>0.80999999999999994</v>
      </c>
      <c r="BL113" s="48">
        <f t="shared" si="1221"/>
        <v>0.78999999999999992</v>
      </c>
      <c r="BM113" s="48">
        <f t="shared" si="1221"/>
        <v>0.76999999999999991</v>
      </c>
      <c r="BN113" s="48">
        <f t="shared" si="1221"/>
        <v>0.74999999999999989</v>
      </c>
      <c r="BO113" s="48">
        <f t="shared" si="1221"/>
        <v>0.72999999999999987</v>
      </c>
      <c r="BP113" s="48">
        <f t="shared" si="1221"/>
        <v>0.70999999999999985</v>
      </c>
      <c r="BQ113" s="48">
        <f t="shared" si="1221"/>
        <v>0.68999999999999984</v>
      </c>
      <c r="BR113" s="48">
        <f t="shared" si="1221"/>
        <v>0.66999999999999982</v>
      </c>
      <c r="BS113" s="48">
        <f t="shared" si="1221"/>
        <v>0.6499999999999998</v>
      </c>
      <c r="BT113" s="48">
        <f t="shared" si="1221"/>
        <v>0.62999999999999978</v>
      </c>
      <c r="BU113" s="48">
        <f t="shared" si="1221"/>
        <v>0.60999999999999976</v>
      </c>
      <c r="BV113" s="48">
        <f t="shared" si="1221"/>
        <v>0.58999999999999975</v>
      </c>
      <c r="BW113" s="48">
        <f t="shared" si="1221"/>
        <v>0.56999999999999973</v>
      </c>
      <c r="BY113" s="48">
        <f t="shared" si="952"/>
        <v>135004.87</v>
      </c>
      <c r="BZ113" s="48">
        <f t="shared" si="953"/>
        <v>135004.87</v>
      </c>
      <c r="CA113" s="51">
        <f t="shared" ref="CA113" si="1222">+BZ113*3.3058</f>
        <v>446299.099246</v>
      </c>
      <c r="CB113" s="48">
        <f t="shared" si="1033"/>
        <v>130954.7239</v>
      </c>
      <c r="CC113" s="51">
        <f t="shared" si="1034"/>
        <v>432910.12626862002</v>
      </c>
      <c r="CD113" s="48">
        <f t="shared" si="1035"/>
        <v>128254.62649999998</v>
      </c>
      <c r="CE113" s="51">
        <f t="shared" si="1036"/>
        <v>423984.14428369998</v>
      </c>
      <c r="CF113" s="48">
        <f t="shared" si="1037"/>
        <v>125554.5291</v>
      </c>
      <c r="CG113" s="51">
        <f t="shared" si="1038"/>
        <v>415058.16229877999</v>
      </c>
      <c r="CH113" s="52">
        <f t="shared" si="1039"/>
        <v>122854.4317</v>
      </c>
      <c r="CI113" s="51">
        <f t="shared" si="1040"/>
        <v>406132.18031386001</v>
      </c>
      <c r="CJ113" s="48">
        <f t="shared" si="1041"/>
        <v>120154.3343</v>
      </c>
      <c r="CK113" s="51">
        <f t="shared" si="1042"/>
        <v>397206.19832894002</v>
      </c>
      <c r="CL113" s="52">
        <f t="shared" si="1043"/>
        <v>117454.23689999999</v>
      </c>
      <c r="CM113" s="51">
        <f t="shared" si="1044"/>
        <v>388280.21634401998</v>
      </c>
      <c r="CN113" s="53">
        <f t="shared" si="1045"/>
        <v>114754.13949999999</v>
      </c>
      <c r="CO113" s="51">
        <f t="shared" si="1046"/>
        <v>379354.2343591</v>
      </c>
      <c r="CP113" s="52">
        <f t="shared" si="1047"/>
        <v>112054.04209999999</v>
      </c>
      <c r="CQ113" s="51">
        <f t="shared" si="1048"/>
        <v>370428.25237417995</v>
      </c>
      <c r="CR113" s="48">
        <f t="shared" si="1049"/>
        <v>109353.94469999999</v>
      </c>
      <c r="CS113" s="51">
        <f t="shared" si="1050"/>
        <v>361502.27038925997</v>
      </c>
      <c r="CT113" s="53">
        <f t="shared" si="1051"/>
        <v>106653.84729999998</v>
      </c>
      <c r="CU113" s="51">
        <f t="shared" si="1052"/>
        <v>352576.28840433992</v>
      </c>
      <c r="CV113" s="53">
        <f t="shared" si="1053"/>
        <v>103953.74989999998</v>
      </c>
      <c r="CW113" s="51">
        <f t="shared" si="1054"/>
        <v>343650.30641941994</v>
      </c>
      <c r="CX113" s="53">
        <f t="shared" si="1055"/>
        <v>101253.65249999998</v>
      </c>
      <c r="CY113" s="51">
        <f t="shared" si="1056"/>
        <v>334724.32443449995</v>
      </c>
      <c r="CZ113" s="48">
        <f t="shared" si="1057"/>
        <v>98553.555099999983</v>
      </c>
      <c r="DA113" s="51">
        <f t="shared" si="1058"/>
        <v>325798.34244957997</v>
      </c>
      <c r="DB113" s="53">
        <f t="shared" si="1059"/>
        <v>95853.45769999997</v>
      </c>
      <c r="DC113" s="51">
        <f t="shared" si="1060"/>
        <v>316872.36046465993</v>
      </c>
      <c r="DD113" s="53">
        <f t="shared" si="1061"/>
        <v>93153.360299999971</v>
      </c>
      <c r="DE113" s="51">
        <f t="shared" si="1062"/>
        <v>307946.37847973988</v>
      </c>
      <c r="DF113" s="53">
        <f t="shared" si="1063"/>
        <v>90453.262899999972</v>
      </c>
      <c r="DG113" s="51">
        <f t="shared" si="1064"/>
        <v>299020.3964948199</v>
      </c>
      <c r="DH113" s="53">
        <f t="shared" si="1065"/>
        <v>87753.165499999974</v>
      </c>
      <c r="DI113" s="51">
        <f t="shared" si="1066"/>
        <v>290094.41450989991</v>
      </c>
      <c r="DJ113" s="48">
        <f t="shared" si="1067"/>
        <v>85053.068099999975</v>
      </c>
      <c r="DK113" s="51">
        <f t="shared" si="1068"/>
        <v>281168.43252497993</v>
      </c>
      <c r="DL113" s="53">
        <f t="shared" si="1069"/>
        <v>82352.970699999962</v>
      </c>
      <c r="DM113" s="51">
        <f t="shared" si="1070"/>
        <v>272242.45054005989</v>
      </c>
      <c r="DN113" s="53">
        <f t="shared" si="1071"/>
        <v>79652.873299999963</v>
      </c>
      <c r="DO113" s="51">
        <f t="shared" si="1072"/>
        <v>263316.4685551399</v>
      </c>
      <c r="DP113" s="48">
        <f t="shared" si="1073"/>
        <v>76952.775899999964</v>
      </c>
      <c r="DQ113" s="51">
        <f t="shared" si="1074"/>
        <v>254390.48657021989</v>
      </c>
      <c r="DT113" s="48">
        <v>1</v>
      </c>
      <c r="DU113" s="48">
        <v>0.97</v>
      </c>
      <c r="DV113" s="48">
        <v>0.95</v>
      </c>
      <c r="DW113" s="48">
        <v>0.93</v>
      </c>
      <c r="DX113" s="48">
        <f t="shared" ref="DX113:EO113" si="1223">+DW113-0.02</f>
        <v>0.91</v>
      </c>
      <c r="DY113" s="48">
        <f t="shared" si="1223"/>
        <v>0.89</v>
      </c>
      <c r="DZ113" s="48">
        <f t="shared" si="1223"/>
        <v>0.87</v>
      </c>
      <c r="EA113" s="48">
        <f t="shared" si="1223"/>
        <v>0.85</v>
      </c>
      <c r="EB113" s="48">
        <f t="shared" si="1223"/>
        <v>0.83</v>
      </c>
      <c r="EC113" s="48">
        <f t="shared" si="1223"/>
        <v>0.80999999999999994</v>
      </c>
      <c r="ED113" s="48">
        <f t="shared" si="1223"/>
        <v>0.78999999999999992</v>
      </c>
      <c r="EE113" s="48">
        <f t="shared" si="1223"/>
        <v>0.76999999999999991</v>
      </c>
      <c r="EF113" s="48">
        <f t="shared" si="1223"/>
        <v>0.74999999999999989</v>
      </c>
      <c r="EG113" s="48">
        <f t="shared" si="1223"/>
        <v>0.72999999999999987</v>
      </c>
      <c r="EH113" s="48">
        <f t="shared" si="1223"/>
        <v>0.70999999999999985</v>
      </c>
      <c r="EI113" s="48">
        <f t="shared" si="1223"/>
        <v>0.68999999999999984</v>
      </c>
      <c r="EJ113" s="48">
        <f t="shared" si="1223"/>
        <v>0.66999999999999982</v>
      </c>
      <c r="EK113" s="48">
        <f t="shared" si="1223"/>
        <v>0.6499999999999998</v>
      </c>
      <c r="EL113" s="48">
        <f t="shared" si="1223"/>
        <v>0.62999999999999978</v>
      </c>
      <c r="EM113" s="48">
        <f t="shared" si="1223"/>
        <v>0.60999999999999976</v>
      </c>
      <c r="EN113" s="48">
        <f t="shared" si="1223"/>
        <v>0.58999999999999975</v>
      </c>
      <c r="EO113" s="48">
        <f t="shared" si="1223"/>
        <v>0.56999999999999973</v>
      </c>
      <c r="EQ113" s="48">
        <f t="shared" si="1128"/>
        <v>122854.4317</v>
      </c>
      <c r="ER113" s="48">
        <f t="shared" si="956"/>
        <v>122854.4317</v>
      </c>
      <c r="ES113" s="51">
        <f t="shared" ref="ES113" si="1224">+ER113*3.3058</f>
        <v>406132.18031386001</v>
      </c>
      <c r="ET113" s="48">
        <f t="shared" si="1077"/>
        <v>119168.79874899999</v>
      </c>
      <c r="EU113" s="51">
        <f t="shared" si="1078"/>
        <v>393948.21490444418</v>
      </c>
      <c r="EV113" s="48">
        <f t="shared" si="1079"/>
        <v>116711.71011499999</v>
      </c>
      <c r="EW113" s="51">
        <f t="shared" si="1080"/>
        <v>385825.57129816699</v>
      </c>
      <c r="EX113" s="48">
        <f t="shared" si="1081"/>
        <v>114254.62148100001</v>
      </c>
      <c r="EY113" s="51">
        <f t="shared" si="1082"/>
        <v>377702.92769188981</v>
      </c>
      <c r="EZ113" s="52">
        <f t="shared" si="1083"/>
        <v>111797.53284700001</v>
      </c>
      <c r="FA113" s="51">
        <f t="shared" si="1084"/>
        <v>369580.28408561263</v>
      </c>
      <c r="FB113" s="48">
        <f t="shared" si="1085"/>
        <v>109340.44421300001</v>
      </c>
      <c r="FC113" s="51">
        <f t="shared" si="1086"/>
        <v>361457.64047933544</v>
      </c>
      <c r="FD113" s="52">
        <f t="shared" si="1087"/>
        <v>106883.355579</v>
      </c>
      <c r="FE113" s="51">
        <f t="shared" si="1088"/>
        <v>353334.9968730582</v>
      </c>
      <c r="FF113" s="53">
        <f t="shared" si="1089"/>
        <v>104426.266945</v>
      </c>
      <c r="FG113" s="51">
        <f t="shared" si="1090"/>
        <v>345212.35326678102</v>
      </c>
      <c r="FH113" s="52">
        <f t="shared" si="1091"/>
        <v>101969.178311</v>
      </c>
      <c r="FI113" s="51">
        <f t="shared" si="1092"/>
        <v>337089.70966050378</v>
      </c>
      <c r="FJ113" s="48">
        <f t="shared" si="1093"/>
        <v>99512.089676999996</v>
      </c>
      <c r="FK113" s="51">
        <f t="shared" si="1094"/>
        <v>328967.0660542266</v>
      </c>
      <c r="FL113" s="53">
        <f t="shared" si="1095"/>
        <v>97055.001042999997</v>
      </c>
      <c r="FM113" s="51">
        <f t="shared" si="1096"/>
        <v>320844.42244794942</v>
      </c>
      <c r="FN113" s="53">
        <f t="shared" si="1097"/>
        <v>94597.912408999982</v>
      </c>
      <c r="FO113" s="51">
        <f t="shared" si="1098"/>
        <v>312721.77884167217</v>
      </c>
      <c r="FP113" s="53">
        <f t="shared" si="1099"/>
        <v>92140.823774999983</v>
      </c>
      <c r="FQ113" s="51">
        <f t="shared" si="1100"/>
        <v>304599.13523539493</v>
      </c>
      <c r="FR113" s="48">
        <f t="shared" si="1101"/>
        <v>89683.735140999983</v>
      </c>
      <c r="FS113" s="51">
        <f t="shared" si="1102"/>
        <v>296476.49162911775</v>
      </c>
      <c r="FT113" s="53">
        <f t="shared" si="1103"/>
        <v>87226.646506999983</v>
      </c>
      <c r="FU113" s="51">
        <f t="shared" si="1104"/>
        <v>288353.84802284057</v>
      </c>
      <c r="FV113" s="53">
        <f t="shared" si="1105"/>
        <v>84769.557872999983</v>
      </c>
      <c r="FW113" s="51">
        <f t="shared" si="1106"/>
        <v>280231.20441656333</v>
      </c>
      <c r="FX113" s="53">
        <f t="shared" si="1107"/>
        <v>82312.469238999984</v>
      </c>
      <c r="FY113" s="51">
        <f t="shared" si="1108"/>
        <v>272108.56081028614</v>
      </c>
      <c r="FZ113" s="53">
        <f t="shared" si="1109"/>
        <v>79855.380604999969</v>
      </c>
      <c r="GA113" s="51">
        <f t="shared" si="1110"/>
        <v>263985.9172040089</v>
      </c>
      <c r="GB113" s="48">
        <f t="shared" si="1111"/>
        <v>77398.29197099997</v>
      </c>
      <c r="GC113" s="51">
        <f t="shared" si="1112"/>
        <v>255863.27359773169</v>
      </c>
      <c r="GD113" s="53">
        <f t="shared" si="1113"/>
        <v>74941.20333699997</v>
      </c>
      <c r="GE113" s="51">
        <f t="shared" si="1114"/>
        <v>247740.62999145451</v>
      </c>
      <c r="GF113" s="53">
        <f t="shared" si="1115"/>
        <v>72484.11470299997</v>
      </c>
      <c r="GG113" s="51">
        <f t="shared" si="1116"/>
        <v>239617.9863851773</v>
      </c>
      <c r="GH113" s="48">
        <f t="shared" si="1117"/>
        <v>70027.02606899997</v>
      </c>
      <c r="GI113" s="51">
        <f t="shared" si="1118"/>
        <v>231495.34277890011</v>
      </c>
      <c r="GJ113" s="48"/>
      <c r="GK113" s="48"/>
      <c r="GL113" s="48">
        <v>1</v>
      </c>
      <c r="GM113" s="48">
        <v>0.97</v>
      </c>
      <c r="GN113" s="48">
        <v>0.95</v>
      </c>
      <c r="GO113" s="48">
        <v>0.93</v>
      </c>
      <c r="GP113" s="48">
        <f t="shared" ref="GP113:HG113" si="1225">+GO113-0.02</f>
        <v>0.91</v>
      </c>
      <c r="GQ113" s="48">
        <f t="shared" si="1225"/>
        <v>0.89</v>
      </c>
      <c r="GR113" s="48">
        <f t="shared" si="1225"/>
        <v>0.87</v>
      </c>
      <c r="GS113" s="48">
        <f t="shared" si="1225"/>
        <v>0.85</v>
      </c>
      <c r="GT113" s="48">
        <f t="shared" si="1225"/>
        <v>0.83</v>
      </c>
      <c r="GU113" s="48">
        <f t="shared" si="1225"/>
        <v>0.80999999999999994</v>
      </c>
      <c r="GV113" s="48">
        <f t="shared" si="1225"/>
        <v>0.78999999999999992</v>
      </c>
      <c r="GW113" s="48">
        <f t="shared" si="1225"/>
        <v>0.76999999999999991</v>
      </c>
      <c r="GX113" s="48">
        <f t="shared" si="1225"/>
        <v>0.74999999999999989</v>
      </c>
      <c r="GY113" s="48">
        <f t="shared" si="1225"/>
        <v>0.72999999999999987</v>
      </c>
      <c r="GZ113" s="48">
        <f t="shared" si="1225"/>
        <v>0.70999999999999985</v>
      </c>
      <c r="HA113" s="48">
        <f t="shared" si="1225"/>
        <v>0.68999999999999984</v>
      </c>
      <c r="HB113" s="48">
        <f t="shared" si="1225"/>
        <v>0.66999999999999982</v>
      </c>
      <c r="HC113" s="48">
        <f t="shared" si="1225"/>
        <v>0.6499999999999998</v>
      </c>
      <c r="HD113" s="48">
        <f t="shared" si="1225"/>
        <v>0.62999999999999978</v>
      </c>
      <c r="HE113" s="48">
        <f t="shared" si="1225"/>
        <v>0.60999999999999976</v>
      </c>
      <c r="HF113" s="48">
        <f t="shared" si="1225"/>
        <v>0.58999999999999975</v>
      </c>
      <c r="HG113" s="48">
        <f t="shared" si="1225"/>
        <v>0.56999999999999973</v>
      </c>
    </row>
    <row r="114" spans="1:215" s="54" customFormat="1" x14ac:dyDescent="0.3">
      <c r="C114" s="55"/>
      <c r="D114" s="55"/>
      <c r="E114" s="55"/>
      <c r="G114" s="56"/>
      <c r="H114" s="56"/>
      <c r="I114" s="56"/>
      <c r="J114" s="56"/>
      <c r="K114" s="56"/>
      <c r="L114" s="56"/>
      <c r="M114" s="56"/>
      <c r="N114" s="56"/>
      <c r="O114" s="56"/>
      <c r="P114" s="57"/>
      <c r="Q114" s="56"/>
      <c r="R114" s="56"/>
      <c r="S114" s="56"/>
      <c r="T114" s="57"/>
      <c r="U114" s="56"/>
      <c r="V114" s="58"/>
      <c r="W114" s="56"/>
      <c r="X114" s="57"/>
      <c r="Y114" s="56"/>
      <c r="Z114" s="56"/>
      <c r="AA114" s="56"/>
      <c r="AB114" s="58"/>
      <c r="AC114" s="56"/>
      <c r="AD114" s="58"/>
      <c r="AE114" s="56"/>
      <c r="AF114" s="58"/>
      <c r="AG114" s="56"/>
      <c r="AH114" s="56"/>
      <c r="AI114" s="56"/>
      <c r="AJ114" s="58"/>
      <c r="AK114" s="56"/>
      <c r="AL114" s="58"/>
      <c r="AM114" s="56"/>
      <c r="AN114" s="58"/>
      <c r="AO114" s="56"/>
      <c r="AP114" s="58"/>
      <c r="AQ114" s="56"/>
      <c r="AR114" s="56"/>
      <c r="AS114" s="56"/>
      <c r="AT114" s="58"/>
      <c r="AU114" s="56"/>
      <c r="AV114" s="58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56"/>
      <c r="BI114" s="56"/>
      <c r="BJ114" s="56"/>
      <c r="BK114" s="56"/>
      <c r="BL114" s="56"/>
      <c r="BM114" s="56"/>
      <c r="BN114" s="56"/>
      <c r="BO114" s="56"/>
      <c r="BP114" s="56"/>
      <c r="BQ114" s="56"/>
      <c r="BR114" s="56"/>
      <c r="BS114" s="56"/>
      <c r="BT114" s="56"/>
      <c r="BU114" s="56"/>
      <c r="BV114" s="56"/>
      <c r="BW114" s="56"/>
      <c r="BX114" s="56"/>
      <c r="BY114" s="56">
        <f t="shared" si="952"/>
        <v>0</v>
      </c>
      <c r="BZ114" s="56"/>
      <c r="CA114" s="56"/>
      <c r="CB114" s="56"/>
      <c r="CC114" s="56"/>
      <c r="CD114" s="56"/>
      <c r="CE114" s="56"/>
      <c r="CF114" s="56"/>
      <c r="CG114" s="56"/>
      <c r="CH114" s="57"/>
      <c r="CI114" s="56"/>
      <c r="CJ114" s="56"/>
      <c r="CK114" s="56"/>
      <c r="CL114" s="57"/>
      <c r="CM114" s="56"/>
      <c r="CN114" s="58"/>
      <c r="CO114" s="56"/>
      <c r="CP114" s="57"/>
      <c r="CQ114" s="56"/>
      <c r="CR114" s="56"/>
      <c r="CS114" s="56"/>
      <c r="CT114" s="58"/>
      <c r="CU114" s="56"/>
      <c r="CV114" s="58"/>
      <c r="CW114" s="56"/>
      <c r="CX114" s="58"/>
      <c r="CY114" s="56"/>
      <c r="CZ114" s="56"/>
      <c r="DA114" s="56"/>
      <c r="DB114" s="58"/>
      <c r="DC114" s="56"/>
      <c r="DD114" s="58"/>
      <c r="DE114" s="56"/>
      <c r="DF114" s="58"/>
      <c r="DG114" s="56"/>
      <c r="DH114" s="58"/>
      <c r="DI114" s="56"/>
      <c r="DJ114" s="56"/>
      <c r="DK114" s="56"/>
      <c r="DL114" s="58"/>
      <c r="DM114" s="56"/>
      <c r="DN114" s="58"/>
      <c r="DO114" s="56"/>
      <c r="DP114" s="56"/>
      <c r="DQ114" s="56"/>
      <c r="DR114" s="56"/>
      <c r="DS114" s="56"/>
      <c r="DT114" s="56">
        <v>1</v>
      </c>
      <c r="DU114" s="56">
        <v>0.97</v>
      </c>
      <c r="DV114" s="56">
        <v>0.95</v>
      </c>
      <c r="DW114" s="56">
        <v>0.93</v>
      </c>
      <c r="DX114" s="56">
        <f t="shared" ref="DX114:EO114" si="1226">+DW114-0.02</f>
        <v>0.91</v>
      </c>
      <c r="DY114" s="56">
        <f t="shared" si="1226"/>
        <v>0.89</v>
      </c>
      <c r="DZ114" s="56">
        <f t="shared" si="1226"/>
        <v>0.87</v>
      </c>
      <c r="EA114" s="56">
        <f t="shared" si="1226"/>
        <v>0.85</v>
      </c>
      <c r="EB114" s="56">
        <f t="shared" si="1226"/>
        <v>0.83</v>
      </c>
      <c r="EC114" s="56">
        <f t="shared" si="1226"/>
        <v>0.80999999999999994</v>
      </c>
      <c r="ED114" s="56">
        <f t="shared" si="1226"/>
        <v>0.78999999999999992</v>
      </c>
      <c r="EE114" s="56">
        <f t="shared" si="1226"/>
        <v>0.76999999999999991</v>
      </c>
      <c r="EF114" s="56">
        <f t="shared" si="1226"/>
        <v>0.74999999999999989</v>
      </c>
      <c r="EG114" s="56">
        <f t="shared" si="1226"/>
        <v>0.72999999999999987</v>
      </c>
      <c r="EH114" s="56">
        <f t="shared" si="1226"/>
        <v>0.70999999999999985</v>
      </c>
      <c r="EI114" s="56">
        <f t="shared" si="1226"/>
        <v>0.68999999999999984</v>
      </c>
      <c r="EJ114" s="56">
        <f t="shared" si="1226"/>
        <v>0.66999999999999982</v>
      </c>
      <c r="EK114" s="56">
        <f t="shared" si="1226"/>
        <v>0.6499999999999998</v>
      </c>
      <c r="EL114" s="56">
        <f t="shared" si="1226"/>
        <v>0.62999999999999978</v>
      </c>
      <c r="EM114" s="56">
        <f t="shared" si="1226"/>
        <v>0.60999999999999976</v>
      </c>
      <c r="EN114" s="56">
        <f t="shared" si="1226"/>
        <v>0.58999999999999975</v>
      </c>
      <c r="EO114" s="56">
        <f t="shared" si="1226"/>
        <v>0.56999999999999973</v>
      </c>
      <c r="EQ114" s="56">
        <f t="shared" si="1128"/>
        <v>0</v>
      </c>
      <c r="ER114" s="56"/>
      <c r="ES114" s="56"/>
      <c r="ET114" s="56"/>
      <c r="EU114" s="56"/>
      <c r="EV114" s="56"/>
      <c r="EW114" s="56"/>
      <c r="EX114" s="56"/>
      <c r="EY114" s="56"/>
      <c r="EZ114" s="57"/>
      <c r="FA114" s="56"/>
      <c r="FB114" s="56"/>
      <c r="FC114" s="56"/>
      <c r="FD114" s="57"/>
      <c r="FE114" s="56"/>
      <c r="FF114" s="58"/>
      <c r="FG114" s="56"/>
      <c r="FH114" s="57"/>
      <c r="FI114" s="56"/>
      <c r="FJ114" s="56"/>
      <c r="FK114" s="56"/>
      <c r="FL114" s="58"/>
      <c r="FM114" s="56"/>
      <c r="FN114" s="58"/>
      <c r="FO114" s="56"/>
      <c r="FP114" s="58"/>
      <c r="FQ114" s="56"/>
      <c r="FR114" s="56"/>
      <c r="FS114" s="56"/>
      <c r="FT114" s="58"/>
      <c r="FU114" s="56"/>
      <c r="FV114" s="58"/>
      <c r="FW114" s="56"/>
      <c r="FX114" s="58"/>
      <c r="FY114" s="56"/>
      <c r="FZ114" s="58"/>
      <c r="GA114" s="56"/>
      <c r="GB114" s="56"/>
      <c r="GC114" s="56"/>
      <c r="GD114" s="58"/>
      <c r="GE114" s="56"/>
      <c r="GF114" s="58"/>
      <c r="GG114" s="56"/>
      <c r="GH114" s="56"/>
      <c r="GI114" s="56"/>
      <c r="GJ114" s="56"/>
      <c r="GK114" s="56"/>
      <c r="GL114" s="56">
        <v>1</v>
      </c>
      <c r="GM114" s="56">
        <v>0.97</v>
      </c>
      <c r="GN114" s="56">
        <v>0.95</v>
      </c>
      <c r="GO114" s="56">
        <v>0.93</v>
      </c>
      <c r="GP114" s="56">
        <f t="shared" ref="GP114:HG114" si="1227">+GO114-0.02</f>
        <v>0.91</v>
      </c>
      <c r="GQ114" s="56">
        <f t="shared" si="1227"/>
        <v>0.89</v>
      </c>
      <c r="GR114" s="56">
        <f t="shared" si="1227"/>
        <v>0.87</v>
      </c>
      <c r="GS114" s="56">
        <f t="shared" si="1227"/>
        <v>0.85</v>
      </c>
      <c r="GT114" s="56">
        <f t="shared" si="1227"/>
        <v>0.83</v>
      </c>
      <c r="GU114" s="56">
        <f t="shared" si="1227"/>
        <v>0.80999999999999994</v>
      </c>
      <c r="GV114" s="56">
        <f t="shared" si="1227"/>
        <v>0.78999999999999992</v>
      </c>
      <c r="GW114" s="56">
        <f t="shared" si="1227"/>
        <v>0.76999999999999991</v>
      </c>
      <c r="GX114" s="56">
        <f t="shared" si="1227"/>
        <v>0.74999999999999989</v>
      </c>
      <c r="GY114" s="56">
        <f t="shared" si="1227"/>
        <v>0.72999999999999987</v>
      </c>
      <c r="GZ114" s="56">
        <f t="shared" si="1227"/>
        <v>0.70999999999999985</v>
      </c>
      <c r="HA114" s="56">
        <f t="shared" si="1227"/>
        <v>0.68999999999999984</v>
      </c>
      <c r="HB114" s="56">
        <f t="shared" si="1227"/>
        <v>0.66999999999999982</v>
      </c>
      <c r="HC114" s="56">
        <f t="shared" si="1227"/>
        <v>0.6499999999999998</v>
      </c>
      <c r="HD114" s="56">
        <f t="shared" si="1227"/>
        <v>0.62999999999999978</v>
      </c>
      <c r="HE114" s="56">
        <f t="shared" si="1227"/>
        <v>0.60999999999999976</v>
      </c>
      <c r="HF114" s="56">
        <f t="shared" si="1227"/>
        <v>0.58999999999999975</v>
      </c>
      <c r="HG114" s="56">
        <f t="shared" si="1227"/>
        <v>0.56999999999999973</v>
      </c>
    </row>
    <row r="115" spans="1:215" s="54" customFormat="1" ht="17.25" thickBot="1" x14ac:dyDescent="0.35">
      <c r="B115" s="54" t="s">
        <v>179</v>
      </c>
      <c r="C115" s="54" t="s">
        <v>131</v>
      </c>
      <c r="D115" s="55" t="s">
        <v>205</v>
      </c>
      <c r="E115" s="55" t="s">
        <v>61</v>
      </c>
      <c r="G115" s="56"/>
      <c r="H115" s="56"/>
      <c r="I115" s="56"/>
      <c r="J115" s="56"/>
      <c r="K115" s="56"/>
      <c r="L115" s="56"/>
      <c r="M115" s="56"/>
      <c r="N115" s="56"/>
      <c r="O115" s="56"/>
      <c r="P115" s="57"/>
      <c r="Q115" s="56"/>
      <c r="R115" s="56"/>
      <c r="S115" s="56"/>
      <c r="T115" s="57"/>
      <c r="U115" s="56"/>
      <c r="V115" s="58"/>
      <c r="W115" s="56"/>
      <c r="X115" s="57"/>
      <c r="Y115" s="56"/>
      <c r="Z115" s="56"/>
      <c r="AA115" s="56"/>
      <c r="AB115" s="58"/>
      <c r="AC115" s="56"/>
      <c r="AD115" s="58"/>
      <c r="AE115" s="56"/>
      <c r="AF115" s="58"/>
      <c r="AG115" s="56"/>
      <c r="AH115" s="56"/>
      <c r="AI115" s="56"/>
      <c r="AJ115" s="58"/>
      <c r="AK115" s="56"/>
      <c r="AL115" s="58"/>
      <c r="AM115" s="56"/>
      <c r="AN115" s="58"/>
      <c r="AO115" s="56"/>
      <c r="AP115" s="58"/>
      <c r="AQ115" s="56"/>
      <c r="AR115" s="56"/>
      <c r="AS115" s="56"/>
      <c r="AT115" s="58"/>
      <c r="AU115" s="56"/>
      <c r="AV115" s="58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56"/>
      <c r="BI115" s="56"/>
      <c r="BJ115" s="56"/>
      <c r="BK115" s="56"/>
      <c r="BL115" s="56"/>
      <c r="BM115" s="56"/>
      <c r="BN115" s="56"/>
      <c r="BO115" s="56"/>
      <c r="BP115" s="56"/>
      <c r="BQ115" s="56"/>
      <c r="BR115" s="56"/>
      <c r="BS115" s="56"/>
      <c r="BT115" s="56"/>
      <c r="BU115" s="56"/>
      <c r="BV115" s="56"/>
      <c r="BW115" s="56"/>
      <c r="BX115" s="56"/>
      <c r="BY115" s="56">
        <f t="shared" si="952"/>
        <v>0</v>
      </c>
      <c r="BZ115" s="56"/>
      <c r="CA115" s="56"/>
      <c r="CB115" s="56"/>
      <c r="CC115" s="56"/>
      <c r="CD115" s="56"/>
      <c r="CE115" s="56"/>
      <c r="CF115" s="56"/>
      <c r="CG115" s="56"/>
      <c r="CH115" s="57"/>
      <c r="CI115" s="56"/>
      <c r="CJ115" s="56"/>
      <c r="CK115" s="56"/>
      <c r="CL115" s="57"/>
      <c r="CM115" s="56"/>
      <c r="CN115" s="58"/>
      <c r="CO115" s="56"/>
      <c r="CP115" s="57"/>
      <c r="CQ115" s="56"/>
      <c r="CR115" s="56"/>
      <c r="CS115" s="56"/>
      <c r="CT115" s="58"/>
      <c r="CU115" s="56"/>
      <c r="CV115" s="58"/>
      <c r="CW115" s="56"/>
      <c r="CX115" s="58"/>
      <c r="CY115" s="56"/>
      <c r="CZ115" s="56"/>
      <c r="DA115" s="56"/>
      <c r="DB115" s="58"/>
      <c r="DC115" s="56"/>
      <c r="DD115" s="58"/>
      <c r="DE115" s="56"/>
      <c r="DF115" s="58"/>
      <c r="DG115" s="56"/>
      <c r="DH115" s="58"/>
      <c r="DI115" s="56"/>
      <c r="DJ115" s="56"/>
      <c r="DK115" s="56"/>
      <c r="DL115" s="58"/>
      <c r="DM115" s="56"/>
      <c r="DN115" s="58"/>
      <c r="DO115" s="56"/>
      <c r="DP115" s="56"/>
      <c r="DQ115" s="56"/>
      <c r="DR115" s="56"/>
      <c r="DS115" s="56"/>
      <c r="DT115" s="56">
        <v>1</v>
      </c>
      <c r="DU115" s="56">
        <v>0.97</v>
      </c>
      <c r="DV115" s="56">
        <v>0.95</v>
      </c>
      <c r="DW115" s="56">
        <v>0.93</v>
      </c>
      <c r="DX115" s="56">
        <f t="shared" ref="DX115:EO115" si="1228">+DW115-0.02</f>
        <v>0.91</v>
      </c>
      <c r="DY115" s="56">
        <f t="shared" si="1228"/>
        <v>0.89</v>
      </c>
      <c r="DZ115" s="56">
        <f t="shared" si="1228"/>
        <v>0.87</v>
      </c>
      <c r="EA115" s="56">
        <f t="shared" si="1228"/>
        <v>0.85</v>
      </c>
      <c r="EB115" s="56">
        <f t="shared" si="1228"/>
        <v>0.83</v>
      </c>
      <c r="EC115" s="56">
        <f t="shared" si="1228"/>
        <v>0.80999999999999994</v>
      </c>
      <c r="ED115" s="56">
        <f t="shared" si="1228"/>
        <v>0.78999999999999992</v>
      </c>
      <c r="EE115" s="56">
        <f t="shared" si="1228"/>
        <v>0.76999999999999991</v>
      </c>
      <c r="EF115" s="56">
        <f t="shared" si="1228"/>
        <v>0.74999999999999989</v>
      </c>
      <c r="EG115" s="56">
        <f t="shared" si="1228"/>
        <v>0.72999999999999987</v>
      </c>
      <c r="EH115" s="56">
        <f t="shared" si="1228"/>
        <v>0.70999999999999985</v>
      </c>
      <c r="EI115" s="56">
        <f t="shared" si="1228"/>
        <v>0.68999999999999984</v>
      </c>
      <c r="EJ115" s="56">
        <f t="shared" si="1228"/>
        <v>0.66999999999999982</v>
      </c>
      <c r="EK115" s="56">
        <f t="shared" si="1228"/>
        <v>0.6499999999999998</v>
      </c>
      <c r="EL115" s="56">
        <f t="shared" si="1228"/>
        <v>0.62999999999999978</v>
      </c>
      <c r="EM115" s="56">
        <f t="shared" si="1228"/>
        <v>0.60999999999999976</v>
      </c>
      <c r="EN115" s="56">
        <f t="shared" si="1228"/>
        <v>0.58999999999999975</v>
      </c>
      <c r="EO115" s="56">
        <f t="shared" si="1228"/>
        <v>0.56999999999999973</v>
      </c>
      <c r="EQ115" s="56">
        <f t="shared" si="1128"/>
        <v>0</v>
      </c>
      <c r="ER115" s="56"/>
      <c r="ES115" s="56"/>
      <c r="ET115" s="56"/>
      <c r="EU115" s="56"/>
      <c r="EV115" s="56"/>
      <c r="EW115" s="56"/>
      <c r="EX115" s="56"/>
      <c r="EY115" s="56"/>
      <c r="EZ115" s="57"/>
      <c r="FA115" s="56"/>
      <c r="FB115" s="56"/>
      <c r="FC115" s="56"/>
      <c r="FD115" s="57"/>
      <c r="FE115" s="56"/>
      <c r="FF115" s="58"/>
      <c r="FG115" s="56"/>
      <c r="FH115" s="57"/>
      <c r="FI115" s="56"/>
      <c r="FJ115" s="56"/>
      <c r="FK115" s="56"/>
      <c r="FL115" s="58"/>
      <c r="FM115" s="56"/>
      <c r="FN115" s="58"/>
      <c r="FO115" s="56"/>
      <c r="FP115" s="58"/>
      <c r="FQ115" s="56"/>
      <c r="FR115" s="56"/>
      <c r="FS115" s="56"/>
      <c r="FT115" s="58"/>
      <c r="FU115" s="56"/>
      <c r="FV115" s="58"/>
      <c r="FW115" s="56"/>
      <c r="FX115" s="58"/>
      <c r="FY115" s="56"/>
      <c r="FZ115" s="58"/>
      <c r="GA115" s="56"/>
      <c r="GB115" s="56"/>
      <c r="GC115" s="56"/>
      <c r="GD115" s="58"/>
      <c r="GE115" s="56"/>
      <c r="GF115" s="58"/>
      <c r="GG115" s="56"/>
      <c r="GH115" s="56"/>
      <c r="GI115" s="56"/>
      <c r="GJ115" s="56"/>
      <c r="GK115" s="56"/>
      <c r="GL115" s="56">
        <v>1</v>
      </c>
      <c r="GM115" s="56">
        <v>0.97</v>
      </c>
      <c r="GN115" s="56">
        <v>0.95</v>
      </c>
      <c r="GO115" s="56">
        <v>0.93</v>
      </c>
      <c r="GP115" s="56">
        <f t="shared" ref="GP115:HG115" si="1229">+GO115-0.02</f>
        <v>0.91</v>
      </c>
      <c r="GQ115" s="56">
        <f t="shared" si="1229"/>
        <v>0.89</v>
      </c>
      <c r="GR115" s="56">
        <f t="shared" si="1229"/>
        <v>0.87</v>
      </c>
      <c r="GS115" s="56">
        <f t="shared" si="1229"/>
        <v>0.85</v>
      </c>
      <c r="GT115" s="56">
        <f t="shared" si="1229"/>
        <v>0.83</v>
      </c>
      <c r="GU115" s="56">
        <f t="shared" si="1229"/>
        <v>0.80999999999999994</v>
      </c>
      <c r="GV115" s="56">
        <f t="shared" si="1229"/>
        <v>0.78999999999999992</v>
      </c>
      <c r="GW115" s="56">
        <f t="shared" si="1229"/>
        <v>0.76999999999999991</v>
      </c>
      <c r="GX115" s="56">
        <f t="shared" si="1229"/>
        <v>0.74999999999999989</v>
      </c>
      <c r="GY115" s="56">
        <f t="shared" si="1229"/>
        <v>0.72999999999999987</v>
      </c>
      <c r="GZ115" s="56">
        <f t="shared" si="1229"/>
        <v>0.70999999999999985</v>
      </c>
      <c r="HA115" s="56">
        <f t="shared" si="1229"/>
        <v>0.68999999999999984</v>
      </c>
      <c r="HB115" s="56">
        <f t="shared" si="1229"/>
        <v>0.66999999999999982</v>
      </c>
      <c r="HC115" s="56">
        <f t="shared" si="1229"/>
        <v>0.6499999999999998</v>
      </c>
      <c r="HD115" s="56">
        <f t="shared" si="1229"/>
        <v>0.62999999999999978</v>
      </c>
      <c r="HE115" s="56">
        <f t="shared" si="1229"/>
        <v>0.60999999999999976</v>
      </c>
      <c r="HF115" s="56">
        <f t="shared" si="1229"/>
        <v>0.58999999999999975</v>
      </c>
      <c r="HG115" s="56">
        <f t="shared" si="1229"/>
        <v>0.56999999999999973</v>
      </c>
    </row>
    <row r="116" spans="1:215" x14ac:dyDescent="0.3">
      <c r="A116" s="2">
        <v>1</v>
      </c>
      <c r="C116" s="29" t="s">
        <v>180</v>
      </c>
      <c r="D116" s="42">
        <v>0</v>
      </c>
      <c r="E116" s="72">
        <f t="shared" ref="E116:E126" si="1230">TRUNC(+D116*3.3058,-1)</f>
        <v>0</v>
      </c>
      <c r="G116" s="48">
        <f t="shared" si="948"/>
        <v>0</v>
      </c>
      <c r="H116" s="48">
        <f t="shared" si="949"/>
        <v>0</v>
      </c>
      <c r="I116" s="51">
        <f t="shared" si="950"/>
        <v>0</v>
      </c>
      <c r="J116" s="48">
        <f t="shared" ref="J116:J127" si="1231">+H116*BC116</f>
        <v>0</v>
      </c>
      <c r="K116" s="51">
        <f t="shared" ref="K116:K127" si="1232">+J116*3.3058</f>
        <v>0</v>
      </c>
      <c r="L116" s="48">
        <f t="shared" ref="L116:L127" si="1233">+H116*BD116</f>
        <v>0</v>
      </c>
      <c r="M116" s="51">
        <f t="shared" ref="M116:M127" si="1234">+L116*3.3058</f>
        <v>0</v>
      </c>
      <c r="N116" s="48">
        <f t="shared" ref="N116:N127" si="1235">+H116*BE116</f>
        <v>0</v>
      </c>
      <c r="O116" s="51">
        <f t="shared" ref="O116:O127" si="1236">+N116*3.3058</f>
        <v>0</v>
      </c>
      <c r="P116" s="52">
        <f t="shared" ref="P116:P127" si="1237">+H116*BF116</f>
        <v>0</v>
      </c>
      <c r="Q116" s="51">
        <f t="shared" ref="Q116:Q127" si="1238">+P116*3.3058</f>
        <v>0</v>
      </c>
      <c r="R116" s="48">
        <f t="shared" ref="R116:R127" si="1239">+H116*BG116</f>
        <v>0</v>
      </c>
      <c r="S116" s="51">
        <f t="shared" ref="S116:S127" si="1240">+R116*3.3058</f>
        <v>0</v>
      </c>
      <c r="T116" s="52">
        <f t="shared" ref="T116:T127" si="1241">+H116*BH116</f>
        <v>0</v>
      </c>
      <c r="U116" s="51">
        <f t="shared" ref="U116:U127" si="1242">+T116*3.3058</f>
        <v>0</v>
      </c>
      <c r="V116" s="53">
        <f t="shared" ref="V116:V127" si="1243">+H116*BI116</f>
        <v>0</v>
      </c>
      <c r="W116" s="51">
        <f t="shared" ref="W116:W127" si="1244">+V116*3.3058</f>
        <v>0</v>
      </c>
      <c r="X116" s="52">
        <f t="shared" ref="X116:X127" si="1245">+H116*BJ116</f>
        <v>0</v>
      </c>
      <c r="Y116" s="51">
        <f t="shared" ref="Y116:Y127" si="1246">+X116*3.3058</f>
        <v>0</v>
      </c>
      <c r="Z116" s="48">
        <f t="shared" ref="Z116:Z127" si="1247">+H116*BK116</f>
        <v>0</v>
      </c>
      <c r="AA116" s="51">
        <f t="shared" ref="AA116:AA127" si="1248">+Z116*3.3058</f>
        <v>0</v>
      </c>
      <c r="AB116" s="53">
        <f t="shared" ref="AB116:AB127" si="1249">+H116*BL116</f>
        <v>0</v>
      </c>
      <c r="AC116" s="51">
        <f t="shared" ref="AC116:AC127" si="1250">+AB116*3.3058</f>
        <v>0</v>
      </c>
      <c r="AD116" s="53">
        <f t="shared" ref="AD116:AD127" si="1251">+H116*BM116</f>
        <v>0</v>
      </c>
      <c r="AE116" s="51">
        <f t="shared" ref="AE116:AE127" si="1252">+AD116*3.3058</f>
        <v>0</v>
      </c>
      <c r="AF116" s="53">
        <f t="shared" ref="AF116:AF127" si="1253">+H116*BN116</f>
        <v>0</v>
      </c>
      <c r="AG116" s="51">
        <f t="shared" ref="AG116:AG127" si="1254">+AF116*3.3058</f>
        <v>0</v>
      </c>
      <c r="AH116" s="48">
        <f t="shared" ref="AH116:AH127" si="1255">+H116*BO116</f>
        <v>0</v>
      </c>
      <c r="AI116" s="51">
        <f t="shared" ref="AI116:AI127" si="1256">+AH116*3.3058</f>
        <v>0</v>
      </c>
      <c r="AJ116" s="53">
        <f t="shared" ref="AJ116:AJ127" si="1257">+H116*BP116</f>
        <v>0</v>
      </c>
      <c r="AK116" s="51">
        <f t="shared" ref="AK116:AK127" si="1258">+AJ116*3.3058</f>
        <v>0</v>
      </c>
      <c r="AL116" s="53">
        <f t="shared" ref="AL116:AL127" si="1259">+H116*BQ116</f>
        <v>0</v>
      </c>
      <c r="AM116" s="51">
        <f t="shared" ref="AM116:AM127" si="1260">+AL116*3.3058</f>
        <v>0</v>
      </c>
      <c r="AN116" s="53">
        <f t="shared" ref="AN116:AN127" si="1261">+H116*BR116</f>
        <v>0</v>
      </c>
      <c r="AO116" s="51">
        <f t="shared" ref="AO116:AO127" si="1262">+AN116*3.3058</f>
        <v>0</v>
      </c>
      <c r="AP116" s="53">
        <f t="shared" ref="AP116:AP127" si="1263">+H116*BS116</f>
        <v>0</v>
      </c>
      <c r="AQ116" s="51">
        <f t="shared" ref="AQ116:AQ127" si="1264">+AP116*3.3058</f>
        <v>0</v>
      </c>
      <c r="AR116" s="48">
        <f t="shared" ref="AR116:AR127" si="1265">+H116*BT116</f>
        <v>0</v>
      </c>
      <c r="AS116" s="51">
        <f t="shared" ref="AS116:AS127" si="1266">+AR116*3.3058</f>
        <v>0</v>
      </c>
      <c r="AT116" s="53">
        <f t="shared" ref="AT116:AT127" si="1267">+H116*BU116</f>
        <v>0</v>
      </c>
      <c r="AU116" s="51">
        <f t="shared" ref="AU116:AU127" si="1268">+AT116*3.3058</f>
        <v>0</v>
      </c>
      <c r="AV116" s="53">
        <f t="shared" ref="AV116:AV127" si="1269">+H116*BV116</f>
        <v>0</v>
      </c>
      <c r="AW116" s="51">
        <f t="shared" ref="AW116:AW127" si="1270">+AV116*3.3058</f>
        <v>0</v>
      </c>
      <c r="AX116" s="48">
        <f t="shared" ref="AX116:AX127" si="1271">+H116*BW116</f>
        <v>0</v>
      </c>
      <c r="AY116" s="51">
        <f t="shared" ref="AY116:AY127" si="1272">+AX116*3.3058</f>
        <v>0</v>
      </c>
      <c r="BB116" s="48">
        <v>1</v>
      </c>
      <c r="BC116" s="48">
        <v>0.97</v>
      </c>
      <c r="BD116" s="48">
        <v>0.95</v>
      </c>
      <c r="BE116" s="48">
        <v>0.93</v>
      </c>
      <c r="BF116" s="48">
        <f t="shared" ref="BF116:BW116" si="1273">+BE116-0.02</f>
        <v>0.91</v>
      </c>
      <c r="BG116" s="48">
        <f t="shared" si="1273"/>
        <v>0.89</v>
      </c>
      <c r="BH116" s="48">
        <f t="shared" si="1273"/>
        <v>0.87</v>
      </c>
      <c r="BI116" s="48">
        <f t="shared" si="1273"/>
        <v>0.85</v>
      </c>
      <c r="BJ116" s="48">
        <f t="shared" si="1273"/>
        <v>0.83</v>
      </c>
      <c r="BK116" s="48">
        <f t="shared" si="1273"/>
        <v>0.80999999999999994</v>
      </c>
      <c r="BL116" s="48">
        <f t="shared" si="1273"/>
        <v>0.78999999999999992</v>
      </c>
      <c r="BM116" s="48">
        <f t="shared" si="1273"/>
        <v>0.76999999999999991</v>
      </c>
      <c r="BN116" s="48">
        <f t="shared" si="1273"/>
        <v>0.74999999999999989</v>
      </c>
      <c r="BO116" s="48">
        <f t="shared" si="1273"/>
        <v>0.72999999999999987</v>
      </c>
      <c r="BP116" s="48">
        <f t="shared" si="1273"/>
        <v>0.70999999999999985</v>
      </c>
      <c r="BQ116" s="48">
        <f t="shared" si="1273"/>
        <v>0.68999999999999984</v>
      </c>
      <c r="BR116" s="48">
        <f t="shared" si="1273"/>
        <v>0.66999999999999982</v>
      </c>
      <c r="BS116" s="48">
        <f t="shared" si="1273"/>
        <v>0.6499999999999998</v>
      </c>
      <c r="BT116" s="48">
        <f t="shared" si="1273"/>
        <v>0.62999999999999978</v>
      </c>
      <c r="BU116" s="48">
        <f t="shared" si="1273"/>
        <v>0.60999999999999976</v>
      </c>
      <c r="BV116" s="48">
        <f t="shared" si="1273"/>
        <v>0.58999999999999975</v>
      </c>
      <c r="BW116" s="48">
        <f t="shared" si="1273"/>
        <v>0.56999999999999973</v>
      </c>
      <c r="BY116" s="48">
        <f t="shared" si="952"/>
        <v>0</v>
      </c>
      <c r="BZ116" s="48">
        <f t="shared" si="953"/>
        <v>0</v>
      </c>
      <c r="CA116" s="51">
        <f t="shared" ref="CA116" si="1274">+BZ116*3.3058</f>
        <v>0</v>
      </c>
      <c r="CB116" s="48">
        <f t="shared" ref="CB116:CB127" si="1275">+BZ116*DU116</f>
        <v>0</v>
      </c>
      <c r="CC116" s="51">
        <f t="shared" ref="CC116:CC127" si="1276">+CB116*3.3058</f>
        <v>0</v>
      </c>
      <c r="CD116" s="48">
        <f t="shared" ref="CD116:CD127" si="1277">+BZ116*DV116</f>
        <v>0</v>
      </c>
      <c r="CE116" s="51">
        <f t="shared" ref="CE116:CE127" si="1278">+CD116*3.3058</f>
        <v>0</v>
      </c>
      <c r="CF116" s="48">
        <f t="shared" ref="CF116:CF127" si="1279">+BZ116*DW116</f>
        <v>0</v>
      </c>
      <c r="CG116" s="51">
        <f t="shared" ref="CG116:CG127" si="1280">+CF116*3.3058</f>
        <v>0</v>
      </c>
      <c r="CH116" s="52">
        <f t="shared" ref="CH116:CH127" si="1281">+BZ116*DX116</f>
        <v>0</v>
      </c>
      <c r="CI116" s="51">
        <f t="shared" ref="CI116:CI127" si="1282">+CH116*3.3058</f>
        <v>0</v>
      </c>
      <c r="CJ116" s="48">
        <f t="shared" ref="CJ116:CJ127" si="1283">+BZ116*DY116</f>
        <v>0</v>
      </c>
      <c r="CK116" s="51">
        <f t="shared" ref="CK116:CK127" si="1284">+CJ116*3.3058</f>
        <v>0</v>
      </c>
      <c r="CL116" s="52">
        <f t="shared" ref="CL116:CL127" si="1285">+BZ116*DZ116</f>
        <v>0</v>
      </c>
      <c r="CM116" s="51">
        <f t="shared" ref="CM116:CM127" si="1286">+CL116*3.3058</f>
        <v>0</v>
      </c>
      <c r="CN116" s="53">
        <f t="shared" ref="CN116:CN127" si="1287">+BZ116*EA116</f>
        <v>0</v>
      </c>
      <c r="CO116" s="51">
        <f t="shared" ref="CO116:CO127" si="1288">+CN116*3.3058</f>
        <v>0</v>
      </c>
      <c r="CP116" s="52">
        <f t="shared" ref="CP116:CP127" si="1289">+BZ116*EB116</f>
        <v>0</v>
      </c>
      <c r="CQ116" s="51">
        <f t="shared" ref="CQ116:CQ127" si="1290">+CP116*3.3058</f>
        <v>0</v>
      </c>
      <c r="CR116" s="48">
        <f t="shared" ref="CR116:CR127" si="1291">+BZ116*EC116</f>
        <v>0</v>
      </c>
      <c r="CS116" s="51">
        <f t="shared" ref="CS116:CS127" si="1292">+CR116*3.3058</f>
        <v>0</v>
      </c>
      <c r="CT116" s="53">
        <f t="shared" ref="CT116:CT127" si="1293">+BZ116*ED116</f>
        <v>0</v>
      </c>
      <c r="CU116" s="51">
        <f t="shared" ref="CU116:CU127" si="1294">+CT116*3.3058</f>
        <v>0</v>
      </c>
      <c r="CV116" s="53">
        <f t="shared" ref="CV116:CV127" si="1295">+BZ116*EE116</f>
        <v>0</v>
      </c>
      <c r="CW116" s="51">
        <f t="shared" ref="CW116:CW127" si="1296">+CV116*3.3058</f>
        <v>0</v>
      </c>
      <c r="CX116" s="53">
        <f t="shared" ref="CX116:CX127" si="1297">+BZ116*EF116</f>
        <v>0</v>
      </c>
      <c r="CY116" s="51">
        <f t="shared" ref="CY116:CY127" si="1298">+CX116*3.3058</f>
        <v>0</v>
      </c>
      <c r="CZ116" s="48">
        <f t="shared" ref="CZ116:CZ127" si="1299">+BZ116*EG116</f>
        <v>0</v>
      </c>
      <c r="DA116" s="51">
        <f t="shared" ref="DA116:DA127" si="1300">+CZ116*3.3058</f>
        <v>0</v>
      </c>
      <c r="DB116" s="53">
        <f t="shared" ref="DB116:DB127" si="1301">+BZ116*EH116</f>
        <v>0</v>
      </c>
      <c r="DC116" s="51">
        <f t="shared" ref="DC116:DC127" si="1302">+DB116*3.3058</f>
        <v>0</v>
      </c>
      <c r="DD116" s="53">
        <f t="shared" ref="DD116:DD127" si="1303">+BZ116*EI116</f>
        <v>0</v>
      </c>
      <c r="DE116" s="51">
        <f t="shared" ref="DE116:DE127" si="1304">+DD116*3.3058</f>
        <v>0</v>
      </c>
      <c r="DF116" s="53">
        <f t="shared" ref="DF116:DF127" si="1305">+BZ116*EJ116</f>
        <v>0</v>
      </c>
      <c r="DG116" s="51">
        <f t="shared" ref="DG116:DG127" si="1306">+DF116*3.3058</f>
        <v>0</v>
      </c>
      <c r="DH116" s="53">
        <f t="shared" ref="DH116:DH127" si="1307">+BZ116*EK116</f>
        <v>0</v>
      </c>
      <c r="DI116" s="51">
        <f t="shared" ref="DI116:DI127" si="1308">+DH116*3.3058</f>
        <v>0</v>
      </c>
      <c r="DJ116" s="48">
        <f t="shared" ref="DJ116:DJ127" si="1309">+BZ116*EL116</f>
        <v>0</v>
      </c>
      <c r="DK116" s="51">
        <f t="shared" ref="DK116:DK127" si="1310">+DJ116*3.3058</f>
        <v>0</v>
      </c>
      <c r="DL116" s="53">
        <f t="shared" ref="DL116:DL127" si="1311">+BZ116*EM116</f>
        <v>0</v>
      </c>
      <c r="DM116" s="51">
        <f t="shared" ref="DM116:DM127" si="1312">+DL116*3.3058</f>
        <v>0</v>
      </c>
      <c r="DN116" s="53">
        <f t="shared" ref="DN116:DN127" si="1313">+BZ116*EN116</f>
        <v>0</v>
      </c>
      <c r="DO116" s="51">
        <f t="shared" ref="DO116:DO127" si="1314">+DN116*3.3058</f>
        <v>0</v>
      </c>
      <c r="DP116" s="48">
        <f t="shared" ref="DP116:DP127" si="1315">+BZ116*EO116</f>
        <v>0</v>
      </c>
      <c r="DQ116" s="51">
        <f t="shared" ref="DQ116:DQ127" si="1316">+DP116*3.3058</f>
        <v>0</v>
      </c>
      <c r="DT116" s="48">
        <v>1</v>
      </c>
      <c r="DU116" s="48">
        <v>0.97</v>
      </c>
      <c r="DV116" s="48">
        <v>0.95</v>
      </c>
      <c r="DW116" s="48">
        <v>0.93</v>
      </c>
      <c r="DX116" s="48">
        <f t="shared" ref="DX116:EO116" si="1317">+DW116-0.02</f>
        <v>0.91</v>
      </c>
      <c r="DY116" s="48">
        <f t="shared" si="1317"/>
        <v>0.89</v>
      </c>
      <c r="DZ116" s="48">
        <f t="shared" si="1317"/>
        <v>0.87</v>
      </c>
      <c r="EA116" s="48">
        <f t="shared" si="1317"/>
        <v>0.85</v>
      </c>
      <c r="EB116" s="48">
        <f t="shared" si="1317"/>
        <v>0.83</v>
      </c>
      <c r="EC116" s="48">
        <f t="shared" si="1317"/>
        <v>0.80999999999999994</v>
      </c>
      <c r="ED116" s="48">
        <f t="shared" si="1317"/>
        <v>0.78999999999999992</v>
      </c>
      <c r="EE116" s="48">
        <f t="shared" si="1317"/>
        <v>0.76999999999999991</v>
      </c>
      <c r="EF116" s="48">
        <f t="shared" si="1317"/>
        <v>0.74999999999999989</v>
      </c>
      <c r="EG116" s="48">
        <f t="shared" si="1317"/>
        <v>0.72999999999999987</v>
      </c>
      <c r="EH116" s="48">
        <f t="shared" si="1317"/>
        <v>0.70999999999999985</v>
      </c>
      <c r="EI116" s="48">
        <f t="shared" si="1317"/>
        <v>0.68999999999999984</v>
      </c>
      <c r="EJ116" s="48">
        <f t="shared" si="1317"/>
        <v>0.66999999999999982</v>
      </c>
      <c r="EK116" s="48">
        <f t="shared" si="1317"/>
        <v>0.6499999999999998</v>
      </c>
      <c r="EL116" s="48">
        <f t="shared" si="1317"/>
        <v>0.62999999999999978</v>
      </c>
      <c r="EM116" s="48">
        <f t="shared" si="1317"/>
        <v>0.60999999999999976</v>
      </c>
      <c r="EN116" s="48">
        <f t="shared" si="1317"/>
        <v>0.58999999999999975</v>
      </c>
      <c r="EO116" s="48">
        <f t="shared" si="1317"/>
        <v>0.56999999999999973</v>
      </c>
      <c r="EQ116" s="48">
        <f t="shared" si="1128"/>
        <v>0</v>
      </c>
      <c r="ER116" s="48">
        <f t="shared" si="956"/>
        <v>0</v>
      </c>
      <c r="ES116" s="51">
        <f t="shared" ref="ES116" si="1318">+ER116*3.3058</f>
        <v>0</v>
      </c>
      <c r="ET116" s="48">
        <f t="shared" ref="ET116:ET127" si="1319">+ER116*GM116</f>
        <v>0</v>
      </c>
      <c r="EU116" s="51">
        <f t="shared" ref="EU116:EU127" si="1320">+ET116*3.3058</f>
        <v>0</v>
      </c>
      <c r="EV116" s="48">
        <f t="shared" ref="EV116:EV127" si="1321">+ER116*GN116</f>
        <v>0</v>
      </c>
      <c r="EW116" s="51">
        <f t="shared" ref="EW116:EW127" si="1322">+EV116*3.3058</f>
        <v>0</v>
      </c>
      <c r="EX116" s="48">
        <f t="shared" ref="EX116:EX127" si="1323">+ER116*GO116</f>
        <v>0</v>
      </c>
      <c r="EY116" s="51">
        <f t="shared" ref="EY116:EY127" si="1324">+EX116*3.3058</f>
        <v>0</v>
      </c>
      <c r="EZ116" s="52">
        <f t="shared" ref="EZ116:EZ127" si="1325">+ER116*GP116</f>
        <v>0</v>
      </c>
      <c r="FA116" s="51">
        <f t="shared" ref="FA116:FA127" si="1326">+EZ116*3.3058</f>
        <v>0</v>
      </c>
      <c r="FB116" s="48">
        <f t="shared" ref="FB116:FB127" si="1327">+ER116*GQ116</f>
        <v>0</v>
      </c>
      <c r="FC116" s="51">
        <f t="shared" ref="FC116:FC127" si="1328">+FB116*3.3058</f>
        <v>0</v>
      </c>
      <c r="FD116" s="52">
        <f t="shared" ref="FD116:FD127" si="1329">+ER116*GR116</f>
        <v>0</v>
      </c>
      <c r="FE116" s="51">
        <f t="shared" ref="FE116:FE127" si="1330">+FD116*3.3058</f>
        <v>0</v>
      </c>
      <c r="FF116" s="53">
        <f t="shared" ref="FF116:FF127" si="1331">+ER116*GS116</f>
        <v>0</v>
      </c>
      <c r="FG116" s="51">
        <f t="shared" ref="FG116:FG127" si="1332">+FF116*3.3058</f>
        <v>0</v>
      </c>
      <c r="FH116" s="52">
        <f t="shared" ref="FH116:FH127" si="1333">+ER116*GT116</f>
        <v>0</v>
      </c>
      <c r="FI116" s="51">
        <f t="shared" ref="FI116:FI127" si="1334">+FH116*3.3058</f>
        <v>0</v>
      </c>
      <c r="FJ116" s="48">
        <f t="shared" ref="FJ116:FJ127" si="1335">+ER116*GU116</f>
        <v>0</v>
      </c>
      <c r="FK116" s="51">
        <f t="shared" ref="FK116:FK127" si="1336">+FJ116*3.3058</f>
        <v>0</v>
      </c>
      <c r="FL116" s="53">
        <f t="shared" ref="FL116:FL127" si="1337">+ER116*GV116</f>
        <v>0</v>
      </c>
      <c r="FM116" s="51">
        <f t="shared" ref="FM116:FM127" si="1338">+FL116*3.3058</f>
        <v>0</v>
      </c>
      <c r="FN116" s="53">
        <f t="shared" ref="FN116:FN127" si="1339">+ER116*GW116</f>
        <v>0</v>
      </c>
      <c r="FO116" s="51">
        <f t="shared" ref="FO116:FO127" si="1340">+FN116*3.3058</f>
        <v>0</v>
      </c>
      <c r="FP116" s="53">
        <f t="shared" ref="FP116:FP127" si="1341">+ER116*GX116</f>
        <v>0</v>
      </c>
      <c r="FQ116" s="51">
        <f t="shared" ref="FQ116:FQ127" si="1342">+FP116*3.3058</f>
        <v>0</v>
      </c>
      <c r="FR116" s="48">
        <f t="shared" ref="FR116:FR127" si="1343">+ER116*GY116</f>
        <v>0</v>
      </c>
      <c r="FS116" s="51">
        <f t="shared" ref="FS116:FS127" si="1344">+FR116*3.3058</f>
        <v>0</v>
      </c>
      <c r="FT116" s="53">
        <f t="shared" ref="FT116:FT127" si="1345">+ER116*GZ116</f>
        <v>0</v>
      </c>
      <c r="FU116" s="51">
        <f t="shared" ref="FU116:FU127" si="1346">+FT116*3.3058</f>
        <v>0</v>
      </c>
      <c r="FV116" s="53">
        <f t="shared" ref="FV116:FV127" si="1347">+ER116*HA116</f>
        <v>0</v>
      </c>
      <c r="FW116" s="51">
        <f t="shared" ref="FW116:FW127" si="1348">+FV116*3.3058</f>
        <v>0</v>
      </c>
      <c r="FX116" s="53">
        <f t="shared" ref="FX116:FX127" si="1349">+ER116*HB116</f>
        <v>0</v>
      </c>
      <c r="FY116" s="51">
        <f t="shared" ref="FY116:FY127" si="1350">+FX116*3.3058</f>
        <v>0</v>
      </c>
      <c r="FZ116" s="53">
        <f t="shared" ref="FZ116:FZ127" si="1351">+ER116*HC116</f>
        <v>0</v>
      </c>
      <c r="GA116" s="51">
        <f t="shared" ref="GA116:GA127" si="1352">+FZ116*3.3058</f>
        <v>0</v>
      </c>
      <c r="GB116" s="48">
        <f t="shared" ref="GB116:GB127" si="1353">+ER116*HD116</f>
        <v>0</v>
      </c>
      <c r="GC116" s="51">
        <f t="shared" ref="GC116:GC127" si="1354">+GB116*3.3058</f>
        <v>0</v>
      </c>
      <c r="GD116" s="53">
        <f t="shared" ref="GD116:GD127" si="1355">+ER116*HE116</f>
        <v>0</v>
      </c>
      <c r="GE116" s="51">
        <f t="shared" ref="GE116:GE127" si="1356">+GD116*3.3058</f>
        <v>0</v>
      </c>
      <c r="GF116" s="53">
        <f t="shared" ref="GF116:GF127" si="1357">+ER116*HF116</f>
        <v>0</v>
      </c>
      <c r="GG116" s="51">
        <f t="shared" ref="GG116:GG127" si="1358">+GF116*3.3058</f>
        <v>0</v>
      </c>
      <c r="GH116" s="48">
        <f t="shared" ref="GH116:GH127" si="1359">+ER116*HG116</f>
        <v>0</v>
      </c>
      <c r="GI116" s="51">
        <f t="shared" ref="GI116:GI127" si="1360">+GH116*3.3058</f>
        <v>0</v>
      </c>
      <c r="GJ116" s="48"/>
      <c r="GK116" s="48"/>
      <c r="GL116" s="48">
        <v>1</v>
      </c>
      <c r="GM116" s="48">
        <v>0.97</v>
      </c>
      <c r="GN116" s="48">
        <v>0.95</v>
      </c>
      <c r="GO116" s="48">
        <v>0.93</v>
      </c>
      <c r="GP116" s="48">
        <f t="shared" ref="GP116:HG116" si="1361">+GO116-0.02</f>
        <v>0.91</v>
      </c>
      <c r="GQ116" s="48">
        <f t="shared" si="1361"/>
        <v>0.89</v>
      </c>
      <c r="GR116" s="48">
        <f t="shared" si="1361"/>
        <v>0.87</v>
      </c>
      <c r="GS116" s="48">
        <f t="shared" si="1361"/>
        <v>0.85</v>
      </c>
      <c r="GT116" s="48">
        <f t="shared" si="1361"/>
        <v>0.83</v>
      </c>
      <c r="GU116" s="48">
        <f t="shared" si="1361"/>
        <v>0.80999999999999994</v>
      </c>
      <c r="GV116" s="48">
        <f t="shared" si="1361"/>
        <v>0.78999999999999992</v>
      </c>
      <c r="GW116" s="48">
        <f t="shared" si="1361"/>
        <v>0.76999999999999991</v>
      </c>
      <c r="GX116" s="48">
        <f t="shared" si="1361"/>
        <v>0.74999999999999989</v>
      </c>
      <c r="GY116" s="48">
        <f t="shared" si="1361"/>
        <v>0.72999999999999987</v>
      </c>
      <c r="GZ116" s="48">
        <f t="shared" si="1361"/>
        <v>0.70999999999999985</v>
      </c>
      <c r="HA116" s="48">
        <f t="shared" si="1361"/>
        <v>0.68999999999999984</v>
      </c>
      <c r="HB116" s="48">
        <f t="shared" si="1361"/>
        <v>0.66999999999999982</v>
      </c>
      <c r="HC116" s="48">
        <f t="shared" si="1361"/>
        <v>0.6499999999999998</v>
      </c>
      <c r="HD116" s="48">
        <f t="shared" si="1361"/>
        <v>0.62999999999999978</v>
      </c>
      <c r="HE116" s="48">
        <f t="shared" si="1361"/>
        <v>0.60999999999999976</v>
      </c>
      <c r="HF116" s="48">
        <f t="shared" si="1361"/>
        <v>0.58999999999999975</v>
      </c>
      <c r="HG116" s="48">
        <f t="shared" si="1361"/>
        <v>0.56999999999999973</v>
      </c>
    </row>
    <row r="117" spans="1:215" x14ac:dyDescent="0.3">
      <c r="A117" s="2">
        <v>2</v>
      </c>
      <c r="C117" s="29" t="s">
        <v>181</v>
      </c>
      <c r="D117" s="44">
        <f>TRUNC(18710.6815541031,-1)</f>
        <v>18710</v>
      </c>
      <c r="E117" s="73">
        <f t="shared" si="1230"/>
        <v>61850</v>
      </c>
      <c r="G117" s="48">
        <f t="shared" si="948"/>
        <v>20581</v>
      </c>
      <c r="H117" s="48">
        <f t="shared" si="949"/>
        <v>20581</v>
      </c>
      <c r="I117" s="51">
        <f t="shared" si="950"/>
        <v>68036.669800000003</v>
      </c>
      <c r="J117" s="48">
        <f t="shared" si="1231"/>
        <v>19963.57</v>
      </c>
      <c r="K117" s="51">
        <f t="shared" si="1232"/>
        <v>65995.569705999995</v>
      </c>
      <c r="L117" s="48">
        <f t="shared" si="1233"/>
        <v>19551.95</v>
      </c>
      <c r="M117" s="51">
        <f t="shared" si="1234"/>
        <v>64634.836310000006</v>
      </c>
      <c r="N117" s="48">
        <f t="shared" si="1235"/>
        <v>19140.330000000002</v>
      </c>
      <c r="O117" s="51">
        <f t="shared" si="1236"/>
        <v>63274.10291400001</v>
      </c>
      <c r="P117" s="52">
        <f t="shared" si="1237"/>
        <v>18728.71</v>
      </c>
      <c r="Q117" s="51">
        <f t="shared" si="1238"/>
        <v>61913.369518</v>
      </c>
      <c r="R117" s="48">
        <f t="shared" si="1239"/>
        <v>18317.09</v>
      </c>
      <c r="S117" s="51">
        <f t="shared" si="1240"/>
        <v>60552.636122000004</v>
      </c>
      <c r="T117" s="52">
        <f t="shared" si="1241"/>
        <v>17905.47</v>
      </c>
      <c r="U117" s="51">
        <f t="shared" si="1242"/>
        <v>59191.902726000008</v>
      </c>
      <c r="V117" s="53">
        <f t="shared" si="1243"/>
        <v>17493.849999999999</v>
      </c>
      <c r="W117" s="51">
        <f t="shared" si="1244"/>
        <v>57831.169329999997</v>
      </c>
      <c r="X117" s="52">
        <f t="shared" si="1245"/>
        <v>17082.23</v>
      </c>
      <c r="Y117" s="51">
        <f t="shared" si="1246"/>
        <v>56470.435934000001</v>
      </c>
      <c r="Z117" s="48">
        <f t="shared" si="1247"/>
        <v>16670.61</v>
      </c>
      <c r="AA117" s="51">
        <f t="shared" si="1248"/>
        <v>55109.702538000005</v>
      </c>
      <c r="AB117" s="53">
        <f t="shared" si="1249"/>
        <v>16258.989999999998</v>
      </c>
      <c r="AC117" s="51">
        <f t="shared" si="1250"/>
        <v>53748.969141999994</v>
      </c>
      <c r="AD117" s="53">
        <f t="shared" si="1251"/>
        <v>15847.369999999999</v>
      </c>
      <c r="AE117" s="51">
        <f t="shared" si="1252"/>
        <v>52388.235745999998</v>
      </c>
      <c r="AF117" s="53">
        <f t="shared" si="1253"/>
        <v>15435.749999999998</v>
      </c>
      <c r="AG117" s="51">
        <f t="shared" si="1254"/>
        <v>51027.502349999995</v>
      </c>
      <c r="AH117" s="48">
        <f t="shared" si="1255"/>
        <v>15024.129999999997</v>
      </c>
      <c r="AI117" s="51">
        <f t="shared" si="1256"/>
        <v>49666.768953999992</v>
      </c>
      <c r="AJ117" s="53">
        <f t="shared" si="1257"/>
        <v>14612.509999999997</v>
      </c>
      <c r="AK117" s="51">
        <f t="shared" si="1258"/>
        <v>48306.035557999989</v>
      </c>
      <c r="AL117" s="53">
        <f t="shared" si="1259"/>
        <v>14200.889999999996</v>
      </c>
      <c r="AM117" s="51">
        <f t="shared" si="1260"/>
        <v>46945.302161999985</v>
      </c>
      <c r="AN117" s="53">
        <f t="shared" si="1261"/>
        <v>13789.269999999997</v>
      </c>
      <c r="AO117" s="51">
        <f t="shared" si="1262"/>
        <v>45584.568765999989</v>
      </c>
      <c r="AP117" s="53">
        <f t="shared" si="1263"/>
        <v>13377.649999999996</v>
      </c>
      <c r="AQ117" s="51">
        <f t="shared" si="1264"/>
        <v>44223.835369999986</v>
      </c>
      <c r="AR117" s="48">
        <f t="shared" si="1265"/>
        <v>12966.029999999995</v>
      </c>
      <c r="AS117" s="51">
        <f t="shared" si="1266"/>
        <v>42863.101973999983</v>
      </c>
      <c r="AT117" s="53">
        <f t="shared" si="1267"/>
        <v>12554.409999999994</v>
      </c>
      <c r="AU117" s="51">
        <f t="shared" si="1268"/>
        <v>41502.36857799998</v>
      </c>
      <c r="AV117" s="53">
        <f t="shared" si="1269"/>
        <v>12142.789999999995</v>
      </c>
      <c r="AW117" s="51">
        <f t="shared" si="1270"/>
        <v>40141.635181999984</v>
      </c>
      <c r="AX117" s="48">
        <f t="shared" si="1271"/>
        <v>11731.169999999995</v>
      </c>
      <c r="AY117" s="51">
        <f t="shared" si="1272"/>
        <v>38780.90178599998</v>
      </c>
      <c r="BB117" s="48">
        <v>1</v>
      </c>
      <c r="BC117" s="48">
        <v>0.97</v>
      </c>
      <c r="BD117" s="48">
        <v>0.95</v>
      </c>
      <c r="BE117" s="48">
        <v>0.93</v>
      </c>
      <c r="BF117" s="48">
        <f t="shared" ref="BF117:BW117" si="1362">+BE117-0.02</f>
        <v>0.91</v>
      </c>
      <c r="BG117" s="48">
        <f t="shared" si="1362"/>
        <v>0.89</v>
      </c>
      <c r="BH117" s="48">
        <f t="shared" si="1362"/>
        <v>0.87</v>
      </c>
      <c r="BI117" s="48">
        <f t="shared" si="1362"/>
        <v>0.85</v>
      </c>
      <c r="BJ117" s="48">
        <f t="shared" si="1362"/>
        <v>0.83</v>
      </c>
      <c r="BK117" s="48">
        <f t="shared" si="1362"/>
        <v>0.80999999999999994</v>
      </c>
      <c r="BL117" s="48">
        <f t="shared" si="1362"/>
        <v>0.78999999999999992</v>
      </c>
      <c r="BM117" s="48">
        <f t="shared" si="1362"/>
        <v>0.76999999999999991</v>
      </c>
      <c r="BN117" s="48">
        <f t="shared" si="1362"/>
        <v>0.74999999999999989</v>
      </c>
      <c r="BO117" s="48">
        <f t="shared" si="1362"/>
        <v>0.72999999999999987</v>
      </c>
      <c r="BP117" s="48">
        <f t="shared" si="1362"/>
        <v>0.70999999999999985</v>
      </c>
      <c r="BQ117" s="48">
        <f t="shared" si="1362"/>
        <v>0.68999999999999984</v>
      </c>
      <c r="BR117" s="48">
        <f t="shared" si="1362"/>
        <v>0.66999999999999982</v>
      </c>
      <c r="BS117" s="48">
        <f t="shared" si="1362"/>
        <v>0.6499999999999998</v>
      </c>
      <c r="BT117" s="48">
        <f t="shared" si="1362"/>
        <v>0.62999999999999978</v>
      </c>
      <c r="BU117" s="48">
        <f t="shared" si="1362"/>
        <v>0.60999999999999976</v>
      </c>
      <c r="BV117" s="48">
        <f t="shared" si="1362"/>
        <v>0.58999999999999975</v>
      </c>
      <c r="BW117" s="48">
        <f t="shared" si="1362"/>
        <v>0.56999999999999973</v>
      </c>
      <c r="BY117" s="48">
        <f t="shared" si="952"/>
        <v>18728.71</v>
      </c>
      <c r="BZ117" s="48">
        <f t="shared" si="953"/>
        <v>18728.71</v>
      </c>
      <c r="CA117" s="51">
        <f t="shared" ref="CA117" si="1363">+BZ117*3.3058</f>
        <v>61913.369518</v>
      </c>
      <c r="CB117" s="48">
        <f t="shared" si="1275"/>
        <v>18166.848699999999</v>
      </c>
      <c r="CC117" s="51">
        <f t="shared" si="1276"/>
        <v>60055.968432459995</v>
      </c>
      <c r="CD117" s="48">
        <f t="shared" si="1277"/>
        <v>17792.2745</v>
      </c>
      <c r="CE117" s="51">
        <f t="shared" si="1278"/>
        <v>58817.701042100001</v>
      </c>
      <c r="CF117" s="48">
        <f t="shared" si="1279"/>
        <v>17417.7003</v>
      </c>
      <c r="CG117" s="51">
        <f t="shared" si="1280"/>
        <v>57579.433651740001</v>
      </c>
      <c r="CH117" s="52">
        <f t="shared" si="1281"/>
        <v>17043.126100000001</v>
      </c>
      <c r="CI117" s="51">
        <f t="shared" si="1282"/>
        <v>56341.166261380007</v>
      </c>
      <c r="CJ117" s="48">
        <f t="shared" si="1283"/>
        <v>16668.551899999999</v>
      </c>
      <c r="CK117" s="51">
        <f t="shared" si="1284"/>
        <v>55102.898871019999</v>
      </c>
      <c r="CL117" s="52">
        <f t="shared" si="1285"/>
        <v>16293.977699999999</v>
      </c>
      <c r="CM117" s="51">
        <f t="shared" si="1286"/>
        <v>53864.631480659998</v>
      </c>
      <c r="CN117" s="53">
        <f t="shared" si="1287"/>
        <v>15919.403499999999</v>
      </c>
      <c r="CO117" s="51">
        <f t="shared" si="1288"/>
        <v>52626.364090299998</v>
      </c>
      <c r="CP117" s="52">
        <f t="shared" si="1289"/>
        <v>15544.829299999999</v>
      </c>
      <c r="CQ117" s="51">
        <f t="shared" si="1290"/>
        <v>51388.096699939997</v>
      </c>
      <c r="CR117" s="48">
        <f t="shared" si="1291"/>
        <v>15170.255099999998</v>
      </c>
      <c r="CS117" s="51">
        <f t="shared" si="1292"/>
        <v>50149.829309579996</v>
      </c>
      <c r="CT117" s="53">
        <f t="shared" si="1293"/>
        <v>14795.680899999998</v>
      </c>
      <c r="CU117" s="51">
        <f t="shared" si="1294"/>
        <v>48911.561919219996</v>
      </c>
      <c r="CV117" s="53">
        <f t="shared" si="1295"/>
        <v>14421.106699999998</v>
      </c>
      <c r="CW117" s="51">
        <f t="shared" si="1296"/>
        <v>47673.294528859995</v>
      </c>
      <c r="CX117" s="53">
        <f t="shared" si="1297"/>
        <v>14046.532499999998</v>
      </c>
      <c r="CY117" s="51">
        <f t="shared" si="1298"/>
        <v>46435.027138499994</v>
      </c>
      <c r="CZ117" s="48">
        <f t="shared" si="1299"/>
        <v>13671.958299999997</v>
      </c>
      <c r="DA117" s="51">
        <f t="shared" si="1300"/>
        <v>45196.759748139986</v>
      </c>
      <c r="DB117" s="53">
        <f t="shared" si="1301"/>
        <v>13297.384099999997</v>
      </c>
      <c r="DC117" s="51">
        <f t="shared" si="1302"/>
        <v>43958.492357779993</v>
      </c>
      <c r="DD117" s="53">
        <f t="shared" si="1303"/>
        <v>12922.809899999997</v>
      </c>
      <c r="DE117" s="51">
        <f t="shared" si="1304"/>
        <v>42720.224967419992</v>
      </c>
      <c r="DF117" s="53">
        <f t="shared" si="1305"/>
        <v>12548.235699999996</v>
      </c>
      <c r="DG117" s="51">
        <f t="shared" si="1306"/>
        <v>41481.957577059984</v>
      </c>
      <c r="DH117" s="53">
        <f t="shared" si="1307"/>
        <v>12173.661499999997</v>
      </c>
      <c r="DI117" s="51">
        <f t="shared" si="1308"/>
        <v>40243.690186699991</v>
      </c>
      <c r="DJ117" s="48">
        <f t="shared" si="1309"/>
        <v>11799.087299999996</v>
      </c>
      <c r="DK117" s="51">
        <f t="shared" si="1310"/>
        <v>39005.42279633999</v>
      </c>
      <c r="DL117" s="53">
        <f t="shared" si="1311"/>
        <v>11424.513099999995</v>
      </c>
      <c r="DM117" s="51">
        <f t="shared" si="1312"/>
        <v>37767.155405979982</v>
      </c>
      <c r="DN117" s="53">
        <f t="shared" si="1313"/>
        <v>11049.938899999996</v>
      </c>
      <c r="DO117" s="51">
        <f t="shared" si="1314"/>
        <v>36528.888015619988</v>
      </c>
      <c r="DP117" s="48">
        <f t="shared" si="1315"/>
        <v>10675.364699999995</v>
      </c>
      <c r="DQ117" s="51">
        <f t="shared" si="1316"/>
        <v>35290.62062525998</v>
      </c>
      <c r="DT117" s="48">
        <v>1</v>
      </c>
      <c r="DU117" s="48">
        <v>0.97</v>
      </c>
      <c r="DV117" s="48">
        <v>0.95</v>
      </c>
      <c r="DW117" s="48">
        <v>0.93</v>
      </c>
      <c r="DX117" s="48">
        <f t="shared" ref="DX117:EO117" si="1364">+DW117-0.02</f>
        <v>0.91</v>
      </c>
      <c r="DY117" s="48">
        <f t="shared" si="1364"/>
        <v>0.89</v>
      </c>
      <c r="DZ117" s="48">
        <f t="shared" si="1364"/>
        <v>0.87</v>
      </c>
      <c r="EA117" s="48">
        <f t="shared" si="1364"/>
        <v>0.85</v>
      </c>
      <c r="EB117" s="48">
        <f t="shared" si="1364"/>
        <v>0.83</v>
      </c>
      <c r="EC117" s="48">
        <f t="shared" si="1364"/>
        <v>0.80999999999999994</v>
      </c>
      <c r="ED117" s="48">
        <f t="shared" si="1364"/>
        <v>0.78999999999999992</v>
      </c>
      <c r="EE117" s="48">
        <f t="shared" si="1364"/>
        <v>0.76999999999999991</v>
      </c>
      <c r="EF117" s="48">
        <f t="shared" si="1364"/>
        <v>0.74999999999999989</v>
      </c>
      <c r="EG117" s="48">
        <f t="shared" si="1364"/>
        <v>0.72999999999999987</v>
      </c>
      <c r="EH117" s="48">
        <f t="shared" si="1364"/>
        <v>0.70999999999999985</v>
      </c>
      <c r="EI117" s="48">
        <f t="shared" si="1364"/>
        <v>0.68999999999999984</v>
      </c>
      <c r="EJ117" s="48">
        <f t="shared" si="1364"/>
        <v>0.66999999999999982</v>
      </c>
      <c r="EK117" s="48">
        <f t="shared" si="1364"/>
        <v>0.6499999999999998</v>
      </c>
      <c r="EL117" s="48">
        <f t="shared" si="1364"/>
        <v>0.62999999999999978</v>
      </c>
      <c r="EM117" s="48">
        <f t="shared" si="1364"/>
        <v>0.60999999999999976</v>
      </c>
      <c r="EN117" s="48">
        <f t="shared" si="1364"/>
        <v>0.58999999999999975</v>
      </c>
      <c r="EO117" s="48">
        <f t="shared" si="1364"/>
        <v>0.56999999999999973</v>
      </c>
      <c r="EQ117" s="48">
        <f t="shared" si="1128"/>
        <v>17043.126100000001</v>
      </c>
      <c r="ER117" s="48">
        <f t="shared" si="956"/>
        <v>17043.126100000001</v>
      </c>
      <c r="ES117" s="51">
        <f t="shared" ref="ES117" si="1365">+ER117*3.3058</f>
        <v>56341.166261380007</v>
      </c>
      <c r="ET117" s="48">
        <f t="shared" si="1319"/>
        <v>16531.832317</v>
      </c>
      <c r="EU117" s="51">
        <f t="shared" si="1320"/>
        <v>54650.931273538605</v>
      </c>
      <c r="EV117" s="48">
        <f t="shared" si="1321"/>
        <v>16190.969795000001</v>
      </c>
      <c r="EW117" s="51">
        <f t="shared" si="1322"/>
        <v>53524.107948311001</v>
      </c>
      <c r="EX117" s="48">
        <f t="shared" si="1323"/>
        <v>15850.107273000001</v>
      </c>
      <c r="EY117" s="51">
        <f t="shared" si="1324"/>
        <v>52397.284623083404</v>
      </c>
      <c r="EZ117" s="52">
        <f t="shared" si="1325"/>
        <v>15509.244751000002</v>
      </c>
      <c r="FA117" s="51">
        <f t="shared" si="1326"/>
        <v>51270.461297855807</v>
      </c>
      <c r="FB117" s="48">
        <f t="shared" si="1327"/>
        <v>15168.382229000001</v>
      </c>
      <c r="FC117" s="51">
        <f t="shared" si="1328"/>
        <v>50143.637972628203</v>
      </c>
      <c r="FD117" s="52">
        <f t="shared" si="1329"/>
        <v>14827.519707000001</v>
      </c>
      <c r="FE117" s="51">
        <f t="shared" si="1330"/>
        <v>49016.814647400606</v>
      </c>
      <c r="FF117" s="53">
        <f t="shared" si="1331"/>
        <v>14486.657185</v>
      </c>
      <c r="FG117" s="51">
        <f t="shared" si="1332"/>
        <v>47889.991322173002</v>
      </c>
      <c r="FH117" s="52">
        <f t="shared" si="1333"/>
        <v>14145.794663000001</v>
      </c>
      <c r="FI117" s="51">
        <f t="shared" si="1334"/>
        <v>46763.167996945405</v>
      </c>
      <c r="FJ117" s="48">
        <f t="shared" si="1335"/>
        <v>13804.932140999999</v>
      </c>
      <c r="FK117" s="51">
        <f t="shared" si="1336"/>
        <v>45636.344671717801</v>
      </c>
      <c r="FL117" s="53">
        <f t="shared" si="1337"/>
        <v>13464.069619</v>
      </c>
      <c r="FM117" s="51">
        <f t="shared" si="1338"/>
        <v>44509.521346490197</v>
      </c>
      <c r="FN117" s="53">
        <f t="shared" si="1339"/>
        <v>13123.207096999999</v>
      </c>
      <c r="FO117" s="51">
        <f t="shared" si="1340"/>
        <v>43382.698021262593</v>
      </c>
      <c r="FP117" s="53">
        <f t="shared" si="1341"/>
        <v>12782.344574999999</v>
      </c>
      <c r="FQ117" s="51">
        <f t="shared" si="1342"/>
        <v>42255.874696034996</v>
      </c>
      <c r="FR117" s="48">
        <f t="shared" si="1343"/>
        <v>12441.482052999998</v>
      </c>
      <c r="FS117" s="51">
        <f t="shared" si="1344"/>
        <v>41129.051370807392</v>
      </c>
      <c r="FT117" s="53">
        <f t="shared" si="1345"/>
        <v>12100.619530999998</v>
      </c>
      <c r="FU117" s="51">
        <f t="shared" si="1346"/>
        <v>40002.228045579795</v>
      </c>
      <c r="FV117" s="53">
        <f t="shared" si="1347"/>
        <v>11759.757008999999</v>
      </c>
      <c r="FW117" s="51">
        <f t="shared" si="1348"/>
        <v>38875.404720352199</v>
      </c>
      <c r="FX117" s="53">
        <f t="shared" si="1349"/>
        <v>11418.894486999998</v>
      </c>
      <c r="FY117" s="51">
        <f t="shared" si="1350"/>
        <v>37748.581395124595</v>
      </c>
      <c r="FZ117" s="53">
        <f t="shared" si="1351"/>
        <v>11078.031964999998</v>
      </c>
      <c r="GA117" s="51">
        <f t="shared" si="1352"/>
        <v>36621.758069896998</v>
      </c>
      <c r="GB117" s="48">
        <f t="shared" si="1353"/>
        <v>10737.169442999997</v>
      </c>
      <c r="GC117" s="51">
        <f t="shared" si="1354"/>
        <v>35494.934744669394</v>
      </c>
      <c r="GD117" s="53">
        <f t="shared" si="1355"/>
        <v>10396.306920999998</v>
      </c>
      <c r="GE117" s="51">
        <f t="shared" si="1356"/>
        <v>34368.11141944179</v>
      </c>
      <c r="GF117" s="53">
        <f t="shared" si="1357"/>
        <v>10055.444398999996</v>
      </c>
      <c r="GG117" s="51">
        <f t="shared" si="1358"/>
        <v>33241.288094214186</v>
      </c>
      <c r="GH117" s="48">
        <f t="shared" si="1359"/>
        <v>9714.5818769999969</v>
      </c>
      <c r="GI117" s="51">
        <f t="shared" si="1360"/>
        <v>32114.464768986589</v>
      </c>
      <c r="GJ117" s="48"/>
      <c r="GK117" s="48"/>
      <c r="GL117" s="48">
        <v>1</v>
      </c>
      <c r="GM117" s="48">
        <v>0.97</v>
      </c>
      <c r="GN117" s="48">
        <v>0.95</v>
      </c>
      <c r="GO117" s="48">
        <v>0.93</v>
      </c>
      <c r="GP117" s="48">
        <f t="shared" ref="GP117:HG117" si="1366">+GO117-0.02</f>
        <v>0.91</v>
      </c>
      <c r="GQ117" s="48">
        <f t="shared" si="1366"/>
        <v>0.89</v>
      </c>
      <c r="GR117" s="48">
        <f t="shared" si="1366"/>
        <v>0.87</v>
      </c>
      <c r="GS117" s="48">
        <f t="shared" si="1366"/>
        <v>0.85</v>
      </c>
      <c r="GT117" s="48">
        <f t="shared" si="1366"/>
        <v>0.83</v>
      </c>
      <c r="GU117" s="48">
        <f t="shared" si="1366"/>
        <v>0.80999999999999994</v>
      </c>
      <c r="GV117" s="48">
        <f t="shared" si="1366"/>
        <v>0.78999999999999992</v>
      </c>
      <c r="GW117" s="48">
        <f t="shared" si="1366"/>
        <v>0.76999999999999991</v>
      </c>
      <c r="GX117" s="48">
        <f t="shared" si="1366"/>
        <v>0.74999999999999989</v>
      </c>
      <c r="GY117" s="48">
        <f t="shared" si="1366"/>
        <v>0.72999999999999987</v>
      </c>
      <c r="GZ117" s="48">
        <f t="shared" si="1366"/>
        <v>0.70999999999999985</v>
      </c>
      <c r="HA117" s="48">
        <f t="shared" si="1366"/>
        <v>0.68999999999999984</v>
      </c>
      <c r="HB117" s="48">
        <f t="shared" si="1366"/>
        <v>0.66999999999999982</v>
      </c>
      <c r="HC117" s="48">
        <f t="shared" si="1366"/>
        <v>0.6499999999999998</v>
      </c>
      <c r="HD117" s="48">
        <f t="shared" si="1366"/>
        <v>0.62999999999999978</v>
      </c>
      <c r="HE117" s="48">
        <f t="shared" si="1366"/>
        <v>0.60999999999999976</v>
      </c>
      <c r="HF117" s="48">
        <f t="shared" si="1366"/>
        <v>0.58999999999999975</v>
      </c>
      <c r="HG117" s="48">
        <f t="shared" si="1366"/>
        <v>0.56999999999999973</v>
      </c>
    </row>
    <row r="118" spans="1:215" x14ac:dyDescent="0.3">
      <c r="A118" s="2">
        <v>3</v>
      </c>
      <c r="C118" s="29" t="s">
        <v>182</v>
      </c>
      <c r="D118" s="44">
        <v>0</v>
      </c>
      <c r="E118" s="73">
        <f t="shared" si="1230"/>
        <v>0</v>
      </c>
      <c r="G118" s="48">
        <f t="shared" si="948"/>
        <v>0</v>
      </c>
      <c r="H118" s="48">
        <f t="shared" si="949"/>
        <v>0</v>
      </c>
      <c r="I118" s="51">
        <f t="shared" si="950"/>
        <v>0</v>
      </c>
      <c r="J118" s="48">
        <f t="shared" si="1231"/>
        <v>0</v>
      </c>
      <c r="K118" s="51">
        <f t="shared" si="1232"/>
        <v>0</v>
      </c>
      <c r="L118" s="48">
        <f t="shared" si="1233"/>
        <v>0</v>
      </c>
      <c r="M118" s="51">
        <f t="shared" si="1234"/>
        <v>0</v>
      </c>
      <c r="N118" s="48">
        <f t="shared" si="1235"/>
        <v>0</v>
      </c>
      <c r="O118" s="51">
        <f t="shared" si="1236"/>
        <v>0</v>
      </c>
      <c r="P118" s="52">
        <f t="shared" si="1237"/>
        <v>0</v>
      </c>
      <c r="Q118" s="51">
        <f t="shared" si="1238"/>
        <v>0</v>
      </c>
      <c r="R118" s="48">
        <f t="shared" si="1239"/>
        <v>0</v>
      </c>
      <c r="S118" s="51">
        <f t="shared" si="1240"/>
        <v>0</v>
      </c>
      <c r="T118" s="52">
        <f t="shared" si="1241"/>
        <v>0</v>
      </c>
      <c r="U118" s="51">
        <f t="shared" si="1242"/>
        <v>0</v>
      </c>
      <c r="V118" s="53">
        <f t="shared" si="1243"/>
        <v>0</v>
      </c>
      <c r="W118" s="51">
        <f t="shared" si="1244"/>
        <v>0</v>
      </c>
      <c r="X118" s="52">
        <f t="shared" si="1245"/>
        <v>0</v>
      </c>
      <c r="Y118" s="51">
        <f t="shared" si="1246"/>
        <v>0</v>
      </c>
      <c r="Z118" s="48">
        <f t="shared" si="1247"/>
        <v>0</v>
      </c>
      <c r="AA118" s="51">
        <f t="shared" si="1248"/>
        <v>0</v>
      </c>
      <c r="AB118" s="53">
        <f t="shared" si="1249"/>
        <v>0</v>
      </c>
      <c r="AC118" s="51">
        <f t="shared" si="1250"/>
        <v>0</v>
      </c>
      <c r="AD118" s="53">
        <f t="shared" si="1251"/>
        <v>0</v>
      </c>
      <c r="AE118" s="51">
        <f t="shared" si="1252"/>
        <v>0</v>
      </c>
      <c r="AF118" s="53">
        <f t="shared" si="1253"/>
        <v>0</v>
      </c>
      <c r="AG118" s="51">
        <f t="shared" si="1254"/>
        <v>0</v>
      </c>
      <c r="AH118" s="48">
        <f t="shared" si="1255"/>
        <v>0</v>
      </c>
      <c r="AI118" s="51">
        <f t="shared" si="1256"/>
        <v>0</v>
      </c>
      <c r="AJ118" s="53">
        <f t="shared" si="1257"/>
        <v>0</v>
      </c>
      <c r="AK118" s="51">
        <f t="shared" si="1258"/>
        <v>0</v>
      </c>
      <c r="AL118" s="53">
        <f t="shared" si="1259"/>
        <v>0</v>
      </c>
      <c r="AM118" s="51">
        <f t="shared" si="1260"/>
        <v>0</v>
      </c>
      <c r="AN118" s="53">
        <f t="shared" si="1261"/>
        <v>0</v>
      </c>
      <c r="AO118" s="51">
        <f t="shared" si="1262"/>
        <v>0</v>
      </c>
      <c r="AP118" s="53">
        <f t="shared" si="1263"/>
        <v>0</v>
      </c>
      <c r="AQ118" s="51">
        <f t="shared" si="1264"/>
        <v>0</v>
      </c>
      <c r="AR118" s="48">
        <f t="shared" si="1265"/>
        <v>0</v>
      </c>
      <c r="AS118" s="51">
        <f t="shared" si="1266"/>
        <v>0</v>
      </c>
      <c r="AT118" s="53">
        <f t="shared" si="1267"/>
        <v>0</v>
      </c>
      <c r="AU118" s="51">
        <f t="shared" si="1268"/>
        <v>0</v>
      </c>
      <c r="AV118" s="53">
        <f t="shared" si="1269"/>
        <v>0</v>
      </c>
      <c r="AW118" s="51">
        <f t="shared" si="1270"/>
        <v>0</v>
      </c>
      <c r="AX118" s="48">
        <f t="shared" si="1271"/>
        <v>0</v>
      </c>
      <c r="AY118" s="51">
        <f t="shared" si="1272"/>
        <v>0</v>
      </c>
      <c r="BB118" s="48">
        <v>1</v>
      </c>
      <c r="BC118" s="48">
        <v>0.97</v>
      </c>
      <c r="BD118" s="48">
        <v>0.95</v>
      </c>
      <c r="BE118" s="48">
        <v>0.93</v>
      </c>
      <c r="BF118" s="48">
        <f t="shared" ref="BF118:BW118" si="1367">+BE118-0.02</f>
        <v>0.91</v>
      </c>
      <c r="BG118" s="48">
        <f t="shared" si="1367"/>
        <v>0.89</v>
      </c>
      <c r="BH118" s="48">
        <f t="shared" si="1367"/>
        <v>0.87</v>
      </c>
      <c r="BI118" s="48">
        <f t="shared" si="1367"/>
        <v>0.85</v>
      </c>
      <c r="BJ118" s="48">
        <f t="shared" si="1367"/>
        <v>0.83</v>
      </c>
      <c r="BK118" s="48">
        <f t="shared" si="1367"/>
        <v>0.80999999999999994</v>
      </c>
      <c r="BL118" s="48">
        <f t="shared" si="1367"/>
        <v>0.78999999999999992</v>
      </c>
      <c r="BM118" s="48">
        <f t="shared" si="1367"/>
        <v>0.76999999999999991</v>
      </c>
      <c r="BN118" s="48">
        <f t="shared" si="1367"/>
        <v>0.74999999999999989</v>
      </c>
      <c r="BO118" s="48">
        <f t="shared" si="1367"/>
        <v>0.72999999999999987</v>
      </c>
      <c r="BP118" s="48">
        <f t="shared" si="1367"/>
        <v>0.70999999999999985</v>
      </c>
      <c r="BQ118" s="48">
        <f t="shared" si="1367"/>
        <v>0.68999999999999984</v>
      </c>
      <c r="BR118" s="48">
        <f t="shared" si="1367"/>
        <v>0.66999999999999982</v>
      </c>
      <c r="BS118" s="48">
        <f t="shared" si="1367"/>
        <v>0.6499999999999998</v>
      </c>
      <c r="BT118" s="48">
        <f t="shared" si="1367"/>
        <v>0.62999999999999978</v>
      </c>
      <c r="BU118" s="48">
        <f t="shared" si="1367"/>
        <v>0.60999999999999976</v>
      </c>
      <c r="BV118" s="48">
        <f t="shared" si="1367"/>
        <v>0.58999999999999975</v>
      </c>
      <c r="BW118" s="48">
        <f t="shared" si="1367"/>
        <v>0.56999999999999973</v>
      </c>
      <c r="BY118" s="48">
        <f t="shared" si="952"/>
        <v>0</v>
      </c>
      <c r="BZ118" s="48">
        <f t="shared" si="953"/>
        <v>0</v>
      </c>
      <c r="CA118" s="51">
        <f t="shared" ref="CA118" si="1368">+BZ118*3.3058</f>
        <v>0</v>
      </c>
      <c r="CB118" s="48">
        <f t="shared" si="1275"/>
        <v>0</v>
      </c>
      <c r="CC118" s="51">
        <f t="shared" si="1276"/>
        <v>0</v>
      </c>
      <c r="CD118" s="48">
        <f t="shared" si="1277"/>
        <v>0</v>
      </c>
      <c r="CE118" s="51">
        <f t="shared" si="1278"/>
        <v>0</v>
      </c>
      <c r="CF118" s="48">
        <f t="shared" si="1279"/>
        <v>0</v>
      </c>
      <c r="CG118" s="51">
        <f t="shared" si="1280"/>
        <v>0</v>
      </c>
      <c r="CH118" s="52">
        <f t="shared" si="1281"/>
        <v>0</v>
      </c>
      <c r="CI118" s="51">
        <f t="shared" si="1282"/>
        <v>0</v>
      </c>
      <c r="CJ118" s="48">
        <f t="shared" si="1283"/>
        <v>0</v>
      </c>
      <c r="CK118" s="51">
        <f t="shared" si="1284"/>
        <v>0</v>
      </c>
      <c r="CL118" s="52">
        <f t="shared" si="1285"/>
        <v>0</v>
      </c>
      <c r="CM118" s="51">
        <f t="shared" si="1286"/>
        <v>0</v>
      </c>
      <c r="CN118" s="53">
        <f t="shared" si="1287"/>
        <v>0</v>
      </c>
      <c r="CO118" s="51">
        <f t="shared" si="1288"/>
        <v>0</v>
      </c>
      <c r="CP118" s="52">
        <f t="shared" si="1289"/>
        <v>0</v>
      </c>
      <c r="CQ118" s="51">
        <f t="shared" si="1290"/>
        <v>0</v>
      </c>
      <c r="CR118" s="48">
        <f t="shared" si="1291"/>
        <v>0</v>
      </c>
      <c r="CS118" s="51">
        <f t="shared" si="1292"/>
        <v>0</v>
      </c>
      <c r="CT118" s="53">
        <f t="shared" si="1293"/>
        <v>0</v>
      </c>
      <c r="CU118" s="51">
        <f t="shared" si="1294"/>
        <v>0</v>
      </c>
      <c r="CV118" s="53">
        <f t="shared" si="1295"/>
        <v>0</v>
      </c>
      <c r="CW118" s="51">
        <f t="shared" si="1296"/>
        <v>0</v>
      </c>
      <c r="CX118" s="53">
        <f t="shared" si="1297"/>
        <v>0</v>
      </c>
      <c r="CY118" s="51">
        <f t="shared" si="1298"/>
        <v>0</v>
      </c>
      <c r="CZ118" s="48">
        <f t="shared" si="1299"/>
        <v>0</v>
      </c>
      <c r="DA118" s="51">
        <f t="shared" si="1300"/>
        <v>0</v>
      </c>
      <c r="DB118" s="53">
        <f t="shared" si="1301"/>
        <v>0</v>
      </c>
      <c r="DC118" s="51">
        <f t="shared" si="1302"/>
        <v>0</v>
      </c>
      <c r="DD118" s="53">
        <f t="shared" si="1303"/>
        <v>0</v>
      </c>
      <c r="DE118" s="51">
        <f t="shared" si="1304"/>
        <v>0</v>
      </c>
      <c r="DF118" s="53">
        <f t="shared" si="1305"/>
        <v>0</v>
      </c>
      <c r="DG118" s="51">
        <f t="shared" si="1306"/>
        <v>0</v>
      </c>
      <c r="DH118" s="53">
        <f t="shared" si="1307"/>
        <v>0</v>
      </c>
      <c r="DI118" s="51">
        <f t="shared" si="1308"/>
        <v>0</v>
      </c>
      <c r="DJ118" s="48">
        <f t="shared" si="1309"/>
        <v>0</v>
      </c>
      <c r="DK118" s="51">
        <f t="shared" si="1310"/>
        <v>0</v>
      </c>
      <c r="DL118" s="53">
        <f t="shared" si="1311"/>
        <v>0</v>
      </c>
      <c r="DM118" s="51">
        <f t="shared" si="1312"/>
        <v>0</v>
      </c>
      <c r="DN118" s="53">
        <f t="shared" si="1313"/>
        <v>0</v>
      </c>
      <c r="DO118" s="51">
        <f t="shared" si="1314"/>
        <v>0</v>
      </c>
      <c r="DP118" s="48">
        <f t="shared" si="1315"/>
        <v>0</v>
      </c>
      <c r="DQ118" s="51">
        <f t="shared" si="1316"/>
        <v>0</v>
      </c>
      <c r="DT118" s="48">
        <v>1</v>
      </c>
      <c r="DU118" s="48">
        <v>0.97</v>
      </c>
      <c r="DV118" s="48">
        <v>0.95</v>
      </c>
      <c r="DW118" s="48">
        <v>0.93</v>
      </c>
      <c r="DX118" s="48">
        <f t="shared" ref="DX118:EO118" si="1369">+DW118-0.02</f>
        <v>0.91</v>
      </c>
      <c r="DY118" s="48">
        <f t="shared" si="1369"/>
        <v>0.89</v>
      </c>
      <c r="DZ118" s="48">
        <f t="shared" si="1369"/>
        <v>0.87</v>
      </c>
      <c r="EA118" s="48">
        <f t="shared" si="1369"/>
        <v>0.85</v>
      </c>
      <c r="EB118" s="48">
        <f t="shared" si="1369"/>
        <v>0.83</v>
      </c>
      <c r="EC118" s="48">
        <f t="shared" si="1369"/>
        <v>0.80999999999999994</v>
      </c>
      <c r="ED118" s="48">
        <f t="shared" si="1369"/>
        <v>0.78999999999999992</v>
      </c>
      <c r="EE118" s="48">
        <f t="shared" si="1369"/>
        <v>0.76999999999999991</v>
      </c>
      <c r="EF118" s="48">
        <f t="shared" si="1369"/>
        <v>0.74999999999999989</v>
      </c>
      <c r="EG118" s="48">
        <f t="shared" si="1369"/>
        <v>0.72999999999999987</v>
      </c>
      <c r="EH118" s="48">
        <f t="shared" si="1369"/>
        <v>0.70999999999999985</v>
      </c>
      <c r="EI118" s="48">
        <f t="shared" si="1369"/>
        <v>0.68999999999999984</v>
      </c>
      <c r="EJ118" s="48">
        <f t="shared" si="1369"/>
        <v>0.66999999999999982</v>
      </c>
      <c r="EK118" s="48">
        <f t="shared" si="1369"/>
        <v>0.6499999999999998</v>
      </c>
      <c r="EL118" s="48">
        <f t="shared" si="1369"/>
        <v>0.62999999999999978</v>
      </c>
      <c r="EM118" s="48">
        <f t="shared" si="1369"/>
        <v>0.60999999999999976</v>
      </c>
      <c r="EN118" s="48">
        <f t="shared" si="1369"/>
        <v>0.58999999999999975</v>
      </c>
      <c r="EO118" s="48">
        <f t="shared" si="1369"/>
        <v>0.56999999999999973</v>
      </c>
      <c r="EQ118" s="48">
        <f t="shared" si="1128"/>
        <v>0</v>
      </c>
      <c r="ER118" s="48">
        <f t="shared" si="956"/>
        <v>0</v>
      </c>
      <c r="ES118" s="51">
        <f t="shared" ref="ES118" si="1370">+ER118*3.3058</f>
        <v>0</v>
      </c>
      <c r="ET118" s="48">
        <f t="shared" si="1319"/>
        <v>0</v>
      </c>
      <c r="EU118" s="51">
        <f t="shared" si="1320"/>
        <v>0</v>
      </c>
      <c r="EV118" s="48">
        <f t="shared" si="1321"/>
        <v>0</v>
      </c>
      <c r="EW118" s="51">
        <f t="shared" si="1322"/>
        <v>0</v>
      </c>
      <c r="EX118" s="48">
        <f t="shared" si="1323"/>
        <v>0</v>
      </c>
      <c r="EY118" s="51">
        <f t="shared" si="1324"/>
        <v>0</v>
      </c>
      <c r="EZ118" s="52">
        <f t="shared" si="1325"/>
        <v>0</v>
      </c>
      <c r="FA118" s="51">
        <f t="shared" si="1326"/>
        <v>0</v>
      </c>
      <c r="FB118" s="48">
        <f t="shared" si="1327"/>
        <v>0</v>
      </c>
      <c r="FC118" s="51">
        <f t="shared" si="1328"/>
        <v>0</v>
      </c>
      <c r="FD118" s="52">
        <f t="shared" si="1329"/>
        <v>0</v>
      </c>
      <c r="FE118" s="51">
        <f t="shared" si="1330"/>
        <v>0</v>
      </c>
      <c r="FF118" s="53">
        <f t="shared" si="1331"/>
        <v>0</v>
      </c>
      <c r="FG118" s="51">
        <f t="shared" si="1332"/>
        <v>0</v>
      </c>
      <c r="FH118" s="52">
        <f t="shared" si="1333"/>
        <v>0</v>
      </c>
      <c r="FI118" s="51">
        <f t="shared" si="1334"/>
        <v>0</v>
      </c>
      <c r="FJ118" s="48">
        <f t="shared" si="1335"/>
        <v>0</v>
      </c>
      <c r="FK118" s="51">
        <f t="shared" si="1336"/>
        <v>0</v>
      </c>
      <c r="FL118" s="53">
        <f t="shared" si="1337"/>
        <v>0</v>
      </c>
      <c r="FM118" s="51">
        <f t="shared" si="1338"/>
        <v>0</v>
      </c>
      <c r="FN118" s="53">
        <f t="shared" si="1339"/>
        <v>0</v>
      </c>
      <c r="FO118" s="51">
        <f t="shared" si="1340"/>
        <v>0</v>
      </c>
      <c r="FP118" s="53">
        <f t="shared" si="1341"/>
        <v>0</v>
      </c>
      <c r="FQ118" s="51">
        <f t="shared" si="1342"/>
        <v>0</v>
      </c>
      <c r="FR118" s="48">
        <f t="shared" si="1343"/>
        <v>0</v>
      </c>
      <c r="FS118" s="51">
        <f t="shared" si="1344"/>
        <v>0</v>
      </c>
      <c r="FT118" s="53">
        <f t="shared" si="1345"/>
        <v>0</v>
      </c>
      <c r="FU118" s="51">
        <f t="shared" si="1346"/>
        <v>0</v>
      </c>
      <c r="FV118" s="53">
        <f t="shared" si="1347"/>
        <v>0</v>
      </c>
      <c r="FW118" s="51">
        <f t="shared" si="1348"/>
        <v>0</v>
      </c>
      <c r="FX118" s="53">
        <f t="shared" si="1349"/>
        <v>0</v>
      </c>
      <c r="FY118" s="51">
        <f t="shared" si="1350"/>
        <v>0</v>
      </c>
      <c r="FZ118" s="53">
        <f t="shared" si="1351"/>
        <v>0</v>
      </c>
      <c r="GA118" s="51">
        <f t="shared" si="1352"/>
        <v>0</v>
      </c>
      <c r="GB118" s="48">
        <f t="shared" si="1353"/>
        <v>0</v>
      </c>
      <c r="GC118" s="51">
        <f t="shared" si="1354"/>
        <v>0</v>
      </c>
      <c r="GD118" s="53">
        <f t="shared" si="1355"/>
        <v>0</v>
      </c>
      <c r="GE118" s="51">
        <f t="shared" si="1356"/>
        <v>0</v>
      </c>
      <c r="GF118" s="53">
        <f t="shared" si="1357"/>
        <v>0</v>
      </c>
      <c r="GG118" s="51">
        <f t="shared" si="1358"/>
        <v>0</v>
      </c>
      <c r="GH118" s="48">
        <f t="shared" si="1359"/>
        <v>0</v>
      </c>
      <c r="GI118" s="51">
        <f t="shared" si="1360"/>
        <v>0</v>
      </c>
      <c r="GJ118" s="48"/>
      <c r="GK118" s="48"/>
      <c r="GL118" s="48">
        <v>1</v>
      </c>
      <c r="GM118" s="48">
        <v>0.97</v>
      </c>
      <c r="GN118" s="48">
        <v>0.95</v>
      </c>
      <c r="GO118" s="48">
        <v>0.93</v>
      </c>
      <c r="GP118" s="48">
        <f t="shared" ref="GP118:HG118" si="1371">+GO118-0.02</f>
        <v>0.91</v>
      </c>
      <c r="GQ118" s="48">
        <f t="shared" si="1371"/>
        <v>0.89</v>
      </c>
      <c r="GR118" s="48">
        <f t="shared" si="1371"/>
        <v>0.87</v>
      </c>
      <c r="GS118" s="48">
        <f t="shared" si="1371"/>
        <v>0.85</v>
      </c>
      <c r="GT118" s="48">
        <f t="shared" si="1371"/>
        <v>0.83</v>
      </c>
      <c r="GU118" s="48">
        <f t="shared" si="1371"/>
        <v>0.80999999999999994</v>
      </c>
      <c r="GV118" s="48">
        <f t="shared" si="1371"/>
        <v>0.78999999999999992</v>
      </c>
      <c r="GW118" s="48">
        <f t="shared" si="1371"/>
        <v>0.76999999999999991</v>
      </c>
      <c r="GX118" s="48">
        <f t="shared" si="1371"/>
        <v>0.74999999999999989</v>
      </c>
      <c r="GY118" s="48">
        <f t="shared" si="1371"/>
        <v>0.72999999999999987</v>
      </c>
      <c r="GZ118" s="48">
        <f t="shared" si="1371"/>
        <v>0.70999999999999985</v>
      </c>
      <c r="HA118" s="48">
        <f t="shared" si="1371"/>
        <v>0.68999999999999984</v>
      </c>
      <c r="HB118" s="48">
        <f t="shared" si="1371"/>
        <v>0.66999999999999982</v>
      </c>
      <c r="HC118" s="48">
        <f t="shared" si="1371"/>
        <v>0.6499999999999998</v>
      </c>
      <c r="HD118" s="48">
        <f t="shared" si="1371"/>
        <v>0.62999999999999978</v>
      </c>
      <c r="HE118" s="48">
        <f t="shared" si="1371"/>
        <v>0.60999999999999976</v>
      </c>
      <c r="HF118" s="48">
        <f t="shared" si="1371"/>
        <v>0.58999999999999975</v>
      </c>
      <c r="HG118" s="48">
        <f t="shared" si="1371"/>
        <v>0.56999999999999973</v>
      </c>
    </row>
    <row r="119" spans="1:215" x14ac:dyDescent="0.3">
      <c r="A119" s="2">
        <v>4</v>
      </c>
      <c r="C119" s="29" t="s">
        <v>183</v>
      </c>
      <c r="D119" s="44">
        <f>TRUNC(3861.62381989833,-1)</f>
        <v>3860</v>
      </c>
      <c r="E119" s="73">
        <f t="shared" si="1230"/>
        <v>12760</v>
      </c>
      <c r="G119" s="48">
        <f t="shared" si="948"/>
        <v>4246</v>
      </c>
      <c r="H119" s="48">
        <f t="shared" si="949"/>
        <v>4246</v>
      </c>
      <c r="I119" s="51">
        <f t="shared" si="950"/>
        <v>14036.426800000001</v>
      </c>
      <c r="J119" s="48">
        <f t="shared" si="1231"/>
        <v>4118.62</v>
      </c>
      <c r="K119" s="51">
        <f t="shared" si="1232"/>
        <v>13615.333995999999</v>
      </c>
      <c r="L119" s="48">
        <f t="shared" si="1233"/>
        <v>4033.7</v>
      </c>
      <c r="M119" s="51">
        <f t="shared" si="1234"/>
        <v>13334.605459999999</v>
      </c>
      <c r="N119" s="48">
        <f t="shared" si="1235"/>
        <v>3948.78</v>
      </c>
      <c r="O119" s="51">
        <f t="shared" si="1236"/>
        <v>13053.876924</v>
      </c>
      <c r="P119" s="52">
        <f t="shared" si="1237"/>
        <v>3863.86</v>
      </c>
      <c r="Q119" s="51">
        <f t="shared" si="1238"/>
        <v>12773.148388000001</v>
      </c>
      <c r="R119" s="48">
        <f t="shared" si="1239"/>
        <v>3778.94</v>
      </c>
      <c r="S119" s="51">
        <f t="shared" si="1240"/>
        <v>12492.419852000001</v>
      </c>
      <c r="T119" s="52">
        <f t="shared" si="1241"/>
        <v>3694.02</v>
      </c>
      <c r="U119" s="51">
        <f t="shared" si="1242"/>
        <v>12211.691316</v>
      </c>
      <c r="V119" s="53">
        <f t="shared" si="1243"/>
        <v>3609.1</v>
      </c>
      <c r="W119" s="51">
        <f t="shared" si="1244"/>
        <v>11930.96278</v>
      </c>
      <c r="X119" s="52">
        <f t="shared" si="1245"/>
        <v>3524.18</v>
      </c>
      <c r="Y119" s="51">
        <f t="shared" si="1246"/>
        <v>11650.234243999999</v>
      </c>
      <c r="Z119" s="48">
        <f t="shared" si="1247"/>
        <v>3439.2599999999998</v>
      </c>
      <c r="AA119" s="51">
        <f t="shared" si="1248"/>
        <v>11369.505707999999</v>
      </c>
      <c r="AB119" s="53">
        <f t="shared" si="1249"/>
        <v>3354.3399999999997</v>
      </c>
      <c r="AC119" s="51">
        <f t="shared" si="1250"/>
        <v>11088.777172</v>
      </c>
      <c r="AD119" s="53">
        <f t="shared" si="1251"/>
        <v>3269.4199999999996</v>
      </c>
      <c r="AE119" s="51">
        <f t="shared" si="1252"/>
        <v>10808.048636</v>
      </c>
      <c r="AF119" s="53">
        <f t="shared" si="1253"/>
        <v>3184.4999999999995</v>
      </c>
      <c r="AG119" s="51">
        <f t="shared" si="1254"/>
        <v>10527.320099999999</v>
      </c>
      <c r="AH119" s="48">
        <f t="shared" si="1255"/>
        <v>3099.5799999999995</v>
      </c>
      <c r="AI119" s="51">
        <f t="shared" si="1256"/>
        <v>10246.591563999998</v>
      </c>
      <c r="AJ119" s="53">
        <f t="shared" si="1257"/>
        <v>3014.6599999999994</v>
      </c>
      <c r="AK119" s="51">
        <f t="shared" si="1258"/>
        <v>9965.8630279999979</v>
      </c>
      <c r="AL119" s="53">
        <f t="shared" si="1259"/>
        <v>2929.7399999999993</v>
      </c>
      <c r="AM119" s="51">
        <f t="shared" si="1260"/>
        <v>9685.1344919999974</v>
      </c>
      <c r="AN119" s="53">
        <f t="shared" si="1261"/>
        <v>2844.8199999999993</v>
      </c>
      <c r="AO119" s="51">
        <f t="shared" si="1262"/>
        <v>9404.4059559999969</v>
      </c>
      <c r="AP119" s="53">
        <f t="shared" si="1263"/>
        <v>2759.8999999999992</v>
      </c>
      <c r="AQ119" s="51">
        <f t="shared" si="1264"/>
        <v>9123.6774199999982</v>
      </c>
      <c r="AR119" s="48">
        <f t="shared" si="1265"/>
        <v>2674.9799999999991</v>
      </c>
      <c r="AS119" s="51">
        <f t="shared" si="1266"/>
        <v>8842.9488839999976</v>
      </c>
      <c r="AT119" s="53">
        <f t="shared" si="1267"/>
        <v>2590.059999999999</v>
      </c>
      <c r="AU119" s="51">
        <f t="shared" si="1268"/>
        <v>8562.2203479999971</v>
      </c>
      <c r="AV119" s="53">
        <f t="shared" si="1269"/>
        <v>2505.139999999999</v>
      </c>
      <c r="AW119" s="51">
        <f t="shared" si="1270"/>
        <v>8281.4918119999966</v>
      </c>
      <c r="AX119" s="48">
        <f t="shared" si="1271"/>
        <v>2420.2199999999989</v>
      </c>
      <c r="AY119" s="51">
        <f t="shared" si="1272"/>
        <v>8000.7632759999969</v>
      </c>
      <c r="BB119" s="48">
        <v>1</v>
      </c>
      <c r="BC119" s="48">
        <v>0.97</v>
      </c>
      <c r="BD119" s="48">
        <v>0.95</v>
      </c>
      <c r="BE119" s="48">
        <v>0.93</v>
      </c>
      <c r="BF119" s="48">
        <f t="shared" ref="BF119:BW119" si="1372">+BE119-0.02</f>
        <v>0.91</v>
      </c>
      <c r="BG119" s="48">
        <f t="shared" si="1372"/>
        <v>0.89</v>
      </c>
      <c r="BH119" s="48">
        <f t="shared" si="1372"/>
        <v>0.87</v>
      </c>
      <c r="BI119" s="48">
        <f t="shared" si="1372"/>
        <v>0.85</v>
      </c>
      <c r="BJ119" s="48">
        <f t="shared" si="1372"/>
        <v>0.83</v>
      </c>
      <c r="BK119" s="48">
        <f t="shared" si="1372"/>
        <v>0.80999999999999994</v>
      </c>
      <c r="BL119" s="48">
        <f t="shared" si="1372"/>
        <v>0.78999999999999992</v>
      </c>
      <c r="BM119" s="48">
        <f t="shared" si="1372"/>
        <v>0.76999999999999991</v>
      </c>
      <c r="BN119" s="48">
        <f t="shared" si="1372"/>
        <v>0.74999999999999989</v>
      </c>
      <c r="BO119" s="48">
        <f t="shared" si="1372"/>
        <v>0.72999999999999987</v>
      </c>
      <c r="BP119" s="48">
        <f t="shared" si="1372"/>
        <v>0.70999999999999985</v>
      </c>
      <c r="BQ119" s="48">
        <f t="shared" si="1372"/>
        <v>0.68999999999999984</v>
      </c>
      <c r="BR119" s="48">
        <f t="shared" si="1372"/>
        <v>0.66999999999999982</v>
      </c>
      <c r="BS119" s="48">
        <f t="shared" si="1372"/>
        <v>0.6499999999999998</v>
      </c>
      <c r="BT119" s="48">
        <f t="shared" si="1372"/>
        <v>0.62999999999999978</v>
      </c>
      <c r="BU119" s="48">
        <f t="shared" si="1372"/>
        <v>0.60999999999999976</v>
      </c>
      <c r="BV119" s="48">
        <f t="shared" si="1372"/>
        <v>0.58999999999999975</v>
      </c>
      <c r="BW119" s="48">
        <f t="shared" si="1372"/>
        <v>0.56999999999999973</v>
      </c>
      <c r="BY119" s="48">
        <f t="shared" si="952"/>
        <v>3863.86</v>
      </c>
      <c r="BZ119" s="48">
        <f t="shared" si="953"/>
        <v>3863.86</v>
      </c>
      <c r="CA119" s="51">
        <f t="shared" ref="CA119" si="1373">+BZ119*3.3058</f>
        <v>12773.148388000001</v>
      </c>
      <c r="CB119" s="48">
        <f t="shared" si="1275"/>
        <v>3747.9441999999999</v>
      </c>
      <c r="CC119" s="51">
        <f t="shared" si="1276"/>
        <v>12389.95393636</v>
      </c>
      <c r="CD119" s="48">
        <f t="shared" si="1277"/>
        <v>3670.6669999999999</v>
      </c>
      <c r="CE119" s="51">
        <f t="shared" si="1278"/>
        <v>12134.490968599999</v>
      </c>
      <c r="CF119" s="48">
        <f t="shared" si="1279"/>
        <v>3593.3898000000004</v>
      </c>
      <c r="CG119" s="51">
        <f t="shared" si="1280"/>
        <v>11879.028000840002</v>
      </c>
      <c r="CH119" s="52">
        <f t="shared" si="1281"/>
        <v>3516.1126000000004</v>
      </c>
      <c r="CI119" s="51">
        <f t="shared" si="1282"/>
        <v>11623.565033080002</v>
      </c>
      <c r="CJ119" s="48">
        <f t="shared" si="1283"/>
        <v>3438.8354000000004</v>
      </c>
      <c r="CK119" s="51">
        <f t="shared" si="1284"/>
        <v>11368.102065320001</v>
      </c>
      <c r="CL119" s="52">
        <f t="shared" si="1285"/>
        <v>3361.5581999999999</v>
      </c>
      <c r="CM119" s="51">
        <f t="shared" si="1286"/>
        <v>11112.639097560001</v>
      </c>
      <c r="CN119" s="53">
        <f t="shared" si="1287"/>
        <v>3284.2809999999999</v>
      </c>
      <c r="CO119" s="51">
        <f t="shared" si="1288"/>
        <v>10857.1761298</v>
      </c>
      <c r="CP119" s="52">
        <f t="shared" si="1289"/>
        <v>3207.0038</v>
      </c>
      <c r="CQ119" s="51">
        <f t="shared" si="1290"/>
        <v>10601.71316204</v>
      </c>
      <c r="CR119" s="48">
        <f t="shared" si="1291"/>
        <v>3129.7266</v>
      </c>
      <c r="CS119" s="51">
        <f t="shared" si="1292"/>
        <v>10346.250194280001</v>
      </c>
      <c r="CT119" s="53">
        <f t="shared" si="1293"/>
        <v>3052.4494</v>
      </c>
      <c r="CU119" s="51">
        <f t="shared" si="1294"/>
        <v>10090.78722652</v>
      </c>
      <c r="CV119" s="53">
        <f t="shared" si="1295"/>
        <v>2975.1721999999995</v>
      </c>
      <c r="CW119" s="51">
        <f t="shared" si="1296"/>
        <v>9835.324258759998</v>
      </c>
      <c r="CX119" s="53">
        <f t="shared" si="1297"/>
        <v>2897.8949999999995</v>
      </c>
      <c r="CY119" s="51">
        <f t="shared" si="1298"/>
        <v>9579.8612909999993</v>
      </c>
      <c r="CZ119" s="48">
        <f t="shared" si="1299"/>
        <v>2820.6177999999995</v>
      </c>
      <c r="DA119" s="51">
        <f t="shared" si="1300"/>
        <v>9324.3983232399987</v>
      </c>
      <c r="DB119" s="53">
        <f t="shared" si="1301"/>
        <v>2743.3405999999995</v>
      </c>
      <c r="DC119" s="51">
        <f t="shared" si="1302"/>
        <v>9068.9353554799982</v>
      </c>
      <c r="DD119" s="53">
        <f t="shared" si="1303"/>
        <v>2666.0633999999995</v>
      </c>
      <c r="DE119" s="51">
        <f t="shared" si="1304"/>
        <v>8813.4723877199995</v>
      </c>
      <c r="DF119" s="53">
        <f t="shared" si="1305"/>
        <v>2588.7861999999996</v>
      </c>
      <c r="DG119" s="51">
        <f t="shared" si="1306"/>
        <v>8558.0094199599989</v>
      </c>
      <c r="DH119" s="53">
        <f t="shared" si="1307"/>
        <v>2511.5089999999991</v>
      </c>
      <c r="DI119" s="51">
        <f t="shared" si="1308"/>
        <v>8302.5464521999966</v>
      </c>
      <c r="DJ119" s="48">
        <f t="shared" si="1309"/>
        <v>2434.2317999999991</v>
      </c>
      <c r="DK119" s="51">
        <f t="shared" si="1310"/>
        <v>8047.0834844399969</v>
      </c>
      <c r="DL119" s="53">
        <f t="shared" si="1311"/>
        <v>2356.9545999999991</v>
      </c>
      <c r="DM119" s="51">
        <f t="shared" si="1312"/>
        <v>7791.6205166799973</v>
      </c>
      <c r="DN119" s="53">
        <f t="shared" si="1313"/>
        <v>2279.6773999999991</v>
      </c>
      <c r="DO119" s="51">
        <f t="shared" si="1314"/>
        <v>7536.1575489199977</v>
      </c>
      <c r="DP119" s="48">
        <f t="shared" si="1315"/>
        <v>2202.4001999999991</v>
      </c>
      <c r="DQ119" s="51">
        <f t="shared" si="1316"/>
        <v>7280.6945811599971</v>
      </c>
      <c r="DT119" s="48">
        <v>1</v>
      </c>
      <c r="DU119" s="48">
        <v>0.97</v>
      </c>
      <c r="DV119" s="48">
        <v>0.95</v>
      </c>
      <c r="DW119" s="48">
        <v>0.93</v>
      </c>
      <c r="DX119" s="48">
        <f t="shared" ref="DX119:EO119" si="1374">+DW119-0.02</f>
        <v>0.91</v>
      </c>
      <c r="DY119" s="48">
        <f t="shared" si="1374"/>
        <v>0.89</v>
      </c>
      <c r="DZ119" s="48">
        <f t="shared" si="1374"/>
        <v>0.87</v>
      </c>
      <c r="EA119" s="48">
        <f t="shared" si="1374"/>
        <v>0.85</v>
      </c>
      <c r="EB119" s="48">
        <f t="shared" si="1374"/>
        <v>0.83</v>
      </c>
      <c r="EC119" s="48">
        <f t="shared" si="1374"/>
        <v>0.80999999999999994</v>
      </c>
      <c r="ED119" s="48">
        <f t="shared" si="1374"/>
        <v>0.78999999999999992</v>
      </c>
      <c r="EE119" s="48">
        <f t="shared" si="1374"/>
        <v>0.76999999999999991</v>
      </c>
      <c r="EF119" s="48">
        <f t="shared" si="1374"/>
        <v>0.74999999999999989</v>
      </c>
      <c r="EG119" s="48">
        <f t="shared" si="1374"/>
        <v>0.72999999999999987</v>
      </c>
      <c r="EH119" s="48">
        <f t="shared" si="1374"/>
        <v>0.70999999999999985</v>
      </c>
      <c r="EI119" s="48">
        <f t="shared" si="1374"/>
        <v>0.68999999999999984</v>
      </c>
      <c r="EJ119" s="48">
        <f t="shared" si="1374"/>
        <v>0.66999999999999982</v>
      </c>
      <c r="EK119" s="48">
        <f t="shared" si="1374"/>
        <v>0.6499999999999998</v>
      </c>
      <c r="EL119" s="48">
        <f t="shared" si="1374"/>
        <v>0.62999999999999978</v>
      </c>
      <c r="EM119" s="48">
        <f t="shared" si="1374"/>
        <v>0.60999999999999976</v>
      </c>
      <c r="EN119" s="48">
        <f t="shared" si="1374"/>
        <v>0.58999999999999975</v>
      </c>
      <c r="EO119" s="48">
        <f t="shared" si="1374"/>
        <v>0.56999999999999973</v>
      </c>
      <c r="EQ119" s="48">
        <f t="shared" si="1128"/>
        <v>3516.1126000000004</v>
      </c>
      <c r="ER119" s="48">
        <f t="shared" si="956"/>
        <v>3516.1126000000004</v>
      </c>
      <c r="ES119" s="51">
        <f t="shared" ref="ES119" si="1375">+ER119*3.3058</f>
        <v>11623.565033080002</v>
      </c>
      <c r="ET119" s="48">
        <f t="shared" si="1319"/>
        <v>3410.6292220000005</v>
      </c>
      <c r="EU119" s="51">
        <f t="shared" si="1320"/>
        <v>11274.858082087601</v>
      </c>
      <c r="EV119" s="48">
        <f t="shared" si="1321"/>
        <v>3340.3069700000001</v>
      </c>
      <c r="EW119" s="51">
        <f t="shared" si="1322"/>
        <v>11042.386781426001</v>
      </c>
      <c r="EX119" s="48">
        <f t="shared" si="1323"/>
        <v>3269.9847180000006</v>
      </c>
      <c r="EY119" s="51">
        <f t="shared" si="1324"/>
        <v>10809.915480764403</v>
      </c>
      <c r="EZ119" s="52">
        <f t="shared" si="1325"/>
        <v>3199.6624660000007</v>
      </c>
      <c r="FA119" s="51">
        <f t="shared" si="1326"/>
        <v>10577.444180102802</v>
      </c>
      <c r="FB119" s="48">
        <f t="shared" si="1327"/>
        <v>3129.3402140000003</v>
      </c>
      <c r="FC119" s="51">
        <f t="shared" si="1328"/>
        <v>10344.9728794412</v>
      </c>
      <c r="FD119" s="52">
        <f t="shared" si="1329"/>
        <v>3059.0179620000004</v>
      </c>
      <c r="FE119" s="51">
        <f t="shared" si="1330"/>
        <v>10112.501578779602</v>
      </c>
      <c r="FF119" s="53">
        <f t="shared" si="1331"/>
        <v>2988.6957100000004</v>
      </c>
      <c r="FG119" s="51">
        <f t="shared" si="1332"/>
        <v>9880.0302781180017</v>
      </c>
      <c r="FH119" s="52">
        <f t="shared" si="1333"/>
        <v>2918.373458</v>
      </c>
      <c r="FI119" s="51">
        <f t="shared" si="1334"/>
        <v>9647.5589774563996</v>
      </c>
      <c r="FJ119" s="48">
        <f t="shared" si="1335"/>
        <v>2848.0512060000001</v>
      </c>
      <c r="FK119" s="51">
        <f t="shared" si="1336"/>
        <v>9415.0876767948012</v>
      </c>
      <c r="FL119" s="53">
        <f t="shared" si="1337"/>
        <v>2777.7289540000002</v>
      </c>
      <c r="FM119" s="51">
        <f t="shared" si="1338"/>
        <v>9182.6163761332009</v>
      </c>
      <c r="FN119" s="53">
        <f t="shared" si="1339"/>
        <v>2707.4067019999998</v>
      </c>
      <c r="FO119" s="51">
        <f t="shared" si="1340"/>
        <v>8950.1450754715988</v>
      </c>
      <c r="FP119" s="53">
        <f t="shared" si="1341"/>
        <v>2637.0844499999998</v>
      </c>
      <c r="FQ119" s="51">
        <f t="shared" si="1342"/>
        <v>8717.6737748100004</v>
      </c>
      <c r="FR119" s="48">
        <f t="shared" si="1343"/>
        <v>2566.7621979999999</v>
      </c>
      <c r="FS119" s="51">
        <f t="shared" si="1344"/>
        <v>8485.2024741484001</v>
      </c>
      <c r="FT119" s="53">
        <f t="shared" si="1345"/>
        <v>2496.439946</v>
      </c>
      <c r="FU119" s="51">
        <f t="shared" si="1346"/>
        <v>8252.7311734867999</v>
      </c>
      <c r="FV119" s="53">
        <f t="shared" si="1347"/>
        <v>2426.1176939999996</v>
      </c>
      <c r="FW119" s="51">
        <f t="shared" si="1348"/>
        <v>8020.2598728251987</v>
      </c>
      <c r="FX119" s="53">
        <f t="shared" si="1349"/>
        <v>2355.7954419999996</v>
      </c>
      <c r="FY119" s="51">
        <f t="shared" si="1350"/>
        <v>7787.7885721635994</v>
      </c>
      <c r="FZ119" s="53">
        <f t="shared" si="1351"/>
        <v>2285.4731899999997</v>
      </c>
      <c r="GA119" s="51">
        <f t="shared" si="1352"/>
        <v>7555.3172715019991</v>
      </c>
      <c r="GB119" s="48">
        <f t="shared" si="1353"/>
        <v>2215.1509379999993</v>
      </c>
      <c r="GC119" s="51">
        <f t="shared" si="1354"/>
        <v>7322.845970840398</v>
      </c>
      <c r="GD119" s="53">
        <f t="shared" si="1355"/>
        <v>2144.8286859999994</v>
      </c>
      <c r="GE119" s="51">
        <f t="shared" si="1356"/>
        <v>7090.3746701787977</v>
      </c>
      <c r="GF119" s="53">
        <f t="shared" si="1357"/>
        <v>2074.5064339999994</v>
      </c>
      <c r="GG119" s="51">
        <f t="shared" si="1358"/>
        <v>6857.9033695171984</v>
      </c>
      <c r="GH119" s="48">
        <f t="shared" si="1359"/>
        <v>2004.1841819999993</v>
      </c>
      <c r="GI119" s="51">
        <f t="shared" si="1360"/>
        <v>6625.4320688555981</v>
      </c>
      <c r="GJ119" s="48"/>
      <c r="GK119" s="48"/>
      <c r="GL119" s="48">
        <v>1</v>
      </c>
      <c r="GM119" s="48">
        <v>0.97</v>
      </c>
      <c r="GN119" s="48">
        <v>0.95</v>
      </c>
      <c r="GO119" s="48">
        <v>0.93</v>
      </c>
      <c r="GP119" s="48">
        <f t="shared" ref="GP119:HG119" si="1376">+GO119-0.02</f>
        <v>0.91</v>
      </c>
      <c r="GQ119" s="48">
        <f t="shared" si="1376"/>
        <v>0.89</v>
      </c>
      <c r="GR119" s="48">
        <f t="shared" si="1376"/>
        <v>0.87</v>
      </c>
      <c r="GS119" s="48">
        <f t="shared" si="1376"/>
        <v>0.85</v>
      </c>
      <c r="GT119" s="48">
        <f t="shared" si="1376"/>
        <v>0.83</v>
      </c>
      <c r="GU119" s="48">
        <f t="shared" si="1376"/>
        <v>0.80999999999999994</v>
      </c>
      <c r="GV119" s="48">
        <f t="shared" si="1376"/>
        <v>0.78999999999999992</v>
      </c>
      <c r="GW119" s="48">
        <f t="shared" si="1376"/>
        <v>0.76999999999999991</v>
      </c>
      <c r="GX119" s="48">
        <f t="shared" si="1376"/>
        <v>0.74999999999999989</v>
      </c>
      <c r="GY119" s="48">
        <f t="shared" si="1376"/>
        <v>0.72999999999999987</v>
      </c>
      <c r="GZ119" s="48">
        <f t="shared" si="1376"/>
        <v>0.70999999999999985</v>
      </c>
      <c r="HA119" s="48">
        <f t="shared" si="1376"/>
        <v>0.68999999999999984</v>
      </c>
      <c r="HB119" s="48">
        <f t="shared" si="1376"/>
        <v>0.66999999999999982</v>
      </c>
      <c r="HC119" s="48">
        <f t="shared" si="1376"/>
        <v>0.6499999999999998</v>
      </c>
      <c r="HD119" s="48">
        <f t="shared" si="1376"/>
        <v>0.62999999999999978</v>
      </c>
      <c r="HE119" s="48">
        <f t="shared" si="1376"/>
        <v>0.60999999999999976</v>
      </c>
      <c r="HF119" s="48">
        <f t="shared" si="1376"/>
        <v>0.58999999999999975</v>
      </c>
      <c r="HG119" s="48">
        <f t="shared" si="1376"/>
        <v>0.56999999999999973</v>
      </c>
    </row>
    <row r="120" spans="1:215" x14ac:dyDescent="0.3">
      <c r="A120" s="2">
        <v>5</v>
      </c>
      <c r="C120" s="29" t="s">
        <v>184</v>
      </c>
      <c r="D120" s="44">
        <v>0</v>
      </c>
      <c r="E120" s="73">
        <f t="shared" si="1230"/>
        <v>0</v>
      </c>
      <c r="G120" s="48">
        <f t="shared" si="948"/>
        <v>0</v>
      </c>
      <c r="H120" s="48">
        <f t="shared" si="949"/>
        <v>0</v>
      </c>
      <c r="I120" s="51">
        <f t="shared" si="950"/>
        <v>0</v>
      </c>
      <c r="J120" s="48">
        <f t="shared" si="1231"/>
        <v>0</v>
      </c>
      <c r="K120" s="51">
        <f t="shared" si="1232"/>
        <v>0</v>
      </c>
      <c r="L120" s="48">
        <f t="shared" si="1233"/>
        <v>0</v>
      </c>
      <c r="M120" s="51">
        <f t="shared" si="1234"/>
        <v>0</v>
      </c>
      <c r="N120" s="48">
        <f t="shared" si="1235"/>
        <v>0</v>
      </c>
      <c r="O120" s="51">
        <f t="shared" si="1236"/>
        <v>0</v>
      </c>
      <c r="P120" s="52">
        <f t="shared" si="1237"/>
        <v>0</v>
      </c>
      <c r="Q120" s="51">
        <f t="shared" si="1238"/>
        <v>0</v>
      </c>
      <c r="R120" s="48">
        <f t="shared" si="1239"/>
        <v>0</v>
      </c>
      <c r="S120" s="51">
        <f t="shared" si="1240"/>
        <v>0</v>
      </c>
      <c r="T120" s="52">
        <f t="shared" si="1241"/>
        <v>0</v>
      </c>
      <c r="U120" s="51">
        <f t="shared" si="1242"/>
        <v>0</v>
      </c>
      <c r="V120" s="53">
        <f t="shared" si="1243"/>
        <v>0</v>
      </c>
      <c r="W120" s="51">
        <f t="shared" si="1244"/>
        <v>0</v>
      </c>
      <c r="X120" s="52">
        <f t="shared" si="1245"/>
        <v>0</v>
      </c>
      <c r="Y120" s="51">
        <f t="shared" si="1246"/>
        <v>0</v>
      </c>
      <c r="Z120" s="48">
        <f t="shared" si="1247"/>
        <v>0</v>
      </c>
      <c r="AA120" s="51">
        <f t="shared" si="1248"/>
        <v>0</v>
      </c>
      <c r="AB120" s="53">
        <f t="shared" si="1249"/>
        <v>0</v>
      </c>
      <c r="AC120" s="51">
        <f t="shared" si="1250"/>
        <v>0</v>
      </c>
      <c r="AD120" s="53">
        <f t="shared" si="1251"/>
        <v>0</v>
      </c>
      <c r="AE120" s="51">
        <f t="shared" si="1252"/>
        <v>0</v>
      </c>
      <c r="AF120" s="53">
        <f t="shared" si="1253"/>
        <v>0</v>
      </c>
      <c r="AG120" s="51">
        <f t="shared" si="1254"/>
        <v>0</v>
      </c>
      <c r="AH120" s="48">
        <f t="shared" si="1255"/>
        <v>0</v>
      </c>
      <c r="AI120" s="51">
        <f t="shared" si="1256"/>
        <v>0</v>
      </c>
      <c r="AJ120" s="53">
        <f t="shared" si="1257"/>
        <v>0</v>
      </c>
      <c r="AK120" s="51">
        <f t="shared" si="1258"/>
        <v>0</v>
      </c>
      <c r="AL120" s="53">
        <f t="shared" si="1259"/>
        <v>0</v>
      </c>
      <c r="AM120" s="51">
        <f t="shared" si="1260"/>
        <v>0</v>
      </c>
      <c r="AN120" s="53">
        <f t="shared" si="1261"/>
        <v>0</v>
      </c>
      <c r="AO120" s="51">
        <f t="shared" si="1262"/>
        <v>0</v>
      </c>
      <c r="AP120" s="53">
        <f t="shared" si="1263"/>
        <v>0</v>
      </c>
      <c r="AQ120" s="51">
        <f t="shared" si="1264"/>
        <v>0</v>
      </c>
      <c r="AR120" s="48">
        <f t="shared" si="1265"/>
        <v>0</v>
      </c>
      <c r="AS120" s="51">
        <f t="shared" si="1266"/>
        <v>0</v>
      </c>
      <c r="AT120" s="53">
        <f t="shared" si="1267"/>
        <v>0</v>
      </c>
      <c r="AU120" s="51">
        <f t="shared" si="1268"/>
        <v>0</v>
      </c>
      <c r="AV120" s="53">
        <f t="shared" si="1269"/>
        <v>0</v>
      </c>
      <c r="AW120" s="51">
        <f t="shared" si="1270"/>
        <v>0</v>
      </c>
      <c r="AX120" s="48">
        <f t="shared" si="1271"/>
        <v>0</v>
      </c>
      <c r="AY120" s="51">
        <f t="shared" si="1272"/>
        <v>0</v>
      </c>
      <c r="BB120" s="48">
        <v>1</v>
      </c>
      <c r="BC120" s="48">
        <v>0.97</v>
      </c>
      <c r="BD120" s="48">
        <v>0.95</v>
      </c>
      <c r="BE120" s="48">
        <v>0.93</v>
      </c>
      <c r="BF120" s="48">
        <f t="shared" ref="BF120:BW120" si="1377">+BE120-0.02</f>
        <v>0.91</v>
      </c>
      <c r="BG120" s="48">
        <f t="shared" si="1377"/>
        <v>0.89</v>
      </c>
      <c r="BH120" s="48">
        <f t="shared" si="1377"/>
        <v>0.87</v>
      </c>
      <c r="BI120" s="48">
        <f t="shared" si="1377"/>
        <v>0.85</v>
      </c>
      <c r="BJ120" s="48">
        <f t="shared" si="1377"/>
        <v>0.83</v>
      </c>
      <c r="BK120" s="48">
        <f t="shared" si="1377"/>
        <v>0.80999999999999994</v>
      </c>
      <c r="BL120" s="48">
        <f t="shared" si="1377"/>
        <v>0.78999999999999992</v>
      </c>
      <c r="BM120" s="48">
        <f t="shared" si="1377"/>
        <v>0.76999999999999991</v>
      </c>
      <c r="BN120" s="48">
        <f t="shared" si="1377"/>
        <v>0.74999999999999989</v>
      </c>
      <c r="BO120" s="48">
        <f t="shared" si="1377"/>
        <v>0.72999999999999987</v>
      </c>
      <c r="BP120" s="48">
        <f t="shared" si="1377"/>
        <v>0.70999999999999985</v>
      </c>
      <c r="BQ120" s="48">
        <f t="shared" si="1377"/>
        <v>0.68999999999999984</v>
      </c>
      <c r="BR120" s="48">
        <f t="shared" si="1377"/>
        <v>0.66999999999999982</v>
      </c>
      <c r="BS120" s="48">
        <f t="shared" si="1377"/>
        <v>0.6499999999999998</v>
      </c>
      <c r="BT120" s="48">
        <f t="shared" si="1377"/>
        <v>0.62999999999999978</v>
      </c>
      <c r="BU120" s="48">
        <f t="shared" si="1377"/>
        <v>0.60999999999999976</v>
      </c>
      <c r="BV120" s="48">
        <f t="shared" si="1377"/>
        <v>0.58999999999999975</v>
      </c>
      <c r="BW120" s="48">
        <f t="shared" si="1377"/>
        <v>0.56999999999999973</v>
      </c>
      <c r="BY120" s="48">
        <f t="shared" si="952"/>
        <v>0</v>
      </c>
      <c r="BZ120" s="48">
        <f t="shared" si="953"/>
        <v>0</v>
      </c>
      <c r="CA120" s="51">
        <f t="shared" ref="CA120" si="1378">+BZ120*3.3058</f>
        <v>0</v>
      </c>
      <c r="CB120" s="48">
        <f t="shared" si="1275"/>
        <v>0</v>
      </c>
      <c r="CC120" s="51">
        <f t="shared" si="1276"/>
        <v>0</v>
      </c>
      <c r="CD120" s="48">
        <f t="shared" si="1277"/>
        <v>0</v>
      </c>
      <c r="CE120" s="51">
        <f t="shared" si="1278"/>
        <v>0</v>
      </c>
      <c r="CF120" s="48">
        <f t="shared" si="1279"/>
        <v>0</v>
      </c>
      <c r="CG120" s="51">
        <f t="shared" si="1280"/>
        <v>0</v>
      </c>
      <c r="CH120" s="52">
        <f t="shared" si="1281"/>
        <v>0</v>
      </c>
      <c r="CI120" s="51">
        <f t="shared" si="1282"/>
        <v>0</v>
      </c>
      <c r="CJ120" s="48">
        <f t="shared" si="1283"/>
        <v>0</v>
      </c>
      <c r="CK120" s="51">
        <f t="shared" si="1284"/>
        <v>0</v>
      </c>
      <c r="CL120" s="52">
        <f t="shared" si="1285"/>
        <v>0</v>
      </c>
      <c r="CM120" s="51">
        <f t="shared" si="1286"/>
        <v>0</v>
      </c>
      <c r="CN120" s="53">
        <f t="shared" si="1287"/>
        <v>0</v>
      </c>
      <c r="CO120" s="51">
        <f t="shared" si="1288"/>
        <v>0</v>
      </c>
      <c r="CP120" s="52">
        <f t="shared" si="1289"/>
        <v>0</v>
      </c>
      <c r="CQ120" s="51">
        <f t="shared" si="1290"/>
        <v>0</v>
      </c>
      <c r="CR120" s="48">
        <f t="shared" si="1291"/>
        <v>0</v>
      </c>
      <c r="CS120" s="51">
        <f t="shared" si="1292"/>
        <v>0</v>
      </c>
      <c r="CT120" s="53">
        <f t="shared" si="1293"/>
        <v>0</v>
      </c>
      <c r="CU120" s="51">
        <f t="shared" si="1294"/>
        <v>0</v>
      </c>
      <c r="CV120" s="53">
        <f t="shared" si="1295"/>
        <v>0</v>
      </c>
      <c r="CW120" s="51">
        <f t="shared" si="1296"/>
        <v>0</v>
      </c>
      <c r="CX120" s="53">
        <f t="shared" si="1297"/>
        <v>0</v>
      </c>
      <c r="CY120" s="51">
        <f t="shared" si="1298"/>
        <v>0</v>
      </c>
      <c r="CZ120" s="48">
        <f t="shared" si="1299"/>
        <v>0</v>
      </c>
      <c r="DA120" s="51">
        <f t="shared" si="1300"/>
        <v>0</v>
      </c>
      <c r="DB120" s="53">
        <f t="shared" si="1301"/>
        <v>0</v>
      </c>
      <c r="DC120" s="51">
        <f t="shared" si="1302"/>
        <v>0</v>
      </c>
      <c r="DD120" s="53">
        <f t="shared" si="1303"/>
        <v>0</v>
      </c>
      <c r="DE120" s="51">
        <f t="shared" si="1304"/>
        <v>0</v>
      </c>
      <c r="DF120" s="53">
        <f t="shared" si="1305"/>
        <v>0</v>
      </c>
      <c r="DG120" s="51">
        <f t="shared" si="1306"/>
        <v>0</v>
      </c>
      <c r="DH120" s="53">
        <f t="shared" si="1307"/>
        <v>0</v>
      </c>
      <c r="DI120" s="51">
        <f t="shared" si="1308"/>
        <v>0</v>
      </c>
      <c r="DJ120" s="48">
        <f t="shared" si="1309"/>
        <v>0</v>
      </c>
      <c r="DK120" s="51">
        <f t="shared" si="1310"/>
        <v>0</v>
      </c>
      <c r="DL120" s="53">
        <f t="shared" si="1311"/>
        <v>0</v>
      </c>
      <c r="DM120" s="51">
        <f t="shared" si="1312"/>
        <v>0</v>
      </c>
      <c r="DN120" s="53">
        <f t="shared" si="1313"/>
        <v>0</v>
      </c>
      <c r="DO120" s="51">
        <f t="shared" si="1314"/>
        <v>0</v>
      </c>
      <c r="DP120" s="48">
        <f t="shared" si="1315"/>
        <v>0</v>
      </c>
      <c r="DQ120" s="51">
        <f t="shared" si="1316"/>
        <v>0</v>
      </c>
      <c r="DT120" s="48">
        <v>1</v>
      </c>
      <c r="DU120" s="48">
        <v>0.97</v>
      </c>
      <c r="DV120" s="48">
        <v>0.95</v>
      </c>
      <c r="DW120" s="48">
        <v>0.93</v>
      </c>
      <c r="DX120" s="48">
        <f t="shared" ref="DX120:EO120" si="1379">+DW120-0.02</f>
        <v>0.91</v>
      </c>
      <c r="DY120" s="48">
        <f t="shared" si="1379"/>
        <v>0.89</v>
      </c>
      <c r="DZ120" s="48">
        <f t="shared" si="1379"/>
        <v>0.87</v>
      </c>
      <c r="EA120" s="48">
        <f t="shared" si="1379"/>
        <v>0.85</v>
      </c>
      <c r="EB120" s="48">
        <f t="shared" si="1379"/>
        <v>0.83</v>
      </c>
      <c r="EC120" s="48">
        <f t="shared" si="1379"/>
        <v>0.80999999999999994</v>
      </c>
      <c r="ED120" s="48">
        <f t="shared" si="1379"/>
        <v>0.78999999999999992</v>
      </c>
      <c r="EE120" s="48">
        <f t="shared" si="1379"/>
        <v>0.76999999999999991</v>
      </c>
      <c r="EF120" s="48">
        <f t="shared" si="1379"/>
        <v>0.74999999999999989</v>
      </c>
      <c r="EG120" s="48">
        <f t="shared" si="1379"/>
        <v>0.72999999999999987</v>
      </c>
      <c r="EH120" s="48">
        <f t="shared" si="1379"/>
        <v>0.70999999999999985</v>
      </c>
      <c r="EI120" s="48">
        <f t="shared" si="1379"/>
        <v>0.68999999999999984</v>
      </c>
      <c r="EJ120" s="48">
        <f t="shared" si="1379"/>
        <v>0.66999999999999982</v>
      </c>
      <c r="EK120" s="48">
        <f t="shared" si="1379"/>
        <v>0.6499999999999998</v>
      </c>
      <c r="EL120" s="48">
        <f t="shared" si="1379"/>
        <v>0.62999999999999978</v>
      </c>
      <c r="EM120" s="48">
        <f t="shared" si="1379"/>
        <v>0.60999999999999976</v>
      </c>
      <c r="EN120" s="48">
        <f t="shared" si="1379"/>
        <v>0.58999999999999975</v>
      </c>
      <c r="EO120" s="48">
        <f t="shared" si="1379"/>
        <v>0.56999999999999973</v>
      </c>
      <c r="EQ120" s="48">
        <f t="shared" si="1128"/>
        <v>0</v>
      </c>
      <c r="ER120" s="48">
        <f t="shared" si="956"/>
        <v>0</v>
      </c>
      <c r="ES120" s="51">
        <f t="shared" ref="ES120" si="1380">+ER120*3.3058</f>
        <v>0</v>
      </c>
      <c r="ET120" s="48">
        <f t="shared" si="1319"/>
        <v>0</v>
      </c>
      <c r="EU120" s="51">
        <f t="shared" si="1320"/>
        <v>0</v>
      </c>
      <c r="EV120" s="48">
        <f t="shared" si="1321"/>
        <v>0</v>
      </c>
      <c r="EW120" s="51">
        <f t="shared" si="1322"/>
        <v>0</v>
      </c>
      <c r="EX120" s="48">
        <f t="shared" si="1323"/>
        <v>0</v>
      </c>
      <c r="EY120" s="51">
        <f t="shared" si="1324"/>
        <v>0</v>
      </c>
      <c r="EZ120" s="52">
        <f t="shared" si="1325"/>
        <v>0</v>
      </c>
      <c r="FA120" s="51">
        <f t="shared" si="1326"/>
        <v>0</v>
      </c>
      <c r="FB120" s="48">
        <f t="shared" si="1327"/>
        <v>0</v>
      </c>
      <c r="FC120" s="51">
        <f t="shared" si="1328"/>
        <v>0</v>
      </c>
      <c r="FD120" s="52">
        <f t="shared" si="1329"/>
        <v>0</v>
      </c>
      <c r="FE120" s="51">
        <f t="shared" si="1330"/>
        <v>0</v>
      </c>
      <c r="FF120" s="53">
        <f t="shared" si="1331"/>
        <v>0</v>
      </c>
      <c r="FG120" s="51">
        <f t="shared" si="1332"/>
        <v>0</v>
      </c>
      <c r="FH120" s="52">
        <f t="shared" si="1333"/>
        <v>0</v>
      </c>
      <c r="FI120" s="51">
        <f t="shared" si="1334"/>
        <v>0</v>
      </c>
      <c r="FJ120" s="48">
        <f t="shared" si="1335"/>
        <v>0</v>
      </c>
      <c r="FK120" s="51">
        <f t="shared" si="1336"/>
        <v>0</v>
      </c>
      <c r="FL120" s="53">
        <f t="shared" si="1337"/>
        <v>0</v>
      </c>
      <c r="FM120" s="51">
        <f t="shared" si="1338"/>
        <v>0</v>
      </c>
      <c r="FN120" s="53">
        <f t="shared" si="1339"/>
        <v>0</v>
      </c>
      <c r="FO120" s="51">
        <f t="shared" si="1340"/>
        <v>0</v>
      </c>
      <c r="FP120" s="53">
        <f t="shared" si="1341"/>
        <v>0</v>
      </c>
      <c r="FQ120" s="51">
        <f t="shared" si="1342"/>
        <v>0</v>
      </c>
      <c r="FR120" s="48">
        <f t="shared" si="1343"/>
        <v>0</v>
      </c>
      <c r="FS120" s="51">
        <f t="shared" si="1344"/>
        <v>0</v>
      </c>
      <c r="FT120" s="53">
        <f t="shared" si="1345"/>
        <v>0</v>
      </c>
      <c r="FU120" s="51">
        <f t="shared" si="1346"/>
        <v>0</v>
      </c>
      <c r="FV120" s="53">
        <f t="shared" si="1347"/>
        <v>0</v>
      </c>
      <c r="FW120" s="51">
        <f t="shared" si="1348"/>
        <v>0</v>
      </c>
      <c r="FX120" s="53">
        <f t="shared" si="1349"/>
        <v>0</v>
      </c>
      <c r="FY120" s="51">
        <f t="shared" si="1350"/>
        <v>0</v>
      </c>
      <c r="FZ120" s="53">
        <f t="shared" si="1351"/>
        <v>0</v>
      </c>
      <c r="GA120" s="51">
        <f t="shared" si="1352"/>
        <v>0</v>
      </c>
      <c r="GB120" s="48">
        <f t="shared" si="1353"/>
        <v>0</v>
      </c>
      <c r="GC120" s="51">
        <f t="shared" si="1354"/>
        <v>0</v>
      </c>
      <c r="GD120" s="53">
        <f t="shared" si="1355"/>
        <v>0</v>
      </c>
      <c r="GE120" s="51">
        <f t="shared" si="1356"/>
        <v>0</v>
      </c>
      <c r="GF120" s="53">
        <f t="shared" si="1357"/>
        <v>0</v>
      </c>
      <c r="GG120" s="51">
        <f t="shared" si="1358"/>
        <v>0</v>
      </c>
      <c r="GH120" s="48">
        <f t="shared" si="1359"/>
        <v>0</v>
      </c>
      <c r="GI120" s="51">
        <f t="shared" si="1360"/>
        <v>0</v>
      </c>
      <c r="GJ120" s="48"/>
      <c r="GK120" s="48"/>
      <c r="GL120" s="48">
        <v>1</v>
      </c>
      <c r="GM120" s="48">
        <v>0.97</v>
      </c>
      <c r="GN120" s="48">
        <v>0.95</v>
      </c>
      <c r="GO120" s="48">
        <v>0.93</v>
      </c>
      <c r="GP120" s="48">
        <f t="shared" ref="GP120:HG120" si="1381">+GO120-0.02</f>
        <v>0.91</v>
      </c>
      <c r="GQ120" s="48">
        <f t="shared" si="1381"/>
        <v>0.89</v>
      </c>
      <c r="GR120" s="48">
        <f t="shared" si="1381"/>
        <v>0.87</v>
      </c>
      <c r="GS120" s="48">
        <f t="shared" si="1381"/>
        <v>0.85</v>
      </c>
      <c r="GT120" s="48">
        <f t="shared" si="1381"/>
        <v>0.83</v>
      </c>
      <c r="GU120" s="48">
        <f t="shared" si="1381"/>
        <v>0.80999999999999994</v>
      </c>
      <c r="GV120" s="48">
        <f t="shared" si="1381"/>
        <v>0.78999999999999992</v>
      </c>
      <c r="GW120" s="48">
        <f t="shared" si="1381"/>
        <v>0.76999999999999991</v>
      </c>
      <c r="GX120" s="48">
        <f t="shared" si="1381"/>
        <v>0.74999999999999989</v>
      </c>
      <c r="GY120" s="48">
        <f t="shared" si="1381"/>
        <v>0.72999999999999987</v>
      </c>
      <c r="GZ120" s="48">
        <f t="shared" si="1381"/>
        <v>0.70999999999999985</v>
      </c>
      <c r="HA120" s="48">
        <f t="shared" si="1381"/>
        <v>0.68999999999999984</v>
      </c>
      <c r="HB120" s="48">
        <f t="shared" si="1381"/>
        <v>0.66999999999999982</v>
      </c>
      <c r="HC120" s="48">
        <f t="shared" si="1381"/>
        <v>0.6499999999999998</v>
      </c>
      <c r="HD120" s="48">
        <f t="shared" si="1381"/>
        <v>0.62999999999999978</v>
      </c>
      <c r="HE120" s="48">
        <f t="shared" si="1381"/>
        <v>0.60999999999999976</v>
      </c>
      <c r="HF120" s="48">
        <f t="shared" si="1381"/>
        <v>0.58999999999999975</v>
      </c>
      <c r="HG120" s="48">
        <f t="shared" si="1381"/>
        <v>0.56999999999999973</v>
      </c>
    </row>
    <row r="121" spans="1:215" x14ac:dyDescent="0.3">
      <c r="A121" s="2">
        <v>6</v>
      </c>
      <c r="C121" s="29" t="s">
        <v>185</v>
      </c>
      <c r="D121" s="44">
        <v>0</v>
      </c>
      <c r="E121" s="73">
        <f t="shared" si="1230"/>
        <v>0</v>
      </c>
      <c r="G121" s="48">
        <f t="shared" si="948"/>
        <v>0</v>
      </c>
      <c r="H121" s="48">
        <f t="shared" si="949"/>
        <v>0</v>
      </c>
      <c r="I121" s="51">
        <f t="shared" si="950"/>
        <v>0</v>
      </c>
      <c r="J121" s="48">
        <f t="shared" si="1231"/>
        <v>0</v>
      </c>
      <c r="K121" s="51">
        <f t="shared" si="1232"/>
        <v>0</v>
      </c>
      <c r="L121" s="48">
        <f t="shared" si="1233"/>
        <v>0</v>
      </c>
      <c r="M121" s="51">
        <f t="shared" si="1234"/>
        <v>0</v>
      </c>
      <c r="N121" s="48">
        <f t="shared" si="1235"/>
        <v>0</v>
      </c>
      <c r="O121" s="51">
        <f t="shared" si="1236"/>
        <v>0</v>
      </c>
      <c r="P121" s="52">
        <f t="shared" si="1237"/>
        <v>0</v>
      </c>
      <c r="Q121" s="51">
        <f t="shared" si="1238"/>
        <v>0</v>
      </c>
      <c r="R121" s="48">
        <f t="shared" si="1239"/>
        <v>0</v>
      </c>
      <c r="S121" s="51">
        <f t="shared" si="1240"/>
        <v>0</v>
      </c>
      <c r="T121" s="52">
        <f t="shared" si="1241"/>
        <v>0</v>
      </c>
      <c r="U121" s="51">
        <f t="shared" si="1242"/>
        <v>0</v>
      </c>
      <c r="V121" s="53">
        <f t="shared" si="1243"/>
        <v>0</v>
      </c>
      <c r="W121" s="51">
        <f t="shared" si="1244"/>
        <v>0</v>
      </c>
      <c r="X121" s="52">
        <f t="shared" si="1245"/>
        <v>0</v>
      </c>
      <c r="Y121" s="51">
        <f t="shared" si="1246"/>
        <v>0</v>
      </c>
      <c r="Z121" s="48">
        <f t="shared" si="1247"/>
        <v>0</v>
      </c>
      <c r="AA121" s="51">
        <f t="shared" si="1248"/>
        <v>0</v>
      </c>
      <c r="AB121" s="53">
        <f t="shared" si="1249"/>
        <v>0</v>
      </c>
      <c r="AC121" s="51">
        <f t="shared" si="1250"/>
        <v>0</v>
      </c>
      <c r="AD121" s="53">
        <f t="shared" si="1251"/>
        <v>0</v>
      </c>
      <c r="AE121" s="51">
        <f t="shared" si="1252"/>
        <v>0</v>
      </c>
      <c r="AF121" s="53">
        <f t="shared" si="1253"/>
        <v>0</v>
      </c>
      <c r="AG121" s="51">
        <f t="shared" si="1254"/>
        <v>0</v>
      </c>
      <c r="AH121" s="48">
        <f t="shared" si="1255"/>
        <v>0</v>
      </c>
      <c r="AI121" s="51">
        <f t="shared" si="1256"/>
        <v>0</v>
      </c>
      <c r="AJ121" s="53">
        <f t="shared" si="1257"/>
        <v>0</v>
      </c>
      <c r="AK121" s="51">
        <f t="shared" si="1258"/>
        <v>0</v>
      </c>
      <c r="AL121" s="53">
        <f t="shared" si="1259"/>
        <v>0</v>
      </c>
      <c r="AM121" s="51">
        <f t="shared" si="1260"/>
        <v>0</v>
      </c>
      <c r="AN121" s="53">
        <f t="shared" si="1261"/>
        <v>0</v>
      </c>
      <c r="AO121" s="51">
        <f t="shared" si="1262"/>
        <v>0</v>
      </c>
      <c r="AP121" s="53">
        <f t="shared" si="1263"/>
        <v>0</v>
      </c>
      <c r="AQ121" s="51">
        <f t="shared" si="1264"/>
        <v>0</v>
      </c>
      <c r="AR121" s="48">
        <f t="shared" si="1265"/>
        <v>0</v>
      </c>
      <c r="AS121" s="51">
        <f t="shared" si="1266"/>
        <v>0</v>
      </c>
      <c r="AT121" s="53">
        <f t="shared" si="1267"/>
        <v>0</v>
      </c>
      <c r="AU121" s="51">
        <f t="shared" si="1268"/>
        <v>0</v>
      </c>
      <c r="AV121" s="53">
        <f t="shared" si="1269"/>
        <v>0</v>
      </c>
      <c r="AW121" s="51">
        <f t="shared" si="1270"/>
        <v>0</v>
      </c>
      <c r="AX121" s="48">
        <f t="shared" si="1271"/>
        <v>0</v>
      </c>
      <c r="AY121" s="51">
        <f t="shared" si="1272"/>
        <v>0</v>
      </c>
      <c r="BB121" s="48">
        <v>1</v>
      </c>
      <c r="BC121" s="48">
        <v>0.97</v>
      </c>
      <c r="BD121" s="48">
        <v>0.95</v>
      </c>
      <c r="BE121" s="48">
        <v>0.93</v>
      </c>
      <c r="BF121" s="48">
        <f t="shared" ref="BF121:BW121" si="1382">+BE121-0.02</f>
        <v>0.91</v>
      </c>
      <c r="BG121" s="48">
        <f t="shared" si="1382"/>
        <v>0.89</v>
      </c>
      <c r="BH121" s="48">
        <f t="shared" si="1382"/>
        <v>0.87</v>
      </c>
      <c r="BI121" s="48">
        <f t="shared" si="1382"/>
        <v>0.85</v>
      </c>
      <c r="BJ121" s="48">
        <f t="shared" si="1382"/>
        <v>0.83</v>
      </c>
      <c r="BK121" s="48">
        <f t="shared" si="1382"/>
        <v>0.80999999999999994</v>
      </c>
      <c r="BL121" s="48">
        <f t="shared" si="1382"/>
        <v>0.78999999999999992</v>
      </c>
      <c r="BM121" s="48">
        <f t="shared" si="1382"/>
        <v>0.76999999999999991</v>
      </c>
      <c r="BN121" s="48">
        <f t="shared" si="1382"/>
        <v>0.74999999999999989</v>
      </c>
      <c r="BO121" s="48">
        <f t="shared" si="1382"/>
        <v>0.72999999999999987</v>
      </c>
      <c r="BP121" s="48">
        <f t="shared" si="1382"/>
        <v>0.70999999999999985</v>
      </c>
      <c r="BQ121" s="48">
        <f t="shared" si="1382"/>
        <v>0.68999999999999984</v>
      </c>
      <c r="BR121" s="48">
        <f t="shared" si="1382"/>
        <v>0.66999999999999982</v>
      </c>
      <c r="BS121" s="48">
        <f t="shared" si="1382"/>
        <v>0.6499999999999998</v>
      </c>
      <c r="BT121" s="48">
        <f t="shared" si="1382"/>
        <v>0.62999999999999978</v>
      </c>
      <c r="BU121" s="48">
        <f t="shared" si="1382"/>
        <v>0.60999999999999976</v>
      </c>
      <c r="BV121" s="48">
        <f t="shared" si="1382"/>
        <v>0.58999999999999975</v>
      </c>
      <c r="BW121" s="48">
        <f t="shared" si="1382"/>
        <v>0.56999999999999973</v>
      </c>
      <c r="BY121" s="48">
        <f t="shared" si="952"/>
        <v>0</v>
      </c>
      <c r="BZ121" s="48">
        <f t="shared" si="953"/>
        <v>0</v>
      </c>
      <c r="CA121" s="51">
        <f t="shared" ref="CA121" si="1383">+BZ121*3.3058</f>
        <v>0</v>
      </c>
      <c r="CB121" s="48">
        <f t="shared" si="1275"/>
        <v>0</v>
      </c>
      <c r="CC121" s="51">
        <f t="shared" si="1276"/>
        <v>0</v>
      </c>
      <c r="CD121" s="48">
        <f t="shared" si="1277"/>
        <v>0</v>
      </c>
      <c r="CE121" s="51">
        <f t="shared" si="1278"/>
        <v>0</v>
      </c>
      <c r="CF121" s="48">
        <f t="shared" si="1279"/>
        <v>0</v>
      </c>
      <c r="CG121" s="51">
        <f t="shared" si="1280"/>
        <v>0</v>
      </c>
      <c r="CH121" s="52">
        <f t="shared" si="1281"/>
        <v>0</v>
      </c>
      <c r="CI121" s="51">
        <f t="shared" si="1282"/>
        <v>0</v>
      </c>
      <c r="CJ121" s="48">
        <f t="shared" si="1283"/>
        <v>0</v>
      </c>
      <c r="CK121" s="51">
        <f t="shared" si="1284"/>
        <v>0</v>
      </c>
      <c r="CL121" s="52">
        <f t="shared" si="1285"/>
        <v>0</v>
      </c>
      <c r="CM121" s="51">
        <f t="shared" si="1286"/>
        <v>0</v>
      </c>
      <c r="CN121" s="53">
        <f t="shared" si="1287"/>
        <v>0</v>
      </c>
      <c r="CO121" s="51">
        <f t="shared" si="1288"/>
        <v>0</v>
      </c>
      <c r="CP121" s="52">
        <f t="shared" si="1289"/>
        <v>0</v>
      </c>
      <c r="CQ121" s="51">
        <f t="shared" si="1290"/>
        <v>0</v>
      </c>
      <c r="CR121" s="48">
        <f t="shared" si="1291"/>
        <v>0</v>
      </c>
      <c r="CS121" s="51">
        <f t="shared" si="1292"/>
        <v>0</v>
      </c>
      <c r="CT121" s="53">
        <f t="shared" si="1293"/>
        <v>0</v>
      </c>
      <c r="CU121" s="51">
        <f t="shared" si="1294"/>
        <v>0</v>
      </c>
      <c r="CV121" s="53">
        <f t="shared" si="1295"/>
        <v>0</v>
      </c>
      <c r="CW121" s="51">
        <f t="shared" si="1296"/>
        <v>0</v>
      </c>
      <c r="CX121" s="53">
        <f t="shared" si="1297"/>
        <v>0</v>
      </c>
      <c r="CY121" s="51">
        <f t="shared" si="1298"/>
        <v>0</v>
      </c>
      <c r="CZ121" s="48">
        <f t="shared" si="1299"/>
        <v>0</v>
      </c>
      <c r="DA121" s="51">
        <f t="shared" si="1300"/>
        <v>0</v>
      </c>
      <c r="DB121" s="53">
        <f t="shared" si="1301"/>
        <v>0</v>
      </c>
      <c r="DC121" s="51">
        <f t="shared" si="1302"/>
        <v>0</v>
      </c>
      <c r="DD121" s="53">
        <f t="shared" si="1303"/>
        <v>0</v>
      </c>
      <c r="DE121" s="51">
        <f t="shared" si="1304"/>
        <v>0</v>
      </c>
      <c r="DF121" s="53">
        <f t="shared" si="1305"/>
        <v>0</v>
      </c>
      <c r="DG121" s="51">
        <f t="shared" si="1306"/>
        <v>0</v>
      </c>
      <c r="DH121" s="53">
        <f t="shared" si="1307"/>
        <v>0</v>
      </c>
      <c r="DI121" s="51">
        <f t="shared" si="1308"/>
        <v>0</v>
      </c>
      <c r="DJ121" s="48">
        <f t="shared" si="1309"/>
        <v>0</v>
      </c>
      <c r="DK121" s="51">
        <f t="shared" si="1310"/>
        <v>0</v>
      </c>
      <c r="DL121" s="53">
        <f t="shared" si="1311"/>
        <v>0</v>
      </c>
      <c r="DM121" s="51">
        <f t="shared" si="1312"/>
        <v>0</v>
      </c>
      <c r="DN121" s="53">
        <f t="shared" si="1313"/>
        <v>0</v>
      </c>
      <c r="DO121" s="51">
        <f t="shared" si="1314"/>
        <v>0</v>
      </c>
      <c r="DP121" s="48">
        <f t="shared" si="1315"/>
        <v>0</v>
      </c>
      <c r="DQ121" s="51">
        <f t="shared" si="1316"/>
        <v>0</v>
      </c>
      <c r="DT121" s="48">
        <v>1</v>
      </c>
      <c r="DU121" s="48">
        <v>0.97</v>
      </c>
      <c r="DV121" s="48">
        <v>0.95</v>
      </c>
      <c r="DW121" s="48">
        <v>0.93</v>
      </c>
      <c r="DX121" s="48">
        <f t="shared" ref="DX121:EO121" si="1384">+DW121-0.02</f>
        <v>0.91</v>
      </c>
      <c r="DY121" s="48">
        <f t="shared" si="1384"/>
        <v>0.89</v>
      </c>
      <c r="DZ121" s="48">
        <f t="shared" si="1384"/>
        <v>0.87</v>
      </c>
      <c r="EA121" s="48">
        <f t="shared" si="1384"/>
        <v>0.85</v>
      </c>
      <c r="EB121" s="48">
        <f t="shared" si="1384"/>
        <v>0.83</v>
      </c>
      <c r="EC121" s="48">
        <f t="shared" si="1384"/>
        <v>0.80999999999999994</v>
      </c>
      <c r="ED121" s="48">
        <f t="shared" si="1384"/>
        <v>0.78999999999999992</v>
      </c>
      <c r="EE121" s="48">
        <f t="shared" si="1384"/>
        <v>0.76999999999999991</v>
      </c>
      <c r="EF121" s="48">
        <f t="shared" si="1384"/>
        <v>0.74999999999999989</v>
      </c>
      <c r="EG121" s="48">
        <f t="shared" si="1384"/>
        <v>0.72999999999999987</v>
      </c>
      <c r="EH121" s="48">
        <f t="shared" si="1384"/>
        <v>0.70999999999999985</v>
      </c>
      <c r="EI121" s="48">
        <f t="shared" si="1384"/>
        <v>0.68999999999999984</v>
      </c>
      <c r="EJ121" s="48">
        <f t="shared" si="1384"/>
        <v>0.66999999999999982</v>
      </c>
      <c r="EK121" s="48">
        <f t="shared" si="1384"/>
        <v>0.6499999999999998</v>
      </c>
      <c r="EL121" s="48">
        <f t="shared" si="1384"/>
        <v>0.62999999999999978</v>
      </c>
      <c r="EM121" s="48">
        <f t="shared" si="1384"/>
        <v>0.60999999999999976</v>
      </c>
      <c r="EN121" s="48">
        <f t="shared" si="1384"/>
        <v>0.58999999999999975</v>
      </c>
      <c r="EO121" s="48">
        <f t="shared" si="1384"/>
        <v>0.56999999999999973</v>
      </c>
      <c r="EQ121" s="48">
        <f t="shared" si="1128"/>
        <v>0</v>
      </c>
      <c r="ER121" s="48">
        <f t="shared" si="956"/>
        <v>0</v>
      </c>
      <c r="ES121" s="51">
        <f t="shared" ref="ES121" si="1385">+ER121*3.3058</f>
        <v>0</v>
      </c>
      <c r="ET121" s="48">
        <f t="shared" si="1319"/>
        <v>0</v>
      </c>
      <c r="EU121" s="51">
        <f t="shared" si="1320"/>
        <v>0</v>
      </c>
      <c r="EV121" s="48">
        <f t="shared" si="1321"/>
        <v>0</v>
      </c>
      <c r="EW121" s="51">
        <f t="shared" si="1322"/>
        <v>0</v>
      </c>
      <c r="EX121" s="48">
        <f t="shared" si="1323"/>
        <v>0</v>
      </c>
      <c r="EY121" s="51">
        <f t="shared" si="1324"/>
        <v>0</v>
      </c>
      <c r="EZ121" s="52">
        <f t="shared" si="1325"/>
        <v>0</v>
      </c>
      <c r="FA121" s="51">
        <f t="shared" si="1326"/>
        <v>0</v>
      </c>
      <c r="FB121" s="48">
        <f t="shared" si="1327"/>
        <v>0</v>
      </c>
      <c r="FC121" s="51">
        <f t="shared" si="1328"/>
        <v>0</v>
      </c>
      <c r="FD121" s="52">
        <f t="shared" si="1329"/>
        <v>0</v>
      </c>
      <c r="FE121" s="51">
        <f t="shared" si="1330"/>
        <v>0</v>
      </c>
      <c r="FF121" s="53">
        <f t="shared" si="1331"/>
        <v>0</v>
      </c>
      <c r="FG121" s="51">
        <f t="shared" si="1332"/>
        <v>0</v>
      </c>
      <c r="FH121" s="52">
        <f t="shared" si="1333"/>
        <v>0</v>
      </c>
      <c r="FI121" s="51">
        <f t="shared" si="1334"/>
        <v>0</v>
      </c>
      <c r="FJ121" s="48">
        <f t="shared" si="1335"/>
        <v>0</v>
      </c>
      <c r="FK121" s="51">
        <f t="shared" si="1336"/>
        <v>0</v>
      </c>
      <c r="FL121" s="53">
        <f t="shared" si="1337"/>
        <v>0</v>
      </c>
      <c r="FM121" s="51">
        <f t="shared" si="1338"/>
        <v>0</v>
      </c>
      <c r="FN121" s="53">
        <f t="shared" si="1339"/>
        <v>0</v>
      </c>
      <c r="FO121" s="51">
        <f t="shared" si="1340"/>
        <v>0</v>
      </c>
      <c r="FP121" s="53">
        <f t="shared" si="1341"/>
        <v>0</v>
      </c>
      <c r="FQ121" s="51">
        <f t="shared" si="1342"/>
        <v>0</v>
      </c>
      <c r="FR121" s="48">
        <f t="shared" si="1343"/>
        <v>0</v>
      </c>
      <c r="FS121" s="51">
        <f t="shared" si="1344"/>
        <v>0</v>
      </c>
      <c r="FT121" s="53">
        <f t="shared" si="1345"/>
        <v>0</v>
      </c>
      <c r="FU121" s="51">
        <f t="shared" si="1346"/>
        <v>0</v>
      </c>
      <c r="FV121" s="53">
        <f t="shared" si="1347"/>
        <v>0</v>
      </c>
      <c r="FW121" s="51">
        <f t="shared" si="1348"/>
        <v>0</v>
      </c>
      <c r="FX121" s="53">
        <f t="shared" si="1349"/>
        <v>0</v>
      </c>
      <c r="FY121" s="51">
        <f t="shared" si="1350"/>
        <v>0</v>
      </c>
      <c r="FZ121" s="53">
        <f t="shared" si="1351"/>
        <v>0</v>
      </c>
      <c r="GA121" s="51">
        <f t="shared" si="1352"/>
        <v>0</v>
      </c>
      <c r="GB121" s="48">
        <f t="shared" si="1353"/>
        <v>0</v>
      </c>
      <c r="GC121" s="51">
        <f t="shared" si="1354"/>
        <v>0</v>
      </c>
      <c r="GD121" s="53">
        <f t="shared" si="1355"/>
        <v>0</v>
      </c>
      <c r="GE121" s="51">
        <f t="shared" si="1356"/>
        <v>0</v>
      </c>
      <c r="GF121" s="53">
        <f t="shared" si="1357"/>
        <v>0</v>
      </c>
      <c r="GG121" s="51">
        <f t="shared" si="1358"/>
        <v>0</v>
      </c>
      <c r="GH121" s="48">
        <f t="shared" si="1359"/>
        <v>0</v>
      </c>
      <c r="GI121" s="51">
        <f t="shared" si="1360"/>
        <v>0</v>
      </c>
      <c r="GJ121" s="48"/>
      <c r="GK121" s="48"/>
      <c r="GL121" s="48">
        <v>1</v>
      </c>
      <c r="GM121" s="48">
        <v>0.97</v>
      </c>
      <c r="GN121" s="48">
        <v>0.95</v>
      </c>
      <c r="GO121" s="48">
        <v>0.93</v>
      </c>
      <c r="GP121" s="48">
        <f t="shared" ref="GP121:HG121" si="1386">+GO121-0.02</f>
        <v>0.91</v>
      </c>
      <c r="GQ121" s="48">
        <f t="shared" si="1386"/>
        <v>0.89</v>
      </c>
      <c r="GR121" s="48">
        <f t="shared" si="1386"/>
        <v>0.87</v>
      </c>
      <c r="GS121" s="48">
        <f t="shared" si="1386"/>
        <v>0.85</v>
      </c>
      <c r="GT121" s="48">
        <f t="shared" si="1386"/>
        <v>0.83</v>
      </c>
      <c r="GU121" s="48">
        <f t="shared" si="1386"/>
        <v>0.80999999999999994</v>
      </c>
      <c r="GV121" s="48">
        <f t="shared" si="1386"/>
        <v>0.78999999999999992</v>
      </c>
      <c r="GW121" s="48">
        <f t="shared" si="1386"/>
        <v>0.76999999999999991</v>
      </c>
      <c r="GX121" s="48">
        <f t="shared" si="1386"/>
        <v>0.74999999999999989</v>
      </c>
      <c r="GY121" s="48">
        <f t="shared" si="1386"/>
        <v>0.72999999999999987</v>
      </c>
      <c r="GZ121" s="48">
        <f t="shared" si="1386"/>
        <v>0.70999999999999985</v>
      </c>
      <c r="HA121" s="48">
        <f t="shared" si="1386"/>
        <v>0.68999999999999984</v>
      </c>
      <c r="HB121" s="48">
        <f t="shared" si="1386"/>
        <v>0.66999999999999982</v>
      </c>
      <c r="HC121" s="48">
        <f t="shared" si="1386"/>
        <v>0.6499999999999998</v>
      </c>
      <c r="HD121" s="48">
        <f t="shared" si="1386"/>
        <v>0.62999999999999978</v>
      </c>
      <c r="HE121" s="48">
        <f t="shared" si="1386"/>
        <v>0.60999999999999976</v>
      </c>
      <c r="HF121" s="48">
        <f t="shared" si="1386"/>
        <v>0.58999999999999975</v>
      </c>
      <c r="HG121" s="48">
        <f t="shared" si="1386"/>
        <v>0.56999999999999973</v>
      </c>
    </row>
    <row r="122" spans="1:215" x14ac:dyDescent="0.3">
      <c r="A122" s="2">
        <v>7</v>
      </c>
      <c r="C122" s="29" t="s">
        <v>167</v>
      </c>
      <c r="D122" s="44">
        <f>TRUNC(5657.92011619463,-1)</f>
        <v>5650</v>
      </c>
      <c r="E122" s="73">
        <f t="shared" si="1230"/>
        <v>18670</v>
      </c>
      <c r="F122" s="2" t="s">
        <v>366</v>
      </c>
      <c r="G122" s="48">
        <f t="shared" si="948"/>
        <v>6215.0000000000009</v>
      </c>
      <c r="H122" s="48">
        <f t="shared" si="949"/>
        <v>6215.0000000000009</v>
      </c>
      <c r="I122" s="51">
        <f t="shared" si="950"/>
        <v>20545.547000000002</v>
      </c>
      <c r="J122" s="48">
        <f t="shared" si="1231"/>
        <v>6028.5500000000011</v>
      </c>
      <c r="K122" s="51">
        <f t="shared" si="1232"/>
        <v>19929.180590000004</v>
      </c>
      <c r="L122" s="48">
        <f t="shared" si="1233"/>
        <v>5904.2500000000009</v>
      </c>
      <c r="M122" s="51">
        <f t="shared" si="1234"/>
        <v>19518.269650000002</v>
      </c>
      <c r="N122" s="48">
        <f t="shared" si="1235"/>
        <v>5779.9500000000007</v>
      </c>
      <c r="O122" s="51">
        <f t="shared" si="1236"/>
        <v>19107.358710000004</v>
      </c>
      <c r="P122" s="52">
        <f t="shared" si="1237"/>
        <v>5655.6500000000015</v>
      </c>
      <c r="Q122" s="51">
        <f t="shared" si="1238"/>
        <v>18696.447770000006</v>
      </c>
      <c r="R122" s="48">
        <f t="shared" si="1239"/>
        <v>5531.3500000000013</v>
      </c>
      <c r="S122" s="51">
        <f t="shared" si="1240"/>
        <v>18285.536830000005</v>
      </c>
      <c r="T122" s="52">
        <f t="shared" si="1241"/>
        <v>5407.0500000000011</v>
      </c>
      <c r="U122" s="51">
        <f t="shared" si="1242"/>
        <v>17874.625890000003</v>
      </c>
      <c r="V122" s="53">
        <f t="shared" si="1243"/>
        <v>5282.7500000000009</v>
      </c>
      <c r="W122" s="51">
        <f t="shared" si="1244"/>
        <v>17463.714950000005</v>
      </c>
      <c r="X122" s="52">
        <f t="shared" si="1245"/>
        <v>5158.4500000000007</v>
      </c>
      <c r="Y122" s="51">
        <f t="shared" si="1246"/>
        <v>17052.804010000003</v>
      </c>
      <c r="Z122" s="48">
        <f t="shared" si="1247"/>
        <v>5034.1500000000005</v>
      </c>
      <c r="AA122" s="51">
        <f t="shared" si="1248"/>
        <v>16641.893070000002</v>
      </c>
      <c r="AB122" s="53">
        <f t="shared" si="1249"/>
        <v>4909.8500000000004</v>
      </c>
      <c r="AC122" s="51">
        <f t="shared" si="1250"/>
        <v>16230.982130000002</v>
      </c>
      <c r="AD122" s="53">
        <f t="shared" si="1251"/>
        <v>4785.55</v>
      </c>
      <c r="AE122" s="51">
        <f t="shared" si="1252"/>
        <v>15820.071190000001</v>
      </c>
      <c r="AF122" s="53">
        <f t="shared" si="1253"/>
        <v>4661.25</v>
      </c>
      <c r="AG122" s="51">
        <f t="shared" si="1254"/>
        <v>15409.160250000001</v>
      </c>
      <c r="AH122" s="48">
        <f t="shared" si="1255"/>
        <v>4536.95</v>
      </c>
      <c r="AI122" s="51">
        <f t="shared" si="1256"/>
        <v>14998.249309999999</v>
      </c>
      <c r="AJ122" s="53">
        <f t="shared" si="1257"/>
        <v>4412.6499999999996</v>
      </c>
      <c r="AK122" s="51">
        <f t="shared" si="1258"/>
        <v>14587.338369999999</v>
      </c>
      <c r="AL122" s="53">
        <f t="shared" si="1259"/>
        <v>4288.3499999999995</v>
      </c>
      <c r="AM122" s="51">
        <f t="shared" si="1260"/>
        <v>14176.427429999998</v>
      </c>
      <c r="AN122" s="53">
        <f t="shared" si="1261"/>
        <v>4164.0499999999993</v>
      </c>
      <c r="AO122" s="51">
        <f t="shared" si="1262"/>
        <v>13765.516489999998</v>
      </c>
      <c r="AP122" s="53">
        <f t="shared" si="1263"/>
        <v>4039.7499999999995</v>
      </c>
      <c r="AQ122" s="51">
        <f t="shared" si="1264"/>
        <v>13354.605549999998</v>
      </c>
      <c r="AR122" s="48">
        <f t="shared" si="1265"/>
        <v>3915.4499999999994</v>
      </c>
      <c r="AS122" s="51">
        <f t="shared" si="1266"/>
        <v>12943.694609999999</v>
      </c>
      <c r="AT122" s="53">
        <f t="shared" si="1267"/>
        <v>3791.1499999999992</v>
      </c>
      <c r="AU122" s="51">
        <f t="shared" si="1268"/>
        <v>12532.783669999997</v>
      </c>
      <c r="AV122" s="53">
        <f t="shared" si="1269"/>
        <v>3666.849999999999</v>
      </c>
      <c r="AW122" s="51">
        <f t="shared" si="1270"/>
        <v>12121.872729999997</v>
      </c>
      <c r="AX122" s="48">
        <f t="shared" si="1271"/>
        <v>3542.5499999999988</v>
      </c>
      <c r="AY122" s="51">
        <f t="shared" si="1272"/>
        <v>11710.961789999996</v>
      </c>
      <c r="BB122" s="48">
        <v>1</v>
      </c>
      <c r="BC122" s="48">
        <v>0.97</v>
      </c>
      <c r="BD122" s="48">
        <v>0.95</v>
      </c>
      <c r="BE122" s="48">
        <v>0.93</v>
      </c>
      <c r="BF122" s="48">
        <f t="shared" ref="BF122:BW122" si="1387">+BE122-0.02</f>
        <v>0.91</v>
      </c>
      <c r="BG122" s="48">
        <f t="shared" si="1387"/>
        <v>0.89</v>
      </c>
      <c r="BH122" s="48">
        <f t="shared" si="1387"/>
        <v>0.87</v>
      </c>
      <c r="BI122" s="48">
        <f t="shared" si="1387"/>
        <v>0.85</v>
      </c>
      <c r="BJ122" s="48">
        <f t="shared" si="1387"/>
        <v>0.83</v>
      </c>
      <c r="BK122" s="48">
        <f t="shared" si="1387"/>
        <v>0.80999999999999994</v>
      </c>
      <c r="BL122" s="48">
        <f t="shared" si="1387"/>
        <v>0.78999999999999992</v>
      </c>
      <c r="BM122" s="48">
        <f t="shared" si="1387"/>
        <v>0.76999999999999991</v>
      </c>
      <c r="BN122" s="48">
        <f t="shared" si="1387"/>
        <v>0.74999999999999989</v>
      </c>
      <c r="BO122" s="48">
        <f t="shared" si="1387"/>
        <v>0.72999999999999987</v>
      </c>
      <c r="BP122" s="48">
        <f t="shared" si="1387"/>
        <v>0.70999999999999985</v>
      </c>
      <c r="BQ122" s="48">
        <f t="shared" si="1387"/>
        <v>0.68999999999999984</v>
      </c>
      <c r="BR122" s="48">
        <f t="shared" si="1387"/>
        <v>0.66999999999999982</v>
      </c>
      <c r="BS122" s="48">
        <f t="shared" si="1387"/>
        <v>0.6499999999999998</v>
      </c>
      <c r="BT122" s="48">
        <f t="shared" si="1387"/>
        <v>0.62999999999999978</v>
      </c>
      <c r="BU122" s="48">
        <f t="shared" si="1387"/>
        <v>0.60999999999999976</v>
      </c>
      <c r="BV122" s="48">
        <f t="shared" si="1387"/>
        <v>0.58999999999999975</v>
      </c>
      <c r="BW122" s="48">
        <f t="shared" si="1387"/>
        <v>0.56999999999999973</v>
      </c>
      <c r="BY122" s="48">
        <f t="shared" si="952"/>
        <v>5655.6500000000015</v>
      </c>
      <c r="BZ122" s="48">
        <f t="shared" si="953"/>
        <v>5655.6500000000015</v>
      </c>
      <c r="CA122" s="51">
        <f t="shared" ref="CA122" si="1388">+BZ122*3.3058</f>
        <v>18696.447770000006</v>
      </c>
      <c r="CB122" s="48">
        <f t="shared" si="1275"/>
        <v>5485.9805000000015</v>
      </c>
      <c r="CC122" s="51">
        <f t="shared" si="1276"/>
        <v>18135.554336900004</v>
      </c>
      <c r="CD122" s="48">
        <f t="shared" si="1277"/>
        <v>5372.8675000000012</v>
      </c>
      <c r="CE122" s="51">
        <f t="shared" si="1278"/>
        <v>17761.625381500005</v>
      </c>
      <c r="CF122" s="48">
        <f t="shared" si="1279"/>
        <v>5259.7545000000018</v>
      </c>
      <c r="CG122" s="51">
        <f t="shared" si="1280"/>
        <v>17387.696426100007</v>
      </c>
      <c r="CH122" s="52">
        <f t="shared" si="1281"/>
        <v>5146.6415000000015</v>
      </c>
      <c r="CI122" s="51">
        <f t="shared" si="1282"/>
        <v>17013.767470700004</v>
      </c>
      <c r="CJ122" s="48">
        <f t="shared" si="1283"/>
        <v>5033.5285000000013</v>
      </c>
      <c r="CK122" s="51">
        <f t="shared" si="1284"/>
        <v>16639.838515300005</v>
      </c>
      <c r="CL122" s="52">
        <f t="shared" si="1285"/>
        <v>4920.415500000001</v>
      </c>
      <c r="CM122" s="51">
        <f t="shared" si="1286"/>
        <v>16265.909559900003</v>
      </c>
      <c r="CN122" s="53">
        <f t="shared" si="1287"/>
        <v>4807.3025000000007</v>
      </c>
      <c r="CO122" s="51">
        <f t="shared" si="1288"/>
        <v>15891.980604500002</v>
      </c>
      <c r="CP122" s="52">
        <f t="shared" si="1289"/>
        <v>4694.1895000000013</v>
      </c>
      <c r="CQ122" s="51">
        <f t="shared" si="1290"/>
        <v>15518.051649100005</v>
      </c>
      <c r="CR122" s="48">
        <f t="shared" si="1291"/>
        <v>4581.076500000001</v>
      </c>
      <c r="CS122" s="51">
        <f t="shared" si="1292"/>
        <v>15144.122693700003</v>
      </c>
      <c r="CT122" s="53">
        <f t="shared" si="1293"/>
        <v>4467.9635000000007</v>
      </c>
      <c r="CU122" s="51">
        <f t="shared" si="1294"/>
        <v>14770.193738300002</v>
      </c>
      <c r="CV122" s="53">
        <f t="shared" si="1295"/>
        <v>4354.8505000000005</v>
      </c>
      <c r="CW122" s="51">
        <f t="shared" si="1296"/>
        <v>14396.264782900002</v>
      </c>
      <c r="CX122" s="53">
        <f t="shared" si="1297"/>
        <v>4241.7375000000002</v>
      </c>
      <c r="CY122" s="51">
        <f t="shared" si="1298"/>
        <v>14022.335827500001</v>
      </c>
      <c r="CZ122" s="48">
        <f t="shared" si="1299"/>
        <v>4128.6244999999999</v>
      </c>
      <c r="DA122" s="51">
        <f t="shared" si="1300"/>
        <v>13648.4068721</v>
      </c>
      <c r="DB122" s="53">
        <f t="shared" si="1301"/>
        <v>4015.5115000000001</v>
      </c>
      <c r="DC122" s="51">
        <f t="shared" si="1302"/>
        <v>13274.4779167</v>
      </c>
      <c r="DD122" s="53">
        <f t="shared" si="1303"/>
        <v>3902.3985000000002</v>
      </c>
      <c r="DE122" s="51">
        <f t="shared" si="1304"/>
        <v>12900.548961300001</v>
      </c>
      <c r="DF122" s="53">
        <f t="shared" si="1305"/>
        <v>3789.2855</v>
      </c>
      <c r="DG122" s="51">
        <f t="shared" si="1306"/>
        <v>12526.6200059</v>
      </c>
      <c r="DH122" s="53">
        <f t="shared" si="1307"/>
        <v>3676.1724999999997</v>
      </c>
      <c r="DI122" s="51">
        <f t="shared" si="1308"/>
        <v>12152.6910505</v>
      </c>
      <c r="DJ122" s="48">
        <f t="shared" si="1309"/>
        <v>3563.0594999999998</v>
      </c>
      <c r="DK122" s="51">
        <f t="shared" si="1310"/>
        <v>11778.762095099999</v>
      </c>
      <c r="DL122" s="53">
        <f t="shared" si="1311"/>
        <v>3449.9464999999996</v>
      </c>
      <c r="DM122" s="51">
        <f t="shared" si="1312"/>
        <v>11404.833139699998</v>
      </c>
      <c r="DN122" s="53">
        <f t="shared" si="1313"/>
        <v>3336.8334999999993</v>
      </c>
      <c r="DO122" s="51">
        <f t="shared" si="1314"/>
        <v>11030.904184299998</v>
      </c>
      <c r="DP122" s="48">
        <f t="shared" si="1315"/>
        <v>3223.7204999999994</v>
      </c>
      <c r="DQ122" s="51">
        <f t="shared" si="1316"/>
        <v>10656.975228899999</v>
      </c>
      <c r="DT122" s="48">
        <v>1</v>
      </c>
      <c r="DU122" s="48">
        <v>0.97</v>
      </c>
      <c r="DV122" s="48">
        <v>0.95</v>
      </c>
      <c r="DW122" s="48">
        <v>0.93</v>
      </c>
      <c r="DX122" s="48">
        <f t="shared" ref="DX122:EO122" si="1389">+DW122-0.02</f>
        <v>0.91</v>
      </c>
      <c r="DY122" s="48">
        <f t="shared" si="1389"/>
        <v>0.89</v>
      </c>
      <c r="DZ122" s="48">
        <f t="shared" si="1389"/>
        <v>0.87</v>
      </c>
      <c r="EA122" s="48">
        <f t="shared" si="1389"/>
        <v>0.85</v>
      </c>
      <c r="EB122" s="48">
        <f t="shared" si="1389"/>
        <v>0.83</v>
      </c>
      <c r="EC122" s="48">
        <f t="shared" si="1389"/>
        <v>0.80999999999999994</v>
      </c>
      <c r="ED122" s="48">
        <f t="shared" si="1389"/>
        <v>0.78999999999999992</v>
      </c>
      <c r="EE122" s="48">
        <f t="shared" si="1389"/>
        <v>0.76999999999999991</v>
      </c>
      <c r="EF122" s="48">
        <f t="shared" si="1389"/>
        <v>0.74999999999999989</v>
      </c>
      <c r="EG122" s="48">
        <f t="shared" si="1389"/>
        <v>0.72999999999999987</v>
      </c>
      <c r="EH122" s="48">
        <f t="shared" si="1389"/>
        <v>0.70999999999999985</v>
      </c>
      <c r="EI122" s="48">
        <f t="shared" si="1389"/>
        <v>0.68999999999999984</v>
      </c>
      <c r="EJ122" s="48">
        <f t="shared" si="1389"/>
        <v>0.66999999999999982</v>
      </c>
      <c r="EK122" s="48">
        <f t="shared" si="1389"/>
        <v>0.6499999999999998</v>
      </c>
      <c r="EL122" s="48">
        <f t="shared" si="1389"/>
        <v>0.62999999999999978</v>
      </c>
      <c r="EM122" s="48">
        <f t="shared" si="1389"/>
        <v>0.60999999999999976</v>
      </c>
      <c r="EN122" s="48">
        <f t="shared" si="1389"/>
        <v>0.58999999999999975</v>
      </c>
      <c r="EO122" s="48">
        <f t="shared" si="1389"/>
        <v>0.56999999999999973</v>
      </c>
      <c r="EQ122" s="48">
        <f t="shared" si="1128"/>
        <v>5146.6415000000015</v>
      </c>
      <c r="ER122" s="48">
        <f t="shared" si="956"/>
        <v>5146.6415000000015</v>
      </c>
      <c r="ES122" s="51">
        <f t="shared" ref="ES122" si="1390">+ER122*3.3058</f>
        <v>17013.767470700004</v>
      </c>
      <c r="ET122" s="48">
        <f t="shared" si="1319"/>
        <v>4992.242255000001</v>
      </c>
      <c r="EU122" s="51">
        <f t="shared" si="1320"/>
        <v>16503.354446579004</v>
      </c>
      <c r="EV122" s="48">
        <f t="shared" si="1321"/>
        <v>4889.3094250000013</v>
      </c>
      <c r="EW122" s="51">
        <f t="shared" si="1322"/>
        <v>16163.079097165004</v>
      </c>
      <c r="EX122" s="48">
        <f t="shared" si="1323"/>
        <v>4786.3765950000015</v>
      </c>
      <c r="EY122" s="51">
        <f t="shared" si="1324"/>
        <v>15822.803747751006</v>
      </c>
      <c r="EZ122" s="52">
        <f t="shared" si="1325"/>
        <v>4683.4437650000018</v>
      </c>
      <c r="FA122" s="51">
        <f t="shared" si="1326"/>
        <v>15482.528398337006</v>
      </c>
      <c r="FB122" s="48">
        <f t="shared" si="1327"/>
        <v>4580.5109350000012</v>
      </c>
      <c r="FC122" s="51">
        <f t="shared" si="1328"/>
        <v>15142.253048923005</v>
      </c>
      <c r="FD122" s="52">
        <f t="shared" si="1329"/>
        <v>4477.5781050000014</v>
      </c>
      <c r="FE122" s="51">
        <f t="shared" si="1330"/>
        <v>14801.977699509005</v>
      </c>
      <c r="FF122" s="53">
        <f t="shared" si="1331"/>
        <v>4374.6452750000008</v>
      </c>
      <c r="FG122" s="51">
        <f t="shared" si="1332"/>
        <v>14461.702350095004</v>
      </c>
      <c r="FH122" s="52">
        <f t="shared" si="1333"/>
        <v>4271.712445000001</v>
      </c>
      <c r="FI122" s="51">
        <f t="shared" si="1334"/>
        <v>14121.427000681004</v>
      </c>
      <c r="FJ122" s="48">
        <f t="shared" si="1335"/>
        <v>4168.7796150000013</v>
      </c>
      <c r="FK122" s="51">
        <f t="shared" si="1336"/>
        <v>13781.151651267004</v>
      </c>
      <c r="FL122" s="53">
        <f t="shared" si="1337"/>
        <v>4065.8467850000006</v>
      </c>
      <c r="FM122" s="51">
        <f t="shared" si="1338"/>
        <v>13440.876301853003</v>
      </c>
      <c r="FN122" s="53">
        <f t="shared" si="1339"/>
        <v>3962.9139550000009</v>
      </c>
      <c r="FO122" s="51">
        <f t="shared" si="1340"/>
        <v>13100.600952439003</v>
      </c>
      <c r="FP122" s="53">
        <f t="shared" si="1341"/>
        <v>3859.9811250000007</v>
      </c>
      <c r="FQ122" s="51">
        <f t="shared" si="1342"/>
        <v>12760.325603025003</v>
      </c>
      <c r="FR122" s="48">
        <f t="shared" si="1343"/>
        <v>3757.0482950000005</v>
      </c>
      <c r="FS122" s="51">
        <f t="shared" si="1344"/>
        <v>12420.050253611002</v>
      </c>
      <c r="FT122" s="53">
        <f t="shared" si="1345"/>
        <v>3654.1154650000003</v>
      </c>
      <c r="FU122" s="51">
        <f t="shared" si="1346"/>
        <v>12079.774904197002</v>
      </c>
      <c r="FV122" s="53">
        <f t="shared" si="1347"/>
        <v>3551.1826350000001</v>
      </c>
      <c r="FW122" s="51">
        <f t="shared" si="1348"/>
        <v>11739.499554783</v>
      </c>
      <c r="FX122" s="53">
        <f t="shared" si="1349"/>
        <v>3448.2498049999999</v>
      </c>
      <c r="FY122" s="51">
        <f t="shared" si="1350"/>
        <v>11399.224205369001</v>
      </c>
      <c r="FZ122" s="53">
        <f t="shared" si="1351"/>
        <v>3345.3169750000002</v>
      </c>
      <c r="GA122" s="51">
        <f t="shared" si="1352"/>
        <v>11058.948855955001</v>
      </c>
      <c r="GB122" s="48">
        <f t="shared" si="1353"/>
        <v>3242.384145</v>
      </c>
      <c r="GC122" s="51">
        <f t="shared" si="1354"/>
        <v>10718.673506540999</v>
      </c>
      <c r="GD122" s="53">
        <f t="shared" si="1355"/>
        <v>3139.4513149999998</v>
      </c>
      <c r="GE122" s="51">
        <f t="shared" si="1356"/>
        <v>10378.398157127</v>
      </c>
      <c r="GF122" s="53">
        <f t="shared" si="1357"/>
        <v>3036.5184849999996</v>
      </c>
      <c r="GG122" s="51">
        <f t="shared" si="1358"/>
        <v>10038.122807712998</v>
      </c>
      <c r="GH122" s="48">
        <f t="shared" si="1359"/>
        <v>2933.5856549999994</v>
      </c>
      <c r="GI122" s="51">
        <f t="shared" si="1360"/>
        <v>9697.8474582989984</v>
      </c>
      <c r="GJ122" s="48"/>
      <c r="GK122" s="48"/>
      <c r="GL122" s="48">
        <v>1</v>
      </c>
      <c r="GM122" s="48">
        <v>0.97</v>
      </c>
      <c r="GN122" s="48">
        <v>0.95</v>
      </c>
      <c r="GO122" s="48">
        <v>0.93</v>
      </c>
      <c r="GP122" s="48">
        <f t="shared" ref="GP122:HG122" si="1391">+GO122-0.02</f>
        <v>0.91</v>
      </c>
      <c r="GQ122" s="48">
        <f t="shared" si="1391"/>
        <v>0.89</v>
      </c>
      <c r="GR122" s="48">
        <f t="shared" si="1391"/>
        <v>0.87</v>
      </c>
      <c r="GS122" s="48">
        <f t="shared" si="1391"/>
        <v>0.85</v>
      </c>
      <c r="GT122" s="48">
        <f t="shared" si="1391"/>
        <v>0.83</v>
      </c>
      <c r="GU122" s="48">
        <f t="shared" si="1391"/>
        <v>0.80999999999999994</v>
      </c>
      <c r="GV122" s="48">
        <f t="shared" si="1391"/>
        <v>0.78999999999999992</v>
      </c>
      <c r="GW122" s="48">
        <f t="shared" si="1391"/>
        <v>0.76999999999999991</v>
      </c>
      <c r="GX122" s="48">
        <f t="shared" si="1391"/>
        <v>0.74999999999999989</v>
      </c>
      <c r="GY122" s="48">
        <f t="shared" si="1391"/>
        <v>0.72999999999999987</v>
      </c>
      <c r="GZ122" s="48">
        <f t="shared" si="1391"/>
        <v>0.70999999999999985</v>
      </c>
      <c r="HA122" s="48">
        <f t="shared" si="1391"/>
        <v>0.68999999999999984</v>
      </c>
      <c r="HB122" s="48">
        <f t="shared" si="1391"/>
        <v>0.66999999999999982</v>
      </c>
      <c r="HC122" s="48">
        <f t="shared" si="1391"/>
        <v>0.6499999999999998</v>
      </c>
      <c r="HD122" s="48">
        <f t="shared" si="1391"/>
        <v>0.62999999999999978</v>
      </c>
      <c r="HE122" s="48">
        <f t="shared" si="1391"/>
        <v>0.60999999999999976</v>
      </c>
      <c r="HF122" s="48">
        <f t="shared" si="1391"/>
        <v>0.58999999999999975</v>
      </c>
      <c r="HG122" s="48">
        <f t="shared" si="1391"/>
        <v>0.56999999999999973</v>
      </c>
    </row>
    <row r="123" spans="1:215" x14ac:dyDescent="0.3">
      <c r="A123" s="2">
        <v>8</v>
      </c>
      <c r="C123" s="29" t="s">
        <v>186</v>
      </c>
      <c r="D123" s="44">
        <v>0</v>
      </c>
      <c r="E123" s="73">
        <f t="shared" si="1230"/>
        <v>0</v>
      </c>
      <c r="G123" s="48">
        <f t="shared" si="948"/>
        <v>0</v>
      </c>
      <c r="H123" s="48">
        <f t="shared" si="949"/>
        <v>0</v>
      </c>
      <c r="I123" s="51">
        <f t="shared" si="950"/>
        <v>0</v>
      </c>
      <c r="J123" s="48">
        <f t="shared" si="1231"/>
        <v>0</v>
      </c>
      <c r="K123" s="51">
        <f t="shared" si="1232"/>
        <v>0</v>
      </c>
      <c r="L123" s="48">
        <f t="shared" si="1233"/>
        <v>0</v>
      </c>
      <c r="M123" s="51">
        <f t="shared" si="1234"/>
        <v>0</v>
      </c>
      <c r="N123" s="48">
        <f t="shared" si="1235"/>
        <v>0</v>
      </c>
      <c r="O123" s="51">
        <f t="shared" si="1236"/>
        <v>0</v>
      </c>
      <c r="P123" s="52">
        <f t="shared" si="1237"/>
        <v>0</v>
      </c>
      <c r="Q123" s="51">
        <f t="shared" si="1238"/>
        <v>0</v>
      </c>
      <c r="R123" s="48">
        <f t="shared" si="1239"/>
        <v>0</v>
      </c>
      <c r="S123" s="51">
        <f t="shared" si="1240"/>
        <v>0</v>
      </c>
      <c r="T123" s="52">
        <f t="shared" si="1241"/>
        <v>0</v>
      </c>
      <c r="U123" s="51">
        <f t="shared" si="1242"/>
        <v>0</v>
      </c>
      <c r="V123" s="53">
        <f t="shared" si="1243"/>
        <v>0</v>
      </c>
      <c r="W123" s="51">
        <f t="shared" si="1244"/>
        <v>0</v>
      </c>
      <c r="X123" s="52">
        <f t="shared" si="1245"/>
        <v>0</v>
      </c>
      <c r="Y123" s="51">
        <f t="shared" si="1246"/>
        <v>0</v>
      </c>
      <c r="Z123" s="48">
        <f t="shared" si="1247"/>
        <v>0</v>
      </c>
      <c r="AA123" s="51">
        <f t="shared" si="1248"/>
        <v>0</v>
      </c>
      <c r="AB123" s="53">
        <f t="shared" si="1249"/>
        <v>0</v>
      </c>
      <c r="AC123" s="51">
        <f t="shared" si="1250"/>
        <v>0</v>
      </c>
      <c r="AD123" s="53">
        <f t="shared" si="1251"/>
        <v>0</v>
      </c>
      <c r="AE123" s="51">
        <f t="shared" si="1252"/>
        <v>0</v>
      </c>
      <c r="AF123" s="53">
        <f t="shared" si="1253"/>
        <v>0</v>
      </c>
      <c r="AG123" s="51">
        <f t="shared" si="1254"/>
        <v>0</v>
      </c>
      <c r="AH123" s="48">
        <f t="shared" si="1255"/>
        <v>0</v>
      </c>
      <c r="AI123" s="51">
        <f t="shared" si="1256"/>
        <v>0</v>
      </c>
      <c r="AJ123" s="53">
        <f t="shared" si="1257"/>
        <v>0</v>
      </c>
      <c r="AK123" s="51">
        <f t="shared" si="1258"/>
        <v>0</v>
      </c>
      <c r="AL123" s="53">
        <f t="shared" si="1259"/>
        <v>0</v>
      </c>
      <c r="AM123" s="51">
        <f t="shared" si="1260"/>
        <v>0</v>
      </c>
      <c r="AN123" s="53">
        <f t="shared" si="1261"/>
        <v>0</v>
      </c>
      <c r="AO123" s="51">
        <f t="shared" si="1262"/>
        <v>0</v>
      </c>
      <c r="AP123" s="53">
        <f t="shared" si="1263"/>
        <v>0</v>
      </c>
      <c r="AQ123" s="51">
        <f t="shared" si="1264"/>
        <v>0</v>
      </c>
      <c r="AR123" s="48">
        <f t="shared" si="1265"/>
        <v>0</v>
      </c>
      <c r="AS123" s="51">
        <f t="shared" si="1266"/>
        <v>0</v>
      </c>
      <c r="AT123" s="53">
        <f t="shared" si="1267"/>
        <v>0</v>
      </c>
      <c r="AU123" s="51">
        <f t="shared" si="1268"/>
        <v>0</v>
      </c>
      <c r="AV123" s="53">
        <f t="shared" si="1269"/>
        <v>0</v>
      </c>
      <c r="AW123" s="51">
        <f t="shared" si="1270"/>
        <v>0</v>
      </c>
      <c r="AX123" s="48">
        <f t="shared" si="1271"/>
        <v>0</v>
      </c>
      <c r="AY123" s="51">
        <f t="shared" si="1272"/>
        <v>0</v>
      </c>
      <c r="BB123" s="48">
        <v>1</v>
      </c>
      <c r="BC123" s="48">
        <v>0.97</v>
      </c>
      <c r="BD123" s="48">
        <v>0.95</v>
      </c>
      <c r="BE123" s="48">
        <v>0.93</v>
      </c>
      <c r="BF123" s="48">
        <f t="shared" ref="BF123:BW123" si="1392">+BE123-0.02</f>
        <v>0.91</v>
      </c>
      <c r="BG123" s="48">
        <f t="shared" si="1392"/>
        <v>0.89</v>
      </c>
      <c r="BH123" s="48">
        <f t="shared" si="1392"/>
        <v>0.87</v>
      </c>
      <c r="BI123" s="48">
        <f t="shared" si="1392"/>
        <v>0.85</v>
      </c>
      <c r="BJ123" s="48">
        <f t="shared" si="1392"/>
        <v>0.83</v>
      </c>
      <c r="BK123" s="48">
        <f t="shared" si="1392"/>
        <v>0.80999999999999994</v>
      </c>
      <c r="BL123" s="48">
        <f t="shared" si="1392"/>
        <v>0.78999999999999992</v>
      </c>
      <c r="BM123" s="48">
        <f t="shared" si="1392"/>
        <v>0.76999999999999991</v>
      </c>
      <c r="BN123" s="48">
        <f t="shared" si="1392"/>
        <v>0.74999999999999989</v>
      </c>
      <c r="BO123" s="48">
        <f t="shared" si="1392"/>
        <v>0.72999999999999987</v>
      </c>
      <c r="BP123" s="48">
        <f t="shared" si="1392"/>
        <v>0.70999999999999985</v>
      </c>
      <c r="BQ123" s="48">
        <f t="shared" si="1392"/>
        <v>0.68999999999999984</v>
      </c>
      <c r="BR123" s="48">
        <f t="shared" si="1392"/>
        <v>0.66999999999999982</v>
      </c>
      <c r="BS123" s="48">
        <f t="shared" si="1392"/>
        <v>0.6499999999999998</v>
      </c>
      <c r="BT123" s="48">
        <f t="shared" si="1392"/>
        <v>0.62999999999999978</v>
      </c>
      <c r="BU123" s="48">
        <f t="shared" si="1392"/>
        <v>0.60999999999999976</v>
      </c>
      <c r="BV123" s="48">
        <f t="shared" si="1392"/>
        <v>0.58999999999999975</v>
      </c>
      <c r="BW123" s="48">
        <f t="shared" si="1392"/>
        <v>0.56999999999999973</v>
      </c>
      <c r="BY123" s="48">
        <f t="shared" si="952"/>
        <v>0</v>
      </c>
      <c r="BZ123" s="48">
        <f t="shared" si="953"/>
        <v>0</v>
      </c>
      <c r="CA123" s="51">
        <f t="shared" ref="CA123" si="1393">+BZ123*3.3058</f>
        <v>0</v>
      </c>
      <c r="CB123" s="48">
        <f t="shared" si="1275"/>
        <v>0</v>
      </c>
      <c r="CC123" s="51">
        <f t="shared" si="1276"/>
        <v>0</v>
      </c>
      <c r="CD123" s="48">
        <f t="shared" si="1277"/>
        <v>0</v>
      </c>
      <c r="CE123" s="51">
        <f t="shared" si="1278"/>
        <v>0</v>
      </c>
      <c r="CF123" s="48">
        <f t="shared" si="1279"/>
        <v>0</v>
      </c>
      <c r="CG123" s="51">
        <f t="shared" si="1280"/>
        <v>0</v>
      </c>
      <c r="CH123" s="52">
        <f t="shared" si="1281"/>
        <v>0</v>
      </c>
      <c r="CI123" s="51">
        <f t="shared" si="1282"/>
        <v>0</v>
      </c>
      <c r="CJ123" s="48">
        <f t="shared" si="1283"/>
        <v>0</v>
      </c>
      <c r="CK123" s="51">
        <f t="shared" si="1284"/>
        <v>0</v>
      </c>
      <c r="CL123" s="52">
        <f t="shared" si="1285"/>
        <v>0</v>
      </c>
      <c r="CM123" s="51">
        <f t="shared" si="1286"/>
        <v>0</v>
      </c>
      <c r="CN123" s="53">
        <f t="shared" si="1287"/>
        <v>0</v>
      </c>
      <c r="CO123" s="51">
        <f t="shared" si="1288"/>
        <v>0</v>
      </c>
      <c r="CP123" s="52">
        <f t="shared" si="1289"/>
        <v>0</v>
      </c>
      <c r="CQ123" s="51">
        <f t="shared" si="1290"/>
        <v>0</v>
      </c>
      <c r="CR123" s="48">
        <f t="shared" si="1291"/>
        <v>0</v>
      </c>
      <c r="CS123" s="51">
        <f t="shared" si="1292"/>
        <v>0</v>
      </c>
      <c r="CT123" s="53">
        <f t="shared" si="1293"/>
        <v>0</v>
      </c>
      <c r="CU123" s="51">
        <f t="shared" si="1294"/>
        <v>0</v>
      </c>
      <c r="CV123" s="53">
        <f t="shared" si="1295"/>
        <v>0</v>
      </c>
      <c r="CW123" s="51">
        <f t="shared" si="1296"/>
        <v>0</v>
      </c>
      <c r="CX123" s="53">
        <f t="shared" si="1297"/>
        <v>0</v>
      </c>
      <c r="CY123" s="51">
        <f t="shared" si="1298"/>
        <v>0</v>
      </c>
      <c r="CZ123" s="48">
        <f t="shared" si="1299"/>
        <v>0</v>
      </c>
      <c r="DA123" s="51">
        <f t="shared" si="1300"/>
        <v>0</v>
      </c>
      <c r="DB123" s="53">
        <f t="shared" si="1301"/>
        <v>0</v>
      </c>
      <c r="DC123" s="51">
        <f t="shared" si="1302"/>
        <v>0</v>
      </c>
      <c r="DD123" s="53">
        <f t="shared" si="1303"/>
        <v>0</v>
      </c>
      <c r="DE123" s="51">
        <f t="shared" si="1304"/>
        <v>0</v>
      </c>
      <c r="DF123" s="53">
        <f t="shared" si="1305"/>
        <v>0</v>
      </c>
      <c r="DG123" s="51">
        <f t="shared" si="1306"/>
        <v>0</v>
      </c>
      <c r="DH123" s="53">
        <f t="shared" si="1307"/>
        <v>0</v>
      </c>
      <c r="DI123" s="51">
        <f t="shared" si="1308"/>
        <v>0</v>
      </c>
      <c r="DJ123" s="48">
        <f t="shared" si="1309"/>
        <v>0</v>
      </c>
      <c r="DK123" s="51">
        <f t="shared" si="1310"/>
        <v>0</v>
      </c>
      <c r="DL123" s="53">
        <f t="shared" si="1311"/>
        <v>0</v>
      </c>
      <c r="DM123" s="51">
        <f t="shared" si="1312"/>
        <v>0</v>
      </c>
      <c r="DN123" s="53">
        <f t="shared" si="1313"/>
        <v>0</v>
      </c>
      <c r="DO123" s="51">
        <f t="shared" si="1314"/>
        <v>0</v>
      </c>
      <c r="DP123" s="48">
        <f t="shared" si="1315"/>
        <v>0</v>
      </c>
      <c r="DQ123" s="51">
        <f t="shared" si="1316"/>
        <v>0</v>
      </c>
      <c r="DT123" s="48">
        <v>1</v>
      </c>
      <c r="DU123" s="48">
        <v>0.97</v>
      </c>
      <c r="DV123" s="48">
        <v>0.95</v>
      </c>
      <c r="DW123" s="48">
        <v>0.93</v>
      </c>
      <c r="DX123" s="48">
        <f t="shared" ref="DX123:EO123" si="1394">+DW123-0.02</f>
        <v>0.91</v>
      </c>
      <c r="DY123" s="48">
        <f t="shared" si="1394"/>
        <v>0.89</v>
      </c>
      <c r="DZ123" s="48">
        <f t="shared" si="1394"/>
        <v>0.87</v>
      </c>
      <c r="EA123" s="48">
        <f t="shared" si="1394"/>
        <v>0.85</v>
      </c>
      <c r="EB123" s="48">
        <f t="shared" si="1394"/>
        <v>0.83</v>
      </c>
      <c r="EC123" s="48">
        <f t="shared" si="1394"/>
        <v>0.80999999999999994</v>
      </c>
      <c r="ED123" s="48">
        <f t="shared" si="1394"/>
        <v>0.78999999999999992</v>
      </c>
      <c r="EE123" s="48">
        <f t="shared" si="1394"/>
        <v>0.76999999999999991</v>
      </c>
      <c r="EF123" s="48">
        <f t="shared" si="1394"/>
        <v>0.74999999999999989</v>
      </c>
      <c r="EG123" s="48">
        <f t="shared" si="1394"/>
        <v>0.72999999999999987</v>
      </c>
      <c r="EH123" s="48">
        <f t="shared" si="1394"/>
        <v>0.70999999999999985</v>
      </c>
      <c r="EI123" s="48">
        <f t="shared" si="1394"/>
        <v>0.68999999999999984</v>
      </c>
      <c r="EJ123" s="48">
        <f t="shared" si="1394"/>
        <v>0.66999999999999982</v>
      </c>
      <c r="EK123" s="48">
        <f t="shared" si="1394"/>
        <v>0.6499999999999998</v>
      </c>
      <c r="EL123" s="48">
        <f t="shared" si="1394"/>
        <v>0.62999999999999978</v>
      </c>
      <c r="EM123" s="48">
        <f t="shared" si="1394"/>
        <v>0.60999999999999976</v>
      </c>
      <c r="EN123" s="48">
        <f t="shared" si="1394"/>
        <v>0.58999999999999975</v>
      </c>
      <c r="EO123" s="48">
        <f t="shared" si="1394"/>
        <v>0.56999999999999973</v>
      </c>
      <c r="EQ123" s="48">
        <f t="shared" si="1128"/>
        <v>0</v>
      </c>
      <c r="ER123" s="48">
        <f t="shared" si="956"/>
        <v>0</v>
      </c>
      <c r="ES123" s="51">
        <f t="shared" ref="ES123" si="1395">+ER123*3.3058</f>
        <v>0</v>
      </c>
      <c r="ET123" s="48">
        <f t="shared" si="1319"/>
        <v>0</v>
      </c>
      <c r="EU123" s="51">
        <f t="shared" si="1320"/>
        <v>0</v>
      </c>
      <c r="EV123" s="48">
        <f t="shared" si="1321"/>
        <v>0</v>
      </c>
      <c r="EW123" s="51">
        <f t="shared" si="1322"/>
        <v>0</v>
      </c>
      <c r="EX123" s="48">
        <f t="shared" si="1323"/>
        <v>0</v>
      </c>
      <c r="EY123" s="51">
        <f t="shared" si="1324"/>
        <v>0</v>
      </c>
      <c r="EZ123" s="52">
        <f t="shared" si="1325"/>
        <v>0</v>
      </c>
      <c r="FA123" s="51">
        <f t="shared" si="1326"/>
        <v>0</v>
      </c>
      <c r="FB123" s="48">
        <f t="shared" si="1327"/>
        <v>0</v>
      </c>
      <c r="FC123" s="51">
        <f t="shared" si="1328"/>
        <v>0</v>
      </c>
      <c r="FD123" s="52">
        <f t="shared" si="1329"/>
        <v>0</v>
      </c>
      <c r="FE123" s="51">
        <f t="shared" si="1330"/>
        <v>0</v>
      </c>
      <c r="FF123" s="53">
        <f t="shared" si="1331"/>
        <v>0</v>
      </c>
      <c r="FG123" s="51">
        <f t="shared" si="1332"/>
        <v>0</v>
      </c>
      <c r="FH123" s="52">
        <f t="shared" si="1333"/>
        <v>0</v>
      </c>
      <c r="FI123" s="51">
        <f t="shared" si="1334"/>
        <v>0</v>
      </c>
      <c r="FJ123" s="48">
        <f t="shared" si="1335"/>
        <v>0</v>
      </c>
      <c r="FK123" s="51">
        <f t="shared" si="1336"/>
        <v>0</v>
      </c>
      <c r="FL123" s="53">
        <f t="shared" si="1337"/>
        <v>0</v>
      </c>
      <c r="FM123" s="51">
        <f t="shared" si="1338"/>
        <v>0</v>
      </c>
      <c r="FN123" s="53">
        <f t="shared" si="1339"/>
        <v>0</v>
      </c>
      <c r="FO123" s="51">
        <f t="shared" si="1340"/>
        <v>0</v>
      </c>
      <c r="FP123" s="53">
        <f t="shared" si="1341"/>
        <v>0</v>
      </c>
      <c r="FQ123" s="51">
        <f t="shared" si="1342"/>
        <v>0</v>
      </c>
      <c r="FR123" s="48">
        <f t="shared" si="1343"/>
        <v>0</v>
      </c>
      <c r="FS123" s="51">
        <f t="shared" si="1344"/>
        <v>0</v>
      </c>
      <c r="FT123" s="53">
        <f t="shared" si="1345"/>
        <v>0</v>
      </c>
      <c r="FU123" s="51">
        <f t="shared" si="1346"/>
        <v>0</v>
      </c>
      <c r="FV123" s="53">
        <f t="shared" si="1347"/>
        <v>0</v>
      </c>
      <c r="FW123" s="51">
        <f t="shared" si="1348"/>
        <v>0</v>
      </c>
      <c r="FX123" s="53">
        <f t="shared" si="1349"/>
        <v>0</v>
      </c>
      <c r="FY123" s="51">
        <f t="shared" si="1350"/>
        <v>0</v>
      </c>
      <c r="FZ123" s="53">
        <f t="shared" si="1351"/>
        <v>0</v>
      </c>
      <c r="GA123" s="51">
        <f t="shared" si="1352"/>
        <v>0</v>
      </c>
      <c r="GB123" s="48">
        <f t="shared" si="1353"/>
        <v>0</v>
      </c>
      <c r="GC123" s="51">
        <f t="shared" si="1354"/>
        <v>0</v>
      </c>
      <c r="GD123" s="53">
        <f t="shared" si="1355"/>
        <v>0</v>
      </c>
      <c r="GE123" s="51">
        <f t="shared" si="1356"/>
        <v>0</v>
      </c>
      <c r="GF123" s="53">
        <f t="shared" si="1357"/>
        <v>0</v>
      </c>
      <c r="GG123" s="51">
        <f t="shared" si="1358"/>
        <v>0</v>
      </c>
      <c r="GH123" s="48">
        <f t="shared" si="1359"/>
        <v>0</v>
      </c>
      <c r="GI123" s="51">
        <f t="shared" si="1360"/>
        <v>0</v>
      </c>
      <c r="GJ123" s="48"/>
      <c r="GK123" s="48"/>
      <c r="GL123" s="48">
        <v>1</v>
      </c>
      <c r="GM123" s="48">
        <v>0.97</v>
      </c>
      <c r="GN123" s="48">
        <v>0.95</v>
      </c>
      <c r="GO123" s="48">
        <v>0.93</v>
      </c>
      <c r="GP123" s="48">
        <f t="shared" ref="GP123:HG123" si="1396">+GO123-0.02</f>
        <v>0.91</v>
      </c>
      <c r="GQ123" s="48">
        <f t="shared" si="1396"/>
        <v>0.89</v>
      </c>
      <c r="GR123" s="48">
        <f t="shared" si="1396"/>
        <v>0.87</v>
      </c>
      <c r="GS123" s="48">
        <f t="shared" si="1396"/>
        <v>0.85</v>
      </c>
      <c r="GT123" s="48">
        <f t="shared" si="1396"/>
        <v>0.83</v>
      </c>
      <c r="GU123" s="48">
        <f t="shared" si="1396"/>
        <v>0.80999999999999994</v>
      </c>
      <c r="GV123" s="48">
        <f t="shared" si="1396"/>
        <v>0.78999999999999992</v>
      </c>
      <c r="GW123" s="48">
        <f t="shared" si="1396"/>
        <v>0.76999999999999991</v>
      </c>
      <c r="GX123" s="48">
        <f t="shared" si="1396"/>
        <v>0.74999999999999989</v>
      </c>
      <c r="GY123" s="48">
        <f t="shared" si="1396"/>
        <v>0.72999999999999987</v>
      </c>
      <c r="GZ123" s="48">
        <f t="shared" si="1396"/>
        <v>0.70999999999999985</v>
      </c>
      <c r="HA123" s="48">
        <f t="shared" si="1396"/>
        <v>0.68999999999999984</v>
      </c>
      <c r="HB123" s="48">
        <f t="shared" si="1396"/>
        <v>0.66999999999999982</v>
      </c>
      <c r="HC123" s="48">
        <f t="shared" si="1396"/>
        <v>0.6499999999999998</v>
      </c>
      <c r="HD123" s="48">
        <f t="shared" si="1396"/>
        <v>0.62999999999999978</v>
      </c>
      <c r="HE123" s="48">
        <f t="shared" si="1396"/>
        <v>0.60999999999999976</v>
      </c>
      <c r="HF123" s="48">
        <f t="shared" si="1396"/>
        <v>0.58999999999999975</v>
      </c>
      <c r="HG123" s="48">
        <f t="shared" si="1396"/>
        <v>0.56999999999999973</v>
      </c>
    </row>
    <row r="124" spans="1:215" ht="17.25" customHeight="1" x14ac:dyDescent="0.3">
      <c r="A124" s="2">
        <v>9</v>
      </c>
      <c r="C124" s="29" t="s">
        <v>187</v>
      </c>
      <c r="D124" s="44">
        <v>0</v>
      </c>
      <c r="E124" s="73">
        <f t="shared" si="1230"/>
        <v>0</v>
      </c>
      <c r="G124" s="48">
        <f t="shared" si="948"/>
        <v>0</v>
      </c>
      <c r="H124" s="48">
        <f t="shared" si="949"/>
        <v>0</v>
      </c>
      <c r="I124" s="51">
        <f t="shared" si="950"/>
        <v>0</v>
      </c>
      <c r="J124" s="48">
        <f t="shared" si="1231"/>
        <v>0</v>
      </c>
      <c r="K124" s="51">
        <f t="shared" si="1232"/>
        <v>0</v>
      </c>
      <c r="L124" s="48">
        <f t="shared" si="1233"/>
        <v>0</v>
      </c>
      <c r="M124" s="51">
        <f t="shared" si="1234"/>
        <v>0</v>
      </c>
      <c r="N124" s="48">
        <f t="shared" si="1235"/>
        <v>0</v>
      </c>
      <c r="O124" s="51">
        <f t="shared" si="1236"/>
        <v>0</v>
      </c>
      <c r="P124" s="52">
        <f t="shared" si="1237"/>
        <v>0</v>
      </c>
      <c r="Q124" s="51">
        <f t="shared" si="1238"/>
        <v>0</v>
      </c>
      <c r="R124" s="48">
        <f t="shared" si="1239"/>
        <v>0</v>
      </c>
      <c r="S124" s="51">
        <f t="shared" si="1240"/>
        <v>0</v>
      </c>
      <c r="T124" s="52">
        <f t="shared" si="1241"/>
        <v>0</v>
      </c>
      <c r="U124" s="51">
        <f t="shared" si="1242"/>
        <v>0</v>
      </c>
      <c r="V124" s="53">
        <f t="shared" si="1243"/>
        <v>0</v>
      </c>
      <c r="W124" s="51">
        <f t="shared" si="1244"/>
        <v>0</v>
      </c>
      <c r="X124" s="52">
        <f t="shared" si="1245"/>
        <v>0</v>
      </c>
      <c r="Y124" s="51">
        <f t="shared" si="1246"/>
        <v>0</v>
      </c>
      <c r="Z124" s="48">
        <f t="shared" si="1247"/>
        <v>0</v>
      </c>
      <c r="AA124" s="51">
        <f t="shared" si="1248"/>
        <v>0</v>
      </c>
      <c r="AB124" s="53">
        <f t="shared" si="1249"/>
        <v>0</v>
      </c>
      <c r="AC124" s="51">
        <f t="shared" si="1250"/>
        <v>0</v>
      </c>
      <c r="AD124" s="53">
        <f t="shared" si="1251"/>
        <v>0</v>
      </c>
      <c r="AE124" s="51">
        <f t="shared" si="1252"/>
        <v>0</v>
      </c>
      <c r="AF124" s="53">
        <f t="shared" si="1253"/>
        <v>0</v>
      </c>
      <c r="AG124" s="51">
        <f t="shared" si="1254"/>
        <v>0</v>
      </c>
      <c r="AH124" s="48">
        <f t="shared" si="1255"/>
        <v>0</v>
      </c>
      <c r="AI124" s="51">
        <f t="shared" si="1256"/>
        <v>0</v>
      </c>
      <c r="AJ124" s="53">
        <f t="shared" si="1257"/>
        <v>0</v>
      </c>
      <c r="AK124" s="51">
        <f t="shared" si="1258"/>
        <v>0</v>
      </c>
      <c r="AL124" s="53">
        <f t="shared" si="1259"/>
        <v>0</v>
      </c>
      <c r="AM124" s="51">
        <f t="shared" si="1260"/>
        <v>0</v>
      </c>
      <c r="AN124" s="53">
        <f t="shared" si="1261"/>
        <v>0</v>
      </c>
      <c r="AO124" s="51">
        <f t="shared" si="1262"/>
        <v>0</v>
      </c>
      <c r="AP124" s="53">
        <f t="shared" si="1263"/>
        <v>0</v>
      </c>
      <c r="AQ124" s="51">
        <f t="shared" si="1264"/>
        <v>0</v>
      </c>
      <c r="AR124" s="48">
        <f t="shared" si="1265"/>
        <v>0</v>
      </c>
      <c r="AS124" s="51">
        <f t="shared" si="1266"/>
        <v>0</v>
      </c>
      <c r="AT124" s="53">
        <f t="shared" si="1267"/>
        <v>0</v>
      </c>
      <c r="AU124" s="51">
        <f t="shared" si="1268"/>
        <v>0</v>
      </c>
      <c r="AV124" s="53">
        <f t="shared" si="1269"/>
        <v>0</v>
      </c>
      <c r="AW124" s="51">
        <f t="shared" si="1270"/>
        <v>0</v>
      </c>
      <c r="AX124" s="48">
        <f t="shared" si="1271"/>
        <v>0</v>
      </c>
      <c r="AY124" s="51">
        <f t="shared" si="1272"/>
        <v>0</v>
      </c>
      <c r="BB124" s="48">
        <v>1</v>
      </c>
      <c r="BC124" s="48">
        <v>0.97</v>
      </c>
      <c r="BD124" s="48">
        <v>0.95</v>
      </c>
      <c r="BE124" s="48">
        <v>0.93</v>
      </c>
      <c r="BF124" s="48">
        <f t="shared" ref="BF124:BW124" si="1397">+BE124-0.02</f>
        <v>0.91</v>
      </c>
      <c r="BG124" s="48">
        <f t="shared" si="1397"/>
        <v>0.89</v>
      </c>
      <c r="BH124" s="48">
        <f t="shared" si="1397"/>
        <v>0.87</v>
      </c>
      <c r="BI124" s="48">
        <f t="shared" si="1397"/>
        <v>0.85</v>
      </c>
      <c r="BJ124" s="48">
        <f t="shared" si="1397"/>
        <v>0.83</v>
      </c>
      <c r="BK124" s="48">
        <f t="shared" si="1397"/>
        <v>0.80999999999999994</v>
      </c>
      <c r="BL124" s="48">
        <f t="shared" si="1397"/>
        <v>0.78999999999999992</v>
      </c>
      <c r="BM124" s="48">
        <f t="shared" si="1397"/>
        <v>0.76999999999999991</v>
      </c>
      <c r="BN124" s="48">
        <f t="shared" si="1397"/>
        <v>0.74999999999999989</v>
      </c>
      <c r="BO124" s="48">
        <f t="shared" si="1397"/>
        <v>0.72999999999999987</v>
      </c>
      <c r="BP124" s="48">
        <f t="shared" si="1397"/>
        <v>0.70999999999999985</v>
      </c>
      <c r="BQ124" s="48">
        <f t="shared" si="1397"/>
        <v>0.68999999999999984</v>
      </c>
      <c r="BR124" s="48">
        <f t="shared" si="1397"/>
        <v>0.66999999999999982</v>
      </c>
      <c r="BS124" s="48">
        <f t="shared" si="1397"/>
        <v>0.6499999999999998</v>
      </c>
      <c r="BT124" s="48">
        <f t="shared" si="1397"/>
        <v>0.62999999999999978</v>
      </c>
      <c r="BU124" s="48">
        <f t="shared" si="1397"/>
        <v>0.60999999999999976</v>
      </c>
      <c r="BV124" s="48">
        <f t="shared" si="1397"/>
        <v>0.58999999999999975</v>
      </c>
      <c r="BW124" s="48">
        <f t="shared" si="1397"/>
        <v>0.56999999999999973</v>
      </c>
      <c r="BY124" s="48">
        <f t="shared" si="952"/>
        <v>0</v>
      </c>
      <c r="BZ124" s="48">
        <f t="shared" si="953"/>
        <v>0</v>
      </c>
      <c r="CA124" s="51">
        <f t="shared" ref="CA124" si="1398">+BZ124*3.3058</f>
        <v>0</v>
      </c>
      <c r="CB124" s="48">
        <f t="shared" si="1275"/>
        <v>0</v>
      </c>
      <c r="CC124" s="51">
        <f t="shared" si="1276"/>
        <v>0</v>
      </c>
      <c r="CD124" s="48">
        <f t="shared" si="1277"/>
        <v>0</v>
      </c>
      <c r="CE124" s="51">
        <f t="shared" si="1278"/>
        <v>0</v>
      </c>
      <c r="CF124" s="48">
        <f t="shared" si="1279"/>
        <v>0</v>
      </c>
      <c r="CG124" s="51">
        <f t="shared" si="1280"/>
        <v>0</v>
      </c>
      <c r="CH124" s="52">
        <f t="shared" si="1281"/>
        <v>0</v>
      </c>
      <c r="CI124" s="51">
        <f t="shared" si="1282"/>
        <v>0</v>
      </c>
      <c r="CJ124" s="48">
        <f t="shared" si="1283"/>
        <v>0</v>
      </c>
      <c r="CK124" s="51">
        <f t="shared" si="1284"/>
        <v>0</v>
      </c>
      <c r="CL124" s="52">
        <f t="shared" si="1285"/>
        <v>0</v>
      </c>
      <c r="CM124" s="51">
        <f t="shared" si="1286"/>
        <v>0</v>
      </c>
      <c r="CN124" s="53">
        <f t="shared" si="1287"/>
        <v>0</v>
      </c>
      <c r="CO124" s="51">
        <f t="shared" si="1288"/>
        <v>0</v>
      </c>
      <c r="CP124" s="52">
        <f t="shared" si="1289"/>
        <v>0</v>
      </c>
      <c r="CQ124" s="51">
        <f t="shared" si="1290"/>
        <v>0</v>
      </c>
      <c r="CR124" s="48">
        <f t="shared" si="1291"/>
        <v>0</v>
      </c>
      <c r="CS124" s="51">
        <f t="shared" si="1292"/>
        <v>0</v>
      </c>
      <c r="CT124" s="53">
        <f t="shared" si="1293"/>
        <v>0</v>
      </c>
      <c r="CU124" s="51">
        <f t="shared" si="1294"/>
        <v>0</v>
      </c>
      <c r="CV124" s="53">
        <f t="shared" si="1295"/>
        <v>0</v>
      </c>
      <c r="CW124" s="51">
        <f t="shared" si="1296"/>
        <v>0</v>
      </c>
      <c r="CX124" s="53">
        <f t="shared" si="1297"/>
        <v>0</v>
      </c>
      <c r="CY124" s="51">
        <f t="shared" si="1298"/>
        <v>0</v>
      </c>
      <c r="CZ124" s="48">
        <f t="shared" si="1299"/>
        <v>0</v>
      </c>
      <c r="DA124" s="51">
        <f t="shared" si="1300"/>
        <v>0</v>
      </c>
      <c r="DB124" s="53">
        <f t="shared" si="1301"/>
        <v>0</v>
      </c>
      <c r="DC124" s="51">
        <f t="shared" si="1302"/>
        <v>0</v>
      </c>
      <c r="DD124" s="53">
        <f t="shared" si="1303"/>
        <v>0</v>
      </c>
      <c r="DE124" s="51">
        <f t="shared" si="1304"/>
        <v>0</v>
      </c>
      <c r="DF124" s="53">
        <f t="shared" si="1305"/>
        <v>0</v>
      </c>
      <c r="DG124" s="51">
        <f t="shared" si="1306"/>
        <v>0</v>
      </c>
      <c r="DH124" s="53">
        <f t="shared" si="1307"/>
        <v>0</v>
      </c>
      <c r="DI124" s="51">
        <f t="shared" si="1308"/>
        <v>0</v>
      </c>
      <c r="DJ124" s="48">
        <f t="shared" si="1309"/>
        <v>0</v>
      </c>
      <c r="DK124" s="51">
        <f t="shared" si="1310"/>
        <v>0</v>
      </c>
      <c r="DL124" s="53">
        <f t="shared" si="1311"/>
        <v>0</v>
      </c>
      <c r="DM124" s="51">
        <f t="shared" si="1312"/>
        <v>0</v>
      </c>
      <c r="DN124" s="53">
        <f t="shared" si="1313"/>
        <v>0</v>
      </c>
      <c r="DO124" s="51">
        <f t="shared" si="1314"/>
        <v>0</v>
      </c>
      <c r="DP124" s="48">
        <f t="shared" si="1315"/>
        <v>0</v>
      </c>
      <c r="DQ124" s="51">
        <f t="shared" si="1316"/>
        <v>0</v>
      </c>
      <c r="DT124" s="48">
        <v>1</v>
      </c>
      <c r="DU124" s="48">
        <v>0.97</v>
      </c>
      <c r="DV124" s="48">
        <v>0.95</v>
      </c>
      <c r="DW124" s="48">
        <v>0.93</v>
      </c>
      <c r="DX124" s="48">
        <f t="shared" ref="DX124:EO124" si="1399">+DW124-0.02</f>
        <v>0.91</v>
      </c>
      <c r="DY124" s="48">
        <f t="shared" si="1399"/>
        <v>0.89</v>
      </c>
      <c r="DZ124" s="48">
        <f t="shared" si="1399"/>
        <v>0.87</v>
      </c>
      <c r="EA124" s="48">
        <f t="shared" si="1399"/>
        <v>0.85</v>
      </c>
      <c r="EB124" s="48">
        <f t="shared" si="1399"/>
        <v>0.83</v>
      </c>
      <c r="EC124" s="48">
        <f t="shared" si="1399"/>
        <v>0.80999999999999994</v>
      </c>
      <c r="ED124" s="48">
        <f t="shared" si="1399"/>
        <v>0.78999999999999992</v>
      </c>
      <c r="EE124" s="48">
        <f t="shared" si="1399"/>
        <v>0.76999999999999991</v>
      </c>
      <c r="EF124" s="48">
        <f t="shared" si="1399"/>
        <v>0.74999999999999989</v>
      </c>
      <c r="EG124" s="48">
        <f t="shared" si="1399"/>
        <v>0.72999999999999987</v>
      </c>
      <c r="EH124" s="48">
        <f t="shared" si="1399"/>
        <v>0.70999999999999985</v>
      </c>
      <c r="EI124" s="48">
        <f t="shared" si="1399"/>
        <v>0.68999999999999984</v>
      </c>
      <c r="EJ124" s="48">
        <f t="shared" si="1399"/>
        <v>0.66999999999999982</v>
      </c>
      <c r="EK124" s="48">
        <f t="shared" si="1399"/>
        <v>0.6499999999999998</v>
      </c>
      <c r="EL124" s="48">
        <f t="shared" si="1399"/>
        <v>0.62999999999999978</v>
      </c>
      <c r="EM124" s="48">
        <f t="shared" si="1399"/>
        <v>0.60999999999999976</v>
      </c>
      <c r="EN124" s="48">
        <f t="shared" si="1399"/>
        <v>0.58999999999999975</v>
      </c>
      <c r="EO124" s="48">
        <f t="shared" si="1399"/>
        <v>0.56999999999999973</v>
      </c>
      <c r="EQ124" s="48">
        <f t="shared" si="1128"/>
        <v>0</v>
      </c>
      <c r="ER124" s="48">
        <f t="shared" si="956"/>
        <v>0</v>
      </c>
      <c r="ES124" s="51">
        <f t="shared" ref="ES124" si="1400">+ER124*3.3058</f>
        <v>0</v>
      </c>
      <c r="ET124" s="48">
        <f t="shared" si="1319"/>
        <v>0</v>
      </c>
      <c r="EU124" s="51">
        <f t="shared" si="1320"/>
        <v>0</v>
      </c>
      <c r="EV124" s="48">
        <f t="shared" si="1321"/>
        <v>0</v>
      </c>
      <c r="EW124" s="51">
        <f t="shared" si="1322"/>
        <v>0</v>
      </c>
      <c r="EX124" s="48">
        <f t="shared" si="1323"/>
        <v>0</v>
      </c>
      <c r="EY124" s="51">
        <f t="shared" si="1324"/>
        <v>0</v>
      </c>
      <c r="EZ124" s="52">
        <f t="shared" si="1325"/>
        <v>0</v>
      </c>
      <c r="FA124" s="51">
        <f t="shared" si="1326"/>
        <v>0</v>
      </c>
      <c r="FB124" s="48">
        <f t="shared" si="1327"/>
        <v>0</v>
      </c>
      <c r="FC124" s="51">
        <f t="shared" si="1328"/>
        <v>0</v>
      </c>
      <c r="FD124" s="52">
        <f t="shared" si="1329"/>
        <v>0</v>
      </c>
      <c r="FE124" s="51">
        <f t="shared" si="1330"/>
        <v>0</v>
      </c>
      <c r="FF124" s="53">
        <f t="shared" si="1331"/>
        <v>0</v>
      </c>
      <c r="FG124" s="51">
        <f t="shared" si="1332"/>
        <v>0</v>
      </c>
      <c r="FH124" s="52">
        <f t="shared" si="1333"/>
        <v>0</v>
      </c>
      <c r="FI124" s="51">
        <f t="shared" si="1334"/>
        <v>0</v>
      </c>
      <c r="FJ124" s="48">
        <f t="shared" si="1335"/>
        <v>0</v>
      </c>
      <c r="FK124" s="51">
        <f t="shared" si="1336"/>
        <v>0</v>
      </c>
      <c r="FL124" s="53">
        <f t="shared" si="1337"/>
        <v>0</v>
      </c>
      <c r="FM124" s="51">
        <f t="shared" si="1338"/>
        <v>0</v>
      </c>
      <c r="FN124" s="53">
        <f t="shared" si="1339"/>
        <v>0</v>
      </c>
      <c r="FO124" s="51">
        <f t="shared" si="1340"/>
        <v>0</v>
      </c>
      <c r="FP124" s="53">
        <f t="shared" si="1341"/>
        <v>0</v>
      </c>
      <c r="FQ124" s="51">
        <f t="shared" si="1342"/>
        <v>0</v>
      </c>
      <c r="FR124" s="48">
        <f t="shared" si="1343"/>
        <v>0</v>
      </c>
      <c r="FS124" s="51">
        <f t="shared" si="1344"/>
        <v>0</v>
      </c>
      <c r="FT124" s="53">
        <f t="shared" si="1345"/>
        <v>0</v>
      </c>
      <c r="FU124" s="51">
        <f t="shared" si="1346"/>
        <v>0</v>
      </c>
      <c r="FV124" s="53">
        <f t="shared" si="1347"/>
        <v>0</v>
      </c>
      <c r="FW124" s="51">
        <f t="shared" si="1348"/>
        <v>0</v>
      </c>
      <c r="FX124" s="53">
        <f t="shared" si="1349"/>
        <v>0</v>
      </c>
      <c r="FY124" s="51">
        <f t="shared" si="1350"/>
        <v>0</v>
      </c>
      <c r="FZ124" s="53">
        <f t="shared" si="1351"/>
        <v>0</v>
      </c>
      <c r="GA124" s="51">
        <f t="shared" si="1352"/>
        <v>0</v>
      </c>
      <c r="GB124" s="48">
        <f t="shared" si="1353"/>
        <v>0</v>
      </c>
      <c r="GC124" s="51">
        <f t="shared" si="1354"/>
        <v>0</v>
      </c>
      <c r="GD124" s="53">
        <f t="shared" si="1355"/>
        <v>0</v>
      </c>
      <c r="GE124" s="51">
        <f t="shared" si="1356"/>
        <v>0</v>
      </c>
      <c r="GF124" s="53">
        <f t="shared" si="1357"/>
        <v>0</v>
      </c>
      <c r="GG124" s="51">
        <f t="shared" si="1358"/>
        <v>0</v>
      </c>
      <c r="GH124" s="48">
        <f t="shared" si="1359"/>
        <v>0</v>
      </c>
      <c r="GI124" s="51">
        <f t="shared" si="1360"/>
        <v>0</v>
      </c>
      <c r="GJ124" s="48"/>
      <c r="GK124" s="48"/>
      <c r="GL124" s="48">
        <v>1</v>
      </c>
      <c r="GM124" s="48">
        <v>0.97</v>
      </c>
      <c r="GN124" s="48">
        <v>0.95</v>
      </c>
      <c r="GO124" s="48">
        <v>0.93</v>
      </c>
      <c r="GP124" s="48">
        <f t="shared" ref="GP124:HG124" si="1401">+GO124-0.02</f>
        <v>0.91</v>
      </c>
      <c r="GQ124" s="48">
        <f t="shared" si="1401"/>
        <v>0.89</v>
      </c>
      <c r="GR124" s="48">
        <f t="shared" si="1401"/>
        <v>0.87</v>
      </c>
      <c r="GS124" s="48">
        <f t="shared" si="1401"/>
        <v>0.85</v>
      </c>
      <c r="GT124" s="48">
        <f t="shared" si="1401"/>
        <v>0.83</v>
      </c>
      <c r="GU124" s="48">
        <f t="shared" si="1401"/>
        <v>0.80999999999999994</v>
      </c>
      <c r="GV124" s="48">
        <f t="shared" si="1401"/>
        <v>0.78999999999999992</v>
      </c>
      <c r="GW124" s="48">
        <f t="shared" si="1401"/>
        <v>0.76999999999999991</v>
      </c>
      <c r="GX124" s="48">
        <f t="shared" si="1401"/>
        <v>0.74999999999999989</v>
      </c>
      <c r="GY124" s="48">
        <f t="shared" si="1401"/>
        <v>0.72999999999999987</v>
      </c>
      <c r="GZ124" s="48">
        <f t="shared" si="1401"/>
        <v>0.70999999999999985</v>
      </c>
      <c r="HA124" s="48">
        <f t="shared" si="1401"/>
        <v>0.68999999999999984</v>
      </c>
      <c r="HB124" s="48">
        <f t="shared" si="1401"/>
        <v>0.66999999999999982</v>
      </c>
      <c r="HC124" s="48">
        <f t="shared" si="1401"/>
        <v>0.6499999999999998</v>
      </c>
      <c r="HD124" s="48">
        <f t="shared" si="1401"/>
        <v>0.62999999999999978</v>
      </c>
      <c r="HE124" s="48">
        <f t="shared" si="1401"/>
        <v>0.60999999999999976</v>
      </c>
      <c r="HF124" s="48">
        <f t="shared" si="1401"/>
        <v>0.58999999999999975</v>
      </c>
      <c r="HG124" s="48">
        <f t="shared" si="1401"/>
        <v>0.56999999999999973</v>
      </c>
    </row>
    <row r="125" spans="1:215" x14ac:dyDescent="0.3">
      <c r="A125" s="2">
        <v>10</v>
      </c>
      <c r="C125" s="29" t="s">
        <v>156</v>
      </c>
      <c r="D125" s="44">
        <f>TRUNC(2882.89760348584,-1)</f>
        <v>2880</v>
      </c>
      <c r="E125" s="73">
        <f t="shared" si="1230"/>
        <v>9520</v>
      </c>
      <c r="G125" s="48">
        <f t="shared" si="948"/>
        <v>3168.0000000000005</v>
      </c>
      <c r="H125" s="48">
        <f t="shared" si="949"/>
        <v>3168.0000000000005</v>
      </c>
      <c r="I125" s="51">
        <f t="shared" si="950"/>
        <v>10472.774400000002</v>
      </c>
      <c r="J125" s="48">
        <f t="shared" si="1231"/>
        <v>3072.9600000000005</v>
      </c>
      <c r="K125" s="51">
        <f t="shared" si="1232"/>
        <v>10158.591168000003</v>
      </c>
      <c r="L125" s="48">
        <f t="shared" si="1233"/>
        <v>3009.6000000000004</v>
      </c>
      <c r="M125" s="51">
        <f t="shared" si="1234"/>
        <v>9949.1356800000012</v>
      </c>
      <c r="N125" s="48">
        <f t="shared" si="1235"/>
        <v>2946.2400000000007</v>
      </c>
      <c r="O125" s="51">
        <f t="shared" si="1236"/>
        <v>9739.6801920000016</v>
      </c>
      <c r="P125" s="52">
        <f t="shared" si="1237"/>
        <v>2882.8800000000006</v>
      </c>
      <c r="Q125" s="51">
        <f t="shared" si="1238"/>
        <v>9530.224704000002</v>
      </c>
      <c r="R125" s="48">
        <f t="shared" si="1239"/>
        <v>2819.5200000000004</v>
      </c>
      <c r="S125" s="51">
        <f t="shared" si="1240"/>
        <v>9320.7692160000024</v>
      </c>
      <c r="T125" s="52">
        <f t="shared" si="1241"/>
        <v>2756.1600000000003</v>
      </c>
      <c r="U125" s="51">
        <f t="shared" si="1242"/>
        <v>9111.313728000001</v>
      </c>
      <c r="V125" s="53">
        <f t="shared" si="1243"/>
        <v>2692.8</v>
      </c>
      <c r="W125" s="51">
        <f t="shared" si="1244"/>
        <v>8901.8582400000014</v>
      </c>
      <c r="X125" s="52">
        <f t="shared" si="1245"/>
        <v>2629.44</v>
      </c>
      <c r="Y125" s="51">
        <f t="shared" si="1246"/>
        <v>8692.402752</v>
      </c>
      <c r="Z125" s="48">
        <f t="shared" si="1247"/>
        <v>2566.0800000000004</v>
      </c>
      <c r="AA125" s="51">
        <f t="shared" si="1248"/>
        <v>8482.9472640000022</v>
      </c>
      <c r="AB125" s="53">
        <f t="shared" si="1249"/>
        <v>2502.7200000000003</v>
      </c>
      <c r="AC125" s="51">
        <f t="shared" si="1250"/>
        <v>8273.4917760000008</v>
      </c>
      <c r="AD125" s="53">
        <f t="shared" si="1251"/>
        <v>2439.36</v>
      </c>
      <c r="AE125" s="51">
        <f t="shared" si="1252"/>
        <v>8064.0362880000002</v>
      </c>
      <c r="AF125" s="53">
        <f t="shared" si="1253"/>
        <v>2376</v>
      </c>
      <c r="AG125" s="51">
        <f t="shared" si="1254"/>
        <v>7854.5807999999997</v>
      </c>
      <c r="AH125" s="48">
        <f t="shared" si="1255"/>
        <v>2312.64</v>
      </c>
      <c r="AI125" s="51">
        <f t="shared" si="1256"/>
        <v>7645.1253120000001</v>
      </c>
      <c r="AJ125" s="53">
        <f t="shared" si="1257"/>
        <v>2249.2799999999997</v>
      </c>
      <c r="AK125" s="51">
        <f t="shared" si="1258"/>
        <v>7435.6698239999996</v>
      </c>
      <c r="AL125" s="53">
        <f t="shared" si="1259"/>
        <v>2185.9199999999996</v>
      </c>
      <c r="AM125" s="51">
        <f t="shared" si="1260"/>
        <v>7226.2143359999991</v>
      </c>
      <c r="AN125" s="53">
        <f t="shared" si="1261"/>
        <v>2122.56</v>
      </c>
      <c r="AO125" s="51">
        <f t="shared" si="1262"/>
        <v>7016.7588480000004</v>
      </c>
      <c r="AP125" s="53">
        <f t="shared" si="1263"/>
        <v>2059.1999999999998</v>
      </c>
      <c r="AQ125" s="51">
        <f t="shared" si="1264"/>
        <v>6807.3033599999999</v>
      </c>
      <c r="AR125" s="48">
        <f t="shared" si="1265"/>
        <v>1995.8399999999997</v>
      </c>
      <c r="AS125" s="51">
        <f t="shared" si="1266"/>
        <v>6597.8478719999994</v>
      </c>
      <c r="AT125" s="53">
        <f t="shared" si="1267"/>
        <v>1932.4799999999996</v>
      </c>
      <c r="AU125" s="51">
        <f t="shared" si="1268"/>
        <v>6388.3923839999989</v>
      </c>
      <c r="AV125" s="53">
        <f t="shared" si="1269"/>
        <v>1869.1199999999994</v>
      </c>
      <c r="AW125" s="51">
        <f t="shared" si="1270"/>
        <v>6178.9368959999983</v>
      </c>
      <c r="AX125" s="48">
        <f t="shared" si="1271"/>
        <v>1805.7599999999993</v>
      </c>
      <c r="AY125" s="51">
        <f t="shared" si="1272"/>
        <v>5969.4814079999978</v>
      </c>
      <c r="BB125" s="48">
        <v>1</v>
      </c>
      <c r="BC125" s="48">
        <v>0.97</v>
      </c>
      <c r="BD125" s="48">
        <v>0.95</v>
      </c>
      <c r="BE125" s="48">
        <v>0.93</v>
      </c>
      <c r="BF125" s="48">
        <f t="shared" ref="BF125:BW125" si="1402">+BE125-0.02</f>
        <v>0.91</v>
      </c>
      <c r="BG125" s="48">
        <f t="shared" si="1402"/>
        <v>0.89</v>
      </c>
      <c r="BH125" s="48">
        <f t="shared" si="1402"/>
        <v>0.87</v>
      </c>
      <c r="BI125" s="48">
        <f t="shared" si="1402"/>
        <v>0.85</v>
      </c>
      <c r="BJ125" s="48">
        <f t="shared" si="1402"/>
        <v>0.83</v>
      </c>
      <c r="BK125" s="48">
        <f t="shared" si="1402"/>
        <v>0.80999999999999994</v>
      </c>
      <c r="BL125" s="48">
        <f t="shared" si="1402"/>
        <v>0.78999999999999992</v>
      </c>
      <c r="BM125" s="48">
        <f t="shared" si="1402"/>
        <v>0.76999999999999991</v>
      </c>
      <c r="BN125" s="48">
        <f t="shared" si="1402"/>
        <v>0.74999999999999989</v>
      </c>
      <c r="BO125" s="48">
        <f t="shared" si="1402"/>
        <v>0.72999999999999987</v>
      </c>
      <c r="BP125" s="48">
        <f t="shared" si="1402"/>
        <v>0.70999999999999985</v>
      </c>
      <c r="BQ125" s="48">
        <f t="shared" si="1402"/>
        <v>0.68999999999999984</v>
      </c>
      <c r="BR125" s="48">
        <f t="shared" si="1402"/>
        <v>0.66999999999999982</v>
      </c>
      <c r="BS125" s="48">
        <f t="shared" si="1402"/>
        <v>0.6499999999999998</v>
      </c>
      <c r="BT125" s="48">
        <f t="shared" si="1402"/>
        <v>0.62999999999999978</v>
      </c>
      <c r="BU125" s="48">
        <f t="shared" si="1402"/>
        <v>0.60999999999999976</v>
      </c>
      <c r="BV125" s="48">
        <f t="shared" si="1402"/>
        <v>0.58999999999999975</v>
      </c>
      <c r="BW125" s="48">
        <f t="shared" si="1402"/>
        <v>0.56999999999999973</v>
      </c>
      <c r="BY125" s="48">
        <f t="shared" si="952"/>
        <v>2882.8800000000006</v>
      </c>
      <c r="BZ125" s="48">
        <f t="shared" si="953"/>
        <v>2882.8800000000006</v>
      </c>
      <c r="CA125" s="51">
        <f t="shared" ref="CA125" si="1403">+BZ125*3.3058</f>
        <v>9530.224704000002</v>
      </c>
      <c r="CB125" s="48">
        <f t="shared" si="1275"/>
        <v>2796.3936000000003</v>
      </c>
      <c r="CC125" s="51">
        <f t="shared" si="1276"/>
        <v>9244.3179628800008</v>
      </c>
      <c r="CD125" s="48">
        <f t="shared" si="1277"/>
        <v>2738.7360000000003</v>
      </c>
      <c r="CE125" s="51">
        <f t="shared" si="1278"/>
        <v>9053.7134688000006</v>
      </c>
      <c r="CF125" s="48">
        <f t="shared" si="1279"/>
        <v>2681.0784000000008</v>
      </c>
      <c r="CG125" s="51">
        <f t="shared" si="1280"/>
        <v>8863.1089747200022</v>
      </c>
      <c r="CH125" s="52">
        <f t="shared" si="1281"/>
        <v>2623.4208000000008</v>
      </c>
      <c r="CI125" s="51">
        <f t="shared" si="1282"/>
        <v>8672.5044806400019</v>
      </c>
      <c r="CJ125" s="48">
        <f t="shared" si="1283"/>
        <v>2565.7632000000003</v>
      </c>
      <c r="CK125" s="51">
        <f t="shared" si="1284"/>
        <v>8481.8999865600017</v>
      </c>
      <c r="CL125" s="52">
        <f t="shared" si="1285"/>
        <v>2508.1056000000003</v>
      </c>
      <c r="CM125" s="51">
        <f t="shared" si="1286"/>
        <v>8291.2954924800015</v>
      </c>
      <c r="CN125" s="53">
        <f t="shared" si="1287"/>
        <v>2450.4480000000003</v>
      </c>
      <c r="CO125" s="51">
        <f t="shared" si="1288"/>
        <v>8100.6909984000013</v>
      </c>
      <c r="CP125" s="52">
        <f t="shared" si="1289"/>
        <v>2392.7904000000003</v>
      </c>
      <c r="CQ125" s="51">
        <f t="shared" si="1290"/>
        <v>7910.086504320001</v>
      </c>
      <c r="CR125" s="48">
        <f t="shared" si="1291"/>
        <v>2335.1328000000003</v>
      </c>
      <c r="CS125" s="51">
        <f t="shared" si="1292"/>
        <v>7719.4820102400008</v>
      </c>
      <c r="CT125" s="53">
        <f t="shared" si="1293"/>
        <v>2277.4752000000003</v>
      </c>
      <c r="CU125" s="51">
        <f t="shared" si="1294"/>
        <v>7528.8775161600015</v>
      </c>
      <c r="CV125" s="53">
        <f t="shared" si="1295"/>
        <v>2219.8176000000003</v>
      </c>
      <c r="CW125" s="51">
        <f t="shared" si="1296"/>
        <v>7338.2730220800013</v>
      </c>
      <c r="CX125" s="53">
        <f t="shared" si="1297"/>
        <v>2162.1600000000003</v>
      </c>
      <c r="CY125" s="51">
        <f t="shared" si="1298"/>
        <v>7147.6685280000011</v>
      </c>
      <c r="CZ125" s="48">
        <f t="shared" si="1299"/>
        <v>2104.5023999999999</v>
      </c>
      <c r="DA125" s="51">
        <f t="shared" si="1300"/>
        <v>6957.0640339199999</v>
      </c>
      <c r="DB125" s="53">
        <f t="shared" si="1301"/>
        <v>2046.8448000000001</v>
      </c>
      <c r="DC125" s="51">
        <f t="shared" si="1302"/>
        <v>6766.4595398400006</v>
      </c>
      <c r="DD125" s="53">
        <f t="shared" si="1303"/>
        <v>1989.1871999999998</v>
      </c>
      <c r="DE125" s="51">
        <f t="shared" si="1304"/>
        <v>6575.8550457599995</v>
      </c>
      <c r="DF125" s="53">
        <f t="shared" si="1305"/>
        <v>1931.5295999999998</v>
      </c>
      <c r="DG125" s="51">
        <f t="shared" si="1306"/>
        <v>6385.2505516799993</v>
      </c>
      <c r="DH125" s="53">
        <f t="shared" si="1307"/>
        <v>1873.8719999999998</v>
      </c>
      <c r="DI125" s="51">
        <f t="shared" si="1308"/>
        <v>6194.6460575999999</v>
      </c>
      <c r="DJ125" s="48">
        <f t="shared" si="1309"/>
        <v>1816.2143999999998</v>
      </c>
      <c r="DK125" s="51">
        <f t="shared" si="1310"/>
        <v>6004.0415635199997</v>
      </c>
      <c r="DL125" s="53">
        <f t="shared" si="1311"/>
        <v>1758.5567999999996</v>
      </c>
      <c r="DM125" s="51">
        <f t="shared" si="1312"/>
        <v>5813.4370694399986</v>
      </c>
      <c r="DN125" s="53">
        <f t="shared" si="1313"/>
        <v>1700.8991999999996</v>
      </c>
      <c r="DO125" s="51">
        <f t="shared" si="1314"/>
        <v>5622.8325753599993</v>
      </c>
      <c r="DP125" s="48">
        <f t="shared" si="1315"/>
        <v>1643.2415999999996</v>
      </c>
      <c r="DQ125" s="51">
        <f t="shared" si="1316"/>
        <v>5432.2280812799991</v>
      </c>
      <c r="DT125" s="48">
        <v>1</v>
      </c>
      <c r="DU125" s="48">
        <v>0.97</v>
      </c>
      <c r="DV125" s="48">
        <v>0.95</v>
      </c>
      <c r="DW125" s="48">
        <v>0.93</v>
      </c>
      <c r="DX125" s="48">
        <f t="shared" ref="DX125:EO125" si="1404">+DW125-0.02</f>
        <v>0.91</v>
      </c>
      <c r="DY125" s="48">
        <f t="shared" si="1404"/>
        <v>0.89</v>
      </c>
      <c r="DZ125" s="48">
        <f t="shared" si="1404"/>
        <v>0.87</v>
      </c>
      <c r="EA125" s="48">
        <f t="shared" si="1404"/>
        <v>0.85</v>
      </c>
      <c r="EB125" s="48">
        <f t="shared" si="1404"/>
        <v>0.83</v>
      </c>
      <c r="EC125" s="48">
        <f t="shared" si="1404"/>
        <v>0.80999999999999994</v>
      </c>
      <c r="ED125" s="48">
        <f t="shared" si="1404"/>
        <v>0.78999999999999992</v>
      </c>
      <c r="EE125" s="48">
        <f t="shared" si="1404"/>
        <v>0.76999999999999991</v>
      </c>
      <c r="EF125" s="48">
        <f t="shared" si="1404"/>
        <v>0.74999999999999989</v>
      </c>
      <c r="EG125" s="48">
        <f t="shared" si="1404"/>
        <v>0.72999999999999987</v>
      </c>
      <c r="EH125" s="48">
        <f t="shared" si="1404"/>
        <v>0.70999999999999985</v>
      </c>
      <c r="EI125" s="48">
        <f t="shared" si="1404"/>
        <v>0.68999999999999984</v>
      </c>
      <c r="EJ125" s="48">
        <f t="shared" si="1404"/>
        <v>0.66999999999999982</v>
      </c>
      <c r="EK125" s="48">
        <f t="shared" si="1404"/>
        <v>0.6499999999999998</v>
      </c>
      <c r="EL125" s="48">
        <f t="shared" si="1404"/>
        <v>0.62999999999999978</v>
      </c>
      <c r="EM125" s="48">
        <f t="shared" si="1404"/>
        <v>0.60999999999999976</v>
      </c>
      <c r="EN125" s="48">
        <f t="shared" si="1404"/>
        <v>0.58999999999999975</v>
      </c>
      <c r="EO125" s="48">
        <f t="shared" si="1404"/>
        <v>0.56999999999999973</v>
      </c>
      <c r="EQ125" s="48">
        <f t="shared" si="1128"/>
        <v>2623.4208000000008</v>
      </c>
      <c r="ER125" s="48">
        <f t="shared" si="956"/>
        <v>2623.4208000000008</v>
      </c>
      <c r="ES125" s="51">
        <f t="shared" ref="ES125" si="1405">+ER125*3.3058</f>
        <v>8672.5044806400019</v>
      </c>
      <c r="ET125" s="48">
        <f t="shared" si="1319"/>
        <v>2544.7181760000008</v>
      </c>
      <c r="EU125" s="51">
        <f t="shared" si="1320"/>
        <v>8412.3293462208021</v>
      </c>
      <c r="EV125" s="48">
        <f t="shared" si="1321"/>
        <v>2492.2497600000006</v>
      </c>
      <c r="EW125" s="51">
        <f t="shared" si="1322"/>
        <v>8238.8792566080028</v>
      </c>
      <c r="EX125" s="48">
        <f t="shared" si="1323"/>
        <v>2439.7813440000009</v>
      </c>
      <c r="EY125" s="51">
        <f t="shared" si="1324"/>
        <v>8065.4291669952036</v>
      </c>
      <c r="EZ125" s="52">
        <f t="shared" si="1325"/>
        <v>2387.3129280000007</v>
      </c>
      <c r="FA125" s="51">
        <f t="shared" si="1326"/>
        <v>7891.9790773824025</v>
      </c>
      <c r="FB125" s="48">
        <f t="shared" si="1327"/>
        <v>2334.8445120000006</v>
      </c>
      <c r="FC125" s="51">
        <f t="shared" si="1328"/>
        <v>7718.5289877696023</v>
      </c>
      <c r="FD125" s="52">
        <f t="shared" si="1329"/>
        <v>2282.3760960000009</v>
      </c>
      <c r="FE125" s="51">
        <f t="shared" si="1330"/>
        <v>7545.078898156803</v>
      </c>
      <c r="FF125" s="53">
        <f t="shared" si="1331"/>
        <v>2229.9076800000007</v>
      </c>
      <c r="FG125" s="51">
        <f t="shared" si="1332"/>
        <v>7371.6288085440028</v>
      </c>
      <c r="FH125" s="52">
        <f t="shared" si="1333"/>
        <v>2177.4392640000005</v>
      </c>
      <c r="FI125" s="51">
        <f t="shared" si="1334"/>
        <v>7198.1787189312017</v>
      </c>
      <c r="FJ125" s="48">
        <f t="shared" si="1335"/>
        <v>2124.9708480000004</v>
      </c>
      <c r="FK125" s="51">
        <f t="shared" si="1336"/>
        <v>7024.7286293184015</v>
      </c>
      <c r="FL125" s="53">
        <f t="shared" si="1337"/>
        <v>2072.5024320000002</v>
      </c>
      <c r="FM125" s="51">
        <f t="shared" si="1338"/>
        <v>6851.2785397056005</v>
      </c>
      <c r="FN125" s="53">
        <f t="shared" si="1339"/>
        <v>2020.0340160000003</v>
      </c>
      <c r="FO125" s="51">
        <f t="shared" si="1340"/>
        <v>6677.8284500928012</v>
      </c>
      <c r="FP125" s="53">
        <f t="shared" si="1341"/>
        <v>1967.5656000000004</v>
      </c>
      <c r="FQ125" s="51">
        <f t="shared" si="1342"/>
        <v>6504.378360480001</v>
      </c>
      <c r="FR125" s="48">
        <f t="shared" si="1343"/>
        <v>1915.0971840000002</v>
      </c>
      <c r="FS125" s="51">
        <f t="shared" si="1344"/>
        <v>6330.9282708672008</v>
      </c>
      <c r="FT125" s="53">
        <f t="shared" si="1345"/>
        <v>1862.6287680000003</v>
      </c>
      <c r="FU125" s="51">
        <f t="shared" si="1346"/>
        <v>6157.4781812544006</v>
      </c>
      <c r="FV125" s="53">
        <f t="shared" si="1347"/>
        <v>1810.1603520000001</v>
      </c>
      <c r="FW125" s="51">
        <f t="shared" si="1348"/>
        <v>5984.0280916416004</v>
      </c>
      <c r="FX125" s="53">
        <f t="shared" si="1349"/>
        <v>1757.6919359999999</v>
      </c>
      <c r="FY125" s="51">
        <f t="shared" si="1350"/>
        <v>5810.5780020288003</v>
      </c>
      <c r="FZ125" s="53">
        <f t="shared" si="1351"/>
        <v>1705.22352</v>
      </c>
      <c r="GA125" s="51">
        <f t="shared" si="1352"/>
        <v>5637.1279124160001</v>
      </c>
      <c r="GB125" s="48">
        <f t="shared" si="1353"/>
        <v>1652.7551039999998</v>
      </c>
      <c r="GC125" s="51">
        <f t="shared" si="1354"/>
        <v>5463.6778228031999</v>
      </c>
      <c r="GD125" s="53">
        <f t="shared" si="1355"/>
        <v>1600.2866879999999</v>
      </c>
      <c r="GE125" s="51">
        <f t="shared" si="1356"/>
        <v>5290.2277331903997</v>
      </c>
      <c r="GF125" s="53">
        <f t="shared" si="1357"/>
        <v>1547.8182719999998</v>
      </c>
      <c r="GG125" s="51">
        <f t="shared" si="1358"/>
        <v>5116.7776435775995</v>
      </c>
      <c r="GH125" s="48">
        <f t="shared" si="1359"/>
        <v>1495.3498559999998</v>
      </c>
      <c r="GI125" s="51">
        <f t="shared" si="1360"/>
        <v>4943.3275539647993</v>
      </c>
      <c r="GJ125" s="48"/>
      <c r="GK125" s="48"/>
      <c r="GL125" s="48">
        <v>1</v>
      </c>
      <c r="GM125" s="48">
        <v>0.97</v>
      </c>
      <c r="GN125" s="48">
        <v>0.95</v>
      </c>
      <c r="GO125" s="48">
        <v>0.93</v>
      </c>
      <c r="GP125" s="48">
        <f t="shared" ref="GP125:HG125" si="1406">+GO125-0.02</f>
        <v>0.91</v>
      </c>
      <c r="GQ125" s="48">
        <f t="shared" si="1406"/>
        <v>0.89</v>
      </c>
      <c r="GR125" s="48">
        <f t="shared" si="1406"/>
        <v>0.87</v>
      </c>
      <c r="GS125" s="48">
        <f t="shared" si="1406"/>
        <v>0.85</v>
      </c>
      <c r="GT125" s="48">
        <f t="shared" si="1406"/>
        <v>0.83</v>
      </c>
      <c r="GU125" s="48">
        <f t="shared" si="1406"/>
        <v>0.80999999999999994</v>
      </c>
      <c r="GV125" s="48">
        <f t="shared" si="1406"/>
        <v>0.78999999999999992</v>
      </c>
      <c r="GW125" s="48">
        <f t="shared" si="1406"/>
        <v>0.76999999999999991</v>
      </c>
      <c r="GX125" s="48">
        <f t="shared" si="1406"/>
        <v>0.74999999999999989</v>
      </c>
      <c r="GY125" s="48">
        <f t="shared" si="1406"/>
        <v>0.72999999999999987</v>
      </c>
      <c r="GZ125" s="48">
        <f t="shared" si="1406"/>
        <v>0.70999999999999985</v>
      </c>
      <c r="HA125" s="48">
        <f t="shared" si="1406"/>
        <v>0.68999999999999984</v>
      </c>
      <c r="HB125" s="48">
        <f t="shared" si="1406"/>
        <v>0.66999999999999982</v>
      </c>
      <c r="HC125" s="48">
        <f t="shared" si="1406"/>
        <v>0.6499999999999998</v>
      </c>
      <c r="HD125" s="48">
        <f t="shared" si="1406"/>
        <v>0.62999999999999978</v>
      </c>
      <c r="HE125" s="48">
        <f t="shared" si="1406"/>
        <v>0.60999999999999976</v>
      </c>
      <c r="HF125" s="48">
        <f t="shared" si="1406"/>
        <v>0.58999999999999975</v>
      </c>
      <c r="HG125" s="48">
        <f t="shared" si="1406"/>
        <v>0.56999999999999973</v>
      </c>
    </row>
    <row r="126" spans="1:215" ht="17.25" thickBot="1" x14ac:dyDescent="0.35">
      <c r="A126" s="2">
        <v>11</v>
      </c>
      <c r="C126" s="29" t="s">
        <v>157</v>
      </c>
      <c r="D126" s="45">
        <f>TRUNC(575.735112563544,-1)</f>
        <v>570</v>
      </c>
      <c r="E126" s="74">
        <f t="shared" si="1230"/>
        <v>1880</v>
      </c>
      <c r="F126" s="2" t="s">
        <v>367</v>
      </c>
      <c r="G126" s="48">
        <f t="shared" si="948"/>
        <v>627</v>
      </c>
      <c r="H126" s="48">
        <f t="shared" si="949"/>
        <v>627</v>
      </c>
      <c r="I126" s="51">
        <f t="shared" si="950"/>
        <v>2072.7366000000002</v>
      </c>
      <c r="J126" s="48">
        <f t="shared" si="1231"/>
        <v>608.18999999999994</v>
      </c>
      <c r="K126" s="51">
        <f t="shared" si="1232"/>
        <v>2010.554502</v>
      </c>
      <c r="L126" s="48">
        <f t="shared" si="1233"/>
        <v>595.65</v>
      </c>
      <c r="M126" s="51">
        <f t="shared" si="1234"/>
        <v>1969.09977</v>
      </c>
      <c r="N126" s="48">
        <f t="shared" si="1235"/>
        <v>583.11</v>
      </c>
      <c r="O126" s="51">
        <f t="shared" si="1236"/>
        <v>1927.6450380000001</v>
      </c>
      <c r="P126" s="52">
        <f t="shared" si="1237"/>
        <v>570.57000000000005</v>
      </c>
      <c r="Q126" s="51">
        <f t="shared" si="1238"/>
        <v>1886.1903060000002</v>
      </c>
      <c r="R126" s="48">
        <f t="shared" si="1239"/>
        <v>558.03</v>
      </c>
      <c r="S126" s="51">
        <f t="shared" si="1240"/>
        <v>1844.735574</v>
      </c>
      <c r="T126" s="52">
        <f t="shared" si="1241"/>
        <v>545.49</v>
      </c>
      <c r="U126" s="51">
        <f t="shared" si="1242"/>
        <v>1803.2808420000001</v>
      </c>
      <c r="V126" s="53">
        <f t="shared" si="1243"/>
        <v>532.94999999999993</v>
      </c>
      <c r="W126" s="51">
        <f t="shared" si="1244"/>
        <v>1761.8261099999997</v>
      </c>
      <c r="X126" s="52">
        <f t="shared" si="1245"/>
        <v>520.41</v>
      </c>
      <c r="Y126" s="51">
        <f t="shared" si="1246"/>
        <v>1720.3713779999998</v>
      </c>
      <c r="Z126" s="48">
        <f t="shared" si="1247"/>
        <v>507.86999999999995</v>
      </c>
      <c r="AA126" s="51">
        <f t="shared" si="1248"/>
        <v>1678.9166459999999</v>
      </c>
      <c r="AB126" s="53">
        <f t="shared" si="1249"/>
        <v>495.32999999999993</v>
      </c>
      <c r="AC126" s="51">
        <f t="shared" si="1250"/>
        <v>1637.4619139999998</v>
      </c>
      <c r="AD126" s="53">
        <f t="shared" si="1251"/>
        <v>482.78999999999996</v>
      </c>
      <c r="AE126" s="51">
        <f t="shared" si="1252"/>
        <v>1596.0071819999998</v>
      </c>
      <c r="AF126" s="53">
        <f t="shared" si="1253"/>
        <v>470.24999999999994</v>
      </c>
      <c r="AG126" s="51">
        <f t="shared" si="1254"/>
        <v>1554.5524499999999</v>
      </c>
      <c r="AH126" s="48">
        <f t="shared" si="1255"/>
        <v>457.70999999999992</v>
      </c>
      <c r="AI126" s="51">
        <f t="shared" si="1256"/>
        <v>1513.0977179999998</v>
      </c>
      <c r="AJ126" s="53">
        <f t="shared" si="1257"/>
        <v>445.1699999999999</v>
      </c>
      <c r="AK126" s="51">
        <f t="shared" si="1258"/>
        <v>1471.6429859999996</v>
      </c>
      <c r="AL126" s="53">
        <f t="shared" si="1259"/>
        <v>432.62999999999988</v>
      </c>
      <c r="AM126" s="51">
        <f t="shared" si="1260"/>
        <v>1430.1882539999997</v>
      </c>
      <c r="AN126" s="53">
        <f t="shared" si="1261"/>
        <v>420.08999999999986</v>
      </c>
      <c r="AO126" s="51">
        <f t="shared" si="1262"/>
        <v>1388.7335219999995</v>
      </c>
      <c r="AP126" s="53">
        <f t="shared" si="1263"/>
        <v>407.5499999999999</v>
      </c>
      <c r="AQ126" s="51">
        <f t="shared" si="1264"/>
        <v>1347.2787899999996</v>
      </c>
      <c r="AR126" s="48">
        <f t="shared" si="1265"/>
        <v>395.00999999999988</v>
      </c>
      <c r="AS126" s="51">
        <f t="shared" si="1266"/>
        <v>1305.8240579999997</v>
      </c>
      <c r="AT126" s="53">
        <f t="shared" si="1267"/>
        <v>382.46999999999986</v>
      </c>
      <c r="AU126" s="51">
        <f t="shared" si="1268"/>
        <v>1264.3693259999995</v>
      </c>
      <c r="AV126" s="53">
        <f t="shared" si="1269"/>
        <v>369.92999999999984</v>
      </c>
      <c r="AW126" s="51">
        <f t="shared" si="1270"/>
        <v>1222.9145939999994</v>
      </c>
      <c r="AX126" s="48">
        <f t="shared" si="1271"/>
        <v>357.38999999999982</v>
      </c>
      <c r="AY126" s="51">
        <f t="shared" si="1272"/>
        <v>1181.4598619999995</v>
      </c>
      <c r="BB126" s="48">
        <v>1</v>
      </c>
      <c r="BC126" s="48">
        <v>0.97</v>
      </c>
      <c r="BD126" s="48">
        <v>0.95</v>
      </c>
      <c r="BE126" s="48">
        <v>0.93</v>
      </c>
      <c r="BF126" s="48">
        <f t="shared" ref="BF126:BW126" si="1407">+BE126-0.02</f>
        <v>0.91</v>
      </c>
      <c r="BG126" s="48">
        <f t="shared" si="1407"/>
        <v>0.89</v>
      </c>
      <c r="BH126" s="48">
        <f t="shared" si="1407"/>
        <v>0.87</v>
      </c>
      <c r="BI126" s="48">
        <f t="shared" si="1407"/>
        <v>0.85</v>
      </c>
      <c r="BJ126" s="48">
        <f t="shared" si="1407"/>
        <v>0.83</v>
      </c>
      <c r="BK126" s="48">
        <f t="shared" si="1407"/>
        <v>0.80999999999999994</v>
      </c>
      <c r="BL126" s="48">
        <f t="shared" si="1407"/>
        <v>0.78999999999999992</v>
      </c>
      <c r="BM126" s="48">
        <f t="shared" si="1407"/>
        <v>0.76999999999999991</v>
      </c>
      <c r="BN126" s="48">
        <f t="shared" si="1407"/>
        <v>0.74999999999999989</v>
      </c>
      <c r="BO126" s="48">
        <f t="shared" si="1407"/>
        <v>0.72999999999999987</v>
      </c>
      <c r="BP126" s="48">
        <f t="shared" si="1407"/>
        <v>0.70999999999999985</v>
      </c>
      <c r="BQ126" s="48">
        <f t="shared" si="1407"/>
        <v>0.68999999999999984</v>
      </c>
      <c r="BR126" s="48">
        <f t="shared" si="1407"/>
        <v>0.66999999999999982</v>
      </c>
      <c r="BS126" s="48">
        <f t="shared" si="1407"/>
        <v>0.6499999999999998</v>
      </c>
      <c r="BT126" s="48">
        <f t="shared" si="1407"/>
        <v>0.62999999999999978</v>
      </c>
      <c r="BU126" s="48">
        <f t="shared" si="1407"/>
        <v>0.60999999999999976</v>
      </c>
      <c r="BV126" s="48">
        <f t="shared" si="1407"/>
        <v>0.58999999999999975</v>
      </c>
      <c r="BW126" s="48">
        <f t="shared" si="1407"/>
        <v>0.56999999999999973</v>
      </c>
      <c r="BY126" s="48">
        <f t="shared" si="952"/>
        <v>570.57000000000005</v>
      </c>
      <c r="BZ126" s="48">
        <f t="shared" si="953"/>
        <v>570.57000000000005</v>
      </c>
      <c r="CA126" s="51">
        <f t="shared" ref="CA126" si="1408">+BZ126*3.3058</f>
        <v>1886.1903060000002</v>
      </c>
      <c r="CB126" s="48">
        <f t="shared" si="1275"/>
        <v>553.4529</v>
      </c>
      <c r="CC126" s="51">
        <f t="shared" si="1276"/>
        <v>1829.6045968200001</v>
      </c>
      <c r="CD126" s="48">
        <f t="shared" si="1277"/>
        <v>542.04150000000004</v>
      </c>
      <c r="CE126" s="51">
        <f t="shared" si="1278"/>
        <v>1791.8807907000003</v>
      </c>
      <c r="CF126" s="48">
        <f t="shared" si="1279"/>
        <v>530.63010000000008</v>
      </c>
      <c r="CG126" s="51">
        <f t="shared" si="1280"/>
        <v>1754.1569845800004</v>
      </c>
      <c r="CH126" s="52">
        <f t="shared" si="1281"/>
        <v>519.21870000000001</v>
      </c>
      <c r="CI126" s="51">
        <f t="shared" si="1282"/>
        <v>1716.4331784600001</v>
      </c>
      <c r="CJ126" s="48">
        <f t="shared" si="1283"/>
        <v>507.80730000000005</v>
      </c>
      <c r="CK126" s="51">
        <f t="shared" si="1284"/>
        <v>1678.7093723400003</v>
      </c>
      <c r="CL126" s="52">
        <f t="shared" si="1285"/>
        <v>496.39590000000004</v>
      </c>
      <c r="CM126" s="51">
        <f t="shared" si="1286"/>
        <v>1640.9855662200002</v>
      </c>
      <c r="CN126" s="53">
        <f t="shared" si="1287"/>
        <v>484.98450000000003</v>
      </c>
      <c r="CO126" s="51">
        <f t="shared" si="1288"/>
        <v>1603.2617601000002</v>
      </c>
      <c r="CP126" s="52">
        <f t="shared" si="1289"/>
        <v>473.57310000000001</v>
      </c>
      <c r="CQ126" s="51">
        <f t="shared" si="1290"/>
        <v>1565.5379539800001</v>
      </c>
      <c r="CR126" s="48">
        <f t="shared" si="1291"/>
        <v>462.1617</v>
      </c>
      <c r="CS126" s="51">
        <f t="shared" si="1292"/>
        <v>1527.81414786</v>
      </c>
      <c r="CT126" s="53">
        <f t="shared" si="1293"/>
        <v>450.75029999999998</v>
      </c>
      <c r="CU126" s="51">
        <f t="shared" si="1294"/>
        <v>1490.09034174</v>
      </c>
      <c r="CV126" s="53">
        <f t="shared" si="1295"/>
        <v>439.33889999999997</v>
      </c>
      <c r="CW126" s="51">
        <f t="shared" si="1296"/>
        <v>1452.3665356199999</v>
      </c>
      <c r="CX126" s="53">
        <f t="shared" si="1297"/>
        <v>427.92749999999995</v>
      </c>
      <c r="CY126" s="51">
        <f t="shared" si="1298"/>
        <v>1414.6427294999999</v>
      </c>
      <c r="CZ126" s="48">
        <f t="shared" si="1299"/>
        <v>416.51609999999994</v>
      </c>
      <c r="DA126" s="51">
        <f t="shared" si="1300"/>
        <v>1376.9189233799998</v>
      </c>
      <c r="DB126" s="53">
        <f t="shared" si="1301"/>
        <v>405.10469999999998</v>
      </c>
      <c r="DC126" s="51">
        <f t="shared" si="1302"/>
        <v>1339.19511726</v>
      </c>
      <c r="DD126" s="53">
        <f t="shared" si="1303"/>
        <v>393.69329999999997</v>
      </c>
      <c r="DE126" s="51">
        <f t="shared" si="1304"/>
        <v>1301.4713111399999</v>
      </c>
      <c r="DF126" s="53">
        <f t="shared" si="1305"/>
        <v>382.28189999999995</v>
      </c>
      <c r="DG126" s="51">
        <f t="shared" si="1306"/>
        <v>1263.7475050199998</v>
      </c>
      <c r="DH126" s="53">
        <f t="shared" si="1307"/>
        <v>370.87049999999994</v>
      </c>
      <c r="DI126" s="51">
        <f t="shared" si="1308"/>
        <v>1226.0236988999998</v>
      </c>
      <c r="DJ126" s="48">
        <f t="shared" si="1309"/>
        <v>359.45909999999992</v>
      </c>
      <c r="DK126" s="51">
        <f t="shared" si="1310"/>
        <v>1188.2998927799997</v>
      </c>
      <c r="DL126" s="53">
        <f t="shared" si="1311"/>
        <v>348.04769999999991</v>
      </c>
      <c r="DM126" s="51">
        <f t="shared" si="1312"/>
        <v>1150.5760866599996</v>
      </c>
      <c r="DN126" s="53">
        <f t="shared" si="1313"/>
        <v>336.63629999999989</v>
      </c>
      <c r="DO126" s="51">
        <f t="shared" si="1314"/>
        <v>1112.8522805399996</v>
      </c>
      <c r="DP126" s="48">
        <f t="shared" si="1315"/>
        <v>325.22489999999988</v>
      </c>
      <c r="DQ126" s="51">
        <f t="shared" si="1316"/>
        <v>1075.1284744199995</v>
      </c>
      <c r="DT126" s="48">
        <v>1</v>
      </c>
      <c r="DU126" s="48">
        <v>0.97</v>
      </c>
      <c r="DV126" s="48">
        <v>0.95</v>
      </c>
      <c r="DW126" s="48">
        <v>0.93</v>
      </c>
      <c r="DX126" s="48">
        <f t="shared" ref="DX126:EO126" si="1409">+DW126-0.02</f>
        <v>0.91</v>
      </c>
      <c r="DY126" s="48">
        <f t="shared" si="1409"/>
        <v>0.89</v>
      </c>
      <c r="DZ126" s="48">
        <f t="shared" si="1409"/>
        <v>0.87</v>
      </c>
      <c r="EA126" s="48">
        <f t="shared" si="1409"/>
        <v>0.85</v>
      </c>
      <c r="EB126" s="48">
        <f t="shared" si="1409"/>
        <v>0.83</v>
      </c>
      <c r="EC126" s="48">
        <f t="shared" si="1409"/>
        <v>0.80999999999999994</v>
      </c>
      <c r="ED126" s="48">
        <f t="shared" si="1409"/>
        <v>0.78999999999999992</v>
      </c>
      <c r="EE126" s="48">
        <f t="shared" si="1409"/>
        <v>0.76999999999999991</v>
      </c>
      <c r="EF126" s="48">
        <f t="shared" si="1409"/>
        <v>0.74999999999999989</v>
      </c>
      <c r="EG126" s="48">
        <f t="shared" si="1409"/>
        <v>0.72999999999999987</v>
      </c>
      <c r="EH126" s="48">
        <f t="shared" si="1409"/>
        <v>0.70999999999999985</v>
      </c>
      <c r="EI126" s="48">
        <f t="shared" si="1409"/>
        <v>0.68999999999999984</v>
      </c>
      <c r="EJ126" s="48">
        <f t="shared" si="1409"/>
        <v>0.66999999999999982</v>
      </c>
      <c r="EK126" s="48">
        <f t="shared" si="1409"/>
        <v>0.6499999999999998</v>
      </c>
      <c r="EL126" s="48">
        <f t="shared" si="1409"/>
        <v>0.62999999999999978</v>
      </c>
      <c r="EM126" s="48">
        <f t="shared" si="1409"/>
        <v>0.60999999999999976</v>
      </c>
      <c r="EN126" s="48">
        <f t="shared" si="1409"/>
        <v>0.58999999999999975</v>
      </c>
      <c r="EO126" s="48">
        <f t="shared" si="1409"/>
        <v>0.56999999999999973</v>
      </c>
      <c r="EQ126" s="48">
        <f t="shared" si="1128"/>
        <v>519.21870000000001</v>
      </c>
      <c r="ER126" s="48">
        <f t="shared" si="956"/>
        <v>519.21870000000001</v>
      </c>
      <c r="ES126" s="51">
        <f t="shared" ref="ES126" si="1410">+ER126*3.3058</f>
        <v>1716.4331784600001</v>
      </c>
      <c r="ET126" s="48">
        <f t="shared" si="1319"/>
        <v>503.64213899999999</v>
      </c>
      <c r="EU126" s="51">
        <f t="shared" si="1320"/>
        <v>1664.9401831062</v>
      </c>
      <c r="EV126" s="48">
        <f t="shared" si="1321"/>
        <v>493.25776500000001</v>
      </c>
      <c r="EW126" s="51">
        <f t="shared" si="1322"/>
        <v>1630.611519537</v>
      </c>
      <c r="EX126" s="48">
        <f t="shared" si="1323"/>
        <v>482.87339100000003</v>
      </c>
      <c r="EY126" s="51">
        <f t="shared" si="1324"/>
        <v>1596.2828559678001</v>
      </c>
      <c r="EZ126" s="52">
        <f t="shared" si="1325"/>
        <v>472.48901700000005</v>
      </c>
      <c r="FA126" s="51">
        <f t="shared" si="1326"/>
        <v>1561.9541923986003</v>
      </c>
      <c r="FB126" s="48">
        <f t="shared" si="1327"/>
        <v>462.10464300000001</v>
      </c>
      <c r="FC126" s="51">
        <f t="shared" si="1328"/>
        <v>1527.6255288294001</v>
      </c>
      <c r="FD126" s="52">
        <f t="shared" si="1329"/>
        <v>451.72026900000003</v>
      </c>
      <c r="FE126" s="51">
        <f t="shared" si="1330"/>
        <v>1493.2968652602001</v>
      </c>
      <c r="FF126" s="53">
        <f t="shared" si="1331"/>
        <v>441.33589499999999</v>
      </c>
      <c r="FG126" s="51">
        <f t="shared" si="1332"/>
        <v>1458.9682016910001</v>
      </c>
      <c r="FH126" s="52">
        <f t="shared" si="1333"/>
        <v>430.95152100000001</v>
      </c>
      <c r="FI126" s="51">
        <f t="shared" si="1334"/>
        <v>1424.6395381218001</v>
      </c>
      <c r="FJ126" s="48">
        <f t="shared" si="1335"/>
        <v>420.56714699999998</v>
      </c>
      <c r="FK126" s="51">
        <f t="shared" si="1336"/>
        <v>1390.3108745525999</v>
      </c>
      <c r="FL126" s="53">
        <f t="shared" si="1337"/>
        <v>410.182773</v>
      </c>
      <c r="FM126" s="51">
        <f t="shared" si="1338"/>
        <v>1355.9822109833999</v>
      </c>
      <c r="FN126" s="53">
        <f t="shared" si="1339"/>
        <v>399.79839899999996</v>
      </c>
      <c r="FO126" s="51">
        <f t="shared" si="1340"/>
        <v>1321.6535474141999</v>
      </c>
      <c r="FP126" s="53">
        <f t="shared" si="1341"/>
        <v>389.41402499999992</v>
      </c>
      <c r="FQ126" s="51">
        <f t="shared" si="1342"/>
        <v>1287.3248838449997</v>
      </c>
      <c r="FR126" s="48">
        <f t="shared" si="1343"/>
        <v>379.02965099999994</v>
      </c>
      <c r="FS126" s="51">
        <f t="shared" si="1344"/>
        <v>1252.9962202757999</v>
      </c>
      <c r="FT126" s="53">
        <f t="shared" si="1345"/>
        <v>368.64527699999991</v>
      </c>
      <c r="FU126" s="51">
        <f t="shared" si="1346"/>
        <v>1218.6675567065997</v>
      </c>
      <c r="FV126" s="53">
        <f t="shared" si="1347"/>
        <v>358.26090299999993</v>
      </c>
      <c r="FW126" s="51">
        <f t="shared" si="1348"/>
        <v>1184.3388931373997</v>
      </c>
      <c r="FX126" s="53">
        <f t="shared" si="1349"/>
        <v>347.87652899999989</v>
      </c>
      <c r="FY126" s="51">
        <f t="shared" si="1350"/>
        <v>1150.0102295681997</v>
      </c>
      <c r="FZ126" s="53">
        <f t="shared" si="1351"/>
        <v>337.49215499999991</v>
      </c>
      <c r="GA126" s="51">
        <f t="shared" si="1352"/>
        <v>1115.6815659989998</v>
      </c>
      <c r="GB126" s="48">
        <f t="shared" si="1353"/>
        <v>327.10778099999987</v>
      </c>
      <c r="GC126" s="51">
        <f t="shared" si="1354"/>
        <v>1081.3529024297995</v>
      </c>
      <c r="GD126" s="53">
        <f t="shared" si="1355"/>
        <v>316.7234069999999</v>
      </c>
      <c r="GE126" s="51">
        <f t="shared" si="1356"/>
        <v>1047.0242388605998</v>
      </c>
      <c r="GF126" s="53">
        <f t="shared" si="1357"/>
        <v>306.33903299999986</v>
      </c>
      <c r="GG126" s="51">
        <f t="shared" si="1358"/>
        <v>1012.6955752913996</v>
      </c>
      <c r="GH126" s="48">
        <f t="shared" si="1359"/>
        <v>295.95465899999988</v>
      </c>
      <c r="GI126" s="51">
        <f t="shared" si="1360"/>
        <v>978.36691172219957</v>
      </c>
      <c r="GJ126" s="48"/>
      <c r="GK126" s="48"/>
      <c r="GL126" s="48">
        <v>1</v>
      </c>
      <c r="GM126" s="48">
        <v>0.97</v>
      </c>
      <c r="GN126" s="48">
        <v>0.95</v>
      </c>
      <c r="GO126" s="48">
        <v>0.93</v>
      </c>
      <c r="GP126" s="48">
        <f t="shared" ref="GP126:HG126" si="1411">+GO126-0.02</f>
        <v>0.91</v>
      </c>
      <c r="GQ126" s="48">
        <f t="shared" si="1411"/>
        <v>0.89</v>
      </c>
      <c r="GR126" s="48">
        <f t="shared" si="1411"/>
        <v>0.87</v>
      </c>
      <c r="GS126" s="48">
        <f t="shared" si="1411"/>
        <v>0.85</v>
      </c>
      <c r="GT126" s="48">
        <f t="shared" si="1411"/>
        <v>0.83</v>
      </c>
      <c r="GU126" s="48">
        <f t="shared" si="1411"/>
        <v>0.80999999999999994</v>
      </c>
      <c r="GV126" s="48">
        <f t="shared" si="1411"/>
        <v>0.78999999999999992</v>
      </c>
      <c r="GW126" s="48">
        <f t="shared" si="1411"/>
        <v>0.76999999999999991</v>
      </c>
      <c r="GX126" s="48">
        <f t="shared" si="1411"/>
        <v>0.74999999999999989</v>
      </c>
      <c r="GY126" s="48">
        <f t="shared" si="1411"/>
        <v>0.72999999999999987</v>
      </c>
      <c r="GZ126" s="48">
        <f t="shared" si="1411"/>
        <v>0.70999999999999985</v>
      </c>
      <c r="HA126" s="48">
        <f t="shared" si="1411"/>
        <v>0.68999999999999984</v>
      </c>
      <c r="HB126" s="48">
        <f t="shared" si="1411"/>
        <v>0.66999999999999982</v>
      </c>
      <c r="HC126" s="48">
        <f t="shared" si="1411"/>
        <v>0.6499999999999998</v>
      </c>
      <c r="HD126" s="48">
        <f t="shared" si="1411"/>
        <v>0.62999999999999978</v>
      </c>
      <c r="HE126" s="48">
        <f t="shared" si="1411"/>
        <v>0.60999999999999976</v>
      </c>
      <c r="HF126" s="48">
        <f t="shared" si="1411"/>
        <v>0.58999999999999975</v>
      </c>
      <c r="HG126" s="48">
        <f t="shared" si="1411"/>
        <v>0.56999999999999973</v>
      </c>
    </row>
    <row r="127" spans="1:215" x14ac:dyDescent="0.3">
      <c r="A127" s="2">
        <v>12</v>
      </c>
      <c r="C127" s="41" t="s">
        <v>158</v>
      </c>
      <c r="D127" s="40">
        <f>SUM(D116:D126)</f>
        <v>31670</v>
      </c>
      <c r="E127" s="40">
        <f>SUM(E116:E126)</f>
        <v>104680</v>
      </c>
      <c r="G127" s="48">
        <f t="shared" si="948"/>
        <v>34837</v>
      </c>
      <c r="H127" s="48">
        <f t="shared" si="949"/>
        <v>34837</v>
      </c>
      <c r="I127" s="51">
        <f t="shared" si="950"/>
        <v>115164.15460000001</v>
      </c>
      <c r="J127" s="48">
        <f t="shared" si="1231"/>
        <v>33791.89</v>
      </c>
      <c r="K127" s="51">
        <f t="shared" si="1232"/>
        <v>111709.229962</v>
      </c>
      <c r="L127" s="48">
        <f t="shared" si="1233"/>
        <v>33095.15</v>
      </c>
      <c r="M127" s="51">
        <f t="shared" si="1234"/>
        <v>109405.94687000001</v>
      </c>
      <c r="N127" s="48">
        <f t="shared" si="1235"/>
        <v>32398.410000000003</v>
      </c>
      <c r="O127" s="51">
        <f t="shared" si="1236"/>
        <v>107102.66377800002</v>
      </c>
      <c r="P127" s="52">
        <f t="shared" si="1237"/>
        <v>31701.670000000002</v>
      </c>
      <c r="Q127" s="51">
        <f t="shared" si="1238"/>
        <v>104799.380686</v>
      </c>
      <c r="R127" s="48">
        <f t="shared" si="1239"/>
        <v>31004.93</v>
      </c>
      <c r="S127" s="51">
        <f t="shared" si="1240"/>
        <v>102496.09759400001</v>
      </c>
      <c r="T127" s="52">
        <f t="shared" si="1241"/>
        <v>30308.19</v>
      </c>
      <c r="U127" s="51">
        <f t="shared" si="1242"/>
        <v>100192.81450199999</v>
      </c>
      <c r="V127" s="53">
        <f t="shared" si="1243"/>
        <v>29611.45</v>
      </c>
      <c r="W127" s="51">
        <f t="shared" si="1244"/>
        <v>97889.531410000011</v>
      </c>
      <c r="X127" s="52">
        <f t="shared" si="1245"/>
        <v>28914.71</v>
      </c>
      <c r="Y127" s="51">
        <f t="shared" si="1246"/>
        <v>95586.248317999998</v>
      </c>
      <c r="Z127" s="48">
        <f t="shared" si="1247"/>
        <v>28217.969999999998</v>
      </c>
      <c r="AA127" s="51">
        <f t="shared" si="1248"/>
        <v>93282.965226</v>
      </c>
      <c r="AB127" s="53">
        <f t="shared" si="1249"/>
        <v>27521.229999999996</v>
      </c>
      <c r="AC127" s="51">
        <f t="shared" si="1250"/>
        <v>90979.682133999988</v>
      </c>
      <c r="AD127" s="53">
        <f t="shared" si="1251"/>
        <v>26824.489999999998</v>
      </c>
      <c r="AE127" s="51">
        <f t="shared" si="1252"/>
        <v>88676.39904199999</v>
      </c>
      <c r="AF127" s="53">
        <f t="shared" si="1253"/>
        <v>26127.749999999996</v>
      </c>
      <c r="AG127" s="51">
        <f t="shared" si="1254"/>
        <v>86373.115949999992</v>
      </c>
      <c r="AH127" s="48">
        <f t="shared" si="1255"/>
        <v>25431.009999999995</v>
      </c>
      <c r="AI127" s="51">
        <f t="shared" si="1256"/>
        <v>84069.83285799998</v>
      </c>
      <c r="AJ127" s="53">
        <f t="shared" si="1257"/>
        <v>24734.269999999993</v>
      </c>
      <c r="AK127" s="51">
        <f t="shared" si="1258"/>
        <v>81766.549765999982</v>
      </c>
      <c r="AL127" s="53">
        <f t="shared" si="1259"/>
        <v>24037.529999999995</v>
      </c>
      <c r="AM127" s="51">
        <f t="shared" si="1260"/>
        <v>79463.266673999984</v>
      </c>
      <c r="AN127" s="53">
        <f t="shared" si="1261"/>
        <v>23340.789999999994</v>
      </c>
      <c r="AO127" s="51">
        <f t="shared" si="1262"/>
        <v>77159.983581999986</v>
      </c>
      <c r="AP127" s="53">
        <f t="shared" si="1263"/>
        <v>22644.049999999992</v>
      </c>
      <c r="AQ127" s="51">
        <f t="shared" si="1264"/>
        <v>74856.700489999974</v>
      </c>
      <c r="AR127" s="48">
        <f t="shared" si="1265"/>
        <v>21947.309999999994</v>
      </c>
      <c r="AS127" s="51">
        <f t="shared" si="1266"/>
        <v>72553.417397999976</v>
      </c>
      <c r="AT127" s="53">
        <f t="shared" si="1267"/>
        <v>21250.569999999992</v>
      </c>
      <c r="AU127" s="51">
        <f t="shared" si="1268"/>
        <v>70250.134305999978</v>
      </c>
      <c r="AV127" s="53">
        <f t="shared" si="1269"/>
        <v>20553.829999999991</v>
      </c>
      <c r="AW127" s="51">
        <f t="shared" si="1270"/>
        <v>67946.851213999966</v>
      </c>
      <c r="AX127" s="48">
        <f t="shared" si="1271"/>
        <v>19857.089999999989</v>
      </c>
      <c r="AY127" s="51">
        <f t="shared" si="1272"/>
        <v>65643.568121999968</v>
      </c>
      <c r="BB127" s="48">
        <v>1</v>
      </c>
      <c r="BC127" s="48">
        <v>0.97</v>
      </c>
      <c r="BD127" s="48">
        <v>0.95</v>
      </c>
      <c r="BE127" s="48">
        <v>0.93</v>
      </c>
      <c r="BF127" s="48">
        <f t="shared" ref="BF127:BW127" si="1412">+BE127-0.02</f>
        <v>0.91</v>
      </c>
      <c r="BG127" s="48">
        <f t="shared" si="1412"/>
        <v>0.89</v>
      </c>
      <c r="BH127" s="48">
        <f t="shared" si="1412"/>
        <v>0.87</v>
      </c>
      <c r="BI127" s="48">
        <f t="shared" si="1412"/>
        <v>0.85</v>
      </c>
      <c r="BJ127" s="48">
        <f t="shared" si="1412"/>
        <v>0.83</v>
      </c>
      <c r="BK127" s="48">
        <f t="shared" si="1412"/>
        <v>0.80999999999999994</v>
      </c>
      <c r="BL127" s="48">
        <f t="shared" si="1412"/>
        <v>0.78999999999999992</v>
      </c>
      <c r="BM127" s="48">
        <f t="shared" si="1412"/>
        <v>0.76999999999999991</v>
      </c>
      <c r="BN127" s="48">
        <f t="shared" si="1412"/>
        <v>0.74999999999999989</v>
      </c>
      <c r="BO127" s="48">
        <f t="shared" si="1412"/>
        <v>0.72999999999999987</v>
      </c>
      <c r="BP127" s="48">
        <f t="shared" si="1412"/>
        <v>0.70999999999999985</v>
      </c>
      <c r="BQ127" s="48">
        <f t="shared" si="1412"/>
        <v>0.68999999999999984</v>
      </c>
      <c r="BR127" s="48">
        <f t="shared" si="1412"/>
        <v>0.66999999999999982</v>
      </c>
      <c r="BS127" s="48">
        <f t="shared" si="1412"/>
        <v>0.6499999999999998</v>
      </c>
      <c r="BT127" s="48">
        <f t="shared" si="1412"/>
        <v>0.62999999999999978</v>
      </c>
      <c r="BU127" s="48">
        <f t="shared" si="1412"/>
        <v>0.60999999999999976</v>
      </c>
      <c r="BV127" s="48">
        <f t="shared" si="1412"/>
        <v>0.58999999999999975</v>
      </c>
      <c r="BW127" s="48">
        <f t="shared" si="1412"/>
        <v>0.56999999999999973</v>
      </c>
      <c r="BY127" s="48">
        <f t="shared" si="952"/>
        <v>31701.670000000002</v>
      </c>
      <c r="BZ127" s="48">
        <f t="shared" si="953"/>
        <v>31701.670000000002</v>
      </c>
      <c r="CA127" s="51">
        <f t="shared" ref="CA127" si="1413">+BZ127*3.3058</f>
        <v>104799.380686</v>
      </c>
      <c r="CB127" s="48">
        <f t="shared" si="1275"/>
        <v>30750.619900000002</v>
      </c>
      <c r="CC127" s="51">
        <f t="shared" si="1276"/>
        <v>101655.39926542001</v>
      </c>
      <c r="CD127" s="48">
        <f t="shared" si="1277"/>
        <v>30116.586500000001</v>
      </c>
      <c r="CE127" s="51">
        <f t="shared" si="1278"/>
        <v>99559.411651700007</v>
      </c>
      <c r="CF127" s="48">
        <f t="shared" si="1279"/>
        <v>29482.553100000005</v>
      </c>
      <c r="CG127" s="51">
        <f t="shared" si="1280"/>
        <v>97463.424037980018</v>
      </c>
      <c r="CH127" s="52">
        <f t="shared" si="1281"/>
        <v>28848.519700000004</v>
      </c>
      <c r="CI127" s="51">
        <f t="shared" si="1282"/>
        <v>95367.436424260013</v>
      </c>
      <c r="CJ127" s="48">
        <f t="shared" si="1283"/>
        <v>28214.4863</v>
      </c>
      <c r="CK127" s="51">
        <f t="shared" si="1284"/>
        <v>93271.448810540009</v>
      </c>
      <c r="CL127" s="52">
        <f t="shared" si="1285"/>
        <v>27580.4529</v>
      </c>
      <c r="CM127" s="51">
        <f t="shared" si="1286"/>
        <v>91175.461196820004</v>
      </c>
      <c r="CN127" s="53">
        <f t="shared" si="1287"/>
        <v>26946.4195</v>
      </c>
      <c r="CO127" s="51">
        <f t="shared" si="1288"/>
        <v>89079.4735831</v>
      </c>
      <c r="CP127" s="52">
        <f t="shared" si="1289"/>
        <v>26312.3861</v>
      </c>
      <c r="CQ127" s="51">
        <f t="shared" si="1290"/>
        <v>86983.485969379995</v>
      </c>
      <c r="CR127" s="48">
        <f t="shared" si="1291"/>
        <v>25678.352699999999</v>
      </c>
      <c r="CS127" s="51">
        <f t="shared" si="1292"/>
        <v>84887.498355660005</v>
      </c>
      <c r="CT127" s="53">
        <f t="shared" si="1293"/>
        <v>25044.319299999999</v>
      </c>
      <c r="CU127" s="51">
        <f t="shared" si="1294"/>
        <v>82791.510741940001</v>
      </c>
      <c r="CV127" s="53">
        <f t="shared" si="1295"/>
        <v>24410.285899999999</v>
      </c>
      <c r="CW127" s="51">
        <f t="shared" si="1296"/>
        <v>80695.523128219997</v>
      </c>
      <c r="CX127" s="53">
        <f t="shared" si="1297"/>
        <v>23776.252499999999</v>
      </c>
      <c r="CY127" s="51">
        <f t="shared" si="1298"/>
        <v>78599.535514499992</v>
      </c>
      <c r="CZ127" s="48">
        <f t="shared" si="1299"/>
        <v>23142.219099999998</v>
      </c>
      <c r="DA127" s="51">
        <f t="shared" si="1300"/>
        <v>76503.547900780002</v>
      </c>
      <c r="DB127" s="53">
        <f t="shared" si="1301"/>
        <v>22508.185699999998</v>
      </c>
      <c r="DC127" s="51">
        <f t="shared" si="1302"/>
        <v>74407.560287059998</v>
      </c>
      <c r="DD127" s="53">
        <f t="shared" si="1303"/>
        <v>21874.152299999994</v>
      </c>
      <c r="DE127" s="51">
        <f t="shared" si="1304"/>
        <v>72311.572673339979</v>
      </c>
      <c r="DF127" s="53">
        <f t="shared" si="1305"/>
        <v>21240.118899999994</v>
      </c>
      <c r="DG127" s="51">
        <f t="shared" si="1306"/>
        <v>70215.585059619989</v>
      </c>
      <c r="DH127" s="53">
        <f t="shared" si="1307"/>
        <v>20606.085499999994</v>
      </c>
      <c r="DI127" s="51">
        <f t="shared" si="1308"/>
        <v>68119.597445899984</v>
      </c>
      <c r="DJ127" s="48">
        <f t="shared" si="1309"/>
        <v>19972.052099999994</v>
      </c>
      <c r="DK127" s="51">
        <f t="shared" si="1310"/>
        <v>66023.60983217998</v>
      </c>
      <c r="DL127" s="53">
        <f t="shared" si="1311"/>
        <v>19338.018699999993</v>
      </c>
      <c r="DM127" s="51">
        <f t="shared" si="1312"/>
        <v>63927.622218459976</v>
      </c>
      <c r="DN127" s="53">
        <f t="shared" si="1313"/>
        <v>18703.985299999993</v>
      </c>
      <c r="DO127" s="51">
        <f t="shared" si="1314"/>
        <v>61831.634604739978</v>
      </c>
      <c r="DP127" s="48">
        <f t="shared" si="1315"/>
        <v>18069.951899999993</v>
      </c>
      <c r="DQ127" s="51">
        <f t="shared" si="1316"/>
        <v>59735.646991019974</v>
      </c>
      <c r="DT127" s="48">
        <v>1</v>
      </c>
      <c r="DU127" s="48">
        <v>0.97</v>
      </c>
      <c r="DV127" s="48">
        <v>0.95</v>
      </c>
      <c r="DW127" s="48">
        <v>0.93</v>
      </c>
      <c r="DX127" s="48">
        <f t="shared" ref="DX127:EO127" si="1414">+DW127-0.02</f>
        <v>0.91</v>
      </c>
      <c r="DY127" s="48">
        <f t="shared" si="1414"/>
        <v>0.89</v>
      </c>
      <c r="DZ127" s="48">
        <f t="shared" si="1414"/>
        <v>0.87</v>
      </c>
      <c r="EA127" s="48">
        <f t="shared" si="1414"/>
        <v>0.85</v>
      </c>
      <c r="EB127" s="48">
        <f t="shared" si="1414"/>
        <v>0.83</v>
      </c>
      <c r="EC127" s="48">
        <f t="shared" si="1414"/>
        <v>0.80999999999999994</v>
      </c>
      <c r="ED127" s="48">
        <f t="shared" si="1414"/>
        <v>0.78999999999999992</v>
      </c>
      <c r="EE127" s="48">
        <f t="shared" si="1414"/>
        <v>0.76999999999999991</v>
      </c>
      <c r="EF127" s="48">
        <f t="shared" si="1414"/>
        <v>0.74999999999999989</v>
      </c>
      <c r="EG127" s="48">
        <f t="shared" si="1414"/>
        <v>0.72999999999999987</v>
      </c>
      <c r="EH127" s="48">
        <f t="shared" si="1414"/>
        <v>0.70999999999999985</v>
      </c>
      <c r="EI127" s="48">
        <f t="shared" si="1414"/>
        <v>0.68999999999999984</v>
      </c>
      <c r="EJ127" s="48">
        <f t="shared" si="1414"/>
        <v>0.66999999999999982</v>
      </c>
      <c r="EK127" s="48">
        <f t="shared" si="1414"/>
        <v>0.6499999999999998</v>
      </c>
      <c r="EL127" s="48">
        <f t="shared" si="1414"/>
        <v>0.62999999999999978</v>
      </c>
      <c r="EM127" s="48">
        <f t="shared" si="1414"/>
        <v>0.60999999999999976</v>
      </c>
      <c r="EN127" s="48">
        <f t="shared" si="1414"/>
        <v>0.58999999999999975</v>
      </c>
      <c r="EO127" s="48">
        <f t="shared" si="1414"/>
        <v>0.56999999999999973</v>
      </c>
      <c r="EQ127" s="48">
        <f t="shared" si="1128"/>
        <v>28848.519700000004</v>
      </c>
      <c r="ER127" s="48">
        <f t="shared" si="956"/>
        <v>28848.519700000004</v>
      </c>
      <c r="ES127" s="51">
        <f t="shared" ref="ES127" si="1415">+ER127*3.3058</f>
        <v>95367.436424260013</v>
      </c>
      <c r="ET127" s="48">
        <f t="shared" si="1319"/>
        <v>27983.064109000003</v>
      </c>
      <c r="EU127" s="51">
        <f t="shared" si="1320"/>
        <v>92506.413331532211</v>
      </c>
      <c r="EV127" s="48">
        <f t="shared" si="1321"/>
        <v>27406.093715000003</v>
      </c>
      <c r="EW127" s="51">
        <f t="shared" si="1322"/>
        <v>90599.064603047009</v>
      </c>
      <c r="EX127" s="48">
        <f t="shared" si="1323"/>
        <v>26829.123321000006</v>
      </c>
      <c r="EY127" s="51">
        <f t="shared" si="1324"/>
        <v>88691.715874561822</v>
      </c>
      <c r="EZ127" s="52">
        <f t="shared" si="1325"/>
        <v>26252.152927000006</v>
      </c>
      <c r="FA127" s="51">
        <f t="shared" si="1326"/>
        <v>86784.36714607662</v>
      </c>
      <c r="FB127" s="48">
        <f t="shared" si="1327"/>
        <v>25675.182533000003</v>
      </c>
      <c r="FC127" s="51">
        <f t="shared" si="1328"/>
        <v>84877.018417591418</v>
      </c>
      <c r="FD127" s="52">
        <f t="shared" si="1329"/>
        <v>25098.212139000003</v>
      </c>
      <c r="FE127" s="51">
        <f t="shared" si="1330"/>
        <v>82969.669689106217</v>
      </c>
      <c r="FF127" s="53">
        <f t="shared" si="1331"/>
        <v>24521.241745000003</v>
      </c>
      <c r="FG127" s="51">
        <f t="shared" si="1332"/>
        <v>81062.320960621015</v>
      </c>
      <c r="FH127" s="52">
        <f t="shared" si="1333"/>
        <v>23944.271351000003</v>
      </c>
      <c r="FI127" s="51">
        <f t="shared" si="1334"/>
        <v>79154.972232135813</v>
      </c>
      <c r="FJ127" s="48">
        <f t="shared" si="1335"/>
        <v>23367.300957000003</v>
      </c>
      <c r="FK127" s="51">
        <f t="shared" si="1336"/>
        <v>77247.623503650611</v>
      </c>
      <c r="FL127" s="53">
        <f t="shared" si="1337"/>
        <v>22790.330563</v>
      </c>
      <c r="FM127" s="51">
        <f t="shared" si="1338"/>
        <v>75340.274775165395</v>
      </c>
      <c r="FN127" s="53">
        <f t="shared" si="1339"/>
        <v>22213.360169</v>
      </c>
      <c r="FO127" s="51">
        <f t="shared" si="1340"/>
        <v>73432.926046680193</v>
      </c>
      <c r="FP127" s="53">
        <f t="shared" si="1341"/>
        <v>21636.389775</v>
      </c>
      <c r="FQ127" s="51">
        <f t="shared" si="1342"/>
        <v>71525.577318195006</v>
      </c>
      <c r="FR127" s="48">
        <f t="shared" si="1343"/>
        <v>21059.419381</v>
      </c>
      <c r="FS127" s="51">
        <f t="shared" si="1344"/>
        <v>69618.228589709805</v>
      </c>
      <c r="FT127" s="53">
        <f t="shared" si="1345"/>
        <v>20482.448987</v>
      </c>
      <c r="FU127" s="51">
        <f t="shared" si="1346"/>
        <v>67710.879861224603</v>
      </c>
      <c r="FV127" s="53">
        <f t="shared" si="1347"/>
        <v>19905.478593</v>
      </c>
      <c r="FW127" s="51">
        <f t="shared" si="1348"/>
        <v>65803.531132739401</v>
      </c>
      <c r="FX127" s="53">
        <f t="shared" si="1349"/>
        <v>19328.508198999996</v>
      </c>
      <c r="FY127" s="51">
        <f t="shared" si="1350"/>
        <v>63896.182404254192</v>
      </c>
      <c r="FZ127" s="53">
        <f t="shared" si="1351"/>
        <v>18751.537804999996</v>
      </c>
      <c r="GA127" s="51">
        <f t="shared" si="1352"/>
        <v>61988.83367576899</v>
      </c>
      <c r="GB127" s="48">
        <f t="shared" si="1353"/>
        <v>18174.567410999996</v>
      </c>
      <c r="GC127" s="51">
        <f t="shared" si="1354"/>
        <v>60081.484947283789</v>
      </c>
      <c r="GD127" s="53">
        <f t="shared" si="1355"/>
        <v>17597.597016999996</v>
      </c>
      <c r="GE127" s="51">
        <f t="shared" si="1356"/>
        <v>58174.136218798587</v>
      </c>
      <c r="GF127" s="53">
        <f t="shared" si="1357"/>
        <v>17020.626622999996</v>
      </c>
      <c r="GG127" s="51">
        <f t="shared" si="1358"/>
        <v>56266.787490313392</v>
      </c>
      <c r="GH127" s="48">
        <f t="shared" si="1359"/>
        <v>16443.656228999993</v>
      </c>
      <c r="GI127" s="51">
        <f t="shared" si="1360"/>
        <v>54359.438761828176</v>
      </c>
      <c r="GJ127" s="48"/>
      <c r="GK127" s="48"/>
      <c r="GL127" s="48">
        <v>1</v>
      </c>
      <c r="GM127" s="48">
        <v>0.97</v>
      </c>
      <c r="GN127" s="48">
        <v>0.95</v>
      </c>
      <c r="GO127" s="48">
        <v>0.93</v>
      </c>
      <c r="GP127" s="48">
        <f t="shared" ref="GP127:HG127" si="1416">+GO127-0.02</f>
        <v>0.91</v>
      </c>
      <c r="GQ127" s="48">
        <f t="shared" si="1416"/>
        <v>0.89</v>
      </c>
      <c r="GR127" s="48">
        <f t="shared" si="1416"/>
        <v>0.87</v>
      </c>
      <c r="GS127" s="48">
        <f t="shared" si="1416"/>
        <v>0.85</v>
      </c>
      <c r="GT127" s="48">
        <f t="shared" si="1416"/>
        <v>0.83</v>
      </c>
      <c r="GU127" s="48">
        <f t="shared" si="1416"/>
        <v>0.80999999999999994</v>
      </c>
      <c r="GV127" s="48">
        <f t="shared" si="1416"/>
        <v>0.78999999999999992</v>
      </c>
      <c r="GW127" s="48">
        <f t="shared" si="1416"/>
        <v>0.76999999999999991</v>
      </c>
      <c r="GX127" s="48">
        <f t="shared" si="1416"/>
        <v>0.74999999999999989</v>
      </c>
      <c r="GY127" s="48">
        <f t="shared" si="1416"/>
        <v>0.72999999999999987</v>
      </c>
      <c r="GZ127" s="48">
        <f t="shared" si="1416"/>
        <v>0.70999999999999985</v>
      </c>
      <c r="HA127" s="48">
        <f t="shared" si="1416"/>
        <v>0.68999999999999984</v>
      </c>
      <c r="HB127" s="48">
        <f t="shared" si="1416"/>
        <v>0.66999999999999982</v>
      </c>
      <c r="HC127" s="48">
        <f t="shared" si="1416"/>
        <v>0.6499999999999998</v>
      </c>
      <c r="HD127" s="48">
        <f t="shared" si="1416"/>
        <v>0.62999999999999978</v>
      </c>
      <c r="HE127" s="48">
        <f t="shared" si="1416"/>
        <v>0.60999999999999976</v>
      </c>
      <c r="HF127" s="48">
        <f t="shared" si="1416"/>
        <v>0.58999999999999975</v>
      </c>
      <c r="HG127" s="48">
        <f t="shared" si="1416"/>
        <v>0.56999999999999973</v>
      </c>
    </row>
    <row r="128" spans="1:215" s="54" customFormat="1" x14ac:dyDescent="0.3">
      <c r="C128" s="55"/>
      <c r="D128" s="55"/>
      <c r="E128" s="55"/>
      <c r="G128" s="56"/>
      <c r="H128" s="56"/>
      <c r="I128" s="56"/>
      <c r="J128" s="56"/>
      <c r="K128" s="56"/>
      <c r="L128" s="56"/>
      <c r="M128" s="56"/>
      <c r="N128" s="56"/>
      <c r="O128" s="56"/>
      <c r="P128" s="57"/>
      <c r="Q128" s="56"/>
      <c r="R128" s="56"/>
      <c r="S128" s="56"/>
      <c r="T128" s="57"/>
      <c r="U128" s="56"/>
      <c r="V128" s="58"/>
      <c r="W128" s="56"/>
      <c r="X128" s="57"/>
      <c r="Y128" s="56"/>
      <c r="Z128" s="56"/>
      <c r="AA128" s="56"/>
      <c r="AB128" s="58"/>
      <c r="AC128" s="56"/>
      <c r="AD128" s="58"/>
      <c r="AE128" s="56"/>
      <c r="AF128" s="58"/>
      <c r="AG128" s="56"/>
      <c r="AH128" s="56"/>
      <c r="AI128" s="56"/>
      <c r="AJ128" s="58"/>
      <c r="AK128" s="56"/>
      <c r="AL128" s="58"/>
      <c r="AM128" s="56"/>
      <c r="AN128" s="58"/>
      <c r="AO128" s="56"/>
      <c r="AP128" s="58"/>
      <c r="AQ128" s="56"/>
      <c r="AR128" s="56"/>
      <c r="AS128" s="56"/>
      <c r="AT128" s="58"/>
      <c r="AU128" s="56"/>
      <c r="AV128" s="58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56"/>
      <c r="BI128" s="56"/>
      <c r="BJ128" s="56"/>
      <c r="BK128" s="56"/>
      <c r="BL128" s="56"/>
      <c r="BM128" s="56"/>
      <c r="BN128" s="56"/>
      <c r="BO128" s="56"/>
      <c r="BP128" s="56"/>
      <c r="BQ128" s="56"/>
      <c r="BR128" s="56"/>
      <c r="BS128" s="56"/>
      <c r="BT128" s="56"/>
      <c r="BU128" s="56"/>
      <c r="BV128" s="56"/>
      <c r="BW128" s="56"/>
      <c r="BX128" s="56"/>
      <c r="BY128" s="56">
        <f t="shared" si="952"/>
        <v>0</v>
      </c>
      <c r="BZ128" s="56"/>
      <c r="CA128" s="56"/>
      <c r="CB128" s="56"/>
      <c r="CC128" s="56"/>
      <c r="CD128" s="56"/>
      <c r="CE128" s="56"/>
      <c r="CF128" s="56"/>
      <c r="CG128" s="56"/>
      <c r="CH128" s="57"/>
      <c r="CI128" s="56"/>
      <c r="CJ128" s="56"/>
      <c r="CK128" s="56"/>
      <c r="CL128" s="57"/>
      <c r="CM128" s="56"/>
      <c r="CN128" s="58"/>
      <c r="CO128" s="56"/>
      <c r="CP128" s="57"/>
      <c r="CQ128" s="56"/>
      <c r="CR128" s="56"/>
      <c r="CS128" s="56"/>
      <c r="CT128" s="58"/>
      <c r="CU128" s="56"/>
      <c r="CV128" s="58"/>
      <c r="CW128" s="56"/>
      <c r="CX128" s="58"/>
      <c r="CY128" s="56"/>
      <c r="CZ128" s="56"/>
      <c r="DA128" s="56"/>
      <c r="DB128" s="58"/>
      <c r="DC128" s="56"/>
      <c r="DD128" s="58"/>
      <c r="DE128" s="56"/>
      <c r="DF128" s="58"/>
      <c r="DG128" s="56"/>
      <c r="DH128" s="58"/>
      <c r="DI128" s="56"/>
      <c r="DJ128" s="56"/>
      <c r="DK128" s="56"/>
      <c r="DL128" s="58"/>
      <c r="DM128" s="56"/>
      <c r="DN128" s="58"/>
      <c r="DO128" s="56"/>
      <c r="DP128" s="56"/>
      <c r="DQ128" s="56"/>
      <c r="DR128" s="56"/>
      <c r="DS128" s="56"/>
      <c r="DT128" s="56">
        <v>1</v>
      </c>
      <c r="DU128" s="56">
        <v>0.97</v>
      </c>
      <c r="DV128" s="56">
        <v>0.95</v>
      </c>
      <c r="DW128" s="56">
        <v>0.93</v>
      </c>
      <c r="DX128" s="56">
        <f t="shared" ref="DX128:EO128" si="1417">+DW128-0.02</f>
        <v>0.91</v>
      </c>
      <c r="DY128" s="56">
        <f t="shared" si="1417"/>
        <v>0.89</v>
      </c>
      <c r="DZ128" s="56">
        <f t="shared" si="1417"/>
        <v>0.87</v>
      </c>
      <c r="EA128" s="56">
        <f t="shared" si="1417"/>
        <v>0.85</v>
      </c>
      <c r="EB128" s="56">
        <f t="shared" si="1417"/>
        <v>0.83</v>
      </c>
      <c r="EC128" s="56">
        <f t="shared" si="1417"/>
        <v>0.80999999999999994</v>
      </c>
      <c r="ED128" s="56">
        <f t="shared" si="1417"/>
        <v>0.78999999999999992</v>
      </c>
      <c r="EE128" s="56">
        <f t="shared" si="1417"/>
        <v>0.76999999999999991</v>
      </c>
      <c r="EF128" s="56">
        <f t="shared" si="1417"/>
        <v>0.74999999999999989</v>
      </c>
      <c r="EG128" s="56">
        <f t="shared" si="1417"/>
        <v>0.72999999999999987</v>
      </c>
      <c r="EH128" s="56">
        <f t="shared" si="1417"/>
        <v>0.70999999999999985</v>
      </c>
      <c r="EI128" s="56">
        <f t="shared" si="1417"/>
        <v>0.68999999999999984</v>
      </c>
      <c r="EJ128" s="56">
        <f t="shared" si="1417"/>
        <v>0.66999999999999982</v>
      </c>
      <c r="EK128" s="56">
        <f t="shared" si="1417"/>
        <v>0.6499999999999998</v>
      </c>
      <c r="EL128" s="56">
        <f t="shared" si="1417"/>
        <v>0.62999999999999978</v>
      </c>
      <c r="EM128" s="56">
        <f t="shared" si="1417"/>
        <v>0.60999999999999976</v>
      </c>
      <c r="EN128" s="56">
        <f t="shared" si="1417"/>
        <v>0.58999999999999975</v>
      </c>
      <c r="EO128" s="56">
        <f t="shared" si="1417"/>
        <v>0.56999999999999973</v>
      </c>
      <c r="EQ128" s="56">
        <f t="shared" si="1128"/>
        <v>0</v>
      </c>
      <c r="ER128" s="56"/>
      <c r="ES128" s="56"/>
      <c r="ET128" s="56"/>
      <c r="EU128" s="56"/>
      <c r="EV128" s="56"/>
      <c r="EW128" s="56"/>
      <c r="EX128" s="56"/>
      <c r="EY128" s="56"/>
      <c r="EZ128" s="57"/>
      <c r="FA128" s="56"/>
      <c r="FB128" s="56"/>
      <c r="FC128" s="56"/>
      <c r="FD128" s="57"/>
      <c r="FE128" s="56"/>
      <c r="FF128" s="58"/>
      <c r="FG128" s="56"/>
      <c r="FH128" s="57"/>
      <c r="FI128" s="56"/>
      <c r="FJ128" s="56"/>
      <c r="FK128" s="56"/>
      <c r="FL128" s="58"/>
      <c r="FM128" s="56"/>
      <c r="FN128" s="58"/>
      <c r="FO128" s="56"/>
      <c r="FP128" s="58"/>
      <c r="FQ128" s="56"/>
      <c r="FR128" s="56"/>
      <c r="FS128" s="56"/>
      <c r="FT128" s="58"/>
      <c r="FU128" s="56"/>
      <c r="FV128" s="58"/>
      <c r="FW128" s="56"/>
      <c r="FX128" s="58"/>
      <c r="FY128" s="56"/>
      <c r="FZ128" s="58"/>
      <c r="GA128" s="56"/>
      <c r="GB128" s="56"/>
      <c r="GC128" s="56"/>
      <c r="GD128" s="58"/>
      <c r="GE128" s="56"/>
      <c r="GF128" s="58"/>
      <c r="GG128" s="56"/>
      <c r="GH128" s="56"/>
      <c r="GI128" s="56"/>
      <c r="GJ128" s="56"/>
      <c r="GK128" s="56"/>
      <c r="GL128" s="56">
        <v>1</v>
      </c>
      <c r="GM128" s="56">
        <v>0.97</v>
      </c>
      <c r="GN128" s="56">
        <v>0.95</v>
      </c>
      <c r="GO128" s="56">
        <v>0.93</v>
      </c>
      <c r="GP128" s="56">
        <f t="shared" ref="GP128:HG128" si="1418">+GO128-0.02</f>
        <v>0.91</v>
      </c>
      <c r="GQ128" s="56">
        <f t="shared" si="1418"/>
        <v>0.89</v>
      </c>
      <c r="GR128" s="56">
        <f t="shared" si="1418"/>
        <v>0.87</v>
      </c>
      <c r="GS128" s="56">
        <f t="shared" si="1418"/>
        <v>0.85</v>
      </c>
      <c r="GT128" s="56">
        <f t="shared" si="1418"/>
        <v>0.83</v>
      </c>
      <c r="GU128" s="56">
        <f t="shared" si="1418"/>
        <v>0.80999999999999994</v>
      </c>
      <c r="GV128" s="56">
        <f t="shared" si="1418"/>
        <v>0.78999999999999992</v>
      </c>
      <c r="GW128" s="56">
        <f t="shared" si="1418"/>
        <v>0.76999999999999991</v>
      </c>
      <c r="GX128" s="56">
        <f t="shared" si="1418"/>
        <v>0.74999999999999989</v>
      </c>
      <c r="GY128" s="56">
        <f t="shared" si="1418"/>
        <v>0.72999999999999987</v>
      </c>
      <c r="GZ128" s="56">
        <f t="shared" si="1418"/>
        <v>0.70999999999999985</v>
      </c>
      <c r="HA128" s="56">
        <f t="shared" si="1418"/>
        <v>0.68999999999999984</v>
      </c>
      <c r="HB128" s="56">
        <f t="shared" si="1418"/>
        <v>0.66999999999999982</v>
      </c>
      <c r="HC128" s="56">
        <f t="shared" si="1418"/>
        <v>0.6499999999999998</v>
      </c>
      <c r="HD128" s="56">
        <f t="shared" si="1418"/>
        <v>0.62999999999999978</v>
      </c>
      <c r="HE128" s="56">
        <f t="shared" si="1418"/>
        <v>0.60999999999999976</v>
      </c>
      <c r="HF128" s="56">
        <f t="shared" si="1418"/>
        <v>0.58999999999999975</v>
      </c>
      <c r="HG128" s="56">
        <f t="shared" si="1418"/>
        <v>0.56999999999999973</v>
      </c>
    </row>
    <row r="129" spans="1:215" s="54" customFormat="1" ht="17.25" thickBot="1" x14ac:dyDescent="0.35">
      <c r="B129" s="54" t="s">
        <v>188</v>
      </c>
      <c r="C129" s="54" t="s">
        <v>131</v>
      </c>
      <c r="D129" s="55" t="s">
        <v>205</v>
      </c>
      <c r="E129" s="55" t="s">
        <v>61</v>
      </c>
      <c r="G129" s="56"/>
      <c r="H129" s="56"/>
      <c r="I129" s="56"/>
      <c r="J129" s="56"/>
      <c r="K129" s="56"/>
      <c r="L129" s="56"/>
      <c r="M129" s="56"/>
      <c r="N129" s="56"/>
      <c r="O129" s="56"/>
      <c r="P129" s="57"/>
      <c r="Q129" s="56"/>
      <c r="R129" s="56"/>
      <c r="S129" s="56"/>
      <c r="T129" s="57"/>
      <c r="U129" s="56"/>
      <c r="V129" s="58"/>
      <c r="W129" s="56"/>
      <c r="X129" s="57"/>
      <c r="Y129" s="56"/>
      <c r="Z129" s="56"/>
      <c r="AA129" s="56"/>
      <c r="AB129" s="58"/>
      <c r="AC129" s="56"/>
      <c r="AD129" s="58"/>
      <c r="AE129" s="56"/>
      <c r="AF129" s="58"/>
      <c r="AG129" s="56"/>
      <c r="AH129" s="56"/>
      <c r="AI129" s="56"/>
      <c r="AJ129" s="58"/>
      <c r="AK129" s="56"/>
      <c r="AL129" s="58"/>
      <c r="AM129" s="56"/>
      <c r="AN129" s="58"/>
      <c r="AO129" s="56"/>
      <c r="AP129" s="58"/>
      <c r="AQ129" s="56"/>
      <c r="AR129" s="56"/>
      <c r="AS129" s="56"/>
      <c r="AT129" s="58"/>
      <c r="AU129" s="56"/>
      <c r="AV129" s="58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  <c r="BM129" s="56"/>
      <c r="BN129" s="56"/>
      <c r="BO129" s="56"/>
      <c r="BP129" s="56"/>
      <c r="BQ129" s="56"/>
      <c r="BR129" s="56"/>
      <c r="BS129" s="56"/>
      <c r="BT129" s="56"/>
      <c r="BU129" s="56"/>
      <c r="BV129" s="56"/>
      <c r="BW129" s="56"/>
      <c r="BX129" s="56"/>
      <c r="BY129" s="56">
        <f t="shared" si="952"/>
        <v>0</v>
      </c>
      <c r="BZ129" s="56"/>
      <c r="CA129" s="56"/>
      <c r="CB129" s="56"/>
      <c r="CC129" s="56"/>
      <c r="CD129" s="56"/>
      <c r="CE129" s="56"/>
      <c r="CF129" s="56"/>
      <c r="CG129" s="56"/>
      <c r="CH129" s="57"/>
      <c r="CI129" s="56"/>
      <c r="CJ129" s="56"/>
      <c r="CK129" s="56"/>
      <c r="CL129" s="57"/>
      <c r="CM129" s="56"/>
      <c r="CN129" s="58"/>
      <c r="CO129" s="56"/>
      <c r="CP129" s="57"/>
      <c r="CQ129" s="56"/>
      <c r="CR129" s="56"/>
      <c r="CS129" s="56"/>
      <c r="CT129" s="58"/>
      <c r="CU129" s="56"/>
      <c r="CV129" s="58"/>
      <c r="CW129" s="56"/>
      <c r="CX129" s="58"/>
      <c r="CY129" s="56"/>
      <c r="CZ129" s="56"/>
      <c r="DA129" s="56"/>
      <c r="DB129" s="58"/>
      <c r="DC129" s="56"/>
      <c r="DD129" s="58"/>
      <c r="DE129" s="56"/>
      <c r="DF129" s="58"/>
      <c r="DG129" s="56"/>
      <c r="DH129" s="58"/>
      <c r="DI129" s="56"/>
      <c r="DJ129" s="56"/>
      <c r="DK129" s="56"/>
      <c r="DL129" s="58"/>
      <c r="DM129" s="56"/>
      <c r="DN129" s="58"/>
      <c r="DO129" s="56"/>
      <c r="DP129" s="56"/>
      <c r="DQ129" s="56"/>
      <c r="DR129" s="56"/>
      <c r="DS129" s="56"/>
      <c r="DT129" s="56">
        <v>1</v>
      </c>
      <c r="DU129" s="56">
        <v>0.97</v>
      </c>
      <c r="DV129" s="56">
        <v>0.95</v>
      </c>
      <c r="DW129" s="56">
        <v>0.93</v>
      </c>
      <c r="DX129" s="56">
        <f t="shared" ref="DX129:EO129" si="1419">+DW129-0.02</f>
        <v>0.91</v>
      </c>
      <c r="DY129" s="56">
        <f t="shared" si="1419"/>
        <v>0.89</v>
      </c>
      <c r="DZ129" s="56">
        <f t="shared" si="1419"/>
        <v>0.87</v>
      </c>
      <c r="EA129" s="56">
        <f t="shared" si="1419"/>
        <v>0.85</v>
      </c>
      <c r="EB129" s="56">
        <f t="shared" si="1419"/>
        <v>0.83</v>
      </c>
      <c r="EC129" s="56">
        <f t="shared" si="1419"/>
        <v>0.80999999999999994</v>
      </c>
      <c r="ED129" s="56">
        <f t="shared" si="1419"/>
        <v>0.78999999999999992</v>
      </c>
      <c r="EE129" s="56">
        <f t="shared" si="1419"/>
        <v>0.76999999999999991</v>
      </c>
      <c r="EF129" s="56">
        <f t="shared" si="1419"/>
        <v>0.74999999999999989</v>
      </c>
      <c r="EG129" s="56">
        <f t="shared" si="1419"/>
        <v>0.72999999999999987</v>
      </c>
      <c r="EH129" s="56">
        <f t="shared" si="1419"/>
        <v>0.70999999999999985</v>
      </c>
      <c r="EI129" s="56">
        <f t="shared" si="1419"/>
        <v>0.68999999999999984</v>
      </c>
      <c r="EJ129" s="56">
        <f t="shared" si="1419"/>
        <v>0.66999999999999982</v>
      </c>
      <c r="EK129" s="56">
        <f t="shared" si="1419"/>
        <v>0.6499999999999998</v>
      </c>
      <c r="EL129" s="56">
        <f t="shared" si="1419"/>
        <v>0.62999999999999978</v>
      </c>
      <c r="EM129" s="56">
        <f t="shared" si="1419"/>
        <v>0.60999999999999976</v>
      </c>
      <c r="EN129" s="56">
        <f t="shared" si="1419"/>
        <v>0.58999999999999975</v>
      </c>
      <c r="EO129" s="56">
        <f t="shared" si="1419"/>
        <v>0.56999999999999973</v>
      </c>
      <c r="EQ129" s="56">
        <f t="shared" si="1128"/>
        <v>0</v>
      </c>
      <c r="ER129" s="56"/>
      <c r="ES129" s="56"/>
      <c r="ET129" s="56"/>
      <c r="EU129" s="56"/>
      <c r="EV129" s="56"/>
      <c r="EW129" s="56"/>
      <c r="EX129" s="56"/>
      <c r="EY129" s="56"/>
      <c r="EZ129" s="57"/>
      <c r="FA129" s="56"/>
      <c r="FB129" s="56"/>
      <c r="FC129" s="56"/>
      <c r="FD129" s="57"/>
      <c r="FE129" s="56"/>
      <c r="FF129" s="58"/>
      <c r="FG129" s="56"/>
      <c r="FH129" s="57"/>
      <c r="FI129" s="56"/>
      <c r="FJ129" s="56"/>
      <c r="FK129" s="56"/>
      <c r="FL129" s="58"/>
      <c r="FM129" s="56"/>
      <c r="FN129" s="58"/>
      <c r="FO129" s="56"/>
      <c r="FP129" s="58"/>
      <c r="FQ129" s="56"/>
      <c r="FR129" s="56"/>
      <c r="FS129" s="56"/>
      <c r="FT129" s="58"/>
      <c r="FU129" s="56"/>
      <c r="FV129" s="58"/>
      <c r="FW129" s="56"/>
      <c r="FX129" s="58"/>
      <c r="FY129" s="56"/>
      <c r="FZ129" s="58"/>
      <c r="GA129" s="56"/>
      <c r="GB129" s="56"/>
      <c r="GC129" s="56"/>
      <c r="GD129" s="58"/>
      <c r="GE129" s="56"/>
      <c r="GF129" s="58"/>
      <c r="GG129" s="56"/>
      <c r="GH129" s="56"/>
      <c r="GI129" s="56"/>
      <c r="GJ129" s="56"/>
      <c r="GK129" s="56"/>
      <c r="GL129" s="56">
        <v>1</v>
      </c>
      <c r="GM129" s="56">
        <v>0.97</v>
      </c>
      <c r="GN129" s="56">
        <v>0.95</v>
      </c>
      <c r="GO129" s="56">
        <v>0.93</v>
      </c>
      <c r="GP129" s="56">
        <f t="shared" ref="GP129:HG129" si="1420">+GO129-0.02</f>
        <v>0.91</v>
      </c>
      <c r="GQ129" s="56">
        <f t="shared" si="1420"/>
        <v>0.89</v>
      </c>
      <c r="GR129" s="56">
        <f t="shared" si="1420"/>
        <v>0.87</v>
      </c>
      <c r="GS129" s="56">
        <f t="shared" si="1420"/>
        <v>0.85</v>
      </c>
      <c r="GT129" s="56">
        <f t="shared" si="1420"/>
        <v>0.83</v>
      </c>
      <c r="GU129" s="56">
        <f t="shared" si="1420"/>
        <v>0.80999999999999994</v>
      </c>
      <c r="GV129" s="56">
        <f t="shared" si="1420"/>
        <v>0.78999999999999992</v>
      </c>
      <c r="GW129" s="56">
        <f t="shared" si="1420"/>
        <v>0.76999999999999991</v>
      </c>
      <c r="GX129" s="56">
        <f t="shared" si="1420"/>
        <v>0.74999999999999989</v>
      </c>
      <c r="GY129" s="56">
        <f t="shared" si="1420"/>
        <v>0.72999999999999987</v>
      </c>
      <c r="GZ129" s="56">
        <f t="shared" si="1420"/>
        <v>0.70999999999999985</v>
      </c>
      <c r="HA129" s="56">
        <f t="shared" si="1420"/>
        <v>0.68999999999999984</v>
      </c>
      <c r="HB129" s="56">
        <f t="shared" si="1420"/>
        <v>0.66999999999999982</v>
      </c>
      <c r="HC129" s="56">
        <f t="shared" si="1420"/>
        <v>0.6499999999999998</v>
      </c>
      <c r="HD129" s="56">
        <f t="shared" si="1420"/>
        <v>0.62999999999999978</v>
      </c>
      <c r="HE129" s="56">
        <f t="shared" si="1420"/>
        <v>0.60999999999999976</v>
      </c>
      <c r="HF129" s="56">
        <f t="shared" si="1420"/>
        <v>0.58999999999999975</v>
      </c>
      <c r="HG129" s="56">
        <f t="shared" si="1420"/>
        <v>0.56999999999999973</v>
      </c>
    </row>
    <row r="130" spans="1:215" x14ac:dyDescent="0.3">
      <c r="A130" s="2">
        <v>1</v>
      </c>
      <c r="C130" s="39" t="s">
        <v>189</v>
      </c>
      <c r="D130" s="42">
        <f>TRUNC(13318.0590050835,-1)</f>
        <v>13310</v>
      </c>
      <c r="E130" s="72">
        <f t="shared" ref="E130:E139" si="1421">TRUNC(+D130*3.3058,-1)</f>
        <v>44000</v>
      </c>
      <c r="G130" s="48">
        <f t="shared" si="948"/>
        <v>14641.000000000002</v>
      </c>
      <c r="H130" s="48">
        <f t="shared" si="949"/>
        <v>14641.000000000002</v>
      </c>
      <c r="I130" s="51">
        <f t="shared" si="950"/>
        <v>48400.217800000006</v>
      </c>
      <c r="J130" s="48">
        <f t="shared" ref="J130:J140" si="1422">+H130*BC130</f>
        <v>14201.770000000002</v>
      </c>
      <c r="K130" s="51">
        <f t="shared" ref="K130:K140" si="1423">+J130*3.3058</f>
        <v>46948.211266000006</v>
      </c>
      <c r="L130" s="48">
        <f t="shared" ref="L130:L140" si="1424">+H130*BD130</f>
        <v>13908.95</v>
      </c>
      <c r="M130" s="51">
        <f t="shared" ref="M130:M140" si="1425">+L130*3.3058</f>
        <v>45980.206910000001</v>
      </c>
      <c r="N130" s="48">
        <f t="shared" ref="N130:N140" si="1426">+H130*BE130</f>
        <v>13616.130000000003</v>
      </c>
      <c r="O130" s="51">
        <f t="shared" ref="O130:O140" si="1427">+N130*3.3058</f>
        <v>45012.20255400001</v>
      </c>
      <c r="P130" s="52">
        <f t="shared" ref="P130:P140" si="1428">+H130*BF130</f>
        <v>13323.310000000001</v>
      </c>
      <c r="Q130" s="51">
        <f t="shared" ref="Q130:Q140" si="1429">+P130*3.3058</f>
        <v>44044.198198000006</v>
      </c>
      <c r="R130" s="48">
        <f t="shared" ref="R130:R140" si="1430">+H130*BG130</f>
        <v>13030.490000000002</v>
      </c>
      <c r="S130" s="51">
        <f t="shared" ref="S130:S140" si="1431">+R130*3.3058</f>
        <v>43076.193842000008</v>
      </c>
      <c r="T130" s="52">
        <f t="shared" ref="T130:T140" si="1432">+H130*BH130</f>
        <v>12737.670000000002</v>
      </c>
      <c r="U130" s="51">
        <f t="shared" ref="U130:U140" si="1433">+T130*3.3058</f>
        <v>42108.18948600001</v>
      </c>
      <c r="V130" s="53">
        <f t="shared" ref="V130:V140" si="1434">+H130*BI130</f>
        <v>12444.85</v>
      </c>
      <c r="W130" s="51">
        <f t="shared" ref="W130:W140" si="1435">+V130*3.3058</f>
        <v>41140.185130000005</v>
      </c>
      <c r="X130" s="52">
        <f t="shared" ref="X130:X140" si="1436">+H130*BJ130</f>
        <v>12152.03</v>
      </c>
      <c r="Y130" s="51">
        <f t="shared" ref="Y130:Y140" si="1437">+X130*3.3058</f>
        <v>40172.180774</v>
      </c>
      <c r="Z130" s="48">
        <f t="shared" ref="Z130:Z140" si="1438">+H130*BK130</f>
        <v>11859.210000000001</v>
      </c>
      <c r="AA130" s="51">
        <f t="shared" ref="AA130:AA140" si="1439">+Z130*3.3058</f>
        <v>39204.176418000003</v>
      </c>
      <c r="AB130" s="53">
        <f t="shared" ref="AB130:AB140" si="1440">+H130*BL130</f>
        <v>11566.390000000001</v>
      </c>
      <c r="AC130" s="51">
        <f t="shared" ref="AC130:AC140" si="1441">+AB130*3.3058</f>
        <v>38236.172062000005</v>
      </c>
      <c r="AD130" s="53">
        <f t="shared" ref="AD130:AD140" si="1442">+H130*BM130</f>
        <v>11273.57</v>
      </c>
      <c r="AE130" s="51">
        <f t="shared" ref="AE130:AE140" si="1443">+AD130*3.3058</f>
        <v>37268.167706</v>
      </c>
      <c r="AF130" s="53">
        <f t="shared" ref="AF130:AF140" si="1444">+H130*BN130</f>
        <v>10980.75</v>
      </c>
      <c r="AG130" s="51">
        <f t="shared" ref="AG130:AG140" si="1445">+AF130*3.3058</f>
        <v>36300.163350000003</v>
      </c>
      <c r="AH130" s="48">
        <f t="shared" ref="AH130:AH140" si="1446">+H130*BO130</f>
        <v>10687.93</v>
      </c>
      <c r="AI130" s="51">
        <f t="shared" ref="AI130:AI140" si="1447">+AH130*3.3058</f>
        <v>35332.158994000005</v>
      </c>
      <c r="AJ130" s="53">
        <f t="shared" ref="AJ130:AJ140" si="1448">+H130*BP130</f>
        <v>10395.109999999999</v>
      </c>
      <c r="AK130" s="51">
        <f t="shared" ref="AK130:AK140" si="1449">+AJ130*3.3058</f>
        <v>34364.154638</v>
      </c>
      <c r="AL130" s="53">
        <f t="shared" ref="AL130:AL140" si="1450">+H130*BQ130</f>
        <v>10102.289999999999</v>
      </c>
      <c r="AM130" s="51">
        <f t="shared" ref="AM130:AM140" si="1451">+AL130*3.3058</f>
        <v>33396.150281999995</v>
      </c>
      <c r="AN130" s="53">
        <f t="shared" ref="AN130:AN140" si="1452">+H130*BR130</f>
        <v>9809.4699999999993</v>
      </c>
      <c r="AO130" s="51">
        <f t="shared" ref="AO130:AO140" si="1453">+AN130*3.3058</f>
        <v>32428.145925999997</v>
      </c>
      <c r="AP130" s="53">
        <f t="shared" ref="AP130:AP140" si="1454">+H130*BS130</f>
        <v>9516.6499999999978</v>
      </c>
      <c r="AQ130" s="51">
        <f t="shared" ref="AQ130:AQ140" si="1455">+AP130*3.3058</f>
        <v>31460.141569999992</v>
      </c>
      <c r="AR130" s="48">
        <f t="shared" ref="AR130:AR140" si="1456">+H130*BT130</f>
        <v>9223.8299999999981</v>
      </c>
      <c r="AS130" s="51">
        <f t="shared" ref="AS130:AS140" si="1457">+AR130*3.3058</f>
        <v>30492.137213999995</v>
      </c>
      <c r="AT130" s="53">
        <f t="shared" ref="AT130:AT140" si="1458">+H130*BU130</f>
        <v>8931.0099999999984</v>
      </c>
      <c r="AU130" s="51">
        <f t="shared" ref="AU130:AU140" si="1459">+AT130*3.3058</f>
        <v>29524.132857999994</v>
      </c>
      <c r="AV130" s="53">
        <f t="shared" ref="AV130:AV140" si="1460">+H130*BV130</f>
        <v>8638.1899999999969</v>
      </c>
      <c r="AW130" s="51">
        <f t="shared" ref="AW130:AW140" si="1461">+AV130*3.3058</f>
        <v>28556.128501999989</v>
      </c>
      <c r="AX130" s="48">
        <f t="shared" ref="AX130:AX140" si="1462">+H130*BW130</f>
        <v>8345.3699999999972</v>
      </c>
      <c r="AY130" s="51">
        <f t="shared" ref="AY130:AY140" si="1463">+AX130*3.3058</f>
        <v>27588.124145999991</v>
      </c>
      <c r="BB130" s="48">
        <v>1</v>
      </c>
      <c r="BC130" s="48">
        <v>0.97</v>
      </c>
      <c r="BD130" s="48">
        <v>0.95</v>
      </c>
      <c r="BE130" s="48">
        <v>0.93</v>
      </c>
      <c r="BF130" s="48">
        <f t="shared" ref="BF130:BW130" si="1464">+BE130-0.02</f>
        <v>0.91</v>
      </c>
      <c r="BG130" s="48">
        <f t="shared" si="1464"/>
        <v>0.89</v>
      </c>
      <c r="BH130" s="48">
        <f t="shared" si="1464"/>
        <v>0.87</v>
      </c>
      <c r="BI130" s="48">
        <f t="shared" si="1464"/>
        <v>0.85</v>
      </c>
      <c r="BJ130" s="48">
        <f t="shared" si="1464"/>
        <v>0.83</v>
      </c>
      <c r="BK130" s="48">
        <f t="shared" si="1464"/>
        <v>0.80999999999999994</v>
      </c>
      <c r="BL130" s="48">
        <f t="shared" si="1464"/>
        <v>0.78999999999999992</v>
      </c>
      <c r="BM130" s="48">
        <f t="shared" si="1464"/>
        <v>0.76999999999999991</v>
      </c>
      <c r="BN130" s="48">
        <f t="shared" si="1464"/>
        <v>0.74999999999999989</v>
      </c>
      <c r="BO130" s="48">
        <f t="shared" si="1464"/>
        <v>0.72999999999999987</v>
      </c>
      <c r="BP130" s="48">
        <f t="shared" si="1464"/>
        <v>0.70999999999999985</v>
      </c>
      <c r="BQ130" s="48">
        <f t="shared" si="1464"/>
        <v>0.68999999999999984</v>
      </c>
      <c r="BR130" s="48">
        <f t="shared" si="1464"/>
        <v>0.66999999999999982</v>
      </c>
      <c r="BS130" s="48">
        <f t="shared" si="1464"/>
        <v>0.6499999999999998</v>
      </c>
      <c r="BT130" s="48">
        <f t="shared" si="1464"/>
        <v>0.62999999999999978</v>
      </c>
      <c r="BU130" s="48">
        <f t="shared" si="1464"/>
        <v>0.60999999999999976</v>
      </c>
      <c r="BV130" s="48">
        <f t="shared" si="1464"/>
        <v>0.58999999999999975</v>
      </c>
      <c r="BW130" s="48">
        <f t="shared" si="1464"/>
        <v>0.56999999999999973</v>
      </c>
      <c r="BY130" s="48">
        <f t="shared" si="952"/>
        <v>13323.310000000001</v>
      </c>
      <c r="BZ130" s="48">
        <f t="shared" si="953"/>
        <v>13323.310000000001</v>
      </c>
      <c r="CA130" s="51">
        <f t="shared" ref="CA130" si="1465">+BZ130*3.3058</f>
        <v>44044.198198000006</v>
      </c>
      <c r="CB130" s="48">
        <f t="shared" ref="CB130:CB140" si="1466">+BZ130*DU130</f>
        <v>12923.610700000001</v>
      </c>
      <c r="CC130" s="51">
        <f t="shared" ref="CC130:CC140" si="1467">+CB130*3.3058</f>
        <v>42722.872252060006</v>
      </c>
      <c r="CD130" s="48">
        <f t="shared" ref="CD130:CD140" si="1468">+BZ130*DV130</f>
        <v>12657.1445</v>
      </c>
      <c r="CE130" s="51">
        <f t="shared" ref="CE130:CE140" si="1469">+CD130*3.3058</f>
        <v>41841.988288100001</v>
      </c>
      <c r="CF130" s="48">
        <f t="shared" ref="CF130:CF140" si="1470">+BZ130*DW130</f>
        <v>12390.678300000001</v>
      </c>
      <c r="CG130" s="51">
        <f t="shared" ref="CG130:CG140" si="1471">+CF130*3.3058</f>
        <v>40961.104324140004</v>
      </c>
      <c r="CH130" s="52">
        <f t="shared" ref="CH130:CH140" si="1472">+BZ130*DX130</f>
        <v>12124.212100000002</v>
      </c>
      <c r="CI130" s="51">
        <f t="shared" ref="CI130:CI140" si="1473">+CH130*3.3058</f>
        <v>40080.220360180007</v>
      </c>
      <c r="CJ130" s="48">
        <f t="shared" ref="CJ130:CJ140" si="1474">+BZ130*DY130</f>
        <v>11857.745900000002</v>
      </c>
      <c r="CK130" s="51">
        <f t="shared" ref="CK130:CK140" si="1475">+CJ130*3.3058</f>
        <v>39199.336396220009</v>
      </c>
      <c r="CL130" s="52">
        <f t="shared" ref="CL130:CL140" si="1476">+BZ130*DZ130</f>
        <v>11591.279700000001</v>
      </c>
      <c r="CM130" s="51">
        <f t="shared" ref="CM130:CM140" si="1477">+CL130*3.3058</f>
        <v>38318.452432260005</v>
      </c>
      <c r="CN130" s="53">
        <f t="shared" ref="CN130:CN140" si="1478">+BZ130*EA130</f>
        <v>11324.8135</v>
      </c>
      <c r="CO130" s="51">
        <f t="shared" ref="CO130:CO140" si="1479">+CN130*3.3058</f>
        <v>37437.5684683</v>
      </c>
      <c r="CP130" s="52">
        <f t="shared" ref="CP130:CP140" si="1480">+BZ130*EB130</f>
        <v>11058.347300000001</v>
      </c>
      <c r="CQ130" s="51">
        <f t="shared" ref="CQ130:CQ140" si="1481">+CP130*3.3058</f>
        <v>36556.684504340003</v>
      </c>
      <c r="CR130" s="48">
        <f t="shared" ref="CR130:CR140" si="1482">+BZ130*EC130</f>
        <v>10791.881100000001</v>
      </c>
      <c r="CS130" s="51">
        <f t="shared" ref="CS130:CS140" si="1483">+CR130*3.3058</f>
        <v>35675.800540380005</v>
      </c>
      <c r="CT130" s="53">
        <f t="shared" ref="CT130:CT140" si="1484">+BZ130*ED130</f>
        <v>10525.4149</v>
      </c>
      <c r="CU130" s="51">
        <f t="shared" ref="CU130:CU140" si="1485">+CT130*3.3058</f>
        <v>34794.916576420001</v>
      </c>
      <c r="CV130" s="53">
        <f t="shared" ref="CV130:CV140" si="1486">+BZ130*EE130</f>
        <v>10258.948699999999</v>
      </c>
      <c r="CW130" s="51">
        <f t="shared" ref="CW130:CW140" si="1487">+CV130*3.3058</f>
        <v>33914.032612459996</v>
      </c>
      <c r="CX130" s="53">
        <f t="shared" ref="CX130:CX140" si="1488">+BZ130*EF130</f>
        <v>9992.4825000000001</v>
      </c>
      <c r="CY130" s="51">
        <f t="shared" ref="CY130:CY140" si="1489">+CX130*3.3058</f>
        <v>33033.148648499999</v>
      </c>
      <c r="CZ130" s="48">
        <f t="shared" ref="CZ130:CZ140" si="1490">+BZ130*EG130</f>
        <v>9726.0162999999993</v>
      </c>
      <c r="DA130" s="51">
        <f t="shared" ref="DA130:DA140" si="1491">+CZ130*3.3058</f>
        <v>32152.264684539998</v>
      </c>
      <c r="DB130" s="53">
        <f t="shared" ref="DB130:DB140" si="1492">+BZ130*EH130</f>
        <v>9459.5500999999986</v>
      </c>
      <c r="DC130" s="51">
        <f t="shared" ref="DC130:DC140" si="1493">+DB130*3.3058</f>
        <v>31271.380720579997</v>
      </c>
      <c r="DD130" s="53">
        <f t="shared" ref="DD130:DD140" si="1494">+BZ130*EI130</f>
        <v>9193.0838999999978</v>
      </c>
      <c r="DE130" s="51">
        <f t="shared" ref="DE130:DE140" si="1495">+DD130*3.3058</f>
        <v>30390.496756619992</v>
      </c>
      <c r="DF130" s="53">
        <f t="shared" ref="DF130:DF140" si="1496">+BZ130*EJ130</f>
        <v>8926.6176999999989</v>
      </c>
      <c r="DG130" s="51">
        <f t="shared" ref="DG130:DG140" si="1497">+DF130*3.3058</f>
        <v>29509.612792659998</v>
      </c>
      <c r="DH130" s="53">
        <f t="shared" ref="DH130:DH140" si="1498">+BZ130*EK130</f>
        <v>8660.1514999999981</v>
      </c>
      <c r="DI130" s="51">
        <f t="shared" ref="DI130:DI140" si="1499">+DH130*3.3058</f>
        <v>28628.728828699994</v>
      </c>
      <c r="DJ130" s="48">
        <f t="shared" ref="DJ130:DJ140" si="1500">+BZ130*EL130</f>
        <v>8393.6852999999974</v>
      </c>
      <c r="DK130" s="51">
        <f t="shared" ref="DK130:DK140" si="1501">+DJ130*3.3058</f>
        <v>27747.844864739993</v>
      </c>
      <c r="DL130" s="53">
        <f t="shared" ref="DL130:DL140" si="1502">+BZ130*EM130</f>
        <v>8127.2190999999975</v>
      </c>
      <c r="DM130" s="51">
        <f t="shared" ref="DM130:DM140" si="1503">+DL130*3.3058</f>
        <v>26866.960900779992</v>
      </c>
      <c r="DN130" s="53">
        <f t="shared" ref="DN130:DN140" si="1504">+BZ130*EN130</f>
        <v>7860.7528999999977</v>
      </c>
      <c r="DO130" s="51">
        <f t="shared" ref="DO130:DO140" si="1505">+DN130*3.3058</f>
        <v>25986.076936819994</v>
      </c>
      <c r="DP130" s="48">
        <f t="shared" ref="DP130:DP140" si="1506">+BZ130*EO130</f>
        <v>7594.2866999999969</v>
      </c>
      <c r="DQ130" s="51">
        <f t="shared" ref="DQ130:DQ140" si="1507">+DP130*3.3058</f>
        <v>25105.19297285999</v>
      </c>
      <c r="DT130" s="48">
        <v>1</v>
      </c>
      <c r="DU130" s="48">
        <v>0.97</v>
      </c>
      <c r="DV130" s="48">
        <v>0.95</v>
      </c>
      <c r="DW130" s="48">
        <v>0.93</v>
      </c>
      <c r="DX130" s="48">
        <f t="shared" ref="DX130:EO130" si="1508">+DW130-0.02</f>
        <v>0.91</v>
      </c>
      <c r="DY130" s="48">
        <f t="shared" si="1508"/>
        <v>0.89</v>
      </c>
      <c r="DZ130" s="48">
        <f t="shared" si="1508"/>
        <v>0.87</v>
      </c>
      <c r="EA130" s="48">
        <f t="shared" si="1508"/>
        <v>0.85</v>
      </c>
      <c r="EB130" s="48">
        <f t="shared" si="1508"/>
        <v>0.83</v>
      </c>
      <c r="EC130" s="48">
        <f t="shared" si="1508"/>
        <v>0.80999999999999994</v>
      </c>
      <c r="ED130" s="48">
        <f t="shared" si="1508"/>
        <v>0.78999999999999992</v>
      </c>
      <c r="EE130" s="48">
        <f t="shared" si="1508"/>
        <v>0.76999999999999991</v>
      </c>
      <c r="EF130" s="48">
        <f t="shared" si="1508"/>
        <v>0.74999999999999989</v>
      </c>
      <c r="EG130" s="48">
        <f t="shared" si="1508"/>
        <v>0.72999999999999987</v>
      </c>
      <c r="EH130" s="48">
        <f t="shared" si="1508"/>
        <v>0.70999999999999985</v>
      </c>
      <c r="EI130" s="48">
        <f t="shared" si="1508"/>
        <v>0.68999999999999984</v>
      </c>
      <c r="EJ130" s="48">
        <f t="shared" si="1508"/>
        <v>0.66999999999999982</v>
      </c>
      <c r="EK130" s="48">
        <f t="shared" si="1508"/>
        <v>0.6499999999999998</v>
      </c>
      <c r="EL130" s="48">
        <f t="shared" si="1508"/>
        <v>0.62999999999999978</v>
      </c>
      <c r="EM130" s="48">
        <f t="shared" si="1508"/>
        <v>0.60999999999999976</v>
      </c>
      <c r="EN130" s="48">
        <f t="shared" si="1508"/>
        <v>0.58999999999999975</v>
      </c>
      <c r="EO130" s="48">
        <f t="shared" si="1508"/>
        <v>0.56999999999999973</v>
      </c>
      <c r="EQ130" s="48">
        <f t="shared" si="1128"/>
        <v>12124.212100000002</v>
      </c>
      <c r="ER130" s="48">
        <f t="shared" si="956"/>
        <v>12124.212100000002</v>
      </c>
      <c r="ES130" s="51">
        <f t="shared" ref="ES130" si="1509">+ER130*3.3058</f>
        <v>40080.220360180007</v>
      </c>
      <c r="ET130" s="48">
        <f t="shared" ref="ET130:ET140" si="1510">+ER130*GM130</f>
        <v>11760.485737000003</v>
      </c>
      <c r="EU130" s="51">
        <f t="shared" ref="EU130:EU140" si="1511">+ET130*3.3058</f>
        <v>38877.813749374611</v>
      </c>
      <c r="EV130" s="48">
        <f t="shared" ref="EV130:EV140" si="1512">+ER130*GN130</f>
        <v>11518.001495000002</v>
      </c>
      <c r="EW130" s="51">
        <f t="shared" ref="EW130:EW140" si="1513">+EV130*3.3058</f>
        <v>38076.209342171009</v>
      </c>
      <c r="EX130" s="48">
        <f t="shared" ref="EX130:EX140" si="1514">+ER130*GO130</f>
        <v>11275.517253000004</v>
      </c>
      <c r="EY130" s="51">
        <f t="shared" ref="EY130:EY140" si="1515">+EX130*3.3058</f>
        <v>37274.604934967414</v>
      </c>
      <c r="EZ130" s="52">
        <f t="shared" ref="EZ130:EZ140" si="1516">+ER130*GP130</f>
        <v>11033.033011000003</v>
      </c>
      <c r="FA130" s="51">
        <f t="shared" ref="FA130:FA140" si="1517">+EZ130*3.3058</f>
        <v>36473.000527763812</v>
      </c>
      <c r="FB130" s="48">
        <f t="shared" ref="FB130:FB140" si="1518">+ER130*GQ130</f>
        <v>10790.548769000003</v>
      </c>
      <c r="FC130" s="51">
        <f t="shared" ref="FC130:FC140" si="1519">+FB130*3.3058</f>
        <v>35671.39612056021</v>
      </c>
      <c r="FD130" s="52">
        <f t="shared" ref="FD130:FD140" si="1520">+ER130*GR130</f>
        <v>10548.064527000002</v>
      </c>
      <c r="FE130" s="51">
        <f t="shared" ref="FE130:FE140" si="1521">+FD130*3.3058</f>
        <v>34869.791713356608</v>
      </c>
      <c r="FF130" s="53">
        <f t="shared" ref="FF130:FF140" si="1522">+ER130*GS130</f>
        <v>10305.580285000002</v>
      </c>
      <c r="FG130" s="51">
        <f t="shared" ref="FG130:FG140" si="1523">+FF130*3.3058</f>
        <v>34068.187306153006</v>
      </c>
      <c r="FH130" s="52">
        <f t="shared" ref="FH130:FH140" si="1524">+ER130*GT130</f>
        <v>10063.096043000001</v>
      </c>
      <c r="FI130" s="51">
        <f t="shared" ref="FI130:FI140" si="1525">+FH130*3.3058</f>
        <v>33266.582898949404</v>
      </c>
      <c r="FJ130" s="48">
        <f t="shared" ref="FJ130:FJ140" si="1526">+ER130*GU130</f>
        <v>9820.6118010000009</v>
      </c>
      <c r="FK130" s="51">
        <f t="shared" ref="FK130:FK140" si="1527">+FJ130*3.3058</f>
        <v>32464.978491745806</v>
      </c>
      <c r="FL130" s="53">
        <f t="shared" ref="FL130:FL140" si="1528">+ER130*GV130</f>
        <v>9578.1275590000005</v>
      </c>
      <c r="FM130" s="51">
        <f t="shared" ref="FM130:FM140" si="1529">+FL130*3.3058</f>
        <v>31663.374084542203</v>
      </c>
      <c r="FN130" s="53">
        <f t="shared" ref="FN130:FN140" si="1530">+ER130*GW130</f>
        <v>9335.643317</v>
      </c>
      <c r="FO130" s="51">
        <f t="shared" ref="FO130:FO140" si="1531">+FN130*3.3058</f>
        <v>30861.769677338601</v>
      </c>
      <c r="FP130" s="53">
        <f t="shared" ref="FP130:FP140" si="1532">+ER130*GX130</f>
        <v>9093.1590750000014</v>
      </c>
      <c r="FQ130" s="51">
        <f t="shared" ref="FQ130:FQ140" si="1533">+FP130*3.3058</f>
        <v>30060.165270135007</v>
      </c>
      <c r="FR130" s="48">
        <f t="shared" ref="FR130:FR140" si="1534">+ER130*GY130</f>
        <v>8850.6748330000009</v>
      </c>
      <c r="FS130" s="51">
        <f t="shared" ref="FS130:FS140" si="1535">+FR130*3.3058</f>
        <v>29258.560862931405</v>
      </c>
      <c r="FT130" s="53">
        <f t="shared" ref="FT130:FT140" si="1536">+ER130*GZ130</f>
        <v>8608.1905910000005</v>
      </c>
      <c r="FU130" s="51">
        <f t="shared" ref="FU130:FU140" si="1537">+FT130*3.3058</f>
        <v>28456.956455727803</v>
      </c>
      <c r="FV130" s="53">
        <f t="shared" ref="FV130:FV140" si="1538">+ER130*HA130</f>
        <v>8365.706349</v>
      </c>
      <c r="FW130" s="51">
        <f t="shared" ref="FW130:FW140" si="1539">+FV130*3.3058</f>
        <v>27655.352048524201</v>
      </c>
      <c r="FX130" s="53">
        <f t="shared" ref="FX130:FX140" si="1540">+ER130*HB130</f>
        <v>8123.2221069999996</v>
      </c>
      <c r="FY130" s="51">
        <f t="shared" ref="FY130:FY140" si="1541">+FX130*3.3058</f>
        <v>26853.747641320599</v>
      </c>
      <c r="FZ130" s="53">
        <f t="shared" ref="FZ130:FZ140" si="1542">+ER130*HC130</f>
        <v>7880.7378649999991</v>
      </c>
      <c r="GA130" s="51">
        <f t="shared" ref="GA130:GA140" si="1543">+FZ130*3.3058</f>
        <v>26052.143234116997</v>
      </c>
      <c r="GB130" s="48">
        <f t="shared" ref="GB130:GB140" si="1544">+ER130*HD130</f>
        <v>7638.2536229999987</v>
      </c>
      <c r="GC130" s="51">
        <f t="shared" ref="GC130:GC140" si="1545">+GB130*3.3058</f>
        <v>25250.538826913395</v>
      </c>
      <c r="GD130" s="53">
        <f t="shared" ref="GD130:GD140" si="1546">+ER130*HE130</f>
        <v>7395.7693809999982</v>
      </c>
      <c r="GE130" s="51">
        <f t="shared" ref="GE130:GE140" si="1547">+GD130*3.3058</f>
        <v>24448.934419709796</v>
      </c>
      <c r="GF130" s="53">
        <f t="shared" ref="GF130:GF140" si="1548">+ER130*HF130</f>
        <v>7153.2851389999987</v>
      </c>
      <c r="GG130" s="51">
        <f t="shared" ref="GG130:GG140" si="1549">+GF130*3.3058</f>
        <v>23647.330012506198</v>
      </c>
      <c r="GH130" s="48">
        <f t="shared" ref="GH130:GH140" si="1550">+ER130*HG130</f>
        <v>6910.8008969999983</v>
      </c>
      <c r="GI130" s="51">
        <f t="shared" ref="GI130:GI140" si="1551">+GH130*3.3058</f>
        <v>22845.725605302596</v>
      </c>
      <c r="GJ130" s="48"/>
      <c r="GK130" s="48"/>
      <c r="GL130" s="48">
        <v>1</v>
      </c>
      <c r="GM130" s="48">
        <v>0.97</v>
      </c>
      <c r="GN130" s="48">
        <v>0.95</v>
      </c>
      <c r="GO130" s="48">
        <v>0.93</v>
      </c>
      <c r="GP130" s="48">
        <f t="shared" ref="GP130:HG130" si="1552">+GO130-0.02</f>
        <v>0.91</v>
      </c>
      <c r="GQ130" s="48">
        <f t="shared" si="1552"/>
        <v>0.89</v>
      </c>
      <c r="GR130" s="48">
        <f t="shared" si="1552"/>
        <v>0.87</v>
      </c>
      <c r="GS130" s="48">
        <f t="shared" si="1552"/>
        <v>0.85</v>
      </c>
      <c r="GT130" s="48">
        <f t="shared" si="1552"/>
        <v>0.83</v>
      </c>
      <c r="GU130" s="48">
        <f t="shared" si="1552"/>
        <v>0.80999999999999994</v>
      </c>
      <c r="GV130" s="48">
        <f t="shared" si="1552"/>
        <v>0.78999999999999992</v>
      </c>
      <c r="GW130" s="48">
        <f t="shared" si="1552"/>
        <v>0.76999999999999991</v>
      </c>
      <c r="GX130" s="48">
        <f t="shared" si="1552"/>
        <v>0.74999999999999989</v>
      </c>
      <c r="GY130" s="48">
        <f t="shared" si="1552"/>
        <v>0.72999999999999987</v>
      </c>
      <c r="GZ130" s="48">
        <f t="shared" si="1552"/>
        <v>0.70999999999999985</v>
      </c>
      <c r="HA130" s="48">
        <f t="shared" si="1552"/>
        <v>0.68999999999999984</v>
      </c>
      <c r="HB130" s="48">
        <f t="shared" si="1552"/>
        <v>0.66999999999999982</v>
      </c>
      <c r="HC130" s="48">
        <f t="shared" si="1552"/>
        <v>0.6499999999999998</v>
      </c>
      <c r="HD130" s="48">
        <f t="shared" si="1552"/>
        <v>0.62999999999999978</v>
      </c>
      <c r="HE130" s="48">
        <f t="shared" si="1552"/>
        <v>0.60999999999999976</v>
      </c>
      <c r="HF130" s="48">
        <f t="shared" si="1552"/>
        <v>0.58999999999999975</v>
      </c>
      <c r="HG130" s="48">
        <f t="shared" si="1552"/>
        <v>0.56999999999999973</v>
      </c>
    </row>
    <row r="131" spans="1:215" x14ac:dyDescent="0.3">
      <c r="A131" s="2">
        <v>2</v>
      </c>
      <c r="C131" s="39" t="s">
        <v>157</v>
      </c>
      <c r="D131" s="44">
        <v>0</v>
      </c>
      <c r="E131" s="73">
        <f t="shared" si="1421"/>
        <v>0</v>
      </c>
      <c r="G131" s="48">
        <f t="shared" si="948"/>
        <v>0</v>
      </c>
      <c r="H131" s="48">
        <f t="shared" si="949"/>
        <v>0</v>
      </c>
      <c r="I131" s="51">
        <f t="shared" si="950"/>
        <v>0</v>
      </c>
      <c r="J131" s="48">
        <f t="shared" si="1422"/>
        <v>0</v>
      </c>
      <c r="K131" s="51">
        <f t="shared" si="1423"/>
        <v>0</v>
      </c>
      <c r="L131" s="48">
        <f t="shared" si="1424"/>
        <v>0</v>
      </c>
      <c r="M131" s="51">
        <f t="shared" si="1425"/>
        <v>0</v>
      </c>
      <c r="N131" s="48">
        <f t="shared" si="1426"/>
        <v>0</v>
      </c>
      <c r="O131" s="51">
        <f t="shared" si="1427"/>
        <v>0</v>
      </c>
      <c r="P131" s="52">
        <f t="shared" si="1428"/>
        <v>0</v>
      </c>
      <c r="Q131" s="51">
        <f t="shared" si="1429"/>
        <v>0</v>
      </c>
      <c r="R131" s="48">
        <f t="shared" si="1430"/>
        <v>0</v>
      </c>
      <c r="S131" s="51">
        <f t="shared" si="1431"/>
        <v>0</v>
      </c>
      <c r="T131" s="52">
        <f t="shared" si="1432"/>
        <v>0</v>
      </c>
      <c r="U131" s="51">
        <f t="shared" si="1433"/>
        <v>0</v>
      </c>
      <c r="V131" s="53">
        <f t="shared" si="1434"/>
        <v>0</v>
      </c>
      <c r="W131" s="51">
        <f t="shared" si="1435"/>
        <v>0</v>
      </c>
      <c r="X131" s="52">
        <f t="shared" si="1436"/>
        <v>0</v>
      </c>
      <c r="Y131" s="51">
        <f t="shared" si="1437"/>
        <v>0</v>
      </c>
      <c r="Z131" s="48">
        <f t="shared" si="1438"/>
        <v>0</v>
      </c>
      <c r="AA131" s="51">
        <f t="shared" si="1439"/>
        <v>0</v>
      </c>
      <c r="AB131" s="53">
        <f t="shared" si="1440"/>
        <v>0</v>
      </c>
      <c r="AC131" s="51">
        <f t="shared" si="1441"/>
        <v>0</v>
      </c>
      <c r="AD131" s="53">
        <f t="shared" si="1442"/>
        <v>0</v>
      </c>
      <c r="AE131" s="51">
        <f t="shared" si="1443"/>
        <v>0</v>
      </c>
      <c r="AF131" s="53">
        <f t="shared" si="1444"/>
        <v>0</v>
      </c>
      <c r="AG131" s="51">
        <f t="shared" si="1445"/>
        <v>0</v>
      </c>
      <c r="AH131" s="48">
        <f t="shared" si="1446"/>
        <v>0</v>
      </c>
      <c r="AI131" s="51">
        <f t="shared" si="1447"/>
        <v>0</v>
      </c>
      <c r="AJ131" s="53">
        <f t="shared" si="1448"/>
        <v>0</v>
      </c>
      <c r="AK131" s="51">
        <f t="shared" si="1449"/>
        <v>0</v>
      </c>
      <c r="AL131" s="53">
        <f t="shared" si="1450"/>
        <v>0</v>
      </c>
      <c r="AM131" s="51">
        <f t="shared" si="1451"/>
        <v>0</v>
      </c>
      <c r="AN131" s="53">
        <f t="shared" si="1452"/>
        <v>0</v>
      </c>
      <c r="AO131" s="51">
        <f t="shared" si="1453"/>
        <v>0</v>
      </c>
      <c r="AP131" s="53">
        <f t="shared" si="1454"/>
        <v>0</v>
      </c>
      <c r="AQ131" s="51">
        <f t="shared" si="1455"/>
        <v>0</v>
      </c>
      <c r="AR131" s="48">
        <f t="shared" si="1456"/>
        <v>0</v>
      </c>
      <c r="AS131" s="51">
        <f t="shared" si="1457"/>
        <v>0</v>
      </c>
      <c r="AT131" s="53">
        <f t="shared" si="1458"/>
        <v>0</v>
      </c>
      <c r="AU131" s="51">
        <f t="shared" si="1459"/>
        <v>0</v>
      </c>
      <c r="AV131" s="53">
        <f t="shared" si="1460"/>
        <v>0</v>
      </c>
      <c r="AW131" s="51">
        <f t="shared" si="1461"/>
        <v>0</v>
      </c>
      <c r="AX131" s="48">
        <f t="shared" si="1462"/>
        <v>0</v>
      </c>
      <c r="AY131" s="51">
        <f t="shared" si="1463"/>
        <v>0</v>
      </c>
      <c r="BB131" s="48">
        <v>1</v>
      </c>
      <c r="BC131" s="48">
        <v>0.97</v>
      </c>
      <c r="BD131" s="48">
        <v>0.95</v>
      </c>
      <c r="BE131" s="48">
        <v>0.93</v>
      </c>
      <c r="BF131" s="48">
        <f t="shared" ref="BF131:BW131" si="1553">+BE131-0.02</f>
        <v>0.91</v>
      </c>
      <c r="BG131" s="48">
        <f t="shared" si="1553"/>
        <v>0.89</v>
      </c>
      <c r="BH131" s="48">
        <f t="shared" si="1553"/>
        <v>0.87</v>
      </c>
      <c r="BI131" s="48">
        <f t="shared" si="1553"/>
        <v>0.85</v>
      </c>
      <c r="BJ131" s="48">
        <f t="shared" si="1553"/>
        <v>0.83</v>
      </c>
      <c r="BK131" s="48">
        <f t="shared" si="1553"/>
        <v>0.80999999999999994</v>
      </c>
      <c r="BL131" s="48">
        <f t="shared" si="1553"/>
        <v>0.78999999999999992</v>
      </c>
      <c r="BM131" s="48">
        <f t="shared" si="1553"/>
        <v>0.76999999999999991</v>
      </c>
      <c r="BN131" s="48">
        <f t="shared" si="1553"/>
        <v>0.74999999999999989</v>
      </c>
      <c r="BO131" s="48">
        <f t="shared" si="1553"/>
        <v>0.72999999999999987</v>
      </c>
      <c r="BP131" s="48">
        <f t="shared" si="1553"/>
        <v>0.70999999999999985</v>
      </c>
      <c r="BQ131" s="48">
        <f t="shared" si="1553"/>
        <v>0.68999999999999984</v>
      </c>
      <c r="BR131" s="48">
        <f t="shared" si="1553"/>
        <v>0.66999999999999982</v>
      </c>
      <c r="BS131" s="48">
        <f t="shared" si="1553"/>
        <v>0.6499999999999998</v>
      </c>
      <c r="BT131" s="48">
        <f t="shared" si="1553"/>
        <v>0.62999999999999978</v>
      </c>
      <c r="BU131" s="48">
        <f t="shared" si="1553"/>
        <v>0.60999999999999976</v>
      </c>
      <c r="BV131" s="48">
        <f t="shared" si="1553"/>
        <v>0.58999999999999975</v>
      </c>
      <c r="BW131" s="48">
        <f t="shared" si="1553"/>
        <v>0.56999999999999973</v>
      </c>
      <c r="BY131" s="48">
        <f t="shared" si="952"/>
        <v>0</v>
      </c>
      <c r="BZ131" s="48">
        <f t="shared" si="953"/>
        <v>0</v>
      </c>
      <c r="CA131" s="51">
        <f t="shared" ref="CA131" si="1554">+BZ131*3.3058</f>
        <v>0</v>
      </c>
      <c r="CB131" s="48">
        <f t="shared" si="1466"/>
        <v>0</v>
      </c>
      <c r="CC131" s="51">
        <f t="shared" si="1467"/>
        <v>0</v>
      </c>
      <c r="CD131" s="48">
        <f t="shared" si="1468"/>
        <v>0</v>
      </c>
      <c r="CE131" s="51">
        <f t="shared" si="1469"/>
        <v>0</v>
      </c>
      <c r="CF131" s="48">
        <f t="shared" si="1470"/>
        <v>0</v>
      </c>
      <c r="CG131" s="51">
        <f t="shared" si="1471"/>
        <v>0</v>
      </c>
      <c r="CH131" s="52">
        <f t="shared" si="1472"/>
        <v>0</v>
      </c>
      <c r="CI131" s="51">
        <f t="shared" si="1473"/>
        <v>0</v>
      </c>
      <c r="CJ131" s="48">
        <f t="shared" si="1474"/>
        <v>0</v>
      </c>
      <c r="CK131" s="51">
        <f t="shared" si="1475"/>
        <v>0</v>
      </c>
      <c r="CL131" s="52">
        <f t="shared" si="1476"/>
        <v>0</v>
      </c>
      <c r="CM131" s="51">
        <f t="shared" si="1477"/>
        <v>0</v>
      </c>
      <c r="CN131" s="53">
        <f t="shared" si="1478"/>
        <v>0</v>
      </c>
      <c r="CO131" s="51">
        <f t="shared" si="1479"/>
        <v>0</v>
      </c>
      <c r="CP131" s="52">
        <f t="shared" si="1480"/>
        <v>0</v>
      </c>
      <c r="CQ131" s="51">
        <f t="shared" si="1481"/>
        <v>0</v>
      </c>
      <c r="CR131" s="48">
        <f t="shared" si="1482"/>
        <v>0</v>
      </c>
      <c r="CS131" s="51">
        <f t="shared" si="1483"/>
        <v>0</v>
      </c>
      <c r="CT131" s="53">
        <f t="shared" si="1484"/>
        <v>0</v>
      </c>
      <c r="CU131" s="51">
        <f t="shared" si="1485"/>
        <v>0</v>
      </c>
      <c r="CV131" s="53">
        <f t="shared" si="1486"/>
        <v>0</v>
      </c>
      <c r="CW131" s="51">
        <f t="shared" si="1487"/>
        <v>0</v>
      </c>
      <c r="CX131" s="53">
        <f t="shared" si="1488"/>
        <v>0</v>
      </c>
      <c r="CY131" s="51">
        <f t="shared" si="1489"/>
        <v>0</v>
      </c>
      <c r="CZ131" s="48">
        <f t="shared" si="1490"/>
        <v>0</v>
      </c>
      <c r="DA131" s="51">
        <f t="shared" si="1491"/>
        <v>0</v>
      </c>
      <c r="DB131" s="53">
        <f t="shared" si="1492"/>
        <v>0</v>
      </c>
      <c r="DC131" s="51">
        <f t="shared" si="1493"/>
        <v>0</v>
      </c>
      <c r="DD131" s="53">
        <f t="shared" si="1494"/>
        <v>0</v>
      </c>
      <c r="DE131" s="51">
        <f t="shared" si="1495"/>
        <v>0</v>
      </c>
      <c r="DF131" s="53">
        <f t="shared" si="1496"/>
        <v>0</v>
      </c>
      <c r="DG131" s="51">
        <f t="shared" si="1497"/>
        <v>0</v>
      </c>
      <c r="DH131" s="53">
        <f t="shared" si="1498"/>
        <v>0</v>
      </c>
      <c r="DI131" s="51">
        <f t="shared" si="1499"/>
        <v>0</v>
      </c>
      <c r="DJ131" s="48">
        <f t="shared" si="1500"/>
        <v>0</v>
      </c>
      <c r="DK131" s="51">
        <f t="shared" si="1501"/>
        <v>0</v>
      </c>
      <c r="DL131" s="53">
        <f t="shared" si="1502"/>
        <v>0</v>
      </c>
      <c r="DM131" s="51">
        <f t="shared" si="1503"/>
        <v>0</v>
      </c>
      <c r="DN131" s="53">
        <f t="shared" si="1504"/>
        <v>0</v>
      </c>
      <c r="DO131" s="51">
        <f t="shared" si="1505"/>
        <v>0</v>
      </c>
      <c r="DP131" s="48">
        <f t="shared" si="1506"/>
        <v>0</v>
      </c>
      <c r="DQ131" s="51">
        <f t="shared" si="1507"/>
        <v>0</v>
      </c>
      <c r="DT131" s="48">
        <v>1</v>
      </c>
      <c r="DU131" s="48">
        <v>0.97</v>
      </c>
      <c r="DV131" s="48">
        <v>0.95</v>
      </c>
      <c r="DW131" s="48">
        <v>0.93</v>
      </c>
      <c r="DX131" s="48">
        <f t="shared" ref="DX131:EO131" si="1555">+DW131-0.02</f>
        <v>0.91</v>
      </c>
      <c r="DY131" s="48">
        <f t="shared" si="1555"/>
        <v>0.89</v>
      </c>
      <c r="DZ131" s="48">
        <f t="shared" si="1555"/>
        <v>0.87</v>
      </c>
      <c r="EA131" s="48">
        <f t="shared" si="1555"/>
        <v>0.85</v>
      </c>
      <c r="EB131" s="48">
        <f t="shared" si="1555"/>
        <v>0.83</v>
      </c>
      <c r="EC131" s="48">
        <f t="shared" si="1555"/>
        <v>0.80999999999999994</v>
      </c>
      <c r="ED131" s="48">
        <f t="shared" si="1555"/>
        <v>0.78999999999999992</v>
      </c>
      <c r="EE131" s="48">
        <f t="shared" si="1555"/>
        <v>0.76999999999999991</v>
      </c>
      <c r="EF131" s="48">
        <f t="shared" si="1555"/>
        <v>0.74999999999999989</v>
      </c>
      <c r="EG131" s="48">
        <f t="shared" si="1555"/>
        <v>0.72999999999999987</v>
      </c>
      <c r="EH131" s="48">
        <f t="shared" si="1555"/>
        <v>0.70999999999999985</v>
      </c>
      <c r="EI131" s="48">
        <f t="shared" si="1555"/>
        <v>0.68999999999999984</v>
      </c>
      <c r="EJ131" s="48">
        <f t="shared" si="1555"/>
        <v>0.66999999999999982</v>
      </c>
      <c r="EK131" s="48">
        <f t="shared" si="1555"/>
        <v>0.6499999999999998</v>
      </c>
      <c r="EL131" s="48">
        <f t="shared" si="1555"/>
        <v>0.62999999999999978</v>
      </c>
      <c r="EM131" s="48">
        <f t="shared" si="1555"/>
        <v>0.60999999999999976</v>
      </c>
      <c r="EN131" s="48">
        <f t="shared" si="1555"/>
        <v>0.58999999999999975</v>
      </c>
      <c r="EO131" s="48">
        <f t="shared" si="1555"/>
        <v>0.56999999999999973</v>
      </c>
      <c r="EQ131" s="48">
        <f t="shared" si="1128"/>
        <v>0</v>
      </c>
      <c r="ER131" s="48">
        <f t="shared" si="956"/>
        <v>0</v>
      </c>
      <c r="ES131" s="51">
        <f t="shared" ref="ES131" si="1556">+ER131*3.3058</f>
        <v>0</v>
      </c>
      <c r="ET131" s="48">
        <f t="shared" si="1510"/>
        <v>0</v>
      </c>
      <c r="EU131" s="51">
        <f t="shared" si="1511"/>
        <v>0</v>
      </c>
      <c r="EV131" s="48">
        <f t="shared" si="1512"/>
        <v>0</v>
      </c>
      <c r="EW131" s="51">
        <f t="shared" si="1513"/>
        <v>0</v>
      </c>
      <c r="EX131" s="48">
        <f t="shared" si="1514"/>
        <v>0</v>
      </c>
      <c r="EY131" s="51">
        <f t="shared" si="1515"/>
        <v>0</v>
      </c>
      <c r="EZ131" s="52">
        <f t="shared" si="1516"/>
        <v>0</v>
      </c>
      <c r="FA131" s="51">
        <f t="shared" si="1517"/>
        <v>0</v>
      </c>
      <c r="FB131" s="48">
        <f t="shared" si="1518"/>
        <v>0</v>
      </c>
      <c r="FC131" s="51">
        <f t="shared" si="1519"/>
        <v>0</v>
      </c>
      <c r="FD131" s="52">
        <f t="shared" si="1520"/>
        <v>0</v>
      </c>
      <c r="FE131" s="51">
        <f t="shared" si="1521"/>
        <v>0</v>
      </c>
      <c r="FF131" s="53">
        <f t="shared" si="1522"/>
        <v>0</v>
      </c>
      <c r="FG131" s="51">
        <f t="shared" si="1523"/>
        <v>0</v>
      </c>
      <c r="FH131" s="52">
        <f t="shared" si="1524"/>
        <v>0</v>
      </c>
      <c r="FI131" s="51">
        <f t="shared" si="1525"/>
        <v>0</v>
      </c>
      <c r="FJ131" s="48">
        <f t="shared" si="1526"/>
        <v>0</v>
      </c>
      <c r="FK131" s="51">
        <f t="shared" si="1527"/>
        <v>0</v>
      </c>
      <c r="FL131" s="53">
        <f t="shared" si="1528"/>
        <v>0</v>
      </c>
      <c r="FM131" s="51">
        <f t="shared" si="1529"/>
        <v>0</v>
      </c>
      <c r="FN131" s="53">
        <f t="shared" si="1530"/>
        <v>0</v>
      </c>
      <c r="FO131" s="51">
        <f t="shared" si="1531"/>
        <v>0</v>
      </c>
      <c r="FP131" s="53">
        <f t="shared" si="1532"/>
        <v>0</v>
      </c>
      <c r="FQ131" s="51">
        <f t="shared" si="1533"/>
        <v>0</v>
      </c>
      <c r="FR131" s="48">
        <f t="shared" si="1534"/>
        <v>0</v>
      </c>
      <c r="FS131" s="51">
        <f t="shared" si="1535"/>
        <v>0</v>
      </c>
      <c r="FT131" s="53">
        <f t="shared" si="1536"/>
        <v>0</v>
      </c>
      <c r="FU131" s="51">
        <f t="shared" si="1537"/>
        <v>0</v>
      </c>
      <c r="FV131" s="53">
        <f t="shared" si="1538"/>
        <v>0</v>
      </c>
      <c r="FW131" s="51">
        <f t="shared" si="1539"/>
        <v>0</v>
      </c>
      <c r="FX131" s="53">
        <f t="shared" si="1540"/>
        <v>0</v>
      </c>
      <c r="FY131" s="51">
        <f t="shared" si="1541"/>
        <v>0</v>
      </c>
      <c r="FZ131" s="53">
        <f t="shared" si="1542"/>
        <v>0</v>
      </c>
      <c r="GA131" s="51">
        <f t="shared" si="1543"/>
        <v>0</v>
      </c>
      <c r="GB131" s="48">
        <f t="shared" si="1544"/>
        <v>0</v>
      </c>
      <c r="GC131" s="51">
        <f t="shared" si="1545"/>
        <v>0</v>
      </c>
      <c r="GD131" s="53">
        <f t="shared" si="1546"/>
        <v>0</v>
      </c>
      <c r="GE131" s="51">
        <f t="shared" si="1547"/>
        <v>0</v>
      </c>
      <c r="GF131" s="53">
        <f t="shared" si="1548"/>
        <v>0</v>
      </c>
      <c r="GG131" s="51">
        <f t="shared" si="1549"/>
        <v>0</v>
      </c>
      <c r="GH131" s="48">
        <f t="shared" si="1550"/>
        <v>0</v>
      </c>
      <c r="GI131" s="51">
        <f t="shared" si="1551"/>
        <v>0</v>
      </c>
      <c r="GJ131" s="48"/>
      <c r="GK131" s="48"/>
      <c r="GL131" s="48">
        <v>1</v>
      </c>
      <c r="GM131" s="48">
        <v>0.97</v>
      </c>
      <c r="GN131" s="48">
        <v>0.95</v>
      </c>
      <c r="GO131" s="48">
        <v>0.93</v>
      </c>
      <c r="GP131" s="48">
        <f t="shared" ref="GP131:HG131" si="1557">+GO131-0.02</f>
        <v>0.91</v>
      </c>
      <c r="GQ131" s="48">
        <f t="shared" si="1557"/>
        <v>0.89</v>
      </c>
      <c r="GR131" s="48">
        <f t="shared" si="1557"/>
        <v>0.87</v>
      </c>
      <c r="GS131" s="48">
        <f t="shared" si="1557"/>
        <v>0.85</v>
      </c>
      <c r="GT131" s="48">
        <f t="shared" si="1557"/>
        <v>0.83</v>
      </c>
      <c r="GU131" s="48">
        <f t="shared" si="1557"/>
        <v>0.80999999999999994</v>
      </c>
      <c r="GV131" s="48">
        <f t="shared" si="1557"/>
        <v>0.78999999999999992</v>
      </c>
      <c r="GW131" s="48">
        <f t="shared" si="1557"/>
        <v>0.76999999999999991</v>
      </c>
      <c r="GX131" s="48">
        <f t="shared" si="1557"/>
        <v>0.74999999999999989</v>
      </c>
      <c r="GY131" s="48">
        <f t="shared" si="1557"/>
        <v>0.72999999999999987</v>
      </c>
      <c r="GZ131" s="48">
        <f t="shared" si="1557"/>
        <v>0.70999999999999985</v>
      </c>
      <c r="HA131" s="48">
        <f t="shared" si="1557"/>
        <v>0.68999999999999984</v>
      </c>
      <c r="HB131" s="48">
        <f t="shared" si="1557"/>
        <v>0.66999999999999982</v>
      </c>
      <c r="HC131" s="48">
        <f t="shared" si="1557"/>
        <v>0.6499999999999998</v>
      </c>
      <c r="HD131" s="48">
        <f t="shared" si="1557"/>
        <v>0.62999999999999978</v>
      </c>
      <c r="HE131" s="48">
        <f t="shared" si="1557"/>
        <v>0.60999999999999976</v>
      </c>
      <c r="HF131" s="48">
        <f t="shared" si="1557"/>
        <v>0.58999999999999975</v>
      </c>
      <c r="HG131" s="48">
        <f t="shared" si="1557"/>
        <v>0.56999999999999973</v>
      </c>
    </row>
    <row r="132" spans="1:215" x14ac:dyDescent="0.3">
      <c r="A132" s="2">
        <v>3</v>
      </c>
      <c r="C132" s="39" t="s">
        <v>190</v>
      </c>
      <c r="D132" s="44">
        <v>0</v>
      </c>
      <c r="E132" s="73">
        <f t="shared" si="1421"/>
        <v>0</v>
      </c>
      <c r="G132" s="48">
        <f t="shared" si="948"/>
        <v>0</v>
      </c>
      <c r="H132" s="48">
        <f t="shared" si="949"/>
        <v>0</v>
      </c>
      <c r="I132" s="51">
        <f t="shared" si="950"/>
        <v>0</v>
      </c>
      <c r="J132" s="48">
        <f t="shared" si="1422"/>
        <v>0</v>
      </c>
      <c r="K132" s="51">
        <f t="shared" si="1423"/>
        <v>0</v>
      </c>
      <c r="L132" s="48">
        <f t="shared" si="1424"/>
        <v>0</v>
      </c>
      <c r="M132" s="51">
        <f t="shared" si="1425"/>
        <v>0</v>
      </c>
      <c r="N132" s="48">
        <f t="shared" si="1426"/>
        <v>0</v>
      </c>
      <c r="O132" s="51">
        <f t="shared" si="1427"/>
        <v>0</v>
      </c>
      <c r="P132" s="52">
        <f t="shared" si="1428"/>
        <v>0</v>
      </c>
      <c r="Q132" s="51">
        <f t="shared" si="1429"/>
        <v>0</v>
      </c>
      <c r="R132" s="48">
        <f t="shared" si="1430"/>
        <v>0</v>
      </c>
      <c r="S132" s="51">
        <f t="shared" si="1431"/>
        <v>0</v>
      </c>
      <c r="T132" s="52">
        <f t="shared" si="1432"/>
        <v>0</v>
      </c>
      <c r="U132" s="51">
        <f t="shared" si="1433"/>
        <v>0</v>
      </c>
      <c r="V132" s="53">
        <f t="shared" si="1434"/>
        <v>0</v>
      </c>
      <c r="W132" s="51">
        <f t="shared" si="1435"/>
        <v>0</v>
      </c>
      <c r="X132" s="52">
        <f t="shared" si="1436"/>
        <v>0</v>
      </c>
      <c r="Y132" s="51">
        <f t="shared" si="1437"/>
        <v>0</v>
      </c>
      <c r="Z132" s="48">
        <f t="shared" si="1438"/>
        <v>0</v>
      </c>
      <c r="AA132" s="51">
        <f t="shared" si="1439"/>
        <v>0</v>
      </c>
      <c r="AB132" s="53">
        <f t="shared" si="1440"/>
        <v>0</v>
      </c>
      <c r="AC132" s="51">
        <f t="shared" si="1441"/>
        <v>0</v>
      </c>
      <c r="AD132" s="53">
        <f t="shared" si="1442"/>
        <v>0</v>
      </c>
      <c r="AE132" s="51">
        <f t="shared" si="1443"/>
        <v>0</v>
      </c>
      <c r="AF132" s="53">
        <f t="shared" si="1444"/>
        <v>0</v>
      </c>
      <c r="AG132" s="51">
        <f t="shared" si="1445"/>
        <v>0</v>
      </c>
      <c r="AH132" s="48">
        <f t="shared" si="1446"/>
        <v>0</v>
      </c>
      <c r="AI132" s="51">
        <f t="shared" si="1447"/>
        <v>0</v>
      </c>
      <c r="AJ132" s="53">
        <f t="shared" si="1448"/>
        <v>0</v>
      </c>
      <c r="AK132" s="51">
        <f t="shared" si="1449"/>
        <v>0</v>
      </c>
      <c r="AL132" s="53">
        <f t="shared" si="1450"/>
        <v>0</v>
      </c>
      <c r="AM132" s="51">
        <f t="shared" si="1451"/>
        <v>0</v>
      </c>
      <c r="AN132" s="53">
        <f t="shared" si="1452"/>
        <v>0</v>
      </c>
      <c r="AO132" s="51">
        <f t="shared" si="1453"/>
        <v>0</v>
      </c>
      <c r="AP132" s="53">
        <f t="shared" si="1454"/>
        <v>0</v>
      </c>
      <c r="AQ132" s="51">
        <f t="shared" si="1455"/>
        <v>0</v>
      </c>
      <c r="AR132" s="48">
        <f t="shared" si="1456"/>
        <v>0</v>
      </c>
      <c r="AS132" s="51">
        <f t="shared" si="1457"/>
        <v>0</v>
      </c>
      <c r="AT132" s="53">
        <f t="shared" si="1458"/>
        <v>0</v>
      </c>
      <c r="AU132" s="51">
        <f t="shared" si="1459"/>
        <v>0</v>
      </c>
      <c r="AV132" s="53">
        <f t="shared" si="1460"/>
        <v>0</v>
      </c>
      <c r="AW132" s="51">
        <f t="shared" si="1461"/>
        <v>0</v>
      </c>
      <c r="AX132" s="48">
        <f t="shared" si="1462"/>
        <v>0</v>
      </c>
      <c r="AY132" s="51">
        <f t="shared" si="1463"/>
        <v>0</v>
      </c>
      <c r="BB132" s="48">
        <v>1</v>
      </c>
      <c r="BC132" s="48">
        <v>0.97</v>
      </c>
      <c r="BD132" s="48">
        <v>0.95</v>
      </c>
      <c r="BE132" s="48">
        <v>0.93</v>
      </c>
      <c r="BF132" s="48">
        <f t="shared" ref="BF132:BW132" si="1558">+BE132-0.02</f>
        <v>0.91</v>
      </c>
      <c r="BG132" s="48">
        <f t="shared" si="1558"/>
        <v>0.89</v>
      </c>
      <c r="BH132" s="48">
        <f t="shared" si="1558"/>
        <v>0.87</v>
      </c>
      <c r="BI132" s="48">
        <f t="shared" si="1558"/>
        <v>0.85</v>
      </c>
      <c r="BJ132" s="48">
        <f t="shared" si="1558"/>
        <v>0.83</v>
      </c>
      <c r="BK132" s="48">
        <f t="shared" si="1558"/>
        <v>0.80999999999999994</v>
      </c>
      <c r="BL132" s="48">
        <f t="shared" si="1558"/>
        <v>0.78999999999999992</v>
      </c>
      <c r="BM132" s="48">
        <f t="shared" si="1558"/>
        <v>0.76999999999999991</v>
      </c>
      <c r="BN132" s="48">
        <f t="shared" si="1558"/>
        <v>0.74999999999999989</v>
      </c>
      <c r="BO132" s="48">
        <f t="shared" si="1558"/>
        <v>0.72999999999999987</v>
      </c>
      <c r="BP132" s="48">
        <f t="shared" si="1558"/>
        <v>0.70999999999999985</v>
      </c>
      <c r="BQ132" s="48">
        <f t="shared" si="1558"/>
        <v>0.68999999999999984</v>
      </c>
      <c r="BR132" s="48">
        <f t="shared" si="1558"/>
        <v>0.66999999999999982</v>
      </c>
      <c r="BS132" s="48">
        <f t="shared" si="1558"/>
        <v>0.6499999999999998</v>
      </c>
      <c r="BT132" s="48">
        <f t="shared" si="1558"/>
        <v>0.62999999999999978</v>
      </c>
      <c r="BU132" s="48">
        <f t="shared" si="1558"/>
        <v>0.60999999999999976</v>
      </c>
      <c r="BV132" s="48">
        <f t="shared" si="1558"/>
        <v>0.58999999999999975</v>
      </c>
      <c r="BW132" s="48">
        <f t="shared" si="1558"/>
        <v>0.56999999999999973</v>
      </c>
      <c r="BY132" s="48">
        <f t="shared" si="952"/>
        <v>0</v>
      </c>
      <c r="BZ132" s="48">
        <f t="shared" si="953"/>
        <v>0</v>
      </c>
      <c r="CA132" s="51">
        <f t="shared" ref="CA132" si="1559">+BZ132*3.3058</f>
        <v>0</v>
      </c>
      <c r="CB132" s="48">
        <f t="shared" si="1466"/>
        <v>0</v>
      </c>
      <c r="CC132" s="51">
        <f t="shared" si="1467"/>
        <v>0</v>
      </c>
      <c r="CD132" s="48">
        <f t="shared" si="1468"/>
        <v>0</v>
      </c>
      <c r="CE132" s="51">
        <f t="shared" si="1469"/>
        <v>0</v>
      </c>
      <c r="CF132" s="48">
        <f t="shared" si="1470"/>
        <v>0</v>
      </c>
      <c r="CG132" s="51">
        <f t="shared" si="1471"/>
        <v>0</v>
      </c>
      <c r="CH132" s="52">
        <f t="shared" si="1472"/>
        <v>0</v>
      </c>
      <c r="CI132" s="51">
        <f t="shared" si="1473"/>
        <v>0</v>
      </c>
      <c r="CJ132" s="48">
        <f t="shared" si="1474"/>
        <v>0</v>
      </c>
      <c r="CK132" s="51">
        <f t="shared" si="1475"/>
        <v>0</v>
      </c>
      <c r="CL132" s="52">
        <f t="shared" si="1476"/>
        <v>0</v>
      </c>
      <c r="CM132" s="51">
        <f t="shared" si="1477"/>
        <v>0</v>
      </c>
      <c r="CN132" s="53">
        <f t="shared" si="1478"/>
        <v>0</v>
      </c>
      <c r="CO132" s="51">
        <f t="shared" si="1479"/>
        <v>0</v>
      </c>
      <c r="CP132" s="52">
        <f t="shared" si="1480"/>
        <v>0</v>
      </c>
      <c r="CQ132" s="51">
        <f t="shared" si="1481"/>
        <v>0</v>
      </c>
      <c r="CR132" s="48">
        <f t="shared" si="1482"/>
        <v>0</v>
      </c>
      <c r="CS132" s="51">
        <f t="shared" si="1483"/>
        <v>0</v>
      </c>
      <c r="CT132" s="53">
        <f t="shared" si="1484"/>
        <v>0</v>
      </c>
      <c r="CU132" s="51">
        <f t="shared" si="1485"/>
        <v>0</v>
      </c>
      <c r="CV132" s="53">
        <f t="shared" si="1486"/>
        <v>0</v>
      </c>
      <c r="CW132" s="51">
        <f t="shared" si="1487"/>
        <v>0</v>
      </c>
      <c r="CX132" s="53">
        <f t="shared" si="1488"/>
        <v>0</v>
      </c>
      <c r="CY132" s="51">
        <f t="shared" si="1489"/>
        <v>0</v>
      </c>
      <c r="CZ132" s="48">
        <f t="shared" si="1490"/>
        <v>0</v>
      </c>
      <c r="DA132" s="51">
        <f t="shared" si="1491"/>
        <v>0</v>
      </c>
      <c r="DB132" s="53">
        <f t="shared" si="1492"/>
        <v>0</v>
      </c>
      <c r="DC132" s="51">
        <f t="shared" si="1493"/>
        <v>0</v>
      </c>
      <c r="DD132" s="53">
        <f t="shared" si="1494"/>
        <v>0</v>
      </c>
      <c r="DE132" s="51">
        <f t="shared" si="1495"/>
        <v>0</v>
      </c>
      <c r="DF132" s="53">
        <f t="shared" si="1496"/>
        <v>0</v>
      </c>
      <c r="DG132" s="51">
        <f t="shared" si="1497"/>
        <v>0</v>
      </c>
      <c r="DH132" s="53">
        <f t="shared" si="1498"/>
        <v>0</v>
      </c>
      <c r="DI132" s="51">
        <f t="shared" si="1499"/>
        <v>0</v>
      </c>
      <c r="DJ132" s="48">
        <f t="shared" si="1500"/>
        <v>0</v>
      </c>
      <c r="DK132" s="51">
        <f t="shared" si="1501"/>
        <v>0</v>
      </c>
      <c r="DL132" s="53">
        <f t="shared" si="1502"/>
        <v>0</v>
      </c>
      <c r="DM132" s="51">
        <f t="shared" si="1503"/>
        <v>0</v>
      </c>
      <c r="DN132" s="53">
        <f t="shared" si="1504"/>
        <v>0</v>
      </c>
      <c r="DO132" s="51">
        <f t="shared" si="1505"/>
        <v>0</v>
      </c>
      <c r="DP132" s="48">
        <f t="shared" si="1506"/>
        <v>0</v>
      </c>
      <c r="DQ132" s="51">
        <f t="shared" si="1507"/>
        <v>0</v>
      </c>
      <c r="DT132" s="48">
        <v>1</v>
      </c>
      <c r="DU132" s="48">
        <v>0.97</v>
      </c>
      <c r="DV132" s="48">
        <v>0.95</v>
      </c>
      <c r="DW132" s="48">
        <v>0.93</v>
      </c>
      <c r="DX132" s="48">
        <f t="shared" ref="DX132:EO132" si="1560">+DW132-0.02</f>
        <v>0.91</v>
      </c>
      <c r="DY132" s="48">
        <f t="shared" si="1560"/>
        <v>0.89</v>
      </c>
      <c r="DZ132" s="48">
        <f t="shared" si="1560"/>
        <v>0.87</v>
      </c>
      <c r="EA132" s="48">
        <f t="shared" si="1560"/>
        <v>0.85</v>
      </c>
      <c r="EB132" s="48">
        <f t="shared" si="1560"/>
        <v>0.83</v>
      </c>
      <c r="EC132" s="48">
        <f t="shared" si="1560"/>
        <v>0.80999999999999994</v>
      </c>
      <c r="ED132" s="48">
        <f t="shared" si="1560"/>
        <v>0.78999999999999992</v>
      </c>
      <c r="EE132" s="48">
        <f t="shared" si="1560"/>
        <v>0.76999999999999991</v>
      </c>
      <c r="EF132" s="48">
        <f t="shared" si="1560"/>
        <v>0.74999999999999989</v>
      </c>
      <c r="EG132" s="48">
        <f t="shared" si="1560"/>
        <v>0.72999999999999987</v>
      </c>
      <c r="EH132" s="48">
        <f t="shared" si="1560"/>
        <v>0.70999999999999985</v>
      </c>
      <c r="EI132" s="48">
        <f t="shared" si="1560"/>
        <v>0.68999999999999984</v>
      </c>
      <c r="EJ132" s="48">
        <f t="shared" si="1560"/>
        <v>0.66999999999999982</v>
      </c>
      <c r="EK132" s="48">
        <f t="shared" si="1560"/>
        <v>0.6499999999999998</v>
      </c>
      <c r="EL132" s="48">
        <f t="shared" si="1560"/>
        <v>0.62999999999999978</v>
      </c>
      <c r="EM132" s="48">
        <f t="shared" si="1560"/>
        <v>0.60999999999999976</v>
      </c>
      <c r="EN132" s="48">
        <f t="shared" si="1560"/>
        <v>0.58999999999999975</v>
      </c>
      <c r="EO132" s="48">
        <f t="shared" si="1560"/>
        <v>0.56999999999999973</v>
      </c>
      <c r="EQ132" s="48">
        <f t="shared" si="1128"/>
        <v>0</v>
      </c>
      <c r="ER132" s="48">
        <f t="shared" si="956"/>
        <v>0</v>
      </c>
      <c r="ES132" s="51">
        <f t="shared" ref="ES132" si="1561">+ER132*3.3058</f>
        <v>0</v>
      </c>
      <c r="ET132" s="48">
        <f t="shared" si="1510"/>
        <v>0</v>
      </c>
      <c r="EU132" s="51">
        <f t="shared" si="1511"/>
        <v>0</v>
      </c>
      <c r="EV132" s="48">
        <f t="shared" si="1512"/>
        <v>0</v>
      </c>
      <c r="EW132" s="51">
        <f t="shared" si="1513"/>
        <v>0</v>
      </c>
      <c r="EX132" s="48">
        <f t="shared" si="1514"/>
        <v>0</v>
      </c>
      <c r="EY132" s="51">
        <f t="shared" si="1515"/>
        <v>0</v>
      </c>
      <c r="EZ132" s="52">
        <f t="shared" si="1516"/>
        <v>0</v>
      </c>
      <c r="FA132" s="51">
        <f t="shared" si="1517"/>
        <v>0</v>
      </c>
      <c r="FB132" s="48">
        <f t="shared" si="1518"/>
        <v>0</v>
      </c>
      <c r="FC132" s="51">
        <f t="shared" si="1519"/>
        <v>0</v>
      </c>
      <c r="FD132" s="52">
        <f t="shared" si="1520"/>
        <v>0</v>
      </c>
      <c r="FE132" s="51">
        <f t="shared" si="1521"/>
        <v>0</v>
      </c>
      <c r="FF132" s="53">
        <f t="shared" si="1522"/>
        <v>0</v>
      </c>
      <c r="FG132" s="51">
        <f t="shared" si="1523"/>
        <v>0</v>
      </c>
      <c r="FH132" s="52">
        <f t="shared" si="1524"/>
        <v>0</v>
      </c>
      <c r="FI132" s="51">
        <f t="shared" si="1525"/>
        <v>0</v>
      </c>
      <c r="FJ132" s="48">
        <f t="shared" si="1526"/>
        <v>0</v>
      </c>
      <c r="FK132" s="51">
        <f t="shared" si="1527"/>
        <v>0</v>
      </c>
      <c r="FL132" s="53">
        <f t="shared" si="1528"/>
        <v>0</v>
      </c>
      <c r="FM132" s="51">
        <f t="shared" si="1529"/>
        <v>0</v>
      </c>
      <c r="FN132" s="53">
        <f t="shared" si="1530"/>
        <v>0</v>
      </c>
      <c r="FO132" s="51">
        <f t="shared" si="1531"/>
        <v>0</v>
      </c>
      <c r="FP132" s="53">
        <f t="shared" si="1532"/>
        <v>0</v>
      </c>
      <c r="FQ132" s="51">
        <f t="shared" si="1533"/>
        <v>0</v>
      </c>
      <c r="FR132" s="48">
        <f t="shared" si="1534"/>
        <v>0</v>
      </c>
      <c r="FS132" s="51">
        <f t="shared" si="1535"/>
        <v>0</v>
      </c>
      <c r="FT132" s="53">
        <f t="shared" si="1536"/>
        <v>0</v>
      </c>
      <c r="FU132" s="51">
        <f t="shared" si="1537"/>
        <v>0</v>
      </c>
      <c r="FV132" s="53">
        <f t="shared" si="1538"/>
        <v>0</v>
      </c>
      <c r="FW132" s="51">
        <f t="shared" si="1539"/>
        <v>0</v>
      </c>
      <c r="FX132" s="53">
        <f t="shared" si="1540"/>
        <v>0</v>
      </c>
      <c r="FY132" s="51">
        <f t="shared" si="1541"/>
        <v>0</v>
      </c>
      <c r="FZ132" s="53">
        <f t="shared" si="1542"/>
        <v>0</v>
      </c>
      <c r="GA132" s="51">
        <f t="shared" si="1543"/>
        <v>0</v>
      </c>
      <c r="GB132" s="48">
        <f t="shared" si="1544"/>
        <v>0</v>
      </c>
      <c r="GC132" s="51">
        <f t="shared" si="1545"/>
        <v>0</v>
      </c>
      <c r="GD132" s="53">
        <f t="shared" si="1546"/>
        <v>0</v>
      </c>
      <c r="GE132" s="51">
        <f t="shared" si="1547"/>
        <v>0</v>
      </c>
      <c r="GF132" s="53">
        <f t="shared" si="1548"/>
        <v>0</v>
      </c>
      <c r="GG132" s="51">
        <f t="shared" si="1549"/>
        <v>0</v>
      </c>
      <c r="GH132" s="48">
        <f t="shared" si="1550"/>
        <v>0</v>
      </c>
      <c r="GI132" s="51">
        <f t="shared" si="1551"/>
        <v>0</v>
      </c>
      <c r="GJ132" s="48"/>
      <c r="GK132" s="48"/>
      <c r="GL132" s="48">
        <v>1</v>
      </c>
      <c r="GM132" s="48">
        <v>0.97</v>
      </c>
      <c r="GN132" s="48">
        <v>0.95</v>
      </c>
      <c r="GO132" s="48">
        <v>0.93</v>
      </c>
      <c r="GP132" s="48">
        <f t="shared" ref="GP132:HG132" si="1562">+GO132-0.02</f>
        <v>0.91</v>
      </c>
      <c r="GQ132" s="48">
        <f t="shared" si="1562"/>
        <v>0.89</v>
      </c>
      <c r="GR132" s="48">
        <f t="shared" si="1562"/>
        <v>0.87</v>
      </c>
      <c r="GS132" s="48">
        <f t="shared" si="1562"/>
        <v>0.85</v>
      </c>
      <c r="GT132" s="48">
        <f t="shared" si="1562"/>
        <v>0.83</v>
      </c>
      <c r="GU132" s="48">
        <f t="shared" si="1562"/>
        <v>0.80999999999999994</v>
      </c>
      <c r="GV132" s="48">
        <f t="shared" si="1562"/>
        <v>0.78999999999999992</v>
      </c>
      <c r="GW132" s="48">
        <f t="shared" si="1562"/>
        <v>0.76999999999999991</v>
      </c>
      <c r="GX132" s="48">
        <f t="shared" si="1562"/>
        <v>0.74999999999999989</v>
      </c>
      <c r="GY132" s="48">
        <f t="shared" si="1562"/>
        <v>0.72999999999999987</v>
      </c>
      <c r="GZ132" s="48">
        <f t="shared" si="1562"/>
        <v>0.70999999999999985</v>
      </c>
      <c r="HA132" s="48">
        <f t="shared" si="1562"/>
        <v>0.68999999999999984</v>
      </c>
      <c r="HB132" s="48">
        <f t="shared" si="1562"/>
        <v>0.66999999999999982</v>
      </c>
      <c r="HC132" s="48">
        <f t="shared" si="1562"/>
        <v>0.6499999999999998</v>
      </c>
      <c r="HD132" s="48">
        <f t="shared" si="1562"/>
        <v>0.62999999999999978</v>
      </c>
      <c r="HE132" s="48">
        <f t="shared" si="1562"/>
        <v>0.60999999999999976</v>
      </c>
      <c r="HF132" s="48">
        <f t="shared" si="1562"/>
        <v>0.58999999999999975</v>
      </c>
      <c r="HG132" s="48">
        <f t="shared" si="1562"/>
        <v>0.56999999999999973</v>
      </c>
    </row>
    <row r="133" spans="1:215" x14ac:dyDescent="0.3">
      <c r="A133" s="2">
        <v>4</v>
      </c>
      <c r="C133" s="39" t="s">
        <v>191</v>
      </c>
      <c r="D133" s="44">
        <v>0</v>
      </c>
      <c r="E133" s="73">
        <f t="shared" si="1421"/>
        <v>0</v>
      </c>
      <c r="G133" s="48">
        <f t="shared" si="948"/>
        <v>0</v>
      </c>
      <c r="H133" s="48">
        <f t="shared" si="949"/>
        <v>0</v>
      </c>
      <c r="I133" s="51">
        <f t="shared" si="950"/>
        <v>0</v>
      </c>
      <c r="J133" s="48">
        <f t="shared" si="1422"/>
        <v>0</v>
      </c>
      <c r="K133" s="51">
        <f t="shared" si="1423"/>
        <v>0</v>
      </c>
      <c r="L133" s="48">
        <f t="shared" si="1424"/>
        <v>0</v>
      </c>
      <c r="M133" s="51">
        <f t="shared" si="1425"/>
        <v>0</v>
      </c>
      <c r="N133" s="48">
        <f t="shared" si="1426"/>
        <v>0</v>
      </c>
      <c r="O133" s="51">
        <f t="shared" si="1427"/>
        <v>0</v>
      </c>
      <c r="P133" s="52">
        <f t="shared" si="1428"/>
        <v>0</v>
      </c>
      <c r="Q133" s="51">
        <f t="shared" si="1429"/>
        <v>0</v>
      </c>
      <c r="R133" s="48">
        <f t="shared" si="1430"/>
        <v>0</v>
      </c>
      <c r="S133" s="51">
        <f t="shared" si="1431"/>
        <v>0</v>
      </c>
      <c r="T133" s="52">
        <f t="shared" si="1432"/>
        <v>0</v>
      </c>
      <c r="U133" s="51">
        <f t="shared" si="1433"/>
        <v>0</v>
      </c>
      <c r="V133" s="53">
        <f t="shared" si="1434"/>
        <v>0</v>
      </c>
      <c r="W133" s="51">
        <f t="shared" si="1435"/>
        <v>0</v>
      </c>
      <c r="X133" s="52">
        <f t="shared" si="1436"/>
        <v>0</v>
      </c>
      <c r="Y133" s="51">
        <f t="shared" si="1437"/>
        <v>0</v>
      </c>
      <c r="Z133" s="48">
        <f t="shared" si="1438"/>
        <v>0</v>
      </c>
      <c r="AA133" s="51">
        <f t="shared" si="1439"/>
        <v>0</v>
      </c>
      <c r="AB133" s="53">
        <f t="shared" si="1440"/>
        <v>0</v>
      </c>
      <c r="AC133" s="51">
        <f t="shared" si="1441"/>
        <v>0</v>
      </c>
      <c r="AD133" s="53">
        <f t="shared" si="1442"/>
        <v>0</v>
      </c>
      <c r="AE133" s="51">
        <f t="shared" si="1443"/>
        <v>0</v>
      </c>
      <c r="AF133" s="53">
        <f t="shared" si="1444"/>
        <v>0</v>
      </c>
      <c r="AG133" s="51">
        <f t="shared" si="1445"/>
        <v>0</v>
      </c>
      <c r="AH133" s="48">
        <f t="shared" si="1446"/>
        <v>0</v>
      </c>
      <c r="AI133" s="51">
        <f t="shared" si="1447"/>
        <v>0</v>
      </c>
      <c r="AJ133" s="53">
        <f t="shared" si="1448"/>
        <v>0</v>
      </c>
      <c r="AK133" s="51">
        <f t="shared" si="1449"/>
        <v>0</v>
      </c>
      <c r="AL133" s="53">
        <f t="shared" si="1450"/>
        <v>0</v>
      </c>
      <c r="AM133" s="51">
        <f t="shared" si="1451"/>
        <v>0</v>
      </c>
      <c r="AN133" s="53">
        <f t="shared" si="1452"/>
        <v>0</v>
      </c>
      <c r="AO133" s="51">
        <f t="shared" si="1453"/>
        <v>0</v>
      </c>
      <c r="AP133" s="53">
        <f t="shared" si="1454"/>
        <v>0</v>
      </c>
      <c r="AQ133" s="51">
        <f t="shared" si="1455"/>
        <v>0</v>
      </c>
      <c r="AR133" s="48">
        <f t="shared" si="1456"/>
        <v>0</v>
      </c>
      <c r="AS133" s="51">
        <f t="shared" si="1457"/>
        <v>0</v>
      </c>
      <c r="AT133" s="53">
        <f t="shared" si="1458"/>
        <v>0</v>
      </c>
      <c r="AU133" s="51">
        <f t="shared" si="1459"/>
        <v>0</v>
      </c>
      <c r="AV133" s="53">
        <f t="shared" si="1460"/>
        <v>0</v>
      </c>
      <c r="AW133" s="51">
        <f t="shared" si="1461"/>
        <v>0</v>
      </c>
      <c r="AX133" s="48">
        <f t="shared" si="1462"/>
        <v>0</v>
      </c>
      <c r="AY133" s="51">
        <f t="shared" si="1463"/>
        <v>0</v>
      </c>
      <c r="BB133" s="48">
        <v>1</v>
      </c>
      <c r="BC133" s="48">
        <v>0.97</v>
      </c>
      <c r="BD133" s="48">
        <v>0.95</v>
      </c>
      <c r="BE133" s="48">
        <v>0.93</v>
      </c>
      <c r="BF133" s="48">
        <f t="shared" ref="BF133:BW133" si="1563">+BE133-0.02</f>
        <v>0.91</v>
      </c>
      <c r="BG133" s="48">
        <f t="shared" si="1563"/>
        <v>0.89</v>
      </c>
      <c r="BH133" s="48">
        <f t="shared" si="1563"/>
        <v>0.87</v>
      </c>
      <c r="BI133" s="48">
        <f t="shared" si="1563"/>
        <v>0.85</v>
      </c>
      <c r="BJ133" s="48">
        <f t="shared" si="1563"/>
        <v>0.83</v>
      </c>
      <c r="BK133" s="48">
        <f t="shared" si="1563"/>
        <v>0.80999999999999994</v>
      </c>
      <c r="BL133" s="48">
        <f t="shared" si="1563"/>
        <v>0.78999999999999992</v>
      </c>
      <c r="BM133" s="48">
        <f t="shared" si="1563"/>
        <v>0.76999999999999991</v>
      </c>
      <c r="BN133" s="48">
        <f t="shared" si="1563"/>
        <v>0.74999999999999989</v>
      </c>
      <c r="BO133" s="48">
        <f t="shared" si="1563"/>
        <v>0.72999999999999987</v>
      </c>
      <c r="BP133" s="48">
        <f t="shared" si="1563"/>
        <v>0.70999999999999985</v>
      </c>
      <c r="BQ133" s="48">
        <f t="shared" si="1563"/>
        <v>0.68999999999999984</v>
      </c>
      <c r="BR133" s="48">
        <f t="shared" si="1563"/>
        <v>0.66999999999999982</v>
      </c>
      <c r="BS133" s="48">
        <f t="shared" si="1563"/>
        <v>0.6499999999999998</v>
      </c>
      <c r="BT133" s="48">
        <f t="shared" si="1563"/>
        <v>0.62999999999999978</v>
      </c>
      <c r="BU133" s="48">
        <f t="shared" si="1563"/>
        <v>0.60999999999999976</v>
      </c>
      <c r="BV133" s="48">
        <f t="shared" si="1563"/>
        <v>0.58999999999999975</v>
      </c>
      <c r="BW133" s="48">
        <f t="shared" si="1563"/>
        <v>0.56999999999999973</v>
      </c>
      <c r="BY133" s="48">
        <f t="shared" si="952"/>
        <v>0</v>
      </c>
      <c r="BZ133" s="48">
        <f t="shared" si="953"/>
        <v>0</v>
      </c>
      <c r="CA133" s="51">
        <f t="shared" ref="CA133" si="1564">+BZ133*3.3058</f>
        <v>0</v>
      </c>
      <c r="CB133" s="48">
        <f t="shared" si="1466"/>
        <v>0</v>
      </c>
      <c r="CC133" s="51">
        <f t="shared" si="1467"/>
        <v>0</v>
      </c>
      <c r="CD133" s="48">
        <f t="shared" si="1468"/>
        <v>0</v>
      </c>
      <c r="CE133" s="51">
        <f t="shared" si="1469"/>
        <v>0</v>
      </c>
      <c r="CF133" s="48">
        <f t="shared" si="1470"/>
        <v>0</v>
      </c>
      <c r="CG133" s="51">
        <f t="shared" si="1471"/>
        <v>0</v>
      </c>
      <c r="CH133" s="52">
        <f t="shared" si="1472"/>
        <v>0</v>
      </c>
      <c r="CI133" s="51">
        <f t="shared" si="1473"/>
        <v>0</v>
      </c>
      <c r="CJ133" s="48">
        <f t="shared" si="1474"/>
        <v>0</v>
      </c>
      <c r="CK133" s="51">
        <f t="shared" si="1475"/>
        <v>0</v>
      </c>
      <c r="CL133" s="52">
        <f t="shared" si="1476"/>
        <v>0</v>
      </c>
      <c r="CM133" s="51">
        <f t="shared" si="1477"/>
        <v>0</v>
      </c>
      <c r="CN133" s="53">
        <f t="shared" si="1478"/>
        <v>0</v>
      </c>
      <c r="CO133" s="51">
        <f t="shared" si="1479"/>
        <v>0</v>
      </c>
      <c r="CP133" s="52">
        <f t="shared" si="1480"/>
        <v>0</v>
      </c>
      <c r="CQ133" s="51">
        <f t="shared" si="1481"/>
        <v>0</v>
      </c>
      <c r="CR133" s="48">
        <f t="shared" si="1482"/>
        <v>0</v>
      </c>
      <c r="CS133" s="51">
        <f t="shared" si="1483"/>
        <v>0</v>
      </c>
      <c r="CT133" s="53">
        <f t="shared" si="1484"/>
        <v>0</v>
      </c>
      <c r="CU133" s="51">
        <f t="shared" si="1485"/>
        <v>0</v>
      </c>
      <c r="CV133" s="53">
        <f t="shared" si="1486"/>
        <v>0</v>
      </c>
      <c r="CW133" s="51">
        <f t="shared" si="1487"/>
        <v>0</v>
      </c>
      <c r="CX133" s="53">
        <f t="shared" si="1488"/>
        <v>0</v>
      </c>
      <c r="CY133" s="51">
        <f t="shared" si="1489"/>
        <v>0</v>
      </c>
      <c r="CZ133" s="48">
        <f t="shared" si="1490"/>
        <v>0</v>
      </c>
      <c r="DA133" s="51">
        <f t="shared" si="1491"/>
        <v>0</v>
      </c>
      <c r="DB133" s="53">
        <f t="shared" si="1492"/>
        <v>0</v>
      </c>
      <c r="DC133" s="51">
        <f t="shared" si="1493"/>
        <v>0</v>
      </c>
      <c r="DD133" s="53">
        <f t="shared" si="1494"/>
        <v>0</v>
      </c>
      <c r="DE133" s="51">
        <f t="shared" si="1495"/>
        <v>0</v>
      </c>
      <c r="DF133" s="53">
        <f t="shared" si="1496"/>
        <v>0</v>
      </c>
      <c r="DG133" s="51">
        <f t="shared" si="1497"/>
        <v>0</v>
      </c>
      <c r="DH133" s="53">
        <f t="shared" si="1498"/>
        <v>0</v>
      </c>
      <c r="DI133" s="51">
        <f t="shared" si="1499"/>
        <v>0</v>
      </c>
      <c r="DJ133" s="48">
        <f t="shared" si="1500"/>
        <v>0</v>
      </c>
      <c r="DK133" s="51">
        <f t="shared" si="1501"/>
        <v>0</v>
      </c>
      <c r="DL133" s="53">
        <f t="shared" si="1502"/>
        <v>0</v>
      </c>
      <c r="DM133" s="51">
        <f t="shared" si="1503"/>
        <v>0</v>
      </c>
      <c r="DN133" s="53">
        <f t="shared" si="1504"/>
        <v>0</v>
      </c>
      <c r="DO133" s="51">
        <f t="shared" si="1505"/>
        <v>0</v>
      </c>
      <c r="DP133" s="48">
        <f t="shared" si="1506"/>
        <v>0</v>
      </c>
      <c r="DQ133" s="51">
        <f t="shared" si="1507"/>
        <v>0</v>
      </c>
      <c r="DT133" s="48">
        <v>1</v>
      </c>
      <c r="DU133" s="48">
        <v>0.97</v>
      </c>
      <c r="DV133" s="48">
        <v>0.95</v>
      </c>
      <c r="DW133" s="48">
        <v>0.93</v>
      </c>
      <c r="DX133" s="48">
        <f t="shared" ref="DX133:EO133" si="1565">+DW133-0.02</f>
        <v>0.91</v>
      </c>
      <c r="DY133" s="48">
        <f t="shared" si="1565"/>
        <v>0.89</v>
      </c>
      <c r="DZ133" s="48">
        <f t="shared" si="1565"/>
        <v>0.87</v>
      </c>
      <c r="EA133" s="48">
        <f t="shared" si="1565"/>
        <v>0.85</v>
      </c>
      <c r="EB133" s="48">
        <f t="shared" si="1565"/>
        <v>0.83</v>
      </c>
      <c r="EC133" s="48">
        <f t="shared" si="1565"/>
        <v>0.80999999999999994</v>
      </c>
      <c r="ED133" s="48">
        <f t="shared" si="1565"/>
        <v>0.78999999999999992</v>
      </c>
      <c r="EE133" s="48">
        <f t="shared" si="1565"/>
        <v>0.76999999999999991</v>
      </c>
      <c r="EF133" s="48">
        <f t="shared" si="1565"/>
        <v>0.74999999999999989</v>
      </c>
      <c r="EG133" s="48">
        <f t="shared" si="1565"/>
        <v>0.72999999999999987</v>
      </c>
      <c r="EH133" s="48">
        <f t="shared" si="1565"/>
        <v>0.70999999999999985</v>
      </c>
      <c r="EI133" s="48">
        <f t="shared" si="1565"/>
        <v>0.68999999999999984</v>
      </c>
      <c r="EJ133" s="48">
        <f t="shared" si="1565"/>
        <v>0.66999999999999982</v>
      </c>
      <c r="EK133" s="48">
        <f t="shared" si="1565"/>
        <v>0.6499999999999998</v>
      </c>
      <c r="EL133" s="48">
        <f t="shared" si="1565"/>
        <v>0.62999999999999978</v>
      </c>
      <c r="EM133" s="48">
        <f t="shared" si="1565"/>
        <v>0.60999999999999976</v>
      </c>
      <c r="EN133" s="48">
        <f t="shared" si="1565"/>
        <v>0.58999999999999975</v>
      </c>
      <c r="EO133" s="48">
        <f t="shared" si="1565"/>
        <v>0.56999999999999973</v>
      </c>
      <c r="EQ133" s="48">
        <f t="shared" si="1128"/>
        <v>0</v>
      </c>
      <c r="ER133" s="48">
        <f t="shared" si="956"/>
        <v>0</v>
      </c>
      <c r="ES133" s="51">
        <f t="shared" ref="ES133" si="1566">+ER133*3.3058</f>
        <v>0</v>
      </c>
      <c r="ET133" s="48">
        <f t="shared" si="1510"/>
        <v>0</v>
      </c>
      <c r="EU133" s="51">
        <f t="shared" si="1511"/>
        <v>0</v>
      </c>
      <c r="EV133" s="48">
        <f t="shared" si="1512"/>
        <v>0</v>
      </c>
      <c r="EW133" s="51">
        <f t="shared" si="1513"/>
        <v>0</v>
      </c>
      <c r="EX133" s="48">
        <f t="shared" si="1514"/>
        <v>0</v>
      </c>
      <c r="EY133" s="51">
        <f t="shared" si="1515"/>
        <v>0</v>
      </c>
      <c r="EZ133" s="52">
        <f t="shared" si="1516"/>
        <v>0</v>
      </c>
      <c r="FA133" s="51">
        <f t="shared" si="1517"/>
        <v>0</v>
      </c>
      <c r="FB133" s="48">
        <f t="shared" si="1518"/>
        <v>0</v>
      </c>
      <c r="FC133" s="51">
        <f t="shared" si="1519"/>
        <v>0</v>
      </c>
      <c r="FD133" s="52">
        <f t="shared" si="1520"/>
        <v>0</v>
      </c>
      <c r="FE133" s="51">
        <f t="shared" si="1521"/>
        <v>0</v>
      </c>
      <c r="FF133" s="53">
        <f t="shared" si="1522"/>
        <v>0</v>
      </c>
      <c r="FG133" s="51">
        <f t="shared" si="1523"/>
        <v>0</v>
      </c>
      <c r="FH133" s="52">
        <f t="shared" si="1524"/>
        <v>0</v>
      </c>
      <c r="FI133" s="51">
        <f t="shared" si="1525"/>
        <v>0</v>
      </c>
      <c r="FJ133" s="48">
        <f t="shared" si="1526"/>
        <v>0</v>
      </c>
      <c r="FK133" s="51">
        <f t="shared" si="1527"/>
        <v>0</v>
      </c>
      <c r="FL133" s="53">
        <f t="shared" si="1528"/>
        <v>0</v>
      </c>
      <c r="FM133" s="51">
        <f t="shared" si="1529"/>
        <v>0</v>
      </c>
      <c r="FN133" s="53">
        <f t="shared" si="1530"/>
        <v>0</v>
      </c>
      <c r="FO133" s="51">
        <f t="shared" si="1531"/>
        <v>0</v>
      </c>
      <c r="FP133" s="53">
        <f t="shared" si="1532"/>
        <v>0</v>
      </c>
      <c r="FQ133" s="51">
        <f t="shared" si="1533"/>
        <v>0</v>
      </c>
      <c r="FR133" s="48">
        <f t="shared" si="1534"/>
        <v>0</v>
      </c>
      <c r="FS133" s="51">
        <f t="shared" si="1535"/>
        <v>0</v>
      </c>
      <c r="FT133" s="53">
        <f t="shared" si="1536"/>
        <v>0</v>
      </c>
      <c r="FU133" s="51">
        <f t="shared" si="1537"/>
        <v>0</v>
      </c>
      <c r="FV133" s="53">
        <f t="shared" si="1538"/>
        <v>0</v>
      </c>
      <c r="FW133" s="51">
        <f t="shared" si="1539"/>
        <v>0</v>
      </c>
      <c r="FX133" s="53">
        <f t="shared" si="1540"/>
        <v>0</v>
      </c>
      <c r="FY133" s="51">
        <f t="shared" si="1541"/>
        <v>0</v>
      </c>
      <c r="FZ133" s="53">
        <f t="shared" si="1542"/>
        <v>0</v>
      </c>
      <c r="GA133" s="51">
        <f t="shared" si="1543"/>
        <v>0</v>
      </c>
      <c r="GB133" s="48">
        <f t="shared" si="1544"/>
        <v>0</v>
      </c>
      <c r="GC133" s="51">
        <f t="shared" si="1545"/>
        <v>0</v>
      </c>
      <c r="GD133" s="53">
        <f t="shared" si="1546"/>
        <v>0</v>
      </c>
      <c r="GE133" s="51">
        <f t="shared" si="1547"/>
        <v>0</v>
      </c>
      <c r="GF133" s="53">
        <f t="shared" si="1548"/>
        <v>0</v>
      </c>
      <c r="GG133" s="51">
        <f t="shared" si="1549"/>
        <v>0</v>
      </c>
      <c r="GH133" s="48">
        <f t="shared" si="1550"/>
        <v>0</v>
      </c>
      <c r="GI133" s="51">
        <f t="shared" si="1551"/>
        <v>0</v>
      </c>
      <c r="GJ133" s="48"/>
      <c r="GK133" s="48"/>
      <c r="GL133" s="48">
        <v>1</v>
      </c>
      <c r="GM133" s="48">
        <v>0.97</v>
      </c>
      <c r="GN133" s="48">
        <v>0.95</v>
      </c>
      <c r="GO133" s="48">
        <v>0.93</v>
      </c>
      <c r="GP133" s="48">
        <f t="shared" ref="GP133:HG133" si="1567">+GO133-0.02</f>
        <v>0.91</v>
      </c>
      <c r="GQ133" s="48">
        <f t="shared" si="1567"/>
        <v>0.89</v>
      </c>
      <c r="GR133" s="48">
        <f t="shared" si="1567"/>
        <v>0.87</v>
      </c>
      <c r="GS133" s="48">
        <f t="shared" si="1567"/>
        <v>0.85</v>
      </c>
      <c r="GT133" s="48">
        <f t="shared" si="1567"/>
        <v>0.83</v>
      </c>
      <c r="GU133" s="48">
        <f t="shared" si="1567"/>
        <v>0.80999999999999994</v>
      </c>
      <c r="GV133" s="48">
        <f t="shared" si="1567"/>
        <v>0.78999999999999992</v>
      </c>
      <c r="GW133" s="48">
        <f t="shared" si="1567"/>
        <v>0.76999999999999991</v>
      </c>
      <c r="GX133" s="48">
        <f t="shared" si="1567"/>
        <v>0.74999999999999989</v>
      </c>
      <c r="GY133" s="48">
        <f t="shared" si="1567"/>
        <v>0.72999999999999987</v>
      </c>
      <c r="GZ133" s="48">
        <f t="shared" si="1567"/>
        <v>0.70999999999999985</v>
      </c>
      <c r="HA133" s="48">
        <f t="shared" si="1567"/>
        <v>0.68999999999999984</v>
      </c>
      <c r="HB133" s="48">
        <f t="shared" si="1567"/>
        <v>0.66999999999999982</v>
      </c>
      <c r="HC133" s="48">
        <f t="shared" si="1567"/>
        <v>0.6499999999999998</v>
      </c>
      <c r="HD133" s="48">
        <f t="shared" si="1567"/>
        <v>0.62999999999999978</v>
      </c>
      <c r="HE133" s="48">
        <f t="shared" si="1567"/>
        <v>0.60999999999999976</v>
      </c>
      <c r="HF133" s="48">
        <f t="shared" si="1567"/>
        <v>0.58999999999999975</v>
      </c>
      <c r="HG133" s="48">
        <f t="shared" si="1567"/>
        <v>0.56999999999999973</v>
      </c>
    </row>
    <row r="134" spans="1:215" x14ac:dyDescent="0.3">
      <c r="A134" s="2">
        <v>5</v>
      </c>
      <c r="C134" s="39" t="s">
        <v>192</v>
      </c>
      <c r="D134" s="44">
        <v>0</v>
      </c>
      <c r="E134" s="73">
        <f t="shared" si="1421"/>
        <v>0</v>
      </c>
      <c r="G134" s="48">
        <f t="shared" si="948"/>
        <v>0</v>
      </c>
      <c r="H134" s="48">
        <f t="shared" si="949"/>
        <v>0</v>
      </c>
      <c r="I134" s="51">
        <f t="shared" si="950"/>
        <v>0</v>
      </c>
      <c r="J134" s="48">
        <f t="shared" si="1422"/>
        <v>0</v>
      </c>
      <c r="K134" s="51">
        <f t="shared" si="1423"/>
        <v>0</v>
      </c>
      <c r="L134" s="48">
        <f t="shared" si="1424"/>
        <v>0</v>
      </c>
      <c r="M134" s="51">
        <f t="shared" si="1425"/>
        <v>0</v>
      </c>
      <c r="N134" s="48">
        <f t="shared" si="1426"/>
        <v>0</v>
      </c>
      <c r="O134" s="51">
        <f t="shared" si="1427"/>
        <v>0</v>
      </c>
      <c r="P134" s="52">
        <f t="shared" si="1428"/>
        <v>0</v>
      </c>
      <c r="Q134" s="51">
        <f t="shared" si="1429"/>
        <v>0</v>
      </c>
      <c r="R134" s="48">
        <f t="shared" si="1430"/>
        <v>0</v>
      </c>
      <c r="S134" s="51">
        <f t="shared" si="1431"/>
        <v>0</v>
      </c>
      <c r="T134" s="52">
        <f t="shared" si="1432"/>
        <v>0</v>
      </c>
      <c r="U134" s="51">
        <f t="shared" si="1433"/>
        <v>0</v>
      </c>
      <c r="V134" s="53">
        <f t="shared" si="1434"/>
        <v>0</v>
      </c>
      <c r="W134" s="51">
        <f t="shared" si="1435"/>
        <v>0</v>
      </c>
      <c r="X134" s="52">
        <f t="shared" si="1436"/>
        <v>0</v>
      </c>
      <c r="Y134" s="51">
        <f t="shared" si="1437"/>
        <v>0</v>
      </c>
      <c r="Z134" s="48">
        <f t="shared" si="1438"/>
        <v>0</v>
      </c>
      <c r="AA134" s="51">
        <f t="shared" si="1439"/>
        <v>0</v>
      </c>
      <c r="AB134" s="53">
        <f t="shared" si="1440"/>
        <v>0</v>
      </c>
      <c r="AC134" s="51">
        <f t="shared" si="1441"/>
        <v>0</v>
      </c>
      <c r="AD134" s="53">
        <f t="shared" si="1442"/>
        <v>0</v>
      </c>
      <c r="AE134" s="51">
        <f t="shared" si="1443"/>
        <v>0</v>
      </c>
      <c r="AF134" s="53">
        <f t="shared" si="1444"/>
        <v>0</v>
      </c>
      <c r="AG134" s="51">
        <f t="shared" si="1445"/>
        <v>0</v>
      </c>
      <c r="AH134" s="48">
        <f t="shared" si="1446"/>
        <v>0</v>
      </c>
      <c r="AI134" s="51">
        <f t="shared" si="1447"/>
        <v>0</v>
      </c>
      <c r="AJ134" s="53">
        <f t="shared" si="1448"/>
        <v>0</v>
      </c>
      <c r="AK134" s="51">
        <f t="shared" si="1449"/>
        <v>0</v>
      </c>
      <c r="AL134" s="53">
        <f t="shared" si="1450"/>
        <v>0</v>
      </c>
      <c r="AM134" s="51">
        <f t="shared" si="1451"/>
        <v>0</v>
      </c>
      <c r="AN134" s="53">
        <f t="shared" si="1452"/>
        <v>0</v>
      </c>
      <c r="AO134" s="51">
        <f t="shared" si="1453"/>
        <v>0</v>
      </c>
      <c r="AP134" s="53">
        <f t="shared" si="1454"/>
        <v>0</v>
      </c>
      <c r="AQ134" s="51">
        <f t="shared" si="1455"/>
        <v>0</v>
      </c>
      <c r="AR134" s="48">
        <f t="shared" si="1456"/>
        <v>0</v>
      </c>
      <c r="AS134" s="51">
        <f t="shared" si="1457"/>
        <v>0</v>
      </c>
      <c r="AT134" s="53">
        <f t="shared" si="1458"/>
        <v>0</v>
      </c>
      <c r="AU134" s="51">
        <f t="shared" si="1459"/>
        <v>0</v>
      </c>
      <c r="AV134" s="53">
        <f t="shared" si="1460"/>
        <v>0</v>
      </c>
      <c r="AW134" s="51">
        <f t="shared" si="1461"/>
        <v>0</v>
      </c>
      <c r="AX134" s="48">
        <f t="shared" si="1462"/>
        <v>0</v>
      </c>
      <c r="AY134" s="51">
        <f t="shared" si="1463"/>
        <v>0</v>
      </c>
      <c r="BB134" s="48">
        <v>1</v>
      </c>
      <c r="BC134" s="48">
        <v>0.97</v>
      </c>
      <c r="BD134" s="48">
        <v>0.95</v>
      </c>
      <c r="BE134" s="48">
        <v>0.93</v>
      </c>
      <c r="BF134" s="48">
        <f t="shared" ref="BF134:BW134" si="1568">+BE134-0.02</f>
        <v>0.91</v>
      </c>
      <c r="BG134" s="48">
        <f t="shared" si="1568"/>
        <v>0.89</v>
      </c>
      <c r="BH134" s="48">
        <f t="shared" si="1568"/>
        <v>0.87</v>
      </c>
      <c r="BI134" s="48">
        <f t="shared" si="1568"/>
        <v>0.85</v>
      </c>
      <c r="BJ134" s="48">
        <f t="shared" si="1568"/>
        <v>0.83</v>
      </c>
      <c r="BK134" s="48">
        <f t="shared" si="1568"/>
        <v>0.80999999999999994</v>
      </c>
      <c r="BL134" s="48">
        <f t="shared" si="1568"/>
        <v>0.78999999999999992</v>
      </c>
      <c r="BM134" s="48">
        <f t="shared" si="1568"/>
        <v>0.76999999999999991</v>
      </c>
      <c r="BN134" s="48">
        <f t="shared" si="1568"/>
        <v>0.74999999999999989</v>
      </c>
      <c r="BO134" s="48">
        <f t="shared" si="1568"/>
        <v>0.72999999999999987</v>
      </c>
      <c r="BP134" s="48">
        <f t="shared" si="1568"/>
        <v>0.70999999999999985</v>
      </c>
      <c r="BQ134" s="48">
        <f t="shared" si="1568"/>
        <v>0.68999999999999984</v>
      </c>
      <c r="BR134" s="48">
        <f t="shared" si="1568"/>
        <v>0.66999999999999982</v>
      </c>
      <c r="BS134" s="48">
        <f t="shared" si="1568"/>
        <v>0.6499999999999998</v>
      </c>
      <c r="BT134" s="48">
        <f t="shared" si="1568"/>
        <v>0.62999999999999978</v>
      </c>
      <c r="BU134" s="48">
        <f t="shared" si="1568"/>
        <v>0.60999999999999976</v>
      </c>
      <c r="BV134" s="48">
        <f t="shared" si="1568"/>
        <v>0.58999999999999975</v>
      </c>
      <c r="BW134" s="48">
        <f t="shared" si="1568"/>
        <v>0.56999999999999973</v>
      </c>
      <c r="BY134" s="48">
        <f t="shared" si="952"/>
        <v>0</v>
      </c>
      <c r="BZ134" s="48">
        <f t="shared" si="953"/>
        <v>0</v>
      </c>
      <c r="CA134" s="51">
        <f t="shared" ref="CA134" si="1569">+BZ134*3.3058</f>
        <v>0</v>
      </c>
      <c r="CB134" s="48">
        <f t="shared" si="1466"/>
        <v>0</v>
      </c>
      <c r="CC134" s="51">
        <f t="shared" si="1467"/>
        <v>0</v>
      </c>
      <c r="CD134" s="48">
        <f t="shared" si="1468"/>
        <v>0</v>
      </c>
      <c r="CE134" s="51">
        <f t="shared" si="1469"/>
        <v>0</v>
      </c>
      <c r="CF134" s="48">
        <f t="shared" si="1470"/>
        <v>0</v>
      </c>
      <c r="CG134" s="51">
        <f t="shared" si="1471"/>
        <v>0</v>
      </c>
      <c r="CH134" s="52">
        <f t="shared" si="1472"/>
        <v>0</v>
      </c>
      <c r="CI134" s="51">
        <f t="shared" si="1473"/>
        <v>0</v>
      </c>
      <c r="CJ134" s="48">
        <f t="shared" si="1474"/>
        <v>0</v>
      </c>
      <c r="CK134" s="51">
        <f t="shared" si="1475"/>
        <v>0</v>
      </c>
      <c r="CL134" s="52">
        <f t="shared" si="1476"/>
        <v>0</v>
      </c>
      <c r="CM134" s="51">
        <f t="shared" si="1477"/>
        <v>0</v>
      </c>
      <c r="CN134" s="53">
        <f t="shared" si="1478"/>
        <v>0</v>
      </c>
      <c r="CO134" s="51">
        <f t="shared" si="1479"/>
        <v>0</v>
      </c>
      <c r="CP134" s="52">
        <f t="shared" si="1480"/>
        <v>0</v>
      </c>
      <c r="CQ134" s="51">
        <f t="shared" si="1481"/>
        <v>0</v>
      </c>
      <c r="CR134" s="48">
        <f t="shared" si="1482"/>
        <v>0</v>
      </c>
      <c r="CS134" s="51">
        <f t="shared" si="1483"/>
        <v>0</v>
      </c>
      <c r="CT134" s="53">
        <f t="shared" si="1484"/>
        <v>0</v>
      </c>
      <c r="CU134" s="51">
        <f t="shared" si="1485"/>
        <v>0</v>
      </c>
      <c r="CV134" s="53">
        <f t="shared" si="1486"/>
        <v>0</v>
      </c>
      <c r="CW134" s="51">
        <f t="shared" si="1487"/>
        <v>0</v>
      </c>
      <c r="CX134" s="53">
        <f t="shared" si="1488"/>
        <v>0</v>
      </c>
      <c r="CY134" s="51">
        <f t="shared" si="1489"/>
        <v>0</v>
      </c>
      <c r="CZ134" s="48">
        <f t="shared" si="1490"/>
        <v>0</v>
      </c>
      <c r="DA134" s="51">
        <f t="shared" si="1491"/>
        <v>0</v>
      </c>
      <c r="DB134" s="53">
        <f t="shared" si="1492"/>
        <v>0</v>
      </c>
      <c r="DC134" s="51">
        <f t="shared" si="1493"/>
        <v>0</v>
      </c>
      <c r="DD134" s="53">
        <f t="shared" si="1494"/>
        <v>0</v>
      </c>
      <c r="DE134" s="51">
        <f t="shared" si="1495"/>
        <v>0</v>
      </c>
      <c r="DF134" s="53">
        <f t="shared" si="1496"/>
        <v>0</v>
      </c>
      <c r="DG134" s="51">
        <f t="shared" si="1497"/>
        <v>0</v>
      </c>
      <c r="DH134" s="53">
        <f t="shared" si="1498"/>
        <v>0</v>
      </c>
      <c r="DI134" s="51">
        <f t="shared" si="1499"/>
        <v>0</v>
      </c>
      <c r="DJ134" s="48">
        <f t="shared" si="1500"/>
        <v>0</v>
      </c>
      <c r="DK134" s="51">
        <f t="shared" si="1501"/>
        <v>0</v>
      </c>
      <c r="DL134" s="53">
        <f t="shared" si="1502"/>
        <v>0</v>
      </c>
      <c r="DM134" s="51">
        <f t="shared" si="1503"/>
        <v>0</v>
      </c>
      <c r="DN134" s="53">
        <f t="shared" si="1504"/>
        <v>0</v>
      </c>
      <c r="DO134" s="51">
        <f t="shared" si="1505"/>
        <v>0</v>
      </c>
      <c r="DP134" s="48">
        <f t="shared" si="1506"/>
        <v>0</v>
      </c>
      <c r="DQ134" s="51">
        <f t="shared" si="1507"/>
        <v>0</v>
      </c>
      <c r="DT134" s="48">
        <v>1</v>
      </c>
      <c r="DU134" s="48">
        <v>0.97</v>
      </c>
      <c r="DV134" s="48">
        <v>0.95</v>
      </c>
      <c r="DW134" s="48">
        <v>0.93</v>
      </c>
      <c r="DX134" s="48">
        <f t="shared" ref="DX134:EO134" si="1570">+DW134-0.02</f>
        <v>0.91</v>
      </c>
      <c r="DY134" s="48">
        <f t="shared" si="1570"/>
        <v>0.89</v>
      </c>
      <c r="DZ134" s="48">
        <f t="shared" si="1570"/>
        <v>0.87</v>
      </c>
      <c r="EA134" s="48">
        <f t="shared" si="1570"/>
        <v>0.85</v>
      </c>
      <c r="EB134" s="48">
        <f t="shared" si="1570"/>
        <v>0.83</v>
      </c>
      <c r="EC134" s="48">
        <f t="shared" si="1570"/>
        <v>0.80999999999999994</v>
      </c>
      <c r="ED134" s="48">
        <f t="shared" si="1570"/>
        <v>0.78999999999999992</v>
      </c>
      <c r="EE134" s="48">
        <f t="shared" si="1570"/>
        <v>0.76999999999999991</v>
      </c>
      <c r="EF134" s="48">
        <f t="shared" si="1570"/>
        <v>0.74999999999999989</v>
      </c>
      <c r="EG134" s="48">
        <f t="shared" si="1570"/>
        <v>0.72999999999999987</v>
      </c>
      <c r="EH134" s="48">
        <f t="shared" si="1570"/>
        <v>0.70999999999999985</v>
      </c>
      <c r="EI134" s="48">
        <f t="shared" si="1570"/>
        <v>0.68999999999999984</v>
      </c>
      <c r="EJ134" s="48">
        <f t="shared" si="1570"/>
        <v>0.66999999999999982</v>
      </c>
      <c r="EK134" s="48">
        <f t="shared" si="1570"/>
        <v>0.6499999999999998</v>
      </c>
      <c r="EL134" s="48">
        <f t="shared" si="1570"/>
        <v>0.62999999999999978</v>
      </c>
      <c r="EM134" s="48">
        <f t="shared" si="1570"/>
        <v>0.60999999999999976</v>
      </c>
      <c r="EN134" s="48">
        <f t="shared" si="1570"/>
        <v>0.58999999999999975</v>
      </c>
      <c r="EO134" s="48">
        <f t="shared" si="1570"/>
        <v>0.56999999999999973</v>
      </c>
      <c r="EQ134" s="48">
        <f t="shared" si="1128"/>
        <v>0</v>
      </c>
      <c r="ER134" s="48">
        <f t="shared" si="956"/>
        <v>0</v>
      </c>
      <c r="ES134" s="51">
        <f t="shared" ref="ES134" si="1571">+ER134*3.3058</f>
        <v>0</v>
      </c>
      <c r="ET134" s="48">
        <f t="shared" si="1510"/>
        <v>0</v>
      </c>
      <c r="EU134" s="51">
        <f t="shared" si="1511"/>
        <v>0</v>
      </c>
      <c r="EV134" s="48">
        <f t="shared" si="1512"/>
        <v>0</v>
      </c>
      <c r="EW134" s="51">
        <f t="shared" si="1513"/>
        <v>0</v>
      </c>
      <c r="EX134" s="48">
        <f t="shared" si="1514"/>
        <v>0</v>
      </c>
      <c r="EY134" s="51">
        <f t="shared" si="1515"/>
        <v>0</v>
      </c>
      <c r="EZ134" s="52">
        <f t="shared" si="1516"/>
        <v>0</v>
      </c>
      <c r="FA134" s="51">
        <f t="shared" si="1517"/>
        <v>0</v>
      </c>
      <c r="FB134" s="48">
        <f t="shared" si="1518"/>
        <v>0</v>
      </c>
      <c r="FC134" s="51">
        <f t="shared" si="1519"/>
        <v>0</v>
      </c>
      <c r="FD134" s="52">
        <f t="shared" si="1520"/>
        <v>0</v>
      </c>
      <c r="FE134" s="51">
        <f t="shared" si="1521"/>
        <v>0</v>
      </c>
      <c r="FF134" s="53">
        <f t="shared" si="1522"/>
        <v>0</v>
      </c>
      <c r="FG134" s="51">
        <f t="shared" si="1523"/>
        <v>0</v>
      </c>
      <c r="FH134" s="52">
        <f t="shared" si="1524"/>
        <v>0</v>
      </c>
      <c r="FI134" s="51">
        <f t="shared" si="1525"/>
        <v>0</v>
      </c>
      <c r="FJ134" s="48">
        <f t="shared" si="1526"/>
        <v>0</v>
      </c>
      <c r="FK134" s="51">
        <f t="shared" si="1527"/>
        <v>0</v>
      </c>
      <c r="FL134" s="53">
        <f t="shared" si="1528"/>
        <v>0</v>
      </c>
      <c r="FM134" s="51">
        <f t="shared" si="1529"/>
        <v>0</v>
      </c>
      <c r="FN134" s="53">
        <f t="shared" si="1530"/>
        <v>0</v>
      </c>
      <c r="FO134" s="51">
        <f t="shared" si="1531"/>
        <v>0</v>
      </c>
      <c r="FP134" s="53">
        <f t="shared" si="1532"/>
        <v>0</v>
      </c>
      <c r="FQ134" s="51">
        <f t="shared" si="1533"/>
        <v>0</v>
      </c>
      <c r="FR134" s="48">
        <f t="shared" si="1534"/>
        <v>0</v>
      </c>
      <c r="FS134" s="51">
        <f t="shared" si="1535"/>
        <v>0</v>
      </c>
      <c r="FT134" s="53">
        <f t="shared" si="1536"/>
        <v>0</v>
      </c>
      <c r="FU134" s="51">
        <f t="shared" si="1537"/>
        <v>0</v>
      </c>
      <c r="FV134" s="53">
        <f t="shared" si="1538"/>
        <v>0</v>
      </c>
      <c r="FW134" s="51">
        <f t="shared" si="1539"/>
        <v>0</v>
      </c>
      <c r="FX134" s="53">
        <f t="shared" si="1540"/>
        <v>0</v>
      </c>
      <c r="FY134" s="51">
        <f t="shared" si="1541"/>
        <v>0</v>
      </c>
      <c r="FZ134" s="53">
        <f t="shared" si="1542"/>
        <v>0</v>
      </c>
      <c r="GA134" s="51">
        <f t="shared" si="1543"/>
        <v>0</v>
      </c>
      <c r="GB134" s="48">
        <f t="shared" si="1544"/>
        <v>0</v>
      </c>
      <c r="GC134" s="51">
        <f t="shared" si="1545"/>
        <v>0</v>
      </c>
      <c r="GD134" s="53">
        <f t="shared" si="1546"/>
        <v>0</v>
      </c>
      <c r="GE134" s="51">
        <f t="shared" si="1547"/>
        <v>0</v>
      </c>
      <c r="GF134" s="53">
        <f t="shared" si="1548"/>
        <v>0</v>
      </c>
      <c r="GG134" s="51">
        <f t="shared" si="1549"/>
        <v>0</v>
      </c>
      <c r="GH134" s="48">
        <f t="shared" si="1550"/>
        <v>0</v>
      </c>
      <c r="GI134" s="51">
        <f t="shared" si="1551"/>
        <v>0</v>
      </c>
      <c r="GJ134" s="48"/>
      <c r="GK134" s="48"/>
      <c r="GL134" s="48">
        <v>1</v>
      </c>
      <c r="GM134" s="48">
        <v>0.97</v>
      </c>
      <c r="GN134" s="48">
        <v>0.95</v>
      </c>
      <c r="GO134" s="48">
        <v>0.93</v>
      </c>
      <c r="GP134" s="48">
        <f t="shared" ref="GP134:HG134" si="1572">+GO134-0.02</f>
        <v>0.91</v>
      </c>
      <c r="GQ134" s="48">
        <f t="shared" si="1572"/>
        <v>0.89</v>
      </c>
      <c r="GR134" s="48">
        <f t="shared" si="1572"/>
        <v>0.87</v>
      </c>
      <c r="GS134" s="48">
        <f t="shared" si="1572"/>
        <v>0.85</v>
      </c>
      <c r="GT134" s="48">
        <f t="shared" si="1572"/>
        <v>0.83</v>
      </c>
      <c r="GU134" s="48">
        <f t="shared" si="1572"/>
        <v>0.80999999999999994</v>
      </c>
      <c r="GV134" s="48">
        <f t="shared" si="1572"/>
        <v>0.78999999999999992</v>
      </c>
      <c r="GW134" s="48">
        <f t="shared" si="1572"/>
        <v>0.76999999999999991</v>
      </c>
      <c r="GX134" s="48">
        <f t="shared" si="1572"/>
        <v>0.74999999999999989</v>
      </c>
      <c r="GY134" s="48">
        <f t="shared" si="1572"/>
        <v>0.72999999999999987</v>
      </c>
      <c r="GZ134" s="48">
        <f t="shared" si="1572"/>
        <v>0.70999999999999985</v>
      </c>
      <c r="HA134" s="48">
        <f t="shared" si="1572"/>
        <v>0.68999999999999984</v>
      </c>
      <c r="HB134" s="48">
        <f t="shared" si="1572"/>
        <v>0.66999999999999982</v>
      </c>
      <c r="HC134" s="48">
        <f t="shared" si="1572"/>
        <v>0.6499999999999998</v>
      </c>
      <c r="HD134" s="48">
        <f t="shared" si="1572"/>
        <v>0.62999999999999978</v>
      </c>
      <c r="HE134" s="48">
        <f t="shared" si="1572"/>
        <v>0.60999999999999976</v>
      </c>
      <c r="HF134" s="48">
        <f t="shared" si="1572"/>
        <v>0.58999999999999975</v>
      </c>
      <c r="HG134" s="48">
        <f t="shared" si="1572"/>
        <v>0.56999999999999973</v>
      </c>
    </row>
    <row r="135" spans="1:215" x14ac:dyDescent="0.3">
      <c r="A135" s="2">
        <v>6</v>
      </c>
      <c r="C135" s="39" t="s">
        <v>193</v>
      </c>
      <c r="D135" s="44">
        <v>0</v>
      </c>
      <c r="E135" s="73">
        <f t="shared" si="1421"/>
        <v>0</v>
      </c>
      <c r="G135" s="48">
        <f t="shared" si="948"/>
        <v>0</v>
      </c>
      <c r="H135" s="48">
        <f t="shared" si="949"/>
        <v>0</v>
      </c>
      <c r="I135" s="51">
        <f t="shared" si="950"/>
        <v>0</v>
      </c>
      <c r="J135" s="48">
        <f t="shared" si="1422"/>
        <v>0</v>
      </c>
      <c r="K135" s="51">
        <f t="shared" si="1423"/>
        <v>0</v>
      </c>
      <c r="L135" s="48">
        <f t="shared" si="1424"/>
        <v>0</v>
      </c>
      <c r="M135" s="51">
        <f t="shared" si="1425"/>
        <v>0</v>
      </c>
      <c r="N135" s="48">
        <f t="shared" si="1426"/>
        <v>0</v>
      </c>
      <c r="O135" s="51">
        <f t="shared" si="1427"/>
        <v>0</v>
      </c>
      <c r="P135" s="52">
        <f t="shared" si="1428"/>
        <v>0</v>
      </c>
      <c r="Q135" s="51">
        <f t="shared" si="1429"/>
        <v>0</v>
      </c>
      <c r="R135" s="48">
        <f t="shared" si="1430"/>
        <v>0</v>
      </c>
      <c r="S135" s="51">
        <f t="shared" si="1431"/>
        <v>0</v>
      </c>
      <c r="T135" s="52">
        <f t="shared" si="1432"/>
        <v>0</v>
      </c>
      <c r="U135" s="51">
        <f t="shared" si="1433"/>
        <v>0</v>
      </c>
      <c r="V135" s="53">
        <f t="shared" si="1434"/>
        <v>0</v>
      </c>
      <c r="W135" s="51">
        <f t="shared" si="1435"/>
        <v>0</v>
      </c>
      <c r="X135" s="52">
        <f t="shared" si="1436"/>
        <v>0</v>
      </c>
      <c r="Y135" s="51">
        <f t="shared" si="1437"/>
        <v>0</v>
      </c>
      <c r="Z135" s="48">
        <f t="shared" si="1438"/>
        <v>0</v>
      </c>
      <c r="AA135" s="51">
        <f t="shared" si="1439"/>
        <v>0</v>
      </c>
      <c r="AB135" s="53">
        <f t="shared" si="1440"/>
        <v>0</v>
      </c>
      <c r="AC135" s="51">
        <f t="shared" si="1441"/>
        <v>0</v>
      </c>
      <c r="AD135" s="53">
        <f t="shared" si="1442"/>
        <v>0</v>
      </c>
      <c r="AE135" s="51">
        <f t="shared" si="1443"/>
        <v>0</v>
      </c>
      <c r="AF135" s="53">
        <f t="shared" si="1444"/>
        <v>0</v>
      </c>
      <c r="AG135" s="51">
        <f t="shared" si="1445"/>
        <v>0</v>
      </c>
      <c r="AH135" s="48">
        <f t="shared" si="1446"/>
        <v>0</v>
      </c>
      <c r="AI135" s="51">
        <f t="shared" si="1447"/>
        <v>0</v>
      </c>
      <c r="AJ135" s="53">
        <f t="shared" si="1448"/>
        <v>0</v>
      </c>
      <c r="AK135" s="51">
        <f t="shared" si="1449"/>
        <v>0</v>
      </c>
      <c r="AL135" s="53">
        <f t="shared" si="1450"/>
        <v>0</v>
      </c>
      <c r="AM135" s="51">
        <f t="shared" si="1451"/>
        <v>0</v>
      </c>
      <c r="AN135" s="53">
        <f t="shared" si="1452"/>
        <v>0</v>
      </c>
      <c r="AO135" s="51">
        <f t="shared" si="1453"/>
        <v>0</v>
      </c>
      <c r="AP135" s="53">
        <f t="shared" si="1454"/>
        <v>0</v>
      </c>
      <c r="AQ135" s="51">
        <f t="shared" si="1455"/>
        <v>0</v>
      </c>
      <c r="AR135" s="48">
        <f t="shared" si="1456"/>
        <v>0</v>
      </c>
      <c r="AS135" s="51">
        <f t="shared" si="1457"/>
        <v>0</v>
      </c>
      <c r="AT135" s="53">
        <f t="shared" si="1458"/>
        <v>0</v>
      </c>
      <c r="AU135" s="51">
        <f t="shared" si="1459"/>
        <v>0</v>
      </c>
      <c r="AV135" s="53">
        <f t="shared" si="1460"/>
        <v>0</v>
      </c>
      <c r="AW135" s="51">
        <f t="shared" si="1461"/>
        <v>0</v>
      </c>
      <c r="AX135" s="48">
        <f t="shared" si="1462"/>
        <v>0</v>
      </c>
      <c r="AY135" s="51">
        <f t="shared" si="1463"/>
        <v>0</v>
      </c>
      <c r="BB135" s="48">
        <v>1</v>
      </c>
      <c r="BC135" s="48">
        <v>0.97</v>
      </c>
      <c r="BD135" s="48">
        <v>0.95</v>
      </c>
      <c r="BE135" s="48">
        <v>0.93</v>
      </c>
      <c r="BF135" s="48">
        <f t="shared" ref="BF135:BW135" si="1573">+BE135-0.02</f>
        <v>0.91</v>
      </c>
      <c r="BG135" s="48">
        <f t="shared" si="1573"/>
        <v>0.89</v>
      </c>
      <c r="BH135" s="48">
        <f t="shared" si="1573"/>
        <v>0.87</v>
      </c>
      <c r="BI135" s="48">
        <f t="shared" si="1573"/>
        <v>0.85</v>
      </c>
      <c r="BJ135" s="48">
        <f t="shared" si="1573"/>
        <v>0.83</v>
      </c>
      <c r="BK135" s="48">
        <f t="shared" si="1573"/>
        <v>0.80999999999999994</v>
      </c>
      <c r="BL135" s="48">
        <f t="shared" si="1573"/>
        <v>0.78999999999999992</v>
      </c>
      <c r="BM135" s="48">
        <f t="shared" si="1573"/>
        <v>0.76999999999999991</v>
      </c>
      <c r="BN135" s="48">
        <f t="shared" si="1573"/>
        <v>0.74999999999999989</v>
      </c>
      <c r="BO135" s="48">
        <f t="shared" si="1573"/>
        <v>0.72999999999999987</v>
      </c>
      <c r="BP135" s="48">
        <f t="shared" si="1573"/>
        <v>0.70999999999999985</v>
      </c>
      <c r="BQ135" s="48">
        <f t="shared" si="1573"/>
        <v>0.68999999999999984</v>
      </c>
      <c r="BR135" s="48">
        <f t="shared" si="1573"/>
        <v>0.66999999999999982</v>
      </c>
      <c r="BS135" s="48">
        <f t="shared" si="1573"/>
        <v>0.6499999999999998</v>
      </c>
      <c r="BT135" s="48">
        <f t="shared" si="1573"/>
        <v>0.62999999999999978</v>
      </c>
      <c r="BU135" s="48">
        <f t="shared" si="1573"/>
        <v>0.60999999999999976</v>
      </c>
      <c r="BV135" s="48">
        <f t="shared" si="1573"/>
        <v>0.58999999999999975</v>
      </c>
      <c r="BW135" s="48">
        <f t="shared" si="1573"/>
        <v>0.56999999999999973</v>
      </c>
      <c r="BY135" s="48">
        <f t="shared" si="952"/>
        <v>0</v>
      </c>
      <c r="BZ135" s="48">
        <f t="shared" si="953"/>
        <v>0</v>
      </c>
      <c r="CA135" s="51">
        <f t="shared" ref="CA135" si="1574">+BZ135*3.3058</f>
        <v>0</v>
      </c>
      <c r="CB135" s="48">
        <f t="shared" si="1466"/>
        <v>0</v>
      </c>
      <c r="CC135" s="51">
        <f t="shared" si="1467"/>
        <v>0</v>
      </c>
      <c r="CD135" s="48">
        <f t="shared" si="1468"/>
        <v>0</v>
      </c>
      <c r="CE135" s="51">
        <f t="shared" si="1469"/>
        <v>0</v>
      </c>
      <c r="CF135" s="48">
        <f t="shared" si="1470"/>
        <v>0</v>
      </c>
      <c r="CG135" s="51">
        <f t="shared" si="1471"/>
        <v>0</v>
      </c>
      <c r="CH135" s="52">
        <f t="shared" si="1472"/>
        <v>0</v>
      </c>
      <c r="CI135" s="51">
        <f t="shared" si="1473"/>
        <v>0</v>
      </c>
      <c r="CJ135" s="48">
        <f t="shared" si="1474"/>
        <v>0</v>
      </c>
      <c r="CK135" s="51">
        <f t="shared" si="1475"/>
        <v>0</v>
      </c>
      <c r="CL135" s="52">
        <f t="shared" si="1476"/>
        <v>0</v>
      </c>
      <c r="CM135" s="51">
        <f t="shared" si="1477"/>
        <v>0</v>
      </c>
      <c r="CN135" s="53">
        <f t="shared" si="1478"/>
        <v>0</v>
      </c>
      <c r="CO135" s="51">
        <f t="shared" si="1479"/>
        <v>0</v>
      </c>
      <c r="CP135" s="52">
        <f t="shared" si="1480"/>
        <v>0</v>
      </c>
      <c r="CQ135" s="51">
        <f t="shared" si="1481"/>
        <v>0</v>
      </c>
      <c r="CR135" s="48">
        <f t="shared" si="1482"/>
        <v>0</v>
      </c>
      <c r="CS135" s="51">
        <f t="shared" si="1483"/>
        <v>0</v>
      </c>
      <c r="CT135" s="53">
        <f t="shared" si="1484"/>
        <v>0</v>
      </c>
      <c r="CU135" s="51">
        <f t="shared" si="1485"/>
        <v>0</v>
      </c>
      <c r="CV135" s="53">
        <f t="shared" si="1486"/>
        <v>0</v>
      </c>
      <c r="CW135" s="51">
        <f t="shared" si="1487"/>
        <v>0</v>
      </c>
      <c r="CX135" s="53">
        <f t="shared" si="1488"/>
        <v>0</v>
      </c>
      <c r="CY135" s="51">
        <f t="shared" si="1489"/>
        <v>0</v>
      </c>
      <c r="CZ135" s="48">
        <f t="shared" si="1490"/>
        <v>0</v>
      </c>
      <c r="DA135" s="51">
        <f t="shared" si="1491"/>
        <v>0</v>
      </c>
      <c r="DB135" s="53">
        <f t="shared" si="1492"/>
        <v>0</v>
      </c>
      <c r="DC135" s="51">
        <f t="shared" si="1493"/>
        <v>0</v>
      </c>
      <c r="DD135" s="53">
        <f t="shared" si="1494"/>
        <v>0</v>
      </c>
      <c r="DE135" s="51">
        <f t="shared" si="1495"/>
        <v>0</v>
      </c>
      <c r="DF135" s="53">
        <f t="shared" si="1496"/>
        <v>0</v>
      </c>
      <c r="DG135" s="51">
        <f t="shared" si="1497"/>
        <v>0</v>
      </c>
      <c r="DH135" s="53">
        <f t="shared" si="1498"/>
        <v>0</v>
      </c>
      <c r="DI135" s="51">
        <f t="shared" si="1499"/>
        <v>0</v>
      </c>
      <c r="DJ135" s="48">
        <f t="shared" si="1500"/>
        <v>0</v>
      </c>
      <c r="DK135" s="51">
        <f t="shared" si="1501"/>
        <v>0</v>
      </c>
      <c r="DL135" s="53">
        <f t="shared" si="1502"/>
        <v>0</v>
      </c>
      <c r="DM135" s="51">
        <f t="shared" si="1503"/>
        <v>0</v>
      </c>
      <c r="DN135" s="53">
        <f t="shared" si="1504"/>
        <v>0</v>
      </c>
      <c r="DO135" s="51">
        <f t="shared" si="1505"/>
        <v>0</v>
      </c>
      <c r="DP135" s="48">
        <f t="shared" si="1506"/>
        <v>0</v>
      </c>
      <c r="DQ135" s="51">
        <f t="shared" si="1507"/>
        <v>0</v>
      </c>
      <c r="DT135" s="48">
        <v>1</v>
      </c>
      <c r="DU135" s="48">
        <v>0.97</v>
      </c>
      <c r="DV135" s="48">
        <v>0.95</v>
      </c>
      <c r="DW135" s="48">
        <v>0.93</v>
      </c>
      <c r="DX135" s="48">
        <f t="shared" ref="DX135:EO135" si="1575">+DW135-0.02</f>
        <v>0.91</v>
      </c>
      <c r="DY135" s="48">
        <f t="shared" si="1575"/>
        <v>0.89</v>
      </c>
      <c r="DZ135" s="48">
        <f t="shared" si="1575"/>
        <v>0.87</v>
      </c>
      <c r="EA135" s="48">
        <f t="shared" si="1575"/>
        <v>0.85</v>
      </c>
      <c r="EB135" s="48">
        <f t="shared" si="1575"/>
        <v>0.83</v>
      </c>
      <c r="EC135" s="48">
        <f t="shared" si="1575"/>
        <v>0.80999999999999994</v>
      </c>
      <c r="ED135" s="48">
        <f t="shared" si="1575"/>
        <v>0.78999999999999992</v>
      </c>
      <c r="EE135" s="48">
        <f t="shared" si="1575"/>
        <v>0.76999999999999991</v>
      </c>
      <c r="EF135" s="48">
        <f t="shared" si="1575"/>
        <v>0.74999999999999989</v>
      </c>
      <c r="EG135" s="48">
        <f t="shared" si="1575"/>
        <v>0.72999999999999987</v>
      </c>
      <c r="EH135" s="48">
        <f t="shared" si="1575"/>
        <v>0.70999999999999985</v>
      </c>
      <c r="EI135" s="48">
        <f t="shared" si="1575"/>
        <v>0.68999999999999984</v>
      </c>
      <c r="EJ135" s="48">
        <f t="shared" si="1575"/>
        <v>0.66999999999999982</v>
      </c>
      <c r="EK135" s="48">
        <f t="shared" si="1575"/>
        <v>0.6499999999999998</v>
      </c>
      <c r="EL135" s="48">
        <f t="shared" si="1575"/>
        <v>0.62999999999999978</v>
      </c>
      <c r="EM135" s="48">
        <f t="shared" si="1575"/>
        <v>0.60999999999999976</v>
      </c>
      <c r="EN135" s="48">
        <f t="shared" si="1575"/>
        <v>0.58999999999999975</v>
      </c>
      <c r="EO135" s="48">
        <f t="shared" si="1575"/>
        <v>0.56999999999999973</v>
      </c>
      <c r="EQ135" s="48">
        <f t="shared" si="1128"/>
        <v>0</v>
      </c>
      <c r="ER135" s="48">
        <f t="shared" si="956"/>
        <v>0</v>
      </c>
      <c r="ES135" s="51">
        <f t="shared" ref="ES135" si="1576">+ER135*3.3058</f>
        <v>0</v>
      </c>
      <c r="ET135" s="48">
        <f t="shared" si="1510"/>
        <v>0</v>
      </c>
      <c r="EU135" s="51">
        <f t="shared" si="1511"/>
        <v>0</v>
      </c>
      <c r="EV135" s="48">
        <f t="shared" si="1512"/>
        <v>0</v>
      </c>
      <c r="EW135" s="51">
        <f t="shared" si="1513"/>
        <v>0</v>
      </c>
      <c r="EX135" s="48">
        <f t="shared" si="1514"/>
        <v>0</v>
      </c>
      <c r="EY135" s="51">
        <f t="shared" si="1515"/>
        <v>0</v>
      </c>
      <c r="EZ135" s="52">
        <f t="shared" si="1516"/>
        <v>0</v>
      </c>
      <c r="FA135" s="51">
        <f t="shared" si="1517"/>
        <v>0</v>
      </c>
      <c r="FB135" s="48">
        <f t="shared" si="1518"/>
        <v>0</v>
      </c>
      <c r="FC135" s="51">
        <f t="shared" si="1519"/>
        <v>0</v>
      </c>
      <c r="FD135" s="52">
        <f t="shared" si="1520"/>
        <v>0</v>
      </c>
      <c r="FE135" s="51">
        <f t="shared" si="1521"/>
        <v>0</v>
      </c>
      <c r="FF135" s="53">
        <f t="shared" si="1522"/>
        <v>0</v>
      </c>
      <c r="FG135" s="51">
        <f t="shared" si="1523"/>
        <v>0</v>
      </c>
      <c r="FH135" s="52">
        <f t="shared" si="1524"/>
        <v>0</v>
      </c>
      <c r="FI135" s="51">
        <f t="shared" si="1525"/>
        <v>0</v>
      </c>
      <c r="FJ135" s="48">
        <f t="shared" si="1526"/>
        <v>0</v>
      </c>
      <c r="FK135" s="51">
        <f t="shared" si="1527"/>
        <v>0</v>
      </c>
      <c r="FL135" s="53">
        <f t="shared" si="1528"/>
        <v>0</v>
      </c>
      <c r="FM135" s="51">
        <f t="shared" si="1529"/>
        <v>0</v>
      </c>
      <c r="FN135" s="53">
        <f t="shared" si="1530"/>
        <v>0</v>
      </c>
      <c r="FO135" s="51">
        <f t="shared" si="1531"/>
        <v>0</v>
      </c>
      <c r="FP135" s="53">
        <f t="shared" si="1532"/>
        <v>0</v>
      </c>
      <c r="FQ135" s="51">
        <f t="shared" si="1533"/>
        <v>0</v>
      </c>
      <c r="FR135" s="48">
        <f t="shared" si="1534"/>
        <v>0</v>
      </c>
      <c r="FS135" s="51">
        <f t="shared" si="1535"/>
        <v>0</v>
      </c>
      <c r="FT135" s="53">
        <f t="shared" si="1536"/>
        <v>0</v>
      </c>
      <c r="FU135" s="51">
        <f t="shared" si="1537"/>
        <v>0</v>
      </c>
      <c r="FV135" s="53">
        <f t="shared" si="1538"/>
        <v>0</v>
      </c>
      <c r="FW135" s="51">
        <f t="shared" si="1539"/>
        <v>0</v>
      </c>
      <c r="FX135" s="53">
        <f t="shared" si="1540"/>
        <v>0</v>
      </c>
      <c r="FY135" s="51">
        <f t="shared" si="1541"/>
        <v>0</v>
      </c>
      <c r="FZ135" s="53">
        <f t="shared" si="1542"/>
        <v>0</v>
      </c>
      <c r="GA135" s="51">
        <f t="shared" si="1543"/>
        <v>0</v>
      </c>
      <c r="GB135" s="48">
        <f t="shared" si="1544"/>
        <v>0</v>
      </c>
      <c r="GC135" s="51">
        <f t="shared" si="1545"/>
        <v>0</v>
      </c>
      <c r="GD135" s="53">
        <f t="shared" si="1546"/>
        <v>0</v>
      </c>
      <c r="GE135" s="51">
        <f t="shared" si="1547"/>
        <v>0</v>
      </c>
      <c r="GF135" s="53">
        <f t="shared" si="1548"/>
        <v>0</v>
      </c>
      <c r="GG135" s="51">
        <f t="shared" si="1549"/>
        <v>0</v>
      </c>
      <c r="GH135" s="48">
        <f t="shared" si="1550"/>
        <v>0</v>
      </c>
      <c r="GI135" s="51">
        <f t="shared" si="1551"/>
        <v>0</v>
      </c>
      <c r="GJ135" s="48"/>
      <c r="GK135" s="48"/>
      <c r="GL135" s="48">
        <v>1</v>
      </c>
      <c r="GM135" s="48">
        <v>0.97</v>
      </c>
      <c r="GN135" s="48">
        <v>0.95</v>
      </c>
      <c r="GO135" s="48">
        <v>0.93</v>
      </c>
      <c r="GP135" s="48">
        <f t="shared" ref="GP135:HG135" si="1577">+GO135-0.02</f>
        <v>0.91</v>
      </c>
      <c r="GQ135" s="48">
        <f t="shared" si="1577"/>
        <v>0.89</v>
      </c>
      <c r="GR135" s="48">
        <f t="shared" si="1577"/>
        <v>0.87</v>
      </c>
      <c r="GS135" s="48">
        <f t="shared" si="1577"/>
        <v>0.85</v>
      </c>
      <c r="GT135" s="48">
        <f t="shared" si="1577"/>
        <v>0.83</v>
      </c>
      <c r="GU135" s="48">
        <f t="shared" si="1577"/>
        <v>0.80999999999999994</v>
      </c>
      <c r="GV135" s="48">
        <f t="shared" si="1577"/>
        <v>0.78999999999999992</v>
      </c>
      <c r="GW135" s="48">
        <f t="shared" si="1577"/>
        <v>0.76999999999999991</v>
      </c>
      <c r="GX135" s="48">
        <f t="shared" si="1577"/>
        <v>0.74999999999999989</v>
      </c>
      <c r="GY135" s="48">
        <f t="shared" si="1577"/>
        <v>0.72999999999999987</v>
      </c>
      <c r="GZ135" s="48">
        <f t="shared" si="1577"/>
        <v>0.70999999999999985</v>
      </c>
      <c r="HA135" s="48">
        <f t="shared" si="1577"/>
        <v>0.68999999999999984</v>
      </c>
      <c r="HB135" s="48">
        <f t="shared" si="1577"/>
        <v>0.66999999999999982</v>
      </c>
      <c r="HC135" s="48">
        <f t="shared" si="1577"/>
        <v>0.6499999999999998</v>
      </c>
      <c r="HD135" s="48">
        <f t="shared" si="1577"/>
        <v>0.62999999999999978</v>
      </c>
      <c r="HE135" s="48">
        <f t="shared" si="1577"/>
        <v>0.60999999999999976</v>
      </c>
      <c r="HF135" s="48">
        <f t="shared" si="1577"/>
        <v>0.58999999999999975</v>
      </c>
      <c r="HG135" s="48">
        <f t="shared" si="1577"/>
        <v>0.56999999999999973</v>
      </c>
    </row>
    <row r="136" spans="1:215" x14ac:dyDescent="0.3">
      <c r="A136" s="2">
        <v>7</v>
      </c>
      <c r="C136" s="39" t="s">
        <v>194</v>
      </c>
      <c r="D136" s="44">
        <v>0</v>
      </c>
      <c r="E136" s="73">
        <f t="shared" si="1421"/>
        <v>0</v>
      </c>
      <c r="G136" s="48">
        <f t="shared" si="948"/>
        <v>0</v>
      </c>
      <c r="H136" s="48">
        <f t="shared" si="949"/>
        <v>0</v>
      </c>
      <c r="I136" s="51">
        <f t="shared" si="950"/>
        <v>0</v>
      </c>
      <c r="J136" s="48">
        <f t="shared" si="1422"/>
        <v>0</v>
      </c>
      <c r="K136" s="51">
        <f t="shared" si="1423"/>
        <v>0</v>
      </c>
      <c r="L136" s="48">
        <f t="shared" si="1424"/>
        <v>0</v>
      </c>
      <c r="M136" s="51">
        <f t="shared" si="1425"/>
        <v>0</v>
      </c>
      <c r="N136" s="48">
        <f t="shared" si="1426"/>
        <v>0</v>
      </c>
      <c r="O136" s="51">
        <f t="shared" si="1427"/>
        <v>0</v>
      </c>
      <c r="P136" s="52">
        <f t="shared" si="1428"/>
        <v>0</v>
      </c>
      <c r="Q136" s="51">
        <f t="shared" si="1429"/>
        <v>0</v>
      </c>
      <c r="R136" s="48">
        <f t="shared" si="1430"/>
        <v>0</v>
      </c>
      <c r="S136" s="51">
        <f t="shared" si="1431"/>
        <v>0</v>
      </c>
      <c r="T136" s="52">
        <f t="shared" si="1432"/>
        <v>0</v>
      </c>
      <c r="U136" s="51">
        <f t="shared" si="1433"/>
        <v>0</v>
      </c>
      <c r="V136" s="53">
        <f t="shared" si="1434"/>
        <v>0</v>
      </c>
      <c r="W136" s="51">
        <f t="shared" si="1435"/>
        <v>0</v>
      </c>
      <c r="X136" s="52">
        <f t="shared" si="1436"/>
        <v>0</v>
      </c>
      <c r="Y136" s="51">
        <f t="shared" si="1437"/>
        <v>0</v>
      </c>
      <c r="Z136" s="48">
        <f t="shared" si="1438"/>
        <v>0</v>
      </c>
      <c r="AA136" s="51">
        <f t="shared" si="1439"/>
        <v>0</v>
      </c>
      <c r="AB136" s="53">
        <f t="shared" si="1440"/>
        <v>0</v>
      </c>
      <c r="AC136" s="51">
        <f t="shared" si="1441"/>
        <v>0</v>
      </c>
      <c r="AD136" s="53">
        <f t="shared" si="1442"/>
        <v>0</v>
      </c>
      <c r="AE136" s="51">
        <f t="shared" si="1443"/>
        <v>0</v>
      </c>
      <c r="AF136" s="53">
        <f t="shared" si="1444"/>
        <v>0</v>
      </c>
      <c r="AG136" s="51">
        <f t="shared" si="1445"/>
        <v>0</v>
      </c>
      <c r="AH136" s="48">
        <f t="shared" si="1446"/>
        <v>0</v>
      </c>
      <c r="AI136" s="51">
        <f t="shared" si="1447"/>
        <v>0</v>
      </c>
      <c r="AJ136" s="53">
        <f t="shared" si="1448"/>
        <v>0</v>
      </c>
      <c r="AK136" s="51">
        <f t="shared" si="1449"/>
        <v>0</v>
      </c>
      <c r="AL136" s="53">
        <f t="shared" si="1450"/>
        <v>0</v>
      </c>
      <c r="AM136" s="51">
        <f t="shared" si="1451"/>
        <v>0</v>
      </c>
      <c r="AN136" s="53">
        <f t="shared" si="1452"/>
        <v>0</v>
      </c>
      <c r="AO136" s="51">
        <f t="shared" si="1453"/>
        <v>0</v>
      </c>
      <c r="AP136" s="53">
        <f t="shared" si="1454"/>
        <v>0</v>
      </c>
      <c r="AQ136" s="51">
        <f t="shared" si="1455"/>
        <v>0</v>
      </c>
      <c r="AR136" s="48">
        <f t="shared" si="1456"/>
        <v>0</v>
      </c>
      <c r="AS136" s="51">
        <f t="shared" si="1457"/>
        <v>0</v>
      </c>
      <c r="AT136" s="53">
        <f t="shared" si="1458"/>
        <v>0</v>
      </c>
      <c r="AU136" s="51">
        <f t="shared" si="1459"/>
        <v>0</v>
      </c>
      <c r="AV136" s="53">
        <f t="shared" si="1460"/>
        <v>0</v>
      </c>
      <c r="AW136" s="51">
        <f t="shared" si="1461"/>
        <v>0</v>
      </c>
      <c r="AX136" s="48">
        <f t="shared" si="1462"/>
        <v>0</v>
      </c>
      <c r="AY136" s="51">
        <f t="shared" si="1463"/>
        <v>0</v>
      </c>
      <c r="BB136" s="48">
        <v>1</v>
      </c>
      <c r="BC136" s="48">
        <v>0.97</v>
      </c>
      <c r="BD136" s="48">
        <v>0.95</v>
      </c>
      <c r="BE136" s="48">
        <v>0.93</v>
      </c>
      <c r="BF136" s="48">
        <f t="shared" ref="BF136:BW136" si="1578">+BE136-0.02</f>
        <v>0.91</v>
      </c>
      <c r="BG136" s="48">
        <f t="shared" si="1578"/>
        <v>0.89</v>
      </c>
      <c r="BH136" s="48">
        <f t="shared" si="1578"/>
        <v>0.87</v>
      </c>
      <c r="BI136" s="48">
        <f t="shared" si="1578"/>
        <v>0.85</v>
      </c>
      <c r="BJ136" s="48">
        <f t="shared" si="1578"/>
        <v>0.83</v>
      </c>
      <c r="BK136" s="48">
        <f t="shared" si="1578"/>
        <v>0.80999999999999994</v>
      </c>
      <c r="BL136" s="48">
        <f t="shared" si="1578"/>
        <v>0.78999999999999992</v>
      </c>
      <c r="BM136" s="48">
        <f t="shared" si="1578"/>
        <v>0.76999999999999991</v>
      </c>
      <c r="BN136" s="48">
        <f t="shared" si="1578"/>
        <v>0.74999999999999989</v>
      </c>
      <c r="BO136" s="48">
        <f t="shared" si="1578"/>
        <v>0.72999999999999987</v>
      </c>
      <c r="BP136" s="48">
        <f t="shared" si="1578"/>
        <v>0.70999999999999985</v>
      </c>
      <c r="BQ136" s="48">
        <f t="shared" si="1578"/>
        <v>0.68999999999999984</v>
      </c>
      <c r="BR136" s="48">
        <f t="shared" si="1578"/>
        <v>0.66999999999999982</v>
      </c>
      <c r="BS136" s="48">
        <f t="shared" si="1578"/>
        <v>0.6499999999999998</v>
      </c>
      <c r="BT136" s="48">
        <f t="shared" si="1578"/>
        <v>0.62999999999999978</v>
      </c>
      <c r="BU136" s="48">
        <f t="shared" si="1578"/>
        <v>0.60999999999999976</v>
      </c>
      <c r="BV136" s="48">
        <f t="shared" si="1578"/>
        <v>0.58999999999999975</v>
      </c>
      <c r="BW136" s="48">
        <f t="shared" si="1578"/>
        <v>0.56999999999999973</v>
      </c>
      <c r="BY136" s="48">
        <f t="shared" si="952"/>
        <v>0</v>
      </c>
      <c r="BZ136" s="48">
        <f t="shared" si="953"/>
        <v>0</v>
      </c>
      <c r="CA136" s="51">
        <f t="shared" ref="CA136" si="1579">+BZ136*3.3058</f>
        <v>0</v>
      </c>
      <c r="CB136" s="48">
        <f t="shared" si="1466"/>
        <v>0</v>
      </c>
      <c r="CC136" s="51">
        <f t="shared" si="1467"/>
        <v>0</v>
      </c>
      <c r="CD136" s="48">
        <f t="shared" si="1468"/>
        <v>0</v>
      </c>
      <c r="CE136" s="51">
        <f t="shared" si="1469"/>
        <v>0</v>
      </c>
      <c r="CF136" s="48">
        <f t="shared" si="1470"/>
        <v>0</v>
      </c>
      <c r="CG136" s="51">
        <f t="shared" si="1471"/>
        <v>0</v>
      </c>
      <c r="CH136" s="52">
        <f t="shared" si="1472"/>
        <v>0</v>
      </c>
      <c r="CI136" s="51">
        <f t="shared" si="1473"/>
        <v>0</v>
      </c>
      <c r="CJ136" s="48">
        <f t="shared" si="1474"/>
        <v>0</v>
      </c>
      <c r="CK136" s="51">
        <f t="shared" si="1475"/>
        <v>0</v>
      </c>
      <c r="CL136" s="52">
        <f t="shared" si="1476"/>
        <v>0</v>
      </c>
      <c r="CM136" s="51">
        <f t="shared" si="1477"/>
        <v>0</v>
      </c>
      <c r="CN136" s="53">
        <f t="shared" si="1478"/>
        <v>0</v>
      </c>
      <c r="CO136" s="51">
        <f t="shared" si="1479"/>
        <v>0</v>
      </c>
      <c r="CP136" s="52">
        <f t="shared" si="1480"/>
        <v>0</v>
      </c>
      <c r="CQ136" s="51">
        <f t="shared" si="1481"/>
        <v>0</v>
      </c>
      <c r="CR136" s="48">
        <f t="shared" si="1482"/>
        <v>0</v>
      </c>
      <c r="CS136" s="51">
        <f t="shared" si="1483"/>
        <v>0</v>
      </c>
      <c r="CT136" s="53">
        <f t="shared" si="1484"/>
        <v>0</v>
      </c>
      <c r="CU136" s="51">
        <f t="shared" si="1485"/>
        <v>0</v>
      </c>
      <c r="CV136" s="53">
        <f t="shared" si="1486"/>
        <v>0</v>
      </c>
      <c r="CW136" s="51">
        <f t="shared" si="1487"/>
        <v>0</v>
      </c>
      <c r="CX136" s="53">
        <f t="shared" si="1488"/>
        <v>0</v>
      </c>
      <c r="CY136" s="51">
        <f t="shared" si="1489"/>
        <v>0</v>
      </c>
      <c r="CZ136" s="48">
        <f t="shared" si="1490"/>
        <v>0</v>
      </c>
      <c r="DA136" s="51">
        <f t="shared" si="1491"/>
        <v>0</v>
      </c>
      <c r="DB136" s="53">
        <f t="shared" si="1492"/>
        <v>0</v>
      </c>
      <c r="DC136" s="51">
        <f t="shared" si="1493"/>
        <v>0</v>
      </c>
      <c r="DD136" s="53">
        <f t="shared" si="1494"/>
        <v>0</v>
      </c>
      <c r="DE136" s="51">
        <f t="shared" si="1495"/>
        <v>0</v>
      </c>
      <c r="DF136" s="53">
        <f t="shared" si="1496"/>
        <v>0</v>
      </c>
      <c r="DG136" s="51">
        <f t="shared" si="1497"/>
        <v>0</v>
      </c>
      <c r="DH136" s="53">
        <f t="shared" si="1498"/>
        <v>0</v>
      </c>
      <c r="DI136" s="51">
        <f t="shared" si="1499"/>
        <v>0</v>
      </c>
      <c r="DJ136" s="48">
        <f t="shared" si="1500"/>
        <v>0</v>
      </c>
      <c r="DK136" s="51">
        <f t="shared" si="1501"/>
        <v>0</v>
      </c>
      <c r="DL136" s="53">
        <f t="shared" si="1502"/>
        <v>0</v>
      </c>
      <c r="DM136" s="51">
        <f t="shared" si="1503"/>
        <v>0</v>
      </c>
      <c r="DN136" s="53">
        <f t="shared" si="1504"/>
        <v>0</v>
      </c>
      <c r="DO136" s="51">
        <f t="shared" si="1505"/>
        <v>0</v>
      </c>
      <c r="DP136" s="48">
        <f t="shared" si="1506"/>
        <v>0</v>
      </c>
      <c r="DQ136" s="51">
        <f t="shared" si="1507"/>
        <v>0</v>
      </c>
      <c r="DT136" s="48">
        <v>1</v>
      </c>
      <c r="DU136" s="48">
        <v>0.97</v>
      </c>
      <c r="DV136" s="48">
        <v>0.95</v>
      </c>
      <c r="DW136" s="48">
        <v>0.93</v>
      </c>
      <c r="DX136" s="48">
        <f t="shared" ref="DX136:EO136" si="1580">+DW136-0.02</f>
        <v>0.91</v>
      </c>
      <c r="DY136" s="48">
        <f t="shared" si="1580"/>
        <v>0.89</v>
      </c>
      <c r="DZ136" s="48">
        <f t="shared" si="1580"/>
        <v>0.87</v>
      </c>
      <c r="EA136" s="48">
        <f t="shared" si="1580"/>
        <v>0.85</v>
      </c>
      <c r="EB136" s="48">
        <f t="shared" si="1580"/>
        <v>0.83</v>
      </c>
      <c r="EC136" s="48">
        <f t="shared" si="1580"/>
        <v>0.80999999999999994</v>
      </c>
      <c r="ED136" s="48">
        <f t="shared" si="1580"/>
        <v>0.78999999999999992</v>
      </c>
      <c r="EE136" s="48">
        <f t="shared" si="1580"/>
        <v>0.76999999999999991</v>
      </c>
      <c r="EF136" s="48">
        <f t="shared" si="1580"/>
        <v>0.74999999999999989</v>
      </c>
      <c r="EG136" s="48">
        <f t="shared" si="1580"/>
        <v>0.72999999999999987</v>
      </c>
      <c r="EH136" s="48">
        <f t="shared" si="1580"/>
        <v>0.70999999999999985</v>
      </c>
      <c r="EI136" s="48">
        <f t="shared" si="1580"/>
        <v>0.68999999999999984</v>
      </c>
      <c r="EJ136" s="48">
        <f t="shared" si="1580"/>
        <v>0.66999999999999982</v>
      </c>
      <c r="EK136" s="48">
        <f t="shared" si="1580"/>
        <v>0.6499999999999998</v>
      </c>
      <c r="EL136" s="48">
        <f t="shared" si="1580"/>
        <v>0.62999999999999978</v>
      </c>
      <c r="EM136" s="48">
        <f t="shared" si="1580"/>
        <v>0.60999999999999976</v>
      </c>
      <c r="EN136" s="48">
        <f t="shared" si="1580"/>
        <v>0.58999999999999975</v>
      </c>
      <c r="EO136" s="48">
        <f t="shared" si="1580"/>
        <v>0.56999999999999973</v>
      </c>
      <c r="EQ136" s="48">
        <f t="shared" si="1128"/>
        <v>0</v>
      </c>
      <c r="ER136" s="48">
        <f t="shared" si="956"/>
        <v>0</v>
      </c>
      <c r="ES136" s="51">
        <f t="shared" ref="ES136" si="1581">+ER136*3.3058</f>
        <v>0</v>
      </c>
      <c r="ET136" s="48">
        <f t="shared" si="1510"/>
        <v>0</v>
      </c>
      <c r="EU136" s="51">
        <f t="shared" si="1511"/>
        <v>0</v>
      </c>
      <c r="EV136" s="48">
        <f t="shared" si="1512"/>
        <v>0</v>
      </c>
      <c r="EW136" s="51">
        <f t="shared" si="1513"/>
        <v>0</v>
      </c>
      <c r="EX136" s="48">
        <f t="shared" si="1514"/>
        <v>0</v>
      </c>
      <c r="EY136" s="51">
        <f t="shared" si="1515"/>
        <v>0</v>
      </c>
      <c r="EZ136" s="52">
        <f t="shared" si="1516"/>
        <v>0</v>
      </c>
      <c r="FA136" s="51">
        <f t="shared" si="1517"/>
        <v>0</v>
      </c>
      <c r="FB136" s="48">
        <f t="shared" si="1518"/>
        <v>0</v>
      </c>
      <c r="FC136" s="51">
        <f t="shared" si="1519"/>
        <v>0</v>
      </c>
      <c r="FD136" s="52">
        <f t="shared" si="1520"/>
        <v>0</v>
      </c>
      <c r="FE136" s="51">
        <f t="shared" si="1521"/>
        <v>0</v>
      </c>
      <c r="FF136" s="53">
        <f t="shared" si="1522"/>
        <v>0</v>
      </c>
      <c r="FG136" s="51">
        <f t="shared" si="1523"/>
        <v>0</v>
      </c>
      <c r="FH136" s="52">
        <f t="shared" si="1524"/>
        <v>0</v>
      </c>
      <c r="FI136" s="51">
        <f t="shared" si="1525"/>
        <v>0</v>
      </c>
      <c r="FJ136" s="48">
        <f t="shared" si="1526"/>
        <v>0</v>
      </c>
      <c r="FK136" s="51">
        <f t="shared" si="1527"/>
        <v>0</v>
      </c>
      <c r="FL136" s="53">
        <f t="shared" si="1528"/>
        <v>0</v>
      </c>
      <c r="FM136" s="51">
        <f t="shared" si="1529"/>
        <v>0</v>
      </c>
      <c r="FN136" s="53">
        <f t="shared" si="1530"/>
        <v>0</v>
      </c>
      <c r="FO136" s="51">
        <f t="shared" si="1531"/>
        <v>0</v>
      </c>
      <c r="FP136" s="53">
        <f t="shared" si="1532"/>
        <v>0</v>
      </c>
      <c r="FQ136" s="51">
        <f t="shared" si="1533"/>
        <v>0</v>
      </c>
      <c r="FR136" s="48">
        <f t="shared" si="1534"/>
        <v>0</v>
      </c>
      <c r="FS136" s="51">
        <f t="shared" si="1535"/>
        <v>0</v>
      </c>
      <c r="FT136" s="53">
        <f t="shared" si="1536"/>
        <v>0</v>
      </c>
      <c r="FU136" s="51">
        <f t="shared" si="1537"/>
        <v>0</v>
      </c>
      <c r="FV136" s="53">
        <f t="shared" si="1538"/>
        <v>0</v>
      </c>
      <c r="FW136" s="51">
        <f t="shared" si="1539"/>
        <v>0</v>
      </c>
      <c r="FX136" s="53">
        <f t="shared" si="1540"/>
        <v>0</v>
      </c>
      <c r="FY136" s="51">
        <f t="shared" si="1541"/>
        <v>0</v>
      </c>
      <c r="FZ136" s="53">
        <f t="shared" si="1542"/>
        <v>0</v>
      </c>
      <c r="GA136" s="51">
        <f t="shared" si="1543"/>
        <v>0</v>
      </c>
      <c r="GB136" s="48">
        <f t="shared" si="1544"/>
        <v>0</v>
      </c>
      <c r="GC136" s="51">
        <f t="shared" si="1545"/>
        <v>0</v>
      </c>
      <c r="GD136" s="53">
        <f t="shared" si="1546"/>
        <v>0</v>
      </c>
      <c r="GE136" s="51">
        <f t="shared" si="1547"/>
        <v>0</v>
      </c>
      <c r="GF136" s="53">
        <f t="shared" si="1548"/>
        <v>0</v>
      </c>
      <c r="GG136" s="51">
        <f t="shared" si="1549"/>
        <v>0</v>
      </c>
      <c r="GH136" s="48">
        <f t="shared" si="1550"/>
        <v>0</v>
      </c>
      <c r="GI136" s="51">
        <f t="shared" si="1551"/>
        <v>0</v>
      </c>
      <c r="GJ136" s="48"/>
      <c r="GK136" s="48"/>
      <c r="GL136" s="48">
        <v>1</v>
      </c>
      <c r="GM136" s="48">
        <v>0.97</v>
      </c>
      <c r="GN136" s="48">
        <v>0.95</v>
      </c>
      <c r="GO136" s="48">
        <v>0.93</v>
      </c>
      <c r="GP136" s="48">
        <f t="shared" ref="GP136:HG136" si="1582">+GO136-0.02</f>
        <v>0.91</v>
      </c>
      <c r="GQ136" s="48">
        <f t="shared" si="1582"/>
        <v>0.89</v>
      </c>
      <c r="GR136" s="48">
        <f t="shared" si="1582"/>
        <v>0.87</v>
      </c>
      <c r="GS136" s="48">
        <f t="shared" si="1582"/>
        <v>0.85</v>
      </c>
      <c r="GT136" s="48">
        <f t="shared" si="1582"/>
        <v>0.83</v>
      </c>
      <c r="GU136" s="48">
        <f t="shared" si="1582"/>
        <v>0.80999999999999994</v>
      </c>
      <c r="GV136" s="48">
        <f t="shared" si="1582"/>
        <v>0.78999999999999992</v>
      </c>
      <c r="GW136" s="48">
        <f t="shared" si="1582"/>
        <v>0.76999999999999991</v>
      </c>
      <c r="GX136" s="48">
        <f t="shared" si="1582"/>
        <v>0.74999999999999989</v>
      </c>
      <c r="GY136" s="48">
        <f t="shared" si="1582"/>
        <v>0.72999999999999987</v>
      </c>
      <c r="GZ136" s="48">
        <f t="shared" si="1582"/>
        <v>0.70999999999999985</v>
      </c>
      <c r="HA136" s="48">
        <f t="shared" si="1582"/>
        <v>0.68999999999999984</v>
      </c>
      <c r="HB136" s="48">
        <f t="shared" si="1582"/>
        <v>0.66999999999999982</v>
      </c>
      <c r="HC136" s="48">
        <f t="shared" si="1582"/>
        <v>0.6499999999999998</v>
      </c>
      <c r="HD136" s="48">
        <f t="shared" si="1582"/>
        <v>0.62999999999999978</v>
      </c>
      <c r="HE136" s="48">
        <f t="shared" si="1582"/>
        <v>0.60999999999999976</v>
      </c>
      <c r="HF136" s="48">
        <f t="shared" si="1582"/>
        <v>0.58999999999999975</v>
      </c>
      <c r="HG136" s="48">
        <f t="shared" si="1582"/>
        <v>0.56999999999999973</v>
      </c>
    </row>
    <row r="137" spans="1:215" x14ac:dyDescent="0.3">
      <c r="A137" s="2">
        <v>8</v>
      </c>
      <c r="C137" s="39" t="s">
        <v>195</v>
      </c>
      <c r="D137" s="44">
        <v>0</v>
      </c>
      <c r="E137" s="73">
        <f t="shared" si="1421"/>
        <v>0</v>
      </c>
      <c r="G137" s="48">
        <f t="shared" si="948"/>
        <v>0</v>
      </c>
      <c r="H137" s="48">
        <f t="shared" si="949"/>
        <v>0</v>
      </c>
      <c r="I137" s="51">
        <f t="shared" si="950"/>
        <v>0</v>
      </c>
      <c r="J137" s="48">
        <f t="shared" si="1422"/>
        <v>0</v>
      </c>
      <c r="K137" s="51">
        <f t="shared" si="1423"/>
        <v>0</v>
      </c>
      <c r="L137" s="48">
        <f t="shared" si="1424"/>
        <v>0</v>
      </c>
      <c r="M137" s="51">
        <f t="shared" si="1425"/>
        <v>0</v>
      </c>
      <c r="N137" s="48">
        <f t="shared" si="1426"/>
        <v>0</v>
      </c>
      <c r="O137" s="51">
        <f t="shared" si="1427"/>
        <v>0</v>
      </c>
      <c r="P137" s="52">
        <f t="shared" si="1428"/>
        <v>0</v>
      </c>
      <c r="Q137" s="51">
        <f t="shared" si="1429"/>
        <v>0</v>
      </c>
      <c r="R137" s="48">
        <f t="shared" si="1430"/>
        <v>0</v>
      </c>
      <c r="S137" s="51">
        <f t="shared" si="1431"/>
        <v>0</v>
      </c>
      <c r="T137" s="52">
        <f t="shared" si="1432"/>
        <v>0</v>
      </c>
      <c r="U137" s="51">
        <f t="shared" si="1433"/>
        <v>0</v>
      </c>
      <c r="V137" s="53">
        <f t="shared" si="1434"/>
        <v>0</v>
      </c>
      <c r="W137" s="51">
        <f t="shared" si="1435"/>
        <v>0</v>
      </c>
      <c r="X137" s="52">
        <f t="shared" si="1436"/>
        <v>0</v>
      </c>
      <c r="Y137" s="51">
        <f t="shared" si="1437"/>
        <v>0</v>
      </c>
      <c r="Z137" s="48">
        <f t="shared" si="1438"/>
        <v>0</v>
      </c>
      <c r="AA137" s="51">
        <f t="shared" si="1439"/>
        <v>0</v>
      </c>
      <c r="AB137" s="53">
        <f t="shared" si="1440"/>
        <v>0</v>
      </c>
      <c r="AC137" s="51">
        <f t="shared" si="1441"/>
        <v>0</v>
      </c>
      <c r="AD137" s="53">
        <f t="shared" si="1442"/>
        <v>0</v>
      </c>
      <c r="AE137" s="51">
        <f t="shared" si="1443"/>
        <v>0</v>
      </c>
      <c r="AF137" s="53">
        <f t="shared" si="1444"/>
        <v>0</v>
      </c>
      <c r="AG137" s="51">
        <f t="shared" si="1445"/>
        <v>0</v>
      </c>
      <c r="AH137" s="48">
        <f t="shared" si="1446"/>
        <v>0</v>
      </c>
      <c r="AI137" s="51">
        <f t="shared" si="1447"/>
        <v>0</v>
      </c>
      <c r="AJ137" s="53">
        <f t="shared" si="1448"/>
        <v>0</v>
      </c>
      <c r="AK137" s="51">
        <f t="shared" si="1449"/>
        <v>0</v>
      </c>
      <c r="AL137" s="53">
        <f t="shared" si="1450"/>
        <v>0</v>
      </c>
      <c r="AM137" s="51">
        <f t="shared" si="1451"/>
        <v>0</v>
      </c>
      <c r="AN137" s="53">
        <f t="shared" si="1452"/>
        <v>0</v>
      </c>
      <c r="AO137" s="51">
        <f t="shared" si="1453"/>
        <v>0</v>
      </c>
      <c r="AP137" s="53">
        <f t="shared" si="1454"/>
        <v>0</v>
      </c>
      <c r="AQ137" s="51">
        <f t="shared" si="1455"/>
        <v>0</v>
      </c>
      <c r="AR137" s="48">
        <f t="shared" si="1456"/>
        <v>0</v>
      </c>
      <c r="AS137" s="51">
        <f t="shared" si="1457"/>
        <v>0</v>
      </c>
      <c r="AT137" s="53">
        <f t="shared" si="1458"/>
        <v>0</v>
      </c>
      <c r="AU137" s="51">
        <f t="shared" si="1459"/>
        <v>0</v>
      </c>
      <c r="AV137" s="53">
        <f t="shared" si="1460"/>
        <v>0</v>
      </c>
      <c r="AW137" s="51">
        <f t="shared" si="1461"/>
        <v>0</v>
      </c>
      <c r="AX137" s="48">
        <f t="shared" si="1462"/>
        <v>0</v>
      </c>
      <c r="AY137" s="51">
        <f t="shared" si="1463"/>
        <v>0</v>
      </c>
      <c r="BB137" s="48">
        <v>1</v>
      </c>
      <c r="BC137" s="48">
        <v>0.97</v>
      </c>
      <c r="BD137" s="48">
        <v>0.95</v>
      </c>
      <c r="BE137" s="48">
        <v>0.93</v>
      </c>
      <c r="BF137" s="48">
        <f t="shared" ref="BF137:BW137" si="1583">+BE137-0.02</f>
        <v>0.91</v>
      </c>
      <c r="BG137" s="48">
        <f t="shared" si="1583"/>
        <v>0.89</v>
      </c>
      <c r="BH137" s="48">
        <f t="shared" si="1583"/>
        <v>0.87</v>
      </c>
      <c r="BI137" s="48">
        <f t="shared" si="1583"/>
        <v>0.85</v>
      </c>
      <c r="BJ137" s="48">
        <f t="shared" si="1583"/>
        <v>0.83</v>
      </c>
      <c r="BK137" s="48">
        <f t="shared" si="1583"/>
        <v>0.80999999999999994</v>
      </c>
      <c r="BL137" s="48">
        <f t="shared" si="1583"/>
        <v>0.78999999999999992</v>
      </c>
      <c r="BM137" s="48">
        <f t="shared" si="1583"/>
        <v>0.76999999999999991</v>
      </c>
      <c r="BN137" s="48">
        <f t="shared" si="1583"/>
        <v>0.74999999999999989</v>
      </c>
      <c r="BO137" s="48">
        <f t="shared" si="1583"/>
        <v>0.72999999999999987</v>
      </c>
      <c r="BP137" s="48">
        <f t="shared" si="1583"/>
        <v>0.70999999999999985</v>
      </c>
      <c r="BQ137" s="48">
        <f t="shared" si="1583"/>
        <v>0.68999999999999984</v>
      </c>
      <c r="BR137" s="48">
        <f t="shared" si="1583"/>
        <v>0.66999999999999982</v>
      </c>
      <c r="BS137" s="48">
        <f t="shared" si="1583"/>
        <v>0.6499999999999998</v>
      </c>
      <c r="BT137" s="48">
        <f t="shared" si="1583"/>
        <v>0.62999999999999978</v>
      </c>
      <c r="BU137" s="48">
        <f t="shared" si="1583"/>
        <v>0.60999999999999976</v>
      </c>
      <c r="BV137" s="48">
        <f t="shared" si="1583"/>
        <v>0.58999999999999975</v>
      </c>
      <c r="BW137" s="48">
        <f t="shared" si="1583"/>
        <v>0.56999999999999973</v>
      </c>
      <c r="BY137" s="48">
        <f t="shared" si="952"/>
        <v>0</v>
      </c>
      <c r="BZ137" s="48">
        <f t="shared" si="953"/>
        <v>0</v>
      </c>
      <c r="CA137" s="51">
        <f t="shared" ref="CA137" si="1584">+BZ137*3.3058</f>
        <v>0</v>
      </c>
      <c r="CB137" s="48">
        <f t="shared" si="1466"/>
        <v>0</v>
      </c>
      <c r="CC137" s="51">
        <f t="shared" si="1467"/>
        <v>0</v>
      </c>
      <c r="CD137" s="48">
        <f t="shared" si="1468"/>
        <v>0</v>
      </c>
      <c r="CE137" s="51">
        <f t="shared" si="1469"/>
        <v>0</v>
      </c>
      <c r="CF137" s="48">
        <f t="shared" si="1470"/>
        <v>0</v>
      </c>
      <c r="CG137" s="51">
        <f t="shared" si="1471"/>
        <v>0</v>
      </c>
      <c r="CH137" s="52">
        <f t="shared" si="1472"/>
        <v>0</v>
      </c>
      <c r="CI137" s="51">
        <f t="shared" si="1473"/>
        <v>0</v>
      </c>
      <c r="CJ137" s="48">
        <f t="shared" si="1474"/>
        <v>0</v>
      </c>
      <c r="CK137" s="51">
        <f t="shared" si="1475"/>
        <v>0</v>
      </c>
      <c r="CL137" s="52">
        <f t="shared" si="1476"/>
        <v>0</v>
      </c>
      <c r="CM137" s="51">
        <f t="shared" si="1477"/>
        <v>0</v>
      </c>
      <c r="CN137" s="53">
        <f t="shared" si="1478"/>
        <v>0</v>
      </c>
      <c r="CO137" s="51">
        <f t="shared" si="1479"/>
        <v>0</v>
      </c>
      <c r="CP137" s="52">
        <f t="shared" si="1480"/>
        <v>0</v>
      </c>
      <c r="CQ137" s="51">
        <f t="shared" si="1481"/>
        <v>0</v>
      </c>
      <c r="CR137" s="48">
        <f t="shared" si="1482"/>
        <v>0</v>
      </c>
      <c r="CS137" s="51">
        <f t="shared" si="1483"/>
        <v>0</v>
      </c>
      <c r="CT137" s="53">
        <f t="shared" si="1484"/>
        <v>0</v>
      </c>
      <c r="CU137" s="51">
        <f t="shared" si="1485"/>
        <v>0</v>
      </c>
      <c r="CV137" s="53">
        <f t="shared" si="1486"/>
        <v>0</v>
      </c>
      <c r="CW137" s="51">
        <f t="shared" si="1487"/>
        <v>0</v>
      </c>
      <c r="CX137" s="53">
        <f t="shared" si="1488"/>
        <v>0</v>
      </c>
      <c r="CY137" s="51">
        <f t="shared" si="1489"/>
        <v>0</v>
      </c>
      <c r="CZ137" s="48">
        <f t="shared" si="1490"/>
        <v>0</v>
      </c>
      <c r="DA137" s="51">
        <f t="shared" si="1491"/>
        <v>0</v>
      </c>
      <c r="DB137" s="53">
        <f t="shared" si="1492"/>
        <v>0</v>
      </c>
      <c r="DC137" s="51">
        <f t="shared" si="1493"/>
        <v>0</v>
      </c>
      <c r="DD137" s="53">
        <f t="shared" si="1494"/>
        <v>0</v>
      </c>
      <c r="DE137" s="51">
        <f t="shared" si="1495"/>
        <v>0</v>
      </c>
      <c r="DF137" s="53">
        <f t="shared" si="1496"/>
        <v>0</v>
      </c>
      <c r="DG137" s="51">
        <f t="shared" si="1497"/>
        <v>0</v>
      </c>
      <c r="DH137" s="53">
        <f t="shared" si="1498"/>
        <v>0</v>
      </c>
      <c r="DI137" s="51">
        <f t="shared" si="1499"/>
        <v>0</v>
      </c>
      <c r="DJ137" s="48">
        <f t="shared" si="1500"/>
        <v>0</v>
      </c>
      <c r="DK137" s="51">
        <f t="shared" si="1501"/>
        <v>0</v>
      </c>
      <c r="DL137" s="53">
        <f t="shared" si="1502"/>
        <v>0</v>
      </c>
      <c r="DM137" s="51">
        <f t="shared" si="1503"/>
        <v>0</v>
      </c>
      <c r="DN137" s="53">
        <f t="shared" si="1504"/>
        <v>0</v>
      </c>
      <c r="DO137" s="51">
        <f t="shared" si="1505"/>
        <v>0</v>
      </c>
      <c r="DP137" s="48">
        <f t="shared" si="1506"/>
        <v>0</v>
      </c>
      <c r="DQ137" s="51">
        <f t="shared" si="1507"/>
        <v>0</v>
      </c>
      <c r="DT137" s="48">
        <v>1</v>
      </c>
      <c r="DU137" s="48">
        <v>0.97</v>
      </c>
      <c r="DV137" s="48">
        <v>0.95</v>
      </c>
      <c r="DW137" s="48">
        <v>0.93</v>
      </c>
      <c r="DX137" s="48">
        <f t="shared" ref="DX137:EO137" si="1585">+DW137-0.02</f>
        <v>0.91</v>
      </c>
      <c r="DY137" s="48">
        <f t="shared" si="1585"/>
        <v>0.89</v>
      </c>
      <c r="DZ137" s="48">
        <f t="shared" si="1585"/>
        <v>0.87</v>
      </c>
      <c r="EA137" s="48">
        <f t="shared" si="1585"/>
        <v>0.85</v>
      </c>
      <c r="EB137" s="48">
        <f t="shared" si="1585"/>
        <v>0.83</v>
      </c>
      <c r="EC137" s="48">
        <f t="shared" si="1585"/>
        <v>0.80999999999999994</v>
      </c>
      <c r="ED137" s="48">
        <f t="shared" si="1585"/>
        <v>0.78999999999999992</v>
      </c>
      <c r="EE137" s="48">
        <f t="shared" si="1585"/>
        <v>0.76999999999999991</v>
      </c>
      <c r="EF137" s="48">
        <f t="shared" si="1585"/>
        <v>0.74999999999999989</v>
      </c>
      <c r="EG137" s="48">
        <f t="shared" si="1585"/>
        <v>0.72999999999999987</v>
      </c>
      <c r="EH137" s="48">
        <f t="shared" si="1585"/>
        <v>0.70999999999999985</v>
      </c>
      <c r="EI137" s="48">
        <f t="shared" si="1585"/>
        <v>0.68999999999999984</v>
      </c>
      <c r="EJ137" s="48">
        <f t="shared" si="1585"/>
        <v>0.66999999999999982</v>
      </c>
      <c r="EK137" s="48">
        <f t="shared" si="1585"/>
        <v>0.6499999999999998</v>
      </c>
      <c r="EL137" s="48">
        <f t="shared" si="1585"/>
        <v>0.62999999999999978</v>
      </c>
      <c r="EM137" s="48">
        <f t="shared" si="1585"/>
        <v>0.60999999999999976</v>
      </c>
      <c r="EN137" s="48">
        <f t="shared" si="1585"/>
        <v>0.58999999999999975</v>
      </c>
      <c r="EO137" s="48">
        <f t="shared" si="1585"/>
        <v>0.56999999999999973</v>
      </c>
      <c r="EQ137" s="48">
        <f t="shared" si="1128"/>
        <v>0</v>
      </c>
      <c r="ER137" s="48">
        <f t="shared" si="956"/>
        <v>0</v>
      </c>
      <c r="ES137" s="51">
        <f t="shared" ref="ES137" si="1586">+ER137*3.3058</f>
        <v>0</v>
      </c>
      <c r="ET137" s="48">
        <f t="shared" si="1510"/>
        <v>0</v>
      </c>
      <c r="EU137" s="51">
        <f t="shared" si="1511"/>
        <v>0</v>
      </c>
      <c r="EV137" s="48">
        <f t="shared" si="1512"/>
        <v>0</v>
      </c>
      <c r="EW137" s="51">
        <f t="shared" si="1513"/>
        <v>0</v>
      </c>
      <c r="EX137" s="48">
        <f t="shared" si="1514"/>
        <v>0</v>
      </c>
      <c r="EY137" s="51">
        <f t="shared" si="1515"/>
        <v>0</v>
      </c>
      <c r="EZ137" s="52">
        <f t="shared" si="1516"/>
        <v>0</v>
      </c>
      <c r="FA137" s="51">
        <f t="shared" si="1517"/>
        <v>0</v>
      </c>
      <c r="FB137" s="48">
        <f t="shared" si="1518"/>
        <v>0</v>
      </c>
      <c r="FC137" s="51">
        <f t="shared" si="1519"/>
        <v>0</v>
      </c>
      <c r="FD137" s="52">
        <f t="shared" si="1520"/>
        <v>0</v>
      </c>
      <c r="FE137" s="51">
        <f t="shared" si="1521"/>
        <v>0</v>
      </c>
      <c r="FF137" s="53">
        <f t="shared" si="1522"/>
        <v>0</v>
      </c>
      <c r="FG137" s="51">
        <f t="shared" si="1523"/>
        <v>0</v>
      </c>
      <c r="FH137" s="52">
        <f t="shared" si="1524"/>
        <v>0</v>
      </c>
      <c r="FI137" s="51">
        <f t="shared" si="1525"/>
        <v>0</v>
      </c>
      <c r="FJ137" s="48">
        <f t="shared" si="1526"/>
        <v>0</v>
      </c>
      <c r="FK137" s="51">
        <f t="shared" si="1527"/>
        <v>0</v>
      </c>
      <c r="FL137" s="53">
        <f t="shared" si="1528"/>
        <v>0</v>
      </c>
      <c r="FM137" s="51">
        <f t="shared" si="1529"/>
        <v>0</v>
      </c>
      <c r="FN137" s="53">
        <f t="shared" si="1530"/>
        <v>0</v>
      </c>
      <c r="FO137" s="51">
        <f t="shared" si="1531"/>
        <v>0</v>
      </c>
      <c r="FP137" s="53">
        <f t="shared" si="1532"/>
        <v>0</v>
      </c>
      <c r="FQ137" s="51">
        <f t="shared" si="1533"/>
        <v>0</v>
      </c>
      <c r="FR137" s="48">
        <f t="shared" si="1534"/>
        <v>0</v>
      </c>
      <c r="FS137" s="51">
        <f t="shared" si="1535"/>
        <v>0</v>
      </c>
      <c r="FT137" s="53">
        <f t="shared" si="1536"/>
        <v>0</v>
      </c>
      <c r="FU137" s="51">
        <f t="shared" si="1537"/>
        <v>0</v>
      </c>
      <c r="FV137" s="53">
        <f t="shared" si="1538"/>
        <v>0</v>
      </c>
      <c r="FW137" s="51">
        <f t="shared" si="1539"/>
        <v>0</v>
      </c>
      <c r="FX137" s="53">
        <f t="shared" si="1540"/>
        <v>0</v>
      </c>
      <c r="FY137" s="51">
        <f t="shared" si="1541"/>
        <v>0</v>
      </c>
      <c r="FZ137" s="53">
        <f t="shared" si="1542"/>
        <v>0</v>
      </c>
      <c r="GA137" s="51">
        <f t="shared" si="1543"/>
        <v>0</v>
      </c>
      <c r="GB137" s="48">
        <f t="shared" si="1544"/>
        <v>0</v>
      </c>
      <c r="GC137" s="51">
        <f t="shared" si="1545"/>
        <v>0</v>
      </c>
      <c r="GD137" s="53">
        <f t="shared" si="1546"/>
        <v>0</v>
      </c>
      <c r="GE137" s="51">
        <f t="shared" si="1547"/>
        <v>0</v>
      </c>
      <c r="GF137" s="53">
        <f t="shared" si="1548"/>
        <v>0</v>
      </c>
      <c r="GG137" s="51">
        <f t="shared" si="1549"/>
        <v>0</v>
      </c>
      <c r="GH137" s="48">
        <f t="shared" si="1550"/>
        <v>0</v>
      </c>
      <c r="GI137" s="51">
        <f t="shared" si="1551"/>
        <v>0</v>
      </c>
      <c r="GJ137" s="48"/>
      <c r="GK137" s="48"/>
      <c r="GL137" s="48">
        <v>1</v>
      </c>
      <c r="GM137" s="48">
        <v>0.97</v>
      </c>
      <c r="GN137" s="48">
        <v>0.95</v>
      </c>
      <c r="GO137" s="48">
        <v>0.93</v>
      </c>
      <c r="GP137" s="48">
        <f t="shared" ref="GP137:HG137" si="1587">+GO137-0.02</f>
        <v>0.91</v>
      </c>
      <c r="GQ137" s="48">
        <f t="shared" si="1587"/>
        <v>0.89</v>
      </c>
      <c r="GR137" s="48">
        <f t="shared" si="1587"/>
        <v>0.87</v>
      </c>
      <c r="GS137" s="48">
        <f t="shared" si="1587"/>
        <v>0.85</v>
      </c>
      <c r="GT137" s="48">
        <f t="shared" si="1587"/>
        <v>0.83</v>
      </c>
      <c r="GU137" s="48">
        <f t="shared" si="1587"/>
        <v>0.80999999999999994</v>
      </c>
      <c r="GV137" s="48">
        <f t="shared" si="1587"/>
        <v>0.78999999999999992</v>
      </c>
      <c r="GW137" s="48">
        <f t="shared" si="1587"/>
        <v>0.76999999999999991</v>
      </c>
      <c r="GX137" s="48">
        <f t="shared" si="1587"/>
        <v>0.74999999999999989</v>
      </c>
      <c r="GY137" s="48">
        <f t="shared" si="1587"/>
        <v>0.72999999999999987</v>
      </c>
      <c r="GZ137" s="48">
        <f t="shared" si="1587"/>
        <v>0.70999999999999985</v>
      </c>
      <c r="HA137" s="48">
        <f t="shared" si="1587"/>
        <v>0.68999999999999984</v>
      </c>
      <c r="HB137" s="48">
        <f t="shared" si="1587"/>
        <v>0.66999999999999982</v>
      </c>
      <c r="HC137" s="48">
        <f t="shared" si="1587"/>
        <v>0.6499999999999998</v>
      </c>
      <c r="HD137" s="48">
        <f t="shared" si="1587"/>
        <v>0.62999999999999978</v>
      </c>
      <c r="HE137" s="48">
        <f t="shared" si="1587"/>
        <v>0.60999999999999976</v>
      </c>
      <c r="HF137" s="48">
        <f t="shared" si="1587"/>
        <v>0.58999999999999975</v>
      </c>
      <c r="HG137" s="48">
        <f t="shared" si="1587"/>
        <v>0.56999999999999973</v>
      </c>
    </row>
    <row r="138" spans="1:215" x14ac:dyDescent="0.3">
      <c r="A138" s="2">
        <v>9</v>
      </c>
      <c r="C138" s="39" t="s">
        <v>196</v>
      </c>
      <c r="D138" s="44">
        <v>0</v>
      </c>
      <c r="E138" s="73">
        <f t="shared" si="1421"/>
        <v>0</v>
      </c>
      <c r="G138" s="48">
        <f t="shared" si="948"/>
        <v>0</v>
      </c>
      <c r="H138" s="48">
        <f t="shared" si="949"/>
        <v>0</v>
      </c>
      <c r="I138" s="51">
        <f t="shared" si="950"/>
        <v>0</v>
      </c>
      <c r="J138" s="48">
        <f t="shared" si="1422"/>
        <v>0</v>
      </c>
      <c r="K138" s="51">
        <f t="shared" si="1423"/>
        <v>0</v>
      </c>
      <c r="L138" s="48">
        <f t="shared" si="1424"/>
        <v>0</v>
      </c>
      <c r="M138" s="51">
        <f t="shared" si="1425"/>
        <v>0</v>
      </c>
      <c r="N138" s="48">
        <f t="shared" si="1426"/>
        <v>0</v>
      </c>
      <c r="O138" s="51">
        <f t="shared" si="1427"/>
        <v>0</v>
      </c>
      <c r="P138" s="52">
        <f t="shared" si="1428"/>
        <v>0</v>
      </c>
      <c r="Q138" s="51">
        <f t="shared" si="1429"/>
        <v>0</v>
      </c>
      <c r="R138" s="48">
        <f t="shared" si="1430"/>
        <v>0</v>
      </c>
      <c r="S138" s="51">
        <f t="shared" si="1431"/>
        <v>0</v>
      </c>
      <c r="T138" s="52">
        <f t="shared" si="1432"/>
        <v>0</v>
      </c>
      <c r="U138" s="51">
        <f t="shared" si="1433"/>
        <v>0</v>
      </c>
      <c r="V138" s="53">
        <f t="shared" si="1434"/>
        <v>0</v>
      </c>
      <c r="W138" s="51">
        <f t="shared" si="1435"/>
        <v>0</v>
      </c>
      <c r="X138" s="52">
        <f t="shared" si="1436"/>
        <v>0</v>
      </c>
      <c r="Y138" s="51">
        <f t="shared" si="1437"/>
        <v>0</v>
      </c>
      <c r="Z138" s="48">
        <f t="shared" si="1438"/>
        <v>0</v>
      </c>
      <c r="AA138" s="51">
        <f t="shared" si="1439"/>
        <v>0</v>
      </c>
      <c r="AB138" s="53">
        <f t="shared" si="1440"/>
        <v>0</v>
      </c>
      <c r="AC138" s="51">
        <f t="shared" si="1441"/>
        <v>0</v>
      </c>
      <c r="AD138" s="53">
        <f t="shared" si="1442"/>
        <v>0</v>
      </c>
      <c r="AE138" s="51">
        <f t="shared" si="1443"/>
        <v>0</v>
      </c>
      <c r="AF138" s="53">
        <f t="shared" si="1444"/>
        <v>0</v>
      </c>
      <c r="AG138" s="51">
        <f t="shared" si="1445"/>
        <v>0</v>
      </c>
      <c r="AH138" s="48">
        <f t="shared" si="1446"/>
        <v>0</v>
      </c>
      <c r="AI138" s="51">
        <f t="shared" si="1447"/>
        <v>0</v>
      </c>
      <c r="AJ138" s="53">
        <f t="shared" si="1448"/>
        <v>0</v>
      </c>
      <c r="AK138" s="51">
        <f t="shared" si="1449"/>
        <v>0</v>
      </c>
      <c r="AL138" s="53">
        <f t="shared" si="1450"/>
        <v>0</v>
      </c>
      <c r="AM138" s="51">
        <f t="shared" si="1451"/>
        <v>0</v>
      </c>
      <c r="AN138" s="53">
        <f t="shared" si="1452"/>
        <v>0</v>
      </c>
      <c r="AO138" s="51">
        <f t="shared" si="1453"/>
        <v>0</v>
      </c>
      <c r="AP138" s="53">
        <f t="shared" si="1454"/>
        <v>0</v>
      </c>
      <c r="AQ138" s="51">
        <f t="shared" si="1455"/>
        <v>0</v>
      </c>
      <c r="AR138" s="48">
        <f t="shared" si="1456"/>
        <v>0</v>
      </c>
      <c r="AS138" s="51">
        <f t="shared" si="1457"/>
        <v>0</v>
      </c>
      <c r="AT138" s="53">
        <f t="shared" si="1458"/>
        <v>0</v>
      </c>
      <c r="AU138" s="51">
        <f t="shared" si="1459"/>
        <v>0</v>
      </c>
      <c r="AV138" s="53">
        <f t="shared" si="1460"/>
        <v>0</v>
      </c>
      <c r="AW138" s="51">
        <f t="shared" si="1461"/>
        <v>0</v>
      </c>
      <c r="AX138" s="48">
        <f t="shared" si="1462"/>
        <v>0</v>
      </c>
      <c r="AY138" s="51">
        <f t="shared" si="1463"/>
        <v>0</v>
      </c>
      <c r="BB138" s="48">
        <v>1</v>
      </c>
      <c r="BC138" s="48">
        <v>0.97</v>
      </c>
      <c r="BD138" s="48">
        <v>0.95</v>
      </c>
      <c r="BE138" s="48">
        <v>0.93</v>
      </c>
      <c r="BF138" s="48">
        <f t="shared" ref="BF138:BW138" si="1588">+BE138-0.02</f>
        <v>0.91</v>
      </c>
      <c r="BG138" s="48">
        <f t="shared" si="1588"/>
        <v>0.89</v>
      </c>
      <c r="BH138" s="48">
        <f t="shared" si="1588"/>
        <v>0.87</v>
      </c>
      <c r="BI138" s="48">
        <f t="shared" si="1588"/>
        <v>0.85</v>
      </c>
      <c r="BJ138" s="48">
        <f t="shared" si="1588"/>
        <v>0.83</v>
      </c>
      <c r="BK138" s="48">
        <f t="shared" si="1588"/>
        <v>0.80999999999999994</v>
      </c>
      <c r="BL138" s="48">
        <f t="shared" si="1588"/>
        <v>0.78999999999999992</v>
      </c>
      <c r="BM138" s="48">
        <f t="shared" si="1588"/>
        <v>0.76999999999999991</v>
      </c>
      <c r="BN138" s="48">
        <f t="shared" si="1588"/>
        <v>0.74999999999999989</v>
      </c>
      <c r="BO138" s="48">
        <f t="shared" si="1588"/>
        <v>0.72999999999999987</v>
      </c>
      <c r="BP138" s="48">
        <f t="shared" si="1588"/>
        <v>0.70999999999999985</v>
      </c>
      <c r="BQ138" s="48">
        <f t="shared" si="1588"/>
        <v>0.68999999999999984</v>
      </c>
      <c r="BR138" s="48">
        <f t="shared" si="1588"/>
        <v>0.66999999999999982</v>
      </c>
      <c r="BS138" s="48">
        <f t="shared" si="1588"/>
        <v>0.6499999999999998</v>
      </c>
      <c r="BT138" s="48">
        <f t="shared" si="1588"/>
        <v>0.62999999999999978</v>
      </c>
      <c r="BU138" s="48">
        <f t="shared" si="1588"/>
        <v>0.60999999999999976</v>
      </c>
      <c r="BV138" s="48">
        <f t="shared" si="1588"/>
        <v>0.58999999999999975</v>
      </c>
      <c r="BW138" s="48">
        <f t="shared" si="1588"/>
        <v>0.56999999999999973</v>
      </c>
      <c r="BY138" s="48">
        <f t="shared" si="952"/>
        <v>0</v>
      </c>
      <c r="BZ138" s="48">
        <f t="shared" si="953"/>
        <v>0</v>
      </c>
      <c r="CA138" s="51">
        <f t="shared" ref="CA138" si="1589">+BZ138*3.3058</f>
        <v>0</v>
      </c>
      <c r="CB138" s="48">
        <f t="shared" si="1466"/>
        <v>0</v>
      </c>
      <c r="CC138" s="51">
        <f t="shared" si="1467"/>
        <v>0</v>
      </c>
      <c r="CD138" s="48">
        <f t="shared" si="1468"/>
        <v>0</v>
      </c>
      <c r="CE138" s="51">
        <f t="shared" si="1469"/>
        <v>0</v>
      </c>
      <c r="CF138" s="48">
        <f t="shared" si="1470"/>
        <v>0</v>
      </c>
      <c r="CG138" s="51">
        <f t="shared" si="1471"/>
        <v>0</v>
      </c>
      <c r="CH138" s="52">
        <f t="shared" si="1472"/>
        <v>0</v>
      </c>
      <c r="CI138" s="51">
        <f t="shared" si="1473"/>
        <v>0</v>
      </c>
      <c r="CJ138" s="48">
        <f t="shared" si="1474"/>
        <v>0</v>
      </c>
      <c r="CK138" s="51">
        <f t="shared" si="1475"/>
        <v>0</v>
      </c>
      <c r="CL138" s="52">
        <f t="shared" si="1476"/>
        <v>0</v>
      </c>
      <c r="CM138" s="51">
        <f t="shared" si="1477"/>
        <v>0</v>
      </c>
      <c r="CN138" s="53">
        <f t="shared" si="1478"/>
        <v>0</v>
      </c>
      <c r="CO138" s="51">
        <f t="shared" si="1479"/>
        <v>0</v>
      </c>
      <c r="CP138" s="52">
        <f t="shared" si="1480"/>
        <v>0</v>
      </c>
      <c r="CQ138" s="51">
        <f t="shared" si="1481"/>
        <v>0</v>
      </c>
      <c r="CR138" s="48">
        <f t="shared" si="1482"/>
        <v>0</v>
      </c>
      <c r="CS138" s="51">
        <f t="shared" si="1483"/>
        <v>0</v>
      </c>
      <c r="CT138" s="53">
        <f t="shared" si="1484"/>
        <v>0</v>
      </c>
      <c r="CU138" s="51">
        <f t="shared" si="1485"/>
        <v>0</v>
      </c>
      <c r="CV138" s="53">
        <f t="shared" si="1486"/>
        <v>0</v>
      </c>
      <c r="CW138" s="51">
        <f t="shared" si="1487"/>
        <v>0</v>
      </c>
      <c r="CX138" s="53">
        <f t="shared" si="1488"/>
        <v>0</v>
      </c>
      <c r="CY138" s="51">
        <f t="shared" si="1489"/>
        <v>0</v>
      </c>
      <c r="CZ138" s="48">
        <f t="shared" si="1490"/>
        <v>0</v>
      </c>
      <c r="DA138" s="51">
        <f t="shared" si="1491"/>
        <v>0</v>
      </c>
      <c r="DB138" s="53">
        <f t="shared" si="1492"/>
        <v>0</v>
      </c>
      <c r="DC138" s="51">
        <f t="shared" si="1493"/>
        <v>0</v>
      </c>
      <c r="DD138" s="53">
        <f t="shared" si="1494"/>
        <v>0</v>
      </c>
      <c r="DE138" s="51">
        <f t="shared" si="1495"/>
        <v>0</v>
      </c>
      <c r="DF138" s="53">
        <f t="shared" si="1496"/>
        <v>0</v>
      </c>
      <c r="DG138" s="51">
        <f t="shared" si="1497"/>
        <v>0</v>
      </c>
      <c r="DH138" s="53">
        <f t="shared" si="1498"/>
        <v>0</v>
      </c>
      <c r="DI138" s="51">
        <f t="shared" si="1499"/>
        <v>0</v>
      </c>
      <c r="DJ138" s="48">
        <f t="shared" si="1500"/>
        <v>0</v>
      </c>
      <c r="DK138" s="51">
        <f t="shared" si="1501"/>
        <v>0</v>
      </c>
      <c r="DL138" s="53">
        <f t="shared" si="1502"/>
        <v>0</v>
      </c>
      <c r="DM138" s="51">
        <f t="shared" si="1503"/>
        <v>0</v>
      </c>
      <c r="DN138" s="53">
        <f t="shared" si="1504"/>
        <v>0</v>
      </c>
      <c r="DO138" s="51">
        <f t="shared" si="1505"/>
        <v>0</v>
      </c>
      <c r="DP138" s="48">
        <f t="shared" si="1506"/>
        <v>0</v>
      </c>
      <c r="DQ138" s="51">
        <f t="shared" si="1507"/>
        <v>0</v>
      </c>
      <c r="DT138" s="48">
        <v>1</v>
      </c>
      <c r="DU138" s="48">
        <v>0.97</v>
      </c>
      <c r="DV138" s="48">
        <v>0.95</v>
      </c>
      <c r="DW138" s="48">
        <v>0.93</v>
      </c>
      <c r="DX138" s="48">
        <f t="shared" ref="DX138:EO138" si="1590">+DW138-0.02</f>
        <v>0.91</v>
      </c>
      <c r="DY138" s="48">
        <f t="shared" si="1590"/>
        <v>0.89</v>
      </c>
      <c r="DZ138" s="48">
        <f t="shared" si="1590"/>
        <v>0.87</v>
      </c>
      <c r="EA138" s="48">
        <f t="shared" si="1590"/>
        <v>0.85</v>
      </c>
      <c r="EB138" s="48">
        <f t="shared" si="1590"/>
        <v>0.83</v>
      </c>
      <c r="EC138" s="48">
        <f t="shared" si="1590"/>
        <v>0.80999999999999994</v>
      </c>
      <c r="ED138" s="48">
        <f t="shared" si="1590"/>
        <v>0.78999999999999992</v>
      </c>
      <c r="EE138" s="48">
        <f t="shared" si="1590"/>
        <v>0.76999999999999991</v>
      </c>
      <c r="EF138" s="48">
        <f t="shared" si="1590"/>
        <v>0.74999999999999989</v>
      </c>
      <c r="EG138" s="48">
        <f t="shared" si="1590"/>
        <v>0.72999999999999987</v>
      </c>
      <c r="EH138" s="48">
        <f t="shared" si="1590"/>
        <v>0.70999999999999985</v>
      </c>
      <c r="EI138" s="48">
        <f t="shared" si="1590"/>
        <v>0.68999999999999984</v>
      </c>
      <c r="EJ138" s="48">
        <f t="shared" si="1590"/>
        <v>0.66999999999999982</v>
      </c>
      <c r="EK138" s="48">
        <f t="shared" si="1590"/>
        <v>0.6499999999999998</v>
      </c>
      <c r="EL138" s="48">
        <f t="shared" si="1590"/>
        <v>0.62999999999999978</v>
      </c>
      <c r="EM138" s="48">
        <f t="shared" si="1590"/>
        <v>0.60999999999999976</v>
      </c>
      <c r="EN138" s="48">
        <f t="shared" si="1590"/>
        <v>0.58999999999999975</v>
      </c>
      <c r="EO138" s="48">
        <f t="shared" si="1590"/>
        <v>0.56999999999999973</v>
      </c>
      <c r="EQ138" s="48">
        <f t="shared" si="1128"/>
        <v>0</v>
      </c>
      <c r="ER138" s="48">
        <f t="shared" si="956"/>
        <v>0</v>
      </c>
      <c r="ES138" s="51">
        <f t="shared" ref="ES138" si="1591">+ER138*3.3058</f>
        <v>0</v>
      </c>
      <c r="ET138" s="48">
        <f t="shared" si="1510"/>
        <v>0</v>
      </c>
      <c r="EU138" s="51">
        <f t="shared" si="1511"/>
        <v>0</v>
      </c>
      <c r="EV138" s="48">
        <f t="shared" si="1512"/>
        <v>0</v>
      </c>
      <c r="EW138" s="51">
        <f t="shared" si="1513"/>
        <v>0</v>
      </c>
      <c r="EX138" s="48">
        <f t="shared" si="1514"/>
        <v>0</v>
      </c>
      <c r="EY138" s="51">
        <f t="shared" si="1515"/>
        <v>0</v>
      </c>
      <c r="EZ138" s="52">
        <f t="shared" si="1516"/>
        <v>0</v>
      </c>
      <c r="FA138" s="51">
        <f t="shared" si="1517"/>
        <v>0</v>
      </c>
      <c r="FB138" s="48">
        <f t="shared" si="1518"/>
        <v>0</v>
      </c>
      <c r="FC138" s="51">
        <f t="shared" si="1519"/>
        <v>0</v>
      </c>
      <c r="FD138" s="52">
        <f t="shared" si="1520"/>
        <v>0</v>
      </c>
      <c r="FE138" s="51">
        <f t="shared" si="1521"/>
        <v>0</v>
      </c>
      <c r="FF138" s="53">
        <f t="shared" si="1522"/>
        <v>0</v>
      </c>
      <c r="FG138" s="51">
        <f t="shared" si="1523"/>
        <v>0</v>
      </c>
      <c r="FH138" s="52">
        <f t="shared" si="1524"/>
        <v>0</v>
      </c>
      <c r="FI138" s="51">
        <f t="shared" si="1525"/>
        <v>0</v>
      </c>
      <c r="FJ138" s="48">
        <f t="shared" si="1526"/>
        <v>0</v>
      </c>
      <c r="FK138" s="51">
        <f t="shared" si="1527"/>
        <v>0</v>
      </c>
      <c r="FL138" s="53">
        <f t="shared" si="1528"/>
        <v>0</v>
      </c>
      <c r="FM138" s="51">
        <f t="shared" si="1529"/>
        <v>0</v>
      </c>
      <c r="FN138" s="53">
        <f t="shared" si="1530"/>
        <v>0</v>
      </c>
      <c r="FO138" s="51">
        <f t="shared" si="1531"/>
        <v>0</v>
      </c>
      <c r="FP138" s="53">
        <f t="shared" si="1532"/>
        <v>0</v>
      </c>
      <c r="FQ138" s="51">
        <f t="shared" si="1533"/>
        <v>0</v>
      </c>
      <c r="FR138" s="48">
        <f t="shared" si="1534"/>
        <v>0</v>
      </c>
      <c r="FS138" s="51">
        <f t="shared" si="1535"/>
        <v>0</v>
      </c>
      <c r="FT138" s="53">
        <f t="shared" si="1536"/>
        <v>0</v>
      </c>
      <c r="FU138" s="51">
        <f t="shared" si="1537"/>
        <v>0</v>
      </c>
      <c r="FV138" s="53">
        <f t="shared" si="1538"/>
        <v>0</v>
      </c>
      <c r="FW138" s="51">
        <f t="shared" si="1539"/>
        <v>0</v>
      </c>
      <c r="FX138" s="53">
        <f t="shared" si="1540"/>
        <v>0</v>
      </c>
      <c r="FY138" s="51">
        <f t="shared" si="1541"/>
        <v>0</v>
      </c>
      <c r="FZ138" s="53">
        <f t="shared" si="1542"/>
        <v>0</v>
      </c>
      <c r="GA138" s="51">
        <f t="shared" si="1543"/>
        <v>0</v>
      </c>
      <c r="GB138" s="48">
        <f t="shared" si="1544"/>
        <v>0</v>
      </c>
      <c r="GC138" s="51">
        <f t="shared" si="1545"/>
        <v>0</v>
      </c>
      <c r="GD138" s="53">
        <f t="shared" si="1546"/>
        <v>0</v>
      </c>
      <c r="GE138" s="51">
        <f t="shared" si="1547"/>
        <v>0</v>
      </c>
      <c r="GF138" s="53">
        <f t="shared" si="1548"/>
        <v>0</v>
      </c>
      <c r="GG138" s="51">
        <f t="shared" si="1549"/>
        <v>0</v>
      </c>
      <c r="GH138" s="48">
        <f t="shared" si="1550"/>
        <v>0</v>
      </c>
      <c r="GI138" s="51">
        <f t="shared" si="1551"/>
        <v>0</v>
      </c>
      <c r="GJ138" s="48"/>
      <c r="GK138" s="48"/>
      <c r="GL138" s="48">
        <v>1</v>
      </c>
      <c r="GM138" s="48">
        <v>0.97</v>
      </c>
      <c r="GN138" s="48">
        <v>0.95</v>
      </c>
      <c r="GO138" s="48">
        <v>0.93</v>
      </c>
      <c r="GP138" s="48">
        <f t="shared" ref="GP138:HG138" si="1592">+GO138-0.02</f>
        <v>0.91</v>
      </c>
      <c r="GQ138" s="48">
        <f t="shared" si="1592"/>
        <v>0.89</v>
      </c>
      <c r="GR138" s="48">
        <f t="shared" si="1592"/>
        <v>0.87</v>
      </c>
      <c r="GS138" s="48">
        <f t="shared" si="1592"/>
        <v>0.85</v>
      </c>
      <c r="GT138" s="48">
        <f t="shared" si="1592"/>
        <v>0.83</v>
      </c>
      <c r="GU138" s="48">
        <f t="shared" si="1592"/>
        <v>0.80999999999999994</v>
      </c>
      <c r="GV138" s="48">
        <f t="shared" si="1592"/>
        <v>0.78999999999999992</v>
      </c>
      <c r="GW138" s="48">
        <f t="shared" si="1592"/>
        <v>0.76999999999999991</v>
      </c>
      <c r="GX138" s="48">
        <f t="shared" si="1592"/>
        <v>0.74999999999999989</v>
      </c>
      <c r="GY138" s="48">
        <f t="shared" si="1592"/>
        <v>0.72999999999999987</v>
      </c>
      <c r="GZ138" s="48">
        <f t="shared" si="1592"/>
        <v>0.70999999999999985</v>
      </c>
      <c r="HA138" s="48">
        <f t="shared" si="1592"/>
        <v>0.68999999999999984</v>
      </c>
      <c r="HB138" s="48">
        <f t="shared" si="1592"/>
        <v>0.66999999999999982</v>
      </c>
      <c r="HC138" s="48">
        <f t="shared" si="1592"/>
        <v>0.6499999999999998</v>
      </c>
      <c r="HD138" s="48">
        <f t="shared" si="1592"/>
        <v>0.62999999999999978</v>
      </c>
      <c r="HE138" s="48">
        <f t="shared" si="1592"/>
        <v>0.60999999999999976</v>
      </c>
      <c r="HF138" s="48">
        <f t="shared" si="1592"/>
        <v>0.58999999999999975</v>
      </c>
      <c r="HG138" s="48">
        <f t="shared" si="1592"/>
        <v>0.56999999999999973</v>
      </c>
    </row>
    <row r="139" spans="1:215" ht="17.25" thickBot="1" x14ac:dyDescent="0.35">
      <c r="A139" s="2">
        <v>10</v>
      </c>
      <c r="C139" s="39" t="s">
        <v>156</v>
      </c>
      <c r="D139" s="45">
        <v>0</v>
      </c>
      <c r="E139" s="74">
        <f t="shared" si="1421"/>
        <v>0</v>
      </c>
      <c r="G139" s="48">
        <f t="shared" si="948"/>
        <v>0</v>
      </c>
      <c r="H139" s="48">
        <f t="shared" si="949"/>
        <v>0</v>
      </c>
      <c r="I139" s="51">
        <f t="shared" si="950"/>
        <v>0</v>
      </c>
      <c r="J139" s="48">
        <f t="shared" si="1422"/>
        <v>0</v>
      </c>
      <c r="K139" s="51">
        <f t="shared" si="1423"/>
        <v>0</v>
      </c>
      <c r="L139" s="48">
        <f t="shared" si="1424"/>
        <v>0</v>
      </c>
      <c r="M139" s="51">
        <f t="shared" si="1425"/>
        <v>0</v>
      </c>
      <c r="N139" s="48">
        <f t="shared" si="1426"/>
        <v>0</v>
      </c>
      <c r="O139" s="51">
        <f t="shared" si="1427"/>
        <v>0</v>
      </c>
      <c r="P139" s="52">
        <f t="shared" si="1428"/>
        <v>0</v>
      </c>
      <c r="Q139" s="51">
        <f t="shared" si="1429"/>
        <v>0</v>
      </c>
      <c r="R139" s="48">
        <f t="shared" si="1430"/>
        <v>0</v>
      </c>
      <c r="S139" s="51">
        <f t="shared" si="1431"/>
        <v>0</v>
      </c>
      <c r="T139" s="52">
        <f t="shared" si="1432"/>
        <v>0</v>
      </c>
      <c r="U139" s="51">
        <f t="shared" si="1433"/>
        <v>0</v>
      </c>
      <c r="V139" s="53">
        <f t="shared" si="1434"/>
        <v>0</v>
      </c>
      <c r="W139" s="51">
        <f t="shared" si="1435"/>
        <v>0</v>
      </c>
      <c r="X139" s="52">
        <f t="shared" si="1436"/>
        <v>0</v>
      </c>
      <c r="Y139" s="51">
        <f t="shared" si="1437"/>
        <v>0</v>
      </c>
      <c r="Z139" s="48">
        <f t="shared" si="1438"/>
        <v>0</v>
      </c>
      <c r="AA139" s="51">
        <f t="shared" si="1439"/>
        <v>0</v>
      </c>
      <c r="AB139" s="53">
        <f t="shared" si="1440"/>
        <v>0</v>
      </c>
      <c r="AC139" s="51">
        <f t="shared" si="1441"/>
        <v>0</v>
      </c>
      <c r="AD139" s="53">
        <f t="shared" si="1442"/>
        <v>0</v>
      </c>
      <c r="AE139" s="51">
        <f t="shared" si="1443"/>
        <v>0</v>
      </c>
      <c r="AF139" s="53">
        <f t="shared" si="1444"/>
        <v>0</v>
      </c>
      <c r="AG139" s="51">
        <f t="shared" si="1445"/>
        <v>0</v>
      </c>
      <c r="AH139" s="48">
        <f t="shared" si="1446"/>
        <v>0</v>
      </c>
      <c r="AI139" s="51">
        <f t="shared" si="1447"/>
        <v>0</v>
      </c>
      <c r="AJ139" s="53">
        <f t="shared" si="1448"/>
        <v>0</v>
      </c>
      <c r="AK139" s="51">
        <f t="shared" si="1449"/>
        <v>0</v>
      </c>
      <c r="AL139" s="53">
        <f t="shared" si="1450"/>
        <v>0</v>
      </c>
      <c r="AM139" s="51">
        <f t="shared" si="1451"/>
        <v>0</v>
      </c>
      <c r="AN139" s="53">
        <f t="shared" si="1452"/>
        <v>0</v>
      </c>
      <c r="AO139" s="51">
        <f t="shared" si="1453"/>
        <v>0</v>
      </c>
      <c r="AP139" s="53">
        <f t="shared" si="1454"/>
        <v>0</v>
      </c>
      <c r="AQ139" s="51">
        <f t="shared" si="1455"/>
        <v>0</v>
      </c>
      <c r="AR139" s="48">
        <f t="shared" si="1456"/>
        <v>0</v>
      </c>
      <c r="AS139" s="51">
        <f t="shared" si="1457"/>
        <v>0</v>
      </c>
      <c r="AT139" s="53">
        <f t="shared" si="1458"/>
        <v>0</v>
      </c>
      <c r="AU139" s="51">
        <f t="shared" si="1459"/>
        <v>0</v>
      </c>
      <c r="AV139" s="53">
        <f t="shared" si="1460"/>
        <v>0</v>
      </c>
      <c r="AW139" s="51">
        <f t="shared" si="1461"/>
        <v>0</v>
      </c>
      <c r="AX139" s="48">
        <f t="shared" si="1462"/>
        <v>0</v>
      </c>
      <c r="AY139" s="51">
        <f t="shared" si="1463"/>
        <v>0</v>
      </c>
      <c r="BB139" s="48">
        <v>1</v>
      </c>
      <c r="BC139" s="48">
        <v>0.97</v>
      </c>
      <c r="BD139" s="48">
        <v>0.95</v>
      </c>
      <c r="BE139" s="48">
        <v>0.93</v>
      </c>
      <c r="BF139" s="48">
        <f t="shared" ref="BF139:BW139" si="1593">+BE139-0.02</f>
        <v>0.91</v>
      </c>
      <c r="BG139" s="48">
        <f t="shared" si="1593"/>
        <v>0.89</v>
      </c>
      <c r="BH139" s="48">
        <f t="shared" si="1593"/>
        <v>0.87</v>
      </c>
      <c r="BI139" s="48">
        <f t="shared" si="1593"/>
        <v>0.85</v>
      </c>
      <c r="BJ139" s="48">
        <f t="shared" si="1593"/>
        <v>0.83</v>
      </c>
      <c r="BK139" s="48">
        <f t="shared" si="1593"/>
        <v>0.80999999999999994</v>
      </c>
      <c r="BL139" s="48">
        <f t="shared" si="1593"/>
        <v>0.78999999999999992</v>
      </c>
      <c r="BM139" s="48">
        <f t="shared" si="1593"/>
        <v>0.76999999999999991</v>
      </c>
      <c r="BN139" s="48">
        <f t="shared" si="1593"/>
        <v>0.74999999999999989</v>
      </c>
      <c r="BO139" s="48">
        <f t="shared" si="1593"/>
        <v>0.72999999999999987</v>
      </c>
      <c r="BP139" s="48">
        <f t="shared" si="1593"/>
        <v>0.70999999999999985</v>
      </c>
      <c r="BQ139" s="48">
        <f t="shared" si="1593"/>
        <v>0.68999999999999984</v>
      </c>
      <c r="BR139" s="48">
        <f t="shared" si="1593"/>
        <v>0.66999999999999982</v>
      </c>
      <c r="BS139" s="48">
        <f t="shared" si="1593"/>
        <v>0.6499999999999998</v>
      </c>
      <c r="BT139" s="48">
        <f t="shared" si="1593"/>
        <v>0.62999999999999978</v>
      </c>
      <c r="BU139" s="48">
        <f t="shared" si="1593"/>
        <v>0.60999999999999976</v>
      </c>
      <c r="BV139" s="48">
        <f t="shared" si="1593"/>
        <v>0.58999999999999975</v>
      </c>
      <c r="BW139" s="48">
        <f t="shared" si="1593"/>
        <v>0.56999999999999973</v>
      </c>
      <c r="BY139" s="48">
        <f t="shared" si="952"/>
        <v>0</v>
      </c>
      <c r="BZ139" s="48">
        <f t="shared" si="953"/>
        <v>0</v>
      </c>
      <c r="CA139" s="51">
        <f t="shared" ref="CA139" si="1594">+BZ139*3.3058</f>
        <v>0</v>
      </c>
      <c r="CB139" s="48">
        <f t="shared" si="1466"/>
        <v>0</v>
      </c>
      <c r="CC139" s="51">
        <f t="shared" si="1467"/>
        <v>0</v>
      </c>
      <c r="CD139" s="48">
        <f t="shared" si="1468"/>
        <v>0</v>
      </c>
      <c r="CE139" s="51">
        <f t="shared" si="1469"/>
        <v>0</v>
      </c>
      <c r="CF139" s="48">
        <f t="shared" si="1470"/>
        <v>0</v>
      </c>
      <c r="CG139" s="51">
        <f t="shared" si="1471"/>
        <v>0</v>
      </c>
      <c r="CH139" s="52">
        <f t="shared" si="1472"/>
        <v>0</v>
      </c>
      <c r="CI139" s="51">
        <f t="shared" si="1473"/>
        <v>0</v>
      </c>
      <c r="CJ139" s="48">
        <f t="shared" si="1474"/>
        <v>0</v>
      </c>
      <c r="CK139" s="51">
        <f t="shared" si="1475"/>
        <v>0</v>
      </c>
      <c r="CL139" s="52">
        <f t="shared" si="1476"/>
        <v>0</v>
      </c>
      <c r="CM139" s="51">
        <f t="shared" si="1477"/>
        <v>0</v>
      </c>
      <c r="CN139" s="53">
        <f t="shared" si="1478"/>
        <v>0</v>
      </c>
      <c r="CO139" s="51">
        <f t="shared" si="1479"/>
        <v>0</v>
      </c>
      <c r="CP139" s="52">
        <f t="shared" si="1480"/>
        <v>0</v>
      </c>
      <c r="CQ139" s="51">
        <f t="shared" si="1481"/>
        <v>0</v>
      </c>
      <c r="CR139" s="48">
        <f t="shared" si="1482"/>
        <v>0</v>
      </c>
      <c r="CS139" s="51">
        <f t="shared" si="1483"/>
        <v>0</v>
      </c>
      <c r="CT139" s="53">
        <f t="shared" si="1484"/>
        <v>0</v>
      </c>
      <c r="CU139" s="51">
        <f t="shared" si="1485"/>
        <v>0</v>
      </c>
      <c r="CV139" s="53">
        <f t="shared" si="1486"/>
        <v>0</v>
      </c>
      <c r="CW139" s="51">
        <f t="shared" si="1487"/>
        <v>0</v>
      </c>
      <c r="CX139" s="53">
        <f t="shared" si="1488"/>
        <v>0</v>
      </c>
      <c r="CY139" s="51">
        <f t="shared" si="1489"/>
        <v>0</v>
      </c>
      <c r="CZ139" s="48">
        <f t="shared" si="1490"/>
        <v>0</v>
      </c>
      <c r="DA139" s="51">
        <f t="shared" si="1491"/>
        <v>0</v>
      </c>
      <c r="DB139" s="53">
        <f t="shared" si="1492"/>
        <v>0</v>
      </c>
      <c r="DC139" s="51">
        <f t="shared" si="1493"/>
        <v>0</v>
      </c>
      <c r="DD139" s="53">
        <f t="shared" si="1494"/>
        <v>0</v>
      </c>
      <c r="DE139" s="51">
        <f t="shared" si="1495"/>
        <v>0</v>
      </c>
      <c r="DF139" s="53">
        <f t="shared" si="1496"/>
        <v>0</v>
      </c>
      <c r="DG139" s="51">
        <f t="shared" si="1497"/>
        <v>0</v>
      </c>
      <c r="DH139" s="53">
        <f t="shared" si="1498"/>
        <v>0</v>
      </c>
      <c r="DI139" s="51">
        <f t="shared" si="1499"/>
        <v>0</v>
      </c>
      <c r="DJ139" s="48">
        <f t="shared" si="1500"/>
        <v>0</v>
      </c>
      <c r="DK139" s="51">
        <f t="shared" si="1501"/>
        <v>0</v>
      </c>
      <c r="DL139" s="53">
        <f t="shared" si="1502"/>
        <v>0</v>
      </c>
      <c r="DM139" s="51">
        <f t="shared" si="1503"/>
        <v>0</v>
      </c>
      <c r="DN139" s="53">
        <f t="shared" si="1504"/>
        <v>0</v>
      </c>
      <c r="DO139" s="51">
        <f t="shared" si="1505"/>
        <v>0</v>
      </c>
      <c r="DP139" s="48">
        <f t="shared" si="1506"/>
        <v>0</v>
      </c>
      <c r="DQ139" s="51">
        <f t="shared" si="1507"/>
        <v>0</v>
      </c>
      <c r="DT139" s="48">
        <v>1</v>
      </c>
      <c r="DU139" s="48">
        <v>0.97</v>
      </c>
      <c r="DV139" s="48">
        <v>0.95</v>
      </c>
      <c r="DW139" s="48">
        <v>0.93</v>
      </c>
      <c r="DX139" s="48">
        <f t="shared" ref="DX139:EO139" si="1595">+DW139-0.02</f>
        <v>0.91</v>
      </c>
      <c r="DY139" s="48">
        <f t="shared" si="1595"/>
        <v>0.89</v>
      </c>
      <c r="DZ139" s="48">
        <f t="shared" si="1595"/>
        <v>0.87</v>
      </c>
      <c r="EA139" s="48">
        <f t="shared" si="1595"/>
        <v>0.85</v>
      </c>
      <c r="EB139" s="48">
        <f t="shared" si="1595"/>
        <v>0.83</v>
      </c>
      <c r="EC139" s="48">
        <f t="shared" si="1595"/>
        <v>0.80999999999999994</v>
      </c>
      <c r="ED139" s="48">
        <f t="shared" si="1595"/>
        <v>0.78999999999999992</v>
      </c>
      <c r="EE139" s="48">
        <f t="shared" si="1595"/>
        <v>0.76999999999999991</v>
      </c>
      <c r="EF139" s="48">
        <f t="shared" si="1595"/>
        <v>0.74999999999999989</v>
      </c>
      <c r="EG139" s="48">
        <f t="shared" si="1595"/>
        <v>0.72999999999999987</v>
      </c>
      <c r="EH139" s="48">
        <f t="shared" si="1595"/>
        <v>0.70999999999999985</v>
      </c>
      <c r="EI139" s="48">
        <f t="shared" si="1595"/>
        <v>0.68999999999999984</v>
      </c>
      <c r="EJ139" s="48">
        <f t="shared" si="1595"/>
        <v>0.66999999999999982</v>
      </c>
      <c r="EK139" s="48">
        <f t="shared" si="1595"/>
        <v>0.6499999999999998</v>
      </c>
      <c r="EL139" s="48">
        <f t="shared" si="1595"/>
        <v>0.62999999999999978</v>
      </c>
      <c r="EM139" s="48">
        <f t="shared" si="1595"/>
        <v>0.60999999999999976</v>
      </c>
      <c r="EN139" s="48">
        <f t="shared" si="1595"/>
        <v>0.58999999999999975</v>
      </c>
      <c r="EO139" s="48">
        <f t="shared" si="1595"/>
        <v>0.56999999999999973</v>
      </c>
      <c r="EQ139" s="48">
        <f t="shared" si="1128"/>
        <v>0</v>
      </c>
      <c r="ER139" s="48">
        <f t="shared" si="956"/>
        <v>0</v>
      </c>
      <c r="ES139" s="51">
        <f t="shared" ref="ES139" si="1596">+ER139*3.3058</f>
        <v>0</v>
      </c>
      <c r="ET139" s="48">
        <f t="shared" si="1510"/>
        <v>0</v>
      </c>
      <c r="EU139" s="51">
        <f t="shared" si="1511"/>
        <v>0</v>
      </c>
      <c r="EV139" s="48">
        <f t="shared" si="1512"/>
        <v>0</v>
      </c>
      <c r="EW139" s="51">
        <f t="shared" si="1513"/>
        <v>0</v>
      </c>
      <c r="EX139" s="48">
        <f t="shared" si="1514"/>
        <v>0</v>
      </c>
      <c r="EY139" s="51">
        <f t="shared" si="1515"/>
        <v>0</v>
      </c>
      <c r="EZ139" s="52">
        <f t="shared" si="1516"/>
        <v>0</v>
      </c>
      <c r="FA139" s="51">
        <f t="shared" si="1517"/>
        <v>0</v>
      </c>
      <c r="FB139" s="48">
        <f t="shared" si="1518"/>
        <v>0</v>
      </c>
      <c r="FC139" s="51">
        <f t="shared" si="1519"/>
        <v>0</v>
      </c>
      <c r="FD139" s="52">
        <f t="shared" si="1520"/>
        <v>0</v>
      </c>
      <c r="FE139" s="51">
        <f t="shared" si="1521"/>
        <v>0</v>
      </c>
      <c r="FF139" s="53">
        <f t="shared" si="1522"/>
        <v>0</v>
      </c>
      <c r="FG139" s="51">
        <f t="shared" si="1523"/>
        <v>0</v>
      </c>
      <c r="FH139" s="52">
        <f t="shared" si="1524"/>
        <v>0</v>
      </c>
      <c r="FI139" s="51">
        <f t="shared" si="1525"/>
        <v>0</v>
      </c>
      <c r="FJ139" s="48">
        <f t="shared" si="1526"/>
        <v>0</v>
      </c>
      <c r="FK139" s="51">
        <f t="shared" si="1527"/>
        <v>0</v>
      </c>
      <c r="FL139" s="53">
        <f t="shared" si="1528"/>
        <v>0</v>
      </c>
      <c r="FM139" s="51">
        <f t="shared" si="1529"/>
        <v>0</v>
      </c>
      <c r="FN139" s="53">
        <f t="shared" si="1530"/>
        <v>0</v>
      </c>
      <c r="FO139" s="51">
        <f t="shared" si="1531"/>
        <v>0</v>
      </c>
      <c r="FP139" s="53">
        <f t="shared" si="1532"/>
        <v>0</v>
      </c>
      <c r="FQ139" s="51">
        <f t="shared" si="1533"/>
        <v>0</v>
      </c>
      <c r="FR139" s="48">
        <f t="shared" si="1534"/>
        <v>0</v>
      </c>
      <c r="FS139" s="51">
        <f t="shared" si="1535"/>
        <v>0</v>
      </c>
      <c r="FT139" s="53">
        <f t="shared" si="1536"/>
        <v>0</v>
      </c>
      <c r="FU139" s="51">
        <f t="shared" si="1537"/>
        <v>0</v>
      </c>
      <c r="FV139" s="53">
        <f t="shared" si="1538"/>
        <v>0</v>
      </c>
      <c r="FW139" s="51">
        <f t="shared" si="1539"/>
        <v>0</v>
      </c>
      <c r="FX139" s="53">
        <f t="shared" si="1540"/>
        <v>0</v>
      </c>
      <c r="FY139" s="51">
        <f t="shared" si="1541"/>
        <v>0</v>
      </c>
      <c r="FZ139" s="53">
        <f t="shared" si="1542"/>
        <v>0</v>
      </c>
      <c r="GA139" s="51">
        <f t="shared" si="1543"/>
        <v>0</v>
      </c>
      <c r="GB139" s="48">
        <f t="shared" si="1544"/>
        <v>0</v>
      </c>
      <c r="GC139" s="51">
        <f t="shared" si="1545"/>
        <v>0</v>
      </c>
      <c r="GD139" s="53">
        <f t="shared" si="1546"/>
        <v>0</v>
      </c>
      <c r="GE139" s="51">
        <f t="shared" si="1547"/>
        <v>0</v>
      </c>
      <c r="GF139" s="53">
        <f t="shared" si="1548"/>
        <v>0</v>
      </c>
      <c r="GG139" s="51">
        <f t="shared" si="1549"/>
        <v>0</v>
      </c>
      <c r="GH139" s="48">
        <f t="shared" si="1550"/>
        <v>0</v>
      </c>
      <c r="GI139" s="51">
        <f t="shared" si="1551"/>
        <v>0</v>
      </c>
      <c r="GJ139" s="48"/>
      <c r="GK139" s="48"/>
      <c r="GL139" s="48">
        <v>1</v>
      </c>
      <c r="GM139" s="48">
        <v>0.97</v>
      </c>
      <c r="GN139" s="48">
        <v>0.95</v>
      </c>
      <c r="GO139" s="48">
        <v>0.93</v>
      </c>
      <c r="GP139" s="48">
        <f t="shared" ref="GP139:HG139" si="1597">+GO139-0.02</f>
        <v>0.91</v>
      </c>
      <c r="GQ139" s="48">
        <f t="shared" si="1597"/>
        <v>0.89</v>
      </c>
      <c r="GR139" s="48">
        <f t="shared" si="1597"/>
        <v>0.87</v>
      </c>
      <c r="GS139" s="48">
        <f t="shared" si="1597"/>
        <v>0.85</v>
      </c>
      <c r="GT139" s="48">
        <f t="shared" si="1597"/>
        <v>0.83</v>
      </c>
      <c r="GU139" s="48">
        <f t="shared" si="1597"/>
        <v>0.80999999999999994</v>
      </c>
      <c r="GV139" s="48">
        <f t="shared" si="1597"/>
        <v>0.78999999999999992</v>
      </c>
      <c r="GW139" s="48">
        <f t="shared" si="1597"/>
        <v>0.76999999999999991</v>
      </c>
      <c r="GX139" s="48">
        <f t="shared" si="1597"/>
        <v>0.74999999999999989</v>
      </c>
      <c r="GY139" s="48">
        <f t="shared" si="1597"/>
        <v>0.72999999999999987</v>
      </c>
      <c r="GZ139" s="48">
        <f t="shared" si="1597"/>
        <v>0.70999999999999985</v>
      </c>
      <c r="HA139" s="48">
        <f t="shared" si="1597"/>
        <v>0.68999999999999984</v>
      </c>
      <c r="HB139" s="48">
        <f t="shared" si="1597"/>
        <v>0.66999999999999982</v>
      </c>
      <c r="HC139" s="48">
        <f t="shared" si="1597"/>
        <v>0.6499999999999998</v>
      </c>
      <c r="HD139" s="48">
        <f t="shared" si="1597"/>
        <v>0.62999999999999978</v>
      </c>
      <c r="HE139" s="48">
        <f t="shared" si="1597"/>
        <v>0.60999999999999976</v>
      </c>
      <c r="HF139" s="48">
        <f t="shared" si="1597"/>
        <v>0.58999999999999975</v>
      </c>
      <c r="HG139" s="48">
        <f t="shared" si="1597"/>
        <v>0.56999999999999973</v>
      </c>
    </row>
    <row r="140" spans="1:215" x14ac:dyDescent="0.3">
      <c r="A140" s="2">
        <v>11</v>
      </c>
      <c r="C140" s="27" t="s">
        <v>158</v>
      </c>
      <c r="D140" s="40">
        <f>SUM(D130:D139)</f>
        <v>13310</v>
      </c>
      <c r="E140" s="40">
        <f>SUM(E130:E139)</f>
        <v>44000</v>
      </c>
      <c r="G140" s="48">
        <f t="shared" si="948"/>
        <v>14641.000000000002</v>
      </c>
      <c r="H140" s="48">
        <f t="shared" si="949"/>
        <v>14641.000000000002</v>
      </c>
      <c r="I140" s="51">
        <f t="shared" si="950"/>
        <v>48400.217800000006</v>
      </c>
      <c r="J140" s="48">
        <f t="shared" si="1422"/>
        <v>14201.770000000002</v>
      </c>
      <c r="K140" s="51">
        <f t="shared" si="1423"/>
        <v>46948.211266000006</v>
      </c>
      <c r="L140" s="48">
        <f t="shared" si="1424"/>
        <v>13908.95</v>
      </c>
      <c r="M140" s="51">
        <f t="shared" si="1425"/>
        <v>45980.206910000001</v>
      </c>
      <c r="N140" s="48">
        <f t="shared" si="1426"/>
        <v>13616.130000000003</v>
      </c>
      <c r="O140" s="51">
        <f t="shared" si="1427"/>
        <v>45012.20255400001</v>
      </c>
      <c r="P140" s="52">
        <f t="shared" si="1428"/>
        <v>13323.310000000001</v>
      </c>
      <c r="Q140" s="51">
        <f t="shared" si="1429"/>
        <v>44044.198198000006</v>
      </c>
      <c r="R140" s="48">
        <f t="shared" si="1430"/>
        <v>13030.490000000002</v>
      </c>
      <c r="S140" s="51">
        <f t="shared" si="1431"/>
        <v>43076.193842000008</v>
      </c>
      <c r="T140" s="52">
        <f t="shared" si="1432"/>
        <v>12737.670000000002</v>
      </c>
      <c r="U140" s="51">
        <f t="shared" si="1433"/>
        <v>42108.18948600001</v>
      </c>
      <c r="V140" s="53">
        <f t="shared" si="1434"/>
        <v>12444.85</v>
      </c>
      <c r="W140" s="51">
        <f t="shared" si="1435"/>
        <v>41140.185130000005</v>
      </c>
      <c r="X140" s="52">
        <f t="shared" si="1436"/>
        <v>12152.03</v>
      </c>
      <c r="Y140" s="51">
        <f t="shared" si="1437"/>
        <v>40172.180774</v>
      </c>
      <c r="Z140" s="48">
        <f t="shared" si="1438"/>
        <v>11859.210000000001</v>
      </c>
      <c r="AA140" s="51">
        <f t="shared" si="1439"/>
        <v>39204.176418000003</v>
      </c>
      <c r="AB140" s="53">
        <f t="shared" si="1440"/>
        <v>11566.390000000001</v>
      </c>
      <c r="AC140" s="51">
        <f t="shared" si="1441"/>
        <v>38236.172062000005</v>
      </c>
      <c r="AD140" s="53">
        <f t="shared" si="1442"/>
        <v>11273.57</v>
      </c>
      <c r="AE140" s="51">
        <f t="shared" si="1443"/>
        <v>37268.167706</v>
      </c>
      <c r="AF140" s="53">
        <f t="shared" si="1444"/>
        <v>10980.75</v>
      </c>
      <c r="AG140" s="51">
        <f t="shared" si="1445"/>
        <v>36300.163350000003</v>
      </c>
      <c r="AH140" s="48">
        <f t="shared" si="1446"/>
        <v>10687.93</v>
      </c>
      <c r="AI140" s="51">
        <f t="shared" si="1447"/>
        <v>35332.158994000005</v>
      </c>
      <c r="AJ140" s="53">
        <f t="shared" si="1448"/>
        <v>10395.109999999999</v>
      </c>
      <c r="AK140" s="51">
        <f t="shared" si="1449"/>
        <v>34364.154638</v>
      </c>
      <c r="AL140" s="53">
        <f t="shared" si="1450"/>
        <v>10102.289999999999</v>
      </c>
      <c r="AM140" s="51">
        <f t="shared" si="1451"/>
        <v>33396.150281999995</v>
      </c>
      <c r="AN140" s="53">
        <f t="shared" si="1452"/>
        <v>9809.4699999999993</v>
      </c>
      <c r="AO140" s="51">
        <f t="shared" si="1453"/>
        <v>32428.145925999997</v>
      </c>
      <c r="AP140" s="53">
        <f t="shared" si="1454"/>
        <v>9516.6499999999978</v>
      </c>
      <c r="AQ140" s="51">
        <f t="shared" si="1455"/>
        <v>31460.141569999992</v>
      </c>
      <c r="AR140" s="48">
        <f t="shared" si="1456"/>
        <v>9223.8299999999981</v>
      </c>
      <c r="AS140" s="51">
        <f t="shared" si="1457"/>
        <v>30492.137213999995</v>
      </c>
      <c r="AT140" s="53">
        <f t="shared" si="1458"/>
        <v>8931.0099999999984</v>
      </c>
      <c r="AU140" s="51">
        <f t="shared" si="1459"/>
        <v>29524.132857999994</v>
      </c>
      <c r="AV140" s="53">
        <f t="shared" si="1460"/>
        <v>8638.1899999999969</v>
      </c>
      <c r="AW140" s="51">
        <f t="shared" si="1461"/>
        <v>28556.128501999989</v>
      </c>
      <c r="AX140" s="48">
        <f t="shared" si="1462"/>
        <v>8345.3699999999972</v>
      </c>
      <c r="AY140" s="51">
        <f t="shared" si="1463"/>
        <v>27588.124145999991</v>
      </c>
      <c r="BB140" s="48">
        <v>1</v>
      </c>
      <c r="BC140" s="48">
        <v>0.97</v>
      </c>
      <c r="BD140" s="48">
        <v>0.95</v>
      </c>
      <c r="BE140" s="48">
        <v>0.93</v>
      </c>
      <c r="BF140" s="48">
        <f t="shared" ref="BF140:BW140" si="1598">+BE140-0.02</f>
        <v>0.91</v>
      </c>
      <c r="BG140" s="48">
        <f t="shared" si="1598"/>
        <v>0.89</v>
      </c>
      <c r="BH140" s="48">
        <f t="shared" si="1598"/>
        <v>0.87</v>
      </c>
      <c r="BI140" s="48">
        <f t="shared" si="1598"/>
        <v>0.85</v>
      </c>
      <c r="BJ140" s="48">
        <f t="shared" si="1598"/>
        <v>0.83</v>
      </c>
      <c r="BK140" s="48">
        <f t="shared" si="1598"/>
        <v>0.80999999999999994</v>
      </c>
      <c r="BL140" s="48">
        <f t="shared" si="1598"/>
        <v>0.78999999999999992</v>
      </c>
      <c r="BM140" s="48">
        <f t="shared" si="1598"/>
        <v>0.76999999999999991</v>
      </c>
      <c r="BN140" s="48">
        <f t="shared" si="1598"/>
        <v>0.74999999999999989</v>
      </c>
      <c r="BO140" s="48">
        <f t="shared" si="1598"/>
        <v>0.72999999999999987</v>
      </c>
      <c r="BP140" s="48">
        <f t="shared" si="1598"/>
        <v>0.70999999999999985</v>
      </c>
      <c r="BQ140" s="48">
        <f t="shared" si="1598"/>
        <v>0.68999999999999984</v>
      </c>
      <c r="BR140" s="48">
        <f t="shared" si="1598"/>
        <v>0.66999999999999982</v>
      </c>
      <c r="BS140" s="48">
        <f t="shared" si="1598"/>
        <v>0.6499999999999998</v>
      </c>
      <c r="BT140" s="48">
        <f t="shared" si="1598"/>
        <v>0.62999999999999978</v>
      </c>
      <c r="BU140" s="48">
        <f t="shared" si="1598"/>
        <v>0.60999999999999976</v>
      </c>
      <c r="BV140" s="48">
        <f t="shared" si="1598"/>
        <v>0.58999999999999975</v>
      </c>
      <c r="BW140" s="48">
        <f t="shared" si="1598"/>
        <v>0.56999999999999973</v>
      </c>
      <c r="BY140" s="48">
        <f t="shared" si="952"/>
        <v>13323.310000000001</v>
      </c>
      <c r="BZ140" s="48">
        <f t="shared" si="953"/>
        <v>13323.310000000001</v>
      </c>
      <c r="CA140" s="51">
        <f t="shared" ref="CA140" si="1599">+BZ140*3.3058</f>
        <v>44044.198198000006</v>
      </c>
      <c r="CB140" s="48">
        <f t="shared" si="1466"/>
        <v>12923.610700000001</v>
      </c>
      <c r="CC140" s="51">
        <f t="shared" si="1467"/>
        <v>42722.872252060006</v>
      </c>
      <c r="CD140" s="48">
        <f t="shared" si="1468"/>
        <v>12657.1445</v>
      </c>
      <c r="CE140" s="51">
        <f t="shared" si="1469"/>
        <v>41841.988288100001</v>
      </c>
      <c r="CF140" s="48">
        <f t="shared" si="1470"/>
        <v>12390.678300000001</v>
      </c>
      <c r="CG140" s="51">
        <f t="shared" si="1471"/>
        <v>40961.104324140004</v>
      </c>
      <c r="CH140" s="52">
        <f t="shared" si="1472"/>
        <v>12124.212100000002</v>
      </c>
      <c r="CI140" s="51">
        <f t="shared" si="1473"/>
        <v>40080.220360180007</v>
      </c>
      <c r="CJ140" s="48">
        <f t="shared" si="1474"/>
        <v>11857.745900000002</v>
      </c>
      <c r="CK140" s="51">
        <f t="shared" si="1475"/>
        <v>39199.336396220009</v>
      </c>
      <c r="CL140" s="52">
        <f t="shared" si="1476"/>
        <v>11591.279700000001</v>
      </c>
      <c r="CM140" s="51">
        <f t="shared" si="1477"/>
        <v>38318.452432260005</v>
      </c>
      <c r="CN140" s="53">
        <f t="shared" si="1478"/>
        <v>11324.8135</v>
      </c>
      <c r="CO140" s="51">
        <f t="shared" si="1479"/>
        <v>37437.5684683</v>
      </c>
      <c r="CP140" s="52">
        <f t="shared" si="1480"/>
        <v>11058.347300000001</v>
      </c>
      <c r="CQ140" s="51">
        <f t="shared" si="1481"/>
        <v>36556.684504340003</v>
      </c>
      <c r="CR140" s="48">
        <f t="shared" si="1482"/>
        <v>10791.881100000001</v>
      </c>
      <c r="CS140" s="51">
        <f t="shared" si="1483"/>
        <v>35675.800540380005</v>
      </c>
      <c r="CT140" s="53">
        <f t="shared" si="1484"/>
        <v>10525.4149</v>
      </c>
      <c r="CU140" s="51">
        <f t="shared" si="1485"/>
        <v>34794.916576420001</v>
      </c>
      <c r="CV140" s="53">
        <f t="shared" si="1486"/>
        <v>10258.948699999999</v>
      </c>
      <c r="CW140" s="51">
        <f t="shared" si="1487"/>
        <v>33914.032612459996</v>
      </c>
      <c r="CX140" s="53">
        <f t="shared" si="1488"/>
        <v>9992.4825000000001</v>
      </c>
      <c r="CY140" s="51">
        <f t="shared" si="1489"/>
        <v>33033.148648499999</v>
      </c>
      <c r="CZ140" s="48">
        <f t="shared" si="1490"/>
        <v>9726.0162999999993</v>
      </c>
      <c r="DA140" s="51">
        <f t="shared" si="1491"/>
        <v>32152.264684539998</v>
      </c>
      <c r="DB140" s="53">
        <f t="shared" si="1492"/>
        <v>9459.5500999999986</v>
      </c>
      <c r="DC140" s="51">
        <f t="shared" si="1493"/>
        <v>31271.380720579997</v>
      </c>
      <c r="DD140" s="53">
        <f t="shared" si="1494"/>
        <v>9193.0838999999978</v>
      </c>
      <c r="DE140" s="51">
        <f t="shared" si="1495"/>
        <v>30390.496756619992</v>
      </c>
      <c r="DF140" s="53">
        <f t="shared" si="1496"/>
        <v>8926.6176999999989</v>
      </c>
      <c r="DG140" s="51">
        <f t="shared" si="1497"/>
        <v>29509.612792659998</v>
      </c>
      <c r="DH140" s="53">
        <f t="shared" si="1498"/>
        <v>8660.1514999999981</v>
      </c>
      <c r="DI140" s="51">
        <f t="shared" si="1499"/>
        <v>28628.728828699994</v>
      </c>
      <c r="DJ140" s="48">
        <f t="shared" si="1500"/>
        <v>8393.6852999999974</v>
      </c>
      <c r="DK140" s="51">
        <f t="shared" si="1501"/>
        <v>27747.844864739993</v>
      </c>
      <c r="DL140" s="53">
        <f t="shared" si="1502"/>
        <v>8127.2190999999975</v>
      </c>
      <c r="DM140" s="51">
        <f t="shared" si="1503"/>
        <v>26866.960900779992</v>
      </c>
      <c r="DN140" s="53">
        <f t="shared" si="1504"/>
        <v>7860.7528999999977</v>
      </c>
      <c r="DO140" s="51">
        <f t="shared" si="1505"/>
        <v>25986.076936819994</v>
      </c>
      <c r="DP140" s="48">
        <f t="shared" si="1506"/>
        <v>7594.2866999999969</v>
      </c>
      <c r="DQ140" s="51">
        <f t="shared" si="1507"/>
        <v>25105.19297285999</v>
      </c>
      <c r="DT140" s="48">
        <v>1</v>
      </c>
      <c r="DU140" s="48">
        <v>0.97</v>
      </c>
      <c r="DV140" s="48">
        <v>0.95</v>
      </c>
      <c r="DW140" s="48">
        <v>0.93</v>
      </c>
      <c r="DX140" s="48">
        <f t="shared" ref="DX140:EO140" si="1600">+DW140-0.02</f>
        <v>0.91</v>
      </c>
      <c r="DY140" s="48">
        <f t="shared" si="1600"/>
        <v>0.89</v>
      </c>
      <c r="DZ140" s="48">
        <f t="shared" si="1600"/>
        <v>0.87</v>
      </c>
      <c r="EA140" s="48">
        <f t="shared" si="1600"/>
        <v>0.85</v>
      </c>
      <c r="EB140" s="48">
        <f t="shared" si="1600"/>
        <v>0.83</v>
      </c>
      <c r="EC140" s="48">
        <f t="shared" si="1600"/>
        <v>0.80999999999999994</v>
      </c>
      <c r="ED140" s="48">
        <f t="shared" si="1600"/>
        <v>0.78999999999999992</v>
      </c>
      <c r="EE140" s="48">
        <f t="shared" si="1600"/>
        <v>0.76999999999999991</v>
      </c>
      <c r="EF140" s="48">
        <f t="shared" si="1600"/>
        <v>0.74999999999999989</v>
      </c>
      <c r="EG140" s="48">
        <f t="shared" si="1600"/>
        <v>0.72999999999999987</v>
      </c>
      <c r="EH140" s="48">
        <f t="shared" si="1600"/>
        <v>0.70999999999999985</v>
      </c>
      <c r="EI140" s="48">
        <f t="shared" si="1600"/>
        <v>0.68999999999999984</v>
      </c>
      <c r="EJ140" s="48">
        <f t="shared" si="1600"/>
        <v>0.66999999999999982</v>
      </c>
      <c r="EK140" s="48">
        <f t="shared" si="1600"/>
        <v>0.6499999999999998</v>
      </c>
      <c r="EL140" s="48">
        <f t="shared" si="1600"/>
        <v>0.62999999999999978</v>
      </c>
      <c r="EM140" s="48">
        <f t="shared" si="1600"/>
        <v>0.60999999999999976</v>
      </c>
      <c r="EN140" s="48">
        <f t="shared" si="1600"/>
        <v>0.58999999999999975</v>
      </c>
      <c r="EO140" s="48">
        <f t="shared" si="1600"/>
        <v>0.56999999999999973</v>
      </c>
      <c r="EQ140" s="48">
        <f t="shared" si="1128"/>
        <v>12124.212100000002</v>
      </c>
      <c r="ER140" s="48">
        <f t="shared" si="956"/>
        <v>12124.212100000002</v>
      </c>
      <c r="ES140" s="51">
        <f t="shared" ref="ES140" si="1601">+ER140*3.3058</f>
        <v>40080.220360180007</v>
      </c>
      <c r="ET140" s="48">
        <f t="shared" si="1510"/>
        <v>11760.485737000003</v>
      </c>
      <c r="EU140" s="51">
        <f t="shared" si="1511"/>
        <v>38877.813749374611</v>
      </c>
      <c r="EV140" s="48">
        <f t="shared" si="1512"/>
        <v>11518.001495000002</v>
      </c>
      <c r="EW140" s="51">
        <f t="shared" si="1513"/>
        <v>38076.209342171009</v>
      </c>
      <c r="EX140" s="48">
        <f t="shared" si="1514"/>
        <v>11275.517253000004</v>
      </c>
      <c r="EY140" s="51">
        <f t="shared" si="1515"/>
        <v>37274.604934967414</v>
      </c>
      <c r="EZ140" s="52">
        <f t="shared" si="1516"/>
        <v>11033.033011000003</v>
      </c>
      <c r="FA140" s="51">
        <f t="shared" si="1517"/>
        <v>36473.000527763812</v>
      </c>
      <c r="FB140" s="48">
        <f t="shared" si="1518"/>
        <v>10790.548769000003</v>
      </c>
      <c r="FC140" s="51">
        <f t="shared" si="1519"/>
        <v>35671.39612056021</v>
      </c>
      <c r="FD140" s="52">
        <f t="shared" si="1520"/>
        <v>10548.064527000002</v>
      </c>
      <c r="FE140" s="51">
        <f t="shared" si="1521"/>
        <v>34869.791713356608</v>
      </c>
      <c r="FF140" s="53">
        <f t="shared" si="1522"/>
        <v>10305.580285000002</v>
      </c>
      <c r="FG140" s="51">
        <f t="shared" si="1523"/>
        <v>34068.187306153006</v>
      </c>
      <c r="FH140" s="52">
        <f t="shared" si="1524"/>
        <v>10063.096043000001</v>
      </c>
      <c r="FI140" s="51">
        <f t="shared" si="1525"/>
        <v>33266.582898949404</v>
      </c>
      <c r="FJ140" s="48">
        <f t="shared" si="1526"/>
        <v>9820.6118010000009</v>
      </c>
      <c r="FK140" s="51">
        <f t="shared" si="1527"/>
        <v>32464.978491745806</v>
      </c>
      <c r="FL140" s="53">
        <f t="shared" si="1528"/>
        <v>9578.1275590000005</v>
      </c>
      <c r="FM140" s="51">
        <f t="shared" si="1529"/>
        <v>31663.374084542203</v>
      </c>
      <c r="FN140" s="53">
        <f t="shared" si="1530"/>
        <v>9335.643317</v>
      </c>
      <c r="FO140" s="51">
        <f t="shared" si="1531"/>
        <v>30861.769677338601</v>
      </c>
      <c r="FP140" s="53">
        <f t="shared" si="1532"/>
        <v>9093.1590750000014</v>
      </c>
      <c r="FQ140" s="51">
        <f t="shared" si="1533"/>
        <v>30060.165270135007</v>
      </c>
      <c r="FR140" s="48">
        <f t="shared" si="1534"/>
        <v>8850.6748330000009</v>
      </c>
      <c r="FS140" s="51">
        <f t="shared" si="1535"/>
        <v>29258.560862931405</v>
      </c>
      <c r="FT140" s="53">
        <f t="shared" si="1536"/>
        <v>8608.1905910000005</v>
      </c>
      <c r="FU140" s="51">
        <f t="shared" si="1537"/>
        <v>28456.956455727803</v>
      </c>
      <c r="FV140" s="53">
        <f t="shared" si="1538"/>
        <v>8365.706349</v>
      </c>
      <c r="FW140" s="51">
        <f t="shared" si="1539"/>
        <v>27655.352048524201</v>
      </c>
      <c r="FX140" s="53">
        <f t="shared" si="1540"/>
        <v>8123.2221069999996</v>
      </c>
      <c r="FY140" s="51">
        <f t="shared" si="1541"/>
        <v>26853.747641320599</v>
      </c>
      <c r="FZ140" s="53">
        <f t="shared" si="1542"/>
        <v>7880.7378649999991</v>
      </c>
      <c r="GA140" s="51">
        <f t="shared" si="1543"/>
        <v>26052.143234116997</v>
      </c>
      <c r="GB140" s="48">
        <f t="shared" si="1544"/>
        <v>7638.2536229999987</v>
      </c>
      <c r="GC140" s="51">
        <f t="shared" si="1545"/>
        <v>25250.538826913395</v>
      </c>
      <c r="GD140" s="53">
        <f t="shared" si="1546"/>
        <v>7395.7693809999982</v>
      </c>
      <c r="GE140" s="51">
        <f t="shared" si="1547"/>
        <v>24448.934419709796</v>
      </c>
      <c r="GF140" s="53">
        <f t="shared" si="1548"/>
        <v>7153.2851389999987</v>
      </c>
      <c r="GG140" s="51">
        <f t="shared" si="1549"/>
        <v>23647.330012506198</v>
      </c>
      <c r="GH140" s="48">
        <f t="shared" si="1550"/>
        <v>6910.8008969999983</v>
      </c>
      <c r="GI140" s="51">
        <f t="shared" si="1551"/>
        <v>22845.725605302596</v>
      </c>
      <c r="GJ140" s="48"/>
      <c r="GK140" s="48"/>
      <c r="GL140" s="48">
        <v>1</v>
      </c>
      <c r="GM140" s="48">
        <v>0.97</v>
      </c>
      <c r="GN140" s="48">
        <v>0.95</v>
      </c>
      <c r="GO140" s="48">
        <v>0.93</v>
      </c>
      <c r="GP140" s="48">
        <f t="shared" ref="GP140:HG140" si="1602">+GO140-0.02</f>
        <v>0.91</v>
      </c>
      <c r="GQ140" s="48">
        <f t="shared" si="1602"/>
        <v>0.89</v>
      </c>
      <c r="GR140" s="48">
        <f t="shared" si="1602"/>
        <v>0.87</v>
      </c>
      <c r="GS140" s="48">
        <f t="shared" si="1602"/>
        <v>0.85</v>
      </c>
      <c r="GT140" s="48">
        <f t="shared" si="1602"/>
        <v>0.83</v>
      </c>
      <c r="GU140" s="48">
        <f t="shared" si="1602"/>
        <v>0.80999999999999994</v>
      </c>
      <c r="GV140" s="48">
        <f t="shared" si="1602"/>
        <v>0.78999999999999992</v>
      </c>
      <c r="GW140" s="48">
        <f t="shared" si="1602"/>
        <v>0.76999999999999991</v>
      </c>
      <c r="GX140" s="48">
        <f t="shared" si="1602"/>
        <v>0.74999999999999989</v>
      </c>
      <c r="GY140" s="48">
        <f t="shared" si="1602"/>
        <v>0.72999999999999987</v>
      </c>
      <c r="GZ140" s="48">
        <f t="shared" si="1602"/>
        <v>0.70999999999999985</v>
      </c>
      <c r="HA140" s="48">
        <f t="shared" si="1602"/>
        <v>0.68999999999999984</v>
      </c>
      <c r="HB140" s="48">
        <f t="shared" si="1602"/>
        <v>0.66999999999999982</v>
      </c>
      <c r="HC140" s="48">
        <f t="shared" si="1602"/>
        <v>0.6499999999999998</v>
      </c>
      <c r="HD140" s="48">
        <f t="shared" si="1602"/>
        <v>0.62999999999999978</v>
      </c>
      <c r="HE140" s="48">
        <f t="shared" si="1602"/>
        <v>0.60999999999999976</v>
      </c>
      <c r="HF140" s="48">
        <f t="shared" si="1602"/>
        <v>0.58999999999999975</v>
      </c>
      <c r="HG140" s="48">
        <f t="shared" si="1602"/>
        <v>0.56999999999999973</v>
      </c>
    </row>
    <row r="141" spans="1:215" s="54" customFormat="1" x14ac:dyDescent="0.3">
      <c r="C141" s="55"/>
      <c r="D141" s="55"/>
      <c r="E141" s="55"/>
      <c r="G141" s="56"/>
      <c r="H141" s="56"/>
      <c r="I141" s="56"/>
      <c r="J141" s="56"/>
      <c r="K141" s="56"/>
      <c r="L141" s="56"/>
      <c r="M141" s="56"/>
      <c r="N141" s="56"/>
      <c r="O141" s="56"/>
      <c r="P141" s="57"/>
      <c r="Q141" s="56"/>
      <c r="R141" s="56"/>
      <c r="S141" s="56"/>
      <c r="T141" s="57"/>
      <c r="U141" s="56"/>
      <c r="V141" s="58"/>
      <c r="W141" s="56"/>
      <c r="X141" s="57"/>
      <c r="Y141" s="56"/>
      <c r="Z141" s="56"/>
      <c r="AA141" s="56"/>
      <c r="AB141" s="58"/>
      <c r="AC141" s="56"/>
      <c r="AD141" s="58"/>
      <c r="AE141" s="56"/>
      <c r="AF141" s="58"/>
      <c r="AG141" s="56"/>
      <c r="AH141" s="56"/>
      <c r="AI141" s="56"/>
      <c r="AJ141" s="58"/>
      <c r="AK141" s="56"/>
      <c r="AL141" s="58"/>
      <c r="AM141" s="56"/>
      <c r="AN141" s="58"/>
      <c r="AO141" s="56"/>
      <c r="AP141" s="58"/>
      <c r="AQ141" s="56"/>
      <c r="AR141" s="56"/>
      <c r="AS141" s="56"/>
      <c r="AT141" s="58"/>
      <c r="AU141" s="56"/>
      <c r="AV141" s="58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>
        <f t="shared" si="952"/>
        <v>0</v>
      </c>
      <c r="BZ141" s="56"/>
      <c r="CA141" s="56"/>
      <c r="CB141" s="56"/>
      <c r="CC141" s="56"/>
      <c r="CD141" s="56"/>
      <c r="CE141" s="56"/>
      <c r="CF141" s="56"/>
      <c r="CG141" s="56"/>
      <c r="CH141" s="57"/>
      <c r="CI141" s="56"/>
      <c r="CJ141" s="56"/>
      <c r="CK141" s="56"/>
      <c r="CL141" s="57"/>
      <c r="CM141" s="56"/>
      <c r="CN141" s="58"/>
      <c r="CO141" s="56"/>
      <c r="CP141" s="57"/>
      <c r="CQ141" s="56"/>
      <c r="CR141" s="56"/>
      <c r="CS141" s="56"/>
      <c r="CT141" s="58"/>
      <c r="CU141" s="56"/>
      <c r="CV141" s="58"/>
      <c r="CW141" s="56"/>
      <c r="CX141" s="58"/>
      <c r="CY141" s="56"/>
      <c r="CZ141" s="56"/>
      <c r="DA141" s="56"/>
      <c r="DB141" s="58"/>
      <c r="DC141" s="56"/>
      <c r="DD141" s="58"/>
      <c r="DE141" s="56"/>
      <c r="DF141" s="58"/>
      <c r="DG141" s="56"/>
      <c r="DH141" s="58"/>
      <c r="DI141" s="56"/>
      <c r="DJ141" s="56"/>
      <c r="DK141" s="56"/>
      <c r="DL141" s="58"/>
      <c r="DM141" s="56"/>
      <c r="DN141" s="58"/>
      <c r="DO141" s="56"/>
      <c r="DP141" s="56"/>
      <c r="DQ141" s="56"/>
      <c r="DR141" s="56"/>
      <c r="DS141" s="56"/>
      <c r="DT141" s="56">
        <v>1</v>
      </c>
      <c r="DU141" s="56">
        <v>0.97</v>
      </c>
      <c r="DV141" s="56">
        <v>0.95</v>
      </c>
      <c r="DW141" s="56">
        <v>0.93</v>
      </c>
      <c r="DX141" s="56">
        <f t="shared" ref="DX141:EO141" si="1603">+DW141-0.02</f>
        <v>0.91</v>
      </c>
      <c r="DY141" s="56">
        <f t="shared" si="1603"/>
        <v>0.89</v>
      </c>
      <c r="DZ141" s="56">
        <f t="shared" si="1603"/>
        <v>0.87</v>
      </c>
      <c r="EA141" s="56">
        <f t="shared" si="1603"/>
        <v>0.85</v>
      </c>
      <c r="EB141" s="56">
        <f t="shared" si="1603"/>
        <v>0.83</v>
      </c>
      <c r="EC141" s="56">
        <f t="shared" si="1603"/>
        <v>0.80999999999999994</v>
      </c>
      <c r="ED141" s="56">
        <f t="shared" si="1603"/>
        <v>0.78999999999999992</v>
      </c>
      <c r="EE141" s="56">
        <f t="shared" si="1603"/>
        <v>0.76999999999999991</v>
      </c>
      <c r="EF141" s="56">
        <f t="shared" si="1603"/>
        <v>0.74999999999999989</v>
      </c>
      <c r="EG141" s="56">
        <f t="shared" si="1603"/>
        <v>0.72999999999999987</v>
      </c>
      <c r="EH141" s="56">
        <f t="shared" si="1603"/>
        <v>0.70999999999999985</v>
      </c>
      <c r="EI141" s="56">
        <f t="shared" si="1603"/>
        <v>0.68999999999999984</v>
      </c>
      <c r="EJ141" s="56">
        <f t="shared" si="1603"/>
        <v>0.66999999999999982</v>
      </c>
      <c r="EK141" s="56">
        <f t="shared" si="1603"/>
        <v>0.6499999999999998</v>
      </c>
      <c r="EL141" s="56">
        <f t="shared" si="1603"/>
        <v>0.62999999999999978</v>
      </c>
      <c r="EM141" s="56">
        <f t="shared" si="1603"/>
        <v>0.60999999999999976</v>
      </c>
      <c r="EN141" s="56">
        <f t="shared" si="1603"/>
        <v>0.58999999999999975</v>
      </c>
      <c r="EO141" s="56">
        <f t="shared" si="1603"/>
        <v>0.56999999999999973</v>
      </c>
      <c r="EQ141" s="56">
        <f t="shared" si="1128"/>
        <v>0</v>
      </c>
      <c r="ER141" s="56"/>
      <c r="ES141" s="56"/>
      <c r="ET141" s="56"/>
      <c r="EU141" s="56"/>
      <c r="EV141" s="56"/>
      <c r="EW141" s="56"/>
      <c r="EX141" s="56"/>
      <c r="EY141" s="56"/>
      <c r="EZ141" s="57"/>
      <c r="FA141" s="56"/>
      <c r="FB141" s="56"/>
      <c r="FC141" s="56"/>
      <c r="FD141" s="57"/>
      <c r="FE141" s="56"/>
      <c r="FF141" s="58"/>
      <c r="FG141" s="56"/>
      <c r="FH141" s="57"/>
      <c r="FI141" s="56"/>
      <c r="FJ141" s="56"/>
      <c r="FK141" s="56"/>
      <c r="FL141" s="58"/>
      <c r="FM141" s="56"/>
      <c r="FN141" s="58"/>
      <c r="FO141" s="56"/>
      <c r="FP141" s="58"/>
      <c r="FQ141" s="56"/>
      <c r="FR141" s="56"/>
      <c r="FS141" s="56"/>
      <c r="FT141" s="58"/>
      <c r="FU141" s="56"/>
      <c r="FV141" s="58"/>
      <c r="FW141" s="56"/>
      <c r="FX141" s="58"/>
      <c r="FY141" s="56"/>
      <c r="FZ141" s="58"/>
      <c r="GA141" s="56"/>
      <c r="GB141" s="56"/>
      <c r="GC141" s="56"/>
      <c r="GD141" s="58"/>
      <c r="GE141" s="56"/>
      <c r="GF141" s="58"/>
      <c r="GG141" s="56"/>
      <c r="GH141" s="56"/>
      <c r="GI141" s="56"/>
      <c r="GJ141" s="56"/>
      <c r="GK141" s="56"/>
      <c r="GL141" s="56">
        <v>1</v>
      </c>
      <c r="GM141" s="56">
        <v>0.97</v>
      </c>
      <c r="GN141" s="56">
        <v>0.95</v>
      </c>
      <c r="GO141" s="56">
        <v>0.93</v>
      </c>
      <c r="GP141" s="56">
        <f t="shared" ref="GP141:HG141" si="1604">+GO141-0.02</f>
        <v>0.91</v>
      </c>
      <c r="GQ141" s="56">
        <f t="shared" si="1604"/>
        <v>0.89</v>
      </c>
      <c r="GR141" s="56">
        <f t="shared" si="1604"/>
        <v>0.87</v>
      </c>
      <c r="GS141" s="56">
        <f t="shared" si="1604"/>
        <v>0.85</v>
      </c>
      <c r="GT141" s="56">
        <f t="shared" si="1604"/>
        <v>0.83</v>
      </c>
      <c r="GU141" s="56">
        <f t="shared" si="1604"/>
        <v>0.80999999999999994</v>
      </c>
      <c r="GV141" s="56">
        <f t="shared" si="1604"/>
        <v>0.78999999999999992</v>
      </c>
      <c r="GW141" s="56">
        <f t="shared" si="1604"/>
        <v>0.76999999999999991</v>
      </c>
      <c r="GX141" s="56">
        <f t="shared" si="1604"/>
        <v>0.74999999999999989</v>
      </c>
      <c r="GY141" s="56">
        <f t="shared" si="1604"/>
        <v>0.72999999999999987</v>
      </c>
      <c r="GZ141" s="56">
        <f t="shared" si="1604"/>
        <v>0.70999999999999985</v>
      </c>
      <c r="HA141" s="56">
        <f t="shared" si="1604"/>
        <v>0.68999999999999984</v>
      </c>
      <c r="HB141" s="56">
        <f t="shared" si="1604"/>
        <v>0.66999999999999982</v>
      </c>
      <c r="HC141" s="56">
        <f t="shared" si="1604"/>
        <v>0.6499999999999998</v>
      </c>
      <c r="HD141" s="56">
        <f t="shared" si="1604"/>
        <v>0.62999999999999978</v>
      </c>
      <c r="HE141" s="56">
        <f t="shared" si="1604"/>
        <v>0.60999999999999976</v>
      </c>
      <c r="HF141" s="56">
        <f t="shared" si="1604"/>
        <v>0.58999999999999975</v>
      </c>
      <c r="HG141" s="56">
        <f t="shared" si="1604"/>
        <v>0.56999999999999973</v>
      </c>
    </row>
    <row r="142" spans="1:215" s="54" customFormat="1" ht="17.25" thickBot="1" x14ac:dyDescent="0.35">
      <c r="B142" s="54" t="s">
        <v>197</v>
      </c>
      <c r="C142" s="54" t="s">
        <v>131</v>
      </c>
      <c r="D142" s="55" t="s">
        <v>205</v>
      </c>
      <c r="E142" s="55" t="s">
        <v>61</v>
      </c>
      <c r="G142" s="56"/>
      <c r="H142" s="56"/>
      <c r="I142" s="56"/>
      <c r="J142" s="56"/>
      <c r="K142" s="56"/>
      <c r="L142" s="56"/>
      <c r="M142" s="56"/>
      <c r="N142" s="56"/>
      <c r="O142" s="56"/>
      <c r="P142" s="57"/>
      <c r="Q142" s="56"/>
      <c r="R142" s="56"/>
      <c r="S142" s="56"/>
      <c r="T142" s="57"/>
      <c r="U142" s="56"/>
      <c r="V142" s="58"/>
      <c r="W142" s="56"/>
      <c r="X142" s="57"/>
      <c r="Y142" s="56"/>
      <c r="Z142" s="56"/>
      <c r="AA142" s="56"/>
      <c r="AB142" s="58"/>
      <c r="AC142" s="56"/>
      <c r="AD142" s="58"/>
      <c r="AE142" s="56"/>
      <c r="AF142" s="58"/>
      <c r="AG142" s="56"/>
      <c r="AH142" s="56"/>
      <c r="AI142" s="56"/>
      <c r="AJ142" s="58"/>
      <c r="AK142" s="56"/>
      <c r="AL142" s="58"/>
      <c r="AM142" s="56"/>
      <c r="AN142" s="58"/>
      <c r="AO142" s="56"/>
      <c r="AP142" s="58"/>
      <c r="AQ142" s="56"/>
      <c r="AR142" s="56"/>
      <c r="AS142" s="56"/>
      <c r="AT142" s="58"/>
      <c r="AU142" s="56"/>
      <c r="AV142" s="58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>
        <f t="shared" si="952"/>
        <v>0</v>
      </c>
      <c r="BZ142" s="56"/>
      <c r="CA142" s="56"/>
      <c r="CB142" s="56"/>
      <c r="CC142" s="56"/>
      <c r="CD142" s="56"/>
      <c r="CE142" s="56"/>
      <c r="CF142" s="56"/>
      <c r="CG142" s="56"/>
      <c r="CH142" s="57"/>
      <c r="CI142" s="56"/>
      <c r="CJ142" s="56"/>
      <c r="CK142" s="56"/>
      <c r="CL142" s="57"/>
      <c r="CM142" s="56"/>
      <c r="CN142" s="58"/>
      <c r="CO142" s="56"/>
      <c r="CP142" s="57"/>
      <c r="CQ142" s="56"/>
      <c r="CR142" s="56"/>
      <c r="CS142" s="56"/>
      <c r="CT142" s="58"/>
      <c r="CU142" s="56"/>
      <c r="CV142" s="58"/>
      <c r="CW142" s="56"/>
      <c r="CX142" s="58"/>
      <c r="CY142" s="56"/>
      <c r="CZ142" s="56"/>
      <c r="DA142" s="56"/>
      <c r="DB142" s="58"/>
      <c r="DC142" s="56"/>
      <c r="DD142" s="58"/>
      <c r="DE142" s="56"/>
      <c r="DF142" s="58"/>
      <c r="DG142" s="56"/>
      <c r="DH142" s="58"/>
      <c r="DI142" s="56"/>
      <c r="DJ142" s="56"/>
      <c r="DK142" s="56"/>
      <c r="DL142" s="58"/>
      <c r="DM142" s="56"/>
      <c r="DN142" s="58"/>
      <c r="DO142" s="56"/>
      <c r="DP142" s="56"/>
      <c r="DQ142" s="56"/>
      <c r="DR142" s="56"/>
      <c r="DS142" s="56"/>
      <c r="DT142" s="56">
        <v>1</v>
      </c>
      <c r="DU142" s="56">
        <v>0.97</v>
      </c>
      <c r="DV142" s="56">
        <v>0.95</v>
      </c>
      <c r="DW142" s="56">
        <v>0.93</v>
      </c>
      <c r="DX142" s="56">
        <f t="shared" ref="DX142:EO142" si="1605">+DW142-0.02</f>
        <v>0.91</v>
      </c>
      <c r="DY142" s="56">
        <f t="shared" si="1605"/>
        <v>0.89</v>
      </c>
      <c r="DZ142" s="56">
        <f t="shared" si="1605"/>
        <v>0.87</v>
      </c>
      <c r="EA142" s="56">
        <f t="shared" si="1605"/>
        <v>0.85</v>
      </c>
      <c r="EB142" s="56">
        <f t="shared" si="1605"/>
        <v>0.83</v>
      </c>
      <c r="EC142" s="56">
        <f t="shared" si="1605"/>
        <v>0.80999999999999994</v>
      </c>
      <c r="ED142" s="56">
        <f t="shared" si="1605"/>
        <v>0.78999999999999992</v>
      </c>
      <c r="EE142" s="56">
        <f t="shared" si="1605"/>
        <v>0.76999999999999991</v>
      </c>
      <c r="EF142" s="56">
        <f t="shared" si="1605"/>
        <v>0.74999999999999989</v>
      </c>
      <c r="EG142" s="56">
        <f t="shared" si="1605"/>
        <v>0.72999999999999987</v>
      </c>
      <c r="EH142" s="56">
        <f t="shared" si="1605"/>
        <v>0.70999999999999985</v>
      </c>
      <c r="EI142" s="56">
        <f t="shared" si="1605"/>
        <v>0.68999999999999984</v>
      </c>
      <c r="EJ142" s="56">
        <f t="shared" si="1605"/>
        <v>0.66999999999999982</v>
      </c>
      <c r="EK142" s="56">
        <f t="shared" si="1605"/>
        <v>0.6499999999999998</v>
      </c>
      <c r="EL142" s="56">
        <f t="shared" si="1605"/>
        <v>0.62999999999999978</v>
      </c>
      <c r="EM142" s="56">
        <f t="shared" si="1605"/>
        <v>0.60999999999999976</v>
      </c>
      <c r="EN142" s="56">
        <f t="shared" si="1605"/>
        <v>0.58999999999999975</v>
      </c>
      <c r="EO142" s="56">
        <f t="shared" si="1605"/>
        <v>0.56999999999999973</v>
      </c>
      <c r="EQ142" s="56">
        <f t="shared" si="1128"/>
        <v>0</v>
      </c>
      <c r="ER142" s="56"/>
      <c r="ES142" s="56"/>
      <c r="ET142" s="56"/>
      <c r="EU142" s="56"/>
      <c r="EV142" s="56"/>
      <c r="EW142" s="56"/>
      <c r="EX142" s="56"/>
      <c r="EY142" s="56"/>
      <c r="EZ142" s="57"/>
      <c r="FA142" s="56"/>
      <c r="FB142" s="56"/>
      <c r="FC142" s="56"/>
      <c r="FD142" s="57"/>
      <c r="FE142" s="56"/>
      <c r="FF142" s="58"/>
      <c r="FG142" s="56"/>
      <c r="FH142" s="57"/>
      <c r="FI142" s="56"/>
      <c r="FJ142" s="56"/>
      <c r="FK142" s="56"/>
      <c r="FL142" s="58"/>
      <c r="FM142" s="56"/>
      <c r="FN142" s="58"/>
      <c r="FO142" s="56"/>
      <c r="FP142" s="58"/>
      <c r="FQ142" s="56"/>
      <c r="FR142" s="56"/>
      <c r="FS142" s="56"/>
      <c r="FT142" s="58"/>
      <c r="FU142" s="56"/>
      <c r="FV142" s="58"/>
      <c r="FW142" s="56"/>
      <c r="FX142" s="58"/>
      <c r="FY142" s="56"/>
      <c r="FZ142" s="58"/>
      <c r="GA142" s="56"/>
      <c r="GB142" s="56"/>
      <c r="GC142" s="56"/>
      <c r="GD142" s="58"/>
      <c r="GE142" s="56"/>
      <c r="GF142" s="58"/>
      <c r="GG142" s="56"/>
      <c r="GH142" s="56"/>
      <c r="GI142" s="56"/>
      <c r="GJ142" s="56"/>
      <c r="GK142" s="56"/>
      <c r="GL142" s="56">
        <v>1</v>
      </c>
      <c r="GM142" s="56">
        <v>0.97</v>
      </c>
      <c r="GN142" s="56">
        <v>0.95</v>
      </c>
      <c r="GO142" s="56">
        <v>0.93</v>
      </c>
      <c r="GP142" s="56">
        <f t="shared" ref="GP142:HG142" si="1606">+GO142-0.02</f>
        <v>0.91</v>
      </c>
      <c r="GQ142" s="56">
        <f t="shared" si="1606"/>
        <v>0.89</v>
      </c>
      <c r="GR142" s="56">
        <f t="shared" si="1606"/>
        <v>0.87</v>
      </c>
      <c r="GS142" s="56">
        <f t="shared" si="1606"/>
        <v>0.85</v>
      </c>
      <c r="GT142" s="56">
        <f t="shared" si="1606"/>
        <v>0.83</v>
      </c>
      <c r="GU142" s="56">
        <f t="shared" si="1606"/>
        <v>0.80999999999999994</v>
      </c>
      <c r="GV142" s="56">
        <f t="shared" si="1606"/>
        <v>0.78999999999999992</v>
      </c>
      <c r="GW142" s="56">
        <f t="shared" si="1606"/>
        <v>0.76999999999999991</v>
      </c>
      <c r="GX142" s="56">
        <f t="shared" si="1606"/>
        <v>0.74999999999999989</v>
      </c>
      <c r="GY142" s="56">
        <f t="shared" si="1606"/>
        <v>0.72999999999999987</v>
      </c>
      <c r="GZ142" s="56">
        <f t="shared" si="1606"/>
        <v>0.70999999999999985</v>
      </c>
      <c r="HA142" s="56">
        <f t="shared" si="1606"/>
        <v>0.68999999999999984</v>
      </c>
      <c r="HB142" s="56">
        <f t="shared" si="1606"/>
        <v>0.66999999999999982</v>
      </c>
      <c r="HC142" s="56">
        <f t="shared" si="1606"/>
        <v>0.6499999999999998</v>
      </c>
      <c r="HD142" s="56">
        <f t="shared" si="1606"/>
        <v>0.62999999999999978</v>
      </c>
      <c r="HE142" s="56">
        <f t="shared" si="1606"/>
        <v>0.60999999999999976</v>
      </c>
      <c r="HF142" s="56">
        <f t="shared" si="1606"/>
        <v>0.58999999999999975</v>
      </c>
      <c r="HG142" s="56">
        <f t="shared" si="1606"/>
        <v>0.56999999999999973</v>
      </c>
    </row>
    <row r="143" spans="1:215" x14ac:dyDescent="0.3">
      <c r="A143" s="2">
        <v>1</v>
      </c>
      <c r="C143" s="39" t="s">
        <v>198</v>
      </c>
      <c r="D143" s="42">
        <f>TRUNC(1713.76978939724+643.759077705156,-1)</f>
        <v>2350</v>
      </c>
      <c r="E143" s="72">
        <f>TRUNC(+D143*3.3058,-1)</f>
        <v>7760</v>
      </c>
      <c r="G143" s="48">
        <f t="shared" si="948"/>
        <v>2585</v>
      </c>
      <c r="H143" s="48">
        <f t="shared" si="949"/>
        <v>2585</v>
      </c>
      <c r="I143" s="51">
        <f t="shared" si="950"/>
        <v>8545.4930000000004</v>
      </c>
      <c r="J143" s="48">
        <f t="shared" ref="J143:J148" si="1607">+H143*BC143</f>
        <v>2507.4499999999998</v>
      </c>
      <c r="K143" s="51">
        <f t="shared" ref="K143:K148" si="1608">+J143*3.3058</f>
        <v>8289.1282099999989</v>
      </c>
      <c r="L143" s="48">
        <f t="shared" ref="L143:L148" si="1609">+H143*BD143</f>
        <v>2455.75</v>
      </c>
      <c r="M143" s="51">
        <f t="shared" ref="M143:M148" si="1610">+L143*3.3058</f>
        <v>8118.2183500000001</v>
      </c>
      <c r="N143" s="48">
        <f t="shared" ref="N143:N148" si="1611">+H143*BE143</f>
        <v>2404.0500000000002</v>
      </c>
      <c r="O143" s="51">
        <f t="shared" ref="O143:O148" si="1612">+N143*3.3058</f>
        <v>7947.3084900000003</v>
      </c>
      <c r="P143" s="52">
        <f t="shared" ref="P143:P148" si="1613">+H143*BF143</f>
        <v>2352.35</v>
      </c>
      <c r="Q143" s="51">
        <f t="shared" ref="Q143:Q148" si="1614">+P143*3.3058</f>
        <v>7776.3986299999997</v>
      </c>
      <c r="R143" s="48">
        <f t="shared" ref="R143:R148" si="1615">+H143*BG143</f>
        <v>2300.65</v>
      </c>
      <c r="S143" s="51">
        <f t="shared" ref="S143:S148" si="1616">+R143*3.3058</f>
        <v>7605.4887700000008</v>
      </c>
      <c r="T143" s="52">
        <f t="shared" ref="T143:T148" si="1617">+H143*BH143</f>
        <v>2248.9499999999998</v>
      </c>
      <c r="U143" s="51">
        <f t="shared" ref="U143:U148" si="1618">+T143*3.3058</f>
        <v>7434.5789099999993</v>
      </c>
      <c r="V143" s="53">
        <f t="shared" ref="V143:V148" si="1619">+H143*BI143</f>
        <v>2197.25</v>
      </c>
      <c r="W143" s="51">
        <f t="shared" ref="W143:W148" si="1620">+V143*3.3058</f>
        <v>7263.6690500000004</v>
      </c>
      <c r="X143" s="52">
        <f t="shared" ref="X143:X148" si="1621">+H143*BJ143</f>
        <v>2145.5499999999997</v>
      </c>
      <c r="Y143" s="51">
        <f t="shared" ref="Y143:Y148" si="1622">+X143*3.3058</f>
        <v>7092.7591899999989</v>
      </c>
      <c r="Z143" s="48">
        <f t="shared" ref="Z143:Z148" si="1623">+H143*BK143</f>
        <v>2093.85</v>
      </c>
      <c r="AA143" s="51">
        <f t="shared" ref="AA143:AA148" si="1624">+Z143*3.3058</f>
        <v>6921.84933</v>
      </c>
      <c r="AB143" s="53">
        <f t="shared" ref="AB143:AB148" si="1625">+H143*BL143</f>
        <v>2042.1499999999999</v>
      </c>
      <c r="AC143" s="51">
        <f t="shared" ref="AC143:AC148" si="1626">+AB143*3.3058</f>
        <v>6750.9394699999993</v>
      </c>
      <c r="AD143" s="53">
        <f t="shared" ref="AD143:AD148" si="1627">+H143*BM143</f>
        <v>1990.4499999999998</v>
      </c>
      <c r="AE143" s="51">
        <f t="shared" ref="AE143:AE148" si="1628">+AD143*3.3058</f>
        <v>6580.0296099999996</v>
      </c>
      <c r="AF143" s="53">
        <f t="shared" ref="AF143:AF148" si="1629">+H143*BN143</f>
        <v>1938.7499999999998</v>
      </c>
      <c r="AG143" s="51">
        <f t="shared" ref="AG143:AG148" si="1630">+AF143*3.3058</f>
        <v>6409.1197499999998</v>
      </c>
      <c r="AH143" s="48">
        <f t="shared" ref="AH143:AH148" si="1631">+H143*BO143</f>
        <v>1887.0499999999997</v>
      </c>
      <c r="AI143" s="51">
        <f t="shared" ref="AI143:AI148" si="1632">+AH143*3.3058</f>
        <v>6238.2098899999992</v>
      </c>
      <c r="AJ143" s="53">
        <f t="shared" ref="AJ143:AJ148" si="1633">+H143*BP143</f>
        <v>1835.3499999999997</v>
      </c>
      <c r="AK143" s="51">
        <f t="shared" ref="AK143:AK148" si="1634">+AJ143*3.3058</f>
        <v>6067.3000299999994</v>
      </c>
      <c r="AL143" s="53">
        <f t="shared" ref="AL143:AL148" si="1635">+H143*BQ143</f>
        <v>1783.6499999999996</v>
      </c>
      <c r="AM143" s="51">
        <f t="shared" ref="AM143:AM148" si="1636">+AL143*3.3058</f>
        <v>5896.3901699999988</v>
      </c>
      <c r="AN143" s="53">
        <f t="shared" ref="AN143:AN148" si="1637">+H143*BR143</f>
        <v>1731.9499999999996</v>
      </c>
      <c r="AO143" s="51">
        <f t="shared" ref="AO143:AO148" si="1638">+AN143*3.3058</f>
        <v>5725.480309999999</v>
      </c>
      <c r="AP143" s="53">
        <f t="shared" ref="AP143:AP148" si="1639">+H143*BS143</f>
        <v>1680.2499999999995</v>
      </c>
      <c r="AQ143" s="51">
        <f t="shared" ref="AQ143:AQ148" si="1640">+AP143*3.3058</f>
        <v>5554.5704499999983</v>
      </c>
      <c r="AR143" s="48">
        <f t="shared" ref="AR143:AR148" si="1641">+H143*BT143</f>
        <v>1628.5499999999995</v>
      </c>
      <c r="AS143" s="51">
        <f t="shared" ref="AS143:AS148" si="1642">+AR143*3.3058</f>
        <v>5383.6605899999986</v>
      </c>
      <c r="AT143" s="53">
        <f t="shared" ref="AT143:AT148" si="1643">+H143*BU143</f>
        <v>1576.8499999999995</v>
      </c>
      <c r="AU143" s="51">
        <f t="shared" ref="AU143:AU148" si="1644">+AT143*3.3058</f>
        <v>5212.7507299999979</v>
      </c>
      <c r="AV143" s="53">
        <f t="shared" ref="AV143:AV148" si="1645">+H143*BV143</f>
        <v>1525.1499999999994</v>
      </c>
      <c r="AW143" s="51">
        <f t="shared" ref="AW143:AW148" si="1646">+AV143*3.3058</f>
        <v>5041.8408699999982</v>
      </c>
      <c r="AX143" s="48">
        <f t="shared" ref="AX143:AX148" si="1647">+H143*BW143</f>
        <v>1473.4499999999994</v>
      </c>
      <c r="AY143" s="51">
        <f t="shared" ref="AY143:AY148" si="1648">+AX143*3.3058</f>
        <v>4870.9310099999984</v>
      </c>
      <c r="BB143" s="48">
        <v>1</v>
      </c>
      <c r="BC143" s="48">
        <v>0.97</v>
      </c>
      <c r="BD143" s="48">
        <v>0.95</v>
      </c>
      <c r="BE143" s="48">
        <v>0.93</v>
      </c>
      <c r="BF143" s="48">
        <f t="shared" ref="BF143:BW143" si="1649">+BE143-0.02</f>
        <v>0.91</v>
      </c>
      <c r="BG143" s="48">
        <f t="shared" si="1649"/>
        <v>0.89</v>
      </c>
      <c r="BH143" s="48">
        <f t="shared" si="1649"/>
        <v>0.87</v>
      </c>
      <c r="BI143" s="48">
        <f t="shared" si="1649"/>
        <v>0.85</v>
      </c>
      <c r="BJ143" s="48">
        <f t="shared" si="1649"/>
        <v>0.83</v>
      </c>
      <c r="BK143" s="48">
        <f t="shared" si="1649"/>
        <v>0.80999999999999994</v>
      </c>
      <c r="BL143" s="48">
        <f t="shared" si="1649"/>
        <v>0.78999999999999992</v>
      </c>
      <c r="BM143" s="48">
        <f t="shared" si="1649"/>
        <v>0.76999999999999991</v>
      </c>
      <c r="BN143" s="48">
        <f t="shared" si="1649"/>
        <v>0.74999999999999989</v>
      </c>
      <c r="BO143" s="48">
        <f t="shared" si="1649"/>
        <v>0.72999999999999987</v>
      </c>
      <c r="BP143" s="48">
        <f t="shared" si="1649"/>
        <v>0.70999999999999985</v>
      </c>
      <c r="BQ143" s="48">
        <f t="shared" si="1649"/>
        <v>0.68999999999999984</v>
      </c>
      <c r="BR143" s="48">
        <f t="shared" si="1649"/>
        <v>0.66999999999999982</v>
      </c>
      <c r="BS143" s="48">
        <f t="shared" si="1649"/>
        <v>0.6499999999999998</v>
      </c>
      <c r="BT143" s="48">
        <f t="shared" si="1649"/>
        <v>0.62999999999999978</v>
      </c>
      <c r="BU143" s="48">
        <f t="shared" si="1649"/>
        <v>0.60999999999999976</v>
      </c>
      <c r="BV143" s="48">
        <f t="shared" si="1649"/>
        <v>0.58999999999999975</v>
      </c>
      <c r="BW143" s="48">
        <f t="shared" si="1649"/>
        <v>0.56999999999999973</v>
      </c>
      <c r="BY143" s="48">
        <f t="shared" si="952"/>
        <v>2352.35</v>
      </c>
      <c r="BZ143" s="48">
        <f t="shared" si="953"/>
        <v>2352.35</v>
      </c>
      <c r="CA143" s="51">
        <f t="shared" ref="CA143" si="1650">+BZ143*3.3058</f>
        <v>7776.3986299999997</v>
      </c>
      <c r="CB143" s="48">
        <f t="shared" ref="CB143:CB148" si="1651">+BZ143*DU143</f>
        <v>2281.7794999999996</v>
      </c>
      <c r="CC143" s="51">
        <f t="shared" ref="CC143:CC148" si="1652">+CB143*3.3058</f>
        <v>7543.1066710999994</v>
      </c>
      <c r="CD143" s="48">
        <f t="shared" ref="CD143:CD148" si="1653">+BZ143*DV143</f>
        <v>2234.7324999999996</v>
      </c>
      <c r="CE143" s="51">
        <f t="shared" ref="CE143:CE148" si="1654">+CD143*3.3058</f>
        <v>7387.5786984999986</v>
      </c>
      <c r="CF143" s="48">
        <f t="shared" ref="CF143:CF148" si="1655">+BZ143*DW143</f>
        <v>2187.6855</v>
      </c>
      <c r="CG143" s="51">
        <f t="shared" ref="CG143:CG148" si="1656">+CF143*3.3058</f>
        <v>7232.0507259000005</v>
      </c>
      <c r="CH143" s="52">
        <f t="shared" ref="CH143:CH148" si="1657">+BZ143*DX143</f>
        <v>2140.6385</v>
      </c>
      <c r="CI143" s="51">
        <f t="shared" ref="CI143:CI148" si="1658">+CH143*3.3058</f>
        <v>7076.5227533000007</v>
      </c>
      <c r="CJ143" s="48">
        <f t="shared" ref="CJ143:CJ148" si="1659">+BZ143*DY143</f>
        <v>2093.5915</v>
      </c>
      <c r="CK143" s="51">
        <f t="shared" ref="CK143:CK148" si="1660">+CJ143*3.3058</f>
        <v>6920.9947806999999</v>
      </c>
      <c r="CL143" s="52">
        <f t="shared" ref="CL143:CL148" si="1661">+BZ143*DZ143</f>
        <v>2046.5445</v>
      </c>
      <c r="CM143" s="51">
        <f t="shared" ref="CM143:CM148" si="1662">+CL143*3.3058</f>
        <v>6765.4668081</v>
      </c>
      <c r="CN143" s="53">
        <f t="shared" ref="CN143:CN148" si="1663">+BZ143*EA143</f>
        <v>1999.4974999999999</v>
      </c>
      <c r="CO143" s="51">
        <f t="shared" ref="CO143:CO148" si="1664">+CN143*3.3058</f>
        <v>6609.9388355000001</v>
      </c>
      <c r="CP143" s="52">
        <f t="shared" ref="CP143:CP148" si="1665">+BZ143*EB143</f>
        <v>1952.4504999999999</v>
      </c>
      <c r="CQ143" s="51">
        <f t="shared" ref="CQ143:CQ148" si="1666">+CP143*3.3058</f>
        <v>6454.4108629000002</v>
      </c>
      <c r="CR143" s="48">
        <f t="shared" ref="CR143:CR148" si="1667">+BZ143*EC143</f>
        <v>1905.4034999999999</v>
      </c>
      <c r="CS143" s="51">
        <f t="shared" ref="CS143:CS148" si="1668">+CR143*3.3058</f>
        <v>6298.8828902999994</v>
      </c>
      <c r="CT143" s="53">
        <f t="shared" ref="CT143:CT148" si="1669">+BZ143*ED143</f>
        <v>1858.3564999999996</v>
      </c>
      <c r="CU143" s="51">
        <f t="shared" ref="CU143:CU148" si="1670">+CT143*3.3058</f>
        <v>6143.3549176999986</v>
      </c>
      <c r="CV143" s="53">
        <f t="shared" ref="CV143:CV148" si="1671">+BZ143*EE143</f>
        <v>1811.3094999999996</v>
      </c>
      <c r="CW143" s="51">
        <f t="shared" ref="CW143:CW148" si="1672">+CV143*3.3058</f>
        <v>5987.8269450999987</v>
      </c>
      <c r="CX143" s="53">
        <f t="shared" ref="CX143:CX148" si="1673">+BZ143*EF143</f>
        <v>1764.2624999999996</v>
      </c>
      <c r="CY143" s="51">
        <f t="shared" ref="CY143:CY148" si="1674">+CX143*3.3058</f>
        <v>5832.2989724999989</v>
      </c>
      <c r="CZ143" s="48">
        <f t="shared" ref="CZ143:CZ148" si="1675">+BZ143*EG143</f>
        <v>1717.2154999999996</v>
      </c>
      <c r="DA143" s="51">
        <f t="shared" ref="DA143:DA148" si="1676">+CZ143*3.3058</f>
        <v>5676.770999899999</v>
      </c>
      <c r="DB143" s="53">
        <f t="shared" ref="DB143:DB148" si="1677">+BZ143*EH143</f>
        <v>1670.1684999999995</v>
      </c>
      <c r="DC143" s="51">
        <f t="shared" ref="DC143:DC148" si="1678">+DB143*3.3058</f>
        <v>5521.2430272999982</v>
      </c>
      <c r="DD143" s="53">
        <f t="shared" ref="DD143:DD148" si="1679">+BZ143*EI143</f>
        <v>1623.1214999999995</v>
      </c>
      <c r="DE143" s="51">
        <f t="shared" ref="DE143:DE148" si="1680">+DD143*3.3058</f>
        <v>5365.7150546999983</v>
      </c>
      <c r="DF143" s="53">
        <f t="shared" ref="DF143:DF148" si="1681">+BZ143*EJ143</f>
        <v>1576.0744999999995</v>
      </c>
      <c r="DG143" s="51">
        <f t="shared" ref="DG143:DG148" si="1682">+DF143*3.3058</f>
        <v>5210.1870820999984</v>
      </c>
      <c r="DH143" s="53">
        <f t="shared" ref="DH143:DH148" si="1683">+BZ143*EK143</f>
        <v>1529.0274999999995</v>
      </c>
      <c r="DI143" s="51">
        <f t="shared" ref="DI143:DI148" si="1684">+DH143*3.3058</f>
        <v>5054.6591094999985</v>
      </c>
      <c r="DJ143" s="48">
        <f t="shared" ref="DJ143:DJ148" si="1685">+BZ143*EL143</f>
        <v>1481.9804999999994</v>
      </c>
      <c r="DK143" s="51">
        <f t="shared" ref="DK143:DK148" si="1686">+DJ143*3.3058</f>
        <v>4899.1311368999986</v>
      </c>
      <c r="DL143" s="53">
        <f t="shared" ref="DL143:DL148" si="1687">+BZ143*EM143</f>
        <v>1434.9334999999994</v>
      </c>
      <c r="DM143" s="51">
        <f t="shared" ref="DM143:DM148" si="1688">+DL143*3.3058</f>
        <v>4743.6031642999978</v>
      </c>
      <c r="DN143" s="53">
        <f t="shared" ref="DN143:DN148" si="1689">+BZ143*EN143</f>
        <v>1387.8864999999994</v>
      </c>
      <c r="DO143" s="51">
        <f t="shared" ref="DO143:DO148" si="1690">+DN143*3.3058</f>
        <v>4588.075191699998</v>
      </c>
      <c r="DP143" s="48">
        <f t="shared" ref="DP143:DP148" si="1691">+BZ143*EO143</f>
        <v>1340.8394999999994</v>
      </c>
      <c r="DQ143" s="51">
        <f t="shared" ref="DQ143:DQ148" si="1692">+DP143*3.3058</f>
        <v>4432.5472190999981</v>
      </c>
      <c r="DT143" s="48">
        <v>1</v>
      </c>
      <c r="DU143" s="48">
        <v>0.97</v>
      </c>
      <c r="DV143" s="48">
        <v>0.95</v>
      </c>
      <c r="DW143" s="48">
        <v>0.93</v>
      </c>
      <c r="DX143" s="48">
        <f t="shared" ref="DX143:EO143" si="1693">+DW143-0.02</f>
        <v>0.91</v>
      </c>
      <c r="DY143" s="48">
        <f t="shared" si="1693"/>
        <v>0.89</v>
      </c>
      <c r="DZ143" s="48">
        <f t="shared" si="1693"/>
        <v>0.87</v>
      </c>
      <c r="EA143" s="48">
        <f t="shared" si="1693"/>
        <v>0.85</v>
      </c>
      <c r="EB143" s="48">
        <f t="shared" si="1693"/>
        <v>0.83</v>
      </c>
      <c r="EC143" s="48">
        <f t="shared" si="1693"/>
        <v>0.80999999999999994</v>
      </c>
      <c r="ED143" s="48">
        <f t="shared" si="1693"/>
        <v>0.78999999999999992</v>
      </c>
      <c r="EE143" s="48">
        <f t="shared" si="1693"/>
        <v>0.76999999999999991</v>
      </c>
      <c r="EF143" s="48">
        <f t="shared" si="1693"/>
        <v>0.74999999999999989</v>
      </c>
      <c r="EG143" s="48">
        <f t="shared" si="1693"/>
        <v>0.72999999999999987</v>
      </c>
      <c r="EH143" s="48">
        <f t="shared" si="1693"/>
        <v>0.70999999999999985</v>
      </c>
      <c r="EI143" s="48">
        <f t="shared" si="1693"/>
        <v>0.68999999999999984</v>
      </c>
      <c r="EJ143" s="48">
        <f t="shared" si="1693"/>
        <v>0.66999999999999982</v>
      </c>
      <c r="EK143" s="48">
        <f t="shared" si="1693"/>
        <v>0.6499999999999998</v>
      </c>
      <c r="EL143" s="48">
        <f t="shared" si="1693"/>
        <v>0.62999999999999978</v>
      </c>
      <c r="EM143" s="48">
        <f t="shared" si="1693"/>
        <v>0.60999999999999976</v>
      </c>
      <c r="EN143" s="48">
        <f t="shared" si="1693"/>
        <v>0.58999999999999975</v>
      </c>
      <c r="EO143" s="48">
        <f t="shared" si="1693"/>
        <v>0.56999999999999973</v>
      </c>
      <c r="EQ143" s="48">
        <f t="shared" si="1128"/>
        <v>2140.6385</v>
      </c>
      <c r="ER143" s="48">
        <f t="shared" si="956"/>
        <v>2140.6385</v>
      </c>
      <c r="ES143" s="51">
        <f t="shared" ref="ES143" si="1694">+ER143*3.3058</f>
        <v>7076.5227533000007</v>
      </c>
      <c r="ET143" s="48">
        <f t="shared" ref="ET143:ET148" si="1695">+ER143*GM143</f>
        <v>2076.4193449999998</v>
      </c>
      <c r="EU143" s="51">
        <f t="shared" ref="EU143:EU148" si="1696">+ET143*3.3058</f>
        <v>6864.2270707009993</v>
      </c>
      <c r="EV143" s="48">
        <f t="shared" ref="EV143:EV148" si="1697">+ER143*GN143</f>
        <v>2033.606575</v>
      </c>
      <c r="EW143" s="51">
        <f t="shared" ref="EW143:EW148" si="1698">+EV143*3.3058</f>
        <v>6722.6966156349999</v>
      </c>
      <c r="EX143" s="48">
        <f t="shared" ref="EX143:EX148" si="1699">+ER143*GO143</f>
        <v>1990.793805</v>
      </c>
      <c r="EY143" s="51">
        <f t="shared" ref="EY143:EY148" si="1700">+EX143*3.3058</f>
        <v>6581.1661605690006</v>
      </c>
      <c r="EZ143" s="52">
        <f t="shared" ref="EZ143:EZ148" si="1701">+ER143*GP143</f>
        <v>1947.981035</v>
      </c>
      <c r="FA143" s="51">
        <f t="shared" ref="FA143:FA148" si="1702">+EZ143*3.3058</f>
        <v>6439.6357055030003</v>
      </c>
      <c r="FB143" s="48">
        <f t="shared" ref="FB143:FB148" si="1703">+ER143*GQ143</f>
        <v>1905.168265</v>
      </c>
      <c r="FC143" s="51">
        <f t="shared" ref="FC143:FC148" si="1704">+FB143*3.3058</f>
        <v>6298.105250437</v>
      </c>
      <c r="FD143" s="52">
        <f t="shared" ref="FD143:FD148" si="1705">+ER143*GR143</f>
        <v>1862.355495</v>
      </c>
      <c r="FE143" s="51">
        <f t="shared" ref="FE143:FE148" si="1706">+FD143*3.3058</f>
        <v>6156.5747953710006</v>
      </c>
      <c r="FF143" s="53">
        <f t="shared" ref="FF143:FF148" si="1707">+ER143*GS143</f>
        <v>1819.542725</v>
      </c>
      <c r="FG143" s="51">
        <f t="shared" ref="FG143:FG148" si="1708">+FF143*3.3058</f>
        <v>6015.0443403050003</v>
      </c>
      <c r="FH143" s="52">
        <f t="shared" ref="FH143:FH148" si="1709">+ER143*GT143</f>
        <v>1776.729955</v>
      </c>
      <c r="FI143" s="51">
        <f t="shared" ref="FI143:FI148" si="1710">+FH143*3.3058</f>
        <v>5873.513885239</v>
      </c>
      <c r="FJ143" s="48">
        <f t="shared" ref="FJ143:FJ148" si="1711">+ER143*GU143</f>
        <v>1733.9171849999998</v>
      </c>
      <c r="FK143" s="51">
        <f t="shared" ref="FK143:FK148" si="1712">+FJ143*3.3058</f>
        <v>5731.9834301729998</v>
      </c>
      <c r="FL143" s="53">
        <f t="shared" ref="FL143:FL148" si="1713">+ER143*GV143</f>
        <v>1691.1044149999998</v>
      </c>
      <c r="FM143" s="51">
        <f t="shared" ref="FM143:FM148" si="1714">+FL143*3.3058</f>
        <v>5590.4529751069995</v>
      </c>
      <c r="FN143" s="53">
        <f t="shared" ref="FN143:FN148" si="1715">+ER143*GW143</f>
        <v>1648.2916449999998</v>
      </c>
      <c r="FO143" s="51">
        <f t="shared" ref="FO143:FO148" si="1716">+FN143*3.3058</f>
        <v>5448.9225200409992</v>
      </c>
      <c r="FP143" s="53">
        <f t="shared" ref="FP143:FP148" si="1717">+ER143*GX143</f>
        <v>1605.4788749999998</v>
      </c>
      <c r="FQ143" s="51">
        <f t="shared" ref="FQ143:FQ148" si="1718">+FP143*3.3058</f>
        <v>5307.3920649749998</v>
      </c>
      <c r="FR143" s="48">
        <f t="shared" ref="FR143:FR148" si="1719">+ER143*GY143</f>
        <v>1562.6661049999998</v>
      </c>
      <c r="FS143" s="51">
        <f t="shared" ref="FS143:FS148" si="1720">+FR143*3.3058</f>
        <v>5165.8616099089995</v>
      </c>
      <c r="FT143" s="53">
        <f t="shared" ref="FT143:FT148" si="1721">+ER143*GZ143</f>
        <v>1519.8533349999998</v>
      </c>
      <c r="FU143" s="51">
        <f t="shared" ref="FU143:FU148" si="1722">+FT143*3.3058</f>
        <v>5024.3311548429992</v>
      </c>
      <c r="FV143" s="53">
        <f t="shared" ref="FV143:FV148" si="1723">+ER143*HA143</f>
        <v>1477.0405649999996</v>
      </c>
      <c r="FW143" s="51">
        <f t="shared" ref="FW143:FW148" si="1724">+FV143*3.3058</f>
        <v>4882.800699776999</v>
      </c>
      <c r="FX143" s="53">
        <f t="shared" ref="FX143:FX148" si="1725">+ER143*HB143</f>
        <v>1434.2277949999996</v>
      </c>
      <c r="FY143" s="51">
        <f t="shared" ref="FY143:FY148" si="1726">+FX143*3.3058</f>
        <v>4741.2702447109987</v>
      </c>
      <c r="FZ143" s="53">
        <f t="shared" ref="FZ143:FZ148" si="1727">+ER143*HC143</f>
        <v>1391.4150249999996</v>
      </c>
      <c r="GA143" s="51">
        <f t="shared" ref="GA143:GA148" si="1728">+FZ143*3.3058</f>
        <v>4599.7397896449984</v>
      </c>
      <c r="GB143" s="48">
        <f t="shared" ref="GB143:GB148" si="1729">+ER143*HD143</f>
        <v>1348.6022549999996</v>
      </c>
      <c r="GC143" s="51">
        <f t="shared" ref="GC143:GC148" si="1730">+GB143*3.3058</f>
        <v>4458.209334578999</v>
      </c>
      <c r="GD143" s="53">
        <f t="shared" ref="GD143:GD148" si="1731">+ER143*HE143</f>
        <v>1305.7894849999996</v>
      </c>
      <c r="GE143" s="51">
        <f t="shared" ref="GE143:GE148" si="1732">+GD143*3.3058</f>
        <v>4316.6788795129987</v>
      </c>
      <c r="GF143" s="53">
        <f t="shared" ref="GF143:GF148" si="1733">+ER143*HF143</f>
        <v>1262.9767149999996</v>
      </c>
      <c r="GG143" s="51">
        <f t="shared" ref="GG143:GG148" si="1734">+GF143*3.3058</f>
        <v>4175.1484244469984</v>
      </c>
      <c r="GH143" s="48">
        <f t="shared" ref="GH143:GH148" si="1735">+ER143*HG143</f>
        <v>1220.1639449999993</v>
      </c>
      <c r="GI143" s="51">
        <f t="shared" ref="GI143:GI148" si="1736">+GH143*3.3058</f>
        <v>4033.6179693809977</v>
      </c>
      <c r="GJ143" s="48"/>
      <c r="GK143" s="48"/>
      <c r="GL143" s="48">
        <v>1</v>
      </c>
      <c r="GM143" s="48">
        <v>0.97</v>
      </c>
      <c r="GN143" s="48">
        <v>0.95</v>
      </c>
      <c r="GO143" s="48">
        <v>0.93</v>
      </c>
      <c r="GP143" s="48">
        <f t="shared" ref="GP143:HG143" si="1737">+GO143-0.02</f>
        <v>0.91</v>
      </c>
      <c r="GQ143" s="48">
        <f t="shared" si="1737"/>
        <v>0.89</v>
      </c>
      <c r="GR143" s="48">
        <f t="shared" si="1737"/>
        <v>0.87</v>
      </c>
      <c r="GS143" s="48">
        <f t="shared" si="1737"/>
        <v>0.85</v>
      </c>
      <c r="GT143" s="48">
        <f t="shared" si="1737"/>
        <v>0.83</v>
      </c>
      <c r="GU143" s="48">
        <f t="shared" si="1737"/>
        <v>0.80999999999999994</v>
      </c>
      <c r="GV143" s="48">
        <f t="shared" si="1737"/>
        <v>0.78999999999999992</v>
      </c>
      <c r="GW143" s="48">
        <f t="shared" si="1737"/>
        <v>0.76999999999999991</v>
      </c>
      <c r="GX143" s="48">
        <f t="shared" si="1737"/>
        <v>0.74999999999999989</v>
      </c>
      <c r="GY143" s="48">
        <f t="shared" si="1737"/>
        <v>0.72999999999999987</v>
      </c>
      <c r="GZ143" s="48">
        <f t="shared" si="1737"/>
        <v>0.70999999999999985</v>
      </c>
      <c r="HA143" s="48">
        <f t="shared" si="1737"/>
        <v>0.68999999999999984</v>
      </c>
      <c r="HB143" s="48">
        <f t="shared" si="1737"/>
        <v>0.66999999999999982</v>
      </c>
      <c r="HC143" s="48">
        <f t="shared" si="1737"/>
        <v>0.6499999999999998</v>
      </c>
      <c r="HD143" s="48">
        <f t="shared" si="1737"/>
        <v>0.62999999999999978</v>
      </c>
      <c r="HE143" s="48">
        <f t="shared" si="1737"/>
        <v>0.60999999999999976</v>
      </c>
      <c r="HF143" s="48">
        <f t="shared" si="1737"/>
        <v>0.58999999999999975</v>
      </c>
      <c r="HG143" s="48">
        <f t="shared" si="1737"/>
        <v>0.56999999999999973</v>
      </c>
    </row>
    <row r="144" spans="1:215" x14ac:dyDescent="0.3">
      <c r="A144" s="2">
        <v>2</v>
      </c>
      <c r="C144" s="39" t="s">
        <v>199</v>
      </c>
      <c r="D144" s="44">
        <v>0</v>
      </c>
      <c r="E144" s="73">
        <f>TRUNC(+D144*3.3058,-1)</f>
        <v>0</v>
      </c>
      <c r="G144" s="48">
        <f t="shared" si="948"/>
        <v>0</v>
      </c>
      <c r="H144" s="48">
        <f t="shared" si="949"/>
        <v>0</v>
      </c>
      <c r="I144" s="51">
        <f t="shared" si="950"/>
        <v>0</v>
      </c>
      <c r="J144" s="48">
        <f t="shared" si="1607"/>
        <v>0</v>
      </c>
      <c r="K144" s="51">
        <f t="shared" si="1608"/>
        <v>0</v>
      </c>
      <c r="L144" s="48">
        <f t="shared" si="1609"/>
        <v>0</v>
      </c>
      <c r="M144" s="51">
        <f t="shared" si="1610"/>
        <v>0</v>
      </c>
      <c r="N144" s="48">
        <f t="shared" si="1611"/>
        <v>0</v>
      </c>
      <c r="O144" s="51">
        <f t="shared" si="1612"/>
        <v>0</v>
      </c>
      <c r="P144" s="52">
        <f t="shared" si="1613"/>
        <v>0</v>
      </c>
      <c r="Q144" s="51">
        <f t="shared" si="1614"/>
        <v>0</v>
      </c>
      <c r="R144" s="48">
        <f t="shared" si="1615"/>
        <v>0</v>
      </c>
      <c r="S144" s="51">
        <f t="shared" si="1616"/>
        <v>0</v>
      </c>
      <c r="T144" s="52">
        <f t="shared" si="1617"/>
        <v>0</v>
      </c>
      <c r="U144" s="51">
        <f t="shared" si="1618"/>
        <v>0</v>
      </c>
      <c r="V144" s="53">
        <f t="shared" si="1619"/>
        <v>0</v>
      </c>
      <c r="W144" s="51">
        <f t="shared" si="1620"/>
        <v>0</v>
      </c>
      <c r="X144" s="52">
        <f t="shared" si="1621"/>
        <v>0</v>
      </c>
      <c r="Y144" s="51">
        <f t="shared" si="1622"/>
        <v>0</v>
      </c>
      <c r="Z144" s="48">
        <f t="shared" si="1623"/>
        <v>0</v>
      </c>
      <c r="AA144" s="51">
        <f t="shared" si="1624"/>
        <v>0</v>
      </c>
      <c r="AB144" s="53">
        <f t="shared" si="1625"/>
        <v>0</v>
      </c>
      <c r="AC144" s="51">
        <f t="shared" si="1626"/>
        <v>0</v>
      </c>
      <c r="AD144" s="53">
        <f t="shared" si="1627"/>
        <v>0</v>
      </c>
      <c r="AE144" s="51">
        <f t="shared" si="1628"/>
        <v>0</v>
      </c>
      <c r="AF144" s="53">
        <f t="shared" si="1629"/>
        <v>0</v>
      </c>
      <c r="AG144" s="51">
        <f t="shared" si="1630"/>
        <v>0</v>
      </c>
      <c r="AH144" s="48">
        <f t="shared" si="1631"/>
        <v>0</v>
      </c>
      <c r="AI144" s="51">
        <f t="shared" si="1632"/>
        <v>0</v>
      </c>
      <c r="AJ144" s="53">
        <f t="shared" si="1633"/>
        <v>0</v>
      </c>
      <c r="AK144" s="51">
        <f t="shared" si="1634"/>
        <v>0</v>
      </c>
      <c r="AL144" s="53">
        <f t="shared" si="1635"/>
        <v>0</v>
      </c>
      <c r="AM144" s="51">
        <f t="shared" si="1636"/>
        <v>0</v>
      </c>
      <c r="AN144" s="53">
        <f t="shared" si="1637"/>
        <v>0</v>
      </c>
      <c r="AO144" s="51">
        <f t="shared" si="1638"/>
        <v>0</v>
      </c>
      <c r="AP144" s="53">
        <f t="shared" si="1639"/>
        <v>0</v>
      </c>
      <c r="AQ144" s="51">
        <f t="shared" si="1640"/>
        <v>0</v>
      </c>
      <c r="AR144" s="48">
        <f t="shared" si="1641"/>
        <v>0</v>
      </c>
      <c r="AS144" s="51">
        <f t="shared" si="1642"/>
        <v>0</v>
      </c>
      <c r="AT144" s="53">
        <f t="shared" si="1643"/>
        <v>0</v>
      </c>
      <c r="AU144" s="51">
        <f t="shared" si="1644"/>
        <v>0</v>
      </c>
      <c r="AV144" s="53">
        <f t="shared" si="1645"/>
        <v>0</v>
      </c>
      <c r="AW144" s="51">
        <f t="shared" si="1646"/>
        <v>0</v>
      </c>
      <c r="AX144" s="48">
        <f t="shared" si="1647"/>
        <v>0</v>
      </c>
      <c r="AY144" s="51">
        <f t="shared" si="1648"/>
        <v>0</v>
      </c>
      <c r="BB144" s="48">
        <v>1</v>
      </c>
      <c r="BC144" s="48">
        <v>0.97</v>
      </c>
      <c r="BD144" s="48">
        <v>0.95</v>
      </c>
      <c r="BE144" s="48">
        <v>0.93</v>
      </c>
      <c r="BF144" s="48">
        <f t="shared" ref="BF144:BW144" si="1738">+BE144-0.02</f>
        <v>0.91</v>
      </c>
      <c r="BG144" s="48">
        <f t="shared" si="1738"/>
        <v>0.89</v>
      </c>
      <c r="BH144" s="48">
        <f t="shared" si="1738"/>
        <v>0.87</v>
      </c>
      <c r="BI144" s="48">
        <f t="shared" si="1738"/>
        <v>0.85</v>
      </c>
      <c r="BJ144" s="48">
        <f t="shared" si="1738"/>
        <v>0.83</v>
      </c>
      <c r="BK144" s="48">
        <f t="shared" si="1738"/>
        <v>0.80999999999999994</v>
      </c>
      <c r="BL144" s="48">
        <f t="shared" si="1738"/>
        <v>0.78999999999999992</v>
      </c>
      <c r="BM144" s="48">
        <f t="shared" si="1738"/>
        <v>0.76999999999999991</v>
      </c>
      <c r="BN144" s="48">
        <f t="shared" si="1738"/>
        <v>0.74999999999999989</v>
      </c>
      <c r="BO144" s="48">
        <f t="shared" si="1738"/>
        <v>0.72999999999999987</v>
      </c>
      <c r="BP144" s="48">
        <f t="shared" si="1738"/>
        <v>0.70999999999999985</v>
      </c>
      <c r="BQ144" s="48">
        <f t="shared" si="1738"/>
        <v>0.68999999999999984</v>
      </c>
      <c r="BR144" s="48">
        <f t="shared" si="1738"/>
        <v>0.66999999999999982</v>
      </c>
      <c r="BS144" s="48">
        <f t="shared" si="1738"/>
        <v>0.6499999999999998</v>
      </c>
      <c r="BT144" s="48">
        <f t="shared" si="1738"/>
        <v>0.62999999999999978</v>
      </c>
      <c r="BU144" s="48">
        <f t="shared" si="1738"/>
        <v>0.60999999999999976</v>
      </c>
      <c r="BV144" s="48">
        <f t="shared" si="1738"/>
        <v>0.58999999999999975</v>
      </c>
      <c r="BW144" s="48">
        <f t="shared" si="1738"/>
        <v>0.56999999999999973</v>
      </c>
      <c r="BY144" s="48">
        <f t="shared" si="952"/>
        <v>0</v>
      </c>
      <c r="BZ144" s="48">
        <f t="shared" si="953"/>
        <v>0</v>
      </c>
      <c r="CA144" s="51">
        <f t="shared" ref="CA144" si="1739">+BZ144*3.3058</f>
        <v>0</v>
      </c>
      <c r="CB144" s="48">
        <f t="shared" si="1651"/>
        <v>0</v>
      </c>
      <c r="CC144" s="51">
        <f t="shared" si="1652"/>
        <v>0</v>
      </c>
      <c r="CD144" s="48">
        <f t="shared" si="1653"/>
        <v>0</v>
      </c>
      <c r="CE144" s="51">
        <f t="shared" si="1654"/>
        <v>0</v>
      </c>
      <c r="CF144" s="48">
        <f t="shared" si="1655"/>
        <v>0</v>
      </c>
      <c r="CG144" s="51">
        <f t="shared" si="1656"/>
        <v>0</v>
      </c>
      <c r="CH144" s="52">
        <f t="shared" si="1657"/>
        <v>0</v>
      </c>
      <c r="CI144" s="51">
        <f t="shared" si="1658"/>
        <v>0</v>
      </c>
      <c r="CJ144" s="48">
        <f t="shared" si="1659"/>
        <v>0</v>
      </c>
      <c r="CK144" s="51">
        <f t="shared" si="1660"/>
        <v>0</v>
      </c>
      <c r="CL144" s="52">
        <f t="shared" si="1661"/>
        <v>0</v>
      </c>
      <c r="CM144" s="51">
        <f t="shared" si="1662"/>
        <v>0</v>
      </c>
      <c r="CN144" s="53">
        <f t="shared" si="1663"/>
        <v>0</v>
      </c>
      <c r="CO144" s="51">
        <f t="shared" si="1664"/>
        <v>0</v>
      </c>
      <c r="CP144" s="52">
        <f t="shared" si="1665"/>
        <v>0</v>
      </c>
      <c r="CQ144" s="51">
        <f t="shared" si="1666"/>
        <v>0</v>
      </c>
      <c r="CR144" s="48">
        <f t="shared" si="1667"/>
        <v>0</v>
      </c>
      <c r="CS144" s="51">
        <f t="shared" si="1668"/>
        <v>0</v>
      </c>
      <c r="CT144" s="53">
        <f t="shared" si="1669"/>
        <v>0</v>
      </c>
      <c r="CU144" s="51">
        <f t="shared" si="1670"/>
        <v>0</v>
      </c>
      <c r="CV144" s="53">
        <f t="shared" si="1671"/>
        <v>0</v>
      </c>
      <c r="CW144" s="51">
        <f t="shared" si="1672"/>
        <v>0</v>
      </c>
      <c r="CX144" s="53">
        <f t="shared" si="1673"/>
        <v>0</v>
      </c>
      <c r="CY144" s="51">
        <f t="shared" si="1674"/>
        <v>0</v>
      </c>
      <c r="CZ144" s="48">
        <f t="shared" si="1675"/>
        <v>0</v>
      </c>
      <c r="DA144" s="51">
        <f t="shared" si="1676"/>
        <v>0</v>
      </c>
      <c r="DB144" s="53">
        <f t="shared" si="1677"/>
        <v>0</v>
      </c>
      <c r="DC144" s="51">
        <f t="shared" si="1678"/>
        <v>0</v>
      </c>
      <c r="DD144" s="53">
        <f t="shared" si="1679"/>
        <v>0</v>
      </c>
      <c r="DE144" s="51">
        <f t="shared" si="1680"/>
        <v>0</v>
      </c>
      <c r="DF144" s="53">
        <f t="shared" si="1681"/>
        <v>0</v>
      </c>
      <c r="DG144" s="51">
        <f t="shared" si="1682"/>
        <v>0</v>
      </c>
      <c r="DH144" s="53">
        <f t="shared" si="1683"/>
        <v>0</v>
      </c>
      <c r="DI144" s="51">
        <f t="shared" si="1684"/>
        <v>0</v>
      </c>
      <c r="DJ144" s="48">
        <f t="shared" si="1685"/>
        <v>0</v>
      </c>
      <c r="DK144" s="51">
        <f t="shared" si="1686"/>
        <v>0</v>
      </c>
      <c r="DL144" s="53">
        <f t="shared" si="1687"/>
        <v>0</v>
      </c>
      <c r="DM144" s="51">
        <f t="shared" si="1688"/>
        <v>0</v>
      </c>
      <c r="DN144" s="53">
        <f t="shared" si="1689"/>
        <v>0</v>
      </c>
      <c r="DO144" s="51">
        <f t="shared" si="1690"/>
        <v>0</v>
      </c>
      <c r="DP144" s="48">
        <f t="shared" si="1691"/>
        <v>0</v>
      </c>
      <c r="DQ144" s="51">
        <f t="shared" si="1692"/>
        <v>0</v>
      </c>
      <c r="DT144" s="48">
        <v>1</v>
      </c>
      <c r="DU144" s="48">
        <v>0.97</v>
      </c>
      <c r="DV144" s="48">
        <v>0.95</v>
      </c>
      <c r="DW144" s="48">
        <v>0.93</v>
      </c>
      <c r="DX144" s="48">
        <f t="shared" ref="DX144:EO144" si="1740">+DW144-0.02</f>
        <v>0.91</v>
      </c>
      <c r="DY144" s="48">
        <f t="shared" si="1740"/>
        <v>0.89</v>
      </c>
      <c r="DZ144" s="48">
        <f t="shared" si="1740"/>
        <v>0.87</v>
      </c>
      <c r="EA144" s="48">
        <f t="shared" si="1740"/>
        <v>0.85</v>
      </c>
      <c r="EB144" s="48">
        <f t="shared" si="1740"/>
        <v>0.83</v>
      </c>
      <c r="EC144" s="48">
        <f t="shared" si="1740"/>
        <v>0.80999999999999994</v>
      </c>
      <c r="ED144" s="48">
        <f t="shared" si="1740"/>
        <v>0.78999999999999992</v>
      </c>
      <c r="EE144" s="48">
        <f t="shared" si="1740"/>
        <v>0.76999999999999991</v>
      </c>
      <c r="EF144" s="48">
        <f t="shared" si="1740"/>
        <v>0.74999999999999989</v>
      </c>
      <c r="EG144" s="48">
        <f t="shared" si="1740"/>
        <v>0.72999999999999987</v>
      </c>
      <c r="EH144" s="48">
        <f t="shared" si="1740"/>
        <v>0.70999999999999985</v>
      </c>
      <c r="EI144" s="48">
        <f t="shared" si="1740"/>
        <v>0.68999999999999984</v>
      </c>
      <c r="EJ144" s="48">
        <f t="shared" si="1740"/>
        <v>0.66999999999999982</v>
      </c>
      <c r="EK144" s="48">
        <f t="shared" si="1740"/>
        <v>0.6499999999999998</v>
      </c>
      <c r="EL144" s="48">
        <f t="shared" si="1740"/>
        <v>0.62999999999999978</v>
      </c>
      <c r="EM144" s="48">
        <f t="shared" si="1740"/>
        <v>0.60999999999999976</v>
      </c>
      <c r="EN144" s="48">
        <f t="shared" si="1740"/>
        <v>0.58999999999999975</v>
      </c>
      <c r="EO144" s="48">
        <f t="shared" si="1740"/>
        <v>0.56999999999999973</v>
      </c>
      <c r="EQ144" s="48">
        <f t="shared" si="1128"/>
        <v>0</v>
      </c>
      <c r="ER144" s="48">
        <f t="shared" si="956"/>
        <v>0</v>
      </c>
      <c r="ES144" s="51">
        <f t="shared" ref="ES144" si="1741">+ER144*3.3058</f>
        <v>0</v>
      </c>
      <c r="ET144" s="48">
        <f t="shared" si="1695"/>
        <v>0</v>
      </c>
      <c r="EU144" s="51">
        <f t="shared" si="1696"/>
        <v>0</v>
      </c>
      <c r="EV144" s="48">
        <f t="shared" si="1697"/>
        <v>0</v>
      </c>
      <c r="EW144" s="51">
        <f t="shared" si="1698"/>
        <v>0</v>
      </c>
      <c r="EX144" s="48">
        <f t="shared" si="1699"/>
        <v>0</v>
      </c>
      <c r="EY144" s="51">
        <f t="shared" si="1700"/>
        <v>0</v>
      </c>
      <c r="EZ144" s="52">
        <f t="shared" si="1701"/>
        <v>0</v>
      </c>
      <c r="FA144" s="51">
        <f t="shared" si="1702"/>
        <v>0</v>
      </c>
      <c r="FB144" s="48">
        <f t="shared" si="1703"/>
        <v>0</v>
      </c>
      <c r="FC144" s="51">
        <f t="shared" si="1704"/>
        <v>0</v>
      </c>
      <c r="FD144" s="52">
        <f t="shared" si="1705"/>
        <v>0</v>
      </c>
      <c r="FE144" s="51">
        <f t="shared" si="1706"/>
        <v>0</v>
      </c>
      <c r="FF144" s="53">
        <f t="shared" si="1707"/>
        <v>0</v>
      </c>
      <c r="FG144" s="51">
        <f t="shared" si="1708"/>
        <v>0</v>
      </c>
      <c r="FH144" s="52">
        <f t="shared" si="1709"/>
        <v>0</v>
      </c>
      <c r="FI144" s="51">
        <f t="shared" si="1710"/>
        <v>0</v>
      </c>
      <c r="FJ144" s="48">
        <f t="shared" si="1711"/>
        <v>0</v>
      </c>
      <c r="FK144" s="51">
        <f t="shared" si="1712"/>
        <v>0</v>
      </c>
      <c r="FL144" s="53">
        <f t="shared" si="1713"/>
        <v>0</v>
      </c>
      <c r="FM144" s="51">
        <f t="shared" si="1714"/>
        <v>0</v>
      </c>
      <c r="FN144" s="53">
        <f t="shared" si="1715"/>
        <v>0</v>
      </c>
      <c r="FO144" s="51">
        <f t="shared" si="1716"/>
        <v>0</v>
      </c>
      <c r="FP144" s="53">
        <f t="shared" si="1717"/>
        <v>0</v>
      </c>
      <c r="FQ144" s="51">
        <f t="shared" si="1718"/>
        <v>0</v>
      </c>
      <c r="FR144" s="48">
        <f t="shared" si="1719"/>
        <v>0</v>
      </c>
      <c r="FS144" s="51">
        <f t="shared" si="1720"/>
        <v>0</v>
      </c>
      <c r="FT144" s="53">
        <f t="shared" si="1721"/>
        <v>0</v>
      </c>
      <c r="FU144" s="51">
        <f t="shared" si="1722"/>
        <v>0</v>
      </c>
      <c r="FV144" s="53">
        <f t="shared" si="1723"/>
        <v>0</v>
      </c>
      <c r="FW144" s="51">
        <f t="shared" si="1724"/>
        <v>0</v>
      </c>
      <c r="FX144" s="53">
        <f t="shared" si="1725"/>
        <v>0</v>
      </c>
      <c r="FY144" s="51">
        <f t="shared" si="1726"/>
        <v>0</v>
      </c>
      <c r="FZ144" s="53">
        <f t="shared" si="1727"/>
        <v>0</v>
      </c>
      <c r="GA144" s="51">
        <f t="shared" si="1728"/>
        <v>0</v>
      </c>
      <c r="GB144" s="48">
        <f t="shared" si="1729"/>
        <v>0</v>
      </c>
      <c r="GC144" s="51">
        <f t="shared" si="1730"/>
        <v>0</v>
      </c>
      <c r="GD144" s="53">
        <f t="shared" si="1731"/>
        <v>0</v>
      </c>
      <c r="GE144" s="51">
        <f t="shared" si="1732"/>
        <v>0</v>
      </c>
      <c r="GF144" s="53">
        <f t="shared" si="1733"/>
        <v>0</v>
      </c>
      <c r="GG144" s="51">
        <f t="shared" si="1734"/>
        <v>0</v>
      </c>
      <c r="GH144" s="48">
        <f t="shared" si="1735"/>
        <v>0</v>
      </c>
      <c r="GI144" s="51">
        <f t="shared" si="1736"/>
        <v>0</v>
      </c>
      <c r="GJ144" s="48"/>
      <c r="GK144" s="48"/>
      <c r="GL144" s="48">
        <v>1</v>
      </c>
      <c r="GM144" s="48">
        <v>0.97</v>
      </c>
      <c r="GN144" s="48">
        <v>0.95</v>
      </c>
      <c r="GO144" s="48">
        <v>0.93</v>
      </c>
      <c r="GP144" s="48">
        <f t="shared" ref="GP144:HG144" si="1742">+GO144-0.02</f>
        <v>0.91</v>
      </c>
      <c r="GQ144" s="48">
        <f t="shared" si="1742"/>
        <v>0.89</v>
      </c>
      <c r="GR144" s="48">
        <f t="shared" si="1742"/>
        <v>0.87</v>
      </c>
      <c r="GS144" s="48">
        <f t="shared" si="1742"/>
        <v>0.85</v>
      </c>
      <c r="GT144" s="48">
        <f t="shared" si="1742"/>
        <v>0.83</v>
      </c>
      <c r="GU144" s="48">
        <f t="shared" si="1742"/>
        <v>0.80999999999999994</v>
      </c>
      <c r="GV144" s="48">
        <f t="shared" si="1742"/>
        <v>0.78999999999999992</v>
      </c>
      <c r="GW144" s="48">
        <f t="shared" si="1742"/>
        <v>0.76999999999999991</v>
      </c>
      <c r="GX144" s="48">
        <f t="shared" si="1742"/>
        <v>0.74999999999999989</v>
      </c>
      <c r="GY144" s="48">
        <f t="shared" si="1742"/>
        <v>0.72999999999999987</v>
      </c>
      <c r="GZ144" s="48">
        <f t="shared" si="1742"/>
        <v>0.70999999999999985</v>
      </c>
      <c r="HA144" s="48">
        <f t="shared" si="1742"/>
        <v>0.68999999999999984</v>
      </c>
      <c r="HB144" s="48">
        <f t="shared" si="1742"/>
        <v>0.66999999999999982</v>
      </c>
      <c r="HC144" s="48">
        <f t="shared" si="1742"/>
        <v>0.6499999999999998</v>
      </c>
      <c r="HD144" s="48">
        <f t="shared" si="1742"/>
        <v>0.62999999999999978</v>
      </c>
      <c r="HE144" s="48">
        <f t="shared" si="1742"/>
        <v>0.60999999999999976</v>
      </c>
      <c r="HF144" s="48">
        <f t="shared" si="1742"/>
        <v>0.58999999999999975</v>
      </c>
      <c r="HG144" s="48">
        <f t="shared" si="1742"/>
        <v>0.56999999999999973</v>
      </c>
    </row>
    <row r="145" spans="1:215" x14ac:dyDescent="0.3">
      <c r="A145" s="2">
        <v>3</v>
      </c>
      <c r="C145" s="39" t="s">
        <v>200</v>
      </c>
      <c r="D145" s="44">
        <v>0</v>
      </c>
      <c r="E145" s="73">
        <f>TRUNC(+D145*3.3058,-1)</f>
        <v>0</v>
      </c>
      <c r="G145" s="48">
        <f t="shared" si="948"/>
        <v>0</v>
      </c>
      <c r="H145" s="48">
        <f t="shared" si="949"/>
        <v>0</v>
      </c>
      <c r="I145" s="51">
        <f t="shared" si="950"/>
        <v>0</v>
      </c>
      <c r="J145" s="48">
        <f t="shared" si="1607"/>
        <v>0</v>
      </c>
      <c r="K145" s="51">
        <f t="shared" si="1608"/>
        <v>0</v>
      </c>
      <c r="L145" s="48">
        <f t="shared" si="1609"/>
        <v>0</v>
      </c>
      <c r="M145" s="51">
        <f t="shared" si="1610"/>
        <v>0</v>
      </c>
      <c r="N145" s="48">
        <f t="shared" si="1611"/>
        <v>0</v>
      </c>
      <c r="O145" s="51">
        <f t="shared" si="1612"/>
        <v>0</v>
      </c>
      <c r="P145" s="52">
        <f t="shared" si="1613"/>
        <v>0</v>
      </c>
      <c r="Q145" s="51">
        <f t="shared" si="1614"/>
        <v>0</v>
      </c>
      <c r="R145" s="48">
        <f t="shared" si="1615"/>
        <v>0</v>
      </c>
      <c r="S145" s="51">
        <f t="shared" si="1616"/>
        <v>0</v>
      </c>
      <c r="T145" s="52">
        <f t="shared" si="1617"/>
        <v>0</v>
      </c>
      <c r="U145" s="51">
        <f t="shared" si="1618"/>
        <v>0</v>
      </c>
      <c r="V145" s="53">
        <f t="shared" si="1619"/>
        <v>0</v>
      </c>
      <c r="W145" s="51">
        <f t="shared" si="1620"/>
        <v>0</v>
      </c>
      <c r="X145" s="52">
        <f t="shared" si="1621"/>
        <v>0</v>
      </c>
      <c r="Y145" s="51">
        <f t="shared" si="1622"/>
        <v>0</v>
      </c>
      <c r="Z145" s="48">
        <f t="shared" si="1623"/>
        <v>0</v>
      </c>
      <c r="AA145" s="51">
        <f t="shared" si="1624"/>
        <v>0</v>
      </c>
      <c r="AB145" s="53">
        <f t="shared" si="1625"/>
        <v>0</v>
      </c>
      <c r="AC145" s="51">
        <f t="shared" si="1626"/>
        <v>0</v>
      </c>
      <c r="AD145" s="53">
        <f t="shared" si="1627"/>
        <v>0</v>
      </c>
      <c r="AE145" s="51">
        <f t="shared" si="1628"/>
        <v>0</v>
      </c>
      <c r="AF145" s="53">
        <f t="shared" si="1629"/>
        <v>0</v>
      </c>
      <c r="AG145" s="51">
        <f t="shared" si="1630"/>
        <v>0</v>
      </c>
      <c r="AH145" s="48">
        <f t="shared" si="1631"/>
        <v>0</v>
      </c>
      <c r="AI145" s="51">
        <f t="shared" si="1632"/>
        <v>0</v>
      </c>
      <c r="AJ145" s="53">
        <f t="shared" si="1633"/>
        <v>0</v>
      </c>
      <c r="AK145" s="51">
        <f t="shared" si="1634"/>
        <v>0</v>
      </c>
      <c r="AL145" s="53">
        <f t="shared" si="1635"/>
        <v>0</v>
      </c>
      <c r="AM145" s="51">
        <f t="shared" si="1636"/>
        <v>0</v>
      </c>
      <c r="AN145" s="53">
        <f t="shared" si="1637"/>
        <v>0</v>
      </c>
      <c r="AO145" s="51">
        <f t="shared" si="1638"/>
        <v>0</v>
      </c>
      <c r="AP145" s="53">
        <f t="shared" si="1639"/>
        <v>0</v>
      </c>
      <c r="AQ145" s="51">
        <f t="shared" si="1640"/>
        <v>0</v>
      </c>
      <c r="AR145" s="48">
        <f t="shared" si="1641"/>
        <v>0</v>
      </c>
      <c r="AS145" s="51">
        <f t="shared" si="1642"/>
        <v>0</v>
      </c>
      <c r="AT145" s="53">
        <f t="shared" si="1643"/>
        <v>0</v>
      </c>
      <c r="AU145" s="51">
        <f t="shared" si="1644"/>
        <v>0</v>
      </c>
      <c r="AV145" s="53">
        <f t="shared" si="1645"/>
        <v>0</v>
      </c>
      <c r="AW145" s="51">
        <f t="shared" si="1646"/>
        <v>0</v>
      </c>
      <c r="AX145" s="48">
        <f t="shared" si="1647"/>
        <v>0</v>
      </c>
      <c r="AY145" s="51">
        <f t="shared" si="1648"/>
        <v>0</v>
      </c>
      <c r="BB145" s="48">
        <v>1</v>
      </c>
      <c r="BC145" s="48">
        <v>0.97</v>
      </c>
      <c r="BD145" s="48">
        <v>0.95</v>
      </c>
      <c r="BE145" s="48">
        <v>0.93</v>
      </c>
      <c r="BF145" s="48">
        <f t="shared" ref="BF145:BW145" si="1743">+BE145-0.02</f>
        <v>0.91</v>
      </c>
      <c r="BG145" s="48">
        <f t="shared" si="1743"/>
        <v>0.89</v>
      </c>
      <c r="BH145" s="48">
        <f t="shared" si="1743"/>
        <v>0.87</v>
      </c>
      <c r="BI145" s="48">
        <f t="shared" si="1743"/>
        <v>0.85</v>
      </c>
      <c r="BJ145" s="48">
        <f t="shared" si="1743"/>
        <v>0.83</v>
      </c>
      <c r="BK145" s="48">
        <f t="shared" si="1743"/>
        <v>0.80999999999999994</v>
      </c>
      <c r="BL145" s="48">
        <f t="shared" si="1743"/>
        <v>0.78999999999999992</v>
      </c>
      <c r="BM145" s="48">
        <f t="shared" si="1743"/>
        <v>0.76999999999999991</v>
      </c>
      <c r="BN145" s="48">
        <f t="shared" si="1743"/>
        <v>0.74999999999999989</v>
      </c>
      <c r="BO145" s="48">
        <f t="shared" si="1743"/>
        <v>0.72999999999999987</v>
      </c>
      <c r="BP145" s="48">
        <f t="shared" si="1743"/>
        <v>0.70999999999999985</v>
      </c>
      <c r="BQ145" s="48">
        <f t="shared" si="1743"/>
        <v>0.68999999999999984</v>
      </c>
      <c r="BR145" s="48">
        <f t="shared" si="1743"/>
        <v>0.66999999999999982</v>
      </c>
      <c r="BS145" s="48">
        <f t="shared" si="1743"/>
        <v>0.6499999999999998</v>
      </c>
      <c r="BT145" s="48">
        <f t="shared" si="1743"/>
        <v>0.62999999999999978</v>
      </c>
      <c r="BU145" s="48">
        <f t="shared" si="1743"/>
        <v>0.60999999999999976</v>
      </c>
      <c r="BV145" s="48">
        <f t="shared" si="1743"/>
        <v>0.58999999999999975</v>
      </c>
      <c r="BW145" s="48">
        <f t="shared" si="1743"/>
        <v>0.56999999999999973</v>
      </c>
      <c r="BY145" s="48">
        <f t="shared" si="952"/>
        <v>0</v>
      </c>
      <c r="BZ145" s="48">
        <f t="shared" si="953"/>
        <v>0</v>
      </c>
      <c r="CA145" s="51">
        <f t="shared" ref="CA145" si="1744">+BZ145*3.3058</f>
        <v>0</v>
      </c>
      <c r="CB145" s="48">
        <f t="shared" si="1651"/>
        <v>0</v>
      </c>
      <c r="CC145" s="51">
        <f t="shared" si="1652"/>
        <v>0</v>
      </c>
      <c r="CD145" s="48">
        <f t="shared" si="1653"/>
        <v>0</v>
      </c>
      <c r="CE145" s="51">
        <f t="shared" si="1654"/>
        <v>0</v>
      </c>
      <c r="CF145" s="48">
        <f t="shared" si="1655"/>
        <v>0</v>
      </c>
      <c r="CG145" s="51">
        <f t="shared" si="1656"/>
        <v>0</v>
      </c>
      <c r="CH145" s="52">
        <f t="shared" si="1657"/>
        <v>0</v>
      </c>
      <c r="CI145" s="51">
        <f t="shared" si="1658"/>
        <v>0</v>
      </c>
      <c r="CJ145" s="48">
        <f t="shared" si="1659"/>
        <v>0</v>
      </c>
      <c r="CK145" s="51">
        <f t="shared" si="1660"/>
        <v>0</v>
      </c>
      <c r="CL145" s="52">
        <f t="shared" si="1661"/>
        <v>0</v>
      </c>
      <c r="CM145" s="51">
        <f t="shared" si="1662"/>
        <v>0</v>
      </c>
      <c r="CN145" s="53">
        <f t="shared" si="1663"/>
        <v>0</v>
      </c>
      <c r="CO145" s="51">
        <f t="shared" si="1664"/>
        <v>0</v>
      </c>
      <c r="CP145" s="52">
        <f t="shared" si="1665"/>
        <v>0</v>
      </c>
      <c r="CQ145" s="51">
        <f t="shared" si="1666"/>
        <v>0</v>
      </c>
      <c r="CR145" s="48">
        <f t="shared" si="1667"/>
        <v>0</v>
      </c>
      <c r="CS145" s="51">
        <f t="shared" si="1668"/>
        <v>0</v>
      </c>
      <c r="CT145" s="53">
        <f t="shared" si="1669"/>
        <v>0</v>
      </c>
      <c r="CU145" s="51">
        <f t="shared" si="1670"/>
        <v>0</v>
      </c>
      <c r="CV145" s="53">
        <f t="shared" si="1671"/>
        <v>0</v>
      </c>
      <c r="CW145" s="51">
        <f t="shared" si="1672"/>
        <v>0</v>
      </c>
      <c r="CX145" s="53">
        <f t="shared" si="1673"/>
        <v>0</v>
      </c>
      <c r="CY145" s="51">
        <f t="shared" si="1674"/>
        <v>0</v>
      </c>
      <c r="CZ145" s="48">
        <f t="shared" si="1675"/>
        <v>0</v>
      </c>
      <c r="DA145" s="51">
        <f t="shared" si="1676"/>
        <v>0</v>
      </c>
      <c r="DB145" s="53">
        <f t="shared" si="1677"/>
        <v>0</v>
      </c>
      <c r="DC145" s="51">
        <f t="shared" si="1678"/>
        <v>0</v>
      </c>
      <c r="DD145" s="53">
        <f t="shared" si="1679"/>
        <v>0</v>
      </c>
      <c r="DE145" s="51">
        <f t="shared" si="1680"/>
        <v>0</v>
      </c>
      <c r="DF145" s="53">
        <f t="shared" si="1681"/>
        <v>0</v>
      </c>
      <c r="DG145" s="51">
        <f t="shared" si="1682"/>
        <v>0</v>
      </c>
      <c r="DH145" s="53">
        <f t="shared" si="1683"/>
        <v>0</v>
      </c>
      <c r="DI145" s="51">
        <f t="shared" si="1684"/>
        <v>0</v>
      </c>
      <c r="DJ145" s="48">
        <f t="shared" si="1685"/>
        <v>0</v>
      </c>
      <c r="DK145" s="51">
        <f t="shared" si="1686"/>
        <v>0</v>
      </c>
      <c r="DL145" s="53">
        <f t="shared" si="1687"/>
        <v>0</v>
      </c>
      <c r="DM145" s="51">
        <f t="shared" si="1688"/>
        <v>0</v>
      </c>
      <c r="DN145" s="53">
        <f t="shared" si="1689"/>
        <v>0</v>
      </c>
      <c r="DO145" s="51">
        <f t="shared" si="1690"/>
        <v>0</v>
      </c>
      <c r="DP145" s="48">
        <f t="shared" si="1691"/>
        <v>0</v>
      </c>
      <c r="DQ145" s="51">
        <f t="shared" si="1692"/>
        <v>0</v>
      </c>
      <c r="DT145" s="48">
        <v>1</v>
      </c>
      <c r="DU145" s="48">
        <v>0.97</v>
      </c>
      <c r="DV145" s="48">
        <v>0.95</v>
      </c>
      <c r="DW145" s="48">
        <v>0.93</v>
      </c>
      <c r="DX145" s="48">
        <f t="shared" ref="DX145:EO145" si="1745">+DW145-0.02</f>
        <v>0.91</v>
      </c>
      <c r="DY145" s="48">
        <f t="shared" si="1745"/>
        <v>0.89</v>
      </c>
      <c r="DZ145" s="48">
        <f t="shared" si="1745"/>
        <v>0.87</v>
      </c>
      <c r="EA145" s="48">
        <f t="shared" si="1745"/>
        <v>0.85</v>
      </c>
      <c r="EB145" s="48">
        <f t="shared" si="1745"/>
        <v>0.83</v>
      </c>
      <c r="EC145" s="48">
        <f t="shared" si="1745"/>
        <v>0.80999999999999994</v>
      </c>
      <c r="ED145" s="48">
        <f t="shared" si="1745"/>
        <v>0.78999999999999992</v>
      </c>
      <c r="EE145" s="48">
        <f t="shared" si="1745"/>
        <v>0.76999999999999991</v>
      </c>
      <c r="EF145" s="48">
        <f t="shared" si="1745"/>
        <v>0.74999999999999989</v>
      </c>
      <c r="EG145" s="48">
        <f t="shared" si="1745"/>
        <v>0.72999999999999987</v>
      </c>
      <c r="EH145" s="48">
        <f t="shared" si="1745"/>
        <v>0.70999999999999985</v>
      </c>
      <c r="EI145" s="48">
        <f t="shared" si="1745"/>
        <v>0.68999999999999984</v>
      </c>
      <c r="EJ145" s="48">
        <f t="shared" si="1745"/>
        <v>0.66999999999999982</v>
      </c>
      <c r="EK145" s="48">
        <f t="shared" si="1745"/>
        <v>0.6499999999999998</v>
      </c>
      <c r="EL145" s="48">
        <f t="shared" si="1745"/>
        <v>0.62999999999999978</v>
      </c>
      <c r="EM145" s="48">
        <f t="shared" si="1745"/>
        <v>0.60999999999999976</v>
      </c>
      <c r="EN145" s="48">
        <f t="shared" si="1745"/>
        <v>0.58999999999999975</v>
      </c>
      <c r="EO145" s="48">
        <f t="shared" si="1745"/>
        <v>0.56999999999999973</v>
      </c>
      <c r="EQ145" s="48">
        <f t="shared" si="1128"/>
        <v>0</v>
      </c>
      <c r="ER145" s="48">
        <f t="shared" si="956"/>
        <v>0</v>
      </c>
      <c r="ES145" s="51">
        <f t="shared" ref="ES145" si="1746">+ER145*3.3058</f>
        <v>0</v>
      </c>
      <c r="ET145" s="48">
        <f t="shared" si="1695"/>
        <v>0</v>
      </c>
      <c r="EU145" s="51">
        <f t="shared" si="1696"/>
        <v>0</v>
      </c>
      <c r="EV145" s="48">
        <f t="shared" si="1697"/>
        <v>0</v>
      </c>
      <c r="EW145" s="51">
        <f t="shared" si="1698"/>
        <v>0</v>
      </c>
      <c r="EX145" s="48">
        <f t="shared" si="1699"/>
        <v>0</v>
      </c>
      <c r="EY145" s="51">
        <f t="shared" si="1700"/>
        <v>0</v>
      </c>
      <c r="EZ145" s="52">
        <f t="shared" si="1701"/>
        <v>0</v>
      </c>
      <c r="FA145" s="51">
        <f t="shared" si="1702"/>
        <v>0</v>
      </c>
      <c r="FB145" s="48">
        <f t="shared" si="1703"/>
        <v>0</v>
      </c>
      <c r="FC145" s="51">
        <f t="shared" si="1704"/>
        <v>0</v>
      </c>
      <c r="FD145" s="52">
        <f t="shared" si="1705"/>
        <v>0</v>
      </c>
      <c r="FE145" s="51">
        <f t="shared" si="1706"/>
        <v>0</v>
      </c>
      <c r="FF145" s="53">
        <f t="shared" si="1707"/>
        <v>0</v>
      </c>
      <c r="FG145" s="51">
        <f t="shared" si="1708"/>
        <v>0</v>
      </c>
      <c r="FH145" s="52">
        <f t="shared" si="1709"/>
        <v>0</v>
      </c>
      <c r="FI145" s="51">
        <f t="shared" si="1710"/>
        <v>0</v>
      </c>
      <c r="FJ145" s="48">
        <f t="shared" si="1711"/>
        <v>0</v>
      </c>
      <c r="FK145" s="51">
        <f t="shared" si="1712"/>
        <v>0</v>
      </c>
      <c r="FL145" s="53">
        <f t="shared" si="1713"/>
        <v>0</v>
      </c>
      <c r="FM145" s="51">
        <f t="shared" si="1714"/>
        <v>0</v>
      </c>
      <c r="FN145" s="53">
        <f t="shared" si="1715"/>
        <v>0</v>
      </c>
      <c r="FO145" s="51">
        <f t="shared" si="1716"/>
        <v>0</v>
      </c>
      <c r="FP145" s="53">
        <f t="shared" si="1717"/>
        <v>0</v>
      </c>
      <c r="FQ145" s="51">
        <f t="shared" si="1718"/>
        <v>0</v>
      </c>
      <c r="FR145" s="48">
        <f t="shared" si="1719"/>
        <v>0</v>
      </c>
      <c r="FS145" s="51">
        <f t="shared" si="1720"/>
        <v>0</v>
      </c>
      <c r="FT145" s="53">
        <f t="shared" si="1721"/>
        <v>0</v>
      </c>
      <c r="FU145" s="51">
        <f t="shared" si="1722"/>
        <v>0</v>
      </c>
      <c r="FV145" s="53">
        <f t="shared" si="1723"/>
        <v>0</v>
      </c>
      <c r="FW145" s="51">
        <f t="shared" si="1724"/>
        <v>0</v>
      </c>
      <c r="FX145" s="53">
        <f t="shared" si="1725"/>
        <v>0</v>
      </c>
      <c r="FY145" s="51">
        <f t="shared" si="1726"/>
        <v>0</v>
      </c>
      <c r="FZ145" s="53">
        <f t="shared" si="1727"/>
        <v>0</v>
      </c>
      <c r="GA145" s="51">
        <f t="shared" si="1728"/>
        <v>0</v>
      </c>
      <c r="GB145" s="48">
        <f t="shared" si="1729"/>
        <v>0</v>
      </c>
      <c r="GC145" s="51">
        <f t="shared" si="1730"/>
        <v>0</v>
      </c>
      <c r="GD145" s="53">
        <f t="shared" si="1731"/>
        <v>0</v>
      </c>
      <c r="GE145" s="51">
        <f t="shared" si="1732"/>
        <v>0</v>
      </c>
      <c r="GF145" s="53">
        <f t="shared" si="1733"/>
        <v>0</v>
      </c>
      <c r="GG145" s="51">
        <f t="shared" si="1734"/>
        <v>0</v>
      </c>
      <c r="GH145" s="48">
        <f t="shared" si="1735"/>
        <v>0</v>
      </c>
      <c r="GI145" s="51">
        <f t="shared" si="1736"/>
        <v>0</v>
      </c>
      <c r="GJ145" s="48"/>
      <c r="GK145" s="48"/>
      <c r="GL145" s="48">
        <v>1</v>
      </c>
      <c r="GM145" s="48">
        <v>0.97</v>
      </c>
      <c r="GN145" s="48">
        <v>0.95</v>
      </c>
      <c r="GO145" s="48">
        <v>0.93</v>
      </c>
      <c r="GP145" s="48">
        <f t="shared" ref="GP145:HG145" si="1747">+GO145-0.02</f>
        <v>0.91</v>
      </c>
      <c r="GQ145" s="48">
        <f t="shared" si="1747"/>
        <v>0.89</v>
      </c>
      <c r="GR145" s="48">
        <f t="shared" si="1747"/>
        <v>0.87</v>
      </c>
      <c r="GS145" s="48">
        <f t="shared" si="1747"/>
        <v>0.85</v>
      </c>
      <c r="GT145" s="48">
        <f t="shared" si="1747"/>
        <v>0.83</v>
      </c>
      <c r="GU145" s="48">
        <f t="shared" si="1747"/>
        <v>0.80999999999999994</v>
      </c>
      <c r="GV145" s="48">
        <f t="shared" si="1747"/>
        <v>0.78999999999999992</v>
      </c>
      <c r="GW145" s="48">
        <f t="shared" si="1747"/>
        <v>0.76999999999999991</v>
      </c>
      <c r="GX145" s="48">
        <f t="shared" si="1747"/>
        <v>0.74999999999999989</v>
      </c>
      <c r="GY145" s="48">
        <f t="shared" si="1747"/>
        <v>0.72999999999999987</v>
      </c>
      <c r="GZ145" s="48">
        <f t="shared" si="1747"/>
        <v>0.70999999999999985</v>
      </c>
      <c r="HA145" s="48">
        <f t="shared" si="1747"/>
        <v>0.68999999999999984</v>
      </c>
      <c r="HB145" s="48">
        <f t="shared" si="1747"/>
        <v>0.66999999999999982</v>
      </c>
      <c r="HC145" s="48">
        <f t="shared" si="1747"/>
        <v>0.6499999999999998</v>
      </c>
      <c r="HD145" s="48">
        <f t="shared" si="1747"/>
        <v>0.62999999999999978</v>
      </c>
      <c r="HE145" s="48">
        <f t="shared" si="1747"/>
        <v>0.60999999999999976</v>
      </c>
      <c r="HF145" s="48">
        <f t="shared" si="1747"/>
        <v>0.58999999999999975</v>
      </c>
      <c r="HG145" s="48">
        <f t="shared" si="1747"/>
        <v>0.56999999999999973</v>
      </c>
    </row>
    <row r="146" spans="1:215" x14ac:dyDescent="0.3">
      <c r="A146" s="2">
        <v>4</v>
      </c>
      <c r="C146" s="39" t="s">
        <v>157</v>
      </c>
      <c r="D146" s="44">
        <f>TRUNC(85.2903050108932+3346.15758896151,-1)</f>
        <v>3430</v>
      </c>
      <c r="E146" s="73">
        <f>TRUNC(+D146*3.3058,-1)</f>
        <v>11330</v>
      </c>
      <c r="F146" s="37" t="s">
        <v>370</v>
      </c>
      <c r="G146" s="48">
        <f t="shared" si="948"/>
        <v>3773.0000000000005</v>
      </c>
      <c r="H146" s="48">
        <f t="shared" si="949"/>
        <v>3773.0000000000005</v>
      </c>
      <c r="I146" s="51">
        <f t="shared" si="950"/>
        <v>12472.783400000002</v>
      </c>
      <c r="J146" s="48">
        <f t="shared" si="1607"/>
        <v>3659.8100000000004</v>
      </c>
      <c r="K146" s="51">
        <f t="shared" si="1608"/>
        <v>12098.599898000002</v>
      </c>
      <c r="L146" s="48">
        <f t="shared" si="1609"/>
        <v>3584.3500000000004</v>
      </c>
      <c r="M146" s="51">
        <f t="shared" si="1610"/>
        <v>11849.144230000002</v>
      </c>
      <c r="N146" s="48">
        <f t="shared" si="1611"/>
        <v>3508.8900000000008</v>
      </c>
      <c r="O146" s="51">
        <f t="shared" si="1612"/>
        <v>11599.688562000003</v>
      </c>
      <c r="P146" s="52">
        <f t="shared" si="1613"/>
        <v>3433.4300000000007</v>
      </c>
      <c r="Q146" s="51">
        <f t="shared" si="1614"/>
        <v>11350.232894000002</v>
      </c>
      <c r="R146" s="48">
        <f t="shared" si="1615"/>
        <v>3357.9700000000003</v>
      </c>
      <c r="S146" s="51">
        <f t="shared" si="1616"/>
        <v>11100.777226000002</v>
      </c>
      <c r="T146" s="52">
        <f t="shared" si="1617"/>
        <v>3282.51</v>
      </c>
      <c r="U146" s="51">
        <f t="shared" si="1618"/>
        <v>10851.321558000001</v>
      </c>
      <c r="V146" s="53">
        <f t="shared" si="1619"/>
        <v>3207.05</v>
      </c>
      <c r="W146" s="51">
        <f t="shared" si="1620"/>
        <v>10601.865890000001</v>
      </c>
      <c r="X146" s="52">
        <f t="shared" si="1621"/>
        <v>3131.59</v>
      </c>
      <c r="Y146" s="51">
        <f t="shared" si="1622"/>
        <v>10352.410222</v>
      </c>
      <c r="Z146" s="48">
        <f t="shared" si="1623"/>
        <v>3056.13</v>
      </c>
      <c r="AA146" s="51">
        <f t="shared" si="1624"/>
        <v>10102.954554</v>
      </c>
      <c r="AB146" s="53">
        <f t="shared" si="1625"/>
        <v>2980.67</v>
      </c>
      <c r="AC146" s="51">
        <f t="shared" si="1626"/>
        <v>9853.4988860000012</v>
      </c>
      <c r="AD146" s="53">
        <f t="shared" si="1627"/>
        <v>2905.21</v>
      </c>
      <c r="AE146" s="51">
        <f t="shared" si="1628"/>
        <v>9604.0432180000007</v>
      </c>
      <c r="AF146" s="53">
        <f t="shared" si="1629"/>
        <v>2829.75</v>
      </c>
      <c r="AG146" s="51">
        <f t="shared" si="1630"/>
        <v>9354.5875500000002</v>
      </c>
      <c r="AH146" s="48">
        <f t="shared" si="1631"/>
        <v>2754.29</v>
      </c>
      <c r="AI146" s="51">
        <f t="shared" si="1632"/>
        <v>9105.1318819999997</v>
      </c>
      <c r="AJ146" s="53">
        <f t="shared" si="1633"/>
        <v>2678.83</v>
      </c>
      <c r="AK146" s="51">
        <f t="shared" si="1634"/>
        <v>8855.6762139999992</v>
      </c>
      <c r="AL146" s="53">
        <f t="shared" si="1635"/>
        <v>2603.37</v>
      </c>
      <c r="AM146" s="51">
        <f t="shared" si="1636"/>
        <v>8606.2205460000005</v>
      </c>
      <c r="AN146" s="53">
        <f t="shared" si="1637"/>
        <v>2527.9099999999994</v>
      </c>
      <c r="AO146" s="51">
        <f t="shared" si="1638"/>
        <v>8356.7648779999981</v>
      </c>
      <c r="AP146" s="53">
        <f t="shared" si="1639"/>
        <v>2452.4499999999994</v>
      </c>
      <c r="AQ146" s="51">
        <f t="shared" si="1640"/>
        <v>8107.3092099999976</v>
      </c>
      <c r="AR146" s="48">
        <f t="shared" si="1641"/>
        <v>2376.9899999999993</v>
      </c>
      <c r="AS146" s="51">
        <f t="shared" si="1642"/>
        <v>7857.853541999998</v>
      </c>
      <c r="AT146" s="53">
        <f t="shared" si="1643"/>
        <v>2301.5299999999993</v>
      </c>
      <c r="AU146" s="51">
        <f t="shared" si="1644"/>
        <v>7608.3978739999975</v>
      </c>
      <c r="AV146" s="53">
        <f t="shared" si="1645"/>
        <v>2226.0699999999993</v>
      </c>
      <c r="AW146" s="51">
        <f t="shared" si="1646"/>
        <v>7358.9422059999979</v>
      </c>
      <c r="AX146" s="48">
        <f t="shared" si="1647"/>
        <v>2150.6099999999992</v>
      </c>
      <c r="AY146" s="51">
        <f t="shared" si="1648"/>
        <v>7109.4865379999974</v>
      </c>
      <c r="BB146" s="48">
        <v>1</v>
      </c>
      <c r="BC146" s="48">
        <v>0.97</v>
      </c>
      <c r="BD146" s="48">
        <v>0.95</v>
      </c>
      <c r="BE146" s="48">
        <v>0.93</v>
      </c>
      <c r="BF146" s="48">
        <f t="shared" ref="BF146:BW146" si="1748">+BE146-0.02</f>
        <v>0.91</v>
      </c>
      <c r="BG146" s="48">
        <f t="shared" si="1748"/>
        <v>0.89</v>
      </c>
      <c r="BH146" s="48">
        <f t="shared" si="1748"/>
        <v>0.87</v>
      </c>
      <c r="BI146" s="48">
        <f t="shared" si="1748"/>
        <v>0.85</v>
      </c>
      <c r="BJ146" s="48">
        <f t="shared" si="1748"/>
        <v>0.83</v>
      </c>
      <c r="BK146" s="48">
        <f t="shared" si="1748"/>
        <v>0.80999999999999994</v>
      </c>
      <c r="BL146" s="48">
        <f t="shared" si="1748"/>
        <v>0.78999999999999992</v>
      </c>
      <c r="BM146" s="48">
        <f t="shared" si="1748"/>
        <v>0.76999999999999991</v>
      </c>
      <c r="BN146" s="48">
        <f t="shared" si="1748"/>
        <v>0.74999999999999989</v>
      </c>
      <c r="BO146" s="48">
        <f t="shared" si="1748"/>
        <v>0.72999999999999987</v>
      </c>
      <c r="BP146" s="48">
        <f t="shared" si="1748"/>
        <v>0.70999999999999985</v>
      </c>
      <c r="BQ146" s="48">
        <f t="shared" si="1748"/>
        <v>0.68999999999999984</v>
      </c>
      <c r="BR146" s="48">
        <f t="shared" si="1748"/>
        <v>0.66999999999999982</v>
      </c>
      <c r="BS146" s="48">
        <f t="shared" si="1748"/>
        <v>0.6499999999999998</v>
      </c>
      <c r="BT146" s="48">
        <f t="shared" si="1748"/>
        <v>0.62999999999999978</v>
      </c>
      <c r="BU146" s="48">
        <f t="shared" si="1748"/>
        <v>0.60999999999999976</v>
      </c>
      <c r="BV146" s="48">
        <f t="shared" si="1748"/>
        <v>0.58999999999999975</v>
      </c>
      <c r="BW146" s="48">
        <f t="shared" si="1748"/>
        <v>0.56999999999999973</v>
      </c>
      <c r="BY146" s="48">
        <f t="shared" si="952"/>
        <v>3433.4300000000007</v>
      </c>
      <c r="BZ146" s="48">
        <f t="shared" si="953"/>
        <v>3433.4300000000007</v>
      </c>
      <c r="CA146" s="51">
        <f t="shared" ref="CA146" si="1749">+BZ146*3.3058</f>
        <v>11350.232894000002</v>
      </c>
      <c r="CB146" s="48">
        <f t="shared" si="1651"/>
        <v>3330.4271000000008</v>
      </c>
      <c r="CC146" s="51">
        <f t="shared" si="1652"/>
        <v>11009.725907180004</v>
      </c>
      <c r="CD146" s="48">
        <f t="shared" si="1653"/>
        <v>3261.7585000000004</v>
      </c>
      <c r="CE146" s="51">
        <f t="shared" si="1654"/>
        <v>10782.721249300001</v>
      </c>
      <c r="CF146" s="48">
        <f t="shared" si="1655"/>
        <v>3193.0899000000009</v>
      </c>
      <c r="CG146" s="51">
        <f t="shared" si="1656"/>
        <v>10555.716591420003</v>
      </c>
      <c r="CH146" s="52">
        <f t="shared" si="1657"/>
        <v>3124.4213000000009</v>
      </c>
      <c r="CI146" s="51">
        <f t="shared" si="1658"/>
        <v>10328.711933540004</v>
      </c>
      <c r="CJ146" s="48">
        <f t="shared" si="1659"/>
        <v>3055.7527000000009</v>
      </c>
      <c r="CK146" s="51">
        <f t="shared" si="1660"/>
        <v>10101.707275660003</v>
      </c>
      <c r="CL146" s="52">
        <f t="shared" si="1661"/>
        <v>2987.0841000000005</v>
      </c>
      <c r="CM146" s="51">
        <f t="shared" si="1662"/>
        <v>9874.7026177800017</v>
      </c>
      <c r="CN146" s="53">
        <f t="shared" si="1663"/>
        <v>2918.4155000000005</v>
      </c>
      <c r="CO146" s="51">
        <f t="shared" si="1664"/>
        <v>9647.6979599000024</v>
      </c>
      <c r="CP146" s="52">
        <f t="shared" si="1665"/>
        <v>2849.7469000000006</v>
      </c>
      <c r="CQ146" s="51">
        <f t="shared" si="1666"/>
        <v>9420.6933020200013</v>
      </c>
      <c r="CR146" s="48">
        <f t="shared" si="1667"/>
        <v>2781.0783000000006</v>
      </c>
      <c r="CS146" s="51">
        <f t="shared" si="1668"/>
        <v>9193.688644140002</v>
      </c>
      <c r="CT146" s="53">
        <f t="shared" si="1669"/>
        <v>2712.4097000000002</v>
      </c>
      <c r="CU146" s="51">
        <f t="shared" si="1670"/>
        <v>8966.6839862600009</v>
      </c>
      <c r="CV146" s="53">
        <f t="shared" si="1671"/>
        <v>2643.7411000000002</v>
      </c>
      <c r="CW146" s="51">
        <f t="shared" si="1672"/>
        <v>8739.6793283800016</v>
      </c>
      <c r="CX146" s="53">
        <f t="shared" si="1673"/>
        <v>2575.0725000000002</v>
      </c>
      <c r="CY146" s="51">
        <f t="shared" si="1674"/>
        <v>8512.6746705000005</v>
      </c>
      <c r="CZ146" s="48">
        <f t="shared" si="1675"/>
        <v>2506.4039000000002</v>
      </c>
      <c r="DA146" s="51">
        <f t="shared" si="1676"/>
        <v>8285.6700126200012</v>
      </c>
      <c r="DB146" s="53">
        <f t="shared" si="1677"/>
        <v>2437.7352999999998</v>
      </c>
      <c r="DC146" s="51">
        <f t="shared" si="1678"/>
        <v>8058.6653547399992</v>
      </c>
      <c r="DD146" s="53">
        <f t="shared" si="1679"/>
        <v>2369.0666999999999</v>
      </c>
      <c r="DE146" s="51">
        <f t="shared" si="1680"/>
        <v>7831.6606968599999</v>
      </c>
      <c r="DF146" s="53">
        <f t="shared" si="1681"/>
        <v>2300.3980999999999</v>
      </c>
      <c r="DG146" s="51">
        <f t="shared" si="1682"/>
        <v>7604.6560389799997</v>
      </c>
      <c r="DH146" s="53">
        <f t="shared" si="1683"/>
        <v>2231.7294999999999</v>
      </c>
      <c r="DI146" s="51">
        <f t="shared" si="1684"/>
        <v>7377.6513810999995</v>
      </c>
      <c r="DJ146" s="48">
        <f t="shared" si="1685"/>
        <v>2163.0608999999999</v>
      </c>
      <c r="DK146" s="51">
        <f t="shared" si="1686"/>
        <v>7150.6467232200002</v>
      </c>
      <c r="DL146" s="53">
        <f t="shared" si="1687"/>
        <v>2094.3922999999995</v>
      </c>
      <c r="DM146" s="51">
        <f t="shared" si="1688"/>
        <v>6923.6420653399982</v>
      </c>
      <c r="DN146" s="53">
        <f t="shared" si="1689"/>
        <v>2025.7236999999996</v>
      </c>
      <c r="DO146" s="51">
        <f t="shared" si="1690"/>
        <v>6696.6374074599989</v>
      </c>
      <c r="DP146" s="48">
        <f t="shared" si="1691"/>
        <v>1957.0550999999996</v>
      </c>
      <c r="DQ146" s="51">
        <f t="shared" si="1692"/>
        <v>6469.6327495799987</v>
      </c>
      <c r="DT146" s="48">
        <v>1</v>
      </c>
      <c r="DU146" s="48">
        <v>0.97</v>
      </c>
      <c r="DV146" s="48">
        <v>0.95</v>
      </c>
      <c r="DW146" s="48">
        <v>0.93</v>
      </c>
      <c r="DX146" s="48">
        <f t="shared" ref="DX146:EO146" si="1750">+DW146-0.02</f>
        <v>0.91</v>
      </c>
      <c r="DY146" s="48">
        <f t="shared" si="1750"/>
        <v>0.89</v>
      </c>
      <c r="DZ146" s="48">
        <f t="shared" si="1750"/>
        <v>0.87</v>
      </c>
      <c r="EA146" s="48">
        <f t="shared" si="1750"/>
        <v>0.85</v>
      </c>
      <c r="EB146" s="48">
        <f t="shared" si="1750"/>
        <v>0.83</v>
      </c>
      <c r="EC146" s="48">
        <f t="shared" si="1750"/>
        <v>0.80999999999999994</v>
      </c>
      <c r="ED146" s="48">
        <f t="shared" si="1750"/>
        <v>0.78999999999999992</v>
      </c>
      <c r="EE146" s="48">
        <f t="shared" si="1750"/>
        <v>0.76999999999999991</v>
      </c>
      <c r="EF146" s="48">
        <f t="shared" si="1750"/>
        <v>0.74999999999999989</v>
      </c>
      <c r="EG146" s="48">
        <f t="shared" si="1750"/>
        <v>0.72999999999999987</v>
      </c>
      <c r="EH146" s="48">
        <f t="shared" si="1750"/>
        <v>0.70999999999999985</v>
      </c>
      <c r="EI146" s="48">
        <f t="shared" si="1750"/>
        <v>0.68999999999999984</v>
      </c>
      <c r="EJ146" s="48">
        <f t="shared" si="1750"/>
        <v>0.66999999999999982</v>
      </c>
      <c r="EK146" s="48">
        <f t="shared" si="1750"/>
        <v>0.6499999999999998</v>
      </c>
      <c r="EL146" s="48">
        <f t="shared" si="1750"/>
        <v>0.62999999999999978</v>
      </c>
      <c r="EM146" s="48">
        <f t="shared" si="1750"/>
        <v>0.60999999999999976</v>
      </c>
      <c r="EN146" s="48">
        <f t="shared" si="1750"/>
        <v>0.58999999999999975</v>
      </c>
      <c r="EO146" s="48">
        <f t="shared" si="1750"/>
        <v>0.56999999999999973</v>
      </c>
      <c r="EQ146" s="48">
        <f t="shared" si="1128"/>
        <v>3124.4213000000009</v>
      </c>
      <c r="ER146" s="48">
        <f t="shared" si="956"/>
        <v>3124.4213000000009</v>
      </c>
      <c r="ES146" s="51">
        <f t="shared" ref="ES146" si="1751">+ER146*3.3058</f>
        <v>10328.711933540004</v>
      </c>
      <c r="ET146" s="48">
        <f t="shared" si="1695"/>
        <v>3030.6886610000006</v>
      </c>
      <c r="EU146" s="51">
        <f t="shared" si="1696"/>
        <v>10018.850575533803</v>
      </c>
      <c r="EV146" s="48">
        <f t="shared" si="1697"/>
        <v>2968.2002350000007</v>
      </c>
      <c r="EW146" s="51">
        <f t="shared" si="1698"/>
        <v>9812.2763368630021</v>
      </c>
      <c r="EX146" s="48">
        <f t="shared" si="1699"/>
        <v>2905.7118090000008</v>
      </c>
      <c r="EY146" s="51">
        <f t="shared" si="1700"/>
        <v>9605.7020981922033</v>
      </c>
      <c r="EZ146" s="52">
        <f t="shared" si="1701"/>
        <v>2843.2233830000009</v>
      </c>
      <c r="FA146" s="51">
        <f t="shared" si="1702"/>
        <v>9399.1278595214026</v>
      </c>
      <c r="FB146" s="48">
        <f t="shared" si="1703"/>
        <v>2780.734957000001</v>
      </c>
      <c r="FC146" s="51">
        <f t="shared" si="1704"/>
        <v>9192.5536208506037</v>
      </c>
      <c r="FD146" s="52">
        <f t="shared" si="1705"/>
        <v>2718.2465310000007</v>
      </c>
      <c r="FE146" s="51">
        <f t="shared" si="1706"/>
        <v>8985.979382179803</v>
      </c>
      <c r="FF146" s="53">
        <f t="shared" si="1707"/>
        <v>2655.7581050000008</v>
      </c>
      <c r="FG146" s="51">
        <f t="shared" si="1708"/>
        <v>8779.4051435090023</v>
      </c>
      <c r="FH146" s="52">
        <f t="shared" si="1709"/>
        <v>2593.2696790000005</v>
      </c>
      <c r="FI146" s="51">
        <f t="shared" si="1710"/>
        <v>8572.8309048382016</v>
      </c>
      <c r="FJ146" s="48">
        <f t="shared" si="1711"/>
        <v>2530.7812530000006</v>
      </c>
      <c r="FK146" s="51">
        <f t="shared" si="1712"/>
        <v>8366.2566661674027</v>
      </c>
      <c r="FL146" s="53">
        <f t="shared" si="1713"/>
        <v>2468.2928270000007</v>
      </c>
      <c r="FM146" s="51">
        <f t="shared" si="1714"/>
        <v>8159.682427496602</v>
      </c>
      <c r="FN146" s="53">
        <f t="shared" si="1715"/>
        <v>2405.8044010000003</v>
      </c>
      <c r="FO146" s="51">
        <f t="shared" si="1716"/>
        <v>7953.1081888258013</v>
      </c>
      <c r="FP146" s="53">
        <f t="shared" si="1717"/>
        <v>2343.3159750000004</v>
      </c>
      <c r="FQ146" s="51">
        <f t="shared" si="1718"/>
        <v>7746.5339501550015</v>
      </c>
      <c r="FR146" s="48">
        <f t="shared" si="1719"/>
        <v>2280.8275490000001</v>
      </c>
      <c r="FS146" s="51">
        <f t="shared" si="1720"/>
        <v>7539.9597114842009</v>
      </c>
      <c r="FT146" s="53">
        <f t="shared" si="1721"/>
        <v>2218.3391230000002</v>
      </c>
      <c r="FU146" s="51">
        <f t="shared" si="1722"/>
        <v>7333.3854728134011</v>
      </c>
      <c r="FV146" s="53">
        <f t="shared" si="1723"/>
        <v>2155.8506970000003</v>
      </c>
      <c r="FW146" s="51">
        <f t="shared" si="1724"/>
        <v>7126.8112341426013</v>
      </c>
      <c r="FX146" s="53">
        <f t="shared" si="1725"/>
        <v>2093.362271</v>
      </c>
      <c r="FY146" s="51">
        <f t="shared" si="1726"/>
        <v>6920.2369954717997</v>
      </c>
      <c r="FZ146" s="53">
        <f t="shared" si="1727"/>
        <v>2030.8738449999998</v>
      </c>
      <c r="GA146" s="51">
        <f t="shared" si="1728"/>
        <v>6713.6627568009999</v>
      </c>
      <c r="GB146" s="48">
        <f t="shared" si="1729"/>
        <v>1968.385419</v>
      </c>
      <c r="GC146" s="51">
        <f t="shared" si="1730"/>
        <v>6507.0885181302001</v>
      </c>
      <c r="GD146" s="53">
        <f t="shared" si="1731"/>
        <v>1905.8969929999998</v>
      </c>
      <c r="GE146" s="51">
        <f t="shared" si="1732"/>
        <v>6300.5142794593994</v>
      </c>
      <c r="GF146" s="53">
        <f t="shared" si="1733"/>
        <v>1843.4085669999997</v>
      </c>
      <c r="GG146" s="51">
        <f t="shared" si="1734"/>
        <v>6093.9400407885996</v>
      </c>
      <c r="GH146" s="48">
        <f t="shared" si="1735"/>
        <v>1780.9201409999996</v>
      </c>
      <c r="GI146" s="51">
        <f t="shared" si="1736"/>
        <v>5887.3658021177989</v>
      </c>
      <c r="GJ146" s="48"/>
      <c r="GK146" s="48"/>
      <c r="GL146" s="48">
        <v>1</v>
      </c>
      <c r="GM146" s="48">
        <v>0.97</v>
      </c>
      <c r="GN146" s="48">
        <v>0.95</v>
      </c>
      <c r="GO146" s="48">
        <v>0.93</v>
      </c>
      <c r="GP146" s="48">
        <f t="shared" ref="GP146:HG146" si="1752">+GO146-0.02</f>
        <v>0.91</v>
      </c>
      <c r="GQ146" s="48">
        <f t="shared" si="1752"/>
        <v>0.89</v>
      </c>
      <c r="GR146" s="48">
        <f t="shared" si="1752"/>
        <v>0.87</v>
      </c>
      <c r="GS146" s="48">
        <f t="shared" si="1752"/>
        <v>0.85</v>
      </c>
      <c r="GT146" s="48">
        <f t="shared" si="1752"/>
        <v>0.83</v>
      </c>
      <c r="GU146" s="48">
        <f t="shared" si="1752"/>
        <v>0.80999999999999994</v>
      </c>
      <c r="GV146" s="48">
        <f t="shared" si="1752"/>
        <v>0.78999999999999992</v>
      </c>
      <c r="GW146" s="48">
        <f t="shared" si="1752"/>
        <v>0.76999999999999991</v>
      </c>
      <c r="GX146" s="48">
        <f t="shared" si="1752"/>
        <v>0.74999999999999989</v>
      </c>
      <c r="GY146" s="48">
        <f t="shared" si="1752"/>
        <v>0.72999999999999987</v>
      </c>
      <c r="GZ146" s="48">
        <f t="shared" si="1752"/>
        <v>0.70999999999999985</v>
      </c>
      <c r="HA146" s="48">
        <f t="shared" si="1752"/>
        <v>0.68999999999999984</v>
      </c>
      <c r="HB146" s="48">
        <f t="shared" si="1752"/>
        <v>0.66999999999999982</v>
      </c>
      <c r="HC146" s="48">
        <f t="shared" si="1752"/>
        <v>0.6499999999999998</v>
      </c>
      <c r="HD146" s="48">
        <f t="shared" si="1752"/>
        <v>0.62999999999999978</v>
      </c>
      <c r="HE146" s="48">
        <f t="shared" si="1752"/>
        <v>0.60999999999999976</v>
      </c>
      <c r="HF146" s="48">
        <f t="shared" si="1752"/>
        <v>0.58999999999999975</v>
      </c>
      <c r="HG146" s="48">
        <f t="shared" si="1752"/>
        <v>0.56999999999999973</v>
      </c>
    </row>
    <row r="147" spans="1:215" ht="17.25" thickBot="1" x14ac:dyDescent="0.35">
      <c r="A147" s="2">
        <v>5</v>
      </c>
      <c r="C147" s="39" t="s">
        <v>156</v>
      </c>
      <c r="D147" s="45">
        <v>0</v>
      </c>
      <c r="E147" s="74">
        <f>TRUNC(+D147*3.3058,-1)</f>
        <v>0</v>
      </c>
      <c r="G147" s="48">
        <f t="shared" si="948"/>
        <v>0</v>
      </c>
      <c r="H147" s="48">
        <f t="shared" si="949"/>
        <v>0</v>
      </c>
      <c r="I147" s="51">
        <f t="shared" si="950"/>
        <v>0</v>
      </c>
      <c r="J147" s="48">
        <f t="shared" si="1607"/>
        <v>0</v>
      </c>
      <c r="K147" s="51">
        <f t="shared" si="1608"/>
        <v>0</v>
      </c>
      <c r="L147" s="48">
        <f t="shared" si="1609"/>
        <v>0</v>
      </c>
      <c r="M147" s="51">
        <f t="shared" si="1610"/>
        <v>0</v>
      </c>
      <c r="N147" s="48">
        <f t="shared" si="1611"/>
        <v>0</v>
      </c>
      <c r="O147" s="51">
        <f t="shared" si="1612"/>
        <v>0</v>
      </c>
      <c r="P147" s="52">
        <f t="shared" si="1613"/>
        <v>0</v>
      </c>
      <c r="Q147" s="51">
        <f t="shared" si="1614"/>
        <v>0</v>
      </c>
      <c r="R147" s="48">
        <f t="shared" si="1615"/>
        <v>0</v>
      </c>
      <c r="S147" s="51">
        <f t="shared" si="1616"/>
        <v>0</v>
      </c>
      <c r="T147" s="52">
        <f t="shared" si="1617"/>
        <v>0</v>
      </c>
      <c r="U147" s="51">
        <f t="shared" si="1618"/>
        <v>0</v>
      </c>
      <c r="V147" s="53">
        <f t="shared" si="1619"/>
        <v>0</v>
      </c>
      <c r="W147" s="51">
        <f t="shared" si="1620"/>
        <v>0</v>
      </c>
      <c r="X147" s="52">
        <f t="shared" si="1621"/>
        <v>0</v>
      </c>
      <c r="Y147" s="51">
        <f t="shared" si="1622"/>
        <v>0</v>
      </c>
      <c r="Z147" s="48">
        <f t="shared" si="1623"/>
        <v>0</v>
      </c>
      <c r="AA147" s="51">
        <f t="shared" si="1624"/>
        <v>0</v>
      </c>
      <c r="AB147" s="53">
        <f t="shared" si="1625"/>
        <v>0</v>
      </c>
      <c r="AC147" s="51">
        <f t="shared" si="1626"/>
        <v>0</v>
      </c>
      <c r="AD147" s="53">
        <f t="shared" si="1627"/>
        <v>0</v>
      </c>
      <c r="AE147" s="51">
        <f t="shared" si="1628"/>
        <v>0</v>
      </c>
      <c r="AF147" s="53">
        <f t="shared" si="1629"/>
        <v>0</v>
      </c>
      <c r="AG147" s="51">
        <f t="shared" si="1630"/>
        <v>0</v>
      </c>
      <c r="AH147" s="48">
        <f t="shared" si="1631"/>
        <v>0</v>
      </c>
      <c r="AI147" s="51">
        <f t="shared" si="1632"/>
        <v>0</v>
      </c>
      <c r="AJ147" s="53">
        <f t="shared" si="1633"/>
        <v>0</v>
      </c>
      <c r="AK147" s="51">
        <f t="shared" si="1634"/>
        <v>0</v>
      </c>
      <c r="AL147" s="53">
        <f t="shared" si="1635"/>
        <v>0</v>
      </c>
      <c r="AM147" s="51">
        <f t="shared" si="1636"/>
        <v>0</v>
      </c>
      <c r="AN147" s="53">
        <f t="shared" si="1637"/>
        <v>0</v>
      </c>
      <c r="AO147" s="51">
        <f t="shared" si="1638"/>
        <v>0</v>
      </c>
      <c r="AP147" s="53">
        <f t="shared" si="1639"/>
        <v>0</v>
      </c>
      <c r="AQ147" s="51">
        <f t="shared" si="1640"/>
        <v>0</v>
      </c>
      <c r="AR147" s="48">
        <f t="shared" si="1641"/>
        <v>0</v>
      </c>
      <c r="AS147" s="51">
        <f t="shared" si="1642"/>
        <v>0</v>
      </c>
      <c r="AT147" s="53">
        <f t="shared" si="1643"/>
        <v>0</v>
      </c>
      <c r="AU147" s="51">
        <f t="shared" si="1644"/>
        <v>0</v>
      </c>
      <c r="AV147" s="53">
        <f t="shared" si="1645"/>
        <v>0</v>
      </c>
      <c r="AW147" s="51">
        <f t="shared" si="1646"/>
        <v>0</v>
      </c>
      <c r="AX147" s="48">
        <f t="shared" si="1647"/>
        <v>0</v>
      </c>
      <c r="AY147" s="51">
        <f t="shared" si="1648"/>
        <v>0</v>
      </c>
      <c r="BB147" s="48">
        <v>1</v>
      </c>
      <c r="BC147" s="48">
        <v>0.97</v>
      </c>
      <c r="BD147" s="48">
        <v>0.95</v>
      </c>
      <c r="BE147" s="48">
        <v>0.93</v>
      </c>
      <c r="BF147" s="48">
        <f t="shared" ref="BF147:BW147" si="1753">+BE147-0.02</f>
        <v>0.91</v>
      </c>
      <c r="BG147" s="48">
        <f t="shared" si="1753"/>
        <v>0.89</v>
      </c>
      <c r="BH147" s="48">
        <f t="shared" si="1753"/>
        <v>0.87</v>
      </c>
      <c r="BI147" s="48">
        <f t="shared" si="1753"/>
        <v>0.85</v>
      </c>
      <c r="BJ147" s="48">
        <f t="shared" si="1753"/>
        <v>0.83</v>
      </c>
      <c r="BK147" s="48">
        <f t="shared" si="1753"/>
        <v>0.80999999999999994</v>
      </c>
      <c r="BL147" s="48">
        <f t="shared" si="1753"/>
        <v>0.78999999999999992</v>
      </c>
      <c r="BM147" s="48">
        <f t="shared" si="1753"/>
        <v>0.76999999999999991</v>
      </c>
      <c r="BN147" s="48">
        <f t="shared" si="1753"/>
        <v>0.74999999999999989</v>
      </c>
      <c r="BO147" s="48">
        <f t="shared" si="1753"/>
        <v>0.72999999999999987</v>
      </c>
      <c r="BP147" s="48">
        <f t="shared" si="1753"/>
        <v>0.70999999999999985</v>
      </c>
      <c r="BQ147" s="48">
        <f t="shared" si="1753"/>
        <v>0.68999999999999984</v>
      </c>
      <c r="BR147" s="48">
        <f t="shared" si="1753"/>
        <v>0.66999999999999982</v>
      </c>
      <c r="BS147" s="48">
        <f t="shared" si="1753"/>
        <v>0.6499999999999998</v>
      </c>
      <c r="BT147" s="48">
        <f t="shared" si="1753"/>
        <v>0.62999999999999978</v>
      </c>
      <c r="BU147" s="48">
        <f t="shared" si="1753"/>
        <v>0.60999999999999976</v>
      </c>
      <c r="BV147" s="48">
        <f t="shared" si="1753"/>
        <v>0.58999999999999975</v>
      </c>
      <c r="BW147" s="48">
        <f t="shared" si="1753"/>
        <v>0.56999999999999973</v>
      </c>
      <c r="BY147" s="48">
        <f t="shared" si="952"/>
        <v>0</v>
      </c>
      <c r="BZ147" s="48">
        <f t="shared" si="953"/>
        <v>0</v>
      </c>
      <c r="CA147" s="51">
        <f t="shared" ref="CA147" si="1754">+BZ147*3.3058</f>
        <v>0</v>
      </c>
      <c r="CB147" s="48">
        <f t="shared" si="1651"/>
        <v>0</v>
      </c>
      <c r="CC147" s="51">
        <f t="shared" si="1652"/>
        <v>0</v>
      </c>
      <c r="CD147" s="48">
        <f t="shared" si="1653"/>
        <v>0</v>
      </c>
      <c r="CE147" s="51">
        <f t="shared" si="1654"/>
        <v>0</v>
      </c>
      <c r="CF147" s="48">
        <f t="shared" si="1655"/>
        <v>0</v>
      </c>
      <c r="CG147" s="51">
        <f t="shared" si="1656"/>
        <v>0</v>
      </c>
      <c r="CH147" s="52">
        <f t="shared" si="1657"/>
        <v>0</v>
      </c>
      <c r="CI147" s="51">
        <f t="shared" si="1658"/>
        <v>0</v>
      </c>
      <c r="CJ147" s="48">
        <f t="shared" si="1659"/>
        <v>0</v>
      </c>
      <c r="CK147" s="51">
        <f t="shared" si="1660"/>
        <v>0</v>
      </c>
      <c r="CL147" s="52">
        <f t="shared" si="1661"/>
        <v>0</v>
      </c>
      <c r="CM147" s="51">
        <f t="shared" si="1662"/>
        <v>0</v>
      </c>
      <c r="CN147" s="53">
        <f t="shared" si="1663"/>
        <v>0</v>
      </c>
      <c r="CO147" s="51">
        <f t="shared" si="1664"/>
        <v>0</v>
      </c>
      <c r="CP147" s="52">
        <f t="shared" si="1665"/>
        <v>0</v>
      </c>
      <c r="CQ147" s="51">
        <f t="shared" si="1666"/>
        <v>0</v>
      </c>
      <c r="CR147" s="48">
        <f t="shared" si="1667"/>
        <v>0</v>
      </c>
      <c r="CS147" s="51">
        <f t="shared" si="1668"/>
        <v>0</v>
      </c>
      <c r="CT147" s="53">
        <f t="shared" si="1669"/>
        <v>0</v>
      </c>
      <c r="CU147" s="51">
        <f t="shared" si="1670"/>
        <v>0</v>
      </c>
      <c r="CV147" s="53">
        <f t="shared" si="1671"/>
        <v>0</v>
      </c>
      <c r="CW147" s="51">
        <f t="shared" si="1672"/>
        <v>0</v>
      </c>
      <c r="CX147" s="53">
        <f t="shared" si="1673"/>
        <v>0</v>
      </c>
      <c r="CY147" s="51">
        <f t="shared" si="1674"/>
        <v>0</v>
      </c>
      <c r="CZ147" s="48">
        <f t="shared" si="1675"/>
        <v>0</v>
      </c>
      <c r="DA147" s="51">
        <f t="shared" si="1676"/>
        <v>0</v>
      </c>
      <c r="DB147" s="53">
        <f t="shared" si="1677"/>
        <v>0</v>
      </c>
      <c r="DC147" s="51">
        <f t="shared" si="1678"/>
        <v>0</v>
      </c>
      <c r="DD147" s="53">
        <f t="shared" si="1679"/>
        <v>0</v>
      </c>
      <c r="DE147" s="51">
        <f t="shared" si="1680"/>
        <v>0</v>
      </c>
      <c r="DF147" s="53">
        <f t="shared" si="1681"/>
        <v>0</v>
      </c>
      <c r="DG147" s="51">
        <f t="shared" si="1682"/>
        <v>0</v>
      </c>
      <c r="DH147" s="53">
        <f t="shared" si="1683"/>
        <v>0</v>
      </c>
      <c r="DI147" s="51">
        <f t="shared" si="1684"/>
        <v>0</v>
      </c>
      <c r="DJ147" s="48">
        <f t="shared" si="1685"/>
        <v>0</v>
      </c>
      <c r="DK147" s="51">
        <f t="shared" si="1686"/>
        <v>0</v>
      </c>
      <c r="DL147" s="53">
        <f t="shared" si="1687"/>
        <v>0</v>
      </c>
      <c r="DM147" s="51">
        <f t="shared" si="1688"/>
        <v>0</v>
      </c>
      <c r="DN147" s="53">
        <f t="shared" si="1689"/>
        <v>0</v>
      </c>
      <c r="DO147" s="51">
        <f t="shared" si="1690"/>
        <v>0</v>
      </c>
      <c r="DP147" s="48">
        <f t="shared" si="1691"/>
        <v>0</v>
      </c>
      <c r="DQ147" s="51">
        <f t="shared" si="1692"/>
        <v>0</v>
      </c>
      <c r="DT147" s="48">
        <v>1</v>
      </c>
      <c r="DU147" s="48">
        <v>0.97</v>
      </c>
      <c r="DV147" s="48">
        <v>0.95</v>
      </c>
      <c r="DW147" s="48">
        <v>0.93</v>
      </c>
      <c r="DX147" s="48">
        <f t="shared" ref="DX147:EO147" si="1755">+DW147-0.02</f>
        <v>0.91</v>
      </c>
      <c r="DY147" s="48">
        <f t="shared" si="1755"/>
        <v>0.89</v>
      </c>
      <c r="DZ147" s="48">
        <f t="shared" si="1755"/>
        <v>0.87</v>
      </c>
      <c r="EA147" s="48">
        <f t="shared" si="1755"/>
        <v>0.85</v>
      </c>
      <c r="EB147" s="48">
        <f t="shared" si="1755"/>
        <v>0.83</v>
      </c>
      <c r="EC147" s="48">
        <f t="shared" si="1755"/>
        <v>0.80999999999999994</v>
      </c>
      <c r="ED147" s="48">
        <f t="shared" si="1755"/>
        <v>0.78999999999999992</v>
      </c>
      <c r="EE147" s="48">
        <f t="shared" si="1755"/>
        <v>0.76999999999999991</v>
      </c>
      <c r="EF147" s="48">
        <f t="shared" si="1755"/>
        <v>0.74999999999999989</v>
      </c>
      <c r="EG147" s="48">
        <f t="shared" si="1755"/>
        <v>0.72999999999999987</v>
      </c>
      <c r="EH147" s="48">
        <f t="shared" si="1755"/>
        <v>0.70999999999999985</v>
      </c>
      <c r="EI147" s="48">
        <f t="shared" si="1755"/>
        <v>0.68999999999999984</v>
      </c>
      <c r="EJ147" s="48">
        <f t="shared" si="1755"/>
        <v>0.66999999999999982</v>
      </c>
      <c r="EK147" s="48">
        <f t="shared" si="1755"/>
        <v>0.6499999999999998</v>
      </c>
      <c r="EL147" s="48">
        <f t="shared" si="1755"/>
        <v>0.62999999999999978</v>
      </c>
      <c r="EM147" s="48">
        <f t="shared" si="1755"/>
        <v>0.60999999999999976</v>
      </c>
      <c r="EN147" s="48">
        <f t="shared" si="1755"/>
        <v>0.58999999999999975</v>
      </c>
      <c r="EO147" s="48">
        <f t="shared" si="1755"/>
        <v>0.56999999999999973</v>
      </c>
      <c r="EQ147" s="48">
        <f t="shared" si="1128"/>
        <v>0</v>
      </c>
      <c r="ER147" s="48">
        <f t="shared" si="956"/>
        <v>0</v>
      </c>
      <c r="ES147" s="51">
        <f t="shared" ref="ES147" si="1756">+ER147*3.3058</f>
        <v>0</v>
      </c>
      <c r="ET147" s="48">
        <f t="shared" si="1695"/>
        <v>0</v>
      </c>
      <c r="EU147" s="51">
        <f t="shared" si="1696"/>
        <v>0</v>
      </c>
      <c r="EV147" s="48">
        <f t="shared" si="1697"/>
        <v>0</v>
      </c>
      <c r="EW147" s="51">
        <f t="shared" si="1698"/>
        <v>0</v>
      </c>
      <c r="EX147" s="48">
        <f t="shared" si="1699"/>
        <v>0</v>
      </c>
      <c r="EY147" s="51">
        <f t="shared" si="1700"/>
        <v>0</v>
      </c>
      <c r="EZ147" s="52">
        <f t="shared" si="1701"/>
        <v>0</v>
      </c>
      <c r="FA147" s="51">
        <f t="shared" si="1702"/>
        <v>0</v>
      </c>
      <c r="FB147" s="48">
        <f t="shared" si="1703"/>
        <v>0</v>
      </c>
      <c r="FC147" s="51">
        <f t="shared" si="1704"/>
        <v>0</v>
      </c>
      <c r="FD147" s="52">
        <f t="shared" si="1705"/>
        <v>0</v>
      </c>
      <c r="FE147" s="51">
        <f t="shared" si="1706"/>
        <v>0</v>
      </c>
      <c r="FF147" s="53">
        <f t="shared" si="1707"/>
        <v>0</v>
      </c>
      <c r="FG147" s="51">
        <f t="shared" si="1708"/>
        <v>0</v>
      </c>
      <c r="FH147" s="52">
        <f t="shared" si="1709"/>
        <v>0</v>
      </c>
      <c r="FI147" s="51">
        <f t="shared" si="1710"/>
        <v>0</v>
      </c>
      <c r="FJ147" s="48">
        <f t="shared" si="1711"/>
        <v>0</v>
      </c>
      <c r="FK147" s="51">
        <f t="shared" si="1712"/>
        <v>0</v>
      </c>
      <c r="FL147" s="53">
        <f t="shared" si="1713"/>
        <v>0</v>
      </c>
      <c r="FM147" s="51">
        <f t="shared" si="1714"/>
        <v>0</v>
      </c>
      <c r="FN147" s="53">
        <f t="shared" si="1715"/>
        <v>0</v>
      </c>
      <c r="FO147" s="51">
        <f t="shared" si="1716"/>
        <v>0</v>
      </c>
      <c r="FP147" s="53">
        <f t="shared" si="1717"/>
        <v>0</v>
      </c>
      <c r="FQ147" s="51">
        <f t="shared" si="1718"/>
        <v>0</v>
      </c>
      <c r="FR147" s="48">
        <f t="shared" si="1719"/>
        <v>0</v>
      </c>
      <c r="FS147" s="51">
        <f t="shared" si="1720"/>
        <v>0</v>
      </c>
      <c r="FT147" s="53">
        <f t="shared" si="1721"/>
        <v>0</v>
      </c>
      <c r="FU147" s="51">
        <f t="shared" si="1722"/>
        <v>0</v>
      </c>
      <c r="FV147" s="53">
        <f t="shared" si="1723"/>
        <v>0</v>
      </c>
      <c r="FW147" s="51">
        <f t="shared" si="1724"/>
        <v>0</v>
      </c>
      <c r="FX147" s="53">
        <f t="shared" si="1725"/>
        <v>0</v>
      </c>
      <c r="FY147" s="51">
        <f t="shared" si="1726"/>
        <v>0</v>
      </c>
      <c r="FZ147" s="53">
        <f t="shared" si="1727"/>
        <v>0</v>
      </c>
      <c r="GA147" s="51">
        <f t="shared" si="1728"/>
        <v>0</v>
      </c>
      <c r="GB147" s="48">
        <f t="shared" si="1729"/>
        <v>0</v>
      </c>
      <c r="GC147" s="51">
        <f t="shared" si="1730"/>
        <v>0</v>
      </c>
      <c r="GD147" s="53">
        <f t="shared" si="1731"/>
        <v>0</v>
      </c>
      <c r="GE147" s="51">
        <f t="shared" si="1732"/>
        <v>0</v>
      </c>
      <c r="GF147" s="53">
        <f t="shared" si="1733"/>
        <v>0</v>
      </c>
      <c r="GG147" s="51">
        <f t="shared" si="1734"/>
        <v>0</v>
      </c>
      <c r="GH147" s="48">
        <f t="shared" si="1735"/>
        <v>0</v>
      </c>
      <c r="GI147" s="51">
        <f t="shared" si="1736"/>
        <v>0</v>
      </c>
      <c r="GJ147" s="48"/>
      <c r="GK147" s="48"/>
      <c r="GL147" s="48">
        <v>1</v>
      </c>
      <c r="GM147" s="48">
        <v>0.97</v>
      </c>
      <c r="GN147" s="48">
        <v>0.95</v>
      </c>
      <c r="GO147" s="48">
        <v>0.93</v>
      </c>
      <c r="GP147" s="48">
        <f t="shared" ref="GP147:HG147" si="1757">+GO147-0.02</f>
        <v>0.91</v>
      </c>
      <c r="GQ147" s="48">
        <f t="shared" si="1757"/>
        <v>0.89</v>
      </c>
      <c r="GR147" s="48">
        <f t="shared" si="1757"/>
        <v>0.87</v>
      </c>
      <c r="GS147" s="48">
        <f t="shared" si="1757"/>
        <v>0.85</v>
      </c>
      <c r="GT147" s="48">
        <f t="shared" si="1757"/>
        <v>0.83</v>
      </c>
      <c r="GU147" s="48">
        <f t="shared" si="1757"/>
        <v>0.80999999999999994</v>
      </c>
      <c r="GV147" s="48">
        <f t="shared" si="1757"/>
        <v>0.78999999999999992</v>
      </c>
      <c r="GW147" s="48">
        <f t="shared" si="1757"/>
        <v>0.76999999999999991</v>
      </c>
      <c r="GX147" s="48">
        <f t="shared" si="1757"/>
        <v>0.74999999999999989</v>
      </c>
      <c r="GY147" s="48">
        <f t="shared" si="1757"/>
        <v>0.72999999999999987</v>
      </c>
      <c r="GZ147" s="48">
        <f t="shared" si="1757"/>
        <v>0.70999999999999985</v>
      </c>
      <c r="HA147" s="48">
        <f t="shared" si="1757"/>
        <v>0.68999999999999984</v>
      </c>
      <c r="HB147" s="48">
        <f t="shared" si="1757"/>
        <v>0.66999999999999982</v>
      </c>
      <c r="HC147" s="48">
        <f t="shared" si="1757"/>
        <v>0.6499999999999998</v>
      </c>
      <c r="HD147" s="48">
        <f t="shared" si="1757"/>
        <v>0.62999999999999978</v>
      </c>
      <c r="HE147" s="48">
        <f t="shared" si="1757"/>
        <v>0.60999999999999976</v>
      </c>
      <c r="HF147" s="48">
        <f t="shared" si="1757"/>
        <v>0.58999999999999975</v>
      </c>
      <c r="HG147" s="48">
        <f t="shared" si="1757"/>
        <v>0.56999999999999973</v>
      </c>
    </row>
    <row r="148" spans="1:215" x14ac:dyDescent="0.3">
      <c r="A148" s="2">
        <v>6</v>
      </c>
      <c r="C148" s="27" t="s">
        <v>158</v>
      </c>
      <c r="D148" s="40">
        <f>SUM(D143:D147)</f>
        <v>5780</v>
      </c>
      <c r="E148" s="40">
        <f>SUM(E143:E147)</f>
        <v>19090</v>
      </c>
      <c r="G148" s="48">
        <f t="shared" ref="G148:G155" si="1758">+D148*1.1</f>
        <v>6358.0000000000009</v>
      </c>
      <c r="H148" s="48">
        <f t="shared" ref="H148:H155" si="1759">+G148</f>
        <v>6358.0000000000009</v>
      </c>
      <c r="I148" s="51">
        <f t="shared" ref="I148:I155" si="1760">+H148*3.3058</f>
        <v>21018.276400000002</v>
      </c>
      <c r="J148" s="48">
        <f t="shared" si="1607"/>
        <v>6167.2600000000011</v>
      </c>
      <c r="K148" s="51">
        <f t="shared" si="1608"/>
        <v>20387.728108000003</v>
      </c>
      <c r="L148" s="48">
        <f t="shared" si="1609"/>
        <v>6040.1</v>
      </c>
      <c r="M148" s="51">
        <f t="shared" si="1610"/>
        <v>19967.362580000001</v>
      </c>
      <c r="N148" s="48">
        <f t="shared" si="1611"/>
        <v>5912.9400000000014</v>
      </c>
      <c r="O148" s="51">
        <f t="shared" si="1612"/>
        <v>19546.997052000006</v>
      </c>
      <c r="P148" s="52">
        <f t="shared" si="1613"/>
        <v>5785.7800000000007</v>
      </c>
      <c r="Q148" s="51">
        <f t="shared" si="1614"/>
        <v>19126.631524000004</v>
      </c>
      <c r="R148" s="48">
        <f t="shared" si="1615"/>
        <v>5658.6200000000008</v>
      </c>
      <c r="S148" s="51">
        <f t="shared" si="1616"/>
        <v>18706.265996000002</v>
      </c>
      <c r="T148" s="52">
        <f t="shared" si="1617"/>
        <v>5531.4600000000009</v>
      </c>
      <c r="U148" s="51">
        <f t="shared" si="1618"/>
        <v>18285.900468000003</v>
      </c>
      <c r="V148" s="53">
        <f t="shared" si="1619"/>
        <v>5404.3</v>
      </c>
      <c r="W148" s="51">
        <f t="shared" si="1620"/>
        <v>17865.534940000001</v>
      </c>
      <c r="X148" s="52">
        <f t="shared" si="1621"/>
        <v>5277.14</v>
      </c>
      <c r="Y148" s="51">
        <f t="shared" si="1622"/>
        <v>17445.169412000003</v>
      </c>
      <c r="Z148" s="48">
        <f t="shared" si="1623"/>
        <v>5149.9800000000005</v>
      </c>
      <c r="AA148" s="51">
        <f t="shared" si="1624"/>
        <v>17024.803884000001</v>
      </c>
      <c r="AB148" s="53">
        <f t="shared" si="1625"/>
        <v>5022.8200000000006</v>
      </c>
      <c r="AC148" s="51">
        <f t="shared" si="1626"/>
        <v>16604.438356000002</v>
      </c>
      <c r="AD148" s="53">
        <f t="shared" si="1627"/>
        <v>4895.66</v>
      </c>
      <c r="AE148" s="51">
        <f t="shared" si="1628"/>
        <v>16184.072828</v>
      </c>
      <c r="AF148" s="53">
        <f t="shared" si="1629"/>
        <v>4768.5</v>
      </c>
      <c r="AG148" s="51">
        <f t="shared" si="1630"/>
        <v>15763.7073</v>
      </c>
      <c r="AH148" s="48">
        <f t="shared" si="1631"/>
        <v>4641.34</v>
      </c>
      <c r="AI148" s="51">
        <f t="shared" si="1632"/>
        <v>15343.341772000002</v>
      </c>
      <c r="AJ148" s="53">
        <f t="shared" si="1633"/>
        <v>4514.1799999999994</v>
      </c>
      <c r="AK148" s="51">
        <f t="shared" si="1634"/>
        <v>14922.976243999998</v>
      </c>
      <c r="AL148" s="53">
        <f t="shared" si="1635"/>
        <v>4387.0199999999995</v>
      </c>
      <c r="AM148" s="51">
        <f t="shared" si="1636"/>
        <v>14502.610715999999</v>
      </c>
      <c r="AN148" s="53">
        <f t="shared" si="1637"/>
        <v>4259.8599999999997</v>
      </c>
      <c r="AO148" s="51">
        <f t="shared" si="1638"/>
        <v>14082.245187999999</v>
      </c>
      <c r="AP148" s="53">
        <f t="shared" si="1639"/>
        <v>4132.6999999999989</v>
      </c>
      <c r="AQ148" s="51">
        <f t="shared" si="1640"/>
        <v>13661.879659999997</v>
      </c>
      <c r="AR148" s="48">
        <f t="shared" si="1641"/>
        <v>4005.5399999999991</v>
      </c>
      <c r="AS148" s="51">
        <f t="shared" si="1642"/>
        <v>13241.514131999997</v>
      </c>
      <c r="AT148" s="53">
        <f t="shared" si="1643"/>
        <v>3878.3799999999992</v>
      </c>
      <c r="AU148" s="51">
        <f t="shared" si="1644"/>
        <v>12821.148603999998</v>
      </c>
      <c r="AV148" s="53">
        <f t="shared" si="1645"/>
        <v>3751.2199999999989</v>
      </c>
      <c r="AW148" s="51">
        <f t="shared" si="1646"/>
        <v>12400.783075999996</v>
      </c>
      <c r="AX148" s="48">
        <f t="shared" si="1647"/>
        <v>3624.0599999999986</v>
      </c>
      <c r="AY148" s="51">
        <f t="shared" si="1648"/>
        <v>11980.417547999996</v>
      </c>
      <c r="BB148" s="48">
        <v>1</v>
      </c>
      <c r="BC148" s="48">
        <v>0.97</v>
      </c>
      <c r="BD148" s="48">
        <v>0.95</v>
      </c>
      <c r="BE148" s="48">
        <v>0.93</v>
      </c>
      <c r="BF148" s="48">
        <f t="shared" ref="BF148:BW148" si="1761">+BE148-0.02</f>
        <v>0.91</v>
      </c>
      <c r="BG148" s="48">
        <f t="shared" si="1761"/>
        <v>0.89</v>
      </c>
      <c r="BH148" s="48">
        <f t="shared" si="1761"/>
        <v>0.87</v>
      </c>
      <c r="BI148" s="48">
        <f t="shared" si="1761"/>
        <v>0.85</v>
      </c>
      <c r="BJ148" s="48">
        <f t="shared" si="1761"/>
        <v>0.83</v>
      </c>
      <c r="BK148" s="48">
        <f t="shared" si="1761"/>
        <v>0.80999999999999994</v>
      </c>
      <c r="BL148" s="48">
        <f t="shared" si="1761"/>
        <v>0.78999999999999992</v>
      </c>
      <c r="BM148" s="48">
        <f t="shared" si="1761"/>
        <v>0.76999999999999991</v>
      </c>
      <c r="BN148" s="48">
        <f t="shared" si="1761"/>
        <v>0.74999999999999989</v>
      </c>
      <c r="BO148" s="48">
        <f t="shared" si="1761"/>
        <v>0.72999999999999987</v>
      </c>
      <c r="BP148" s="48">
        <f t="shared" si="1761"/>
        <v>0.70999999999999985</v>
      </c>
      <c r="BQ148" s="48">
        <f t="shared" si="1761"/>
        <v>0.68999999999999984</v>
      </c>
      <c r="BR148" s="48">
        <f t="shared" si="1761"/>
        <v>0.66999999999999982</v>
      </c>
      <c r="BS148" s="48">
        <f t="shared" si="1761"/>
        <v>0.6499999999999998</v>
      </c>
      <c r="BT148" s="48">
        <f t="shared" si="1761"/>
        <v>0.62999999999999978</v>
      </c>
      <c r="BU148" s="48">
        <f t="shared" si="1761"/>
        <v>0.60999999999999976</v>
      </c>
      <c r="BV148" s="48">
        <f t="shared" si="1761"/>
        <v>0.58999999999999975</v>
      </c>
      <c r="BW148" s="48">
        <f t="shared" si="1761"/>
        <v>0.56999999999999973</v>
      </c>
      <c r="BY148" s="48">
        <f t="shared" ref="BY148:BY155" si="1762">+G148*0.91</f>
        <v>5785.7800000000007</v>
      </c>
      <c r="BZ148" s="48">
        <f t="shared" ref="BZ148:BZ155" si="1763">+BY148</f>
        <v>5785.7800000000007</v>
      </c>
      <c r="CA148" s="51">
        <f t="shared" ref="CA148" si="1764">+BZ148*3.3058</f>
        <v>19126.631524000004</v>
      </c>
      <c r="CB148" s="48">
        <f t="shared" si="1651"/>
        <v>5612.2066000000004</v>
      </c>
      <c r="CC148" s="51">
        <f t="shared" si="1652"/>
        <v>18552.832578280002</v>
      </c>
      <c r="CD148" s="48">
        <f t="shared" si="1653"/>
        <v>5496.491</v>
      </c>
      <c r="CE148" s="51">
        <f t="shared" si="1654"/>
        <v>18170.299947800002</v>
      </c>
      <c r="CF148" s="48">
        <f t="shared" si="1655"/>
        <v>5380.7754000000004</v>
      </c>
      <c r="CG148" s="51">
        <f t="shared" si="1656"/>
        <v>17787.767317320002</v>
      </c>
      <c r="CH148" s="52">
        <f t="shared" si="1657"/>
        <v>5265.0598000000009</v>
      </c>
      <c r="CI148" s="51">
        <f t="shared" si="1658"/>
        <v>17405.234686840002</v>
      </c>
      <c r="CJ148" s="48">
        <f t="shared" si="1659"/>
        <v>5149.3442000000005</v>
      </c>
      <c r="CK148" s="51">
        <f t="shared" si="1660"/>
        <v>17022.702056360002</v>
      </c>
      <c r="CL148" s="52">
        <f t="shared" si="1661"/>
        <v>5033.6286000000009</v>
      </c>
      <c r="CM148" s="51">
        <f t="shared" si="1662"/>
        <v>16640.169425880002</v>
      </c>
      <c r="CN148" s="53">
        <f t="shared" si="1663"/>
        <v>4917.9130000000005</v>
      </c>
      <c r="CO148" s="51">
        <f t="shared" si="1664"/>
        <v>16257.636795400002</v>
      </c>
      <c r="CP148" s="52">
        <f t="shared" si="1665"/>
        <v>4802.1974</v>
      </c>
      <c r="CQ148" s="51">
        <f t="shared" si="1666"/>
        <v>15875.10416492</v>
      </c>
      <c r="CR148" s="48">
        <f t="shared" si="1667"/>
        <v>4686.4818000000005</v>
      </c>
      <c r="CS148" s="51">
        <f t="shared" si="1668"/>
        <v>15492.571534440001</v>
      </c>
      <c r="CT148" s="53">
        <f t="shared" si="1669"/>
        <v>4570.7662</v>
      </c>
      <c r="CU148" s="51">
        <f t="shared" si="1670"/>
        <v>15110.03890396</v>
      </c>
      <c r="CV148" s="53">
        <f t="shared" si="1671"/>
        <v>4455.0505999999996</v>
      </c>
      <c r="CW148" s="51">
        <f t="shared" si="1672"/>
        <v>14727.506273479999</v>
      </c>
      <c r="CX148" s="53">
        <f t="shared" si="1673"/>
        <v>4339.335</v>
      </c>
      <c r="CY148" s="51">
        <f t="shared" si="1674"/>
        <v>14344.973643000001</v>
      </c>
      <c r="CZ148" s="48">
        <f t="shared" si="1675"/>
        <v>4223.6193999999996</v>
      </c>
      <c r="DA148" s="51">
        <f t="shared" si="1676"/>
        <v>13962.441012519999</v>
      </c>
      <c r="DB148" s="53">
        <f t="shared" si="1677"/>
        <v>4107.9038</v>
      </c>
      <c r="DC148" s="51">
        <f t="shared" si="1678"/>
        <v>13579.908382040001</v>
      </c>
      <c r="DD148" s="53">
        <f t="shared" si="1679"/>
        <v>3992.1881999999996</v>
      </c>
      <c r="DE148" s="51">
        <f t="shared" si="1680"/>
        <v>13197.375751559999</v>
      </c>
      <c r="DF148" s="53">
        <f t="shared" si="1681"/>
        <v>3876.4725999999996</v>
      </c>
      <c r="DG148" s="51">
        <f t="shared" si="1682"/>
        <v>12814.843121079999</v>
      </c>
      <c r="DH148" s="53">
        <f t="shared" si="1683"/>
        <v>3760.7569999999992</v>
      </c>
      <c r="DI148" s="51">
        <f t="shared" si="1684"/>
        <v>12432.310490599997</v>
      </c>
      <c r="DJ148" s="48">
        <f t="shared" si="1685"/>
        <v>3645.0413999999992</v>
      </c>
      <c r="DK148" s="51">
        <f t="shared" si="1686"/>
        <v>12049.777860119997</v>
      </c>
      <c r="DL148" s="53">
        <f t="shared" si="1687"/>
        <v>3529.3257999999992</v>
      </c>
      <c r="DM148" s="51">
        <f t="shared" si="1688"/>
        <v>11667.245229639997</v>
      </c>
      <c r="DN148" s="53">
        <f t="shared" si="1689"/>
        <v>3413.6101999999987</v>
      </c>
      <c r="DO148" s="51">
        <f t="shared" si="1690"/>
        <v>11284.712599159997</v>
      </c>
      <c r="DP148" s="48">
        <f t="shared" si="1691"/>
        <v>3297.8945999999987</v>
      </c>
      <c r="DQ148" s="51">
        <f t="shared" si="1692"/>
        <v>10902.179968679997</v>
      </c>
      <c r="DT148" s="48">
        <v>1</v>
      </c>
      <c r="DU148" s="48">
        <v>0.97</v>
      </c>
      <c r="DV148" s="48">
        <v>0.95</v>
      </c>
      <c r="DW148" s="48">
        <v>0.93</v>
      </c>
      <c r="DX148" s="48">
        <f t="shared" ref="DX148:EO148" si="1765">+DW148-0.02</f>
        <v>0.91</v>
      </c>
      <c r="DY148" s="48">
        <f t="shared" si="1765"/>
        <v>0.89</v>
      </c>
      <c r="DZ148" s="48">
        <f t="shared" si="1765"/>
        <v>0.87</v>
      </c>
      <c r="EA148" s="48">
        <f t="shared" si="1765"/>
        <v>0.85</v>
      </c>
      <c r="EB148" s="48">
        <f t="shared" si="1765"/>
        <v>0.83</v>
      </c>
      <c r="EC148" s="48">
        <f t="shared" si="1765"/>
        <v>0.80999999999999994</v>
      </c>
      <c r="ED148" s="48">
        <f t="shared" si="1765"/>
        <v>0.78999999999999992</v>
      </c>
      <c r="EE148" s="48">
        <f t="shared" si="1765"/>
        <v>0.76999999999999991</v>
      </c>
      <c r="EF148" s="48">
        <f t="shared" si="1765"/>
        <v>0.74999999999999989</v>
      </c>
      <c r="EG148" s="48">
        <f t="shared" si="1765"/>
        <v>0.72999999999999987</v>
      </c>
      <c r="EH148" s="48">
        <f t="shared" si="1765"/>
        <v>0.70999999999999985</v>
      </c>
      <c r="EI148" s="48">
        <f t="shared" si="1765"/>
        <v>0.68999999999999984</v>
      </c>
      <c r="EJ148" s="48">
        <f t="shared" si="1765"/>
        <v>0.66999999999999982</v>
      </c>
      <c r="EK148" s="48">
        <f t="shared" si="1765"/>
        <v>0.6499999999999998</v>
      </c>
      <c r="EL148" s="48">
        <f t="shared" si="1765"/>
        <v>0.62999999999999978</v>
      </c>
      <c r="EM148" s="48">
        <f t="shared" si="1765"/>
        <v>0.60999999999999976</v>
      </c>
      <c r="EN148" s="48">
        <f t="shared" si="1765"/>
        <v>0.58999999999999975</v>
      </c>
      <c r="EO148" s="48">
        <f t="shared" si="1765"/>
        <v>0.56999999999999973</v>
      </c>
      <c r="EQ148" s="48">
        <f t="shared" si="1128"/>
        <v>5265.0598000000009</v>
      </c>
      <c r="ER148" s="48">
        <f t="shared" ref="ER148:ER155" si="1766">+EQ148</f>
        <v>5265.0598000000009</v>
      </c>
      <c r="ES148" s="51">
        <f t="shared" ref="ES148" si="1767">+ER148*3.3058</f>
        <v>17405.234686840002</v>
      </c>
      <c r="ET148" s="48">
        <f t="shared" si="1695"/>
        <v>5107.1080060000004</v>
      </c>
      <c r="EU148" s="51">
        <f t="shared" si="1696"/>
        <v>16883.0776462348</v>
      </c>
      <c r="EV148" s="48">
        <f t="shared" si="1697"/>
        <v>5001.806810000001</v>
      </c>
      <c r="EW148" s="51">
        <f t="shared" si="1698"/>
        <v>16534.972952498003</v>
      </c>
      <c r="EX148" s="48">
        <f t="shared" si="1699"/>
        <v>4896.5056140000015</v>
      </c>
      <c r="EY148" s="51">
        <f t="shared" si="1700"/>
        <v>16186.868258761206</v>
      </c>
      <c r="EZ148" s="52">
        <f t="shared" si="1701"/>
        <v>4791.2044180000012</v>
      </c>
      <c r="FA148" s="51">
        <f t="shared" si="1702"/>
        <v>15838.763565024405</v>
      </c>
      <c r="FB148" s="48">
        <f t="shared" si="1703"/>
        <v>4685.9032220000008</v>
      </c>
      <c r="FC148" s="51">
        <f t="shared" si="1704"/>
        <v>15490.658871287604</v>
      </c>
      <c r="FD148" s="52">
        <f t="shared" si="1705"/>
        <v>4580.6020260000005</v>
      </c>
      <c r="FE148" s="51">
        <f t="shared" si="1706"/>
        <v>15142.554177550803</v>
      </c>
      <c r="FF148" s="53">
        <f t="shared" si="1707"/>
        <v>4475.300830000001</v>
      </c>
      <c r="FG148" s="51">
        <f t="shared" si="1708"/>
        <v>14794.449483814004</v>
      </c>
      <c r="FH148" s="52">
        <f t="shared" si="1709"/>
        <v>4369.9996340000007</v>
      </c>
      <c r="FI148" s="51">
        <f t="shared" si="1710"/>
        <v>14446.344790077203</v>
      </c>
      <c r="FJ148" s="48">
        <f t="shared" si="1711"/>
        <v>4264.6984380000004</v>
      </c>
      <c r="FK148" s="51">
        <f t="shared" si="1712"/>
        <v>14098.240096340402</v>
      </c>
      <c r="FL148" s="53">
        <f t="shared" si="1713"/>
        <v>4159.397242</v>
      </c>
      <c r="FM148" s="51">
        <f t="shared" si="1714"/>
        <v>13750.135402603601</v>
      </c>
      <c r="FN148" s="53">
        <f t="shared" si="1715"/>
        <v>4054.0960460000001</v>
      </c>
      <c r="FO148" s="51">
        <f t="shared" si="1716"/>
        <v>13402.030708866801</v>
      </c>
      <c r="FP148" s="53">
        <f t="shared" si="1717"/>
        <v>3948.7948500000002</v>
      </c>
      <c r="FQ148" s="51">
        <f t="shared" si="1718"/>
        <v>13053.92601513</v>
      </c>
      <c r="FR148" s="48">
        <f t="shared" si="1719"/>
        <v>3843.4936539999999</v>
      </c>
      <c r="FS148" s="51">
        <f t="shared" si="1720"/>
        <v>12705.821321393199</v>
      </c>
      <c r="FT148" s="53">
        <f t="shared" si="1721"/>
        <v>3738.192458</v>
      </c>
      <c r="FU148" s="51">
        <f t="shared" si="1722"/>
        <v>12357.7166276564</v>
      </c>
      <c r="FV148" s="53">
        <f t="shared" si="1723"/>
        <v>3632.8912619999996</v>
      </c>
      <c r="FW148" s="51">
        <f t="shared" si="1724"/>
        <v>12009.611933919599</v>
      </c>
      <c r="FX148" s="53">
        <f t="shared" si="1725"/>
        <v>3527.5900659999998</v>
      </c>
      <c r="FY148" s="51">
        <f t="shared" si="1726"/>
        <v>11661.5072401828</v>
      </c>
      <c r="FZ148" s="53">
        <f t="shared" si="1727"/>
        <v>3422.2888699999994</v>
      </c>
      <c r="GA148" s="51">
        <f t="shared" si="1728"/>
        <v>11313.402546445999</v>
      </c>
      <c r="GB148" s="48">
        <f t="shared" si="1729"/>
        <v>3316.9876739999995</v>
      </c>
      <c r="GC148" s="51">
        <f t="shared" si="1730"/>
        <v>10965.297852709198</v>
      </c>
      <c r="GD148" s="53">
        <f t="shared" si="1731"/>
        <v>3211.6864779999992</v>
      </c>
      <c r="GE148" s="51">
        <f t="shared" si="1732"/>
        <v>10617.193158972397</v>
      </c>
      <c r="GF148" s="53">
        <f t="shared" si="1733"/>
        <v>3106.3852819999993</v>
      </c>
      <c r="GG148" s="51">
        <f t="shared" si="1734"/>
        <v>10269.088465235598</v>
      </c>
      <c r="GH148" s="48">
        <f t="shared" si="1735"/>
        <v>3001.0840859999989</v>
      </c>
      <c r="GI148" s="51">
        <f t="shared" si="1736"/>
        <v>9920.9837714987971</v>
      </c>
      <c r="GJ148" s="48"/>
      <c r="GK148" s="48"/>
      <c r="GL148" s="48">
        <v>1</v>
      </c>
      <c r="GM148" s="48">
        <v>0.97</v>
      </c>
      <c r="GN148" s="48">
        <v>0.95</v>
      </c>
      <c r="GO148" s="48">
        <v>0.93</v>
      </c>
      <c r="GP148" s="48">
        <f t="shared" ref="GP148:HG148" si="1768">+GO148-0.02</f>
        <v>0.91</v>
      </c>
      <c r="GQ148" s="48">
        <f t="shared" si="1768"/>
        <v>0.89</v>
      </c>
      <c r="GR148" s="48">
        <f t="shared" si="1768"/>
        <v>0.87</v>
      </c>
      <c r="GS148" s="48">
        <f t="shared" si="1768"/>
        <v>0.85</v>
      </c>
      <c r="GT148" s="48">
        <f t="shared" si="1768"/>
        <v>0.83</v>
      </c>
      <c r="GU148" s="48">
        <f t="shared" si="1768"/>
        <v>0.80999999999999994</v>
      </c>
      <c r="GV148" s="48">
        <f t="shared" si="1768"/>
        <v>0.78999999999999992</v>
      </c>
      <c r="GW148" s="48">
        <f t="shared" si="1768"/>
        <v>0.76999999999999991</v>
      </c>
      <c r="GX148" s="48">
        <f t="shared" si="1768"/>
        <v>0.74999999999999989</v>
      </c>
      <c r="GY148" s="48">
        <f t="shared" si="1768"/>
        <v>0.72999999999999987</v>
      </c>
      <c r="GZ148" s="48">
        <f t="shared" si="1768"/>
        <v>0.70999999999999985</v>
      </c>
      <c r="HA148" s="48">
        <f t="shared" si="1768"/>
        <v>0.68999999999999984</v>
      </c>
      <c r="HB148" s="48">
        <f t="shared" si="1768"/>
        <v>0.66999999999999982</v>
      </c>
      <c r="HC148" s="48">
        <f t="shared" si="1768"/>
        <v>0.6499999999999998</v>
      </c>
      <c r="HD148" s="48">
        <f t="shared" si="1768"/>
        <v>0.62999999999999978</v>
      </c>
      <c r="HE148" s="48">
        <f t="shared" si="1768"/>
        <v>0.60999999999999976</v>
      </c>
      <c r="HF148" s="48">
        <f t="shared" si="1768"/>
        <v>0.58999999999999975</v>
      </c>
      <c r="HG148" s="48">
        <f t="shared" si="1768"/>
        <v>0.56999999999999973</v>
      </c>
    </row>
    <row r="149" spans="1:215" s="54" customFormat="1" x14ac:dyDescent="0.3">
      <c r="C149" s="55"/>
      <c r="D149" s="55"/>
      <c r="E149" s="55"/>
      <c r="G149" s="56"/>
      <c r="H149" s="56"/>
      <c r="I149" s="56"/>
      <c r="J149" s="56"/>
      <c r="K149" s="56"/>
      <c r="L149" s="56"/>
      <c r="M149" s="56"/>
      <c r="N149" s="56"/>
      <c r="O149" s="56"/>
      <c r="P149" s="57"/>
      <c r="Q149" s="56"/>
      <c r="R149" s="56"/>
      <c r="S149" s="56"/>
      <c r="T149" s="57"/>
      <c r="U149" s="56"/>
      <c r="V149" s="58"/>
      <c r="W149" s="56"/>
      <c r="X149" s="57"/>
      <c r="Y149" s="56"/>
      <c r="Z149" s="56"/>
      <c r="AA149" s="56"/>
      <c r="AB149" s="58"/>
      <c r="AC149" s="56"/>
      <c r="AD149" s="58"/>
      <c r="AE149" s="56"/>
      <c r="AF149" s="58"/>
      <c r="AG149" s="56"/>
      <c r="AH149" s="56"/>
      <c r="AI149" s="56"/>
      <c r="AJ149" s="58"/>
      <c r="AK149" s="56"/>
      <c r="AL149" s="58"/>
      <c r="AM149" s="56"/>
      <c r="AN149" s="58"/>
      <c r="AO149" s="56"/>
      <c r="AP149" s="58"/>
      <c r="AQ149" s="56"/>
      <c r="AR149" s="56"/>
      <c r="AS149" s="56"/>
      <c r="AT149" s="58"/>
      <c r="AU149" s="56"/>
      <c r="AV149" s="58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>
        <f t="shared" si="1762"/>
        <v>0</v>
      </c>
      <c r="BZ149" s="56"/>
      <c r="CA149" s="56"/>
      <c r="CB149" s="56"/>
      <c r="CC149" s="56"/>
      <c r="CD149" s="56"/>
      <c r="CE149" s="56"/>
      <c r="CF149" s="56"/>
      <c r="CG149" s="56"/>
      <c r="CH149" s="57"/>
      <c r="CI149" s="56"/>
      <c r="CJ149" s="56"/>
      <c r="CK149" s="56"/>
      <c r="CL149" s="57"/>
      <c r="CM149" s="56"/>
      <c r="CN149" s="58"/>
      <c r="CO149" s="56"/>
      <c r="CP149" s="57"/>
      <c r="CQ149" s="56"/>
      <c r="CR149" s="56"/>
      <c r="CS149" s="56"/>
      <c r="CT149" s="58"/>
      <c r="CU149" s="56"/>
      <c r="CV149" s="58"/>
      <c r="CW149" s="56"/>
      <c r="CX149" s="58"/>
      <c r="CY149" s="56"/>
      <c r="CZ149" s="56"/>
      <c r="DA149" s="56"/>
      <c r="DB149" s="58"/>
      <c r="DC149" s="56"/>
      <c r="DD149" s="58"/>
      <c r="DE149" s="56"/>
      <c r="DF149" s="58"/>
      <c r="DG149" s="56"/>
      <c r="DH149" s="58"/>
      <c r="DI149" s="56"/>
      <c r="DJ149" s="56"/>
      <c r="DK149" s="56"/>
      <c r="DL149" s="58"/>
      <c r="DM149" s="56"/>
      <c r="DN149" s="58"/>
      <c r="DO149" s="56"/>
      <c r="DP149" s="56"/>
      <c r="DQ149" s="56"/>
      <c r="DR149" s="56"/>
      <c r="DS149" s="56"/>
      <c r="DT149" s="56">
        <v>1</v>
      </c>
      <c r="DU149" s="56">
        <v>0.97</v>
      </c>
      <c r="DV149" s="56">
        <v>0.95</v>
      </c>
      <c r="DW149" s="56">
        <v>0.93</v>
      </c>
      <c r="DX149" s="56">
        <f t="shared" ref="DX149:EO149" si="1769">+DW149-0.02</f>
        <v>0.91</v>
      </c>
      <c r="DY149" s="56">
        <f t="shared" si="1769"/>
        <v>0.89</v>
      </c>
      <c r="DZ149" s="56">
        <f t="shared" si="1769"/>
        <v>0.87</v>
      </c>
      <c r="EA149" s="56">
        <f t="shared" si="1769"/>
        <v>0.85</v>
      </c>
      <c r="EB149" s="56">
        <f t="shared" si="1769"/>
        <v>0.83</v>
      </c>
      <c r="EC149" s="56">
        <f t="shared" si="1769"/>
        <v>0.80999999999999994</v>
      </c>
      <c r="ED149" s="56">
        <f t="shared" si="1769"/>
        <v>0.78999999999999992</v>
      </c>
      <c r="EE149" s="56">
        <f t="shared" si="1769"/>
        <v>0.76999999999999991</v>
      </c>
      <c r="EF149" s="56">
        <f t="shared" si="1769"/>
        <v>0.74999999999999989</v>
      </c>
      <c r="EG149" s="56">
        <f t="shared" si="1769"/>
        <v>0.72999999999999987</v>
      </c>
      <c r="EH149" s="56">
        <f t="shared" si="1769"/>
        <v>0.70999999999999985</v>
      </c>
      <c r="EI149" s="56">
        <f t="shared" si="1769"/>
        <v>0.68999999999999984</v>
      </c>
      <c r="EJ149" s="56">
        <f t="shared" si="1769"/>
        <v>0.66999999999999982</v>
      </c>
      <c r="EK149" s="56">
        <f t="shared" si="1769"/>
        <v>0.6499999999999998</v>
      </c>
      <c r="EL149" s="56">
        <f t="shared" si="1769"/>
        <v>0.62999999999999978</v>
      </c>
      <c r="EM149" s="56">
        <f t="shared" si="1769"/>
        <v>0.60999999999999976</v>
      </c>
      <c r="EN149" s="56">
        <f t="shared" si="1769"/>
        <v>0.58999999999999975</v>
      </c>
      <c r="EO149" s="56">
        <f t="shared" si="1769"/>
        <v>0.56999999999999973</v>
      </c>
      <c r="EQ149" s="56">
        <f t="shared" si="1128"/>
        <v>0</v>
      </c>
      <c r="ER149" s="56"/>
      <c r="ES149" s="56"/>
      <c r="ET149" s="56"/>
      <c r="EU149" s="56"/>
      <c r="EV149" s="56"/>
      <c r="EW149" s="56"/>
      <c r="EX149" s="56"/>
      <c r="EY149" s="56"/>
      <c r="EZ149" s="57"/>
      <c r="FA149" s="56"/>
      <c r="FB149" s="56"/>
      <c r="FC149" s="56"/>
      <c r="FD149" s="57"/>
      <c r="FE149" s="56"/>
      <c r="FF149" s="58"/>
      <c r="FG149" s="56"/>
      <c r="FH149" s="57"/>
      <c r="FI149" s="56"/>
      <c r="FJ149" s="56"/>
      <c r="FK149" s="56"/>
      <c r="FL149" s="58"/>
      <c r="FM149" s="56"/>
      <c r="FN149" s="58"/>
      <c r="FO149" s="56"/>
      <c r="FP149" s="58"/>
      <c r="FQ149" s="56"/>
      <c r="FR149" s="56"/>
      <c r="FS149" s="56"/>
      <c r="FT149" s="58"/>
      <c r="FU149" s="56"/>
      <c r="FV149" s="58"/>
      <c r="FW149" s="56"/>
      <c r="FX149" s="58"/>
      <c r="FY149" s="56"/>
      <c r="FZ149" s="58"/>
      <c r="GA149" s="56"/>
      <c r="GB149" s="56"/>
      <c r="GC149" s="56"/>
      <c r="GD149" s="58"/>
      <c r="GE149" s="56"/>
      <c r="GF149" s="58"/>
      <c r="GG149" s="56"/>
      <c r="GH149" s="56"/>
      <c r="GI149" s="56"/>
      <c r="GJ149" s="56"/>
      <c r="GK149" s="56"/>
      <c r="GL149" s="56">
        <v>1</v>
      </c>
      <c r="GM149" s="56">
        <v>0.97</v>
      </c>
      <c r="GN149" s="56">
        <v>0.95</v>
      </c>
      <c r="GO149" s="56">
        <v>0.93</v>
      </c>
      <c r="GP149" s="56">
        <f t="shared" ref="GP149:HG149" si="1770">+GO149-0.02</f>
        <v>0.91</v>
      </c>
      <c r="GQ149" s="56">
        <f t="shared" si="1770"/>
        <v>0.89</v>
      </c>
      <c r="GR149" s="56">
        <f t="shared" si="1770"/>
        <v>0.87</v>
      </c>
      <c r="GS149" s="56">
        <f t="shared" si="1770"/>
        <v>0.85</v>
      </c>
      <c r="GT149" s="56">
        <f t="shared" si="1770"/>
        <v>0.83</v>
      </c>
      <c r="GU149" s="56">
        <f t="shared" si="1770"/>
        <v>0.80999999999999994</v>
      </c>
      <c r="GV149" s="56">
        <f t="shared" si="1770"/>
        <v>0.78999999999999992</v>
      </c>
      <c r="GW149" s="56">
        <f t="shared" si="1770"/>
        <v>0.76999999999999991</v>
      </c>
      <c r="GX149" s="56">
        <f t="shared" si="1770"/>
        <v>0.74999999999999989</v>
      </c>
      <c r="GY149" s="56">
        <f t="shared" si="1770"/>
        <v>0.72999999999999987</v>
      </c>
      <c r="GZ149" s="56">
        <f t="shared" si="1770"/>
        <v>0.70999999999999985</v>
      </c>
      <c r="HA149" s="56">
        <f t="shared" si="1770"/>
        <v>0.68999999999999984</v>
      </c>
      <c r="HB149" s="56">
        <f t="shared" si="1770"/>
        <v>0.66999999999999982</v>
      </c>
      <c r="HC149" s="56">
        <f t="shared" si="1770"/>
        <v>0.6499999999999998</v>
      </c>
      <c r="HD149" s="56">
        <f t="shared" si="1770"/>
        <v>0.62999999999999978</v>
      </c>
      <c r="HE149" s="56">
        <f t="shared" si="1770"/>
        <v>0.60999999999999976</v>
      </c>
      <c r="HF149" s="56">
        <f t="shared" si="1770"/>
        <v>0.58999999999999975</v>
      </c>
      <c r="HG149" s="56">
        <f t="shared" si="1770"/>
        <v>0.56999999999999973</v>
      </c>
    </row>
    <row r="150" spans="1:215" s="54" customFormat="1" ht="17.25" thickBot="1" x14ac:dyDescent="0.35">
      <c r="B150" s="54" t="s">
        <v>201</v>
      </c>
      <c r="C150" s="54" t="s">
        <v>131</v>
      </c>
      <c r="D150" s="55" t="s">
        <v>207</v>
      </c>
      <c r="E150" s="55" t="s">
        <v>61</v>
      </c>
      <c r="G150" s="56"/>
      <c r="H150" s="56"/>
      <c r="I150" s="56"/>
      <c r="J150" s="56"/>
      <c r="K150" s="56"/>
      <c r="L150" s="56"/>
      <c r="M150" s="56"/>
      <c r="N150" s="56"/>
      <c r="O150" s="56"/>
      <c r="P150" s="57"/>
      <c r="Q150" s="56"/>
      <c r="R150" s="56"/>
      <c r="S150" s="56"/>
      <c r="T150" s="57"/>
      <c r="U150" s="56"/>
      <c r="V150" s="58"/>
      <c r="W150" s="56"/>
      <c r="X150" s="57"/>
      <c r="Y150" s="56"/>
      <c r="Z150" s="56"/>
      <c r="AA150" s="56"/>
      <c r="AB150" s="58"/>
      <c r="AC150" s="56"/>
      <c r="AD150" s="58"/>
      <c r="AE150" s="56"/>
      <c r="AF150" s="58"/>
      <c r="AG150" s="56"/>
      <c r="AH150" s="56"/>
      <c r="AI150" s="56"/>
      <c r="AJ150" s="58"/>
      <c r="AK150" s="56"/>
      <c r="AL150" s="58"/>
      <c r="AM150" s="56"/>
      <c r="AN150" s="58"/>
      <c r="AO150" s="56"/>
      <c r="AP150" s="58"/>
      <c r="AQ150" s="56"/>
      <c r="AR150" s="56"/>
      <c r="AS150" s="56"/>
      <c r="AT150" s="58"/>
      <c r="AU150" s="56"/>
      <c r="AV150" s="58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>
        <f t="shared" si="1762"/>
        <v>0</v>
      </c>
      <c r="BZ150" s="56"/>
      <c r="CA150" s="56"/>
      <c r="CB150" s="56"/>
      <c r="CC150" s="56"/>
      <c r="CD150" s="56"/>
      <c r="CE150" s="56"/>
      <c r="CF150" s="56"/>
      <c r="CG150" s="56"/>
      <c r="CH150" s="57"/>
      <c r="CI150" s="56"/>
      <c r="CJ150" s="56"/>
      <c r="CK150" s="56"/>
      <c r="CL150" s="57"/>
      <c r="CM150" s="56"/>
      <c r="CN150" s="58"/>
      <c r="CO150" s="56"/>
      <c r="CP150" s="57"/>
      <c r="CQ150" s="56"/>
      <c r="CR150" s="56"/>
      <c r="CS150" s="56"/>
      <c r="CT150" s="58"/>
      <c r="CU150" s="56"/>
      <c r="CV150" s="58"/>
      <c r="CW150" s="56"/>
      <c r="CX150" s="58"/>
      <c r="CY150" s="56"/>
      <c r="CZ150" s="56"/>
      <c r="DA150" s="56"/>
      <c r="DB150" s="58"/>
      <c r="DC150" s="56"/>
      <c r="DD150" s="58"/>
      <c r="DE150" s="56"/>
      <c r="DF150" s="58"/>
      <c r="DG150" s="56"/>
      <c r="DH150" s="58"/>
      <c r="DI150" s="56"/>
      <c r="DJ150" s="56"/>
      <c r="DK150" s="56"/>
      <c r="DL150" s="58"/>
      <c r="DM150" s="56"/>
      <c r="DN150" s="58"/>
      <c r="DO150" s="56"/>
      <c r="DP150" s="56"/>
      <c r="DQ150" s="56"/>
      <c r="DR150" s="56"/>
      <c r="DS150" s="56"/>
      <c r="DT150" s="56">
        <v>1</v>
      </c>
      <c r="DU150" s="56">
        <v>0.97</v>
      </c>
      <c r="DV150" s="56">
        <v>0.95</v>
      </c>
      <c r="DW150" s="56">
        <v>0.93</v>
      </c>
      <c r="DX150" s="56">
        <f t="shared" ref="DX150:EO150" si="1771">+DW150-0.02</f>
        <v>0.91</v>
      </c>
      <c r="DY150" s="56">
        <f t="shared" si="1771"/>
        <v>0.89</v>
      </c>
      <c r="DZ150" s="56">
        <f t="shared" si="1771"/>
        <v>0.87</v>
      </c>
      <c r="EA150" s="56">
        <f t="shared" si="1771"/>
        <v>0.85</v>
      </c>
      <c r="EB150" s="56">
        <f t="shared" si="1771"/>
        <v>0.83</v>
      </c>
      <c r="EC150" s="56">
        <f t="shared" si="1771"/>
        <v>0.80999999999999994</v>
      </c>
      <c r="ED150" s="56">
        <f t="shared" si="1771"/>
        <v>0.78999999999999992</v>
      </c>
      <c r="EE150" s="56">
        <f t="shared" si="1771"/>
        <v>0.76999999999999991</v>
      </c>
      <c r="EF150" s="56">
        <f t="shared" si="1771"/>
        <v>0.74999999999999989</v>
      </c>
      <c r="EG150" s="56">
        <f t="shared" si="1771"/>
        <v>0.72999999999999987</v>
      </c>
      <c r="EH150" s="56">
        <f t="shared" si="1771"/>
        <v>0.70999999999999985</v>
      </c>
      <c r="EI150" s="56">
        <f t="shared" si="1771"/>
        <v>0.68999999999999984</v>
      </c>
      <c r="EJ150" s="56">
        <f t="shared" si="1771"/>
        <v>0.66999999999999982</v>
      </c>
      <c r="EK150" s="56">
        <f t="shared" si="1771"/>
        <v>0.6499999999999998</v>
      </c>
      <c r="EL150" s="56">
        <f t="shared" si="1771"/>
        <v>0.62999999999999978</v>
      </c>
      <c r="EM150" s="56">
        <f t="shared" si="1771"/>
        <v>0.60999999999999976</v>
      </c>
      <c r="EN150" s="56">
        <f t="shared" si="1771"/>
        <v>0.58999999999999975</v>
      </c>
      <c r="EO150" s="56">
        <f t="shared" si="1771"/>
        <v>0.56999999999999973</v>
      </c>
      <c r="EQ150" s="56">
        <f t="shared" si="1128"/>
        <v>0</v>
      </c>
      <c r="ER150" s="56"/>
      <c r="ES150" s="56"/>
      <c r="ET150" s="56"/>
      <c r="EU150" s="56"/>
      <c r="EV150" s="56"/>
      <c r="EW150" s="56"/>
      <c r="EX150" s="56"/>
      <c r="EY150" s="56"/>
      <c r="EZ150" s="57"/>
      <c r="FA150" s="56"/>
      <c r="FB150" s="56"/>
      <c r="FC150" s="56"/>
      <c r="FD150" s="57"/>
      <c r="FE150" s="56"/>
      <c r="FF150" s="58"/>
      <c r="FG150" s="56"/>
      <c r="FH150" s="57"/>
      <c r="FI150" s="56"/>
      <c r="FJ150" s="56"/>
      <c r="FK150" s="56"/>
      <c r="FL150" s="58"/>
      <c r="FM150" s="56"/>
      <c r="FN150" s="58"/>
      <c r="FO150" s="56"/>
      <c r="FP150" s="58"/>
      <c r="FQ150" s="56"/>
      <c r="FR150" s="56"/>
      <c r="FS150" s="56"/>
      <c r="FT150" s="58"/>
      <c r="FU150" s="56"/>
      <c r="FV150" s="58"/>
      <c r="FW150" s="56"/>
      <c r="FX150" s="58"/>
      <c r="FY150" s="56"/>
      <c r="FZ150" s="58"/>
      <c r="GA150" s="56"/>
      <c r="GB150" s="56"/>
      <c r="GC150" s="56"/>
      <c r="GD150" s="58"/>
      <c r="GE150" s="56"/>
      <c r="GF150" s="58"/>
      <c r="GG150" s="56"/>
      <c r="GH150" s="56"/>
      <c r="GI150" s="56"/>
      <c r="GJ150" s="56"/>
      <c r="GK150" s="56"/>
      <c r="GL150" s="56">
        <v>1</v>
      </c>
      <c r="GM150" s="56">
        <v>0.97</v>
      </c>
      <c r="GN150" s="56">
        <v>0.95</v>
      </c>
      <c r="GO150" s="56">
        <v>0.93</v>
      </c>
      <c r="GP150" s="56">
        <f t="shared" ref="GP150:HG150" si="1772">+GO150-0.02</f>
        <v>0.91</v>
      </c>
      <c r="GQ150" s="56">
        <f t="shared" si="1772"/>
        <v>0.89</v>
      </c>
      <c r="GR150" s="56">
        <f t="shared" si="1772"/>
        <v>0.87</v>
      </c>
      <c r="GS150" s="56">
        <f t="shared" si="1772"/>
        <v>0.85</v>
      </c>
      <c r="GT150" s="56">
        <f t="shared" si="1772"/>
        <v>0.83</v>
      </c>
      <c r="GU150" s="56">
        <f t="shared" si="1772"/>
        <v>0.80999999999999994</v>
      </c>
      <c r="GV150" s="56">
        <f t="shared" si="1772"/>
        <v>0.78999999999999992</v>
      </c>
      <c r="GW150" s="56">
        <f t="shared" si="1772"/>
        <v>0.76999999999999991</v>
      </c>
      <c r="GX150" s="56">
        <f t="shared" si="1772"/>
        <v>0.74999999999999989</v>
      </c>
      <c r="GY150" s="56">
        <f t="shared" si="1772"/>
        <v>0.72999999999999987</v>
      </c>
      <c r="GZ150" s="56">
        <f t="shared" si="1772"/>
        <v>0.70999999999999985</v>
      </c>
      <c r="HA150" s="56">
        <f t="shared" si="1772"/>
        <v>0.68999999999999984</v>
      </c>
      <c r="HB150" s="56">
        <f t="shared" si="1772"/>
        <v>0.66999999999999982</v>
      </c>
      <c r="HC150" s="56">
        <f t="shared" si="1772"/>
        <v>0.6499999999999998</v>
      </c>
      <c r="HD150" s="56">
        <f t="shared" si="1772"/>
        <v>0.62999999999999978</v>
      </c>
      <c r="HE150" s="56">
        <f t="shared" si="1772"/>
        <v>0.60999999999999976</v>
      </c>
      <c r="HF150" s="56">
        <f t="shared" si="1772"/>
        <v>0.58999999999999975</v>
      </c>
      <c r="HG150" s="56">
        <f t="shared" si="1772"/>
        <v>0.56999999999999973</v>
      </c>
    </row>
    <row r="151" spans="1:215" x14ac:dyDescent="0.3">
      <c r="A151" s="2">
        <v>1</v>
      </c>
      <c r="C151" s="39" t="s">
        <v>202</v>
      </c>
      <c r="D151" s="42">
        <f>TRUNC(5217.17701525055,-1)</f>
        <v>5210</v>
      </c>
      <c r="E151" s="72">
        <f>TRUNC(+D151*3.3058,-1)</f>
        <v>17220</v>
      </c>
      <c r="G151" s="48">
        <f t="shared" si="1758"/>
        <v>5731.0000000000009</v>
      </c>
      <c r="H151" s="48">
        <f t="shared" si="1759"/>
        <v>5731.0000000000009</v>
      </c>
      <c r="I151" s="51">
        <f t="shared" si="1760"/>
        <v>18945.539800000002</v>
      </c>
      <c r="J151" s="48">
        <f t="shared" ref="J151:J155" si="1773">+H151*BC151</f>
        <v>5559.0700000000006</v>
      </c>
      <c r="K151" s="51">
        <f t="shared" ref="K151:K155" si="1774">+J151*3.3058</f>
        <v>18377.173606000004</v>
      </c>
      <c r="L151" s="48">
        <f t="shared" ref="L151:L155" si="1775">+H151*BD151</f>
        <v>5444.4500000000007</v>
      </c>
      <c r="M151" s="51">
        <f t="shared" ref="M151:M155" si="1776">+L151*3.3058</f>
        <v>17998.262810000004</v>
      </c>
      <c r="N151" s="48">
        <f>+H151*BE151</f>
        <v>5329.8300000000008</v>
      </c>
      <c r="O151" s="51">
        <f t="shared" ref="O151:O155" si="1777">+N151*3.3058</f>
        <v>17619.352014000004</v>
      </c>
      <c r="P151" s="52">
        <f>+H151*BF151</f>
        <v>5215.2100000000009</v>
      </c>
      <c r="Q151" s="51">
        <f t="shared" ref="Q151:Q155" si="1778">+P151*3.3058</f>
        <v>17240.441218000004</v>
      </c>
      <c r="R151" s="48">
        <f>+H151*BG151</f>
        <v>5100.5900000000011</v>
      </c>
      <c r="S151" s="51">
        <f t="shared" ref="S151:S155" si="1779">+R151*3.3058</f>
        <v>16861.530422000003</v>
      </c>
      <c r="T151" s="52">
        <f>+H151*BH151</f>
        <v>4985.9700000000012</v>
      </c>
      <c r="U151" s="51">
        <f t="shared" ref="U151:U155" si="1780">+T151*3.3058</f>
        <v>16482.619626000003</v>
      </c>
      <c r="V151" s="53">
        <f>+H151*BI151</f>
        <v>4871.3500000000004</v>
      </c>
      <c r="W151" s="51">
        <f t="shared" ref="W151:W155" si="1781">+V151*3.3058</f>
        <v>16103.708830000001</v>
      </c>
      <c r="X151" s="52">
        <f>+H151*BJ151</f>
        <v>4756.7300000000005</v>
      </c>
      <c r="Y151" s="51">
        <f t="shared" ref="Y151:Y155" si="1782">+X151*3.3058</f>
        <v>15724.798034000001</v>
      </c>
      <c r="Z151" s="48">
        <f>+H151*BK151</f>
        <v>4642.1100000000006</v>
      </c>
      <c r="AA151" s="51">
        <f t="shared" ref="AA151:AA155" si="1783">+Z151*3.3058</f>
        <v>15345.887238000003</v>
      </c>
      <c r="AB151" s="53">
        <f>+H151*BL151</f>
        <v>4527.4900000000007</v>
      </c>
      <c r="AC151" s="51">
        <f t="shared" ref="AC151:AC155" si="1784">+AB151*3.3058</f>
        <v>14966.976442000003</v>
      </c>
      <c r="AD151" s="53">
        <f>+H151*BM151</f>
        <v>4412.87</v>
      </c>
      <c r="AE151" s="51">
        <f t="shared" ref="AE151:AE155" si="1785">+AD151*3.3058</f>
        <v>14588.065645999999</v>
      </c>
      <c r="AF151" s="53">
        <f>+H151*BN151</f>
        <v>4298.25</v>
      </c>
      <c r="AG151" s="51">
        <f t="shared" ref="AG151:AG155" si="1786">+AF151*3.3058</f>
        <v>14209.154850000001</v>
      </c>
      <c r="AH151" s="48">
        <f>+H151*BO151</f>
        <v>4183.63</v>
      </c>
      <c r="AI151" s="51">
        <f t="shared" ref="AI151:AI155" si="1787">+AH151*3.3058</f>
        <v>13830.244054000001</v>
      </c>
      <c r="AJ151" s="53">
        <f>+H151*BP151</f>
        <v>4069.0099999999998</v>
      </c>
      <c r="AK151" s="51">
        <f t="shared" ref="AK151:AK155" si="1788">+AJ151*3.3058</f>
        <v>13451.333257999999</v>
      </c>
      <c r="AL151" s="53">
        <f>+H151*BQ151</f>
        <v>3954.39</v>
      </c>
      <c r="AM151" s="51">
        <f t="shared" ref="AM151:AM155" si="1789">+AL151*3.3058</f>
        <v>13072.422462</v>
      </c>
      <c r="AN151" s="53">
        <f>+H151*BR151</f>
        <v>3839.7699999999995</v>
      </c>
      <c r="AO151" s="51">
        <f t="shared" ref="AO151:AO155" si="1790">+AN151*3.3058</f>
        <v>12693.511665999999</v>
      </c>
      <c r="AP151" s="53">
        <f>+H151*BS151</f>
        <v>3725.1499999999996</v>
      </c>
      <c r="AQ151" s="51">
        <f t="shared" ref="AQ151:AQ155" si="1791">+AP151*3.3058</f>
        <v>12314.600869999998</v>
      </c>
      <c r="AR151" s="48">
        <f>+H151*BT151</f>
        <v>3610.5299999999993</v>
      </c>
      <c r="AS151" s="51">
        <f t="shared" ref="AS151:AS155" si="1792">+AR151*3.3058</f>
        <v>11935.690073999998</v>
      </c>
      <c r="AT151" s="53">
        <f>+H151*BU151</f>
        <v>3495.9099999999994</v>
      </c>
      <c r="AU151" s="51">
        <f t="shared" ref="AU151:AU155" si="1793">+AT151*3.3058</f>
        <v>11556.779277999998</v>
      </c>
      <c r="AV151" s="53">
        <f>+H151*BV151</f>
        <v>3381.2899999999991</v>
      </c>
      <c r="AW151" s="51">
        <f t="shared" ref="AW151:AW155" si="1794">+AV151*3.3058</f>
        <v>11177.868481999996</v>
      </c>
      <c r="AX151" s="48">
        <f>+H151*BW151</f>
        <v>3266.6699999999992</v>
      </c>
      <c r="AY151" s="51">
        <f t="shared" ref="AY151:AY155" si="1795">+AX151*3.3058</f>
        <v>10798.957685999998</v>
      </c>
      <c r="BB151" s="48">
        <v>1</v>
      </c>
      <c r="BC151" s="48">
        <v>0.97</v>
      </c>
      <c r="BD151" s="48">
        <v>0.95</v>
      </c>
      <c r="BE151" s="48">
        <v>0.93</v>
      </c>
      <c r="BF151" s="48">
        <f t="shared" ref="BF151:BW151" si="1796">+BE151-0.02</f>
        <v>0.91</v>
      </c>
      <c r="BG151" s="48">
        <f t="shared" si="1796"/>
        <v>0.89</v>
      </c>
      <c r="BH151" s="48">
        <f t="shared" si="1796"/>
        <v>0.87</v>
      </c>
      <c r="BI151" s="48">
        <f t="shared" si="1796"/>
        <v>0.85</v>
      </c>
      <c r="BJ151" s="48">
        <f t="shared" si="1796"/>
        <v>0.83</v>
      </c>
      <c r="BK151" s="48">
        <f t="shared" si="1796"/>
        <v>0.80999999999999994</v>
      </c>
      <c r="BL151" s="48">
        <f t="shared" si="1796"/>
        <v>0.78999999999999992</v>
      </c>
      <c r="BM151" s="48">
        <f t="shared" si="1796"/>
        <v>0.76999999999999991</v>
      </c>
      <c r="BN151" s="48">
        <f t="shared" si="1796"/>
        <v>0.74999999999999989</v>
      </c>
      <c r="BO151" s="48">
        <f t="shared" si="1796"/>
        <v>0.72999999999999987</v>
      </c>
      <c r="BP151" s="48">
        <f t="shared" si="1796"/>
        <v>0.70999999999999985</v>
      </c>
      <c r="BQ151" s="48">
        <f t="shared" si="1796"/>
        <v>0.68999999999999984</v>
      </c>
      <c r="BR151" s="48">
        <f t="shared" si="1796"/>
        <v>0.66999999999999982</v>
      </c>
      <c r="BS151" s="48">
        <f t="shared" si="1796"/>
        <v>0.6499999999999998</v>
      </c>
      <c r="BT151" s="48">
        <f t="shared" si="1796"/>
        <v>0.62999999999999978</v>
      </c>
      <c r="BU151" s="48">
        <f t="shared" si="1796"/>
        <v>0.60999999999999976</v>
      </c>
      <c r="BV151" s="48">
        <f t="shared" si="1796"/>
        <v>0.58999999999999975</v>
      </c>
      <c r="BW151" s="48">
        <f t="shared" si="1796"/>
        <v>0.56999999999999973</v>
      </c>
      <c r="BY151" s="48">
        <f t="shared" si="1762"/>
        <v>5215.2100000000009</v>
      </c>
      <c r="BZ151" s="48">
        <f t="shared" si="1763"/>
        <v>5215.2100000000009</v>
      </c>
      <c r="CA151" s="51">
        <f t="shared" ref="CA151" si="1797">+BZ151*3.3058</f>
        <v>17240.441218000004</v>
      </c>
      <c r="CB151" s="48">
        <f t="shared" ref="CB151:CB155" si="1798">+BZ151*DU151</f>
        <v>5058.7537000000011</v>
      </c>
      <c r="CC151" s="51">
        <f t="shared" ref="CC151:CC155" si="1799">+CB151*3.3058</f>
        <v>16723.227981460004</v>
      </c>
      <c r="CD151" s="48">
        <f t="shared" ref="CD151:CD155" si="1800">+BZ151*DV151</f>
        <v>4954.4495000000006</v>
      </c>
      <c r="CE151" s="51">
        <f t="shared" ref="CE151:CE155" si="1801">+CD151*3.3058</f>
        <v>16378.419157100003</v>
      </c>
      <c r="CF151" s="48">
        <f>+BZ151*DW151</f>
        <v>4850.145300000001</v>
      </c>
      <c r="CG151" s="51">
        <f t="shared" ref="CG151:CG155" si="1802">+CF151*3.3058</f>
        <v>16033.610332740003</v>
      </c>
      <c r="CH151" s="52">
        <f>+BZ151*DX151</f>
        <v>4745.8411000000015</v>
      </c>
      <c r="CI151" s="51">
        <f t="shared" ref="CI151:CI155" si="1803">+CH151*3.3058</f>
        <v>15688.801508380006</v>
      </c>
      <c r="CJ151" s="48">
        <f>+BZ151*DY151</f>
        <v>4641.536900000001</v>
      </c>
      <c r="CK151" s="51">
        <f t="shared" ref="CK151:CK155" si="1804">+CJ151*3.3058</f>
        <v>15343.992684020004</v>
      </c>
      <c r="CL151" s="52">
        <f>+BZ151*DZ151</f>
        <v>4537.2327000000005</v>
      </c>
      <c r="CM151" s="51">
        <f t="shared" ref="CM151:CM155" si="1805">+CL151*3.3058</f>
        <v>14999.183859660003</v>
      </c>
      <c r="CN151" s="53">
        <f>+BZ151*EA151</f>
        <v>4432.9285000000009</v>
      </c>
      <c r="CO151" s="51">
        <f t="shared" ref="CO151:CO155" si="1806">+CN151*3.3058</f>
        <v>14654.375035300003</v>
      </c>
      <c r="CP151" s="52">
        <f>+BZ151*EB151</f>
        <v>4328.6243000000004</v>
      </c>
      <c r="CQ151" s="51">
        <f t="shared" ref="CQ151:CQ155" si="1807">+CP151*3.3058</f>
        <v>14309.566210940002</v>
      </c>
      <c r="CR151" s="48">
        <f>+BZ151*EC151</f>
        <v>4224.3201000000008</v>
      </c>
      <c r="CS151" s="51">
        <f t="shared" ref="CS151:CS155" si="1808">+CR151*3.3058</f>
        <v>13964.757386580002</v>
      </c>
      <c r="CT151" s="53">
        <f>+BZ151*ED151</f>
        <v>4120.0159000000003</v>
      </c>
      <c r="CU151" s="51">
        <f t="shared" ref="CU151:CU155" si="1809">+CT151*3.3058</f>
        <v>13619.948562220001</v>
      </c>
      <c r="CV151" s="53">
        <f>+BZ151*EE151</f>
        <v>4015.7117000000003</v>
      </c>
      <c r="CW151" s="51">
        <f t="shared" ref="CW151:CW155" si="1810">+CV151*3.3058</f>
        <v>13275.139737860001</v>
      </c>
      <c r="CX151" s="53">
        <f>+BZ151*EF151</f>
        <v>3911.4075000000003</v>
      </c>
      <c r="CY151" s="51">
        <f t="shared" ref="CY151:CY155" si="1811">+CX151*3.3058</f>
        <v>12930.330913500002</v>
      </c>
      <c r="CZ151" s="48">
        <f>+BZ151*EG151</f>
        <v>3807.1033000000002</v>
      </c>
      <c r="DA151" s="51">
        <f t="shared" ref="DA151:DA155" si="1812">+CZ151*3.3058</f>
        <v>12585.52208914</v>
      </c>
      <c r="DB151" s="53">
        <f>+BZ151*EH151</f>
        <v>3702.7990999999997</v>
      </c>
      <c r="DC151" s="51">
        <f t="shared" ref="DC151:DC155" si="1813">+DB151*3.3058</f>
        <v>12240.713264779999</v>
      </c>
      <c r="DD151" s="53">
        <f>+BZ151*EI151</f>
        <v>3598.4948999999997</v>
      </c>
      <c r="DE151" s="51">
        <f t="shared" ref="DE151:DE155" si="1814">+DD151*3.3058</f>
        <v>11895.904440419999</v>
      </c>
      <c r="DF151" s="53">
        <f>+BZ151*EJ151</f>
        <v>3494.1906999999997</v>
      </c>
      <c r="DG151" s="51">
        <f t="shared" ref="DG151:DG155" si="1815">+DF151*3.3058</f>
        <v>11551.09561606</v>
      </c>
      <c r="DH151" s="53">
        <f>+BZ151*EK151</f>
        <v>3389.8864999999996</v>
      </c>
      <c r="DI151" s="51">
        <f t="shared" ref="DI151:DI155" si="1816">+DH151*3.3058</f>
        <v>11206.286791699999</v>
      </c>
      <c r="DJ151" s="48">
        <f>+BZ151*EL151</f>
        <v>3285.5822999999996</v>
      </c>
      <c r="DK151" s="51">
        <f t="shared" ref="DK151:DK155" si="1817">+DJ151*3.3058</f>
        <v>10861.477967339999</v>
      </c>
      <c r="DL151" s="53">
        <f>+BZ151*EM151</f>
        <v>3181.2780999999995</v>
      </c>
      <c r="DM151" s="51">
        <f t="shared" ref="DM151:DM155" si="1818">+DL151*3.3058</f>
        <v>10516.669142979999</v>
      </c>
      <c r="DN151" s="53">
        <f>+BZ151*EN151</f>
        <v>3076.973899999999</v>
      </c>
      <c r="DO151" s="51">
        <f t="shared" ref="DO151:DO155" si="1819">+DN151*3.3058</f>
        <v>10171.860318619996</v>
      </c>
      <c r="DP151" s="48">
        <f>+BZ151*EO151</f>
        <v>2972.669699999999</v>
      </c>
      <c r="DQ151" s="51">
        <f t="shared" ref="DQ151:DQ155" si="1820">+DP151*3.3058</f>
        <v>9827.0514942599966</v>
      </c>
      <c r="DT151" s="48">
        <v>1</v>
      </c>
      <c r="DU151" s="48">
        <v>0.97</v>
      </c>
      <c r="DV151" s="48">
        <v>0.95</v>
      </c>
      <c r="DW151" s="48">
        <v>0.93</v>
      </c>
      <c r="DX151" s="48">
        <f t="shared" ref="DX151:EO151" si="1821">+DW151-0.02</f>
        <v>0.91</v>
      </c>
      <c r="DY151" s="48">
        <f t="shared" si="1821"/>
        <v>0.89</v>
      </c>
      <c r="DZ151" s="48">
        <f t="shared" si="1821"/>
        <v>0.87</v>
      </c>
      <c r="EA151" s="48">
        <f t="shared" si="1821"/>
        <v>0.85</v>
      </c>
      <c r="EB151" s="48">
        <f t="shared" si="1821"/>
        <v>0.83</v>
      </c>
      <c r="EC151" s="48">
        <f t="shared" si="1821"/>
        <v>0.80999999999999994</v>
      </c>
      <c r="ED151" s="48">
        <f t="shared" si="1821"/>
        <v>0.78999999999999992</v>
      </c>
      <c r="EE151" s="48">
        <f t="shared" si="1821"/>
        <v>0.76999999999999991</v>
      </c>
      <c r="EF151" s="48">
        <f t="shared" si="1821"/>
        <v>0.74999999999999989</v>
      </c>
      <c r="EG151" s="48">
        <f t="shared" si="1821"/>
        <v>0.72999999999999987</v>
      </c>
      <c r="EH151" s="48">
        <f t="shared" si="1821"/>
        <v>0.70999999999999985</v>
      </c>
      <c r="EI151" s="48">
        <f t="shared" si="1821"/>
        <v>0.68999999999999984</v>
      </c>
      <c r="EJ151" s="48">
        <f t="shared" si="1821"/>
        <v>0.66999999999999982</v>
      </c>
      <c r="EK151" s="48">
        <f t="shared" si="1821"/>
        <v>0.6499999999999998</v>
      </c>
      <c r="EL151" s="48">
        <f t="shared" si="1821"/>
        <v>0.62999999999999978</v>
      </c>
      <c r="EM151" s="48">
        <f t="shared" si="1821"/>
        <v>0.60999999999999976</v>
      </c>
      <c r="EN151" s="48">
        <f t="shared" si="1821"/>
        <v>0.58999999999999975</v>
      </c>
      <c r="EO151" s="48">
        <f t="shared" si="1821"/>
        <v>0.56999999999999973</v>
      </c>
      <c r="EQ151" s="48">
        <f t="shared" si="1128"/>
        <v>4745.8411000000015</v>
      </c>
      <c r="ER151" s="48">
        <f t="shared" si="1766"/>
        <v>4745.8411000000015</v>
      </c>
      <c r="ES151" s="51">
        <f t="shared" ref="ES151" si="1822">+ER151*3.3058</f>
        <v>15688.801508380006</v>
      </c>
      <c r="ET151" s="48">
        <f t="shared" ref="ET151:ET155" si="1823">+ER151*GM151</f>
        <v>4603.4658670000017</v>
      </c>
      <c r="EU151" s="51">
        <f t="shared" ref="EU151:EU155" si="1824">+ET151*3.3058</f>
        <v>15218.137463128605</v>
      </c>
      <c r="EV151" s="48">
        <f t="shared" ref="EV151:EV155" si="1825">+ER151*GN151</f>
        <v>4508.5490450000016</v>
      </c>
      <c r="EW151" s="51">
        <f t="shared" ref="EW151:EW155" si="1826">+EV151*3.3058</f>
        <v>14904.361432961006</v>
      </c>
      <c r="EX151" s="48">
        <f>+ER151*GO151</f>
        <v>4413.6322230000014</v>
      </c>
      <c r="EY151" s="51">
        <f t="shared" ref="EY151:EY155" si="1827">+EX151*3.3058</f>
        <v>14590.585402793406</v>
      </c>
      <c r="EZ151" s="52">
        <f>+ER151*GP151</f>
        <v>4318.7154010000013</v>
      </c>
      <c r="FA151" s="51">
        <f t="shared" ref="FA151:FA155" si="1828">+EZ151*3.3058</f>
        <v>14276.809372625805</v>
      </c>
      <c r="FB151" s="48">
        <f>+ER151*GQ151</f>
        <v>4223.7985790000012</v>
      </c>
      <c r="FC151" s="51">
        <f t="shared" ref="FC151:FC155" si="1829">+FB151*3.3058</f>
        <v>13963.033342458204</v>
      </c>
      <c r="FD151" s="52">
        <f>+ER151*GR151</f>
        <v>4128.881757000001</v>
      </c>
      <c r="FE151" s="51">
        <f t="shared" ref="FE151:FE155" si="1830">+FD151*3.3058</f>
        <v>13649.257312290603</v>
      </c>
      <c r="FF151" s="53">
        <f>+ER151*GS151</f>
        <v>4033.9649350000013</v>
      </c>
      <c r="FG151" s="51">
        <f t="shared" ref="FG151:FG155" si="1831">+FF151*3.3058</f>
        <v>13335.481282123004</v>
      </c>
      <c r="FH151" s="52">
        <f>+ER151*GT151</f>
        <v>3939.0481130000012</v>
      </c>
      <c r="FI151" s="51">
        <f t="shared" ref="FI151:FI155" si="1832">+FH151*3.3058</f>
        <v>13021.705251955404</v>
      </c>
      <c r="FJ151" s="48">
        <f>+ER151*GU151</f>
        <v>3844.1312910000011</v>
      </c>
      <c r="FK151" s="51">
        <f t="shared" ref="FK151:FK155" si="1833">+FJ151*3.3058</f>
        <v>12707.929221787805</v>
      </c>
      <c r="FL151" s="53">
        <f>+ER151*GV151</f>
        <v>3749.2144690000009</v>
      </c>
      <c r="FM151" s="51">
        <f t="shared" ref="FM151:FM155" si="1834">+FL151*3.3058</f>
        <v>12394.153191620204</v>
      </c>
      <c r="FN151" s="53">
        <f>+ER151*GW151</f>
        <v>3654.2976470000008</v>
      </c>
      <c r="FO151" s="51">
        <f t="shared" ref="FO151:FO155" si="1835">+FN151*3.3058</f>
        <v>12080.377161452603</v>
      </c>
      <c r="FP151" s="53">
        <f>+ER151*GX151</f>
        <v>3559.3808250000006</v>
      </c>
      <c r="FQ151" s="51">
        <f t="shared" ref="FQ151:FQ155" si="1836">+FP151*3.3058</f>
        <v>11766.601131285002</v>
      </c>
      <c r="FR151" s="48">
        <f>+ER151*GY151</f>
        <v>3464.4640030000005</v>
      </c>
      <c r="FS151" s="51">
        <f t="shared" ref="FS151:FS155" si="1837">+FR151*3.3058</f>
        <v>11452.825101117402</v>
      </c>
      <c r="FT151" s="53">
        <f>+ER151*GZ151</f>
        <v>3369.5471810000004</v>
      </c>
      <c r="FU151" s="51">
        <f t="shared" ref="FU151:FU155" si="1838">+FT151*3.3058</f>
        <v>11139.049070949801</v>
      </c>
      <c r="FV151" s="53">
        <f>+ER151*HA151</f>
        <v>3274.6303590000002</v>
      </c>
      <c r="FW151" s="51">
        <f t="shared" ref="FW151:FW155" si="1839">+FV151*3.3058</f>
        <v>10825.273040782202</v>
      </c>
      <c r="FX151" s="53">
        <f>+ER151*HB151</f>
        <v>3179.7135370000001</v>
      </c>
      <c r="FY151" s="51">
        <f t="shared" ref="FY151:FY155" si="1840">+FX151*3.3058</f>
        <v>10511.497010614601</v>
      </c>
      <c r="FZ151" s="53">
        <f>+ER151*HC151</f>
        <v>3084.7967149999999</v>
      </c>
      <c r="GA151" s="51">
        <f t="shared" ref="GA151:GA155" si="1841">+FZ151*3.3058</f>
        <v>10197.720980447</v>
      </c>
      <c r="GB151" s="48">
        <f>+ER151*HD151</f>
        <v>2989.8798929999998</v>
      </c>
      <c r="GC151" s="51">
        <f t="shared" ref="GC151:GC155" si="1842">+GB151*3.3058</f>
        <v>9883.9449502793996</v>
      </c>
      <c r="GD151" s="53">
        <f>+ER151*HE151</f>
        <v>2894.9630709999997</v>
      </c>
      <c r="GE151" s="51">
        <f t="shared" ref="GE151:GE155" si="1843">+GD151*3.3058</f>
        <v>9570.1689201117988</v>
      </c>
      <c r="GF151" s="53">
        <f>+ER151*HF151</f>
        <v>2800.0462489999995</v>
      </c>
      <c r="GG151" s="51">
        <f t="shared" ref="GG151:GG155" si="1844">+GF151*3.3058</f>
        <v>9256.392889944198</v>
      </c>
      <c r="GH151" s="48">
        <f>+ER151*HG151</f>
        <v>2705.1294269999994</v>
      </c>
      <c r="GI151" s="51">
        <f t="shared" ref="GI151:GI155" si="1845">+GH151*3.3058</f>
        <v>8942.6168597765991</v>
      </c>
      <c r="GJ151" s="48"/>
      <c r="GK151" s="48"/>
      <c r="GL151" s="48">
        <v>1</v>
      </c>
      <c r="GM151" s="48">
        <v>0.97</v>
      </c>
      <c r="GN151" s="48">
        <v>0.95</v>
      </c>
      <c r="GO151" s="48">
        <v>0.93</v>
      </c>
      <c r="GP151" s="48">
        <f t="shared" ref="GP151:HG151" si="1846">+GO151-0.02</f>
        <v>0.91</v>
      </c>
      <c r="GQ151" s="48">
        <f t="shared" si="1846"/>
        <v>0.89</v>
      </c>
      <c r="GR151" s="48">
        <f t="shared" si="1846"/>
        <v>0.87</v>
      </c>
      <c r="GS151" s="48">
        <f t="shared" si="1846"/>
        <v>0.85</v>
      </c>
      <c r="GT151" s="48">
        <f t="shared" si="1846"/>
        <v>0.83</v>
      </c>
      <c r="GU151" s="48">
        <f t="shared" si="1846"/>
        <v>0.80999999999999994</v>
      </c>
      <c r="GV151" s="48">
        <f t="shared" si="1846"/>
        <v>0.78999999999999992</v>
      </c>
      <c r="GW151" s="48">
        <f t="shared" si="1846"/>
        <v>0.76999999999999991</v>
      </c>
      <c r="GX151" s="48">
        <f t="shared" si="1846"/>
        <v>0.74999999999999989</v>
      </c>
      <c r="GY151" s="48">
        <f t="shared" si="1846"/>
        <v>0.72999999999999987</v>
      </c>
      <c r="GZ151" s="48">
        <f t="shared" si="1846"/>
        <v>0.70999999999999985</v>
      </c>
      <c r="HA151" s="48">
        <f t="shared" si="1846"/>
        <v>0.68999999999999984</v>
      </c>
      <c r="HB151" s="48">
        <f t="shared" si="1846"/>
        <v>0.66999999999999982</v>
      </c>
      <c r="HC151" s="48">
        <f t="shared" si="1846"/>
        <v>0.6499999999999998</v>
      </c>
      <c r="HD151" s="48">
        <f t="shared" si="1846"/>
        <v>0.62999999999999978</v>
      </c>
      <c r="HE151" s="48">
        <f t="shared" si="1846"/>
        <v>0.60999999999999976</v>
      </c>
      <c r="HF151" s="48">
        <f t="shared" si="1846"/>
        <v>0.58999999999999975</v>
      </c>
      <c r="HG151" s="48">
        <f t="shared" si="1846"/>
        <v>0.56999999999999973</v>
      </c>
    </row>
    <row r="152" spans="1:215" x14ac:dyDescent="0.3">
      <c r="A152" s="2">
        <v>2</v>
      </c>
      <c r="C152" s="39" t="s">
        <v>203</v>
      </c>
      <c r="D152" s="44">
        <f>TRUNC(6241.67265795207,-1)</f>
        <v>6240</v>
      </c>
      <c r="E152" s="73">
        <f>TRUNC(+D152*3.3058,-1)</f>
        <v>20620</v>
      </c>
      <c r="G152" s="48">
        <f t="shared" si="1758"/>
        <v>6864.0000000000009</v>
      </c>
      <c r="H152" s="48">
        <f t="shared" si="1759"/>
        <v>6864.0000000000009</v>
      </c>
      <c r="I152" s="51">
        <f t="shared" si="1760"/>
        <v>22691.011200000004</v>
      </c>
      <c r="J152" s="48">
        <f t="shared" si="1773"/>
        <v>6658.0800000000008</v>
      </c>
      <c r="K152" s="51">
        <f t="shared" si="1774"/>
        <v>22010.280864000004</v>
      </c>
      <c r="L152" s="48">
        <f t="shared" si="1775"/>
        <v>6520.8</v>
      </c>
      <c r="M152" s="51">
        <f t="shared" si="1776"/>
        <v>21556.460640000001</v>
      </c>
      <c r="N152" s="48">
        <f>+H152*BE152</f>
        <v>6383.5200000000013</v>
      </c>
      <c r="O152" s="51">
        <f t="shared" si="1777"/>
        <v>21102.640416000006</v>
      </c>
      <c r="P152" s="52">
        <f>+H152*BF152</f>
        <v>6246.2400000000007</v>
      </c>
      <c r="Q152" s="51">
        <f t="shared" si="1778"/>
        <v>20648.820192000003</v>
      </c>
      <c r="R152" s="48">
        <f>+H152*BG152</f>
        <v>6108.9600000000009</v>
      </c>
      <c r="S152" s="51">
        <f t="shared" si="1779"/>
        <v>20194.999968000004</v>
      </c>
      <c r="T152" s="52">
        <f>+H152*BH152</f>
        <v>5971.6800000000012</v>
      </c>
      <c r="U152" s="51">
        <f t="shared" si="1780"/>
        <v>19741.179744000005</v>
      </c>
      <c r="V152" s="53">
        <f>+H152*BI152</f>
        <v>5834.4000000000005</v>
      </c>
      <c r="W152" s="51">
        <f t="shared" si="1781"/>
        <v>19287.359520000002</v>
      </c>
      <c r="X152" s="52">
        <f>+H152*BJ152</f>
        <v>5697.1200000000008</v>
      </c>
      <c r="Y152" s="51">
        <f t="shared" si="1782"/>
        <v>18833.539296000003</v>
      </c>
      <c r="Z152" s="48">
        <f>+H152*BK152</f>
        <v>5559.84</v>
      </c>
      <c r="AA152" s="51">
        <f t="shared" si="1783"/>
        <v>18379.719072</v>
      </c>
      <c r="AB152" s="53">
        <f>+H152*BL152</f>
        <v>5422.56</v>
      </c>
      <c r="AC152" s="51">
        <f t="shared" si="1784"/>
        <v>17925.898848000001</v>
      </c>
      <c r="AD152" s="53">
        <f>+H152*BM152</f>
        <v>5285.28</v>
      </c>
      <c r="AE152" s="51">
        <f t="shared" si="1785"/>
        <v>17472.078623999998</v>
      </c>
      <c r="AF152" s="53">
        <f>+H152*BN152</f>
        <v>5148</v>
      </c>
      <c r="AG152" s="51">
        <f t="shared" si="1786"/>
        <v>17018.258399999999</v>
      </c>
      <c r="AH152" s="48">
        <f>+H152*BO152</f>
        <v>5010.7199999999993</v>
      </c>
      <c r="AI152" s="51">
        <f t="shared" si="1787"/>
        <v>16564.438176</v>
      </c>
      <c r="AJ152" s="53">
        <f>+H152*BP152</f>
        <v>4873.4399999999996</v>
      </c>
      <c r="AK152" s="51">
        <f t="shared" si="1788"/>
        <v>16110.617951999999</v>
      </c>
      <c r="AL152" s="53">
        <f>+H152*BQ152</f>
        <v>4736.16</v>
      </c>
      <c r="AM152" s="51">
        <f t="shared" si="1789"/>
        <v>15656.797728</v>
      </c>
      <c r="AN152" s="53">
        <f>+H152*BR152</f>
        <v>4598.8799999999992</v>
      </c>
      <c r="AO152" s="51">
        <f t="shared" si="1790"/>
        <v>15202.977503999999</v>
      </c>
      <c r="AP152" s="53">
        <f>+H152*BS152</f>
        <v>4461.5999999999995</v>
      </c>
      <c r="AQ152" s="51">
        <f t="shared" si="1791"/>
        <v>14749.157279999998</v>
      </c>
      <c r="AR152" s="48">
        <f>+H152*BT152</f>
        <v>4324.3199999999988</v>
      </c>
      <c r="AS152" s="51">
        <f t="shared" si="1792"/>
        <v>14295.337055999997</v>
      </c>
      <c r="AT152" s="53">
        <f>+H152*BU152</f>
        <v>4187.0399999999991</v>
      </c>
      <c r="AU152" s="51">
        <f t="shared" si="1793"/>
        <v>13841.516831999998</v>
      </c>
      <c r="AV152" s="53">
        <f>+H152*BV152</f>
        <v>4049.7599999999989</v>
      </c>
      <c r="AW152" s="51">
        <f t="shared" si="1794"/>
        <v>13387.696607999997</v>
      </c>
      <c r="AX152" s="48">
        <f>+H152*BW152</f>
        <v>3912.4799999999987</v>
      </c>
      <c r="AY152" s="51">
        <f t="shared" si="1795"/>
        <v>12933.876383999996</v>
      </c>
      <c r="BB152" s="48">
        <v>1</v>
      </c>
      <c r="BC152" s="48">
        <v>0.97</v>
      </c>
      <c r="BD152" s="48">
        <v>0.95</v>
      </c>
      <c r="BE152" s="48">
        <v>0.93</v>
      </c>
      <c r="BF152" s="48">
        <f t="shared" ref="BF152:BW152" si="1847">+BE152-0.02</f>
        <v>0.91</v>
      </c>
      <c r="BG152" s="48">
        <f t="shared" si="1847"/>
        <v>0.89</v>
      </c>
      <c r="BH152" s="48">
        <f t="shared" si="1847"/>
        <v>0.87</v>
      </c>
      <c r="BI152" s="48">
        <f t="shared" si="1847"/>
        <v>0.85</v>
      </c>
      <c r="BJ152" s="48">
        <f t="shared" si="1847"/>
        <v>0.83</v>
      </c>
      <c r="BK152" s="48">
        <f t="shared" si="1847"/>
        <v>0.80999999999999994</v>
      </c>
      <c r="BL152" s="48">
        <f t="shared" si="1847"/>
        <v>0.78999999999999992</v>
      </c>
      <c r="BM152" s="48">
        <f t="shared" si="1847"/>
        <v>0.76999999999999991</v>
      </c>
      <c r="BN152" s="48">
        <f t="shared" si="1847"/>
        <v>0.74999999999999989</v>
      </c>
      <c r="BO152" s="48">
        <f t="shared" si="1847"/>
        <v>0.72999999999999987</v>
      </c>
      <c r="BP152" s="48">
        <f t="shared" si="1847"/>
        <v>0.70999999999999985</v>
      </c>
      <c r="BQ152" s="48">
        <f t="shared" si="1847"/>
        <v>0.68999999999999984</v>
      </c>
      <c r="BR152" s="48">
        <f t="shared" si="1847"/>
        <v>0.66999999999999982</v>
      </c>
      <c r="BS152" s="48">
        <f t="shared" si="1847"/>
        <v>0.6499999999999998</v>
      </c>
      <c r="BT152" s="48">
        <f t="shared" si="1847"/>
        <v>0.62999999999999978</v>
      </c>
      <c r="BU152" s="48">
        <f t="shared" si="1847"/>
        <v>0.60999999999999976</v>
      </c>
      <c r="BV152" s="48">
        <f t="shared" si="1847"/>
        <v>0.58999999999999975</v>
      </c>
      <c r="BW152" s="48">
        <f t="shared" si="1847"/>
        <v>0.56999999999999973</v>
      </c>
      <c r="BY152" s="48">
        <f t="shared" si="1762"/>
        <v>6246.2400000000007</v>
      </c>
      <c r="BZ152" s="48">
        <f t="shared" si="1763"/>
        <v>6246.2400000000007</v>
      </c>
      <c r="CA152" s="51">
        <f t="shared" ref="CA152" si="1848">+BZ152*3.3058</f>
        <v>20648.820192000003</v>
      </c>
      <c r="CB152" s="48">
        <f t="shared" si="1798"/>
        <v>6058.8528000000006</v>
      </c>
      <c r="CC152" s="51">
        <f t="shared" si="1799"/>
        <v>20029.355586240003</v>
      </c>
      <c r="CD152" s="48">
        <f t="shared" si="1800"/>
        <v>5933.9280000000008</v>
      </c>
      <c r="CE152" s="51">
        <f t="shared" si="1801"/>
        <v>19616.379182400004</v>
      </c>
      <c r="CF152" s="48">
        <f>+BZ152*DW152</f>
        <v>5809.003200000001</v>
      </c>
      <c r="CG152" s="51">
        <f t="shared" si="1802"/>
        <v>19203.402778560005</v>
      </c>
      <c r="CH152" s="52">
        <f>+BZ152*DX152</f>
        <v>5684.0784000000012</v>
      </c>
      <c r="CI152" s="51">
        <f t="shared" si="1803"/>
        <v>18790.426374720006</v>
      </c>
      <c r="CJ152" s="48">
        <f>+BZ152*DY152</f>
        <v>5559.1536000000006</v>
      </c>
      <c r="CK152" s="51">
        <f t="shared" si="1804"/>
        <v>18377.449970880003</v>
      </c>
      <c r="CL152" s="52">
        <f>+BZ152*DZ152</f>
        <v>5434.2288000000008</v>
      </c>
      <c r="CM152" s="51">
        <f t="shared" si="1805"/>
        <v>17964.473567040004</v>
      </c>
      <c r="CN152" s="53">
        <f>+BZ152*EA152</f>
        <v>5309.3040000000001</v>
      </c>
      <c r="CO152" s="51">
        <f t="shared" si="1806"/>
        <v>17551.497163200002</v>
      </c>
      <c r="CP152" s="52">
        <f>+BZ152*EB152</f>
        <v>5184.3792000000003</v>
      </c>
      <c r="CQ152" s="51">
        <f t="shared" si="1807"/>
        <v>17138.520759360003</v>
      </c>
      <c r="CR152" s="48">
        <f>+BZ152*EC152</f>
        <v>5059.4544000000005</v>
      </c>
      <c r="CS152" s="51">
        <f t="shared" si="1808"/>
        <v>16725.544355520004</v>
      </c>
      <c r="CT152" s="53">
        <f>+BZ152*ED152</f>
        <v>4934.5295999999998</v>
      </c>
      <c r="CU152" s="51">
        <f t="shared" si="1809"/>
        <v>16312.567951679999</v>
      </c>
      <c r="CV152" s="53">
        <f>+BZ152*EE152</f>
        <v>4809.6048000000001</v>
      </c>
      <c r="CW152" s="51">
        <f t="shared" si="1810"/>
        <v>15899.59154784</v>
      </c>
      <c r="CX152" s="53">
        <f>+BZ152*EF152</f>
        <v>4684.6799999999994</v>
      </c>
      <c r="CY152" s="51">
        <f t="shared" si="1811"/>
        <v>15486.615143999998</v>
      </c>
      <c r="CZ152" s="48">
        <f>+BZ152*EG152</f>
        <v>4559.7551999999996</v>
      </c>
      <c r="DA152" s="51">
        <f t="shared" si="1812"/>
        <v>15073.638740159999</v>
      </c>
      <c r="DB152" s="53">
        <f>+BZ152*EH152</f>
        <v>4434.8303999999998</v>
      </c>
      <c r="DC152" s="51">
        <f t="shared" si="1813"/>
        <v>14660.66233632</v>
      </c>
      <c r="DD152" s="53">
        <f>+BZ152*EI152</f>
        <v>4309.9055999999991</v>
      </c>
      <c r="DE152" s="51">
        <f t="shared" si="1814"/>
        <v>14247.685932479997</v>
      </c>
      <c r="DF152" s="53">
        <f>+BZ152*EJ152</f>
        <v>4184.9807999999994</v>
      </c>
      <c r="DG152" s="51">
        <f t="shared" si="1815"/>
        <v>13834.709528639998</v>
      </c>
      <c r="DH152" s="53">
        <f>+BZ152*EK152</f>
        <v>4060.0559999999991</v>
      </c>
      <c r="DI152" s="51">
        <f t="shared" si="1816"/>
        <v>13421.733124799997</v>
      </c>
      <c r="DJ152" s="48">
        <f>+BZ152*EL152</f>
        <v>3935.1311999999989</v>
      </c>
      <c r="DK152" s="51">
        <f t="shared" si="1817"/>
        <v>13008.756720959997</v>
      </c>
      <c r="DL152" s="53">
        <f>+BZ152*EM152</f>
        <v>3810.2063999999991</v>
      </c>
      <c r="DM152" s="51">
        <f t="shared" si="1818"/>
        <v>12595.780317119998</v>
      </c>
      <c r="DN152" s="53">
        <f>+BZ152*EN152</f>
        <v>3685.2815999999989</v>
      </c>
      <c r="DO152" s="51">
        <f t="shared" si="1819"/>
        <v>12182.803913279997</v>
      </c>
      <c r="DP152" s="48">
        <f>+BZ152*EO152</f>
        <v>3560.3567999999987</v>
      </c>
      <c r="DQ152" s="51">
        <f t="shared" si="1820"/>
        <v>11769.827509439996</v>
      </c>
      <c r="DT152" s="48">
        <v>1</v>
      </c>
      <c r="DU152" s="48">
        <v>0.97</v>
      </c>
      <c r="DV152" s="48">
        <v>0.95</v>
      </c>
      <c r="DW152" s="48">
        <v>0.93</v>
      </c>
      <c r="DX152" s="48">
        <f t="shared" ref="DX152:EO152" si="1849">+DW152-0.02</f>
        <v>0.91</v>
      </c>
      <c r="DY152" s="48">
        <f t="shared" si="1849"/>
        <v>0.89</v>
      </c>
      <c r="DZ152" s="48">
        <f t="shared" si="1849"/>
        <v>0.87</v>
      </c>
      <c r="EA152" s="48">
        <f t="shared" si="1849"/>
        <v>0.85</v>
      </c>
      <c r="EB152" s="48">
        <f t="shared" si="1849"/>
        <v>0.83</v>
      </c>
      <c r="EC152" s="48">
        <f t="shared" si="1849"/>
        <v>0.80999999999999994</v>
      </c>
      <c r="ED152" s="48">
        <f t="shared" si="1849"/>
        <v>0.78999999999999992</v>
      </c>
      <c r="EE152" s="48">
        <f t="shared" si="1849"/>
        <v>0.76999999999999991</v>
      </c>
      <c r="EF152" s="48">
        <f t="shared" si="1849"/>
        <v>0.74999999999999989</v>
      </c>
      <c r="EG152" s="48">
        <f t="shared" si="1849"/>
        <v>0.72999999999999987</v>
      </c>
      <c r="EH152" s="48">
        <f t="shared" si="1849"/>
        <v>0.70999999999999985</v>
      </c>
      <c r="EI152" s="48">
        <f t="shared" si="1849"/>
        <v>0.68999999999999984</v>
      </c>
      <c r="EJ152" s="48">
        <f t="shared" si="1849"/>
        <v>0.66999999999999982</v>
      </c>
      <c r="EK152" s="48">
        <f t="shared" si="1849"/>
        <v>0.6499999999999998</v>
      </c>
      <c r="EL152" s="48">
        <f t="shared" si="1849"/>
        <v>0.62999999999999978</v>
      </c>
      <c r="EM152" s="48">
        <f t="shared" si="1849"/>
        <v>0.60999999999999976</v>
      </c>
      <c r="EN152" s="48">
        <f t="shared" si="1849"/>
        <v>0.58999999999999975</v>
      </c>
      <c r="EO152" s="48">
        <f t="shared" si="1849"/>
        <v>0.56999999999999973</v>
      </c>
      <c r="EQ152" s="48">
        <f t="shared" si="1128"/>
        <v>5684.0784000000012</v>
      </c>
      <c r="ER152" s="48">
        <f t="shared" si="1766"/>
        <v>5684.0784000000012</v>
      </c>
      <c r="ES152" s="51">
        <f t="shared" ref="ES152" si="1850">+ER152*3.3058</f>
        <v>18790.426374720006</v>
      </c>
      <c r="ET152" s="48">
        <f t="shared" si="1823"/>
        <v>5513.5560480000013</v>
      </c>
      <c r="EU152" s="51">
        <f t="shared" si="1824"/>
        <v>18226.713583478406</v>
      </c>
      <c r="EV152" s="48">
        <f t="shared" si="1825"/>
        <v>5399.8744800000013</v>
      </c>
      <c r="EW152" s="51">
        <f t="shared" si="1826"/>
        <v>17850.905055984003</v>
      </c>
      <c r="EX152" s="48">
        <f>+ER152*GO152</f>
        <v>5286.1929120000013</v>
      </c>
      <c r="EY152" s="51">
        <f t="shared" si="1827"/>
        <v>17475.096528489605</v>
      </c>
      <c r="EZ152" s="52">
        <f>+ER152*GP152</f>
        <v>5172.5113440000014</v>
      </c>
      <c r="FA152" s="51">
        <f t="shared" si="1828"/>
        <v>17099.288000995206</v>
      </c>
      <c r="FB152" s="48">
        <f>+ER152*GQ152</f>
        <v>5058.8297760000014</v>
      </c>
      <c r="FC152" s="51">
        <f t="shared" si="1829"/>
        <v>16723.479473500804</v>
      </c>
      <c r="FD152" s="52">
        <f>+ER152*GR152</f>
        <v>4945.1482080000014</v>
      </c>
      <c r="FE152" s="51">
        <f t="shared" si="1830"/>
        <v>16347.670946006405</v>
      </c>
      <c r="FF152" s="53">
        <f>+ER152*GS152</f>
        <v>4831.4666400000006</v>
      </c>
      <c r="FG152" s="51">
        <f t="shared" si="1831"/>
        <v>15971.862418512002</v>
      </c>
      <c r="FH152" s="52">
        <f>+ER152*GT152</f>
        <v>4717.7850720000006</v>
      </c>
      <c r="FI152" s="51">
        <f t="shared" si="1832"/>
        <v>15596.053891017602</v>
      </c>
      <c r="FJ152" s="48">
        <f>+ER152*GU152</f>
        <v>4604.1035040000006</v>
      </c>
      <c r="FK152" s="51">
        <f t="shared" si="1833"/>
        <v>15220.245363523203</v>
      </c>
      <c r="FL152" s="53">
        <f>+ER152*GV152</f>
        <v>4490.4219360000006</v>
      </c>
      <c r="FM152" s="51">
        <f t="shared" si="1834"/>
        <v>14844.436836028803</v>
      </c>
      <c r="FN152" s="53">
        <f>+ER152*GW152</f>
        <v>4376.7403680000007</v>
      </c>
      <c r="FO152" s="51">
        <f t="shared" si="1835"/>
        <v>14468.628308534402</v>
      </c>
      <c r="FP152" s="53">
        <f>+ER152*GX152</f>
        <v>4263.0588000000007</v>
      </c>
      <c r="FQ152" s="51">
        <f t="shared" si="1836"/>
        <v>14092.819781040003</v>
      </c>
      <c r="FR152" s="48">
        <f>+ER152*GY152</f>
        <v>4149.3772319999998</v>
      </c>
      <c r="FS152" s="51">
        <f t="shared" si="1837"/>
        <v>13717.011253545599</v>
      </c>
      <c r="FT152" s="53">
        <f>+ER152*GZ152</f>
        <v>4035.6956639999999</v>
      </c>
      <c r="FU152" s="51">
        <f t="shared" si="1838"/>
        <v>13341.2027260512</v>
      </c>
      <c r="FV152" s="53">
        <f>+ER152*HA152</f>
        <v>3922.0140959999999</v>
      </c>
      <c r="FW152" s="51">
        <f t="shared" si="1839"/>
        <v>12965.3941985568</v>
      </c>
      <c r="FX152" s="53">
        <f>+ER152*HB152</f>
        <v>3808.3325279999999</v>
      </c>
      <c r="FY152" s="51">
        <f t="shared" si="1840"/>
        <v>12589.585671062399</v>
      </c>
      <c r="FZ152" s="53">
        <f>+ER152*HC152</f>
        <v>3694.6509599999995</v>
      </c>
      <c r="GA152" s="51">
        <f t="shared" si="1841"/>
        <v>12213.777143567999</v>
      </c>
      <c r="GB152" s="48">
        <f>+ER152*HD152</f>
        <v>3580.9693919999995</v>
      </c>
      <c r="GC152" s="51">
        <f t="shared" si="1842"/>
        <v>11837.968616073598</v>
      </c>
      <c r="GD152" s="53">
        <f>+ER152*HE152</f>
        <v>3467.2878239999995</v>
      </c>
      <c r="GE152" s="51">
        <f t="shared" si="1843"/>
        <v>11462.1600885792</v>
      </c>
      <c r="GF152" s="53">
        <f>+ER152*HF152</f>
        <v>3353.6062559999991</v>
      </c>
      <c r="GG152" s="51">
        <f t="shared" si="1844"/>
        <v>11086.351561084797</v>
      </c>
      <c r="GH152" s="48">
        <f>+ER152*HG152</f>
        <v>3239.9246879999992</v>
      </c>
      <c r="GI152" s="51">
        <f t="shared" si="1845"/>
        <v>10710.543033590397</v>
      </c>
      <c r="GJ152" s="48"/>
      <c r="GK152" s="48"/>
      <c r="GL152" s="48">
        <v>1</v>
      </c>
      <c r="GM152" s="48">
        <v>0.97</v>
      </c>
      <c r="GN152" s="48">
        <v>0.95</v>
      </c>
      <c r="GO152" s="48">
        <v>0.93</v>
      </c>
      <c r="GP152" s="48">
        <f t="shared" ref="GP152:HG152" si="1851">+GO152-0.02</f>
        <v>0.91</v>
      </c>
      <c r="GQ152" s="48">
        <f t="shared" si="1851"/>
        <v>0.89</v>
      </c>
      <c r="GR152" s="48">
        <f t="shared" si="1851"/>
        <v>0.87</v>
      </c>
      <c r="GS152" s="48">
        <f t="shared" si="1851"/>
        <v>0.85</v>
      </c>
      <c r="GT152" s="48">
        <f t="shared" si="1851"/>
        <v>0.83</v>
      </c>
      <c r="GU152" s="48">
        <f t="shared" si="1851"/>
        <v>0.80999999999999994</v>
      </c>
      <c r="GV152" s="48">
        <f t="shared" si="1851"/>
        <v>0.78999999999999992</v>
      </c>
      <c r="GW152" s="48">
        <f t="shared" si="1851"/>
        <v>0.76999999999999991</v>
      </c>
      <c r="GX152" s="48">
        <f t="shared" si="1851"/>
        <v>0.74999999999999989</v>
      </c>
      <c r="GY152" s="48">
        <f t="shared" si="1851"/>
        <v>0.72999999999999987</v>
      </c>
      <c r="GZ152" s="48">
        <f t="shared" si="1851"/>
        <v>0.70999999999999985</v>
      </c>
      <c r="HA152" s="48">
        <f t="shared" si="1851"/>
        <v>0.68999999999999984</v>
      </c>
      <c r="HB152" s="48">
        <f t="shared" si="1851"/>
        <v>0.66999999999999982</v>
      </c>
      <c r="HC152" s="48">
        <f t="shared" si="1851"/>
        <v>0.6499999999999998</v>
      </c>
      <c r="HD152" s="48">
        <f t="shared" si="1851"/>
        <v>0.62999999999999978</v>
      </c>
      <c r="HE152" s="48">
        <f t="shared" si="1851"/>
        <v>0.60999999999999976</v>
      </c>
      <c r="HF152" s="48">
        <f t="shared" si="1851"/>
        <v>0.58999999999999975</v>
      </c>
      <c r="HG152" s="48">
        <f t="shared" si="1851"/>
        <v>0.56999999999999973</v>
      </c>
    </row>
    <row r="153" spans="1:215" x14ac:dyDescent="0.3">
      <c r="A153" s="2">
        <v>3</v>
      </c>
      <c r="C153" s="39" t="s">
        <v>157</v>
      </c>
      <c r="D153" s="44">
        <f>TRUNC(24837.4099491649+8527.59931009441,-1)</f>
        <v>33360</v>
      </c>
      <c r="E153" s="73">
        <f>TRUNC(+D153*3.3058,-1)</f>
        <v>110280</v>
      </c>
      <c r="F153" s="2" t="s">
        <v>369</v>
      </c>
      <c r="G153" s="48">
        <f t="shared" si="1758"/>
        <v>36696</v>
      </c>
      <c r="H153" s="48">
        <f t="shared" si="1759"/>
        <v>36696</v>
      </c>
      <c r="I153" s="51">
        <f t="shared" si="1760"/>
        <v>121309.63680000001</v>
      </c>
      <c r="J153" s="48">
        <f t="shared" si="1773"/>
        <v>35595.120000000003</v>
      </c>
      <c r="K153" s="51">
        <f t="shared" si="1774"/>
        <v>117670.34769600001</v>
      </c>
      <c r="L153" s="48">
        <f t="shared" si="1775"/>
        <v>34861.199999999997</v>
      </c>
      <c r="M153" s="51">
        <f t="shared" si="1776"/>
        <v>115244.15496</v>
      </c>
      <c r="N153" s="48">
        <f>+H153*BE153</f>
        <v>34127.279999999999</v>
      </c>
      <c r="O153" s="51">
        <f t="shared" si="1777"/>
        <v>112817.962224</v>
      </c>
      <c r="P153" s="52">
        <f>+H153*BF153</f>
        <v>33393.360000000001</v>
      </c>
      <c r="Q153" s="51">
        <f t="shared" si="1778"/>
        <v>110391.76948800001</v>
      </c>
      <c r="R153" s="48">
        <f>+H153*BG153</f>
        <v>32659.439999999999</v>
      </c>
      <c r="S153" s="51">
        <f t="shared" si="1779"/>
        <v>107965.57675199999</v>
      </c>
      <c r="T153" s="52">
        <f>+H153*BH153</f>
        <v>31925.52</v>
      </c>
      <c r="U153" s="51">
        <f t="shared" si="1780"/>
        <v>105539.38401600001</v>
      </c>
      <c r="V153" s="53">
        <f>+H153*BI153</f>
        <v>31191.599999999999</v>
      </c>
      <c r="W153" s="51">
        <f t="shared" si="1781"/>
        <v>103113.19128</v>
      </c>
      <c r="X153" s="52">
        <f>+H153*BJ153</f>
        <v>30457.68</v>
      </c>
      <c r="Y153" s="51">
        <f t="shared" si="1782"/>
        <v>100686.998544</v>
      </c>
      <c r="Z153" s="48">
        <f>+H153*BK153</f>
        <v>29723.759999999998</v>
      </c>
      <c r="AA153" s="51">
        <f t="shared" si="1783"/>
        <v>98260.80580799999</v>
      </c>
      <c r="AB153" s="53">
        <f>+H153*BL153</f>
        <v>28989.839999999997</v>
      </c>
      <c r="AC153" s="51">
        <f t="shared" si="1784"/>
        <v>95834.613071999993</v>
      </c>
      <c r="AD153" s="53">
        <f>+H153*BM153</f>
        <v>28255.919999999998</v>
      </c>
      <c r="AE153" s="51">
        <f t="shared" si="1785"/>
        <v>93408.420335999996</v>
      </c>
      <c r="AF153" s="53">
        <f>+H153*BN153</f>
        <v>27521.999999999996</v>
      </c>
      <c r="AG153" s="51">
        <f t="shared" si="1786"/>
        <v>90982.227599999984</v>
      </c>
      <c r="AH153" s="48">
        <f>+H153*BO153</f>
        <v>26788.079999999994</v>
      </c>
      <c r="AI153" s="51">
        <f t="shared" si="1787"/>
        <v>88556.034863999987</v>
      </c>
      <c r="AJ153" s="53">
        <f>+H153*BP153</f>
        <v>26054.159999999996</v>
      </c>
      <c r="AK153" s="51">
        <f t="shared" si="1788"/>
        <v>86129.842127999989</v>
      </c>
      <c r="AL153" s="53">
        <f>+H153*BQ153</f>
        <v>25320.239999999994</v>
      </c>
      <c r="AM153" s="51">
        <f t="shared" si="1789"/>
        <v>83703.649391999978</v>
      </c>
      <c r="AN153" s="53">
        <f>+H153*BR153</f>
        <v>24586.319999999992</v>
      </c>
      <c r="AO153" s="51">
        <f t="shared" si="1790"/>
        <v>81277.45665599998</v>
      </c>
      <c r="AP153" s="53">
        <f>+H153*BS153</f>
        <v>23852.399999999994</v>
      </c>
      <c r="AQ153" s="51">
        <f t="shared" si="1791"/>
        <v>78851.263919999983</v>
      </c>
      <c r="AR153" s="48">
        <f>+H153*BT153</f>
        <v>23118.479999999992</v>
      </c>
      <c r="AS153" s="51">
        <f t="shared" si="1792"/>
        <v>76425.071183999971</v>
      </c>
      <c r="AT153" s="53">
        <f>+H153*BU153</f>
        <v>22384.55999999999</v>
      </c>
      <c r="AU153" s="51">
        <f t="shared" si="1793"/>
        <v>73998.878447999974</v>
      </c>
      <c r="AV153" s="53">
        <f>+H153*BV153</f>
        <v>21650.639999999992</v>
      </c>
      <c r="AW153" s="51">
        <f t="shared" si="1794"/>
        <v>71572.685711999977</v>
      </c>
      <c r="AX153" s="48">
        <f>+H153*BW153</f>
        <v>20916.71999999999</v>
      </c>
      <c r="AY153" s="51">
        <f t="shared" si="1795"/>
        <v>69146.492975999965</v>
      </c>
      <c r="BB153" s="48">
        <v>1</v>
      </c>
      <c r="BC153" s="48">
        <v>0.97</v>
      </c>
      <c r="BD153" s="48">
        <v>0.95</v>
      </c>
      <c r="BE153" s="48">
        <v>0.93</v>
      </c>
      <c r="BF153" s="48">
        <f t="shared" ref="BF153:BW153" si="1852">+BE153-0.02</f>
        <v>0.91</v>
      </c>
      <c r="BG153" s="48">
        <f t="shared" si="1852"/>
        <v>0.89</v>
      </c>
      <c r="BH153" s="48">
        <f t="shared" si="1852"/>
        <v>0.87</v>
      </c>
      <c r="BI153" s="48">
        <f t="shared" si="1852"/>
        <v>0.85</v>
      </c>
      <c r="BJ153" s="48">
        <f t="shared" si="1852"/>
        <v>0.83</v>
      </c>
      <c r="BK153" s="48">
        <f t="shared" si="1852"/>
        <v>0.80999999999999994</v>
      </c>
      <c r="BL153" s="48">
        <f t="shared" si="1852"/>
        <v>0.78999999999999992</v>
      </c>
      <c r="BM153" s="48">
        <f t="shared" si="1852"/>
        <v>0.76999999999999991</v>
      </c>
      <c r="BN153" s="48">
        <f t="shared" si="1852"/>
        <v>0.74999999999999989</v>
      </c>
      <c r="BO153" s="48">
        <f t="shared" si="1852"/>
        <v>0.72999999999999987</v>
      </c>
      <c r="BP153" s="48">
        <f t="shared" si="1852"/>
        <v>0.70999999999999985</v>
      </c>
      <c r="BQ153" s="48">
        <f t="shared" si="1852"/>
        <v>0.68999999999999984</v>
      </c>
      <c r="BR153" s="48">
        <f t="shared" si="1852"/>
        <v>0.66999999999999982</v>
      </c>
      <c r="BS153" s="48">
        <f t="shared" si="1852"/>
        <v>0.6499999999999998</v>
      </c>
      <c r="BT153" s="48">
        <f t="shared" si="1852"/>
        <v>0.62999999999999978</v>
      </c>
      <c r="BU153" s="48">
        <f t="shared" si="1852"/>
        <v>0.60999999999999976</v>
      </c>
      <c r="BV153" s="48">
        <f t="shared" si="1852"/>
        <v>0.58999999999999975</v>
      </c>
      <c r="BW153" s="48">
        <f t="shared" si="1852"/>
        <v>0.56999999999999973</v>
      </c>
      <c r="BY153" s="48">
        <f t="shared" si="1762"/>
        <v>33393.360000000001</v>
      </c>
      <c r="BZ153" s="48">
        <f t="shared" si="1763"/>
        <v>33393.360000000001</v>
      </c>
      <c r="CA153" s="51">
        <f t="shared" ref="CA153" si="1853">+BZ153*3.3058</f>
        <v>110391.76948800001</v>
      </c>
      <c r="CB153" s="48">
        <f t="shared" si="1798"/>
        <v>32391.5592</v>
      </c>
      <c r="CC153" s="51">
        <f t="shared" si="1799"/>
        <v>107080.01640336</v>
      </c>
      <c r="CD153" s="48">
        <f t="shared" si="1800"/>
        <v>31723.691999999999</v>
      </c>
      <c r="CE153" s="51">
        <f t="shared" si="1801"/>
        <v>104872.1810136</v>
      </c>
      <c r="CF153" s="48">
        <f>+BZ153*DW153</f>
        <v>31055.824800000002</v>
      </c>
      <c r="CG153" s="51">
        <f t="shared" si="1802"/>
        <v>102664.34562384001</v>
      </c>
      <c r="CH153" s="52">
        <f>+BZ153*DX153</f>
        <v>30387.957600000002</v>
      </c>
      <c r="CI153" s="51">
        <f t="shared" si="1803"/>
        <v>100456.51023408001</v>
      </c>
      <c r="CJ153" s="48">
        <f>+BZ153*DY153</f>
        <v>29720.090400000001</v>
      </c>
      <c r="CK153" s="51">
        <f t="shared" si="1804"/>
        <v>98248.674844320005</v>
      </c>
      <c r="CL153" s="52">
        <f>+BZ153*DZ153</f>
        <v>29052.2232</v>
      </c>
      <c r="CM153" s="51">
        <f t="shared" si="1805"/>
        <v>96040.839454560002</v>
      </c>
      <c r="CN153" s="53">
        <f>+BZ153*EA153</f>
        <v>28384.356</v>
      </c>
      <c r="CO153" s="51">
        <f t="shared" si="1806"/>
        <v>93833.004064799999</v>
      </c>
      <c r="CP153" s="52">
        <f>+BZ153*EB153</f>
        <v>27716.488799999999</v>
      </c>
      <c r="CQ153" s="51">
        <f t="shared" si="1807"/>
        <v>91625.168675039997</v>
      </c>
      <c r="CR153" s="48">
        <f>+BZ153*EC153</f>
        <v>27048.621599999999</v>
      </c>
      <c r="CS153" s="51">
        <f t="shared" si="1808"/>
        <v>89417.333285279994</v>
      </c>
      <c r="CT153" s="53">
        <f>+BZ153*ED153</f>
        <v>26380.754399999998</v>
      </c>
      <c r="CU153" s="51">
        <f t="shared" si="1809"/>
        <v>87209.497895519991</v>
      </c>
      <c r="CV153" s="53">
        <f>+BZ153*EE153</f>
        <v>25712.887199999997</v>
      </c>
      <c r="CW153" s="51">
        <f t="shared" si="1810"/>
        <v>85001.662505759989</v>
      </c>
      <c r="CX153" s="53">
        <f>+BZ153*EF153</f>
        <v>25045.019999999997</v>
      </c>
      <c r="CY153" s="51">
        <f t="shared" si="1811"/>
        <v>82793.827115999986</v>
      </c>
      <c r="CZ153" s="48">
        <f>+BZ153*EG153</f>
        <v>24377.152799999996</v>
      </c>
      <c r="DA153" s="51">
        <f t="shared" si="1812"/>
        <v>80585.991726239983</v>
      </c>
      <c r="DB153" s="53">
        <f>+BZ153*EH153</f>
        <v>23709.285599999996</v>
      </c>
      <c r="DC153" s="51">
        <f t="shared" si="1813"/>
        <v>78378.15633647998</v>
      </c>
      <c r="DD153" s="53">
        <f>+BZ153*EI153</f>
        <v>23041.418399999995</v>
      </c>
      <c r="DE153" s="51">
        <f t="shared" si="1814"/>
        <v>76170.320946719992</v>
      </c>
      <c r="DF153" s="53">
        <f>+BZ153*EJ153</f>
        <v>22373.551199999994</v>
      </c>
      <c r="DG153" s="51">
        <f t="shared" si="1815"/>
        <v>73962.485556959989</v>
      </c>
      <c r="DH153" s="53">
        <f>+BZ153*EK153</f>
        <v>21705.683999999994</v>
      </c>
      <c r="DI153" s="51">
        <f t="shared" si="1816"/>
        <v>71754.650167199987</v>
      </c>
      <c r="DJ153" s="48">
        <f>+BZ153*EL153</f>
        <v>21037.816799999993</v>
      </c>
      <c r="DK153" s="51">
        <f t="shared" si="1817"/>
        <v>69546.814777439984</v>
      </c>
      <c r="DL153" s="53">
        <f>+BZ153*EM153</f>
        <v>20369.949599999993</v>
      </c>
      <c r="DM153" s="51">
        <f t="shared" si="1818"/>
        <v>67338.979387679981</v>
      </c>
      <c r="DN153" s="53">
        <f>+BZ153*EN153</f>
        <v>19702.082399999992</v>
      </c>
      <c r="DO153" s="51">
        <f t="shared" si="1819"/>
        <v>65131.143997919979</v>
      </c>
      <c r="DP153" s="48">
        <f>+BZ153*EO153</f>
        <v>19034.215199999991</v>
      </c>
      <c r="DQ153" s="51">
        <f t="shared" si="1820"/>
        <v>62923.308608159976</v>
      </c>
      <c r="DT153" s="48">
        <v>1</v>
      </c>
      <c r="DU153" s="48">
        <v>0.97</v>
      </c>
      <c r="DV153" s="48">
        <v>0.95</v>
      </c>
      <c r="DW153" s="48">
        <v>0.93</v>
      </c>
      <c r="DX153" s="48">
        <f t="shared" ref="DX153:EO153" si="1854">+DW153-0.02</f>
        <v>0.91</v>
      </c>
      <c r="DY153" s="48">
        <f t="shared" si="1854"/>
        <v>0.89</v>
      </c>
      <c r="DZ153" s="48">
        <f t="shared" si="1854"/>
        <v>0.87</v>
      </c>
      <c r="EA153" s="48">
        <f t="shared" si="1854"/>
        <v>0.85</v>
      </c>
      <c r="EB153" s="48">
        <f t="shared" si="1854"/>
        <v>0.83</v>
      </c>
      <c r="EC153" s="48">
        <f t="shared" si="1854"/>
        <v>0.80999999999999994</v>
      </c>
      <c r="ED153" s="48">
        <f t="shared" si="1854"/>
        <v>0.78999999999999992</v>
      </c>
      <c r="EE153" s="48">
        <f t="shared" si="1854"/>
        <v>0.76999999999999991</v>
      </c>
      <c r="EF153" s="48">
        <f t="shared" si="1854"/>
        <v>0.74999999999999989</v>
      </c>
      <c r="EG153" s="48">
        <f t="shared" si="1854"/>
        <v>0.72999999999999987</v>
      </c>
      <c r="EH153" s="48">
        <f t="shared" si="1854"/>
        <v>0.70999999999999985</v>
      </c>
      <c r="EI153" s="48">
        <f t="shared" si="1854"/>
        <v>0.68999999999999984</v>
      </c>
      <c r="EJ153" s="48">
        <f t="shared" si="1854"/>
        <v>0.66999999999999982</v>
      </c>
      <c r="EK153" s="48">
        <f t="shared" si="1854"/>
        <v>0.6499999999999998</v>
      </c>
      <c r="EL153" s="48">
        <f t="shared" si="1854"/>
        <v>0.62999999999999978</v>
      </c>
      <c r="EM153" s="48">
        <f t="shared" si="1854"/>
        <v>0.60999999999999976</v>
      </c>
      <c r="EN153" s="48">
        <f t="shared" si="1854"/>
        <v>0.58999999999999975</v>
      </c>
      <c r="EO153" s="48">
        <f t="shared" si="1854"/>
        <v>0.56999999999999973</v>
      </c>
      <c r="EQ153" s="48">
        <f t="shared" si="1128"/>
        <v>30387.957600000002</v>
      </c>
      <c r="ER153" s="48">
        <f t="shared" si="1766"/>
        <v>30387.957600000002</v>
      </c>
      <c r="ES153" s="51">
        <f t="shared" ref="ES153" si="1855">+ER153*3.3058</f>
        <v>100456.51023408001</v>
      </c>
      <c r="ET153" s="48">
        <f t="shared" si="1823"/>
        <v>29476.318872</v>
      </c>
      <c r="EU153" s="51">
        <f t="shared" si="1824"/>
        <v>97442.814927057596</v>
      </c>
      <c r="EV153" s="48">
        <f t="shared" si="1825"/>
        <v>28868.559720000001</v>
      </c>
      <c r="EW153" s="51">
        <f t="shared" si="1826"/>
        <v>95433.684722376012</v>
      </c>
      <c r="EX153" s="48">
        <f>+ER153*GO153</f>
        <v>28260.800568000002</v>
      </c>
      <c r="EY153" s="51">
        <f t="shared" si="1827"/>
        <v>93424.554517694414</v>
      </c>
      <c r="EZ153" s="52">
        <f>+ER153*GP153</f>
        <v>27653.041416000004</v>
      </c>
      <c r="FA153" s="51">
        <f t="shared" si="1828"/>
        <v>91415.424313012816</v>
      </c>
      <c r="FB153" s="48">
        <f>+ER153*GQ153</f>
        <v>27045.282264000001</v>
      </c>
      <c r="FC153" s="51">
        <f t="shared" si="1829"/>
        <v>89406.294108331203</v>
      </c>
      <c r="FD153" s="52">
        <f>+ER153*GR153</f>
        <v>26437.523112000003</v>
      </c>
      <c r="FE153" s="51">
        <f t="shared" si="1830"/>
        <v>87397.163903649605</v>
      </c>
      <c r="FF153" s="53">
        <f>+ER153*GS153</f>
        <v>25829.76396</v>
      </c>
      <c r="FG153" s="51">
        <f t="shared" si="1831"/>
        <v>85388.033698968007</v>
      </c>
      <c r="FH153" s="52">
        <f>+ER153*GT153</f>
        <v>25222.004808000002</v>
      </c>
      <c r="FI153" s="51">
        <f t="shared" si="1832"/>
        <v>83378.903494286409</v>
      </c>
      <c r="FJ153" s="48">
        <f>+ER153*GU153</f>
        <v>24614.245655999999</v>
      </c>
      <c r="FK153" s="51">
        <f t="shared" si="1833"/>
        <v>81369.773289604796</v>
      </c>
      <c r="FL153" s="53">
        <f>+ER153*GV153</f>
        <v>24006.486504</v>
      </c>
      <c r="FM153" s="51">
        <f t="shared" si="1834"/>
        <v>79360.643084923198</v>
      </c>
      <c r="FN153" s="53">
        <f>+ER153*GW153</f>
        <v>23398.727351999998</v>
      </c>
      <c r="FO153" s="51">
        <f t="shared" si="1835"/>
        <v>77351.5128802416</v>
      </c>
      <c r="FP153" s="53">
        <f>+ER153*GX153</f>
        <v>22790.968199999999</v>
      </c>
      <c r="FQ153" s="51">
        <f t="shared" si="1836"/>
        <v>75342.382675560002</v>
      </c>
      <c r="FR153" s="48">
        <f>+ER153*GY153</f>
        <v>22183.209047999997</v>
      </c>
      <c r="FS153" s="51">
        <f t="shared" si="1837"/>
        <v>73333.252470878389</v>
      </c>
      <c r="FT153" s="53">
        <f>+ER153*GZ153</f>
        <v>21575.449895999998</v>
      </c>
      <c r="FU153" s="51">
        <f t="shared" si="1838"/>
        <v>71324.122266196791</v>
      </c>
      <c r="FV153" s="53">
        <f>+ER153*HA153</f>
        <v>20967.690743999996</v>
      </c>
      <c r="FW153" s="51">
        <f t="shared" si="1839"/>
        <v>69314.992061515193</v>
      </c>
      <c r="FX153" s="53">
        <f>+ER153*HB153</f>
        <v>20359.931591999997</v>
      </c>
      <c r="FY153" s="51">
        <f t="shared" si="1840"/>
        <v>67305.861856833595</v>
      </c>
      <c r="FZ153" s="53">
        <f>+ER153*HC153</f>
        <v>19752.172439999995</v>
      </c>
      <c r="GA153" s="51">
        <f t="shared" si="1841"/>
        <v>65296.731652151982</v>
      </c>
      <c r="GB153" s="48">
        <f>+ER153*HD153</f>
        <v>19144.413287999996</v>
      </c>
      <c r="GC153" s="51">
        <f t="shared" si="1842"/>
        <v>63287.601447470392</v>
      </c>
      <c r="GD153" s="53">
        <f>+ER153*HE153</f>
        <v>18536.654135999994</v>
      </c>
      <c r="GE153" s="51">
        <f t="shared" si="1843"/>
        <v>61278.471242788779</v>
      </c>
      <c r="GF153" s="53">
        <f>+ER153*HF153</f>
        <v>17928.894983999995</v>
      </c>
      <c r="GG153" s="51">
        <f t="shared" si="1844"/>
        <v>59269.341038107188</v>
      </c>
      <c r="GH153" s="48">
        <f>+ER153*HG153</f>
        <v>17321.135831999993</v>
      </c>
      <c r="GI153" s="51">
        <f t="shared" si="1845"/>
        <v>57260.210833425575</v>
      </c>
      <c r="GJ153" s="48"/>
      <c r="GK153" s="48"/>
      <c r="GL153" s="48">
        <v>1</v>
      </c>
      <c r="GM153" s="48">
        <v>0.97</v>
      </c>
      <c r="GN153" s="48">
        <v>0.95</v>
      </c>
      <c r="GO153" s="48">
        <v>0.93</v>
      </c>
      <c r="GP153" s="48">
        <f t="shared" ref="GP153:HG153" si="1856">+GO153-0.02</f>
        <v>0.91</v>
      </c>
      <c r="GQ153" s="48">
        <f t="shared" si="1856"/>
        <v>0.89</v>
      </c>
      <c r="GR153" s="48">
        <f t="shared" si="1856"/>
        <v>0.87</v>
      </c>
      <c r="GS153" s="48">
        <f t="shared" si="1856"/>
        <v>0.85</v>
      </c>
      <c r="GT153" s="48">
        <f t="shared" si="1856"/>
        <v>0.83</v>
      </c>
      <c r="GU153" s="48">
        <f t="shared" si="1856"/>
        <v>0.80999999999999994</v>
      </c>
      <c r="GV153" s="48">
        <f t="shared" si="1856"/>
        <v>0.78999999999999992</v>
      </c>
      <c r="GW153" s="48">
        <f t="shared" si="1856"/>
        <v>0.76999999999999991</v>
      </c>
      <c r="GX153" s="48">
        <f t="shared" si="1856"/>
        <v>0.74999999999999989</v>
      </c>
      <c r="GY153" s="48">
        <f t="shared" si="1856"/>
        <v>0.72999999999999987</v>
      </c>
      <c r="GZ153" s="48">
        <f t="shared" si="1856"/>
        <v>0.70999999999999985</v>
      </c>
      <c r="HA153" s="48">
        <f t="shared" si="1856"/>
        <v>0.68999999999999984</v>
      </c>
      <c r="HB153" s="48">
        <f t="shared" si="1856"/>
        <v>0.66999999999999982</v>
      </c>
      <c r="HC153" s="48">
        <f t="shared" si="1856"/>
        <v>0.6499999999999998</v>
      </c>
      <c r="HD153" s="48">
        <f t="shared" si="1856"/>
        <v>0.62999999999999978</v>
      </c>
      <c r="HE153" s="48">
        <f t="shared" si="1856"/>
        <v>0.60999999999999976</v>
      </c>
      <c r="HF153" s="48">
        <f t="shared" si="1856"/>
        <v>0.58999999999999975</v>
      </c>
      <c r="HG153" s="48">
        <f t="shared" si="1856"/>
        <v>0.56999999999999973</v>
      </c>
    </row>
    <row r="154" spans="1:215" ht="17.25" thickBot="1" x14ac:dyDescent="0.35">
      <c r="A154" s="2">
        <v>4</v>
      </c>
      <c r="C154" s="39" t="s">
        <v>156</v>
      </c>
      <c r="D154" s="45">
        <v>0</v>
      </c>
      <c r="E154" s="74">
        <f>TRUNC(+D154*3.3058,-1)</f>
        <v>0</v>
      </c>
      <c r="G154" s="48">
        <f t="shared" si="1758"/>
        <v>0</v>
      </c>
      <c r="H154" s="48">
        <f t="shared" si="1759"/>
        <v>0</v>
      </c>
      <c r="I154" s="51">
        <f t="shared" si="1760"/>
        <v>0</v>
      </c>
      <c r="J154" s="48">
        <f t="shared" si="1773"/>
        <v>0</v>
      </c>
      <c r="K154" s="51">
        <f t="shared" si="1774"/>
        <v>0</v>
      </c>
      <c r="L154" s="48">
        <f t="shared" si="1775"/>
        <v>0</v>
      </c>
      <c r="M154" s="51">
        <f t="shared" si="1776"/>
        <v>0</v>
      </c>
      <c r="N154" s="48">
        <f>+H154*BE154</f>
        <v>0</v>
      </c>
      <c r="O154" s="51">
        <f t="shared" si="1777"/>
        <v>0</v>
      </c>
      <c r="P154" s="52">
        <f>+H154*BF154</f>
        <v>0</v>
      </c>
      <c r="Q154" s="51">
        <f t="shared" si="1778"/>
        <v>0</v>
      </c>
      <c r="R154" s="48">
        <f>+H154*BG154</f>
        <v>0</v>
      </c>
      <c r="S154" s="51">
        <f t="shared" si="1779"/>
        <v>0</v>
      </c>
      <c r="T154" s="52">
        <f>+H154*BH154</f>
        <v>0</v>
      </c>
      <c r="U154" s="51">
        <f t="shared" si="1780"/>
        <v>0</v>
      </c>
      <c r="V154" s="53">
        <f>+H154*BI154</f>
        <v>0</v>
      </c>
      <c r="W154" s="51">
        <f t="shared" si="1781"/>
        <v>0</v>
      </c>
      <c r="X154" s="52">
        <f>+H154*BJ154</f>
        <v>0</v>
      </c>
      <c r="Y154" s="51">
        <f t="shared" si="1782"/>
        <v>0</v>
      </c>
      <c r="Z154" s="48">
        <f>+H154*BK154</f>
        <v>0</v>
      </c>
      <c r="AA154" s="51">
        <f t="shared" si="1783"/>
        <v>0</v>
      </c>
      <c r="AB154" s="53">
        <f>+H154*BL154</f>
        <v>0</v>
      </c>
      <c r="AC154" s="51">
        <f t="shared" si="1784"/>
        <v>0</v>
      </c>
      <c r="AD154" s="53">
        <f>+H154*BM154</f>
        <v>0</v>
      </c>
      <c r="AE154" s="51">
        <f t="shared" si="1785"/>
        <v>0</v>
      </c>
      <c r="AF154" s="53">
        <f>+H154*BN154</f>
        <v>0</v>
      </c>
      <c r="AG154" s="51">
        <f t="shared" si="1786"/>
        <v>0</v>
      </c>
      <c r="AH154" s="48">
        <f>+H154*BO154</f>
        <v>0</v>
      </c>
      <c r="AI154" s="51">
        <f t="shared" si="1787"/>
        <v>0</v>
      </c>
      <c r="AJ154" s="53">
        <f>+H154*BP154</f>
        <v>0</v>
      </c>
      <c r="AK154" s="51">
        <f t="shared" si="1788"/>
        <v>0</v>
      </c>
      <c r="AL154" s="53">
        <f>+H154*BQ154</f>
        <v>0</v>
      </c>
      <c r="AM154" s="51">
        <f t="shared" si="1789"/>
        <v>0</v>
      </c>
      <c r="AN154" s="53">
        <f>+H154*BR154</f>
        <v>0</v>
      </c>
      <c r="AO154" s="51">
        <f t="shared" si="1790"/>
        <v>0</v>
      </c>
      <c r="AP154" s="53">
        <f>+H154*BS154</f>
        <v>0</v>
      </c>
      <c r="AQ154" s="51">
        <f t="shared" si="1791"/>
        <v>0</v>
      </c>
      <c r="AR154" s="48">
        <f>+H154*BT154</f>
        <v>0</v>
      </c>
      <c r="AS154" s="51">
        <f t="shared" si="1792"/>
        <v>0</v>
      </c>
      <c r="AT154" s="53">
        <f>+H154*BU154</f>
        <v>0</v>
      </c>
      <c r="AU154" s="51">
        <f t="shared" si="1793"/>
        <v>0</v>
      </c>
      <c r="AV154" s="53">
        <f>+H154*BV154</f>
        <v>0</v>
      </c>
      <c r="AW154" s="51">
        <f t="shared" si="1794"/>
        <v>0</v>
      </c>
      <c r="AX154" s="48">
        <f>+H154*BW154</f>
        <v>0</v>
      </c>
      <c r="AY154" s="51">
        <f t="shared" si="1795"/>
        <v>0</v>
      </c>
      <c r="BB154" s="48">
        <v>1</v>
      </c>
      <c r="BC154" s="48">
        <v>0.97</v>
      </c>
      <c r="BD154" s="48">
        <v>0.95</v>
      </c>
      <c r="BE154" s="48">
        <v>0.93</v>
      </c>
      <c r="BF154" s="48">
        <f t="shared" ref="BF154:BW154" si="1857">+BE154-0.02</f>
        <v>0.91</v>
      </c>
      <c r="BG154" s="48">
        <f t="shared" si="1857"/>
        <v>0.89</v>
      </c>
      <c r="BH154" s="48">
        <f t="shared" si="1857"/>
        <v>0.87</v>
      </c>
      <c r="BI154" s="48">
        <f t="shared" si="1857"/>
        <v>0.85</v>
      </c>
      <c r="BJ154" s="48">
        <f t="shared" si="1857"/>
        <v>0.83</v>
      </c>
      <c r="BK154" s="48">
        <f t="shared" si="1857"/>
        <v>0.80999999999999994</v>
      </c>
      <c r="BL154" s="48">
        <f t="shared" si="1857"/>
        <v>0.78999999999999992</v>
      </c>
      <c r="BM154" s="48">
        <f t="shared" si="1857"/>
        <v>0.76999999999999991</v>
      </c>
      <c r="BN154" s="48">
        <f t="shared" si="1857"/>
        <v>0.74999999999999989</v>
      </c>
      <c r="BO154" s="48">
        <f t="shared" si="1857"/>
        <v>0.72999999999999987</v>
      </c>
      <c r="BP154" s="48">
        <f t="shared" si="1857"/>
        <v>0.70999999999999985</v>
      </c>
      <c r="BQ154" s="48">
        <f t="shared" si="1857"/>
        <v>0.68999999999999984</v>
      </c>
      <c r="BR154" s="48">
        <f t="shared" si="1857"/>
        <v>0.66999999999999982</v>
      </c>
      <c r="BS154" s="48">
        <f t="shared" si="1857"/>
        <v>0.6499999999999998</v>
      </c>
      <c r="BT154" s="48">
        <f t="shared" si="1857"/>
        <v>0.62999999999999978</v>
      </c>
      <c r="BU154" s="48">
        <f t="shared" si="1857"/>
        <v>0.60999999999999976</v>
      </c>
      <c r="BV154" s="48">
        <f t="shared" si="1857"/>
        <v>0.58999999999999975</v>
      </c>
      <c r="BW154" s="48">
        <f t="shared" si="1857"/>
        <v>0.56999999999999973</v>
      </c>
      <c r="BY154" s="48">
        <f t="shared" si="1762"/>
        <v>0</v>
      </c>
      <c r="BZ154" s="48">
        <f t="shared" si="1763"/>
        <v>0</v>
      </c>
      <c r="CA154" s="51">
        <f t="shared" ref="CA154" si="1858">+BZ154*3.3058</f>
        <v>0</v>
      </c>
      <c r="CB154" s="48">
        <f t="shared" si="1798"/>
        <v>0</v>
      </c>
      <c r="CC154" s="51">
        <f t="shared" si="1799"/>
        <v>0</v>
      </c>
      <c r="CD154" s="48">
        <f t="shared" si="1800"/>
        <v>0</v>
      </c>
      <c r="CE154" s="51">
        <f t="shared" si="1801"/>
        <v>0</v>
      </c>
      <c r="CF154" s="48">
        <f>+BZ154*DW154</f>
        <v>0</v>
      </c>
      <c r="CG154" s="51">
        <f t="shared" si="1802"/>
        <v>0</v>
      </c>
      <c r="CH154" s="52">
        <f>+BZ154*DX154</f>
        <v>0</v>
      </c>
      <c r="CI154" s="51">
        <f t="shared" si="1803"/>
        <v>0</v>
      </c>
      <c r="CJ154" s="48">
        <f>+BZ154*DY154</f>
        <v>0</v>
      </c>
      <c r="CK154" s="51">
        <f t="shared" si="1804"/>
        <v>0</v>
      </c>
      <c r="CL154" s="52">
        <f>+BZ154*DZ154</f>
        <v>0</v>
      </c>
      <c r="CM154" s="51">
        <f t="shared" si="1805"/>
        <v>0</v>
      </c>
      <c r="CN154" s="53">
        <f>+BZ154*EA154</f>
        <v>0</v>
      </c>
      <c r="CO154" s="51">
        <f t="shared" si="1806"/>
        <v>0</v>
      </c>
      <c r="CP154" s="52">
        <f>+BZ154*EB154</f>
        <v>0</v>
      </c>
      <c r="CQ154" s="51">
        <f t="shared" si="1807"/>
        <v>0</v>
      </c>
      <c r="CR154" s="48">
        <f>+BZ154*EC154</f>
        <v>0</v>
      </c>
      <c r="CS154" s="51">
        <f t="shared" si="1808"/>
        <v>0</v>
      </c>
      <c r="CT154" s="53">
        <f>+BZ154*ED154</f>
        <v>0</v>
      </c>
      <c r="CU154" s="51">
        <f t="shared" si="1809"/>
        <v>0</v>
      </c>
      <c r="CV154" s="53">
        <f>+BZ154*EE154</f>
        <v>0</v>
      </c>
      <c r="CW154" s="51">
        <f t="shared" si="1810"/>
        <v>0</v>
      </c>
      <c r="CX154" s="53">
        <f>+BZ154*EF154</f>
        <v>0</v>
      </c>
      <c r="CY154" s="51">
        <f t="shared" si="1811"/>
        <v>0</v>
      </c>
      <c r="CZ154" s="48">
        <f>+BZ154*EG154</f>
        <v>0</v>
      </c>
      <c r="DA154" s="51">
        <f t="shared" si="1812"/>
        <v>0</v>
      </c>
      <c r="DB154" s="53">
        <f>+BZ154*EH154</f>
        <v>0</v>
      </c>
      <c r="DC154" s="51">
        <f t="shared" si="1813"/>
        <v>0</v>
      </c>
      <c r="DD154" s="53">
        <f>+BZ154*EI154</f>
        <v>0</v>
      </c>
      <c r="DE154" s="51">
        <f t="shared" si="1814"/>
        <v>0</v>
      </c>
      <c r="DF154" s="53">
        <f>+BZ154*EJ154</f>
        <v>0</v>
      </c>
      <c r="DG154" s="51">
        <f t="shared" si="1815"/>
        <v>0</v>
      </c>
      <c r="DH154" s="53">
        <f>+BZ154*EK154</f>
        <v>0</v>
      </c>
      <c r="DI154" s="51">
        <f t="shared" si="1816"/>
        <v>0</v>
      </c>
      <c r="DJ154" s="48">
        <f>+BZ154*EL154</f>
        <v>0</v>
      </c>
      <c r="DK154" s="51">
        <f t="shared" si="1817"/>
        <v>0</v>
      </c>
      <c r="DL154" s="53">
        <f>+BZ154*EM154</f>
        <v>0</v>
      </c>
      <c r="DM154" s="51">
        <f t="shared" si="1818"/>
        <v>0</v>
      </c>
      <c r="DN154" s="53">
        <f>+BZ154*EN154</f>
        <v>0</v>
      </c>
      <c r="DO154" s="51">
        <f t="shared" si="1819"/>
        <v>0</v>
      </c>
      <c r="DP154" s="48">
        <f>+BZ154*EO154</f>
        <v>0</v>
      </c>
      <c r="DQ154" s="51">
        <f t="shared" si="1820"/>
        <v>0</v>
      </c>
      <c r="DT154" s="48">
        <v>1</v>
      </c>
      <c r="DU154" s="48">
        <v>0.97</v>
      </c>
      <c r="DV154" s="48">
        <v>0.95</v>
      </c>
      <c r="DW154" s="48">
        <v>0.93</v>
      </c>
      <c r="DX154" s="48">
        <f t="shared" ref="DX154:EO154" si="1859">+DW154-0.02</f>
        <v>0.91</v>
      </c>
      <c r="DY154" s="48">
        <f t="shared" si="1859"/>
        <v>0.89</v>
      </c>
      <c r="DZ154" s="48">
        <f t="shared" si="1859"/>
        <v>0.87</v>
      </c>
      <c r="EA154" s="48">
        <f t="shared" si="1859"/>
        <v>0.85</v>
      </c>
      <c r="EB154" s="48">
        <f t="shared" si="1859"/>
        <v>0.83</v>
      </c>
      <c r="EC154" s="48">
        <f t="shared" si="1859"/>
        <v>0.80999999999999994</v>
      </c>
      <c r="ED154" s="48">
        <f t="shared" si="1859"/>
        <v>0.78999999999999992</v>
      </c>
      <c r="EE154" s="48">
        <f t="shared" si="1859"/>
        <v>0.76999999999999991</v>
      </c>
      <c r="EF154" s="48">
        <f t="shared" si="1859"/>
        <v>0.74999999999999989</v>
      </c>
      <c r="EG154" s="48">
        <f t="shared" si="1859"/>
        <v>0.72999999999999987</v>
      </c>
      <c r="EH154" s="48">
        <f t="shared" si="1859"/>
        <v>0.70999999999999985</v>
      </c>
      <c r="EI154" s="48">
        <f t="shared" si="1859"/>
        <v>0.68999999999999984</v>
      </c>
      <c r="EJ154" s="48">
        <f t="shared" si="1859"/>
        <v>0.66999999999999982</v>
      </c>
      <c r="EK154" s="48">
        <f t="shared" si="1859"/>
        <v>0.6499999999999998</v>
      </c>
      <c r="EL154" s="48">
        <f t="shared" si="1859"/>
        <v>0.62999999999999978</v>
      </c>
      <c r="EM154" s="48">
        <f t="shared" si="1859"/>
        <v>0.60999999999999976</v>
      </c>
      <c r="EN154" s="48">
        <f t="shared" si="1859"/>
        <v>0.58999999999999975</v>
      </c>
      <c r="EO154" s="48">
        <f t="shared" si="1859"/>
        <v>0.56999999999999973</v>
      </c>
      <c r="EQ154" s="48">
        <f t="shared" si="1128"/>
        <v>0</v>
      </c>
      <c r="ER154" s="48">
        <f t="shared" si="1766"/>
        <v>0</v>
      </c>
      <c r="ES154" s="51">
        <f t="shared" ref="ES154" si="1860">+ER154*3.3058</f>
        <v>0</v>
      </c>
      <c r="ET154" s="48">
        <f t="shared" si="1823"/>
        <v>0</v>
      </c>
      <c r="EU154" s="51">
        <f t="shared" si="1824"/>
        <v>0</v>
      </c>
      <c r="EV154" s="48">
        <f t="shared" si="1825"/>
        <v>0</v>
      </c>
      <c r="EW154" s="51">
        <f t="shared" si="1826"/>
        <v>0</v>
      </c>
      <c r="EX154" s="48">
        <f>+ER154*GO154</f>
        <v>0</v>
      </c>
      <c r="EY154" s="51">
        <f t="shared" si="1827"/>
        <v>0</v>
      </c>
      <c r="EZ154" s="52">
        <f>+ER154*GP154</f>
        <v>0</v>
      </c>
      <c r="FA154" s="51">
        <f t="shared" si="1828"/>
        <v>0</v>
      </c>
      <c r="FB154" s="48">
        <f>+ER154*GQ154</f>
        <v>0</v>
      </c>
      <c r="FC154" s="51">
        <f t="shared" si="1829"/>
        <v>0</v>
      </c>
      <c r="FD154" s="52">
        <f>+ER154*GR154</f>
        <v>0</v>
      </c>
      <c r="FE154" s="51">
        <f t="shared" si="1830"/>
        <v>0</v>
      </c>
      <c r="FF154" s="53">
        <f>+ER154*GS154</f>
        <v>0</v>
      </c>
      <c r="FG154" s="51">
        <f t="shared" si="1831"/>
        <v>0</v>
      </c>
      <c r="FH154" s="52">
        <f>+ER154*GT154</f>
        <v>0</v>
      </c>
      <c r="FI154" s="51">
        <f t="shared" si="1832"/>
        <v>0</v>
      </c>
      <c r="FJ154" s="48">
        <f>+ER154*GU154</f>
        <v>0</v>
      </c>
      <c r="FK154" s="51">
        <f t="shared" si="1833"/>
        <v>0</v>
      </c>
      <c r="FL154" s="53">
        <f>+ER154*GV154</f>
        <v>0</v>
      </c>
      <c r="FM154" s="51">
        <f t="shared" si="1834"/>
        <v>0</v>
      </c>
      <c r="FN154" s="53">
        <f>+ER154*GW154</f>
        <v>0</v>
      </c>
      <c r="FO154" s="51">
        <f t="shared" si="1835"/>
        <v>0</v>
      </c>
      <c r="FP154" s="53">
        <f>+ER154*GX154</f>
        <v>0</v>
      </c>
      <c r="FQ154" s="51">
        <f t="shared" si="1836"/>
        <v>0</v>
      </c>
      <c r="FR154" s="48">
        <f>+ER154*GY154</f>
        <v>0</v>
      </c>
      <c r="FS154" s="51">
        <f t="shared" si="1837"/>
        <v>0</v>
      </c>
      <c r="FT154" s="53">
        <f>+ER154*GZ154</f>
        <v>0</v>
      </c>
      <c r="FU154" s="51">
        <f t="shared" si="1838"/>
        <v>0</v>
      </c>
      <c r="FV154" s="53">
        <f>+ER154*HA154</f>
        <v>0</v>
      </c>
      <c r="FW154" s="51">
        <f t="shared" si="1839"/>
        <v>0</v>
      </c>
      <c r="FX154" s="53">
        <f>+ER154*HB154</f>
        <v>0</v>
      </c>
      <c r="FY154" s="51">
        <f t="shared" si="1840"/>
        <v>0</v>
      </c>
      <c r="FZ154" s="53">
        <f>+ER154*HC154</f>
        <v>0</v>
      </c>
      <c r="GA154" s="51">
        <f t="shared" si="1841"/>
        <v>0</v>
      </c>
      <c r="GB154" s="48">
        <f>+ER154*HD154</f>
        <v>0</v>
      </c>
      <c r="GC154" s="51">
        <f t="shared" si="1842"/>
        <v>0</v>
      </c>
      <c r="GD154" s="53">
        <f>+ER154*HE154</f>
        <v>0</v>
      </c>
      <c r="GE154" s="51">
        <f t="shared" si="1843"/>
        <v>0</v>
      </c>
      <c r="GF154" s="53">
        <f>+ER154*HF154</f>
        <v>0</v>
      </c>
      <c r="GG154" s="51">
        <f t="shared" si="1844"/>
        <v>0</v>
      </c>
      <c r="GH154" s="48">
        <f>+ER154*HG154</f>
        <v>0</v>
      </c>
      <c r="GI154" s="51">
        <f t="shared" si="1845"/>
        <v>0</v>
      </c>
      <c r="GJ154" s="48"/>
      <c r="GK154" s="48"/>
      <c r="GL154" s="48">
        <v>1</v>
      </c>
      <c r="GM154" s="48">
        <v>0.97</v>
      </c>
      <c r="GN154" s="48">
        <v>0.95</v>
      </c>
      <c r="GO154" s="48">
        <v>0.93</v>
      </c>
      <c r="GP154" s="48">
        <f t="shared" ref="GP154:HG154" si="1861">+GO154-0.02</f>
        <v>0.91</v>
      </c>
      <c r="GQ154" s="48">
        <f t="shared" si="1861"/>
        <v>0.89</v>
      </c>
      <c r="GR154" s="48">
        <f t="shared" si="1861"/>
        <v>0.87</v>
      </c>
      <c r="GS154" s="48">
        <f t="shared" si="1861"/>
        <v>0.85</v>
      </c>
      <c r="GT154" s="48">
        <f t="shared" si="1861"/>
        <v>0.83</v>
      </c>
      <c r="GU154" s="48">
        <f t="shared" si="1861"/>
        <v>0.80999999999999994</v>
      </c>
      <c r="GV154" s="48">
        <f t="shared" si="1861"/>
        <v>0.78999999999999992</v>
      </c>
      <c r="GW154" s="48">
        <f t="shared" si="1861"/>
        <v>0.76999999999999991</v>
      </c>
      <c r="GX154" s="48">
        <f t="shared" si="1861"/>
        <v>0.74999999999999989</v>
      </c>
      <c r="GY154" s="48">
        <f t="shared" si="1861"/>
        <v>0.72999999999999987</v>
      </c>
      <c r="GZ154" s="48">
        <f t="shared" si="1861"/>
        <v>0.70999999999999985</v>
      </c>
      <c r="HA154" s="48">
        <f t="shared" si="1861"/>
        <v>0.68999999999999984</v>
      </c>
      <c r="HB154" s="48">
        <f t="shared" si="1861"/>
        <v>0.66999999999999982</v>
      </c>
      <c r="HC154" s="48">
        <f t="shared" si="1861"/>
        <v>0.6499999999999998</v>
      </c>
      <c r="HD154" s="48">
        <f t="shared" si="1861"/>
        <v>0.62999999999999978</v>
      </c>
      <c r="HE154" s="48">
        <f t="shared" si="1861"/>
        <v>0.60999999999999976</v>
      </c>
      <c r="HF154" s="48">
        <f t="shared" si="1861"/>
        <v>0.58999999999999975</v>
      </c>
      <c r="HG154" s="48">
        <f t="shared" si="1861"/>
        <v>0.56999999999999973</v>
      </c>
    </row>
    <row r="155" spans="1:215" x14ac:dyDescent="0.3">
      <c r="A155" s="2">
        <v>5</v>
      </c>
      <c r="C155" s="27" t="s">
        <v>158</v>
      </c>
      <c r="D155" s="40">
        <f>SUM(D151:D154)</f>
        <v>44810</v>
      </c>
      <c r="E155" s="40">
        <f>SUM(E150:E154)</f>
        <v>148120</v>
      </c>
      <c r="G155" s="48">
        <f t="shared" si="1758"/>
        <v>49291.000000000007</v>
      </c>
      <c r="H155" s="48">
        <f t="shared" si="1759"/>
        <v>49291.000000000007</v>
      </c>
      <c r="I155" s="51">
        <f t="shared" si="1760"/>
        <v>162946.18780000001</v>
      </c>
      <c r="J155" s="48">
        <f t="shared" si="1773"/>
        <v>47812.270000000004</v>
      </c>
      <c r="K155" s="51">
        <f t="shared" si="1774"/>
        <v>158057.80216600001</v>
      </c>
      <c r="L155" s="48">
        <f t="shared" si="1775"/>
        <v>46826.450000000004</v>
      </c>
      <c r="M155" s="51">
        <f t="shared" si="1776"/>
        <v>154798.87841</v>
      </c>
      <c r="N155" s="48">
        <f>+H155*BE155</f>
        <v>45840.630000000012</v>
      </c>
      <c r="O155" s="51">
        <f t="shared" si="1777"/>
        <v>151539.95465400003</v>
      </c>
      <c r="P155" s="52">
        <f>+H155*BF155</f>
        <v>44854.810000000005</v>
      </c>
      <c r="Q155" s="51">
        <f t="shared" si="1778"/>
        <v>148281.03089800003</v>
      </c>
      <c r="R155" s="48">
        <f>+H155*BG155</f>
        <v>43868.990000000005</v>
      </c>
      <c r="S155" s="51">
        <f t="shared" si="1779"/>
        <v>145022.10714200002</v>
      </c>
      <c r="T155" s="52">
        <f>+H155*BH155</f>
        <v>42883.170000000006</v>
      </c>
      <c r="U155" s="51">
        <f t="shared" si="1780"/>
        <v>141763.18338600002</v>
      </c>
      <c r="V155" s="53">
        <f>+H155*BI155</f>
        <v>41897.350000000006</v>
      </c>
      <c r="W155" s="51">
        <f t="shared" si="1781"/>
        <v>138504.25963000002</v>
      </c>
      <c r="X155" s="52">
        <f>+H155*BJ155</f>
        <v>40911.530000000006</v>
      </c>
      <c r="Y155" s="51">
        <f t="shared" si="1782"/>
        <v>135245.33587400001</v>
      </c>
      <c r="Z155" s="48">
        <f>+H155*BK155</f>
        <v>39925.710000000006</v>
      </c>
      <c r="AA155" s="51">
        <f t="shared" si="1783"/>
        <v>131986.41211800004</v>
      </c>
      <c r="AB155" s="53">
        <f>+H155*BL155</f>
        <v>38939.89</v>
      </c>
      <c r="AC155" s="51">
        <f t="shared" si="1784"/>
        <v>128727.488362</v>
      </c>
      <c r="AD155" s="53">
        <f>+H155*BM155</f>
        <v>37954.07</v>
      </c>
      <c r="AE155" s="51">
        <f t="shared" si="1785"/>
        <v>125468.564606</v>
      </c>
      <c r="AF155" s="53">
        <f>+H155*BN155</f>
        <v>36968.25</v>
      </c>
      <c r="AG155" s="51">
        <f t="shared" si="1786"/>
        <v>122209.64085</v>
      </c>
      <c r="AH155" s="48">
        <f>+H155*BO155</f>
        <v>35982.43</v>
      </c>
      <c r="AI155" s="51">
        <f t="shared" si="1787"/>
        <v>118950.71709400001</v>
      </c>
      <c r="AJ155" s="53">
        <f>+H155*BP155</f>
        <v>34996.61</v>
      </c>
      <c r="AK155" s="51">
        <f t="shared" si="1788"/>
        <v>115691.793338</v>
      </c>
      <c r="AL155" s="53">
        <f>+H155*BQ155</f>
        <v>34010.789999999994</v>
      </c>
      <c r="AM155" s="51">
        <f t="shared" si="1789"/>
        <v>112432.86958199998</v>
      </c>
      <c r="AN155" s="53">
        <f>+H155*BR155</f>
        <v>33024.969999999994</v>
      </c>
      <c r="AO155" s="51">
        <f t="shared" si="1790"/>
        <v>109173.94582599998</v>
      </c>
      <c r="AP155" s="53">
        <f>+H155*BS155</f>
        <v>32039.149999999994</v>
      </c>
      <c r="AQ155" s="51">
        <f t="shared" si="1791"/>
        <v>105915.02206999998</v>
      </c>
      <c r="AR155" s="48">
        <f>+H155*BT155</f>
        <v>31053.329999999994</v>
      </c>
      <c r="AS155" s="51">
        <f t="shared" si="1792"/>
        <v>102656.09831399999</v>
      </c>
      <c r="AT155" s="53">
        <f>+H155*BU155</f>
        <v>30067.509999999991</v>
      </c>
      <c r="AU155" s="51">
        <f t="shared" si="1793"/>
        <v>99397.17455799997</v>
      </c>
      <c r="AV155" s="53">
        <f>+H155*BV155</f>
        <v>29081.689999999991</v>
      </c>
      <c r="AW155" s="51">
        <f t="shared" si="1794"/>
        <v>96138.25080199998</v>
      </c>
      <c r="AX155" s="48">
        <f>+H155*BW155</f>
        <v>28095.869999999992</v>
      </c>
      <c r="AY155" s="51">
        <f t="shared" si="1795"/>
        <v>92879.327045999977</v>
      </c>
      <c r="BB155" s="48">
        <v>1</v>
      </c>
      <c r="BC155" s="48">
        <v>0.97</v>
      </c>
      <c r="BD155" s="48">
        <v>0.95</v>
      </c>
      <c r="BE155" s="48">
        <v>0.93</v>
      </c>
      <c r="BF155" s="48">
        <f t="shared" ref="BF155:BW155" si="1862">+BE155-0.02</f>
        <v>0.91</v>
      </c>
      <c r="BG155" s="48">
        <f t="shared" si="1862"/>
        <v>0.89</v>
      </c>
      <c r="BH155" s="48">
        <f t="shared" si="1862"/>
        <v>0.87</v>
      </c>
      <c r="BI155" s="48">
        <f t="shared" si="1862"/>
        <v>0.85</v>
      </c>
      <c r="BJ155" s="48">
        <f t="shared" si="1862"/>
        <v>0.83</v>
      </c>
      <c r="BK155" s="48">
        <f t="shared" si="1862"/>
        <v>0.80999999999999994</v>
      </c>
      <c r="BL155" s="48">
        <f t="shared" si="1862"/>
        <v>0.78999999999999992</v>
      </c>
      <c r="BM155" s="48">
        <f t="shared" si="1862"/>
        <v>0.76999999999999991</v>
      </c>
      <c r="BN155" s="48">
        <f t="shared" si="1862"/>
        <v>0.74999999999999989</v>
      </c>
      <c r="BO155" s="48">
        <f t="shared" si="1862"/>
        <v>0.72999999999999987</v>
      </c>
      <c r="BP155" s="48">
        <f t="shared" si="1862"/>
        <v>0.70999999999999985</v>
      </c>
      <c r="BQ155" s="48">
        <f t="shared" si="1862"/>
        <v>0.68999999999999984</v>
      </c>
      <c r="BR155" s="48">
        <f t="shared" si="1862"/>
        <v>0.66999999999999982</v>
      </c>
      <c r="BS155" s="48">
        <f t="shared" si="1862"/>
        <v>0.6499999999999998</v>
      </c>
      <c r="BT155" s="48">
        <f t="shared" si="1862"/>
        <v>0.62999999999999978</v>
      </c>
      <c r="BU155" s="48">
        <f t="shared" si="1862"/>
        <v>0.60999999999999976</v>
      </c>
      <c r="BV155" s="48">
        <f t="shared" si="1862"/>
        <v>0.58999999999999975</v>
      </c>
      <c r="BW155" s="48">
        <f t="shared" si="1862"/>
        <v>0.56999999999999973</v>
      </c>
      <c r="BY155" s="48">
        <f t="shared" si="1762"/>
        <v>44854.810000000005</v>
      </c>
      <c r="BZ155" s="48">
        <f t="shared" si="1763"/>
        <v>44854.810000000005</v>
      </c>
      <c r="CA155" s="51">
        <f t="shared" ref="CA155" si="1863">+BZ155*3.3058</f>
        <v>148281.03089800003</v>
      </c>
      <c r="CB155" s="48">
        <f t="shared" si="1798"/>
        <v>43509.165700000005</v>
      </c>
      <c r="CC155" s="51">
        <f t="shared" si="1799"/>
        <v>143832.59997106003</v>
      </c>
      <c r="CD155" s="48">
        <f t="shared" si="1800"/>
        <v>42612.069500000005</v>
      </c>
      <c r="CE155" s="51">
        <f t="shared" si="1801"/>
        <v>140866.97935310003</v>
      </c>
      <c r="CF155" s="48">
        <f>+BZ155*DW155</f>
        <v>41714.973300000005</v>
      </c>
      <c r="CG155" s="51">
        <f t="shared" si="1802"/>
        <v>137901.35873514001</v>
      </c>
      <c r="CH155" s="52">
        <f>+BZ155*DX155</f>
        <v>40817.877100000005</v>
      </c>
      <c r="CI155" s="51">
        <f t="shared" si="1803"/>
        <v>134935.73811718001</v>
      </c>
      <c r="CJ155" s="48">
        <f>+BZ155*DY155</f>
        <v>39920.780900000005</v>
      </c>
      <c r="CK155" s="51">
        <f t="shared" si="1804"/>
        <v>131970.11749922001</v>
      </c>
      <c r="CL155" s="52">
        <f>+BZ155*DZ155</f>
        <v>39023.684700000005</v>
      </c>
      <c r="CM155" s="51">
        <f t="shared" si="1805"/>
        <v>129004.49688126003</v>
      </c>
      <c r="CN155" s="53">
        <f>+BZ155*EA155</f>
        <v>38126.588500000005</v>
      </c>
      <c r="CO155" s="51">
        <f t="shared" si="1806"/>
        <v>126038.87626330002</v>
      </c>
      <c r="CP155" s="52">
        <f>+BZ155*EB155</f>
        <v>37229.492300000005</v>
      </c>
      <c r="CQ155" s="51">
        <f t="shared" si="1807"/>
        <v>123073.25564534002</v>
      </c>
      <c r="CR155" s="48">
        <f>+BZ155*EC155</f>
        <v>36332.396099999998</v>
      </c>
      <c r="CS155" s="51">
        <f t="shared" si="1808"/>
        <v>120107.63502737999</v>
      </c>
      <c r="CT155" s="53">
        <f>+BZ155*ED155</f>
        <v>35435.299899999998</v>
      </c>
      <c r="CU155" s="51">
        <f t="shared" si="1809"/>
        <v>117142.01440941999</v>
      </c>
      <c r="CV155" s="53">
        <f>+BZ155*EE155</f>
        <v>34538.203699999998</v>
      </c>
      <c r="CW155" s="51">
        <f t="shared" si="1810"/>
        <v>114176.39379146</v>
      </c>
      <c r="CX155" s="53">
        <f>+BZ155*EF155</f>
        <v>33641.107499999998</v>
      </c>
      <c r="CY155" s="51">
        <f t="shared" si="1811"/>
        <v>111210.7731735</v>
      </c>
      <c r="CZ155" s="48">
        <f>+BZ155*EG155</f>
        <v>32744.011299999998</v>
      </c>
      <c r="DA155" s="51">
        <f t="shared" si="1812"/>
        <v>108245.15255554</v>
      </c>
      <c r="DB155" s="53">
        <f>+BZ155*EH155</f>
        <v>31846.915099999998</v>
      </c>
      <c r="DC155" s="51">
        <f t="shared" si="1813"/>
        <v>105279.53193758</v>
      </c>
      <c r="DD155" s="53">
        <f>+BZ155*EI155</f>
        <v>30949.818899999995</v>
      </c>
      <c r="DE155" s="51">
        <f t="shared" si="1814"/>
        <v>102313.91131961999</v>
      </c>
      <c r="DF155" s="53">
        <f>+BZ155*EJ155</f>
        <v>30052.722699999995</v>
      </c>
      <c r="DG155" s="51">
        <f t="shared" si="1815"/>
        <v>99348.290701659978</v>
      </c>
      <c r="DH155" s="53">
        <f>+BZ155*EK155</f>
        <v>29155.626499999995</v>
      </c>
      <c r="DI155" s="51">
        <f t="shared" si="1816"/>
        <v>96382.670083699981</v>
      </c>
      <c r="DJ155" s="48">
        <f>+BZ155*EL155</f>
        <v>28258.530299999995</v>
      </c>
      <c r="DK155" s="51">
        <f t="shared" si="1817"/>
        <v>93417.049465739983</v>
      </c>
      <c r="DL155" s="53">
        <f>+BZ155*EM155</f>
        <v>27361.434099999991</v>
      </c>
      <c r="DM155" s="51">
        <f t="shared" si="1818"/>
        <v>90451.428847779971</v>
      </c>
      <c r="DN155" s="53">
        <f>+BZ155*EN155</f>
        <v>26464.337899999991</v>
      </c>
      <c r="DO155" s="51">
        <f t="shared" si="1819"/>
        <v>87485.808229819973</v>
      </c>
      <c r="DP155" s="48">
        <f>+BZ155*EO155</f>
        <v>25567.241699999991</v>
      </c>
      <c r="DQ155" s="51">
        <f t="shared" si="1820"/>
        <v>84520.187611859976</v>
      </c>
      <c r="DT155" s="48">
        <v>1</v>
      </c>
      <c r="DU155" s="48">
        <v>0.97</v>
      </c>
      <c r="DV155" s="48">
        <v>0.95</v>
      </c>
      <c r="DW155" s="48">
        <v>0.93</v>
      </c>
      <c r="DX155" s="48">
        <f t="shared" ref="DX155:EO155" si="1864">+DW155-0.02</f>
        <v>0.91</v>
      </c>
      <c r="DY155" s="48">
        <f t="shared" si="1864"/>
        <v>0.89</v>
      </c>
      <c r="DZ155" s="48">
        <f t="shared" si="1864"/>
        <v>0.87</v>
      </c>
      <c r="EA155" s="48">
        <f t="shared" si="1864"/>
        <v>0.85</v>
      </c>
      <c r="EB155" s="48">
        <f t="shared" si="1864"/>
        <v>0.83</v>
      </c>
      <c r="EC155" s="48">
        <f t="shared" si="1864"/>
        <v>0.80999999999999994</v>
      </c>
      <c r="ED155" s="48">
        <f t="shared" si="1864"/>
        <v>0.78999999999999992</v>
      </c>
      <c r="EE155" s="48">
        <f t="shared" si="1864"/>
        <v>0.76999999999999991</v>
      </c>
      <c r="EF155" s="48">
        <f t="shared" si="1864"/>
        <v>0.74999999999999989</v>
      </c>
      <c r="EG155" s="48">
        <f t="shared" si="1864"/>
        <v>0.72999999999999987</v>
      </c>
      <c r="EH155" s="48">
        <f t="shared" si="1864"/>
        <v>0.70999999999999985</v>
      </c>
      <c r="EI155" s="48">
        <f t="shared" si="1864"/>
        <v>0.68999999999999984</v>
      </c>
      <c r="EJ155" s="48">
        <f t="shared" si="1864"/>
        <v>0.66999999999999982</v>
      </c>
      <c r="EK155" s="48">
        <f t="shared" si="1864"/>
        <v>0.6499999999999998</v>
      </c>
      <c r="EL155" s="48">
        <f t="shared" si="1864"/>
        <v>0.62999999999999978</v>
      </c>
      <c r="EM155" s="48">
        <f t="shared" si="1864"/>
        <v>0.60999999999999976</v>
      </c>
      <c r="EN155" s="48">
        <f t="shared" si="1864"/>
        <v>0.58999999999999975</v>
      </c>
      <c r="EO155" s="48">
        <f t="shared" si="1864"/>
        <v>0.56999999999999973</v>
      </c>
      <c r="EQ155" s="48">
        <f t="shared" si="1128"/>
        <v>40817.877100000005</v>
      </c>
      <c r="ER155" s="48">
        <f t="shared" si="1766"/>
        <v>40817.877100000005</v>
      </c>
      <c r="ES155" s="51">
        <f t="shared" ref="ES155" si="1865">+ER155*3.3058</f>
        <v>134935.73811718001</v>
      </c>
      <c r="ET155" s="48">
        <f t="shared" si="1823"/>
        <v>39593.340787000001</v>
      </c>
      <c r="EU155" s="51">
        <f t="shared" si="1824"/>
        <v>130887.66597366461</v>
      </c>
      <c r="EV155" s="48">
        <f t="shared" si="1825"/>
        <v>38776.983245000003</v>
      </c>
      <c r="EW155" s="51">
        <f t="shared" si="1826"/>
        <v>128188.95121132101</v>
      </c>
      <c r="EX155" s="48">
        <f>+ER155*GO155</f>
        <v>37960.625703000005</v>
      </c>
      <c r="EY155" s="51">
        <f t="shared" si="1827"/>
        <v>125490.23644897742</v>
      </c>
      <c r="EZ155" s="52">
        <f>+ER155*GP155</f>
        <v>37144.268161000007</v>
      </c>
      <c r="FA155" s="51">
        <f t="shared" si="1828"/>
        <v>122791.52168663383</v>
      </c>
      <c r="FB155" s="48">
        <f>+ER155*GQ155</f>
        <v>36327.910619000002</v>
      </c>
      <c r="FC155" s="51">
        <f t="shared" si="1829"/>
        <v>120092.80692429021</v>
      </c>
      <c r="FD155" s="52">
        <f>+ER155*GR155</f>
        <v>35511.553077000004</v>
      </c>
      <c r="FE155" s="51">
        <f t="shared" si="1830"/>
        <v>117394.09216194661</v>
      </c>
      <c r="FF155" s="53">
        <f>+ER155*GS155</f>
        <v>34695.195535000006</v>
      </c>
      <c r="FG155" s="51">
        <f t="shared" si="1831"/>
        <v>114695.37739960302</v>
      </c>
      <c r="FH155" s="52">
        <f>+ER155*GT155</f>
        <v>33878.837993000001</v>
      </c>
      <c r="FI155" s="51">
        <f t="shared" si="1832"/>
        <v>111996.6626372594</v>
      </c>
      <c r="FJ155" s="48">
        <f>+ER155*GU155</f>
        <v>33062.480451000003</v>
      </c>
      <c r="FK155" s="51">
        <f t="shared" si="1833"/>
        <v>109297.94787491582</v>
      </c>
      <c r="FL155" s="53">
        <f>+ER155*GV155</f>
        <v>32246.122909000002</v>
      </c>
      <c r="FM155" s="51">
        <f t="shared" si="1834"/>
        <v>106599.23311257221</v>
      </c>
      <c r="FN155" s="53">
        <f>+ER155*GW155</f>
        <v>31429.765367</v>
      </c>
      <c r="FO155" s="51">
        <f t="shared" si="1835"/>
        <v>103900.51835022861</v>
      </c>
      <c r="FP155" s="53">
        <f>+ER155*GX155</f>
        <v>30613.407824999998</v>
      </c>
      <c r="FQ155" s="51">
        <f t="shared" si="1836"/>
        <v>101201.80358788499</v>
      </c>
      <c r="FR155" s="48">
        <f>+ER155*GY155</f>
        <v>29797.050282999997</v>
      </c>
      <c r="FS155" s="51">
        <f t="shared" si="1837"/>
        <v>98503.088825541388</v>
      </c>
      <c r="FT155" s="53">
        <f>+ER155*GZ155</f>
        <v>28980.692740999999</v>
      </c>
      <c r="FU155" s="51">
        <f t="shared" si="1838"/>
        <v>95804.3740631978</v>
      </c>
      <c r="FV155" s="53">
        <f>+ER155*HA155</f>
        <v>28164.335198999997</v>
      </c>
      <c r="FW155" s="51">
        <f t="shared" si="1839"/>
        <v>93105.659300854197</v>
      </c>
      <c r="FX155" s="53">
        <f>+ER155*HB155</f>
        <v>27347.977656999996</v>
      </c>
      <c r="FY155" s="51">
        <f t="shared" si="1840"/>
        <v>90406.944538510594</v>
      </c>
      <c r="FZ155" s="53">
        <f>+ER155*HC155</f>
        <v>26531.620114999994</v>
      </c>
      <c r="GA155" s="51">
        <f t="shared" si="1841"/>
        <v>87708.229776166976</v>
      </c>
      <c r="GB155" s="48">
        <f>+ER155*HD155</f>
        <v>25715.262572999993</v>
      </c>
      <c r="GC155" s="51">
        <f t="shared" si="1842"/>
        <v>85009.515013823373</v>
      </c>
      <c r="GD155" s="53">
        <f>+ER155*HE155</f>
        <v>24898.905030999995</v>
      </c>
      <c r="GE155" s="51">
        <f t="shared" si="1843"/>
        <v>82310.800251479784</v>
      </c>
      <c r="GF155" s="53">
        <f>+ER155*HF155</f>
        <v>24082.547488999993</v>
      </c>
      <c r="GG155" s="51">
        <f t="shared" si="1844"/>
        <v>79612.085489136181</v>
      </c>
      <c r="GH155" s="48">
        <f>+ER155*HG155</f>
        <v>23266.189946999992</v>
      </c>
      <c r="GI155" s="51">
        <f t="shared" si="1845"/>
        <v>76913.370726792578</v>
      </c>
      <c r="GJ155" s="48"/>
      <c r="GK155" s="48"/>
      <c r="GL155" s="48">
        <v>1</v>
      </c>
      <c r="GM155" s="48">
        <v>0.97</v>
      </c>
      <c r="GN155" s="48">
        <v>0.95</v>
      </c>
      <c r="GO155" s="48">
        <v>0.93</v>
      </c>
      <c r="GP155" s="48">
        <f t="shared" ref="GP155:HG155" si="1866">+GO155-0.02</f>
        <v>0.91</v>
      </c>
      <c r="GQ155" s="48">
        <f t="shared" si="1866"/>
        <v>0.89</v>
      </c>
      <c r="GR155" s="48">
        <f t="shared" si="1866"/>
        <v>0.87</v>
      </c>
      <c r="GS155" s="48">
        <f t="shared" si="1866"/>
        <v>0.85</v>
      </c>
      <c r="GT155" s="48">
        <f t="shared" si="1866"/>
        <v>0.83</v>
      </c>
      <c r="GU155" s="48">
        <f t="shared" si="1866"/>
        <v>0.80999999999999994</v>
      </c>
      <c r="GV155" s="48">
        <f t="shared" si="1866"/>
        <v>0.78999999999999992</v>
      </c>
      <c r="GW155" s="48">
        <f t="shared" si="1866"/>
        <v>0.76999999999999991</v>
      </c>
      <c r="GX155" s="48">
        <f t="shared" si="1866"/>
        <v>0.74999999999999989</v>
      </c>
      <c r="GY155" s="48">
        <f t="shared" si="1866"/>
        <v>0.72999999999999987</v>
      </c>
      <c r="GZ155" s="48">
        <f t="shared" si="1866"/>
        <v>0.70999999999999985</v>
      </c>
      <c r="HA155" s="48">
        <f t="shared" si="1866"/>
        <v>0.68999999999999984</v>
      </c>
      <c r="HB155" s="48">
        <f t="shared" si="1866"/>
        <v>0.66999999999999982</v>
      </c>
      <c r="HC155" s="48">
        <f t="shared" si="1866"/>
        <v>0.6499999999999998</v>
      </c>
      <c r="HD155" s="48">
        <f t="shared" si="1866"/>
        <v>0.62999999999999978</v>
      </c>
      <c r="HE155" s="48">
        <f t="shared" si="1866"/>
        <v>0.60999999999999976</v>
      </c>
      <c r="HF155" s="48">
        <f t="shared" si="1866"/>
        <v>0.58999999999999975</v>
      </c>
      <c r="HG155" s="48">
        <f t="shared" si="1866"/>
        <v>0.56999999999999973</v>
      </c>
    </row>
    <row r="156" spans="1:215" x14ac:dyDescent="0.3">
      <c r="K156" s="49"/>
      <c r="M156" s="49"/>
      <c r="O156" s="49"/>
      <c r="Q156" s="49"/>
      <c r="S156" s="49"/>
      <c r="U156" s="49"/>
      <c r="V156" s="53"/>
      <c r="W156" s="49"/>
      <c r="Y156" s="49"/>
      <c r="AA156" s="49"/>
      <c r="AB156" s="53"/>
      <c r="AC156" s="49"/>
      <c r="AD156" s="53"/>
      <c r="AE156" s="49"/>
      <c r="AF156" s="53"/>
      <c r="AG156" s="49"/>
      <c r="AI156" s="49"/>
      <c r="AJ156" s="53"/>
      <c r="AK156" s="49"/>
      <c r="AL156" s="53"/>
      <c r="AM156" s="49"/>
      <c r="AN156" s="53"/>
      <c r="AO156" s="49"/>
      <c r="AP156" s="53"/>
      <c r="AQ156" s="49"/>
      <c r="AS156" s="49"/>
      <c r="AT156" s="53"/>
      <c r="AU156" s="49"/>
      <c r="AV156" s="53"/>
      <c r="AW156" s="49"/>
      <c r="AY156" s="49"/>
      <c r="CA156" s="49"/>
      <c r="CC156" s="49"/>
      <c r="CE156" s="49"/>
      <c r="CG156" s="49"/>
      <c r="CH156" s="52"/>
      <c r="CI156" s="49"/>
      <c r="CK156" s="49"/>
      <c r="CL156" s="52"/>
      <c r="CM156" s="49"/>
      <c r="CN156" s="53"/>
      <c r="CO156" s="49"/>
      <c r="CP156" s="52"/>
      <c r="CQ156" s="49"/>
      <c r="CS156" s="49"/>
      <c r="CT156" s="53"/>
      <c r="CU156" s="49"/>
      <c r="CV156" s="53"/>
      <c r="CW156" s="49"/>
      <c r="CX156" s="53"/>
      <c r="CY156" s="49"/>
      <c r="DA156" s="49"/>
      <c r="DB156" s="53"/>
      <c r="DC156" s="49"/>
      <c r="DD156" s="53"/>
      <c r="DE156" s="49"/>
      <c r="DF156" s="53"/>
      <c r="DG156" s="49"/>
      <c r="DH156" s="53"/>
      <c r="DI156" s="49"/>
      <c r="DK156" s="49"/>
      <c r="DL156" s="53"/>
      <c r="DM156" s="49"/>
      <c r="DN156" s="53"/>
      <c r="DO156" s="49"/>
      <c r="DQ156" s="49"/>
      <c r="EQ156" s="48"/>
      <c r="ER156" s="48"/>
      <c r="ES156" s="49"/>
      <c r="ET156" s="48"/>
      <c r="EU156" s="49"/>
      <c r="EV156" s="48"/>
      <c r="EW156" s="49"/>
      <c r="EX156" s="48"/>
      <c r="EY156" s="49"/>
      <c r="EZ156" s="52"/>
      <c r="FA156" s="49"/>
      <c r="FB156" s="48"/>
      <c r="FC156" s="49"/>
      <c r="FD156" s="52"/>
      <c r="FE156" s="49"/>
      <c r="FF156" s="53"/>
      <c r="FG156" s="49"/>
      <c r="FH156" s="52"/>
      <c r="FI156" s="49"/>
      <c r="FJ156" s="48"/>
      <c r="FK156" s="49"/>
      <c r="FL156" s="53"/>
      <c r="FM156" s="49"/>
      <c r="FN156" s="53"/>
      <c r="FO156" s="49"/>
      <c r="FP156" s="53"/>
      <c r="FQ156" s="49"/>
      <c r="FR156" s="48"/>
      <c r="FS156" s="49"/>
      <c r="FT156" s="53"/>
      <c r="FU156" s="49"/>
      <c r="FV156" s="53"/>
      <c r="FW156" s="49"/>
      <c r="FX156" s="53"/>
      <c r="FY156" s="49"/>
      <c r="FZ156" s="53"/>
      <c r="GA156" s="49"/>
      <c r="GB156" s="48"/>
      <c r="GC156" s="49"/>
      <c r="GD156" s="53"/>
      <c r="GE156" s="49"/>
      <c r="GF156" s="53"/>
      <c r="GG156" s="49"/>
      <c r="GH156" s="48"/>
      <c r="GI156" s="49"/>
      <c r="GJ156" s="48"/>
      <c r="GK156" s="48"/>
      <c r="GL156" s="48"/>
      <c r="GM156" s="48"/>
      <c r="GN156" s="48"/>
      <c r="GO156" s="48"/>
      <c r="GP156" s="48"/>
      <c r="GQ156" s="48"/>
      <c r="GR156" s="48"/>
      <c r="GS156" s="48"/>
      <c r="GT156" s="48"/>
      <c r="GU156" s="48"/>
      <c r="GV156" s="48"/>
      <c r="GW156" s="48"/>
      <c r="GX156" s="48"/>
      <c r="GY156" s="48"/>
      <c r="GZ156" s="48"/>
      <c r="HA156" s="48"/>
      <c r="HB156" s="48"/>
      <c r="HC156" s="48"/>
      <c r="HD156" s="48"/>
      <c r="HE156" s="48"/>
      <c r="HF156" s="48"/>
      <c r="HG156" s="48"/>
    </row>
    <row r="157" spans="1:215" x14ac:dyDescent="0.3">
      <c r="K157" s="49"/>
      <c r="M157" s="49"/>
      <c r="O157" s="49"/>
      <c r="Q157" s="49"/>
      <c r="S157" s="49"/>
      <c r="U157" s="49"/>
      <c r="V157" s="53"/>
      <c r="W157" s="49"/>
      <c r="Y157" s="49"/>
      <c r="AA157" s="49"/>
      <c r="AB157" s="53"/>
      <c r="AC157" s="49"/>
      <c r="AD157" s="53"/>
      <c r="AE157" s="49"/>
      <c r="AF157" s="53"/>
      <c r="AG157" s="49"/>
      <c r="AI157" s="49"/>
      <c r="AJ157" s="53"/>
      <c r="AK157" s="49"/>
      <c r="AL157" s="53"/>
      <c r="AM157" s="49"/>
      <c r="AN157" s="53"/>
      <c r="AO157" s="49"/>
      <c r="AP157" s="53"/>
      <c r="AQ157" s="49"/>
      <c r="AS157" s="49"/>
      <c r="AT157" s="53"/>
      <c r="AU157" s="49"/>
      <c r="AV157" s="53"/>
      <c r="AW157" s="49"/>
      <c r="AY157" s="49"/>
      <c r="CA157" s="49"/>
      <c r="CC157" s="49"/>
      <c r="CE157" s="49"/>
      <c r="CG157" s="49"/>
      <c r="CH157" s="52"/>
      <c r="CI157" s="49"/>
      <c r="CK157" s="49"/>
      <c r="CL157" s="52"/>
      <c r="CM157" s="49"/>
      <c r="CN157" s="53"/>
      <c r="CO157" s="49"/>
      <c r="CP157" s="52"/>
      <c r="CQ157" s="49"/>
      <c r="CS157" s="49"/>
      <c r="CT157" s="53"/>
      <c r="CU157" s="49"/>
      <c r="CV157" s="53"/>
      <c r="CW157" s="49"/>
      <c r="CX157" s="53"/>
      <c r="CY157" s="49"/>
      <c r="DA157" s="49"/>
      <c r="DB157" s="53"/>
      <c r="DC157" s="49"/>
      <c r="DD157" s="53"/>
      <c r="DE157" s="49"/>
      <c r="DF157" s="53"/>
      <c r="DG157" s="49"/>
      <c r="DH157" s="53"/>
      <c r="DI157" s="49"/>
      <c r="DK157" s="49"/>
      <c r="DL157" s="53"/>
      <c r="DM157" s="49"/>
      <c r="DN157" s="53"/>
      <c r="DO157" s="49"/>
      <c r="DQ157" s="49"/>
      <c r="EQ157" s="48"/>
      <c r="ER157" s="48"/>
      <c r="ES157" s="49"/>
      <c r="ET157" s="48"/>
      <c r="EU157" s="49"/>
      <c r="EV157" s="48"/>
      <c r="EW157" s="49"/>
      <c r="EX157" s="48"/>
      <c r="EY157" s="49"/>
      <c r="EZ157" s="52"/>
      <c r="FA157" s="49"/>
      <c r="FB157" s="48"/>
      <c r="FC157" s="49"/>
      <c r="FD157" s="52"/>
      <c r="FE157" s="49"/>
      <c r="FF157" s="53"/>
      <c r="FG157" s="49"/>
      <c r="FH157" s="52"/>
      <c r="FI157" s="49"/>
      <c r="FJ157" s="48"/>
      <c r="FK157" s="49"/>
      <c r="FL157" s="53"/>
      <c r="FM157" s="49"/>
      <c r="FN157" s="53"/>
      <c r="FO157" s="49"/>
      <c r="FP157" s="53"/>
      <c r="FQ157" s="49"/>
      <c r="FR157" s="48"/>
      <c r="FS157" s="49"/>
      <c r="FT157" s="53"/>
      <c r="FU157" s="49"/>
      <c r="FV157" s="53"/>
      <c r="FW157" s="49"/>
      <c r="FX157" s="53"/>
      <c r="FY157" s="49"/>
      <c r="FZ157" s="53"/>
      <c r="GA157" s="49"/>
      <c r="GB157" s="48"/>
      <c r="GC157" s="49"/>
      <c r="GD157" s="53"/>
      <c r="GE157" s="49"/>
      <c r="GF157" s="53"/>
      <c r="GG157" s="49"/>
      <c r="GH157" s="48"/>
      <c r="GI157" s="49"/>
      <c r="GJ157" s="48"/>
      <c r="GK157" s="48"/>
      <c r="GL157" s="48"/>
      <c r="GM157" s="48"/>
      <c r="GN157" s="48"/>
      <c r="GO157" s="48"/>
      <c r="GP157" s="48"/>
      <c r="GQ157" s="48"/>
      <c r="GR157" s="48"/>
      <c r="GS157" s="48"/>
      <c r="GT157" s="48"/>
      <c r="GU157" s="48"/>
      <c r="GV157" s="48"/>
      <c r="GW157" s="48"/>
      <c r="GX157" s="48"/>
      <c r="GY157" s="48"/>
      <c r="GZ157" s="48"/>
      <c r="HA157" s="48"/>
      <c r="HB157" s="48"/>
      <c r="HC157" s="48"/>
      <c r="HD157" s="48"/>
      <c r="HE157" s="48"/>
      <c r="HF157" s="48"/>
      <c r="HG157" s="48"/>
    </row>
    <row r="158" spans="1:215" x14ac:dyDescent="0.3">
      <c r="K158" s="49"/>
      <c r="M158" s="49"/>
      <c r="O158" s="49"/>
      <c r="Q158" s="49"/>
      <c r="S158" s="49"/>
      <c r="U158" s="49"/>
      <c r="V158" s="53"/>
      <c r="W158" s="49"/>
      <c r="Y158" s="49"/>
      <c r="AA158" s="49"/>
      <c r="AB158" s="53"/>
      <c r="AC158" s="49"/>
      <c r="AD158" s="53"/>
      <c r="AE158" s="49"/>
      <c r="AF158" s="53"/>
      <c r="AG158" s="49"/>
      <c r="AI158" s="49"/>
      <c r="AJ158" s="53"/>
      <c r="AK158" s="49"/>
      <c r="AL158" s="53"/>
      <c r="AM158" s="49"/>
      <c r="AN158" s="53"/>
      <c r="AO158" s="49"/>
      <c r="AP158" s="53"/>
      <c r="AQ158" s="49"/>
      <c r="AS158" s="49"/>
      <c r="AT158" s="53"/>
      <c r="AU158" s="49"/>
      <c r="AV158" s="53"/>
      <c r="AW158" s="49"/>
      <c r="AY158" s="49"/>
      <c r="CA158" s="49"/>
      <c r="CC158" s="49"/>
      <c r="CE158" s="49"/>
      <c r="CG158" s="49"/>
      <c r="CH158" s="52"/>
      <c r="CI158" s="49"/>
      <c r="CK158" s="49"/>
      <c r="CL158" s="52"/>
      <c r="CM158" s="49"/>
      <c r="CN158" s="53"/>
      <c r="CO158" s="49"/>
      <c r="CP158" s="52"/>
      <c r="CQ158" s="49"/>
      <c r="CS158" s="49"/>
      <c r="CT158" s="53"/>
      <c r="CU158" s="49"/>
      <c r="CV158" s="53"/>
      <c r="CW158" s="49"/>
      <c r="CX158" s="53"/>
      <c r="CY158" s="49"/>
      <c r="DA158" s="49"/>
      <c r="DB158" s="53"/>
      <c r="DC158" s="49"/>
      <c r="DD158" s="53"/>
      <c r="DE158" s="49"/>
      <c r="DF158" s="53"/>
      <c r="DG158" s="49"/>
      <c r="DH158" s="53"/>
      <c r="DI158" s="49"/>
      <c r="DK158" s="49"/>
      <c r="DL158" s="53"/>
      <c r="DM158" s="49"/>
      <c r="DN158" s="53"/>
      <c r="DO158" s="49"/>
      <c r="DQ158" s="49"/>
      <c r="EQ158" s="48"/>
      <c r="ER158" s="48"/>
      <c r="ES158" s="49"/>
      <c r="ET158" s="48"/>
      <c r="EU158" s="49"/>
      <c r="EV158" s="48"/>
      <c r="EW158" s="49"/>
      <c r="EX158" s="48"/>
      <c r="EY158" s="49"/>
      <c r="EZ158" s="52"/>
      <c r="FA158" s="49"/>
      <c r="FB158" s="48"/>
      <c r="FC158" s="49"/>
      <c r="FD158" s="52"/>
      <c r="FE158" s="49"/>
      <c r="FF158" s="53"/>
      <c r="FG158" s="49"/>
      <c r="FH158" s="52"/>
      <c r="FI158" s="49"/>
      <c r="FJ158" s="48"/>
      <c r="FK158" s="49"/>
      <c r="FL158" s="53"/>
      <c r="FM158" s="49"/>
      <c r="FN158" s="53"/>
      <c r="FO158" s="49"/>
      <c r="FP158" s="53"/>
      <c r="FQ158" s="49"/>
      <c r="FR158" s="48"/>
      <c r="FS158" s="49"/>
      <c r="FT158" s="53"/>
      <c r="FU158" s="49"/>
      <c r="FV158" s="53"/>
      <c r="FW158" s="49"/>
      <c r="FX158" s="53"/>
      <c r="FY158" s="49"/>
      <c r="FZ158" s="53"/>
      <c r="GA158" s="49"/>
      <c r="GB158" s="48"/>
      <c r="GC158" s="49"/>
      <c r="GD158" s="53"/>
      <c r="GE158" s="49"/>
      <c r="GF158" s="53"/>
      <c r="GG158" s="49"/>
      <c r="GH158" s="48"/>
      <c r="GI158" s="49"/>
      <c r="GJ158" s="48"/>
      <c r="GK158" s="48"/>
      <c r="GL158" s="48"/>
      <c r="GM158" s="48"/>
      <c r="GN158" s="48"/>
      <c r="GO158" s="48"/>
      <c r="GP158" s="48"/>
      <c r="GQ158" s="48"/>
      <c r="GR158" s="48"/>
      <c r="GS158" s="48"/>
      <c r="GT158" s="48"/>
      <c r="GU158" s="48"/>
      <c r="GV158" s="48"/>
      <c r="GW158" s="48"/>
      <c r="GX158" s="48"/>
      <c r="GY158" s="48"/>
      <c r="GZ158" s="48"/>
      <c r="HA158" s="48"/>
      <c r="HB158" s="48"/>
      <c r="HC158" s="48"/>
      <c r="HD158" s="48"/>
      <c r="HE158" s="48"/>
      <c r="HF158" s="48"/>
      <c r="HG158" s="48"/>
    </row>
    <row r="159" spans="1:215" x14ac:dyDescent="0.3">
      <c r="K159" s="49"/>
      <c r="M159" s="49"/>
      <c r="O159" s="49"/>
      <c r="Q159" s="49"/>
      <c r="S159" s="49"/>
      <c r="U159" s="49"/>
      <c r="V159" s="53"/>
      <c r="W159" s="49"/>
      <c r="Y159" s="49"/>
      <c r="AA159" s="49"/>
      <c r="AB159" s="53"/>
      <c r="AC159" s="49"/>
      <c r="AD159" s="53"/>
      <c r="AE159" s="49"/>
      <c r="AF159" s="53"/>
      <c r="AG159" s="49"/>
      <c r="AI159" s="49"/>
      <c r="AJ159" s="53"/>
      <c r="AK159" s="49"/>
      <c r="AL159" s="53"/>
      <c r="AM159" s="49"/>
      <c r="AN159" s="53"/>
      <c r="AO159" s="49"/>
      <c r="AP159" s="53"/>
      <c r="AQ159" s="49"/>
      <c r="AS159" s="49"/>
      <c r="AT159" s="53"/>
      <c r="AU159" s="49"/>
      <c r="AV159" s="53"/>
      <c r="AW159" s="49"/>
      <c r="AY159" s="49"/>
      <c r="CA159" s="49"/>
      <c r="CC159" s="49"/>
      <c r="CE159" s="49"/>
      <c r="CG159" s="49"/>
      <c r="CH159" s="52"/>
      <c r="CI159" s="49"/>
      <c r="CK159" s="49"/>
      <c r="CL159" s="52"/>
      <c r="CM159" s="49"/>
      <c r="CN159" s="53"/>
      <c r="CO159" s="49"/>
      <c r="CP159" s="52"/>
      <c r="CQ159" s="49"/>
      <c r="CS159" s="49"/>
      <c r="CT159" s="53"/>
      <c r="CU159" s="49"/>
      <c r="CV159" s="53"/>
      <c r="CW159" s="49"/>
      <c r="CX159" s="53"/>
      <c r="CY159" s="49"/>
      <c r="DA159" s="49"/>
      <c r="DB159" s="53"/>
      <c r="DC159" s="49"/>
      <c r="DD159" s="53"/>
      <c r="DE159" s="49"/>
      <c r="DF159" s="53"/>
      <c r="DG159" s="49"/>
      <c r="DH159" s="53"/>
      <c r="DI159" s="49"/>
      <c r="DK159" s="49"/>
      <c r="DL159" s="53"/>
      <c r="DM159" s="49"/>
      <c r="DN159" s="53"/>
      <c r="DO159" s="49"/>
      <c r="DQ159" s="49"/>
      <c r="EQ159" s="48"/>
      <c r="ER159" s="48"/>
      <c r="ES159" s="49"/>
      <c r="ET159" s="48"/>
      <c r="EU159" s="49"/>
      <c r="EV159" s="48"/>
      <c r="EW159" s="49"/>
      <c r="EX159" s="48"/>
      <c r="EY159" s="49"/>
      <c r="EZ159" s="52"/>
      <c r="FA159" s="49"/>
      <c r="FB159" s="48"/>
      <c r="FC159" s="49"/>
      <c r="FD159" s="52"/>
      <c r="FE159" s="49"/>
      <c r="FF159" s="53"/>
      <c r="FG159" s="49"/>
      <c r="FH159" s="52"/>
      <c r="FI159" s="49"/>
      <c r="FJ159" s="48"/>
      <c r="FK159" s="49"/>
      <c r="FL159" s="53"/>
      <c r="FM159" s="49"/>
      <c r="FN159" s="53"/>
      <c r="FO159" s="49"/>
      <c r="FP159" s="53"/>
      <c r="FQ159" s="49"/>
      <c r="FR159" s="48"/>
      <c r="FS159" s="49"/>
      <c r="FT159" s="53"/>
      <c r="FU159" s="49"/>
      <c r="FV159" s="53"/>
      <c r="FW159" s="49"/>
      <c r="FX159" s="53"/>
      <c r="FY159" s="49"/>
      <c r="FZ159" s="53"/>
      <c r="GA159" s="49"/>
      <c r="GB159" s="48"/>
      <c r="GC159" s="49"/>
      <c r="GD159" s="53"/>
      <c r="GE159" s="49"/>
      <c r="GF159" s="53"/>
      <c r="GG159" s="49"/>
      <c r="GH159" s="48"/>
      <c r="GI159" s="49"/>
      <c r="GJ159" s="48"/>
      <c r="GK159" s="48"/>
      <c r="GL159" s="48"/>
      <c r="GM159" s="48"/>
      <c r="GN159" s="48"/>
      <c r="GO159" s="48"/>
      <c r="GP159" s="48"/>
      <c r="GQ159" s="48"/>
      <c r="GR159" s="48"/>
      <c r="GS159" s="48"/>
      <c r="GT159" s="48"/>
      <c r="GU159" s="48"/>
      <c r="GV159" s="48"/>
      <c r="GW159" s="48"/>
      <c r="GX159" s="48"/>
      <c r="GY159" s="48"/>
      <c r="GZ159" s="48"/>
      <c r="HA159" s="48"/>
      <c r="HB159" s="48"/>
      <c r="HC159" s="48"/>
      <c r="HD159" s="48"/>
      <c r="HE159" s="48"/>
      <c r="HF159" s="48"/>
      <c r="HG159" s="48"/>
    </row>
    <row r="160" spans="1:215" x14ac:dyDescent="0.3">
      <c r="K160" s="49"/>
      <c r="M160" s="49"/>
      <c r="O160" s="49"/>
      <c r="Q160" s="49"/>
      <c r="S160" s="49"/>
      <c r="U160" s="49"/>
      <c r="V160" s="53"/>
      <c r="W160" s="49"/>
      <c r="Y160" s="49"/>
      <c r="AA160" s="49"/>
      <c r="AB160" s="53"/>
      <c r="AC160" s="49"/>
      <c r="AD160" s="53"/>
      <c r="AE160" s="49"/>
      <c r="AF160" s="53"/>
      <c r="AG160" s="49"/>
      <c r="AI160" s="49"/>
      <c r="AJ160" s="53"/>
      <c r="AK160" s="49"/>
      <c r="AL160" s="53"/>
      <c r="AM160" s="49"/>
      <c r="AN160" s="53"/>
      <c r="AO160" s="49"/>
      <c r="AP160" s="53"/>
      <c r="AQ160" s="49"/>
      <c r="AS160" s="49"/>
      <c r="AT160" s="53"/>
      <c r="AU160" s="49"/>
      <c r="AV160" s="53"/>
      <c r="AW160" s="49"/>
      <c r="AY160" s="49"/>
      <c r="CA160" s="49"/>
      <c r="CC160" s="49"/>
      <c r="CE160" s="49"/>
      <c r="CG160" s="49"/>
      <c r="CH160" s="52"/>
      <c r="CI160" s="49"/>
      <c r="CK160" s="49"/>
      <c r="CL160" s="52"/>
      <c r="CM160" s="49"/>
      <c r="CN160" s="53"/>
      <c r="CO160" s="49"/>
      <c r="CP160" s="52"/>
      <c r="CQ160" s="49"/>
      <c r="CS160" s="49"/>
      <c r="CT160" s="53"/>
      <c r="CU160" s="49"/>
      <c r="CV160" s="53"/>
      <c r="CW160" s="49"/>
      <c r="CX160" s="53"/>
      <c r="CY160" s="49"/>
      <c r="DA160" s="49"/>
      <c r="DB160" s="53"/>
      <c r="DC160" s="49"/>
      <c r="DD160" s="53"/>
      <c r="DE160" s="49"/>
      <c r="DF160" s="53"/>
      <c r="DG160" s="49"/>
      <c r="DH160" s="53"/>
      <c r="DI160" s="49"/>
      <c r="DK160" s="49"/>
      <c r="DL160" s="53"/>
      <c r="DM160" s="49"/>
      <c r="DN160" s="53"/>
      <c r="DO160" s="49"/>
      <c r="DQ160" s="49"/>
      <c r="EQ160" s="48"/>
      <c r="ER160" s="48"/>
      <c r="ES160" s="49"/>
      <c r="ET160" s="48"/>
      <c r="EU160" s="49"/>
      <c r="EV160" s="48"/>
      <c r="EW160" s="49"/>
      <c r="EX160" s="48"/>
      <c r="EY160" s="49"/>
      <c r="EZ160" s="52"/>
      <c r="FA160" s="49"/>
      <c r="FB160" s="48"/>
      <c r="FC160" s="49"/>
      <c r="FD160" s="52"/>
      <c r="FE160" s="49"/>
      <c r="FF160" s="53"/>
      <c r="FG160" s="49"/>
      <c r="FH160" s="52"/>
      <c r="FI160" s="49"/>
      <c r="FJ160" s="48"/>
      <c r="FK160" s="49"/>
      <c r="FL160" s="53"/>
      <c r="FM160" s="49"/>
      <c r="FN160" s="53"/>
      <c r="FO160" s="49"/>
      <c r="FP160" s="53"/>
      <c r="FQ160" s="49"/>
      <c r="FR160" s="48"/>
      <c r="FS160" s="49"/>
      <c r="FT160" s="53"/>
      <c r="FU160" s="49"/>
      <c r="FV160" s="53"/>
      <c r="FW160" s="49"/>
      <c r="FX160" s="53"/>
      <c r="FY160" s="49"/>
      <c r="FZ160" s="53"/>
      <c r="GA160" s="49"/>
      <c r="GB160" s="48"/>
      <c r="GC160" s="49"/>
      <c r="GD160" s="53"/>
      <c r="GE160" s="49"/>
      <c r="GF160" s="53"/>
      <c r="GG160" s="49"/>
      <c r="GH160" s="48"/>
      <c r="GI160" s="49"/>
      <c r="GJ160" s="48"/>
      <c r="GK160" s="48"/>
      <c r="GL160" s="48"/>
      <c r="GM160" s="48"/>
      <c r="GN160" s="48"/>
      <c r="GO160" s="48"/>
      <c r="GP160" s="48"/>
      <c r="GQ160" s="48"/>
      <c r="GR160" s="48"/>
      <c r="GS160" s="48"/>
      <c r="GT160" s="48"/>
      <c r="GU160" s="48"/>
      <c r="GV160" s="48"/>
      <c r="GW160" s="48"/>
      <c r="GX160" s="48"/>
      <c r="GY160" s="48"/>
      <c r="GZ160" s="48"/>
      <c r="HA160" s="48"/>
      <c r="HB160" s="48"/>
      <c r="HC160" s="48"/>
      <c r="HD160" s="48"/>
      <c r="HE160" s="48"/>
      <c r="HF160" s="48"/>
      <c r="HG160" s="48"/>
    </row>
    <row r="161" spans="11:215" x14ac:dyDescent="0.3">
      <c r="K161" s="49"/>
      <c r="M161" s="49"/>
      <c r="O161" s="49"/>
      <c r="Q161" s="49"/>
      <c r="S161" s="49"/>
      <c r="U161" s="49"/>
      <c r="V161" s="53"/>
      <c r="W161" s="49"/>
      <c r="Y161" s="49"/>
      <c r="AA161" s="49"/>
      <c r="AB161" s="53"/>
      <c r="AC161" s="49"/>
      <c r="AD161" s="53"/>
      <c r="AE161" s="49"/>
      <c r="AF161" s="53"/>
      <c r="AG161" s="49"/>
      <c r="AI161" s="49"/>
      <c r="AJ161" s="53"/>
      <c r="AK161" s="49"/>
      <c r="AL161" s="53"/>
      <c r="AM161" s="49"/>
      <c r="AN161" s="53"/>
      <c r="AO161" s="49"/>
      <c r="AP161" s="53"/>
      <c r="AQ161" s="49"/>
      <c r="AS161" s="49"/>
      <c r="AT161" s="53"/>
      <c r="AU161" s="49"/>
      <c r="AV161" s="53"/>
      <c r="AW161" s="49"/>
      <c r="AY161" s="49"/>
      <c r="CA161" s="49"/>
      <c r="CC161" s="49"/>
      <c r="CE161" s="49"/>
      <c r="CG161" s="49"/>
      <c r="CH161" s="52"/>
      <c r="CI161" s="49"/>
      <c r="CK161" s="49"/>
      <c r="CL161" s="52"/>
      <c r="CM161" s="49"/>
      <c r="CN161" s="53"/>
      <c r="CO161" s="49"/>
      <c r="CP161" s="52"/>
      <c r="CQ161" s="49"/>
      <c r="CS161" s="49"/>
      <c r="CT161" s="53"/>
      <c r="CU161" s="49"/>
      <c r="CV161" s="53"/>
      <c r="CW161" s="49"/>
      <c r="CX161" s="53"/>
      <c r="CY161" s="49"/>
      <c r="DA161" s="49"/>
      <c r="DB161" s="53"/>
      <c r="DC161" s="49"/>
      <c r="DD161" s="53"/>
      <c r="DE161" s="49"/>
      <c r="DF161" s="53"/>
      <c r="DG161" s="49"/>
      <c r="DH161" s="53"/>
      <c r="DI161" s="49"/>
      <c r="DK161" s="49"/>
      <c r="DL161" s="53"/>
      <c r="DM161" s="49"/>
      <c r="DN161" s="53"/>
      <c r="DO161" s="49"/>
      <c r="DQ161" s="49"/>
      <c r="EQ161" s="48"/>
      <c r="ER161" s="48"/>
      <c r="ES161" s="49"/>
      <c r="ET161" s="48"/>
      <c r="EU161" s="49"/>
      <c r="EV161" s="48"/>
      <c r="EW161" s="49"/>
      <c r="EX161" s="48"/>
      <c r="EY161" s="49"/>
      <c r="EZ161" s="52"/>
      <c r="FA161" s="49"/>
      <c r="FB161" s="48"/>
      <c r="FC161" s="49"/>
      <c r="FD161" s="52"/>
      <c r="FE161" s="49"/>
      <c r="FF161" s="53"/>
      <c r="FG161" s="49"/>
      <c r="FH161" s="52"/>
      <c r="FI161" s="49"/>
      <c r="FJ161" s="48"/>
      <c r="FK161" s="49"/>
      <c r="FL161" s="53"/>
      <c r="FM161" s="49"/>
      <c r="FN161" s="53"/>
      <c r="FO161" s="49"/>
      <c r="FP161" s="53"/>
      <c r="FQ161" s="49"/>
      <c r="FR161" s="48"/>
      <c r="FS161" s="49"/>
      <c r="FT161" s="53"/>
      <c r="FU161" s="49"/>
      <c r="FV161" s="53"/>
      <c r="FW161" s="49"/>
      <c r="FX161" s="53"/>
      <c r="FY161" s="49"/>
      <c r="FZ161" s="53"/>
      <c r="GA161" s="49"/>
      <c r="GB161" s="48"/>
      <c r="GC161" s="49"/>
      <c r="GD161" s="53"/>
      <c r="GE161" s="49"/>
      <c r="GF161" s="53"/>
      <c r="GG161" s="49"/>
      <c r="GH161" s="48"/>
      <c r="GI161" s="49"/>
      <c r="GJ161" s="48"/>
      <c r="GK161" s="48"/>
      <c r="GL161" s="48"/>
      <c r="GM161" s="48"/>
      <c r="GN161" s="48"/>
      <c r="GO161" s="48"/>
      <c r="GP161" s="48"/>
      <c r="GQ161" s="48"/>
      <c r="GR161" s="48"/>
      <c r="GS161" s="48"/>
      <c r="GT161" s="48"/>
      <c r="GU161" s="48"/>
      <c r="GV161" s="48"/>
      <c r="GW161" s="48"/>
      <c r="GX161" s="48"/>
      <c r="GY161" s="48"/>
      <c r="GZ161" s="48"/>
      <c r="HA161" s="48"/>
      <c r="HB161" s="48"/>
      <c r="HC161" s="48"/>
      <c r="HD161" s="48"/>
      <c r="HE161" s="48"/>
      <c r="HF161" s="48"/>
      <c r="HG161" s="48"/>
    </row>
    <row r="162" spans="11:215" x14ac:dyDescent="0.3">
      <c r="K162" s="49"/>
      <c r="M162" s="49"/>
      <c r="O162" s="49"/>
      <c r="Q162" s="49"/>
      <c r="S162" s="49"/>
      <c r="U162" s="49"/>
      <c r="V162" s="53"/>
      <c r="W162" s="49"/>
      <c r="Y162" s="49"/>
      <c r="AA162" s="49"/>
      <c r="AB162" s="53"/>
      <c r="AC162" s="49"/>
      <c r="AD162" s="53"/>
      <c r="AE162" s="49"/>
      <c r="AF162" s="53"/>
      <c r="AG162" s="49"/>
      <c r="AI162" s="49"/>
      <c r="AJ162" s="53"/>
      <c r="AK162" s="49"/>
      <c r="AL162" s="53"/>
      <c r="AM162" s="49"/>
      <c r="AN162" s="53"/>
      <c r="AO162" s="49"/>
      <c r="AP162" s="53"/>
      <c r="AQ162" s="49"/>
      <c r="AS162" s="49"/>
      <c r="AT162" s="53"/>
      <c r="AU162" s="49"/>
      <c r="AV162" s="53"/>
      <c r="AW162" s="49"/>
      <c r="AY162" s="49"/>
      <c r="CA162" s="49"/>
      <c r="CC162" s="49"/>
      <c r="CE162" s="49"/>
      <c r="CG162" s="49"/>
      <c r="CH162" s="52"/>
      <c r="CI162" s="49"/>
      <c r="CK162" s="49"/>
      <c r="CL162" s="52"/>
      <c r="CM162" s="49"/>
      <c r="CN162" s="53"/>
      <c r="CO162" s="49"/>
      <c r="CP162" s="52"/>
      <c r="CQ162" s="49"/>
      <c r="CS162" s="49"/>
      <c r="CT162" s="53"/>
      <c r="CU162" s="49"/>
      <c r="CV162" s="53"/>
      <c r="CW162" s="49"/>
      <c r="CX162" s="53"/>
      <c r="CY162" s="49"/>
      <c r="DA162" s="49"/>
      <c r="DB162" s="53"/>
      <c r="DC162" s="49"/>
      <c r="DD162" s="53"/>
      <c r="DE162" s="49"/>
      <c r="DF162" s="53"/>
      <c r="DG162" s="49"/>
      <c r="DH162" s="53"/>
      <c r="DI162" s="49"/>
      <c r="DK162" s="49"/>
      <c r="DL162" s="53"/>
      <c r="DM162" s="49"/>
      <c r="DN162" s="53"/>
      <c r="DO162" s="49"/>
      <c r="DQ162" s="49"/>
      <c r="EQ162" s="48"/>
      <c r="ER162" s="48"/>
      <c r="ES162" s="49"/>
      <c r="ET162" s="48"/>
      <c r="EU162" s="49"/>
      <c r="EV162" s="48"/>
      <c r="EW162" s="49"/>
      <c r="EX162" s="48"/>
      <c r="EY162" s="49"/>
      <c r="EZ162" s="52"/>
      <c r="FA162" s="49"/>
      <c r="FB162" s="48"/>
      <c r="FC162" s="49"/>
      <c r="FD162" s="52"/>
      <c r="FE162" s="49"/>
      <c r="FF162" s="53"/>
      <c r="FG162" s="49"/>
      <c r="FH162" s="52"/>
      <c r="FI162" s="49"/>
      <c r="FJ162" s="48"/>
      <c r="FK162" s="49"/>
      <c r="FL162" s="53"/>
      <c r="FM162" s="49"/>
      <c r="FN162" s="53"/>
      <c r="FO162" s="49"/>
      <c r="FP162" s="53"/>
      <c r="FQ162" s="49"/>
      <c r="FR162" s="48"/>
      <c r="FS162" s="49"/>
      <c r="FT162" s="53"/>
      <c r="FU162" s="49"/>
      <c r="FV162" s="53"/>
      <c r="FW162" s="49"/>
      <c r="FX162" s="53"/>
      <c r="FY162" s="49"/>
      <c r="FZ162" s="53"/>
      <c r="GA162" s="49"/>
      <c r="GB162" s="48"/>
      <c r="GC162" s="49"/>
      <c r="GD162" s="53"/>
      <c r="GE162" s="49"/>
      <c r="GF162" s="53"/>
      <c r="GG162" s="49"/>
      <c r="GH162" s="48"/>
      <c r="GI162" s="49"/>
      <c r="GJ162" s="48"/>
      <c r="GK162" s="48"/>
      <c r="GL162" s="48"/>
      <c r="GM162" s="48"/>
      <c r="GN162" s="48"/>
      <c r="GO162" s="48"/>
      <c r="GP162" s="48"/>
      <c r="GQ162" s="48"/>
      <c r="GR162" s="48"/>
      <c r="GS162" s="48"/>
      <c r="GT162" s="48"/>
      <c r="GU162" s="48"/>
      <c r="GV162" s="48"/>
      <c r="GW162" s="48"/>
      <c r="GX162" s="48"/>
      <c r="GY162" s="48"/>
      <c r="GZ162" s="48"/>
      <c r="HA162" s="48"/>
      <c r="HB162" s="48"/>
      <c r="HC162" s="48"/>
      <c r="HD162" s="48"/>
      <c r="HE162" s="48"/>
      <c r="HF162" s="48"/>
      <c r="HG162" s="48"/>
    </row>
    <row r="163" spans="11:215" x14ac:dyDescent="0.3">
      <c r="K163" s="49"/>
      <c r="M163" s="49"/>
      <c r="O163" s="49"/>
      <c r="Q163" s="49"/>
      <c r="S163" s="49"/>
      <c r="U163" s="49"/>
      <c r="V163" s="53"/>
      <c r="W163" s="49"/>
      <c r="Y163" s="49"/>
      <c r="AA163" s="49"/>
      <c r="AB163" s="53"/>
      <c r="AC163" s="49"/>
      <c r="AD163" s="53"/>
      <c r="AE163" s="49"/>
      <c r="AF163" s="53"/>
      <c r="AG163" s="49"/>
      <c r="AI163" s="49"/>
      <c r="AJ163" s="53"/>
      <c r="AK163" s="49"/>
      <c r="AL163" s="53"/>
      <c r="AM163" s="49"/>
      <c r="AN163" s="53"/>
      <c r="AO163" s="49"/>
      <c r="AP163" s="53"/>
      <c r="AQ163" s="49"/>
      <c r="AS163" s="49"/>
      <c r="AT163" s="53"/>
      <c r="AU163" s="49"/>
      <c r="AV163" s="53"/>
      <c r="AW163" s="49"/>
      <c r="AY163" s="49"/>
      <c r="CA163" s="49"/>
      <c r="CC163" s="49"/>
      <c r="CE163" s="49"/>
      <c r="CG163" s="49"/>
      <c r="CH163" s="52"/>
      <c r="CI163" s="49"/>
      <c r="CK163" s="49"/>
      <c r="CL163" s="52"/>
      <c r="CM163" s="49"/>
      <c r="CN163" s="53"/>
      <c r="CO163" s="49"/>
      <c r="CP163" s="52"/>
      <c r="CQ163" s="49"/>
      <c r="CS163" s="49"/>
      <c r="CT163" s="53"/>
      <c r="CU163" s="49"/>
      <c r="CV163" s="53"/>
      <c r="CW163" s="49"/>
      <c r="CX163" s="53"/>
      <c r="CY163" s="49"/>
      <c r="DA163" s="49"/>
      <c r="DB163" s="53"/>
      <c r="DC163" s="49"/>
      <c r="DD163" s="53"/>
      <c r="DE163" s="49"/>
      <c r="DF163" s="53"/>
      <c r="DG163" s="49"/>
      <c r="DH163" s="53"/>
      <c r="DI163" s="49"/>
      <c r="DK163" s="49"/>
      <c r="DL163" s="53"/>
      <c r="DM163" s="49"/>
      <c r="DN163" s="53"/>
      <c r="DO163" s="49"/>
      <c r="DQ163" s="49"/>
      <c r="EQ163" s="48"/>
      <c r="ER163" s="48"/>
      <c r="ES163" s="49"/>
      <c r="ET163" s="48"/>
      <c r="EU163" s="49"/>
      <c r="EV163" s="48"/>
      <c r="EW163" s="49"/>
      <c r="EX163" s="48"/>
      <c r="EY163" s="49"/>
      <c r="EZ163" s="52"/>
      <c r="FA163" s="49"/>
      <c r="FB163" s="48"/>
      <c r="FC163" s="49"/>
      <c r="FD163" s="52"/>
      <c r="FE163" s="49"/>
      <c r="FF163" s="53"/>
      <c r="FG163" s="49"/>
      <c r="FH163" s="52"/>
      <c r="FI163" s="49"/>
      <c r="FJ163" s="48"/>
      <c r="FK163" s="49"/>
      <c r="FL163" s="53"/>
      <c r="FM163" s="49"/>
      <c r="FN163" s="53"/>
      <c r="FO163" s="49"/>
      <c r="FP163" s="53"/>
      <c r="FQ163" s="49"/>
      <c r="FR163" s="48"/>
      <c r="FS163" s="49"/>
      <c r="FT163" s="53"/>
      <c r="FU163" s="49"/>
      <c r="FV163" s="53"/>
      <c r="FW163" s="49"/>
      <c r="FX163" s="53"/>
      <c r="FY163" s="49"/>
      <c r="FZ163" s="53"/>
      <c r="GA163" s="49"/>
      <c r="GB163" s="48"/>
      <c r="GC163" s="49"/>
      <c r="GD163" s="53"/>
      <c r="GE163" s="49"/>
      <c r="GF163" s="53"/>
      <c r="GG163" s="49"/>
      <c r="GH163" s="48"/>
      <c r="GI163" s="49"/>
      <c r="GJ163" s="48"/>
      <c r="GK163" s="48"/>
      <c r="GL163" s="48"/>
      <c r="GM163" s="48"/>
      <c r="GN163" s="48"/>
      <c r="GO163" s="48"/>
      <c r="GP163" s="48"/>
      <c r="GQ163" s="48"/>
      <c r="GR163" s="48"/>
      <c r="GS163" s="48"/>
      <c r="GT163" s="48"/>
      <c r="GU163" s="48"/>
      <c r="GV163" s="48"/>
      <c r="GW163" s="48"/>
      <c r="GX163" s="48"/>
      <c r="GY163" s="48"/>
      <c r="GZ163" s="48"/>
      <c r="HA163" s="48"/>
      <c r="HB163" s="48"/>
      <c r="HC163" s="48"/>
      <c r="HD163" s="48"/>
      <c r="HE163" s="48"/>
      <c r="HF163" s="48"/>
      <c r="HG163" s="48"/>
    </row>
    <row r="164" spans="11:215" x14ac:dyDescent="0.3">
      <c r="K164" s="49"/>
      <c r="M164" s="49"/>
      <c r="O164" s="49"/>
      <c r="Q164" s="49"/>
      <c r="S164" s="49"/>
      <c r="U164" s="49"/>
      <c r="V164" s="53"/>
      <c r="W164" s="49"/>
      <c r="Y164" s="49"/>
      <c r="AA164" s="49"/>
      <c r="AB164" s="53"/>
      <c r="AC164" s="49"/>
      <c r="AD164" s="53"/>
      <c r="AE164" s="49"/>
      <c r="AF164" s="53"/>
      <c r="AG164" s="49"/>
      <c r="AI164" s="49"/>
      <c r="AJ164" s="53"/>
      <c r="AK164" s="49"/>
      <c r="AL164" s="53"/>
      <c r="AM164" s="49"/>
      <c r="AN164" s="53"/>
      <c r="AO164" s="49"/>
      <c r="AP164" s="53"/>
      <c r="AQ164" s="49"/>
      <c r="AS164" s="49"/>
      <c r="AT164" s="53"/>
      <c r="AU164" s="49"/>
      <c r="AV164" s="53"/>
      <c r="AW164" s="49"/>
      <c r="AY164" s="49"/>
      <c r="CA164" s="49"/>
      <c r="CC164" s="49"/>
      <c r="CE164" s="49"/>
      <c r="CG164" s="49"/>
      <c r="CH164" s="52"/>
      <c r="CI164" s="49"/>
      <c r="CK164" s="49"/>
      <c r="CL164" s="52"/>
      <c r="CM164" s="49"/>
      <c r="CN164" s="53"/>
      <c r="CO164" s="49"/>
      <c r="CP164" s="52"/>
      <c r="CQ164" s="49"/>
      <c r="CS164" s="49"/>
      <c r="CT164" s="53"/>
      <c r="CU164" s="49"/>
      <c r="CV164" s="53"/>
      <c r="CW164" s="49"/>
      <c r="CX164" s="53"/>
      <c r="CY164" s="49"/>
      <c r="DA164" s="49"/>
      <c r="DB164" s="53"/>
      <c r="DC164" s="49"/>
      <c r="DD164" s="53"/>
      <c r="DE164" s="49"/>
      <c r="DF164" s="53"/>
      <c r="DG164" s="49"/>
      <c r="DH164" s="53"/>
      <c r="DI164" s="49"/>
      <c r="DK164" s="49"/>
      <c r="DL164" s="53"/>
      <c r="DM164" s="49"/>
      <c r="DN164" s="53"/>
      <c r="DO164" s="49"/>
      <c r="DQ164" s="49"/>
      <c r="EQ164" s="48"/>
      <c r="ER164" s="48"/>
      <c r="ES164" s="49"/>
      <c r="ET164" s="48"/>
      <c r="EU164" s="49"/>
      <c r="EV164" s="48"/>
      <c r="EW164" s="49"/>
      <c r="EX164" s="48"/>
      <c r="EY164" s="49"/>
      <c r="EZ164" s="52"/>
      <c r="FA164" s="49"/>
      <c r="FB164" s="48"/>
      <c r="FC164" s="49"/>
      <c r="FD164" s="52"/>
      <c r="FE164" s="49"/>
      <c r="FF164" s="53"/>
      <c r="FG164" s="49"/>
      <c r="FH164" s="52"/>
      <c r="FI164" s="49"/>
      <c r="FJ164" s="48"/>
      <c r="FK164" s="49"/>
      <c r="FL164" s="53"/>
      <c r="FM164" s="49"/>
      <c r="FN164" s="53"/>
      <c r="FO164" s="49"/>
      <c r="FP164" s="53"/>
      <c r="FQ164" s="49"/>
      <c r="FR164" s="48"/>
      <c r="FS164" s="49"/>
      <c r="FT164" s="53"/>
      <c r="FU164" s="49"/>
      <c r="FV164" s="53"/>
      <c r="FW164" s="49"/>
      <c r="FX164" s="53"/>
      <c r="FY164" s="49"/>
      <c r="FZ164" s="53"/>
      <c r="GA164" s="49"/>
      <c r="GB164" s="48"/>
      <c r="GC164" s="49"/>
      <c r="GD164" s="53"/>
      <c r="GE164" s="49"/>
      <c r="GF164" s="53"/>
      <c r="GG164" s="49"/>
      <c r="GH164" s="48"/>
      <c r="GI164" s="49"/>
      <c r="GJ164" s="48"/>
      <c r="GK164" s="48"/>
      <c r="GL164" s="48"/>
      <c r="GM164" s="48"/>
      <c r="GN164" s="48"/>
      <c r="GO164" s="48"/>
      <c r="GP164" s="48"/>
      <c r="GQ164" s="48"/>
      <c r="GR164" s="48"/>
      <c r="GS164" s="48"/>
      <c r="GT164" s="48"/>
      <c r="GU164" s="48"/>
      <c r="GV164" s="48"/>
      <c r="GW164" s="48"/>
      <c r="GX164" s="48"/>
      <c r="GY164" s="48"/>
      <c r="GZ164" s="48"/>
      <c r="HA164" s="48"/>
      <c r="HB164" s="48"/>
      <c r="HC164" s="48"/>
      <c r="HD164" s="48"/>
      <c r="HE164" s="48"/>
      <c r="HF164" s="48"/>
      <c r="HG164" s="48"/>
    </row>
    <row r="165" spans="11:215" x14ac:dyDescent="0.3">
      <c r="K165" s="49"/>
      <c r="M165" s="49"/>
      <c r="O165" s="49"/>
      <c r="Q165" s="49"/>
      <c r="S165" s="49"/>
      <c r="U165" s="49"/>
      <c r="V165" s="53"/>
      <c r="W165" s="49"/>
      <c r="Y165" s="49"/>
      <c r="AA165" s="49"/>
      <c r="AB165" s="53"/>
      <c r="AC165" s="49"/>
      <c r="AD165" s="53"/>
      <c r="AE165" s="49"/>
      <c r="AF165" s="53"/>
      <c r="AG165" s="49"/>
      <c r="AI165" s="49"/>
      <c r="AJ165" s="53"/>
      <c r="AK165" s="49"/>
      <c r="AL165" s="53"/>
      <c r="AM165" s="49"/>
      <c r="AN165" s="53"/>
      <c r="AO165" s="49"/>
      <c r="AP165" s="53"/>
      <c r="AQ165" s="49"/>
      <c r="AS165" s="49"/>
      <c r="AT165" s="53"/>
      <c r="AU165" s="49"/>
      <c r="AV165" s="53"/>
      <c r="AW165" s="49"/>
      <c r="AY165" s="49"/>
      <c r="CA165" s="49"/>
      <c r="CC165" s="49"/>
      <c r="CE165" s="49"/>
      <c r="CG165" s="49"/>
      <c r="CH165" s="52"/>
      <c r="CI165" s="49"/>
      <c r="CK165" s="49"/>
      <c r="CL165" s="52"/>
      <c r="CM165" s="49"/>
      <c r="CN165" s="53"/>
      <c r="CO165" s="49"/>
      <c r="CP165" s="52"/>
      <c r="CQ165" s="49"/>
      <c r="CS165" s="49"/>
      <c r="CT165" s="53"/>
      <c r="CU165" s="49"/>
      <c r="CV165" s="53"/>
      <c r="CW165" s="49"/>
      <c r="CX165" s="53"/>
      <c r="CY165" s="49"/>
      <c r="DA165" s="49"/>
      <c r="DB165" s="53"/>
      <c r="DC165" s="49"/>
      <c r="DD165" s="53"/>
      <c r="DE165" s="49"/>
      <c r="DF165" s="53"/>
      <c r="DG165" s="49"/>
      <c r="DH165" s="53"/>
      <c r="DI165" s="49"/>
      <c r="DK165" s="49"/>
      <c r="DL165" s="53"/>
      <c r="DM165" s="49"/>
      <c r="DN165" s="53"/>
      <c r="DO165" s="49"/>
      <c r="DQ165" s="49"/>
      <c r="EQ165" s="48"/>
      <c r="ER165" s="48"/>
      <c r="ES165" s="49"/>
      <c r="ET165" s="48"/>
      <c r="EU165" s="49"/>
      <c r="EV165" s="48"/>
      <c r="EW165" s="49"/>
      <c r="EX165" s="48"/>
      <c r="EY165" s="49"/>
      <c r="EZ165" s="52"/>
      <c r="FA165" s="49"/>
      <c r="FB165" s="48"/>
      <c r="FC165" s="49"/>
      <c r="FD165" s="52"/>
      <c r="FE165" s="49"/>
      <c r="FF165" s="53"/>
      <c r="FG165" s="49"/>
      <c r="FH165" s="52"/>
      <c r="FI165" s="49"/>
      <c r="FJ165" s="48"/>
      <c r="FK165" s="49"/>
      <c r="FL165" s="53"/>
      <c r="FM165" s="49"/>
      <c r="FN165" s="53"/>
      <c r="FO165" s="49"/>
      <c r="FP165" s="53"/>
      <c r="FQ165" s="49"/>
      <c r="FR165" s="48"/>
      <c r="FS165" s="49"/>
      <c r="FT165" s="53"/>
      <c r="FU165" s="49"/>
      <c r="FV165" s="53"/>
      <c r="FW165" s="49"/>
      <c r="FX165" s="53"/>
      <c r="FY165" s="49"/>
      <c r="FZ165" s="53"/>
      <c r="GA165" s="49"/>
      <c r="GB165" s="48"/>
      <c r="GC165" s="49"/>
      <c r="GD165" s="53"/>
      <c r="GE165" s="49"/>
      <c r="GF165" s="53"/>
      <c r="GG165" s="49"/>
      <c r="GH165" s="48"/>
      <c r="GI165" s="49"/>
      <c r="GJ165" s="48"/>
      <c r="GK165" s="48"/>
      <c r="GL165" s="48"/>
      <c r="GM165" s="48"/>
      <c r="GN165" s="48"/>
      <c r="GO165" s="48"/>
      <c r="GP165" s="48"/>
      <c r="GQ165" s="48"/>
      <c r="GR165" s="48"/>
      <c r="GS165" s="48"/>
      <c r="GT165" s="48"/>
      <c r="GU165" s="48"/>
      <c r="GV165" s="48"/>
      <c r="GW165" s="48"/>
      <c r="GX165" s="48"/>
      <c r="GY165" s="48"/>
      <c r="GZ165" s="48"/>
      <c r="HA165" s="48"/>
      <c r="HB165" s="48"/>
      <c r="HC165" s="48"/>
      <c r="HD165" s="48"/>
      <c r="HE165" s="48"/>
      <c r="HF165" s="48"/>
      <c r="HG165" s="48"/>
    </row>
    <row r="166" spans="11:215" x14ac:dyDescent="0.3">
      <c r="K166" s="49"/>
      <c r="M166" s="49"/>
      <c r="O166" s="49"/>
      <c r="Q166" s="49"/>
      <c r="S166" s="49"/>
      <c r="U166" s="49"/>
      <c r="V166" s="53"/>
      <c r="W166" s="49"/>
      <c r="Y166" s="49"/>
      <c r="AA166" s="49"/>
      <c r="AB166" s="53"/>
      <c r="AC166" s="49"/>
      <c r="AD166" s="53"/>
      <c r="AE166" s="49"/>
      <c r="AF166" s="53"/>
      <c r="AG166" s="49"/>
      <c r="AI166" s="49"/>
      <c r="AJ166" s="53"/>
      <c r="AK166" s="49"/>
      <c r="AL166" s="53"/>
      <c r="AM166" s="49"/>
      <c r="AN166" s="53"/>
      <c r="AO166" s="49"/>
      <c r="AP166" s="53"/>
      <c r="AQ166" s="49"/>
      <c r="AS166" s="49"/>
      <c r="AT166" s="53"/>
      <c r="AU166" s="49"/>
      <c r="AV166" s="53"/>
      <c r="AW166" s="49"/>
      <c r="AY166" s="49"/>
      <c r="CA166" s="49"/>
      <c r="CC166" s="49"/>
      <c r="CE166" s="49"/>
      <c r="CG166" s="49"/>
      <c r="CH166" s="52"/>
      <c r="CI166" s="49"/>
      <c r="CK166" s="49"/>
      <c r="CL166" s="52"/>
      <c r="CM166" s="49"/>
      <c r="CN166" s="53"/>
      <c r="CO166" s="49"/>
      <c r="CP166" s="52"/>
      <c r="CQ166" s="49"/>
      <c r="CS166" s="49"/>
      <c r="CT166" s="53"/>
      <c r="CU166" s="49"/>
      <c r="CV166" s="53"/>
      <c r="CW166" s="49"/>
      <c r="CX166" s="53"/>
      <c r="CY166" s="49"/>
      <c r="DA166" s="49"/>
      <c r="DB166" s="53"/>
      <c r="DC166" s="49"/>
      <c r="DD166" s="53"/>
      <c r="DE166" s="49"/>
      <c r="DF166" s="53"/>
      <c r="DG166" s="49"/>
      <c r="DH166" s="53"/>
      <c r="DI166" s="49"/>
      <c r="DK166" s="49"/>
      <c r="DL166" s="53"/>
      <c r="DM166" s="49"/>
      <c r="DN166" s="53"/>
      <c r="DO166" s="49"/>
      <c r="DQ166" s="49"/>
      <c r="EQ166" s="48"/>
      <c r="ER166" s="48"/>
      <c r="ES166" s="49"/>
      <c r="ET166" s="48"/>
      <c r="EU166" s="49"/>
      <c r="EV166" s="48"/>
      <c r="EW166" s="49"/>
      <c r="EX166" s="48"/>
      <c r="EY166" s="49"/>
      <c r="EZ166" s="52"/>
      <c r="FA166" s="49"/>
      <c r="FB166" s="48"/>
      <c r="FC166" s="49"/>
      <c r="FD166" s="52"/>
      <c r="FE166" s="49"/>
      <c r="FF166" s="53"/>
      <c r="FG166" s="49"/>
      <c r="FH166" s="52"/>
      <c r="FI166" s="49"/>
      <c r="FJ166" s="48"/>
      <c r="FK166" s="49"/>
      <c r="FL166" s="53"/>
      <c r="FM166" s="49"/>
      <c r="FN166" s="53"/>
      <c r="FO166" s="49"/>
      <c r="FP166" s="53"/>
      <c r="FQ166" s="49"/>
      <c r="FR166" s="48"/>
      <c r="FS166" s="49"/>
      <c r="FT166" s="53"/>
      <c r="FU166" s="49"/>
      <c r="FV166" s="53"/>
      <c r="FW166" s="49"/>
      <c r="FX166" s="53"/>
      <c r="FY166" s="49"/>
      <c r="FZ166" s="53"/>
      <c r="GA166" s="49"/>
      <c r="GB166" s="48"/>
      <c r="GC166" s="49"/>
      <c r="GD166" s="53"/>
      <c r="GE166" s="49"/>
      <c r="GF166" s="53"/>
      <c r="GG166" s="49"/>
      <c r="GH166" s="48"/>
      <c r="GI166" s="49"/>
      <c r="GJ166" s="48"/>
      <c r="GK166" s="48"/>
      <c r="GL166" s="48"/>
      <c r="GM166" s="48"/>
      <c r="GN166" s="48"/>
      <c r="GO166" s="48"/>
      <c r="GP166" s="48"/>
      <c r="GQ166" s="48"/>
      <c r="GR166" s="48"/>
      <c r="GS166" s="48"/>
      <c r="GT166" s="48"/>
      <c r="GU166" s="48"/>
      <c r="GV166" s="48"/>
      <c r="GW166" s="48"/>
      <c r="GX166" s="48"/>
      <c r="GY166" s="48"/>
      <c r="GZ166" s="48"/>
      <c r="HA166" s="48"/>
      <c r="HB166" s="48"/>
      <c r="HC166" s="48"/>
      <c r="HD166" s="48"/>
      <c r="HE166" s="48"/>
      <c r="HF166" s="48"/>
      <c r="HG166" s="48"/>
    </row>
    <row r="167" spans="11:215" x14ac:dyDescent="0.3">
      <c r="K167" s="49"/>
      <c r="M167" s="49"/>
      <c r="O167" s="49"/>
      <c r="Q167" s="49"/>
      <c r="S167" s="49"/>
      <c r="U167" s="49"/>
      <c r="V167" s="53"/>
      <c r="W167" s="49"/>
      <c r="Y167" s="49"/>
      <c r="AA167" s="49"/>
      <c r="AB167" s="53"/>
      <c r="AC167" s="49"/>
      <c r="AD167" s="53"/>
      <c r="AE167" s="49"/>
      <c r="AF167" s="53"/>
      <c r="AG167" s="49"/>
      <c r="AI167" s="49"/>
      <c r="AJ167" s="53"/>
      <c r="AK167" s="49"/>
      <c r="AL167" s="53"/>
      <c r="AM167" s="49"/>
      <c r="AN167" s="53"/>
      <c r="AO167" s="49"/>
      <c r="AP167" s="53"/>
      <c r="AQ167" s="49"/>
      <c r="AS167" s="49"/>
      <c r="AT167" s="53"/>
      <c r="AU167" s="49"/>
      <c r="AV167" s="53"/>
      <c r="AW167" s="49"/>
      <c r="AY167" s="49"/>
      <c r="CA167" s="49"/>
      <c r="CC167" s="49"/>
      <c r="CE167" s="49"/>
      <c r="CG167" s="49"/>
      <c r="CH167" s="52"/>
      <c r="CI167" s="49"/>
      <c r="CK167" s="49"/>
      <c r="CL167" s="52"/>
      <c r="CM167" s="49"/>
      <c r="CN167" s="53"/>
      <c r="CO167" s="49"/>
      <c r="CP167" s="52"/>
      <c r="CQ167" s="49"/>
      <c r="CS167" s="49"/>
      <c r="CT167" s="53"/>
      <c r="CU167" s="49"/>
      <c r="CV167" s="53"/>
      <c r="CW167" s="49"/>
      <c r="CX167" s="53"/>
      <c r="CY167" s="49"/>
      <c r="DA167" s="49"/>
      <c r="DB167" s="53"/>
      <c r="DC167" s="49"/>
      <c r="DD167" s="53"/>
      <c r="DE167" s="49"/>
      <c r="DF167" s="53"/>
      <c r="DG167" s="49"/>
      <c r="DH167" s="53"/>
      <c r="DI167" s="49"/>
      <c r="DK167" s="49"/>
      <c r="DL167" s="53"/>
      <c r="DM167" s="49"/>
      <c r="DN167" s="53"/>
      <c r="DO167" s="49"/>
      <c r="DQ167" s="49"/>
      <c r="EQ167" s="48"/>
      <c r="ER167" s="48"/>
      <c r="ES167" s="49"/>
      <c r="ET167" s="48"/>
      <c r="EU167" s="49"/>
      <c r="EV167" s="48"/>
      <c r="EW167" s="49"/>
      <c r="EX167" s="48"/>
      <c r="EY167" s="49"/>
      <c r="EZ167" s="52"/>
      <c r="FA167" s="49"/>
      <c r="FB167" s="48"/>
      <c r="FC167" s="49"/>
      <c r="FD167" s="52"/>
      <c r="FE167" s="49"/>
      <c r="FF167" s="53"/>
      <c r="FG167" s="49"/>
      <c r="FH167" s="52"/>
      <c r="FI167" s="49"/>
      <c r="FJ167" s="48"/>
      <c r="FK167" s="49"/>
      <c r="FL167" s="53"/>
      <c r="FM167" s="49"/>
      <c r="FN167" s="53"/>
      <c r="FO167" s="49"/>
      <c r="FP167" s="53"/>
      <c r="FQ167" s="49"/>
      <c r="FR167" s="48"/>
      <c r="FS167" s="49"/>
      <c r="FT167" s="53"/>
      <c r="FU167" s="49"/>
      <c r="FV167" s="53"/>
      <c r="FW167" s="49"/>
      <c r="FX167" s="53"/>
      <c r="FY167" s="49"/>
      <c r="FZ167" s="53"/>
      <c r="GA167" s="49"/>
      <c r="GB167" s="48"/>
      <c r="GC167" s="49"/>
      <c r="GD167" s="53"/>
      <c r="GE167" s="49"/>
      <c r="GF167" s="53"/>
      <c r="GG167" s="49"/>
      <c r="GH167" s="48"/>
      <c r="GI167" s="49"/>
      <c r="GJ167" s="48"/>
      <c r="GK167" s="48"/>
      <c r="GL167" s="48"/>
      <c r="GM167" s="48"/>
      <c r="GN167" s="48"/>
      <c r="GO167" s="48"/>
      <c r="GP167" s="48"/>
      <c r="GQ167" s="48"/>
      <c r="GR167" s="48"/>
      <c r="GS167" s="48"/>
      <c r="GT167" s="48"/>
      <c r="GU167" s="48"/>
      <c r="GV167" s="48"/>
      <c r="GW167" s="48"/>
      <c r="GX167" s="48"/>
      <c r="GY167" s="48"/>
      <c r="GZ167" s="48"/>
      <c r="HA167" s="48"/>
      <c r="HB167" s="48"/>
      <c r="HC167" s="48"/>
      <c r="HD167" s="48"/>
      <c r="HE167" s="48"/>
      <c r="HF167" s="48"/>
      <c r="HG167" s="48"/>
    </row>
    <row r="168" spans="11:215" x14ac:dyDescent="0.3">
      <c r="K168" s="49"/>
      <c r="M168" s="49"/>
      <c r="O168" s="49"/>
      <c r="Q168" s="49"/>
      <c r="S168" s="49"/>
      <c r="U168" s="49"/>
      <c r="V168" s="53"/>
      <c r="W168" s="49"/>
      <c r="Y168" s="49"/>
      <c r="AA168" s="49"/>
      <c r="AB168" s="53"/>
      <c r="AC168" s="49"/>
      <c r="AD168" s="53"/>
      <c r="AE168" s="49"/>
      <c r="AF168" s="53"/>
      <c r="AG168" s="49"/>
      <c r="AI168" s="49"/>
      <c r="AK168" s="49"/>
      <c r="AL168" s="53"/>
      <c r="AM168" s="49"/>
      <c r="AN168" s="53"/>
      <c r="AO168" s="49"/>
      <c r="AP168" s="53"/>
      <c r="AQ168" s="49"/>
      <c r="AS168" s="49"/>
      <c r="AT168" s="53"/>
      <c r="AU168" s="49"/>
      <c r="AV168" s="53"/>
      <c r="AW168" s="49"/>
      <c r="AY168" s="49"/>
      <c r="CA168" s="49"/>
      <c r="CC168" s="49"/>
      <c r="CE168" s="49"/>
      <c r="CG168" s="49"/>
      <c r="CH168" s="52"/>
      <c r="CI168" s="49"/>
      <c r="CK168" s="49"/>
      <c r="CL168" s="52"/>
      <c r="CM168" s="49"/>
      <c r="CN168" s="53"/>
      <c r="CO168" s="49"/>
      <c r="CP168" s="52"/>
      <c r="CQ168" s="49"/>
      <c r="CS168" s="49"/>
      <c r="CT168" s="53"/>
      <c r="CU168" s="49"/>
      <c r="CV168" s="53"/>
      <c r="CW168" s="49"/>
      <c r="CX168" s="53"/>
      <c r="CY168" s="49"/>
      <c r="DA168" s="49"/>
      <c r="DC168" s="49"/>
      <c r="DD168" s="53"/>
      <c r="DE168" s="49"/>
      <c r="DF168" s="53"/>
      <c r="DG168" s="49"/>
      <c r="DH168" s="53"/>
      <c r="DI168" s="49"/>
      <c r="DK168" s="49"/>
      <c r="DL168" s="53"/>
      <c r="DM168" s="49"/>
      <c r="DN168" s="53"/>
      <c r="DO168" s="49"/>
      <c r="DQ168" s="49"/>
      <c r="EQ168" s="48"/>
      <c r="ER168" s="48"/>
      <c r="ES168" s="49"/>
      <c r="ET168" s="48"/>
      <c r="EU168" s="49"/>
      <c r="EV168" s="48"/>
      <c r="EW168" s="49"/>
      <c r="EX168" s="48"/>
      <c r="EY168" s="49"/>
      <c r="EZ168" s="52"/>
      <c r="FA168" s="49"/>
      <c r="FB168" s="48"/>
      <c r="FC168" s="49"/>
      <c r="FD168" s="52"/>
      <c r="FE168" s="49"/>
      <c r="FF168" s="53"/>
      <c r="FG168" s="49"/>
      <c r="FH168" s="52"/>
      <c r="FI168" s="49"/>
      <c r="FJ168" s="48"/>
      <c r="FK168" s="49"/>
      <c r="FL168" s="53"/>
      <c r="FM168" s="49"/>
      <c r="FN168" s="53"/>
      <c r="FO168" s="49"/>
      <c r="FP168" s="53"/>
      <c r="FQ168" s="49"/>
      <c r="FR168" s="48"/>
      <c r="FS168" s="49"/>
      <c r="FT168" s="48"/>
      <c r="FU168" s="49"/>
      <c r="FV168" s="53"/>
      <c r="FW168" s="49"/>
      <c r="FX168" s="53"/>
      <c r="FY168" s="49"/>
      <c r="FZ168" s="53"/>
      <c r="GA168" s="49"/>
      <c r="GB168" s="48"/>
      <c r="GC168" s="49"/>
      <c r="GD168" s="53"/>
      <c r="GE168" s="49"/>
      <c r="GF168" s="53"/>
      <c r="GG168" s="49"/>
      <c r="GH168" s="48"/>
      <c r="GI168" s="49"/>
      <c r="GJ168" s="48"/>
      <c r="GK168" s="48"/>
      <c r="GL168" s="48"/>
      <c r="GM168" s="48"/>
      <c r="GN168" s="48"/>
      <c r="GO168" s="48"/>
      <c r="GP168" s="48"/>
      <c r="GQ168" s="48"/>
      <c r="GR168" s="48"/>
      <c r="GS168" s="48"/>
      <c r="GT168" s="48"/>
      <c r="GU168" s="48"/>
      <c r="GV168" s="48"/>
      <c r="GW168" s="48"/>
      <c r="GX168" s="48"/>
      <c r="GY168" s="48"/>
      <c r="GZ168" s="48"/>
      <c r="HA168" s="48"/>
      <c r="HB168" s="48"/>
      <c r="HC168" s="48"/>
      <c r="HD168" s="48"/>
      <c r="HE168" s="48"/>
      <c r="HF168" s="48"/>
      <c r="HG168" s="48"/>
    </row>
    <row r="169" spans="11:215" x14ac:dyDescent="0.3">
      <c r="K169" s="49"/>
      <c r="M169" s="49"/>
      <c r="O169" s="49"/>
      <c r="Q169" s="49"/>
      <c r="S169" s="49"/>
      <c r="U169" s="49"/>
      <c r="V169" s="53"/>
      <c r="W169" s="49"/>
      <c r="Y169" s="49"/>
      <c r="AA169" s="49"/>
      <c r="AB169" s="53"/>
      <c r="AC169" s="49"/>
      <c r="AD169" s="53"/>
      <c r="AE169" s="49"/>
      <c r="AF169" s="53"/>
      <c r="AG169" s="49"/>
      <c r="AI169" s="49"/>
      <c r="AK169" s="49"/>
      <c r="AL169" s="53"/>
      <c r="AM169" s="49"/>
      <c r="AN169" s="53"/>
      <c r="AO169" s="49"/>
      <c r="AP169" s="53"/>
      <c r="AQ169" s="49"/>
      <c r="AS169" s="49"/>
      <c r="AT169" s="53"/>
      <c r="AU169" s="49"/>
      <c r="AV169" s="53"/>
      <c r="AW169" s="49"/>
      <c r="AY169" s="49"/>
      <c r="CA169" s="49"/>
      <c r="CC169" s="49"/>
      <c r="CE169" s="49"/>
      <c r="CG169" s="49"/>
      <c r="CH169" s="52"/>
      <c r="CI169" s="49"/>
      <c r="CK169" s="49"/>
      <c r="CL169" s="52"/>
      <c r="CM169" s="49"/>
      <c r="CN169" s="53"/>
      <c r="CO169" s="49"/>
      <c r="CP169" s="52"/>
      <c r="CQ169" s="49"/>
      <c r="CS169" s="49"/>
      <c r="CT169" s="53"/>
      <c r="CU169" s="49"/>
      <c r="CV169" s="53"/>
      <c r="CW169" s="49"/>
      <c r="CX169" s="53"/>
      <c r="CY169" s="49"/>
      <c r="DA169" s="49"/>
      <c r="DC169" s="49"/>
      <c r="DD169" s="53"/>
      <c r="DE169" s="49"/>
      <c r="DF169" s="53"/>
      <c r="DG169" s="49"/>
      <c r="DH169" s="53"/>
      <c r="DI169" s="49"/>
      <c r="DK169" s="49"/>
      <c r="DL169" s="53"/>
      <c r="DM169" s="49"/>
      <c r="DN169" s="53"/>
      <c r="DO169" s="49"/>
      <c r="DQ169" s="49"/>
      <c r="EQ169" s="48"/>
      <c r="ER169" s="48"/>
      <c r="ES169" s="49"/>
      <c r="ET169" s="48"/>
      <c r="EU169" s="49"/>
      <c r="EV169" s="48"/>
      <c r="EW169" s="49"/>
      <c r="EX169" s="48"/>
      <c r="EY169" s="49"/>
      <c r="EZ169" s="52"/>
      <c r="FA169" s="49"/>
      <c r="FB169" s="48"/>
      <c r="FC169" s="49"/>
      <c r="FD169" s="52"/>
      <c r="FE169" s="49"/>
      <c r="FF169" s="53"/>
      <c r="FG169" s="49"/>
      <c r="FH169" s="52"/>
      <c r="FI169" s="49"/>
      <c r="FJ169" s="48"/>
      <c r="FK169" s="49"/>
      <c r="FL169" s="53"/>
      <c r="FM169" s="49"/>
      <c r="FN169" s="53"/>
      <c r="FO169" s="49"/>
      <c r="FP169" s="53"/>
      <c r="FQ169" s="49"/>
      <c r="FR169" s="48"/>
      <c r="FS169" s="49"/>
      <c r="FT169" s="48"/>
      <c r="FU169" s="49"/>
      <c r="FV169" s="53"/>
      <c r="FW169" s="49"/>
      <c r="FX169" s="53"/>
      <c r="FY169" s="49"/>
      <c r="FZ169" s="53"/>
      <c r="GA169" s="49"/>
      <c r="GB169" s="48"/>
      <c r="GC169" s="49"/>
      <c r="GD169" s="53"/>
      <c r="GE169" s="49"/>
      <c r="GF169" s="53"/>
      <c r="GG169" s="49"/>
      <c r="GH169" s="48"/>
      <c r="GI169" s="49"/>
      <c r="GJ169" s="48"/>
      <c r="GK169" s="48"/>
      <c r="GL169" s="48"/>
      <c r="GM169" s="48"/>
      <c r="GN169" s="48"/>
      <c r="GO169" s="48"/>
      <c r="GP169" s="48"/>
      <c r="GQ169" s="48"/>
      <c r="GR169" s="48"/>
      <c r="GS169" s="48"/>
      <c r="GT169" s="48"/>
      <c r="GU169" s="48"/>
      <c r="GV169" s="48"/>
      <c r="GW169" s="48"/>
      <c r="GX169" s="48"/>
      <c r="GY169" s="48"/>
      <c r="GZ169" s="48"/>
      <c r="HA169" s="48"/>
      <c r="HB169" s="48"/>
      <c r="HC169" s="48"/>
      <c r="HD169" s="48"/>
      <c r="HE169" s="48"/>
      <c r="HF169" s="48"/>
      <c r="HG169" s="48"/>
    </row>
    <row r="170" spans="11:215" x14ac:dyDescent="0.3">
      <c r="K170" s="49"/>
      <c r="M170" s="49"/>
      <c r="O170" s="49"/>
      <c r="Q170" s="49"/>
      <c r="S170" s="49"/>
      <c r="U170" s="49"/>
      <c r="V170" s="53"/>
      <c r="W170" s="49"/>
      <c r="Y170" s="49"/>
      <c r="AA170" s="49"/>
      <c r="AB170" s="53"/>
      <c r="AC170" s="49"/>
      <c r="AD170" s="53"/>
      <c r="AE170" s="49"/>
      <c r="AF170" s="53"/>
      <c r="AG170" s="49"/>
      <c r="AI170" s="49"/>
      <c r="AK170" s="49"/>
      <c r="AL170" s="53"/>
      <c r="AM170" s="49"/>
      <c r="AN170" s="53"/>
      <c r="AO170" s="49"/>
      <c r="AP170" s="53"/>
      <c r="AQ170" s="49"/>
      <c r="AS170" s="49"/>
      <c r="AT170" s="53"/>
      <c r="AU170" s="49"/>
      <c r="AV170" s="53"/>
      <c r="AW170" s="49"/>
      <c r="AY170" s="49"/>
      <c r="CA170" s="49"/>
      <c r="CC170" s="49"/>
      <c r="CE170" s="49"/>
      <c r="CG170" s="49"/>
      <c r="CH170" s="52"/>
      <c r="CI170" s="49"/>
      <c r="CK170" s="49"/>
      <c r="CL170" s="52"/>
      <c r="CM170" s="49"/>
      <c r="CN170" s="53"/>
      <c r="CO170" s="49"/>
      <c r="CP170" s="52"/>
      <c r="CQ170" s="49"/>
      <c r="CS170" s="49"/>
      <c r="CT170" s="53"/>
      <c r="CU170" s="49"/>
      <c r="CV170" s="53"/>
      <c r="CW170" s="49"/>
      <c r="CX170" s="53"/>
      <c r="CY170" s="49"/>
      <c r="DA170" s="49"/>
      <c r="DC170" s="49"/>
      <c r="DD170" s="53"/>
      <c r="DE170" s="49"/>
      <c r="DF170" s="53"/>
      <c r="DG170" s="49"/>
      <c r="DH170" s="53"/>
      <c r="DI170" s="49"/>
      <c r="DK170" s="49"/>
      <c r="DL170" s="53"/>
      <c r="DM170" s="49"/>
      <c r="DN170" s="53"/>
      <c r="DO170" s="49"/>
      <c r="DQ170" s="49"/>
      <c r="EQ170" s="48"/>
      <c r="ER170" s="48"/>
      <c r="ES170" s="49"/>
      <c r="ET170" s="48"/>
      <c r="EU170" s="49"/>
      <c r="EV170" s="48"/>
      <c r="EW170" s="49"/>
      <c r="EX170" s="48"/>
      <c r="EY170" s="49"/>
      <c r="EZ170" s="52"/>
      <c r="FA170" s="49"/>
      <c r="FB170" s="48"/>
      <c r="FC170" s="49"/>
      <c r="FD170" s="52"/>
      <c r="FE170" s="49"/>
      <c r="FF170" s="53"/>
      <c r="FG170" s="49"/>
      <c r="FH170" s="52"/>
      <c r="FI170" s="49"/>
      <c r="FJ170" s="48"/>
      <c r="FK170" s="49"/>
      <c r="FL170" s="53"/>
      <c r="FM170" s="49"/>
      <c r="FN170" s="53"/>
      <c r="FO170" s="49"/>
      <c r="FP170" s="53"/>
      <c r="FQ170" s="49"/>
      <c r="FR170" s="48"/>
      <c r="FS170" s="49"/>
      <c r="FT170" s="48"/>
      <c r="FU170" s="49"/>
      <c r="FV170" s="53"/>
      <c r="FW170" s="49"/>
      <c r="FX170" s="53"/>
      <c r="FY170" s="49"/>
      <c r="FZ170" s="53"/>
      <c r="GA170" s="49"/>
      <c r="GB170" s="48"/>
      <c r="GC170" s="49"/>
      <c r="GD170" s="53"/>
      <c r="GE170" s="49"/>
      <c r="GF170" s="53"/>
      <c r="GG170" s="49"/>
      <c r="GH170" s="48"/>
      <c r="GI170" s="49"/>
      <c r="GJ170" s="48"/>
      <c r="GK170" s="48"/>
      <c r="GL170" s="48"/>
      <c r="GM170" s="48"/>
      <c r="GN170" s="48"/>
      <c r="GO170" s="48"/>
      <c r="GP170" s="48"/>
      <c r="GQ170" s="48"/>
      <c r="GR170" s="48"/>
      <c r="GS170" s="48"/>
      <c r="GT170" s="48"/>
      <c r="GU170" s="48"/>
      <c r="GV170" s="48"/>
      <c r="GW170" s="48"/>
      <c r="GX170" s="48"/>
      <c r="GY170" s="48"/>
      <c r="GZ170" s="48"/>
      <c r="HA170" s="48"/>
      <c r="HB170" s="48"/>
      <c r="HC170" s="48"/>
      <c r="HD170" s="48"/>
      <c r="HE170" s="48"/>
      <c r="HF170" s="48"/>
      <c r="HG170" s="48"/>
    </row>
    <row r="171" spans="11:215" x14ac:dyDescent="0.3">
      <c r="K171" s="49"/>
      <c r="M171" s="49"/>
      <c r="O171" s="49"/>
      <c r="Q171" s="49"/>
      <c r="S171" s="49"/>
      <c r="U171" s="49"/>
      <c r="V171" s="53"/>
      <c r="W171" s="49"/>
      <c r="Y171" s="49"/>
      <c r="AA171" s="49"/>
      <c r="AB171" s="53"/>
      <c r="AC171" s="49"/>
      <c r="AD171" s="53"/>
      <c r="AE171" s="49"/>
      <c r="AF171" s="53"/>
      <c r="AG171" s="49"/>
      <c r="AI171" s="49"/>
      <c r="AK171" s="49"/>
      <c r="AL171" s="53"/>
      <c r="AM171" s="49"/>
      <c r="AN171" s="53"/>
      <c r="AO171" s="49"/>
      <c r="AP171" s="53"/>
      <c r="AQ171" s="49"/>
      <c r="AS171" s="49"/>
      <c r="AT171" s="53"/>
      <c r="AU171" s="49"/>
      <c r="AV171" s="53"/>
      <c r="AW171" s="49"/>
      <c r="AY171" s="49"/>
      <c r="CA171" s="49"/>
      <c r="CC171" s="49"/>
      <c r="CE171" s="49"/>
      <c r="CG171" s="49"/>
      <c r="CH171" s="52"/>
      <c r="CI171" s="49"/>
      <c r="CK171" s="49"/>
      <c r="CL171" s="52"/>
      <c r="CM171" s="49"/>
      <c r="CN171" s="53"/>
      <c r="CO171" s="49"/>
      <c r="CP171" s="52"/>
      <c r="CQ171" s="49"/>
      <c r="CS171" s="49"/>
      <c r="CT171" s="53"/>
      <c r="CU171" s="49"/>
      <c r="CV171" s="53"/>
      <c r="CW171" s="49"/>
      <c r="CX171" s="53"/>
      <c r="CY171" s="49"/>
      <c r="DA171" s="49"/>
      <c r="DC171" s="49"/>
      <c r="DD171" s="53"/>
      <c r="DE171" s="49"/>
      <c r="DF171" s="53"/>
      <c r="DG171" s="49"/>
      <c r="DH171" s="53"/>
      <c r="DI171" s="49"/>
      <c r="DK171" s="49"/>
      <c r="DL171" s="53"/>
      <c r="DM171" s="49"/>
      <c r="DN171" s="53"/>
      <c r="DO171" s="49"/>
      <c r="DQ171" s="49"/>
      <c r="EQ171" s="48"/>
      <c r="ER171" s="48"/>
      <c r="ES171" s="49"/>
      <c r="ET171" s="48"/>
      <c r="EU171" s="49"/>
      <c r="EV171" s="48"/>
      <c r="EW171" s="49"/>
      <c r="EX171" s="48"/>
      <c r="EY171" s="49"/>
      <c r="EZ171" s="52"/>
      <c r="FA171" s="49"/>
      <c r="FB171" s="48"/>
      <c r="FC171" s="49"/>
      <c r="FD171" s="52"/>
      <c r="FE171" s="49"/>
      <c r="FF171" s="53"/>
      <c r="FG171" s="49"/>
      <c r="FH171" s="52"/>
      <c r="FI171" s="49"/>
      <c r="FJ171" s="48"/>
      <c r="FK171" s="49"/>
      <c r="FL171" s="53"/>
      <c r="FM171" s="49"/>
      <c r="FN171" s="53"/>
      <c r="FO171" s="49"/>
      <c r="FP171" s="53"/>
      <c r="FQ171" s="49"/>
      <c r="FR171" s="48"/>
      <c r="FS171" s="49"/>
      <c r="FT171" s="48"/>
      <c r="FU171" s="49"/>
      <c r="FV171" s="53"/>
      <c r="FW171" s="49"/>
      <c r="FX171" s="53"/>
      <c r="FY171" s="49"/>
      <c r="FZ171" s="53"/>
      <c r="GA171" s="49"/>
      <c r="GB171" s="48"/>
      <c r="GC171" s="49"/>
      <c r="GD171" s="53"/>
      <c r="GE171" s="49"/>
      <c r="GF171" s="53"/>
      <c r="GG171" s="49"/>
      <c r="GH171" s="48"/>
      <c r="GI171" s="49"/>
      <c r="GJ171" s="48"/>
      <c r="GK171" s="48"/>
      <c r="GL171" s="48"/>
      <c r="GM171" s="48"/>
      <c r="GN171" s="48"/>
      <c r="GO171" s="48"/>
      <c r="GP171" s="48"/>
      <c r="GQ171" s="48"/>
      <c r="GR171" s="48"/>
      <c r="GS171" s="48"/>
      <c r="GT171" s="48"/>
      <c r="GU171" s="48"/>
      <c r="GV171" s="48"/>
      <c r="GW171" s="48"/>
      <c r="GX171" s="48"/>
      <c r="GY171" s="48"/>
      <c r="GZ171" s="48"/>
      <c r="HA171" s="48"/>
      <c r="HB171" s="48"/>
      <c r="HC171" s="48"/>
      <c r="HD171" s="48"/>
      <c r="HE171" s="48"/>
      <c r="HF171" s="48"/>
      <c r="HG171" s="48"/>
    </row>
    <row r="172" spans="11:215" x14ac:dyDescent="0.3">
      <c r="K172" s="49"/>
      <c r="M172" s="49"/>
      <c r="O172" s="49"/>
      <c r="Q172" s="49"/>
      <c r="S172" s="49"/>
      <c r="U172" s="49"/>
      <c r="V172" s="53"/>
      <c r="W172" s="49"/>
      <c r="Y172" s="49"/>
      <c r="AA172" s="49"/>
      <c r="AB172" s="53"/>
      <c r="AC172" s="49"/>
      <c r="AD172" s="53"/>
      <c r="AE172" s="49"/>
      <c r="AF172" s="53"/>
      <c r="AG172" s="49"/>
      <c r="AI172" s="49"/>
      <c r="AK172" s="49"/>
      <c r="AL172" s="53"/>
      <c r="AM172" s="49"/>
      <c r="AN172" s="53"/>
      <c r="AO172" s="49"/>
      <c r="AP172" s="53"/>
      <c r="AQ172" s="49"/>
      <c r="AS172" s="49"/>
      <c r="AT172" s="53"/>
      <c r="AU172" s="49"/>
      <c r="AV172" s="53"/>
      <c r="AW172" s="49"/>
      <c r="AY172" s="49"/>
      <c r="CA172" s="49"/>
      <c r="CC172" s="49"/>
      <c r="CE172" s="49"/>
      <c r="CG172" s="49"/>
      <c r="CH172" s="52"/>
      <c r="CI172" s="49"/>
      <c r="CK172" s="49"/>
      <c r="CL172" s="52"/>
      <c r="CM172" s="49"/>
      <c r="CN172" s="53"/>
      <c r="CO172" s="49"/>
      <c r="CP172" s="52"/>
      <c r="CQ172" s="49"/>
      <c r="CS172" s="49"/>
      <c r="CT172" s="53"/>
      <c r="CU172" s="49"/>
      <c r="CV172" s="53"/>
      <c r="CW172" s="49"/>
      <c r="CX172" s="53"/>
      <c r="CY172" s="49"/>
      <c r="DA172" s="49"/>
      <c r="DC172" s="49"/>
      <c r="DD172" s="53"/>
      <c r="DE172" s="49"/>
      <c r="DF172" s="53"/>
      <c r="DG172" s="49"/>
      <c r="DH172" s="53"/>
      <c r="DI172" s="49"/>
      <c r="DK172" s="49"/>
      <c r="DL172" s="53"/>
      <c r="DM172" s="49"/>
      <c r="DN172" s="53"/>
      <c r="DO172" s="49"/>
      <c r="DQ172" s="49"/>
      <c r="EQ172" s="48"/>
      <c r="ER172" s="48"/>
      <c r="ES172" s="49"/>
      <c r="ET172" s="48"/>
      <c r="EU172" s="49"/>
      <c r="EV172" s="48"/>
      <c r="EW172" s="49"/>
      <c r="EX172" s="48"/>
      <c r="EY172" s="49"/>
      <c r="EZ172" s="52"/>
      <c r="FA172" s="49"/>
      <c r="FB172" s="48"/>
      <c r="FC172" s="49"/>
      <c r="FD172" s="52"/>
      <c r="FE172" s="49"/>
      <c r="FF172" s="53"/>
      <c r="FG172" s="49"/>
      <c r="FH172" s="52"/>
      <c r="FI172" s="49"/>
      <c r="FJ172" s="48"/>
      <c r="FK172" s="49"/>
      <c r="FL172" s="53"/>
      <c r="FM172" s="49"/>
      <c r="FN172" s="53"/>
      <c r="FO172" s="49"/>
      <c r="FP172" s="53"/>
      <c r="FQ172" s="49"/>
      <c r="FR172" s="48"/>
      <c r="FS172" s="49"/>
      <c r="FT172" s="48"/>
      <c r="FU172" s="49"/>
      <c r="FV172" s="53"/>
      <c r="FW172" s="49"/>
      <c r="FX172" s="53"/>
      <c r="FY172" s="49"/>
      <c r="FZ172" s="53"/>
      <c r="GA172" s="49"/>
      <c r="GB172" s="48"/>
      <c r="GC172" s="49"/>
      <c r="GD172" s="53"/>
      <c r="GE172" s="49"/>
      <c r="GF172" s="53"/>
      <c r="GG172" s="49"/>
      <c r="GH172" s="48"/>
      <c r="GI172" s="49"/>
      <c r="GJ172" s="48"/>
      <c r="GK172" s="48"/>
      <c r="GL172" s="48"/>
      <c r="GM172" s="48"/>
      <c r="GN172" s="48"/>
      <c r="GO172" s="48"/>
      <c r="GP172" s="48"/>
      <c r="GQ172" s="48"/>
      <c r="GR172" s="48"/>
      <c r="GS172" s="48"/>
      <c r="GT172" s="48"/>
      <c r="GU172" s="48"/>
      <c r="GV172" s="48"/>
      <c r="GW172" s="48"/>
      <c r="GX172" s="48"/>
      <c r="GY172" s="48"/>
      <c r="GZ172" s="48"/>
      <c r="HA172" s="48"/>
      <c r="HB172" s="48"/>
      <c r="HC172" s="48"/>
      <c r="HD172" s="48"/>
      <c r="HE172" s="48"/>
      <c r="HF172" s="48"/>
      <c r="HG172" s="48"/>
    </row>
    <row r="173" spans="11:215" x14ac:dyDescent="0.3">
      <c r="K173" s="49"/>
      <c r="M173" s="49"/>
      <c r="O173" s="49"/>
      <c r="Q173" s="49"/>
      <c r="S173" s="49"/>
      <c r="U173" s="49"/>
      <c r="V173" s="53"/>
      <c r="W173" s="49"/>
      <c r="Y173" s="49"/>
      <c r="AA173" s="49"/>
      <c r="AB173" s="53"/>
      <c r="AC173" s="49"/>
      <c r="AD173" s="53"/>
      <c r="AE173" s="49"/>
      <c r="AF173" s="53"/>
      <c r="AG173" s="49"/>
      <c r="AI173" s="49"/>
      <c r="AK173" s="49"/>
      <c r="AL173" s="53"/>
      <c r="AM173" s="49"/>
      <c r="AN173" s="53"/>
      <c r="AO173" s="49"/>
      <c r="AP173" s="53"/>
      <c r="AQ173" s="49"/>
      <c r="AS173" s="49"/>
      <c r="AT173" s="53"/>
      <c r="AU173" s="49"/>
      <c r="AV173" s="53"/>
      <c r="AW173" s="49"/>
      <c r="AY173" s="49"/>
      <c r="CA173" s="49"/>
      <c r="CC173" s="49"/>
      <c r="CE173" s="49"/>
      <c r="CG173" s="49"/>
      <c r="CH173" s="52"/>
      <c r="CI173" s="49"/>
      <c r="CK173" s="49"/>
      <c r="CL173" s="52"/>
      <c r="CM173" s="49"/>
      <c r="CN173" s="53"/>
      <c r="CO173" s="49"/>
      <c r="CP173" s="52"/>
      <c r="CQ173" s="49"/>
      <c r="CS173" s="49"/>
      <c r="CT173" s="53"/>
      <c r="CU173" s="49"/>
      <c r="CV173" s="53"/>
      <c r="CW173" s="49"/>
      <c r="CX173" s="53"/>
      <c r="CY173" s="49"/>
      <c r="DA173" s="49"/>
      <c r="DC173" s="49"/>
      <c r="DD173" s="53"/>
      <c r="DE173" s="49"/>
      <c r="DF173" s="53"/>
      <c r="DG173" s="49"/>
      <c r="DH173" s="53"/>
      <c r="DI173" s="49"/>
      <c r="DK173" s="49"/>
      <c r="DL173" s="53"/>
      <c r="DM173" s="49"/>
      <c r="DN173" s="53"/>
      <c r="DO173" s="49"/>
      <c r="DQ173" s="49"/>
      <c r="EQ173" s="48"/>
      <c r="ER173" s="48"/>
      <c r="ES173" s="49"/>
      <c r="ET173" s="48"/>
      <c r="EU173" s="49"/>
      <c r="EV173" s="48"/>
      <c r="EW173" s="49"/>
      <c r="EX173" s="48"/>
      <c r="EY173" s="49"/>
      <c r="EZ173" s="52"/>
      <c r="FA173" s="49"/>
      <c r="FB173" s="48"/>
      <c r="FC173" s="49"/>
      <c r="FD173" s="52"/>
      <c r="FE173" s="49"/>
      <c r="FF173" s="53"/>
      <c r="FG173" s="49"/>
      <c r="FH173" s="52"/>
      <c r="FI173" s="49"/>
      <c r="FJ173" s="48"/>
      <c r="FK173" s="49"/>
      <c r="FL173" s="53"/>
      <c r="FM173" s="49"/>
      <c r="FN173" s="53"/>
      <c r="FO173" s="49"/>
      <c r="FP173" s="53"/>
      <c r="FQ173" s="49"/>
      <c r="FR173" s="48"/>
      <c r="FS173" s="49"/>
      <c r="FT173" s="48"/>
      <c r="FU173" s="49"/>
      <c r="FV173" s="53"/>
      <c r="FW173" s="49"/>
      <c r="FX173" s="53"/>
      <c r="FY173" s="49"/>
      <c r="FZ173" s="53"/>
      <c r="GA173" s="49"/>
      <c r="GB173" s="48"/>
      <c r="GC173" s="49"/>
      <c r="GD173" s="53"/>
      <c r="GE173" s="49"/>
      <c r="GF173" s="53"/>
      <c r="GG173" s="49"/>
      <c r="GH173" s="48"/>
      <c r="GI173" s="49"/>
      <c r="GJ173" s="48"/>
      <c r="GK173" s="48"/>
      <c r="GL173" s="48"/>
      <c r="GM173" s="48"/>
      <c r="GN173" s="48"/>
      <c r="GO173" s="48"/>
      <c r="GP173" s="48"/>
      <c r="GQ173" s="48"/>
      <c r="GR173" s="48"/>
      <c r="GS173" s="48"/>
      <c r="GT173" s="48"/>
      <c r="GU173" s="48"/>
      <c r="GV173" s="48"/>
      <c r="GW173" s="48"/>
      <c r="GX173" s="48"/>
      <c r="GY173" s="48"/>
      <c r="GZ173" s="48"/>
      <c r="HA173" s="48"/>
      <c r="HB173" s="48"/>
      <c r="HC173" s="48"/>
      <c r="HD173" s="48"/>
      <c r="HE173" s="48"/>
      <c r="HF173" s="48"/>
      <c r="HG173" s="48"/>
    </row>
    <row r="174" spans="11:215" x14ac:dyDescent="0.3">
      <c r="K174" s="49"/>
      <c r="M174" s="49"/>
      <c r="O174" s="49"/>
      <c r="Q174" s="49"/>
      <c r="S174" s="49"/>
      <c r="U174" s="49"/>
      <c r="V174" s="53"/>
      <c r="W174" s="49"/>
      <c r="Y174" s="49"/>
      <c r="AA174" s="49"/>
      <c r="AB174" s="53"/>
      <c r="AC174" s="49"/>
      <c r="AD174" s="53"/>
      <c r="AE174" s="49"/>
      <c r="AF174" s="53"/>
      <c r="AG174" s="49"/>
      <c r="AI174" s="49"/>
      <c r="AK174" s="49"/>
      <c r="AL174" s="53"/>
      <c r="AM174" s="49"/>
      <c r="AN174" s="53"/>
      <c r="AO174" s="49"/>
      <c r="AP174" s="53"/>
      <c r="AQ174" s="49"/>
      <c r="AS174" s="49"/>
      <c r="AT174" s="53"/>
      <c r="AU174" s="49"/>
      <c r="AV174" s="53"/>
      <c r="AW174" s="49"/>
      <c r="AY174" s="49"/>
      <c r="CA174" s="49"/>
      <c r="CC174" s="49"/>
      <c r="CE174" s="49"/>
      <c r="CG174" s="49"/>
      <c r="CH174" s="52"/>
      <c r="CI174" s="49"/>
      <c r="CK174" s="49"/>
      <c r="CL174" s="52"/>
      <c r="CM174" s="49"/>
      <c r="CN174" s="53"/>
      <c r="CO174" s="49"/>
      <c r="CP174" s="52"/>
      <c r="CQ174" s="49"/>
      <c r="CS174" s="49"/>
      <c r="CT174" s="53"/>
      <c r="CU174" s="49"/>
      <c r="CV174" s="53"/>
      <c r="CW174" s="49"/>
      <c r="CX174" s="53"/>
      <c r="CY174" s="49"/>
      <c r="DA174" s="49"/>
      <c r="DC174" s="49"/>
      <c r="DD174" s="53"/>
      <c r="DE174" s="49"/>
      <c r="DF174" s="53"/>
      <c r="DG174" s="49"/>
      <c r="DH174" s="53"/>
      <c r="DI174" s="49"/>
      <c r="DK174" s="49"/>
      <c r="DL174" s="53"/>
      <c r="DM174" s="49"/>
      <c r="DN174" s="53"/>
      <c r="DO174" s="49"/>
      <c r="DQ174" s="49"/>
      <c r="EQ174" s="48"/>
      <c r="ER174" s="48"/>
      <c r="ES174" s="49"/>
      <c r="ET174" s="48"/>
      <c r="EU174" s="49"/>
      <c r="EV174" s="48"/>
      <c r="EW174" s="49"/>
      <c r="EX174" s="48"/>
      <c r="EY174" s="49"/>
      <c r="EZ174" s="52"/>
      <c r="FA174" s="49"/>
      <c r="FB174" s="48"/>
      <c r="FC174" s="49"/>
      <c r="FD174" s="52"/>
      <c r="FE174" s="49"/>
      <c r="FF174" s="53"/>
      <c r="FG174" s="49"/>
      <c r="FH174" s="52"/>
      <c r="FI174" s="49"/>
      <c r="FJ174" s="48"/>
      <c r="FK174" s="49"/>
      <c r="FL174" s="53"/>
      <c r="FM174" s="49"/>
      <c r="FN174" s="53"/>
      <c r="FO174" s="49"/>
      <c r="FP174" s="53"/>
      <c r="FQ174" s="49"/>
      <c r="FR174" s="48"/>
      <c r="FS174" s="49"/>
      <c r="FT174" s="48"/>
      <c r="FU174" s="49"/>
      <c r="FV174" s="53"/>
      <c r="FW174" s="49"/>
      <c r="FX174" s="53"/>
      <c r="FY174" s="49"/>
      <c r="FZ174" s="53"/>
      <c r="GA174" s="49"/>
      <c r="GB174" s="48"/>
      <c r="GC174" s="49"/>
      <c r="GD174" s="53"/>
      <c r="GE174" s="49"/>
      <c r="GF174" s="53"/>
      <c r="GG174" s="49"/>
      <c r="GH174" s="48"/>
      <c r="GI174" s="49"/>
      <c r="GJ174" s="48"/>
      <c r="GK174" s="48"/>
      <c r="GL174" s="48"/>
      <c r="GM174" s="48"/>
      <c r="GN174" s="48"/>
      <c r="GO174" s="48"/>
      <c r="GP174" s="48"/>
      <c r="GQ174" s="48"/>
      <c r="GR174" s="48"/>
      <c r="GS174" s="48"/>
      <c r="GT174" s="48"/>
      <c r="GU174" s="48"/>
      <c r="GV174" s="48"/>
      <c r="GW174" s="48"/>
      <c r="GX174" s="48"/>
      <c r="GY174" s="48"/>
      <c r="GZ174" s="48"/>
      <c r="HA174" s="48"/>
      <c r="HB174" s="48"/>
      <c r="HC174" s="48"/>
      <c r="HD174" s="48"/>
      <c r="HE174" s="48"/>
      <c r="HF174" s="48"/>
      <c r="HG174" s="48"/>
    </row>
    <row r="175" spans="11:215" x14ac:dyDescent="0.3">
      <c r="K175" s="49"/>
      <c r="M175" s="49"/>
      <c r="O175" s="49"/>
      <c r="Q175" s="49"/>
      <c r="S175" s="49"/>
      <c r="U175" s="49"/>
      <c r="V175" s="53"/>
      <c r="W175" s="49"/>
      <c r="Y175" s="49"/>
      <c r="AA175" s="49"/>
      <c r="AB175" s="53"/>
      <c r="AC175" s="49"/>
      <c r="AD175" s="53"/>
      <c r="AE175" s="49"/>
      <c r="AF175" s="53"/>
      <c r="AG175" s="49"/>
      <c r="AI175" s="49"/>
      <c r="AK175" s="49"/>
      <c r="AL175" s="53"/>
      <c r="AM175" s="49"/>
      <c r="AN175" s="53"/>
      <c r="AO175" s="49"/>
      <c r="AP175" s="53"/>
      <c r="AQ175" s="49"/>
      <c r="AS175" s="49"/>
      <c r="AT175" s="53"/>
      <c r="AU175" s="49"/>
      <c r="AV175" s="53"/>
      <c r="AW175" s="49"/>
      <c r="AY175" s="49"/>
      <c r="CA175" s="49"/>
      <c r="CC175" s="49"/>
      <c r="CE175" s="49"/>
      <c r="CG175" s="49"/>
      <c r="CH175" s="52"/>
      <c r="CI175" s="49"/>
      <c r="CK175" s="49"/>
      <c r="CL175" s="52"/>
      <c r="CM175" s="49"/>
      <c r="CN175" s="53"/>
      <c r="CO175" s="49"/>
      <c r="CP175" s="52"/>
      <c r="CQ175" s="49"/>
      <c r="CS175" s="49"/>
      <c r="CT175" s="53"/>
      <c r="CU175" s="49"/>
      <c r="CV175" s="53"/>
      <c r="CW175" s="49"/>
      <c r="CX175" s="53"/>
      <c r="CY175" s="49"/>
      <c r="DA175" s="49"/>
      <c r="DC175" s="49"/>
      <c r="DD175" s="53"/>
      <c r="DE175" s="49"/>
      <c r="DF175" s="53"/>
      <c r="DG175" s="49"/>
      <c r="DH175" s="53"/>
      <c r="DI175" s="49"/>
      <c r="DK175" s="49"/>
      <c r="DL175" s="53"/>
      <c r="DM175" s="49"/>
      <c r="DN175" s="53"/>
      <c r="DO175" s="49"/>
      <c r="DQ175" s="49"/>
      <c r="EQ175" s="48"/>
      <c r="ER175" s="48"/>
      <c r="ES175" s="49"/>
      <c r="ET175" s="48"/>
      <c r="EU175" s="49"/>
      <c r="EV175" s="48"/>
      <c r="EW175" s="49"/>
      <c r="EX175" s="48"/>
      <c r="EY175" s="49"/>
      <c r="EZ175" s="52"/>
      <c r="FA175" s="49"/>
      <c r="FB175" s="48"/>
      <c r="FC175" s="49"/>
      <c r="FD175" s="52"/>
      <c r="FE175" s="49"/>
      <c r="FF175" s="53"/>
      <c r="FG175" s="49"/>
      <c r="FH175" s="52"/>
      <c r="FI175" s="49"/>
      <c r="FJ175" s="48"/>
      <c r="FK175" s="49"/>
      <c r="FL175" s="53"/>
      <c r="FM175" s="49"/>
      <c r="FN175" s="53"/>
      <c r="FO175" s="49"/>
      <c r="FP175" s="53"/>
      <c r="FQ175" s="49"/>
      <c r="FR175" s="48"/>
      <c r="FS175" s="49"/>
      <c r="FT175" s="48"/>
      <c r="FU175" s="49"/>
      <c r="FV175" s="53"/>
      <c r="FW175" s="49"/>
      <c r="FX175" s="53"/>
      <c r="FY175" s="49"/>
      <c r="FZ175" s="53"/>
      <c r="GA175" s="49"/>
      <c r="GB175" s="48"/>
      <c r="GC175" s="49"/>
      <c r="GD175" s="53"/>
      <c r="GE175" s="49"/>
      <c r="GF175" s="53"/>
      <c r="GG175" s="49"/>
      <c r="GH175" s="48"/>
      <c r="GI175" s="49"/>
      <c r="GJ175" s="48"/>
      <c r="GK175" s="48"/>
      <c r="GL175" s="48"/>
      <c r="GM175" s="48"/>
      <c r="GN175" s="48"/>
      <c r="GO175" s="48"/>
      <c r="GP175" s="48"/>
      <c r="GQ175" s="48"/>
      <c r="GR175" s="48"/>
      <c r="GS175" s="48"/>
      <c r="GT175" s="48"/>
      <c r="GU175" s="48"/>
      <c r="GV175" s="48"/>
      <c r="GW175" s="48"/>
      <c r="GX175" s="48"/>
      <c r="GY175" s="48"/>
      <c r="GZ175" s="48"/>
      <c r="HA175" s="48"/>
      <c r="HB175" s="48"/>
      <c r="HC175" s="48"/>
      <c r="HD175" s="48"/>
      <c r="HE175" s="48"/>
      <c r="HF175" s="48"/>
      <c r="HG175" s="48"/>
    </row>
    <row r="176" spans="11:215" x14ac:dyDescent="0.3">
      <c r="K176" s="49"/>
      <c r="M176" s="49"/>
      <c r="O176" s="49"/>
      <c r="Q176" s="49"/>
      <c r="S176" s="49"/>
      <c r="U176" s="49"/>
      <c r="V176" s="53"/>
      <c r="W176" s="49"/>
      <c r="Y176" s="49"/>
      <c r="AA176" s="49"/>
      <c r="AB176" s="53"/>
      <c r="AC176" s="49"/>
      <c r="AD176" s="53"/>
      <c r="AE176" s="49"/>
      <c r="AF176" s="53"/>
      <c r="AG176" s="49"/>
      <c r="AI176" s="49"/>
      <c r="AK176" s="49"/>
      <c r="AL176" s="53"/>
      <c r="AM176" s="49"/>
      <c r="AN176" s="53"/>
      <c r="AO176" s="49"/>
      <c r="AP176" s="53"/>
      <c r="AQ176" s="49"/>
      <c r="AS176" s="49"/>
      <c r="AT176" s="53"/>
      <c r="AU176" s="49"/>
      <c r="AV176" s="53"/>
      <c r="AW176" s="49"/>
      <c r="AY176" s="49"/>
      <c r="CA176" s="49"/>
      <c r="CC176" s="49"/>
      <c r="CE176" s="49"/>
      <c r="CG176" s="49"/>
      <c r="CH176" s="52"/>
      <c r="CI176" s="49"/>
      <c r="CK176" s="49"/>
      <c r="CL176" s="52"/>
      <c r="CM176" s="49"/>
      <c r="CN176" s="53"/>
      <c r="CO176" s="49"/>
      <c r="CP176" s="52"/>
      <c r="CQ176" s="49"/>
      <c r="CS176" s="49"/>
      <c r="CT176" s="53"/>
      <c r="CU176" s="49"/>
      <c r="CV176" s="53"/>
      <c r="CW176" s="49"/>
      <c r="CX176" s="53"/>
      <c r="CY176" s="49"/>
      <c r="DA176" s="49"/>
      <c r="DC176" s="49"/>
      <c r="DD176" s="53"/>
      <c r="DE176" s="49"/>
      <c r="DF176" s="53"/>
      <c r="DG176" s="49"/>
      <c r="DH176" s="53"/>
      <c r="DI176" s="49"/>
      <c r="DK176" s="49"/>
      <c r="DL176" s="53"/>
      <c r="DM176" s="49"/>
      <c r="DN176" s="53"/>
      <c r="DO176" s="49"/>
      <c r="DQ176" s="49"/>
      <c r="EQ176" s="48"/>
      <c r="ER176" s="48"/>
      <c r="ES176" s="49"/>
      <c r="ET176" s="48"/>
      <c r="EU176" s="49"/>
      <c r="EV176" s="48"/>
      <c r="EW176" s="49"/>
      <c r="EX176" s="48"/>
      <c r="EY176" s="49"/>
      <c r="EZ176" s="52"/>
      <c r="FA176" s="49"/>
      <c r="FB176" s="48"/>
      <c r="FC176" s="49"/>
      <c r="FD176" s="52"/>
      <c r="FE176" s="49"/>
      <c r="FF176" s="53"/>
      <c r="FG176" s="49"/>
      <c r="FH176" s="52"/>
      <c r="FI176" s="49"/>
      <c r="FJ176" s="48"/>
      <c r="FK176" s="49"/>
      <c r="FL176" s="53"/>
      <c r="FM176" s="49"/>
      <c r="FN176" s="53"/>
      <c r="FO176" s="49"/>
      <c r="FP176" s="53"/>
      <c r="FQ176" s="49"/>
      <c r="FR176" s="48"/>
      <c r="FS176" s="49"/>
      <c r="FT176" s="48"/>
      <c r="FU176" s="49"/>
      <c r="FV176" s="53"/>
      <c r="FW176" s="49"/>
      <c r="FX176" s="53"/>
      <c r="FY176" s="49"/>
      <c r="FZ176" s="53"/>
      <c r="GA176" s="49"/>
      <c r="GB176" s="48"/>
      <c r="GC176" s="49"/>
      <c r="GD176" s="53"/>
      <c r="GE176" s="49"/>
      <c r="GF176" s="53"/>
      <c r="GG176" s="49"/>
      <c r="GH176" s="48"/>
      <c r="GI176" s="49"/>
      <c r="GJ176" s="48"/>
      <c r="GK176" s="48"/>
      <c r="GL176" s="48"/>
      <c r="GM176" s="48"/>
      <c r="GN176" s="48"/>
      <c r="GO176" s="48"/>
      <c r="GP176" s="48"/>
      <c r="GQ176" s="48"/>
      <c r="GR176" s="48"/>
      <c r="GS176" s="48"/>
      <c r="GT176" s="48"/>
      <c r="GU176" s="48"/>
      <c r="GV176" s="48"/>
      <c r="GW176" s="48"/>
      <c r="GX176" s="48"/>
      <c r="GY176" s="48"/>
      <c r="GZ176" s="48"/>
      <c r="HA176" s="48"/>
      <c r="HB176" s="48"/>
      <c r="HC176" s="48"/>
      <c r="HD176" s="48"/>
      <c r="HE176" s="48"/>
      <c r="HF176" s="48"/>
      <c r="HG176" s="48"/>
    </row>
    <row r="177" spans="11:215" x14ac:dyDescent="0.3">
      <c r="K177" s="49"/>
      <c r="M177" s="49"/>
      <c r="O177" s="49"/>
      <c r="Q177" s="49"/>
      <c r="S177" s="49"/>
      <c r="U177" s="49"/>
      <c r="V177" s="53"/>
      <c r="W177" s="49"/>
      <c r="Y177" s="49"/>
      <c r="AA177" s="49"/>
      <c r="AB177" s="53"/>
      <c r="AC177" s="49"/>
      <c r="AD177" s="53"/>
      <c r="AE177" s="49"/>
      <c r="AF177" s="53"/>
      <c r="AG177" s="49"/>
      <c r="AI177" s="49"/>
      <c r="AK177" s="49"/>
      <c r="AL177" s="53"/>
      <c r="AM177" s="49"/>
      <c r="AN177" s="53"/>
      <c r="AO177" s="49"/>
      <c r="AP177" s="53"/>
      <c r="AQ177" s="49"/>
      <c r="AS177" s="49"/>
      <c r="AT177" s="53"/>
      <c r="AU177" s="49"/>
      <c r="AV177" s="53"/>
      <c r="AW177" s="49"/>
      <c r="AY177" s="49"/>
      <c r="CA177" s="49"/>
      <c r="CC177" s="49"/>
      <c r="CE177" s="49"/>
      <c r="CG177" s="49"/>
      <c r="CH177" s="52"/>
      <c r="CI177" s="49"/>
      <c r="CK177" s="49"/>
      <c r="CL177" s="52"/>
      <c r="CM177" s="49"/>
      <c r="CN177" s="53"/>
      <c r="CO177" s="49"/>
      <c r="CP177" s="52"/>
      <c r="CQ177" s="49"/>
      <c r="CS177" s="49"/>
      <c r="CT177" s="53"/>
      <c r="CU177" s="49"/>
      <c r="CV177" s="53"/>
      <c r="CW177" s="49"/>
      <c r="CX177" s="53"/>
      <c r="CY177" s="49"/>
      <c r="DA177" s="49"/>
      <c r="DC177" s="49"/>
      <c r="DD177" s="53"/>
      <c r="DE177" s="49"/>
      <c r="DF177" s="53"/>
      <c r="DG177" s="49"/>
      <c r="DH177" s="53"/>
      <c r="DI177" s="49"/>
      <c r="DK177" s="49"/>
      <c r="DL177" s="53"/>
      <c r="DM177" s="49"/>
      <c r="DN177" s="53"/>
      <c r="DO177" s="49"/>
      <c r="DQ177" s="49"/>
      <c r="EQ177" s="48"/>
      <c r="ER177" s="48"/>
      <c r="ES177" s="49"/>
      <c r="ET177" s="48"/>
      <c r="EU177" s="49"/>
      <c r="EV177" s="48"/>
      <c r="EW177" s="49"/>
      <c r="EX177" s="48"/>
      <c r="EY177" s="49"/>
      <c r="EZ177" s="52"/>
      <c r="FA177" s="49"/>
      <c r="FB177" s="48"/>
      <c r="FC177" s="49"/>
      <c r="FD177" s="52"/>
      <c r="FE177" s="49"/>
      <c r="FF177" s="53"/>
      <c r="FG177" s="49"/>
      <c r="FH177" s="52"/>
      <c r="FI177" s="49"/>
      <c r="FJ177" s="48"/>
      <c r="FK177" s="49"/>
      <c r="FL177" s="53"/>
      <c r="FM177" s="49"/>
      <c r="FN177" s="53"/>
      <c r="FO177" s="49"/>
      <c r="FP177" s="53"/>
      <c r="FQ177" s="49"/>
      <c r="FR177" s="48"/>
      <c r="FS177" s="49"/>
      <c r="FT177" s="48"/>
      <c r="FU177" s="49"/>
      <c r="FV177" s="53"/>
      <c r="FW177" s="49"/>
      <c r="FX177" s="53"/>
      <c r="FY177" s="49"/>
      <c r="FZ177" s="53"/>
      <c r="GA177" s="49"/>
      <c r="GB177" s="48"/>
      <c r="GC177" s="49"/>
      <c r="GD177" s="53"/>
      <c r="GE177" s="49"/>
      <c r="GF177" s="53"/>
      <c r="GG177" s="49"/>
      <c r="GH177" s="48"/>
      <c r="GI177" s="49"/>
      <c r="GJ177" s="48"/>
      <c r="GK177" s="48"/>
      <c r="GL177" s="48"/>
      <c r="GM177" s="48"/>
      <c r="GN177" s="48"/>
      <c r="GO177" s="48"/>
      <c r="GP177" s="48"/>
      <c r="GQ177" s="48"/>
      <c r="GR177" s="48"/>
      <c r="GS177" s="48"/>
      <c r="GT177" s="48"/>
      <c r="GU177" s="48"/>
      <c r="GV177" s="48"/>
      <c r="GW177" s="48"/>
      <c r="GX177" s="48"/>
      <c r="GY177" s="48"/>
      <c r="GZ177" s="48"/>
      <c r="HA177" s="48"/>
      <c r="HB177" s="48"/>
      <c r="HC177" s="48"/>
      <c r="HD177" s="48"/>
      <c r="HE177" s="48"/>
      <c r="HF177" s="48"/>
      <c r="HG177" s="48"/>
    </row>
    <row r="178" spans="11:215" x14ac:dyDescent="0.3">
      <c r="K178" s="49"/>
      <c r="M178" s="49"/>
      <c r="O178" s="49"/>
      <c r="Q178" s="49"/>
      <c r="S178" s="49"/>
      <c r="U178" s="49"/>
      <c r="V178" s="53"/>
      <c r="W178" s="49"/>
      <c r="Y178" s="49"/>
      <c r="AA178" s="49"/>
      <c r="AB178" s="53"/>
      <c r="AC178" s="49"/>
      <c r="AD178" s="53"/>
      <c r="AE178" s="49"/>
      <c r="AF178" s="53"/>
      <c r="AG178" s="49"/>
      <c r="AI178" s="49"/>
      <c r="AK178" s="49"/>
      <c r="AL178" s="53"/>
      <c r="AM178" s="49"/>
      <c r="AN178" s="53"/>
      <c r="AO178" s="49"/>
      <c r="AP178" s="53"/>
      <c r="AQ178" s="49"/>
      <c r="AS178" s="49"/>
      <c r="AT178" s="53"/>
      <c r="AU178" s="49"/>
      <c r="AV178" s="53"/>
      <c r="AW178" s="49"/>
      <c r="AY178" s="49"/>
      <c r="CA178" s="49"/>
      <c r="CC178" s="49"/>
      <c r="CE178" s="49"/>
      <c r="CG178" s="49"/>
      <c r="CH178" s="52"/>
      <c r="CI178" s="49"/>
      <c r="CK178" s="49"/>
      <c r="CL178" s="52"/>
      <c r="CM178" s="49"/>
      <c r="CN178" s="53"/>
      <c r="CO178" s="49"/>
      <c r="CP178" s="52"/>
      <c r="CQ178" s="49"/>
      <c r="CS178" s="49"/>
      <c r="CT178" s="53"/>
      <c r="CU178" s="49"/>
      <c r="CV178" s="53"/>
      <c r="CW178" s="49"/>
      <c r="CX178" s="53"/>
      <c r="CY178" s="49"/>
      <c r="DA178" s="49"/>
      <c r="DC178" s="49"/>
      <c r="DD178" s="53"/>
      <c r="DE178" s="49"/>
      <c r="DF178" s="53"/>
      <c r="DG178" s="49"/>
      <c r="DH178" s="53"/>
      <c r="DI178" s="49"/>
      <c r="DK178" s="49"/>
      <c r="DL178" s="53"/>
      <c r="DM178" s="49"/>
      <c r="DN178" s="53"/>
      <c r="DO178" s="49"/>
      <c r="DQ178" s="49"/>
      <c r="EQ178" s="48"/>
      <c r="ER178" s="48"/>
      <c r="ES178" s="49"/>
      <c r="ET178" s="48"/>
      <c r="EU178" s="49"/>
      <c r="EV178" s="48"/>
      <c r="EW178" s="49"/>
      <c r="EX178" s="48"/>
      <c r="EY178" s="49"/>
      <c r="EZ178" s="52"/>
      <c r="FA178" s="49"/>
      <c r="FB178" s="48"/>
      <c r="FC178" s="49"/>
      <c r="FD178" s="52"/>
      <c r="FE178" s="49"/>
      <c r="FF178" s="53"/>
      <c r="FG178" s="49"/>
      <c r="FH178" s="52"/>
      <c r="FI178" s="49"/>
      <c r="FJ178" s="48"/>
      <c r="FK178" s="49"/>
      <c r="FL178" s="53"/>
      <c r="FM178" s="49"/>
      <c r="FN178" s="53"/>
      <c r="FO178" s="49"/>
      <c r="FP178" s="53"/>
      <c r="FQ178" s="49"/>
      <c r="FR178" s="48"/>
      <c r="FS178" s="49"/>
      <c r="FT178" s="48"/>
      <c r="FU178" s="49"/>
      <c r="FV178" s="53"/>
      <c r="FW178" s="49"/>
      <c r="FX178" s="53"/>
      <c r="FY178" s="49"/>
      <c r="FZ178" s="53"/>
      <c r="GA178" s="49"/>
      <c r="GB178" s="48"/>
      <c r="GC178" s="49"/>
      <c r="GD178" s="53"/>
      <c r="GE178" s="49"/>
      <c r="GF178" s="53"/>
      <c r="GG178" s="49"/>
      <c r="GH178" s="48"/>
      <c r="GI178" s="49"/>
      <c r="GJ178" s="48"/>
      <c r="GK178" s="48"/>
      <c r="GL178" s="48"/>
      <c r="GM178" s="48"/>
      <c r="GN178" s="48"/>
      <c r="GO178" s="48"/>
      <c r="GP178" s="48"/>
      <c r="GQ178" s="48"/>
      <c r="GR178" s="48"/>
      <c r="GS178" s="48"/>
      <c r="GT178" s="48"/>
      <c r="GU178" s="48"/>
      <c r="GV178" s="48"/>
      <c r="GW178" s="48"/>
      <c r="GX178" s="48"/>
      <c r="GY178" s="48"/>
      <c r="GZ178" s="48"/>
      <c r="HA178" s="48"/>
      <c r="HB178" s="48"/>
      <c r="HC178" s="48"/>
      <c r="HD178" s="48"/>
      <c r="HE178" s="48"/>
      <c r="HF178" s="48"/>
      <c r="HG178" s="48"/>
    </row>
    <row r="179" spans="11:215" x14ac:dyDescent="0.3">
      <c r="K179" s="49"/>
      <c r="M179" s="49"/>
      <c r="O179" s="49"/>
      <c r="Q179" s="49"/>
      <c r="S179" s="49"/>
      <c r="U179" s="49"/>
      <c r="V179" s="53"/>
      <c r="W179" s="49"/>
      <c r="Y179" s="49"/>
      <c r="AA179" s="49"/>
      <c r="AB179" s="53"/>
      <c r="AC179" s="49"/>
      <c r="AD179" s="53"/>
      <c r="AE179" s="49"/>
      <c r="AF179" s="53"/>
      <c r="AG179" s="49"/>
      <c r="AI179" s="49"/>
      <c r="AK179" s="49"/>
      <c r="AL179" s="53"/>
      <c r="AM179" s="49"/>
      <c r="AN179" s="53"/>
      <c r="AO179" s="49"/>
      <c r="AP179" s="53"/>
      <c r="AQ179" s="49"/>
      <c r="AS179" s="49"/>
      <c r="AT179" s="53"/>
      <c r="AU179" s="49"/>
      <c r="AV179" s="53"/>
      <c r="AW179" s="49"/>
      <c r="AY179" s="49"/>
      <c r="CA179" s="49"/>
      <c r="CC179" s="49"/>
      <c r="CE179" s="49"/>
      <c r="CG179" s="49"/>
      <c r="CH179" s="52"/>
      <c r="CI179" s="49"/>
      <c r="CK179" s="49"/>
      <c r="CL179" s="52"/>
      <c r="CM179" s="49"/>
      <c r="CN179" s="53"/>
      <c r="CO179" s="49"/>
      <c r="CP179" s="52"/>
      <c r="CQ179" s="49"/>
      <c r="CS179" s="49"/>
      <c r="CT179" s="53"/>
      <c r="CU179" s="49"/>
      <c r="CV179" s="53"/>
      <c r="CW179" s="49"/>
      <c r="CX179" s="53"/>
      <c r="CY179" s="49"/>
      <c r="DA179" s="49"/>
      <c r="DC179" s="49"/>
      <c r="DD179" s="53"/>
      <c r="DE179" s="49"/>
      <c r="DF179" s="53"/>
      <c r="DG179" s="49"/>
      <c r="DH179" s="53"/>
      <c r="DI179" s="49"/>
      <c r="DK179" s="49"/>
      <c r="DL179" s="53"/>
      <c r="DM179" s="49"/>
      <c r="DN179" s="53"/>
      <c r="DO179" s="49"/>
      <c r="DQ179" s="49"/>
      <c r="EQ179" s="48"/>
      <c r="ER179" s="48"/>
      <c r="ES179" s="49"/>
      <c r="ET179" s="48"/>
      <c r="EU179" s="49"/>
      <c r="EV179" s="48"/>
      <c r="EW179" s="49"/>
      <c r="EX179" s="48"/>
      <c r="EY179" s="49"/>
      <c r="EZ179" s="52"/>
      <c r="FA179" s="49"/>
      <c r="FB179" s="48"/>
      <c r="FC179" s="49"/>
      <c r="FD179" s="52"/>
      <c r="FE179" s="49"/>
      <c r="FF179" s="53"/>
      <c r="FG179" s="49"/>
      <c r="FH179" s="52"/>
      <c r="FI179" s="49"/>
      <c r="FJ179" s="48"/>
      <c r="FK179" s="49"/>
      <c r="FL179" s="53"/>
      <c r="FM179" s="49"/>
      <c r="FN179" s="53"/>
      <c r="FO179" s="49"/>
      <c r="FP179" s="53"/>
      <c r="FQ179" s="49"/>
      <c r="FR179" s="48"/>
      <c r="FS179" s="49"/>
      <c r="FT179" s="48"/>
      <c r="FU179" s="49"/>
      <c r="FV179" s="53"/>
      <c r="FW179" s="49"/>
      <c r="FX179" s="53"/>
      <c r="FY179" s="49"/>
      <c r="FZ179" s="53"/>
      <c r="GA179" s="49"/>
      <c r="GB179" s="48"/>
      <c r="GC179" s="49"/>
      <c r="GD179" s="53"/>
      <c r="GE179" s="49"/>
      <c r="GF179" s="53"/>
      <c r="GG179" s="49"/>
      <c r="GH179" s="48"/>
      <c r="GI179" s="49"/>
      <c r="GJ179" s="48"/>
      <c r="GK179" s="48"/>
      <c r="GL179" s="48"/>
      <c r="GM179" s="48"/>
      <c r="GN179" s="48"/>
      <c r="GO179" s="48"/>
      <c r="GP179" s="48"/>
      <c r="GQ179" s="48"/>
      <c r="GR179" s="48"/>
      <c r="GS179" s="48"/>
      <c r="GT179" s="48"/>
      <c r="GU179" s="48"/>
      <c r="GV179" s="48"/>
      <c r="GW179" s="48"/>
      <c r="GX179" s="48"/>
      <c r="GY179" s="48"/>
      <c r="GZ179" s="48"/>
      <c r="HA179" s="48"/>
      <c r="HB179" s="48"/>
      <c r="HC179" s="48"/>
      <c r="HD179" s="48"/>
      <c r="HE179" s="48"/>
      <c r="HF179" s="48"/>
      <c r="HG179" s="48"/>
    </row>
    <row r="180" spans="11:215" x14ac:dyDescent="0.3">
      <c r="K180" s="49"/>
      <c r="M180" s="49"/>
      <c r="O180" s="49"/>
      <c r="Q180" s="49"/>
      <c r="S180" s="49"/>
      <c r="U180" s="49"/>
      <c r="V180" s="53"/>
      <c r="W180" s="49"/>
      <c r="Y180" s="49"/>
      <c r="AA180" s="49"/>
      <c r="AB180" s="53"/>
      <c r="AC180" s="49"/>
      <c r="AD180" s="53"/>
      <c r="AE180" s="49"/>
      <c r="AF180" s="53"/>
      <c r="AG180" s="49"/>
      <c r="AI180" s="49"/>
      <c r="AK180" s="49"/>
      <c r="AL180" s="53"/>
      <c r="AM180" s="49"/>
      <c r="AN180" s="53"/>
      <c r="AO180" s="49"/>
      <c r="AP180" s="53"/>
      <c r="AQ180" s="49"/>
      <c r="AS180" s="49"/>
      <c r="AT180" s="53"/>
      <c r="AU180" s="49"/>
      <c r="AV180" s="53"/>
      <c r="AW180" s="49"/>
      <c r="AY180" s="49"/>
      <c r="CA180" s="49"/>
      <c r="CC180" s="49"/>
      <c r="CE180" s="49"/>
      <c r="CG180" s="49"/>
      <c r="CH180" s="52"/>
      <c r="CI180" s="49"/>
      <c r="CK180" s="49"/>
      <c r="CL180" s="52"/>
      <c r="CM180" s="49"/>
      <c r="CN180" s="53"/>
      <c r="CO180" s="49"/>
      <c r="CP180" s="52"/>
      <c r="CQ180" s="49"/>
      <c r="CS180" s="49"/>
      <c r="CT180" s="53"/>
      <c r="CU180" s="49"/>
      <c r="CV180" s="53"/>
      <c r="CW180" s="49"/>
      <c r="CX180" s="53"/>
      <c r="CY180" s="49"/>
      <c r="DA180" s="49"/>
      <c r="DC180" s="49"/>
      <c r="DD180" s="53"/>
      <c r="DE180" s="49"/>
      <c r="DF180" s="53"/>
      <c r="DG180" s="49"/>
      <c r="DH180" s="53"/>
      <c r="DI180" s="49"/>
      <c r="DK180" s="49"/>
      <c r="DL180" s="53"/>
      <c r="DM180" s="49"/>
      <c r="DN180" s="53"/>
      <c r="DO180" s="49"/>
      <c r="DQ180" s="49"/>
      <c r="EQ180" s="48"/>
      <c r="ER180" s="48"/>
      <c r="ES180" s="49"/>
      <c r="ET180" s="48"/>
      <c r="EU180" s="49"/>
      <c r="EV180" s="48"/>
      <c r="EW180" s="49"/>
      <c r="EX180" s="48"/>
      <c r="EY180" s="49"/>
      <c r="EZ180" s="52"/>
      <c r="FA180" s="49"/>
      <c r="FB180" s="48"/>
      <c r="FC180" s="49"/>
      <c r="FD180" s="52"/>
      <c r="FE180" s="49"/>
      <c r="FF180" s="53"/>
      <c r="FG180" s="49"/>
      <c r="FH180" s="52"/>
      <c r="FI180" s="49"/>
      <c r="FJ180" s="48"/>
      <c r="FK180" s="49"/>
      <c r="FL180" s="53"/>
      <c r="FM180" s="49"/>
      <c r="FN180" s="53"/>
      <c r="FO180" s="49"/>
      <c r="FP180" s="53"/>
      <c r="FQ180" s="49"/>
      <c r="FR180" s="48"/>
      <c r="FS180" s="49"/>
      <c r="FT180" s="48"/>
      <c r="FU180" s="49"/>
      <c r="FV180" s="53"/>
      <c r="FW180" s="49"/>
      <c r="FX180" s="53"/>
      <c r="FY180" s="49"/>
      <c r="FZ180" s="53"/>
      <c r="GA180" s="49"/>
      <c r="GB180" s="48"/>
      <c r="GC180" s="49"/>
      <c r="GD180" s="53"/>
      <c r="GE180" s="49"/>
      <c r="GF180" s="53"/>
      <c r="GG180" s="49"/>
      <c r="GH180" s="48"/>
      <c r="GI180" s="49"/>
      <c r="GJ180" s="48"/>
      <c r="GK180" s="48"/>
      <c r="GL180" s="48"/>
      <c r="GM180" s="48"/>
      <c r="GN180" s="48"/>
      <c r="GO180" s="48"/>
      <c r="GP180" s="48"/>
      <c r="GQ180" s="48"/>
      <c r="GR180" s="48"/>
      <c r="GS180" s="48"/>
      <c r="GT180" s="48"/>
      <c r="GU180" s="48"/>
      <c r="GV180" s="48"/>
      <c r="GW180" s="48"/>
      <c r="GX180" s="48"/>
      <c r="GY180" s="48"/>
      <c r="GZ180" s="48"/>
      <c r="HA180" s="48"/>
      <c r="HB180" s="48"/>
      <c r="HC180" s="48"/>
      <c r="HD180" s="48"/>
      <c r="HE180" s="48"/>
      <c r="HF180" s="48"/>
      <c r="HG180" s="48"/>
    </row>
    <row r="181" spans="11:215" x14ac:dyDescent="0.3">
      <c r="K181" s="49"/>
      <c r="M181" s="49"/>
      <c r="O181" s="49"/>
      <c r="Q181" s="49"/>
      <c r="S181" s="49"/>
      <c r="U181" s="49"/>
      <c r="V181" s="53"/>
      <c r="W181" s="49"/>
      <c r="Y181" s="49"/>
      <c r="AA181" s="49"/>
      <c r="AB181" s="53"/>
      <c r="AC181" s="49"/>
      <c r="AD181" s="53"/>
      <c r="AE181" s="49"/>
      <c r="AF181" s="53"/>
      <c r="AG181" s="49"/>
      <c r="AI181" s="49"/>
      <c r="AK181" s="49"/>
      <c r="AL181" s="53"/>
      <c r="AM181" s="49"/>
      <c r="AN181" s="53"/>
      <c r="AO181" s="49"/>
      <c r="AP181" s="53"/>
      <c r="AQ181" s="49"/>
      <c r="AS181" s="49"/>
      <c r="AT181" s="53"/>
      <c r="AU181" s="49"/>
      <c r="AV181" s="53"/>
      <c r="AW181" s="49"/>
      <c r="AY181" s="49"/>
      <c r="CA181" s="49"/>
      <c r="CC181" s="49"/>
      <c r="CE181" s="49"/>
      <c r="CG181" s="49"/>
      <c r="CH181" s="52"/>
      <c r="CI181" s="49"/>
      <c r="CK181" s="49"/>
      <c r="CL181" s="52"/>
      <c r="CM181" s="49"/>
      <c r="CN181" s="53"/>
      <c r="CO181" s="49"/>
      <c r="CP181" s="52"/>
      <c r="CQ181" s="49"/>
      <c r="CS181" s="49"/>
      <c r="CT181" s="53"/>
      <c r="CU181" s="49"/>
      <c r="CV181" s="53"/>
      <c r="CW181" s="49"/>
      <c r="CX181" s="53"/>
      <c r="CY181" s="49"/>
      <c r="DA181" s="49"/>
      <c r="DC181" s="49"/>
      <c r="DD181" s="53"/>
      <c r="DE181" s="49"/>
      <c r="DF181" s="53"/>
      <c r="DG181" s="49"/>
      <c r="DH181" s="53"/>
      <c r="DI181" s="49"/>
      <c r="DK181" s="49"/>
      <c r="DL181" s="53"/>
      <c r="DM181" s="49"/>
      <c r="DN181" s="53"/>
      <c r="DO181" s="49"/>
      <c r="DQ181" s="49"/>
      <c r="EQ181" s="48"/>
      <c r="ER181" s="48"/>
      <c r="ES181" s="49"/>
      <c r="ET181" s="48"/>
      <c r="EU181" s="49"/>
      <c r="EV181" s="48"/>
      <c r="EW181" s="49"/>
      <c r="EX181" s="48"/>
      <c r="EY181" s="49"/>
      <c r="EZ181" s="52"/>
      <c r="FA181" s="49"/>
      <c r="FB181" s="48"/>
      <c r="FC181" s="49"/>
      <c r="FD181" s="52"/>
      <c r="FE181" s="49"/>
      <c r="FF181" s="53"/>
      <c r="FG181" s="49"/>
      <c r="FH181" s="52"/>
      <c r="FI181" s="49"/>
      <c r="FJ181" s="48"/>
      <c r="FK181" s="49"/>
      <c r="FL181" s="53"/>
      <c r="FM181" s="49"/>
      <c r="FN181" s="53"/>
      <c r="FO181" s="49"/>
      <c r="FP181" s="53"/>
      <c r="FQ181" s="49"/>
      <c r="FR181" s="48"/>
      <c r="FS181" s="49"/>
      <c r="FT181" s="48"/>
      <c r="FU181" s="49"/>
      <c r="FV181" s="53"/>
      <c r="FW181" s="49"/>
      <c r="FX181" s="53"/>
      <c r="FY181" s="49"/>
      <c r="FZ181" s="53"/>
      <c r="GA181" s="49"/>
      <c r="GB181" s="48"/>
      <c r="GC181" s="49"/>
      <c r="GD181" s="53"/>
      <c r="GE181" s="49"/>
      <c r="GF181" s="53"/>
      <c r="GG181" s="49"/>
      <c r="GH181" s="48"/>
      <c r="GI181" s="49"/>
      <c r="GJ181" s="48"/>
      <c r="GK181" s="48"/>
      <c r="GL181" s="48"/>
      <c r="GM181" s="48"/>
      <c r="GN181" s="48"/>
      <c r="GO181" s="48"/>
      <c r="GP181" s="48"/>
      <c r="GQ181" s="48"/>
      <c r="GR181" s="48"/>
      <c r="GS181" s="48"/>
      <c r="GT181" s="48"/>
      <c r="GU181" s="48"/>
      <c r="GV181" s="48"/>
      <c r="GW181" s="48"/>
      <c r="GX181" s="48"/>
      <c r="GY181" s="48"/>
      <c r="GZ181" s="48"/>
      <c r="HA181" s="48"/>
      <c r="HB181" s="48"/>
      <c r="HC181" s="48"/>
      <c r="HD181" s="48"/>
      <c r="HE181" s="48"/>
      <c r="HF181" s="48"/>
      <c r="HG181" s="48"/>
    </row>
    <row r="182" spans="11:215" x14ac:dyDescent="0.3">
      <c r="K182" s="49"/>
      <c r="M182" s="49"/>
      <c r="O182" s="49"/>
      <c r="Q182" s="49"/>
      <c r="S182" s="49"/>
      <c r="U182" s="49"/>
      <c r="V182" s="53"/>
      <c r="W182" s="49"/>
      <c r="Y182" s="49"/>
      <c r="AA182" s="49"/>
      <c r="AB182" s="53"/>
      <c r="AC182" s="49"/>
      <c r="AD182" s="53"/>
      <c r="AE182" s="49"/>
      <c r="AF182" s="53"/>
      <c r="AG182" s="49"/>
      <c r="AI182" s="49"/>
      <c r="AK182" s="49"/>
      <c r="AL182" s="53"/>
      <c r="AM182" s="49"/>
      <c r="AN182" s="53"/>
      <c r="AO182" s="49"/>
      <c r="AP182" s="53"/>
      <c r="AQ182" s="49"/>
      <c r="AS182" s="49"/>
      <c r="AT182" s="53"/>
      <c r="AU182" s="49"/>
      <c r="AV182" s="53"/>
      <c r="AW182" s="49"/>
      <c r="AY182" s="49"/>
      <c r="CA182" s="49"/>
      <c r="CC182" s="49"/>
      <c r="CE182" s="49"/>
      <c r="CG182" s="49"/>
      <c r="CH182" s="52"/>
      <c r="CI182" s="49"/>
      <c r="CK182" s="49"/>
      <c r="CL182" s="52"/>
      <c r="CM182" s="49"/>
      <c r="CN182" s="53"/>
      <c r="CO182" s="49"/>
      <c r="CP182" s="52"/>
      <c r="CQ182" s="49"/>
      <c r="CS182" s="49"/>
      <c r="CT182" s="53"/>
      <c r="CU182" s="49"/>
      <c r="CV182" s="53"/>
      <c r="CW182" s="49"/>
      <c r="CX182" s="53"/>
      <c r="CY182" s="49"/>
      <c r="DA182" s="49"/>
      <c r="DC182" s="49"/>
      <c r="DD182" s="53"/>
      <c r="DE182" s="49"/>
      <c r="DF182" s="53"/>
      <c r="DG182" s="49"/>
      <c r="DH182" s="53"/>
      <c r="DI182" s="49"/>
      <c r="DK182" s="49"/>
      <c r="DL182" s="53"/>
      <c r="DM182" s="49"/>
      <c r="DN182" s="53"/>
      <c r="DO182" s="49"/>
      <c r="DQ182" s="49"/>
      <c r="EQ182" s="48"/>
      <c r="ER182" s="48"/>
      <c r="ES182" s="49"/>
      <c r="ET182" s="48"/>
      <c r="EU182" s="49"/>
      <c r="EV182" s="48"/>
      <c r="EW182" s="49"/>
      <c r="EX182" s="48"/>
      <c r="EY182" s="49"/>
      <c r="EZ182" s="52"/>
      <c r="FA182" s="49"/>
      <c r="FB182" s="48"/>
      <c r="FC182" s="49"/>
      <c r="FD182" s="52"/>
      <c r="FE182" s="49"/>
      <c r="FF182" s="53"/>
      <c r="FG182" s="49"/>
      <c r="FH182" s="52"/>
      <c r="FI182" s="49"/>
      <c r="FJ182" s="48"/>
      <c r="FK182" s="49"/>
      <c r="FL182" s="53"/>
      <c r="FM182" s="49"/>
      <c r="FN182" s="53"/>
      <c r="FO182" s="49"/>
      <c r="FP182" s="53"/>
      <c r="FQ182" s="49"/>
      <c r="FR182" s="48"/>
      <c r="FS182" s="49"/>
      <c r="FT182" s="48"/>
      <c r="FU182" s="49"/>
      <c r="FV182" s="53"/>
      <c r="FW182" s="49"/>
      <c r="FX182" s="53"/>
      <c r="FY182" s="49"/>
      <c r="FZ182" s="53"/>
      <c r="GA182" s="49"/>
      <c r="GB182" s="48"/>
      <c r="GC182" s="49"/>
      <c r="GD182" s="53"/>
      <c r="GE182" s="49"/>
      <c r="GF182" s="53"/>
      <c r="GG182" s="49"/>
      <c r="GH182" s="48"/>
      <c r="GI182" s="49"/>
      <c r="GJ182" s="48"/>
      <c r="GK182" s="48"/>
      <c r="GL182" s="48"/>
      <c r="GM182" s="48"/>
      <c r="GN182" s="48"/>
      <c r="GO182" s="48"/>
      <c r="GP182" s="48"/>
      <c r="GQ182" s="48"/>
      <c r="GR182" s="48"/>
      <c r="GS182" s="48"/>
      <c r="GT182" s="48"/>
      <c r="GU182" s="48"/>
      <c r="GV182" s="48"/>
      <c r="GW182" s="48"/>
      <c r="GX182" s="48"/>
      <c r="GY182" s="48"/>
      <c r="GZ182" s="48"/>
      <c r="HA182" s="48"/>
      <c r="HB182" s="48"/>
      <c r="HC182" s="48"/>
      <c r="HD182" s="48"/>
      <c r="HE182" s="48"/>
      <c r="HF182" s="48"/>
      <c r="HG182" s="48"/>
    </row>
    <row r="183" spans="11:215" x14ac:dyDescent="0.3">
      <c r="K183" s="49"/>
      <c r="M183" s="49"/>
      <c r="O183" s="49"/>
      <c r="Q183" s="49"/>
      <c r="S183" s="49"/>
      <c r="U183" s="49"/>
      <c r="V183" s="53"/>
      <c r="W183" s="49"/>
      <c r="Y183" s="49"/>
      <c r="AA183" s="49"/>
      <c r="AB183" s="53"/>
      <c r="AC183" s="49"/>
      <c r="AD183" s="53"/>
      <c r="AE183" s="49"/>
      <c r="AF183" s="53"/>
      <c r="AG183" s="49"/>
      <c r="AI183" s="49"/>
      <c r="AK183" s="49"/>
      <c r="AL183" s="53"/>
      <c r="AM183" s="49"/>
      <c r="AN183" s="53"/>
      <c r="AO183" s="49"/>
      <c r="AP183" s="53"/>
      <c r="AQ183" s="49"/>
      <c r="AS183" s="49"/>
      <c r="AT183" s="53"/>
      <c r="AU183" s="49"/>
      <c r="AV183" s="53"/>
      <c r="AW183" s="49"/>
      <c r="AY183" s="49"/>
      <c r="CA183" s="49"/>
      <c r="CC183" s="49"/>
      <c r="CE183" s="49"/>
      <c r="CG183" s="49"/>
      <c r="CH183" s="52"/>
      <c r="CI183" s="49"/>
      <c r="CK183" s="49"/>
      <c r="CL183" s="52"/>
      <c r="CM183" s="49"/>
      <c r="CN183" s="53"/>
      <c r="CO183" s="49"/>
      <c r="CP183" s="52"/>
      <c r="CQ183" s="49"/>
      <c r="CS183" s="49"/>
      <c r="CT183" s="53"/>
      <c r="CU183" s="49"/>
      <c r="CV183" s="53"/>
      <c r="CW183" s="49"/>
      <c r="CX183" s="53"/>
      <c r="CY183" s="49"/>
      <c r="DA183" s="49"/>
      <c r="DC183" s="49"/>
      <c r="DD183" s="53"/>
      <c r="DE183" s="49"/>
      <c r="DF183" s="53"/>
      <c r="DG183" s="49"/>
      <c r="DH183" s="53"/>
      <c r="DI183" s="49"/>
      <c r="DK183" s="49"/>
      <c r="DL183" s="53"/>
      <c r="DM183" s="49"/>
      <c r="DN183" s="53"/>
      <c r="DO183" s="49"/>
      <c r="DQ183" s="49"/>
      <c r="EQ183" s="48"/>
      <c r="ER183" s="48"/>
      <c r="ES183" s="49"/>
      <c r="ET183" s="48"/>
      <c r="EU183" s="49"/>
      <c r="EV183" s="48"/>
      <c r="EW183" s="49"/>
      <c r="EX183" s="48"/>
      <c r="EY183" s="49"/>
      <c r="EZ183" s="52"/>
      <c r="FA183" s="49"/>
      <c r="FB183" s="48"/>
      <c r="FC183" s="49"/>
      <c r="FD183" s="52"/>
      <c r="FE183" s="49"/>
      <c r="FF183" s="53"/>
      <c r="FG183" s="49"/>
      <c r="FH183" s="52"/>
      <c r="FI183" s="49"/>
      <c r="FJ183" s="48"/>
      <c r="FK183" s="49"/>
      <c r="FL183" s="53"/>
      <c r="FM183" s="49"/>
      <c r="FN183" s="53"/>
      <c r="FO183" s="49"/>
      <c r="FP183" s="53"/>
      <c r="FQ183" s="49"/>
      <c r="FR183" s="48"/>
      <c r="FS183" s="49"/>
      <c r="FT183" s="48"/>
      <c r="FU183" s="49"/>
      <c r="FV183" s="53"/>
      <c r="FW183" s="49"/>
      <c r="FX183" s="53"/>
      <c r="FY183" s="49"/>
      <c r="FZ183" s="53"/>
      <c r="GA183" s="49"/>
      <c r="GB183" s="48"/>
      <c r="GC183" s="49"/>
      <c r="GD183" s="53"/>
      <c r="GE183" s="49"/>
      <c r="GF183" s="53"/>
      <c r="GG183" s="49"/>
      <c r="GH183" s="48"/>
      <c r="GI183" s="49"/>
      <c r="GJ183" s="48"/>
      <c r="GK183" s="48"/>
      <c r="GL183" s="48"/>
      <c r="GM183" s="48"/>
      <c r="GN183" s="48"/>
      <c r="GO183" s="48"/>
      <c r="GP183" s="48"/>
      <c r="GQ183" s="48"/>
      <c r="GR183" s="48"/>
      <c r="GS183" s="48"/>
      <c r="GT183" s="48"/>
      <c r="GU183" s="48"/>
      <c r="GV183" s="48"/>
      <c r="GW183" s="48"/>
      <c r="GX183" s="48"/>
      <c r="GY183" s="48"/>
      <c r="GZ183" s="48"/>
      <c r="HA183" s="48"/>
      <c r="HB183" s="48"/>
      <c r="HC183" s="48"/>
      <c r="HD183" s="48"/>
      <c r="HE183" s="48"/>
      <c r="HF183" s="48"/>
      <c r="HG183" s="48"/>
    </row>
    <row r="184" spans="11:215" x14ac:dyDescent="0.3">
      <c r="K184" s="49"/>
      <c r="M184" s="49"/>
      <c r="O184" s="49"/>
      <c r="Q184" s="49"/>
      <c r="S184" s="49"/>
      <c r="U184" s="49"/>
      <c r="V184" s="53"/>
      <c r="W184" s="49"/>
      <c r="Y184" s="49"/>
      <c r="AA184" s="49"/>
      <c r="AB184" s="53"/>
      <c r="AC184" s="49"/>
      <c r="AD184" s="53"/>
      <c r="AE184" s="49"/>
      <c r="AF184" s="53"/>
      <c r="AG184" s="49"/>
      <c r="AI184" s="49"/>
      <c r="AK184" s="49"/>
      <c r="AL184" s="53"/>
      <c r="AM184" s="49"/>
      <c r="AN184" s="53"/>
      <c r="AO184" s="49"/>
      <c r="AP184" s="53"/>
      <c r="AQ184" s="49"/>
      <c r="AS184" s="49"/>
      <c r="AT184" s="53"/>
      <c r="AU184" s="49"/>
      <c r="AV184" s="53"/>
      <c r="AW184" s="49"/>
      <c r="AY184" s="49"/>
      <c r="CA184" s="49"/>
      <c r="CC184" s="49"/>
      <c r="CE184" s="49"/>
      <c r="CG184" s="49"/>
      <c r="CH184" s="52"/>
      <c r="CI184" s="49"/>
      <c r="CK184" s="49"/>
      <c r="CL184" s="52"/>
      <c r="CM184" s="49"/>
      <c r="CN184" s="53"/>
      <c r="CO184" s="49"/>
      <c r="CP184" s="52"/>
      <c r="CQ184" s="49"/>
      <c r="CS184" s="49"/>
      <c r="CT184" s="53"/>
      <c r="CU184" s="49"/>
      <c r="CV184" s="53"/>
      <c r="CW184" s="49"/>
      <c r="CX184" s="53"/>
      <c r="CY184" s="49"/>
      <c r="DA184" s="49"/>
      <c r="DC184" s="49"/>
      <c r="DD184" s="53"/>
      <c r="DE184" s="49"/>
      <c r="DF184" s="53"/>
      <c r="DG184" s="49"/>
      <c r="DH184" s="53"/>
      <c r="DI184" s="49"/>
      <c r="DK184" s="49"/>
      <c r="DL184" s="53"/>
      <c r="DM184" s="49"/>
      <c r="DN184" s="53"/>
      <c r="DO184" s="49"/>
      <c r="DQ184" s="49"/>
      <c r="EQ184" s="48"/>
      <c r="ER184" s="48"/>
      <c r="ES184" s="49"/>
      <c r="ET184" s="48"/>
      <c r="EU184" s="49"/>
      <c r="EV184" s="48"/>
      <c r="EW184" s="49"/>
      <c r="EX184" s="48"/>
      <c r="EY184" s="49"/>
      <c r="EZ184" s="52"/>
      <c r="FA184" s="49"/>
      <c r="FB184" s="48"/>
      <c r="FC184" s="49"/>
      <c r="FD184" s="52"/>
      <c r="FE184" s="49"/>
      <c r="FF184" s="53"/>
      <c r="FG184" s="49"/>
      <c r="FH184" s="52"/>
      <c r="FI184" s="49"/>
      <c r="FJ184" s="48"/>
      <c r="FK184" s="49"/>
      <c r="FL184" s="53"/>
      <c r="FM184" s="49"/>
      <c r="FN184" s="53"/>
      <c r="FO184" s="49"/>
      <c r="FP184" s="53"/>
      <c r="FQ184" s="49"/>
      <c r="FR184" s="48"/>
      <c r="FS184" s="49"/>
      <c r="FT184" s="48"/>
      <c r="FU184" s="49"/>
      <c r="FV184" s="53"/>
      <c r="FW184" s="49"/>
      <c r="FX184" s="53"/>
      <c r="FY184" s="49"/>
      <c r="FZ184" s="53"/>
      <c r="GA184" s="49"/>
      <c r="GB184" s="48"/>
      <c r="GC184" s="49"/>
      <c r="GD184" s="53"/>
      <c r="GE184" s="49"/>
      <c r="GF184" s="53"/>
      <c r="GG184" s="49"/>
      <c r="GH184" s="48"/>
      <c r="GI184" s="49"/>
      <c r="GJ184" s="48"/>
      <c r="GK184" s="48"/>
      <c r="GL184" s="48"/>
      <c r="GM184" s="48"/>
      <c r="GN184" s="48"/>
      <c r="GO184" s="48"/>
      <c r="GP184" s="48"/>
      <c r="GQ184" s="48"/>
      <c r="GR184" s="48"/>
      <c r="GS184" s="48"/>
      <c r="GT184" s="48"/>
      <c r="GU184" s="48"/>
      <c r="GV184" s="48"/>
      <c r="GW184" s="48"/>
      <c r="GX184" s="48"/>
      <c r="GY184" s="48"/>
      <c r="GZ184" s="48"/>
      <c r="HA184" s="48"/>
      <c r="HB184" s="48"/>
      <c r="HC184" s="48"/>
      <c r="HD184" s="48"/>
      <c r="HE184" s="48"/>
      <c r="HF184" s="48"/>
      <c r="HG184" s="48"/>
    </row>
    <row r="185" spans="11:215" x14ac:dyDescent="0.3">
      <c r="K185" s="49"/>
      <c r="M185" s="49"/>
      <c r="O185" s="49"/>
      <c r="Q185" s="49"/>
      <c r="S185" s="49"/>
      <c r="U185" s="49"/>
      <c r="V185" s="53"/>
      <c r="W185" s="49"/>
      <c r="Y185" s="49"/>
      <c r="AA185" s="49"/>
      <c r="AB185" s="53"/>
      <c r="AC185" s="49"/>
      <c r="AD185" s="53"/>
      <c r="AE185" s="49"/>
      <c r="AF185" s="53"/>
      <c r="AG185" s="49"/>
      <c r="AI185" s="49"/>
      <c r="AK185" s="49"/>
      <c r="AL185" s="53"/>
      <c r="AM185" s="49"/>
      <c r="AN185" s="53"/>
      <c r="AO185" s="49"/>
      <c r="AP185" s="53"/>
      <c r="AQ185" s="49"/>
      <c r="AS185" s="49"/>
      <c r="AT185" s="53"/>
      <c r="AU185" s="49"/>
      <c r="AV185" s="53"/>
      <c r="AW185" s="49"/>
      <c r="AY185" s="49"/>
      <c r="CA185" s="49"/>
      <c r="CC185" s="49"/>
      <c r="CE185" s="49"/>
      <c r="CG185" s="49"/>
      <c r="CH185" s="52"/>
      <c r="CI185" s="49"/>
      <c r="CK185" s="49"/>
      <c r="CL185" s="52"/>
      <c r="CM185" s="49"/>
      <c r="CN185" s="53"/>
      <c r="CO185" s="49"/>
      <c r="CP185" s="52"/>
      <c r="CQ185" s="49"/>
      <c r="CS185" s="49"/>
      <c r="CT185" s="53"/>
      <c r="CU185" s="49"/>
      <c r="CV185" s="53"/>
      <c r="CW185" s="49"/>
      <c r="CX185" s="53"/>
      <c r="CY185" s="49"/>
      <c r="DA185" s="49"/>
      <c r="DC185" s="49"/>
      <c r="DD185" s="53"/>
      <c r="DE185" s="49"/>
      <c r="DF185" s="53"/>
      <c r="DG185" s="49"/>
      <c r="DH185" s="53"/>
      <c r="DI185" s="49"/>
      <c r="DK185" s="49"/>
      <c r="DL185" s="53"/>
      <c r="DM185" s="49"/>
      <c r="DN185" s="53"/>
      <c r="DO185" s="49"/>
      <c r="DQ185" s="49"/>
    </row>
    <row r="186" spans="11:215" x14ac:dyDescent="0.3">
      <c r="K186" s="49"/>
      <c r="M186" s="49"/>
      <c r="O186" s="49"/>
      <c r="Q186" s="49"/>
      <c r="S186" s="49"/>
      <c r="U186" s="49"/>
      <c r="V186" s="53"/>
      <c r="W186" s="49"/>
      <c r="Y186" s="49"/>
      <c r="AA186" s="49"/>
      <c r="AB186" s="53"/>
      <c r="AC186" s="49"/>
      <c r="AD186" s="53"/>
      <c r="AE186" s="49"/>
      <c r="AF186" s="53"/>
      <c r="AG186" s="49"/>
      <c r="AI186" s="49"/>
      <c r="AK186" s="49"/>
      <c r="AL186" s="53"/>
      <c r="AM186" s="49"/>
      <c r="AO186" s="49"/>
      <c r="AP186" s="53"/>
      <c r="AQ186" s="49"/>
      <c r="AS186" s="49"/>
      <c r="AT186" s="53"/>
      <c r="AU186" s="49"/>
      <c r="AV186" s="53"/>
      <c r="AW186" s="49"/>
      <c r="AY186" s="49"/>
      <c r="CA186" s="49"/>
      <c r="CC186" s="49"/>
      <c r="CE186" s="49"/>
      <c r="CG186" s="49"/>
      <c r="CH186" s="52"/>
      <c r="CI186" s="49"/>
      <c r="CK186" s="49"/>
      <c r="CL186" s="52"/>
      <c r="CM186" s="49"/>
      <c r="CN186" s="53"/>
      <c r="CO186" s="49"/>
      <c r="CP186" s="52"/>
      <c r="CQ186" s="49"/>
      <c r="CS186" s="49"/>
      <c r="CT186" s="53"/>
      <c r="CU186" s="49"/>
      <c r="CV186" s="53"/>
      <c r="CW186" s="49"/>
      <c r="CX186" s="53"/>
      <c r="CY186" s="49"/>
      <c r="DA186" s="49"/>
      <c r="DC186" s="49"/>
      <c r="DD186" s="53"/>
      <c r="DE186" s="49"/>
      <c r="DG186" s="49"/>
      <c r="DH186" s="53"/>
      <c r="DI186" s="49"/>
      <c r="DK186" s="49"/>
      <c r="DL186" s="53"/>
      <c r="DM186" s="49"/>
      <c r="DN186" s="53"/>
      <c r="DO186" s="49"/>
      <c r="DQ186" s="49"/>
    </row>
    <row r="187" spans="11:215" x14ac:dyDescent="0.3">
      <c r="K187" s="49"/>
      <c r="M187" s="49"/>
      <c r="O187" s="49"/>
      <c r="Q187" s="49"/>
      <c r="S187" s="49"/>
      <c r="U187" s="49"/>
      <c r="V187" s="53"/>
      <c r="W187" s="49"/>
      <c r="Y187" s="49"/>
      <c r="AA187" s="49"/>
      <c r="AB187" s="53"/>
      <c r="AC187" s="49"/>
      <c r="AD187" s="53"/>
      <c r="AE187" s="49"/>
      <c r="AF187" s="53"/>
      <c r="AG187" s="49"/>
      <c r="AI187" s="49"/>
      <c r="AK187" s="49"/>
      <c r="AL187" s="53"/>
      <c r="AM187" s="49"/>
      <c r="AO187" s="49"/>
      <c r="AP187" s="53"/>
      <c r="AQ187" s="49"/>
      <c r="AS187" s="49"/>
      <c r="AT187" s="53"/>
      <c r="AU187" s="49"/>
      <c r="AV187" s="53"/>
      <c r="AW187" s="49"/>
      <c r="AY187" s="49"/>
      <c r="CA187" s="49"/>
      <c r="CC187" s="49"/>
      <c r="CE187" s="49"/>
      <c r="CG187" s="49"/>
      <c r="CH187" s="52"/>
      <c r="CI187" s="49"/>
      <c r="CK187" s="49"/>
      <c r="CL187" s="52"/>
      <c r="CM187" s="49"/>
      <c r="CN187" s="53"/>
      <c r="CO187" s="49"/>
      <c r="CP187" s="52"/>
      <c r="CQ187" s="49"/>
      <c r="CS187" s="49"/>
      <c r="CT187" s="53"/>
      <c r="CU187" s="49"/>
      <c r="CV187" s="53"/>
      <c r="CW187" s="49"/>
      <c r="CX187" s="53"/>
      <c r="CY187" s="49"/>
      <c r="DA187" s="49"/>
      <c r="DC187" s="49"/>
      <c r="DD187" s="53"/>
      <c r="DE187" s="49"/>
      <c r="DG187" s="49"/>
      <c r="DH187" s="53"/>
      <c r="DI187" s="49"/>
      <c r="DK187" s="49"/>
      <c r="DL187" s="53"/>
      <c r="DM187" s="49"/>
      <c r="DN187" s="53"/>
      <c r="DO187" s="49"/>
      <c r="DQ187" s="49"/>
    </row>
    <row r="188" spans="11:215" x14ac:dyDescent="0.3">
      <c r="K188" s="49"/>
      <c r="M188" s="49"/>
      <c r="O188" s="49"/>
      <c r="Q188" s="49"/>
      <c r="S188" s="49"/>
      <c r="U188" s="49"/>
      <c r="V188" s="53"/>
      <c r="W188" s="49"/>
      <c r="Y188" s="49"/>
      <c r="AA188" s="49"/>
      <c r="AB188" s="53"/>
      <c r="AC188" s="49"/>
      <c r="AD188" s="53"/>
      <c r="AE188" s="49"/>
      <c r="AF188" s="53"/>
      <c r="AG188" s="49"/>
      <c r="AI188" s="49"/>
      <c r="AK188" s="49"/>
      <c r="AL188" s="53"/>
      <c r="AM188" s="49"/>
      <c r="AO188" s="49"/>
      <c r="AP188" s="53"/>
      <c r="AQ188" s="49"/>
      <c r="AS188" s="49"/>
      <c r="AT188" s="53"/>
      <c r="AU188" s="49"/>
      <c r="AV188" s="53"/>
      <c r="AW188" s="49"/>
      <c r="AY188" s="49"/>
      <c r="CA188" s="49"/>
      <c r="CC188" s="49"/>
      <c r="CE188" s="49"/>
      <c r="CG188" s="49"/>
      <c r="CH188" s="52"/>
      <c r="CI188" s="49"/>
      <c r="CK188" s="49"/>
      <c r="CL188" s="52"/>
      <c r="CM188" s="49"/>
      <c r="CN188" s="53"/>
      <c r="CO188" s="49"/>
      <c r="CP188" s="52"/>
      <c r="CQ188" s="49"/>
      <c r="CS188" s="49"/>
      <c r="CT188" s="53"/>
      <c r="CU188" s="49"/>
      <c r="CV188" s="53"/>
      <c r="CW188" s="49"/>
      <c r="CX188" s="53"/>
      <c r="CY188" s="49"/>
      <c r="DA188" s="49"/>
      <c r="DC188" s="49"/>
      <c r="DD188" s="53"/>
      <c r="DE188" s="49"/>
      <c r="DG188" s="49"/>
      <c r="DH188" s="53"/>
      <c r="DI188" s="49"/>
      <c r="DK188" s="49"/>
      <c r="DL188" s="53"/>
      <c r="DM188" s="49"/>
      <c r="DN188" s="53"/>
      <c r="DO188" s="49"/>
      <c r="DQ188" s="49"/>
    </row>
    <row r="189" spans="11:215" x14ac:dyDescent="0.3">
      <c r="K189" s="49"/>
      <c r="M189" s="49"/>
      <c r="O189" s="49"/>
      <c r="Q189" s="49"/>
      <c r="S189" s="49"/>
      <c r="U189" s="49"/>
      <c r="V189" s="53"/>
      <c r="W189" s="49"/>
      <c r="Y189" s="49"/>
      <c r="AA189" s="49"/>
      <c r="AB189" s="53"/>
      <c r="AC189" s="49"/>
      <c r="AD189" s="53"/>
      <c r="AE189" s="49"/>
      <c r="AF189" s="53"/>
      <c r="AG189" s="49"/>
      <c r="AI189" s="49"/>
      <c r="AK189" s="49"/>
      <c r="AL189" s="53"/>
      <c r="AM189" s="49"/>
      <c r="AO189" s="49"/>
      <c r="AP189" s="53"/>
      <c r="AQ189" s="49"/>
      <c r="AS189" s="49"/>
      <c r="AT189" s="53"/>
      <c r="AU189" s="49"/>
      <c r="AV189" s="53"/>
      <c r="AW189" s="49"/>
      <c r="AY189" s="49"/>
      <c r="CA189" s="49"/>
      <c r="CC189" s="49"/>
      <c r="CE189" s="49"/>
      <c r="CG189" s="49"/>
      <c r="CI189" s="49"/>
      <c r="CK189" s="49"/>
      <c r="CM189" s="49"/>
      <c r="CO189" s="49"/>
      <c r="CQ189" s="49"/>
      <c r="CS189" s="49"/>
      <c r="CU189" s="49"/>
      <c r="CW189" s="49"/>
      <c r="CY189" s="49"/>
      <c r="DA189" s="49"/>
      <c r="DC189" s="49"/>
      <c r="DE189" s="49"/>
      <c r="DG189" s="49"/>
      <c r="DI189" s="49"/>
      <c r="DK189" s="49"/>
      <c r="DM189" s="49"/>
      <c r="DO189" s="49"/>
      <c r="DQ189" s="49"/>
    </row>
    <row r="190" spans="11:215" x14ac:dyDescent="0.3">
      <c r="K190" s="49"/>
      <c r="M190" s="49"/>
      <c r="O190" s="49"/>
      <c r="Q190" s="49"/>
      <c r="S190" s="49"/>
      <c r="U190" s="49"/>
      <c r="V190" s="53"/>
      <c r="W190" s="49"/>
      <c r="Y190" s="49"/>
      <c r="AA190" s="49"/>
      <c r="AB190" s="53"/>
      <c r="AC190" s="49"/>
      <c r="AD190" s="53"/>
      <c r="AE190" s="49"/>
      <c r="AG190" s="49"/>
      <c r="AI190" s="49"/>
      <c r="AK190" s="49"/>
      <c r="AL190" s="53"/>
      <c r="AM190" s="49"/>
      <c r="AO190" s="49"/>
      <c r="AP190" s="53"/>
      <c r="AQ190" s="49"/>
      <c r="AS190" s="49"/>
      <c r="AT190" s="53"/>
      <c r="AU190" s="49"/>
      <c r="AV190" s="53"/>
      <c r="AW190" s="49"/>
      <c r="AY190" s="49"/>
      <c r="CA190" s="49"/>
      <c r="CC190" s="49"/>
      <c r="CE190" s="49"/>
      <c r="CG190" s="49"/>
      <c r="CI190" s="49"/>
      <c r="CK190" s="49"/>
      <c r="CM190" s="49"/>
      <c r="CO190" s="49"/>
      <c r="CQ190" s="49"/>
      <c r="CS190" s="49"/>
      <c r="CU190" s="49"/>
      <c r="CW190" s="49"/>
      <c r="CY190" s="49"/>
      <c r="DA190" s="49"/>
      <c r="DC190" s="49"/>
      <c r="DE190" s="49"/>
      <c r="DG190" s="49"/>
      <c r="DI190" s="49"/>
      <c r="DK190" s="49"/>
      <c r="DM190" s="49"/>
      <c r="DO190" s="49"/>
      <c r="DQ190" s="49"/>
    </row>
    <row r="191" spans="11:215" x14ac:dyDescent="0.3">
      <c r="K191" s="49"/>
      <c r="M191" s="49"/>
      <c r="O191" s="49"/>
      <c r="Q191" s="49"/>
      <c r="S191" s="49"/>
      <c r="U191" s="49"/>
      <c r="V191" s="53"/>
      <c r="W191" s="49"/>
      <c r="Y191" s="49"/>
      <c r="AA191" s="49"/>
      <c r="AB191" s="53"/>
      <c r="AC191" s="49"/>
      <c r="AD191" s="53"/>
      <c r="AE191" s="49"/>
      <c r="AG191" s="49"/>
      <c r="AI191" s="49"/>
      <c r="AK191" s="49"/>
      <c r="AL191" s="53"/>
      <c r="AM191" s="49"/>
      <c r="AO191" s="49"/>
      <c r="AP191" s="53"/>
      <c r="AQ191" s="49"/>
      <c r="AS191" s="49"/>
      <c r="AT191" s="53"/>
      <c r="AU191" s="49"/>
      <c r="AV191" s="53"/>
      <c r="AW191" s="49"/>
      <c r="AY191" s="49"/>
      <c r="CA191" s="49"/>
      <c r="CC191" s="49"/>
      <c r="CE191" s="49"/>
      <c r="CG191" s="49"/>
      <c r="CI191" s="49"/>
      <c r="CK191" s="49"/>
      <c r="CM191" s="49"/>
      <c r="CO191" s="49"/>
      <c r="CQ191" s="49"/>
      <c r="CS191" s="49"/>
      <c r="CU191" s="49"/>
      <c r="CW191" s="49"/>
      <c r="CY191" s="49"/>
      <c r="DA191" s="49"/>
      <c r="DC191" s="49"/>
      <c r="DE191" s="49"/>
      <c r="DG191" s="49"/>
      <c r="DI191" s="49"/>
      <c r="DK191" s="49"/>
      <c r="DM191" s="49"/>
      <c r="DO191" s="49"/>
      <c r="DQ191" s="49"/>
    </row>
    <row r="192" spans="11:215" x14ac:dyDescent="0.3">
      <c r="K192" s="49"/>
      <c r="M192" s="49"/>
      <c r="O192" s="49"/>
      <c r="Q192" s="49"/>
      <c r="S192" s="49"/>
      <c r="U192" s="49"/>
      <c r="V192" s="53"/>
      <c r="W192" s="49"/>
      <c r="Y192" s="49"/>
      <c r="AA192" s="49"/>
      <c r="AB192" s="53"/>
      <c r="AC192" s="49"/>
      <c r="AD192" s="53"/>
      <c r="AE192" s="49"/>
      <c r="AG192" s="49"/>
      <c r="AI192" s="49"/>
      <c r="AK192" s="49"/>
      <c r="AL192" s="53"/>
      <c r="AM192" s="49"/>
      <c r="AO192" s="49"/>
      <c r="AP192" s="53"/>
      <c r="AQ192" s="49"/>
      <c r="AS192" s="49"/>
      <c r="AT192" s="53"/>
      <c r="AU192" s="49"/>
      <c r="AV192" s="53"/>
      <c r="AW192" s="49"/>
      <c r="AY192" s="49"/>
      <c r="CA192" s="49"/>
      <c r="CC192" s="49"/>
      <c r="CE192" s="49"/>
      <c r="CG192" s="49"/>
      <c r="CI192" s="49"/>
      <c r="CK192" s="49"/>
      <c r="CM192" s="49"/>
      <c r="CO192" s="49"/>
      <c r="CQ192" s="49"/>
      <c r="CS192" s="49"/>
      <c r="CU192" s="49"/>
      <c r="CW192" s="49"/>
      <c r="CY192" s="49"/>
      <c r="DA192" s="49"/>
      <c r="DC192" s="49"/>
      <c r="DE192" s="49"/>
      <c r="DG192" s="49"/>
      <c r="DI192" s="49"/>
      <c r="DK192" s="49"/>
      <c r="DM192" s="49"/>
      <c r="DO192" s="49"/>
      <c r="DQ192" s="49"/>
    </row>
    <row r="193" spans="11:121" x14ac:dyDescent="0.3">
      <c r="K193" s="49"/>
      <c r="M193" s="49"/>
      <c r="O193" s="49"/>
      <c r="Q193" s="49"/>
      <c r="S193" s="49"/>
      <c r="U193" s="49"/>
      <c r="V193" s="53"/>
      <c r="W193" s="49"/>
      <c r="Y193" s="49"/>
      <c r="AA193" s="49"/>
      <c r="AB193" s="53"/>
      <c r="AC193" s="49"/>
      <c r="AD193" s="53"/>
      <c r="AE193" s="49"/>
      <c r="AG193" s="49"/>
      <c r="AI193" s="49"/>
      <c r="AK193" s="49"/>
      <c r="AL193" s="53"/>
      <c r="AM193" s="49"/>
      <c r="AO193" s="49"/>
      <c r="AP193" s="53"/>
      <c r="AQ193" s="49"/>
      <c r="AS193" s="49"/>
      <c r="AT193" s="53"/>
      <c r="AU193" s="49"/>
      <c r="AV193" s="53"/>
      <c r="AW193" s="49"/>
      <c r="AY193" s="49"/>
      <c r="CA193" s="49"/>
      <c r="CC193" s="49"/>
      <c r="CE193" s="49"/>
      <c r="CG193" s="49"/>
      <c r="CI193" s="49"/>
      <c r="CK193" s="49"/>
      <c r="CM193" s="49"/>
      <c r="CO193" s="49"/>
      <c r="CQ193" s="49"/>
      <c r="CS193" s="49"/>
      <c r="CU193" s="49"/>
      <c r="CW193" s="49"/>
      <c r="CY193" s="49"/>
      <c r="DA193" s="49"/>
      <c r="DC193" s="49"/>
      <c r="DE193" s="49"/>
      <c r="DG193" s="49"/>
      <c r="DI193" s="49"/>
      <c r="DK193" s="49"/>
      <c r="DM193" s="49"/>
      <c r="DO193" s="49"/>
      <c r="DQ193" s="49"/>
    </row>
    <row r="194" spans="11:121" x14ac:dyDescent="0.3">
      <c r="K194" s="49"/>
      <c r="M194" s="49"/>
      <c r="O194" s="49"/>
      <c r="Q194" s="49"/>
      <c r="S194" s="49"/>
      <c r="U194" s="49"/>
      <c r="V194" s="53"/>
      <c r="W194" s="49"/>
      <c r="Y194" s="49"/>
      <c r="AA194" s="49"/>
      <c r="AB194" s="53"/>
      <c r="AC194" s="49"/>
      <c r="AD194" s="53"/>
      <c r="AE194" s="49"/>
      <c r="AG194" s="49"/>
      <c r="AI194" s="49"/>
      <c r="AK194" s="49"/>
      <c r="AL194" s="53"/>
      <c r="AM194" s="49"/>
      <c r="AO194" s="49"/>
      <c r="AP194" s="53"/>
      <c r="AQ194" s="49"/>
      <c r="AS194" s="49"/>
      <c r="AT194" s="53"/>
      <c r="AU194" s="49"/>
      <c r="AV194" s="53"/>
      <c r="AW194" s="49"/>
      <c r="AY194" s="49"/>
      <c r="CA194" s="49"/>
      <c r="CC194" s="49"/>
      <c r="CE194" s="49"/>
      <c r="CG194" s="49"/>
      <c r="CI194" s="49"/>
      <c r="CK194" s="49"/>
      <c r="CM194" s="49"/>
      <c r="CO194" s="49"/>
      <c r="CQ194" s="49"/>
      <c r="CS194" s="49"/>
      <c r="CU194" s="49"/>
      <c r="CW194" s="49"/>
      <c r="CY194" s="49"/>
      <c r="DA194" s="49"/>
      <c r="DC194" s="49"/>
      <c r="DE194" s="49"/>
      <c r="DG194" s="49"/>
      <c r="DI194" s="49"/>
      <c r="DK194" s="49"/>
      <c r="DM194" s="49"/>
      <c r="DO194" s="49"/>
      <c r="DQ194" s="49"/>
    </row>
    <row r="195" spans="11:121" x14ac:dyDescent="0.3">
      <c r="K195" s="49"/>
      <c r="M195" s="49"/>
      <c r="O195" s="49"/>
      <c r="Q195" s="49"/>
      <c r="S195" s="49"/>
      <c r="U195" s="49"/>
      <c r="V195" s="53"/>
      <c r="W195" s="49"/>
      <c r="Y195" s="49"/>
      <c r="AA195" s="49"/>
      <c r="AB195" s="53"/>
      <c r="AC195" s="49"/>
      <c r="AD195" s="53"/>
      <c r="AE195" s="49"/>
      <c r="AG195" s="49"/>
      <c r="AI195" s="49"/>
      <c r="AK195" s="49"/>
      <c r="AL195" s="53"/>
      <c r="AM195" s="49"/>
      <c r="AO195" s="49"/>
      <c r="AP195" s="53"/>
      <c r="AQ195" s="49"/>
      <c r="AS195" s="49"/>
      <c r="AT195" s="53"/>
      <c r="AU195" s="49"/>
      <c r="AV195" s="53"/>
      <c r="AW195" s="49"/>
      <c r="AY195" s="49"/>
      <c r="CA195" s="49"/>
      <c r="CC195" s="49"/>
      <c r="CE195" s="49"/>
      <c r="CG195" s="49"/>
      <c r="CI195" s="49"/>
      <c r="CK195" s="49"/>
      <c r="CM195" s="49"/>
      <c r="CO195" s="49"/>
      <c r="CQ195" s="49"/>
      <c r="CS195" s="49"/>
      <c r="CU195" s="49"/>
      <c r="CW195" s="49"/>
      <c r="CY195" s="49"/>
      <c r="DA195" s="49"/>
      <c r="DC195" s="49"/>
      <c r="DE195" s="49"/>
      <c r="DG195" s="49"/>
      <c r="DI195" s="49"/>
      <c r="DK195" s="49"/>
      <c r="DM195" s="49"/>
      <c r="DO195" s="49"/>
      <c r="DQ195" s="49"/>
    </row>
    <row r="196" spans="11:121" x14ac:dyDescent="0.3">
      <c r="K196" s="49"/>
      <c r="M196" s="49"/>
      <c r="O196" s="49"/>
      <c r="Q196" s="49"/>
      <c r="S196" s="49"/>
      <c r="U196" s="49"/>
      <c r="V196" s="53"/>
      <c r="W196" s="49"/>
      <c r="Y196" s="49"/>
      <c r="AA196" s="49"/>
      <c r="AB196" s="53"/>
      <c r="AC196" s="49"/>
      <c r="AD196" s="53"/>
      <c r="AE196" s="49"/>
      <c r="AG196" s="49"/>
      <c r="AI196" s="49"/>
      <c r="AK196" s="49"/>
      <c r="AM196" s="49"/>
      <c r="AO196" s="49"/>
      <c r="AP196" s="53"/>
      <c r="AQ196" s="49"/>
      <c r="AS196" s="49"/>
      <c r="AT196" s="53"/>
      <c r="AU196" s="49"/>
      <c r="AV196" s="53"/>
      <c r="AW196" s="49"/>
      <c r="AY196" s="49"/>
      <c r="CA196" s="49"/>
      <c r="CC196" s="49"/>
      <c r="CE196" s="49"/>
      <c r="CG196" s="49"/>
      <c r="CI196" s="49"/>
      <c r="CK196" s="49"/>
      <c r="CM196" s="49"/>
      <c r="CO196" s="49"/>
      <c r="CQ196" s="49"/>
      <c r="CS196" s="49"/>
      <c r="CU196" s="49"/>
      <c r="CW196" s="49"/>
      <c r="CY196" s="49"/>
      <c r="DA196" s="49"/>
      <c r="DC196" s="49"/>
      <c r="DE196" s="49"/>
      <c r="DG196" s="49"/>
      <c r="DI196" s="49"/>
      <c r="DK196" s="49"/>
      <c r="DM196" s="49"/>
      <c r="DO196" s="49"/>
      <c r="DQ196" s="49"/>
    </row>
    <row r="197" spans="11:121" x14ac:dyDescent="0.3">
      <c r="K197" s="49"/>
      <c r="M197" s="49"/>
      <c r="O197" s="49"/>
      <c r="Q197" s="49"/>
      <c r="S197" s="49"/>
      <c r="U197" s="49"/>
      <c r="V197" s="53"/>
      <c r="W197" s="49"/>
      <c r="Y197" s="49"/>
      <c r="AA197" s="49"/>
      <c r="AB197" s="53"/>
      <c r="AC197" s="49"/>
      <c r="AD197" s="53"/>
      <c r="AE197" s="49"/>
      <c r="AG197" s="49"/>
      <c r="AI197" s="49"/>
      <c r="AK197" s="49"/>
      <c r="AM197" s="49"/>
      <c r="AO197" s="49"/>
      <c r="AP197" s="53"/>
      <c r="AQ197" s="49"/>
      <c r="AS197" s="49"/>
      <c r="AT197" s="53"/>
      <c r="AU197" s="49"/>
      <c r="AV197" s="53"/>
      <c r="AW197" s="49"/>
      <c r="AY197" s="49"/>
      <c r="CA197" s="49"/>
      <c r="CC197" s="49"/>
      <c r="CE197" s="49"/>
      <c r="CG197" s="49"/>
      <c r="CI197" s="49"/>
      <c r="CK197" s="49"/>
      <c r="CM197" s="49"/>
      <c r="CO197" s="49"/>
      <c r="CQ197" s="49"/>
      <c r="CS197" s="49"/>
      <c r="CU197" s="49"/>
      <c r="CW197" s="49"/>
      <c r="CY197" s="49"/>
      <c r="DA197" s="49"/>
      <c r="DC197" s="49"/>
      <c r="DE197" s="49"/>
      <c r="DG197" s="49"/>
      <c r="DI197" s="49"/>
      <c r="DK197" s="49"/>
      <c r="DM197" s="49"/>
      <c r="DO197" s="49"/>
      <c r="DQ197" s="49"/>
    </row>
    <row r="198" spans="11:121" x14ac:dyDescent="0.3">
      <c r="K198" s="49"/>
      <c r="M198" s="49"/>
      <c r="O198" s="49"/>
      <c r="Q198" s="49"/>
      <c r="S198" s="49"/>
      <c r="U198" s="49"/>
      <c r="V198" s="53"/>
      <c r="W198" s="49"/>
      <c r="Y198" s="49"/>
      <c r="AA198" s="49"/>
      <c r="AB198" s="53"/>
      <c r="AC198" s="49"/>
      <c r="AD198" s="53"/>
      <c r="AE198" s="49"/>
      <c r="AG198" s="49"/>
      <c r="AI198" s="49"/>
      <c r="AK198" s="49"/>
      <c r="AM198" s="49"/>
      <c r="AO198" s="49"/>
      <c r="AP198" s="53"/>
      <c r="AQ198" s="49"/>
      <c r="AS198" s="49"/>
      <c r="AT198" s="53"/>
      <c r="AU198" s="49"/>
      <c r="AV198" s="53"/>
      <c r="AW198" s="49"/>
      <c r="AY198" s="49"/>
      <c r="CA198" s="49"/>
      <c r="CC198" s="49"/>
      <c r="CE198" s="49"/>
      <c r="CG198" s="49"/>
      <c r="CI198" s="49"/>
      <c r="CK198" s="49"/>
      <c r="CM198" s="49"/>
      <c r="CO198" s="49"/>
      <c r="CQ198" s="49"/>
      <c r="CS198" s="49"/>
      <c r="CU198" s="49"/>
      <c r="CW198" s="49"/>
      <c r="CY198" s="49"/>
      <c r="DA198" s="49"/>
      <c r="DC198" s="49"/>
      <c r="DE198" s="49"/>
      <c r="DG198" s="49"/>
      <c r="DI198" s="49"/>
      <c r="DK198" s="49"/>
      <c r="DM198" s="49"/>
      <c r="DO198" s="49"/>
      <c r="DQ198" s="49"/>
    </row>
    <row r="199" spans="11:121" x14ac:dyDescent="0.3">
      <c r="K199" s="49"/>
      <c r="M199" s="49"/>
      <c r="O199" s="49"/>
      <c r="Q199" s="49"/>
      <c r="S199" s="49"/>
      <c r="U199" s="49"/>
      <c r="V199" s="53"/>
      <c r="W199" s="49"/>
      <c r="Y199" s="49"/>
      <c r="AA199" s="49"/>
      <c r="AB199" s="53"/>
      <c r="AC199" s="49"/>
      <c r="AD199" s="53"/>
      <c r="AE199" s="49"/>
      <c r="AG199" s="49"/>
      <c r="AI199" s="49"/>
      <c r="AK199" s="49"/>
      <c r="AM199" s="49"/>
      <c r="AO199" s="49"/>
      <c r="AP199" s="53"/>
      <c r="AQ199" s="49"/>
      <c r="AS199" s="49"/>
      <c r="AT199" s="53"/>
      <c r="AU199" s="49"/>
      <c r="AV199" s="53"/>
      <c r="AW199" s="49"/>
      <c r="AY199" s="49"/>
    </row>
    <row r="200" spans="11:121" x14ac:dyDescent="0.3">
      <c r="K200" s="49"/>
      <c r="M200" s="49"/>
      <c r="O200" s="49"/>
      <c r="Q200" s="49"/>
      <c r="S200" s="49"/>
      <c r="U200" s="49"/>
      <c r="V200" s="53"/>
      <c r="W200" s="49"/>
      <c r="Y200" s="49"/>
      <c r="AA200" s="49"/>
      <c r="AB200" s="53"/>
      <c r="AC200" s="49"/>
      <c r="AD200" s="53"/>
      <c r="AE200" s="49"/>
      <c r="AG200" s="49"/>
      <c r="AI200" s="49"/>
      <c r="AK200" s="49"/>
      <c r="AM200" s="49"/>
      <c r="AO200" s="49"/>
      <c r="AP200" s="53"/>
      <c r="AQ200" s="49"/>
      <c r="AS200" s="49"/>
      <c r="AT200" s="53"/>
      <c r="AU200" s="49"/>
      <c r="AV200" s="53"/>
      <c r="AW200" s="49"/>
      <c r="AY200" s="49"/>
    </row>
    <row r="201" spans="11:121" x14ac:dyDescent="0.3">
      <c r="K201" s="49"/>
      <c r="M201" s="49"/>
      <c r="O201" s="49"/>
      <c r="Q201" s="49"/>
      <c r="S201" s="49"/>
      <c r="U201" s="49"/>
      <c r="V201" s="53"/>
      <c r="W201" s="49"/>
      <c r="Y201" s="49"/>
      <c r="AA201" s="49"/>
      <c r="AB201" s="53"/>
      <c r="AC201" s="49"/>
      <c r="AD201" s="53"/>
      <c r="AE201" s="49"/>
      <c r="AG201" s="49"/>
      <c r="AI201" s="49"/>
      <c r="AK201" s="49"/>
      <c r="AM201" s="49"/>
      <c r="AO201" s="49"/>
      <c r="AP201" s="53"/>
      <c r="AQ201" s="49"/>
      <c r="AS201" s="49"/>
      <c r="AT201" s="53"/>
      <c r="AU201" s="49"/>
      <c r="AV201" s="53"/>
      <c r="AW201" s="49"/>
      <c r="AY201" s="49"/>
    </row>
    <row r="202" spans="11:121" x14ac:dyDescent="0.3">
      <c r="K202" s="49"/>
      <c r="M202" s="49"/>
      <c r="O202" s="49"/>
      <c r="Q202" s="49"/>
      <c r="S202" s="49"/>
      <c r="U202" s="49"/>
      <c r="V202" s="53"/>
      <c r="W202" s="49"/>
      <c r="Y202" s="49"/>
      <c r="AA202" s="49"/>
      <c r="AB202" s="53"/>
      <c r="AC202" s="49"/>
      <c r="AD202" s="53"/>
      <c r="AE202" s="49"/>
      <c r="AG202" s="49"/>
      <c r="AI202" s="49"/>
      <c r="AK202" s="49"/>
      <c r="AM202" s="49"/>
      <c r="AO202" s="49"/>
      <c r="AP202" s="53"/>
      <c r="AQ202" s="49"/>
      <c r="AS202" s="49"/>
      <c r="AT202" s="53"/>
      <c r="AU202" s="49"/>
      <c r="AV202" s="53"/>
      <c r="AW202" s="49"/>
      <c r="AY202" s="49"/>
    </row>
    <row r="203" spans="11:121" x14ac:dyDescent="0.3">
      <c r="K203" s="49"/>
      <c r="M203" s="49"/>
      <c r="O203" s="49"/>
      <c r="Q203" s="49"/>
      <c r="S203" s="49"/>
      <c r="U203" s="49"/>
      <c r="V203" s="53"/>
      <c r="W203" s="49"/>
      <c r="Y203" s="49"/>
      <c r="AA203" s="49"/>
      <c r="AB203" s="53"/>
      <c r="AC203" s="49"/>
      <c r="AD203" s="53"/>
      <c r="AE203" s="49"/>
      <c r="AG203" s="49"/>
      <c r="AI203" s="49"/>
      <c r="AK203" s="49"/>
      <c r="AM203" s="49"/>
      <c r="AO203" s="49"/>
      <c r="AP203" s="53"/>
      <c r="AQ203" s="49"/>
      <c r="AS203" s="49"/>
      <c r="AT203" s="53"/>
      <c r="AU203" s="49"/>
      <c r="AV203" s="53"/>
      <c r="AW203" s="49"/>
      <c r="AY203" s="49"/>
    </row>
    <row r="204" spans="11:121" x14ac:dyDescent="0.3">
      <c r="K204" s="49"/>
      <c r="M204" s="49"/>
      <c r="O204" s="49"/>
      <c r="Q204" s="49"/>
      <c r="S204" s="49"/>
      <c r="U204" s="49"/>
      <c r="V204" s="53"/>
      <c r="W204" s="49"/>
      <c r="Y204" s="49"/>
      <c r="AA204" s="49"/>
      <c r="AB204" s="53"/>
      <c r="AC204" s="49"/>
      <c r="AD204" s="53"/>
      <c r="AE204" s="49"/>
      <c r="AG204" s="49"/>
      <c r="AI204" s="49"/>
      <c r="AK204" s="49"/>
      <c r="AM204" s="49"/>
      <c r="AO204" s="49"/>
      <c r="AP204" s="53"/>
      <c r="AQ204" s="49"/>
      <c r="AS204" s="49"/>
      <c r="AT204" s="53"/>
      <c r="AU204" s="49"/>
      <c r="AV204" s="53"/>
      <c r="AW204" s="49"/>
      <c r="AY204" s="49"/>
    </row>
    <row r="205" spans="11:121" x14ac:dyDescent="0.3">
      <c r="K205" s="49"/>
      <c r="M205" s="49"/>
      <c r="O205" s="49"/>
      <c r="Q205" s="49"/>
      <c r="S205" s="49"/>
      <c r="U205" s="49"/>
      <c r="V205" s="53"/>
      <c r="W205" s="49"/>
      <c r="Y205" s="49"/>
      <c r="AA205" s="49"/>
      <c r="AB205" s="53"/>
      <c r="AC205" s="49"/>
      <c r="AD205" s="53"/>
      <c r="AE205" s="49"/>
      <c r="AG205" s="49"/>
      <c r="AI205" s="49"/>
      <c r="AK205" s="49"/>
      <c r="AM205" s="49"/>
      <c r="AO205" s="49"/>
      <c r="AP205" s="53"/>
      <c r="AQ205" s="49"/>
      <c r="AS205" s="49"/>
      <c r="AT205" s="53"/>
      <c r="AU205" s="49"/>
      <c r="AV205" s="53"/>
      <c r="AW205" s="49"/>
      <c r="AY205" s="49"/>
    </row>
    <row r="206" spans="11:121" x14ac:dyDescent="0.3">
      <c r="K206" s="49"/>
      <c r="M206" s="49"/>
      <c r="O206" s="49"/>
      <c r="Q206" s="49"/>
      <c r="S206" s="49"/>
      <c r="U206" s="49"/>
      <c r="V206" s="53"/>
      <c r="W206" s="49"/>
      <c r="Y206" s="49"/>
      <c r="AA206" s="49"/>
      <c r="AB206" s="53"/>
      <c r="AC206" s="49"/>
      <c r="AD206" s="53"/>
      <c r="AE206" s="49"/>
      <c r="AG206" s="49"/>
      <c r="AI206" s="49"/>
      <c r="AK206" s="49"/>
      <c r="AM206" s="49"/>
      <c r="AO206" s="49"/>
      <c r="AP206" s="53"/>
      <c r="AQ206" s="49"/>
      <c r="AS206" s="49"/>
      <c r="AT206" s="53"/>
      <c r="AU206" s="49"/>
      <c r="AV206" s="53"/>
      <c r="AW206" s="49"/>
      <c r="AY206" s="49"/>
    </row>
    <row r="207" spans="11:121" x14ac:dyDescent="0.3">
      <c r="K207" s="49"/>
      <c r="M207" s="49"/>
      <c r="O207" s="49"/>
      <c r="Q207" s="49"/>
      <c r="S207" s="49"/>
      <c r="U207" s="49"/>
      <c r="V207" s="53"/>
      <c r="W207" s="49"/>
      <c r="Y207" s="49"/>
      <c r="AA207" s="49"/>
      <c r="AB207" s="53"/>
      <c r="AC207" s="49"/>
      <c r="AD207" s="53"/>
      <c r="AE207" s="49"/>
      <c r="AG207" s="49"/>
      <c r="AI207" s="49"/>
      <c r="AK207" s="49"/>
      <c r="AM207" s="49"/>
      <c r="AO207" s="49"/>
      <c r="AP207" s="53"/>
      <c r="AQ207" s="49"/>
      <c r="AS207" s="49"/>
      <c r="AT207" s="53"/>
      <c r="AU207" s="49"/>
      <c r="AV207" s="53"/>
      <c r="AW207" s="49"/>
      <c r="AY207" s="49"/>
    </row>
    <row r="208" spans="11:121" x14ac:dyDescent="0.3">
      <c r="K208" s="49"/>
      <c r="M208" s="49"/>
      <c r="O208" s="49"/>
      <c r="Q208" s="49"/>
      <c r="S208" s="49"/>
      <c r="U208" s="49"/>
      <c r="V208" s="53"/>
      <c r="W208" s="49"/>
      <c r="Y208" s="49"/>
      <c r="AA208" s="49"/>
      <c r="AB208" s="53"/>
      <c r="AC208" s="49"/>
      <c r="AD208" s="53"/>
      <c r="AE208" s="49"/>
      <c r="AG208" s="49"/>
      <c r="AI208" s="49"/>
      <c r="AK208" s="49"/>
      <c r="AM208" s="49"/>
      <c r="AO208" s="49"/>
      <c r="AP208" s="53"/>
      <c r="AQ208" s="49"/>
      <c r="AS208" s="49"/>
      <c r="AT208" s="53"/>
      <c r="AU208" s="49"/>
      <c r="AV208" s="53"/>
      <c r="AW208" s="49"/>
      <c r="AY208" s="49"/>
    </row>
    <row r="209" spans="11:51" x14ac:dyDescent="0.3">
      <c r="K209" s="49"/>
      <c r="M209" s="49"/>
      <c r="O209" s="49"/>
      <c r="Q209" s="49"/>
      <c r="S209" s="49"/>
      <c r="U209" s="49"/>
      <c r="V209" s="53"/>
      <c r="W209" s="49"/>
      <c r="Y209" s="49"/>
      <c r="AA209" s="49"/>
      <c r="AB209" s="53"/>
      <c r="AC209" s="49"/>
      <c r="AD209" s="53"/>
      <c r="AE209" s="49"/>
      <c r="AG209" s="49"/>
      <c r="AI209" s="49"/>
      <c r="AK209" s="49"/>
      <c r="AM209" s="49"/>
      <c r="AO209" s="49"/>
      <c r="AP209" s="53"/>
      <c r="AQ209" s="49"/>
      <c r="AS209" s="49"/>
      <c r="AT209" s="53"/>
      <c r="AU209" s="49"/>
      <c r="AV209" s="53"/>
      <c r="AW209" s="49"/>
      <c r="AY209" s="49"/>
    </row>
    <row r="210" spans="11:51" x14ac:dyDescent="0.3">
      <c r="K210" s="49"/>
      <c r="M210" s="49"/>
      <c r="O210" s="49"/>
      <c r="Q210" s="49"/>
      <c r="S210" s="49"/>
      <c r="U210" s="49"/>
      <c r="V210" s="53"/>
      <c r="W210" s="49"/>
      <c r="Y210" s="49"/>
      <c r="AA210" s="49"/>
      <c r="AB210" s="53"/>
      <c r="AC210" s="49"/>
      <c r="AD210" s="53"/>
      <c r="AE210" s="49"/>
      <c r="AG210" s="49"/>
      <c r="AI210" s="49"/>
      <c r="AK210" s="49"/>
      <c r="AM210" s="49"/>
      <c r="AO210" s="49"/>
      <c r="AP210" s="53"/>
      <c r="AQ210" s="49"/>
      <c r="AS210" s="49"/>
      <c r="AT210" s="53"/>
      <c r="AU210" s="49"/>
      <c r="AV210" s="53"/>
      <c r="AW210" s="49"/>
      <c r="AY210" s="49"/>
    </row>
    <row r="211" spans="11:51" x14ac:dyDescent="0.3">
      <c r="K211" s="49"/>
      <c r="M211" s="49"/>
      <c r="O211" s="49"/>
      <c r="Q211" s="49"/>
      <c r="S211" s="49"/>
      <c r="U211" s="49"/>
      <c r="V211" s="53"/>
      <c r="W211" s="49"/>
      <c r="Y211" s="49"/>
      <c r="AA211" s="49"/>
      <c r="AB211" s="53"/>
      <c r="AC211" s="49"/>
      <c r="AD211" s="53"/>
      <c r="AE211" s="49"/>
      <c r="AG211" s="49"/>
      <c r="AI211" s="49"/>
      <c r="AK211" s="49"/>
      <c r="AM211" s="49"/>
      <c r="AO211" s="49"/>
      <c r="AP211" s="53"/>
      <c r="AQ211" s="49"/>
      <c r="AS211" s="49"/>
      <c r="AT211" s="53"/>
      <c r="AU211" s="49"/>
      <c r="AV211" s="53"/>
      <c r="AW211" s="49"/>
      <c r="AY211" s="49"/>
    </row>
    <row r="212" spans="11:51" x14ac:dyDescent="0.3">
      <c r="K212" s="49"/>
      <c r="M212" s="49"/>
      <c r="O212" s="49"/>
      <c r="Q212" s="49"/>
      <c r="S212" s="49"/>
      <c r="U212" s="49"/>
      <c r="V212" s="53"/>
      <c r="W212" s="49"/>
      <c r="Y212" s="49"/>
      <c r="AA212" s="49"/>
      <c r="AB212" s="53"/>
      <c r="AC212" s="49"/>
      <c r="AD212" s="53"/>
      <c r="AE212" s="49"/>
      <c r="AG212" s="49"/>
      <c r="AI212" s="49"/>
      <c r="AK212" s="49"/>
      <c r="AM212" s="49"/>
      <c r="AO212" s="49"/>
      <c r="AP212" s="53"/>
      <c r="AQ212" s="49"/>
      <c r="AS212" s="49"/>
      <c r="AT212" s="53"/>
      <c r="AU212" s="49"/>
      <c r="AV212" s="53"/>
      <c r="AW212" s="49"/>
      <c r="AY212" s="49"/>
    </row>
    <row r="213" spans="11:51" x14ac:dyDescent="0.3">
      <c r="K213" s="49"/>
      <c r="M213" s="49"/>
      <c r="O213" s="49"/>
      <c r="Q213" s="49"/>
      <c r="S213" s="49"/>
      <c r="U213" s="49"/>
      <c r="V213" s="53"/>
      <c r="W213" s="49"/>
      <c r="Y213" s="49"/>
      <c r="AA213" s="49"/>
      <c r="AB213" s="53"/>
      <c r="AC213" s="49"/>
      <c r="AD213" s="53"/>
      <c r="AE213" s="49"/>
      <c r="AG213" s="49"/>
      <c r="AI213" s="49"/>
      <c r="AK213" s="49"/>
      <c r="AM213" s="49"/>
      <c r="AO213" s="49"/>
      <c r="AP213" s="53"/>
      <c r="AQ213" s="49"/>
      <c r="AS213" s="49"/>
      <c r="AT213" s="53"/>
      <c r="AU213" s="49"/>
      <c r="AV213" s="53"/>
      <c r="AW213" s="49"/>
      <c r="AY213" s="49"/>
    </row>
    <row r="214" spans="11:51" x14ac:dyDescent="0.3">
      <c r="K214" s="49"/>
      <c r="M214" s="49"/>
      <c r="O214" s="49"/>
      <c r="Q214" s="49"/>
      <c r="S214" s="49"/>
      <c r="U214" s="49"/>
      <c r="V214" s="53"/>
      <c r="W214" s="49"/>
      <c r="Y214" s="49"/>
      <c r="AA214" s="49"/>
      <c r="AB214" s="53"/>
      <c r="AC214" s="49"/>
      <c r="AD214" s="53"/>
      <c r="AE214" s="49"/>
      <c r="AG214" s="49"/>
      <c r="AI214" s="49"/>
      <c r="AK214" s="49"/>
      <c r="AM214" s="49"/>
      <c r="AO214" s="49"/>
      <c r="AP214" s="53"/>
      <c r="AQ214" s="49"/>
      <c r="AS214" s="49"/>
      <c r="AT214" s="53"/>
      <c r="AU214" s="49"/>
      <c r="AV214" s="53"/>
      <c r="AW214" s="49"/>
      <c r="AY214" s="49"/>
    </row>
    <row r="215" spans="11:51" x14ac:dyDescent="0.3">
      <c r="K215" s="49"/>
      <c r="M215" s="49"/>
      <c r="O215" s="49"/>
      <c r="Q215" s="49"/>
      <c r="S215" s="49"/>
      <c r="U215" s="49"/>
      <c r="V215" s="53"/>
      <c r="W215" s="49"/>
      <c r="Y215" s="49"/>
      <c r="AA215" s="49"/>
      <c r="AB215" s="53"/>
      <c r="AC215" s="49"/>
      <c r="AD215" s="53"/>
      <c r="AE215" s="49"/>
      <c r="AG215" s="49"/>
      <c r="AI215" s="49"/>
      <c r="AK215" s="49"/>
      <c r="AM215" s="49"/>
      <c r="AO215" s="49"/>
      <c r="AP215" s="53"/>
      <c r="AQ215" s="49"/>
      <c r="AS215" s="49"/>
      <c r="AT215" s="53"/>
      <c r="AU215" s="49"/>
      <c r="AV215" s="53"/>
      <c r="AW215" s="49"/>
      <c r="AY215" s="49"/>
    </row>
    <row r="216" spans="11:51" x14ac:dyDescent="0.3">
      <c r="K216" s="49"/>
      <c r="M216" s="49"/>
      <c r="O216" s="49"/>
      <c r="Q216" s="49"/>
      <c r="S216" s="49"/>
      <c r="U216" s="49"/>
      <c r="V216" s="53"/>
      <c r="W216" s="49"/>
      <c r="Y216" s="49"/>
      <c r="AA216" s="49"/>
      <c r="AB216" s="53"/>
      <c r="AC216" s="49"/>
      <c r="AD216" s="53"/>
      <c r="AE216" s="49"/>
      <c r="AG216" s="49"/>
      <c r="AI216" s="49"/>
      <c r="AK216" s="49"/>
      <c r="AM216" s="49"/>
      <c r="AO216" s="49"/>
      <c r="AP216" s="53"/>
      <c r="AQ216" s="49"/>
      <c r="AS216" s="49"/>
      <c r="AT216" s="53"/>
      <c r="AU216" s="49"/>
      <c r="AV216" s="53"/>
      <c r="AW216" s="49"/>
      <c r="AY216" s="49"/>
    </row>
    <row r="217" spans="11:51" x14ac:dyDescent="0.3">
      <c r="K217" s="49"/>
      <c r="M217" s="49"/>
      <c r="O217" s="49"/>
      <c r="Q217" s="49"/>
      <c r="S217" s="49"/>
      <c r="U217" s="49"/>
      <c r="V217" s="53"/>
      <c r="W217" s="49"/>
      <c r="Y217" s="49"/>
      <c r="AA217" s="49"/>
      <c r="AB217" s="53"/>
      <c r="AC217" s="49"/>
      <c r="AD217" s="53"/>
      <c r="AE217" s="49"/>
      <c r="AG217" s="49"/>
      <c r="AI217" s="49"/>
      <c r="AK217" s="49"/>
      <c r="AM217" s="49"/>
      <c r="AO217" s="49"/>
      <c r="AP217" s="53"/>
      <c r="AQ217" s="49"/>
      <c r="AS217" s="49"/>
      <c r="AT217" s="53"/>
      <c r="AU217" s="49"/>
      <c r="AV217" s="53"/>
      <c r="AW217" s="49"/>
      <c r="AY217" s="49"/>
    </row>
    <row r="218" spans="11:51" x14ac:dyDescent="0.3">
      <c r="K218" s="49"/>
      <c r="M218" s="49"/>
      <c r="O218" s="49"/>
      <c r="Q218" s="49"/>
      <c r="S218" s="49"/>
      <c r="U218" s="49"/>
      <c r="V218" s="53"/>
      <c r="W218" s="49"/>
      <c r="Y218" s="49"/>
      <c r="AA218" s="49"/>
      <c r="AB218" s="53"/>
      <c r="AC218" s="49"/>
      <c r="AD218" s="53"/>
      <c r="AE218" s="49"/>
      <c r="AG218" s="49"/>
      <c r="AI218" s="49"/>
      <c r="AK218" s="49"/>
      <c r="AM218" s="49"/>
      <c r="AO218" s="49"/>
      <c r="AP218" s="53"/>
      <c r="AQ218" s="49"/>
      <c r="AS218" s="49"/>
      <c r="AT218" s="53"/>
      <c r="AU218" s="49"/>
      <c r="AV218" s="53"/>
      <c r="AW218" s="49"/>
      <c r="AY218" s="49"/>
    </row>
    <row r="219" spans="11:51" x14ac:dyDescent="0.3">
      <c r="K219" s="49"/>
      <c r="M219" s="49"/>
      <c r="O219" s="49"/>
      <c r="Q219" s="49"/>
      <c r="S219" s="49"/>
      <c r="U219" s="49"/>
      <c r="V219" s="53"/>
      <c r="W219" s="49"/>
      <c r="Y219" s="49"/>
      <c r="AA219" s="49"/>
      <c r="AB219" s="53"/>
      <c r="AC219" s="49"/>
      <c r="AD219" s="53"/>
      <c r="AE219" s="49"/>
      <c r="AG219" s="49"/>
      <c r="AI219" s="49"/>
      <c r="AK219" s="49"/>
      <c r="AM219" s="49"/>
      <c r="AO219" s="49"/>
      <c r="AP219" s="53"/>
      <c r="AQ219" s="49"/>
      <c r="AS219" s="49"/>
      <c r="AT219" s="53"/>
      <c r="AU219" s="49"/>
      <c r="AV219" s="53"/>
      <c r="AW219" s="49"/>
      <c r="AY219" s="49"/>
    </row>
    <row r="220" spans="11:51" x14ac:dyDescent="0.3">
      <c r="K220" s="49"/>
      <c r="M220" s="49"/>
      <c r="O220" s="49"/>
      <c r="Q220" s="49"/>
      <c r="S220" s="49"/>
      <c r="U220" s="49"/>
      <c r="V220" s="53"/>
      <c r="W220" s="49"/>
      <c r="Y220" s="49"/>
      <c r="AA220" s="49"/>
      <c r="AB220" s="53"/>
      <c r="AC220" s="49"/>
      <c r="AD220" s="53"/>
      <c r="AE220" s="49"/>
      <c r="AG220" s="49"/>
      <c r="AI220" s="49"/>
      <c r="AK220" s="49"/>
      <c r="AM220" s="49"/>
      <c r="AO220" s="49"/>
      <c r="AP220" s="53"/>
      <c r="AQ220" s="49"/>
      <c r="AS220" s="49"/>
      <c r="AT220" s="53"/>
      <c r="AU220" s="49"/>
      <c r="AV220" s="53"/>
      <c r="AW220" s="49"/>
      <c r="AY220" s="49"/>
    </row>
    <row r="221" spans="11:51" x14ac:dyDescent="0.3">
      <c r="K221" s="49"/>
      <c r="M221" s="49"/>
      <c r="O221" s="49"/>
      <c r="Q221" s="49"/>
      <c r="S221" s="49"/>
      <c r="U221" s="49"/>
      <c r="V221" s="53"/>
      <c r="W221" s="49"/>
      <c r="Y221" s="49"/>
      <c r="AA221" s="49"/>
      <c r="AB221" s="53"/>
      <c r="AC221" s="49"/>
      <c r="AD221" s="53"/>
      <c r="AE221" s="49"/>
      <c r="AG221" s="49"/>
      <c r="AI221" s="49"/>
      <c r="AK221" s="49"/>
      <c r="AM221" s="49"/>
      <c r="AO221" s="49"/>
      <c r="AP221" s="53"/>
      <c r="AQ221" s="49"/>
      <c r="AS221" s="49"/>
      <c r="AT221" s="53"/>
      <c r="AU221" s="49"/>
      <c r="AV221" s="53"/>
      <c r="AW221" s="49"/>
      <c r="AY221" s="49"/>
    </row>
    <row r="222" spans="11:51" x14ac:dyDescent="0.3">
      <c r="K222" s="49"/>
      <c r="M222" s="49"/>
      <c r="O222" s="49"/>
      <c r="Q222" s="49"/>
      <c r="S222" s="49"/>
      <c r="U222" s="49"/>
      <c r="V222" s="53"/>
      <c r="W222" s="49"/>
      <c r="Y222" s="49"/>
      <c r="AA222" s="49"/>
      <c r="AB222" s="53"/>
      <c r="AC222" s="49"/>
      <c r="AD222" s="53"/>
      <c r="AE222" s="49"/>
      <c r="AG222" s="49"/>
      <c r="AI222" s="49"/>
      <c r="AK222" s="49"/>
      <c r="AM222" s="49"/>
      <c r="AO222" s="49"/>
      <c r="AP222" s="53"/>
      <c r="AQ222" s="49"/>
      <c r="AS222" s="49"/>
      <c r="AT222" s="53"/>
      <c r="AU222" s="49"/>
      <c r="AV222" s="53"/>
      <c r="AW222" s="49"/>
      <c r="AY222" s="49"/>
    </row>
    <row r="223" spans="11:51" x14ac:dyDescent="0.3">
      <c r="K223" s="49"/>
      <c r="M223" s="49"/>
      <c r="O223" s="49"/>
      <c r="Q223" s="49"/>
      <c r="S223" s="49"/>
      <c r="U223" s="49"/>
      <c r="V223" s="53"/>
      <c r="W223" s="49"/>
      <c r="Y223" s="49"/>
      <c r="AA223" s="49"/>
      <c r="AB223" s="53"/>
      <c r="AC223" s="49"/>
      <c r="AD223" s="53"/>
      <c r="AE223" s="49"/>
      <c r="AG223" s="49"/>
      <c r="AI223" s="49"/>
      <c r="AK223" s="49"/>
      <c r="AM223" s="49"/>
      <c r="AO223" s="49"/>
      <c r="AP223" s="53"/>
      <c r="AQ223" s="49"/>
      <c r="AS223" s="49"/>
      <c r="AT223" s="53"/>
      <c r="AU223" s="49"/>
      <c r="AV223" s="53"/>
      <c r="AW223" s="49"/>
      <c r="AY223" s="49"/>
    </row>
    <row r="224" spans="11:51" x14ac:dyDescent="0.3">
      <c r="K224" s="49"/>
      <c r="M224" s="49"/>
      <c r="O224" s="49"/>
      <c r="Q224" s="49"/>
      <c r="S224" s="49"/>
      <c r="U224" s="49"/>
      <c r="V224" s="53"/>
      <c r="W224" s="49"/>
      <c r="Y224" s="49"/>
      <c r="AA224" s="49"/>
      <c r="AB224" s="53"/>
      <c r="AC224" s="49"/>
      <c r="AD224" s="53"/>
      <c r="AE224" s="49"/>
      <c r="AG224" s="49"/>
      <c r="AI224" s="49"/>
      <c r="AK224" s="49"/>
      <c r="AM224" s="49"/>
      <c r="AO224" s="49"/>
      <c r="AP224" s="53"/>
      <c r="AQ224" s="49"/>
      <c r="AS224" s="49"/>
      <c r="AT224" s="53"/>
      <c r="AU224" s="49"/>
      <c r="AV224" s="53"/>
      <c r="AW224" s="49"/>
      <c r="AY224" s="49"/>
    </row>
    <row r="225" spans="11:51" x14ac:dyDescent="0.3">
      <c r="K225" s="49"/>
      <c r="M225" s="49"/>
      <c r="O225" s="49"/>
      <c r="Q225" s="49"/>
      <c r="S225" s="49"/>
      <c r="U225" s="49"/>
      <c r="V225" s="53"/>
      <c r="W225" s="49"/>
      <c r="Y225" s="49"/>
      <c r="AA225" s="49"/>
      <c r="AB225" s="53"/>
      <c r="AC225" s="49"/>
      <c r="AD225" s="53"/>
      <c r="AE225" s="49"/>
      <c r="AG225" s="49"/>
      <c r="AI225" s="49"/>
      <c r="AK225" s="49"/>
      <c r="AM225" s="49"/>
      <c r="AO225" s="49"/>
      <c r="AP225" s="53"/>
      <c r="AQ225" s="49"/>
      <c r="AS225" s="49"/>
      <c r="AT225" s="53"/>
      <c r="AU225" s="49"/>
      <c r="AV225" s="53"/>
      <c r="AW225" s="49"/>
      <c r="AY225" s="49"/>
    </row>
    <row r="226" spans="11:51" x14ac:dyDescent="0.3">
      <c r="K226" s="49"/>
      <c r="M226" s="49"/>
      <c r="O226" s="49"/>
      <c r="Q226" s="49"/>
      <c r="S226" s="49"/>
      <c r="U226" s="49"/>
      <c r="V226" s="53"/>
      <c r="W226" s="49"/>
      <c r="Y226" s="49"/>
      <c r="AA226" s="49"/>
      <c r="AB226" s="53"/>
      <c r="AC226" s="49"/>
      <c r="AD226" s="53"/>
      <c r="AE226" s="49"/>
      <c r="AG226" s="49"/>
      <c r="AI226" s="49"/>
      <c r="AK226" s="49"/>
      <c r="AM226" s="49"/>
      <c r="AO226" s="49"/>
      <c r="AP226" s="53"/>
      <c r="AQ226" s="49"/>
      <c r="AS226" s="49"/>
      <c r="AT226" s="53"/>
      <c r="AU226" s="49"/>
      <c r="AV226" s="53"/>
      <c r="AW226" s="49"/>
      <c r="AY226" s="49"/>
    </row>
    <row r="227" spans="11:51" x14ac:dyDescent="0.3">
      <c r="K227" s="49"/>
      <c r="M227" s="49"/>
      <c r="O227" s="49"/>
      <c r="Q227" s="49"/>
      <c r="S227" s="49"/>
      <c r="U227" s="49"/>
      <c r="V227" s="53"/>
      <c r="W227" s="49"/>
      <c r="Y227" s="49"/>
      <c r="AA227" s="49"/>
      <c r="AB227" s="53"/>
      <c r="AC227" s="49"/>
      <c r="AD227" s="53"/>
      <c r="AE227" s="49"/>
      <c r="AG227" s="49"/>
      <c r="AI227" s="49"/>
      <c r="AK227" s="49"/>
      <c r="AM227" s="49"/>
      <c r="AO227" s="49"/>
      <c r="AP227" s="53"/>
      <c r="AQ227" s="49"/>
      <c r="AS227" s="49"/>
      <c r="AT227" s="53"/>
      <c r="AU227" s="49"/>
      <c r="AV227" s="53"/>
      <c r="AW227" s="49"/>
      <c r="AY227" s="49"/>
    </row>
    <row r="228" spans="11:51" x14ac:dyDescent="0.3">
      <c r="K228" s="49"/>
      <c r="M228" s="49"/>
      <c r="O228" s="49"/>
      <c r="Q228" s="49"/>
      <c r="S228" s="49"/>
      <c r="U228" s="49"/>
      <c r="V228" s="53"/>
      <c r="W228" s="49"/>
      <c r="Y228" s="49"/>
      <c r="AA228" s="49"/>
      <c r="AB228" s="53"/>
      <c r="AC228" s="49"/>
      <c r="AD228" s="53"/>
      <c r="AE228" s="49"/>
      <c r="AG228" s="49"/>
      <c r="AI228" s="49"/>
      <c r="AK228" s="49"/>
      <c r="AM228" s="49"/>
      <c r="AO228" s="49"/>
      <c r="AP228" s="53"/>
      <c r="AQ228" s="49"/>
      <c r="AS228" s="49"/>
      <c r="AT228" s="53"/>
      <c r="AU228" s="49"/>
      <c r="AV228" s="53"/>
      <c r="AW228" s="49"/>
      <c r="AY228" s="49"/>
    </row>
    <row r="229" spans="11:51" x14ac:dyDescent="0.3">
      <c r="K229" s="49"/>
      <c r="M229" s="49"/>
      <c r="O229" s="49"/>
      <c r="Q229" s="49"/>
      <c r="S229" s="49"/>
      <c r="U229" s="49"/>
      <c r="V229" s="53"/>
      <c r="W229" s="49"/>
      <c r="Y229" s="49"/>
      <c r="AA229" s="49"/>
      <c r="AB229" s="53"/>
      <c r="AC229" s="49"/>
      <c r="AD229" s="53"/>
      <c r="AE229" s="49"/>
      <c r="AG229" s="49"/>
      <c r="AI229" s="49"/>
      <c r="AK229" s="49"/>
      <c r="AM229" s="49"/>
      <c r="AO229" s="49"/>
      <c r="AP229" s="53"/>
      <c r="AQ229" s="49"/>
      <c r="AS229" s="49"/>
      <c r="AT229" s="53"/>
      <c r="AU229" s="49"/>
      <c r="AV229" s="53"/>
      <c r="AW229" s="49"/>
      <c r="AY229" s="49"/>
    </row>
    <row r="230" spans="11:51" x14ac:dyDescent="0.3">
      <c r="K230" s="49"/>
      <c r="M230" s="49"/>
      <c r="O230" s="49"/>
      <c r="Q230" s="49"/>
      <c r="S230" s="49"/>
      <c r="U230" s="49"/>
      <c r="V230" s="53"/>
      <c r="W230" s="49"/>
      <c r="Y230" s="49"/>
      <c r="AA230" s="49"/>
      <c r="AB230" s="53"/>
      <c r="AC230" s="49"/>
      <c r="AD230" s="53"/>
      <c r="AE230" s="49"/>
      <c r="AG230" s="49"/>
      <c r="AI230" s="49"/>
      <c r="AK230" s="49"/>
      <c r="AM230" s="49"/>
      <c r="AO230" s="49"/>
      <c r="AP230" s="53"/>
      <c r="AQ230" s="49"/>
      <c r="AS230" s="49"/>
      <c r="AT230" s="53"/>
      <c r="AU230" s="49"/>
      <c r="AV230" s="53"/>
      <c r="AW230" s="49"/>
      <c r="AY230" s="49"/>
    </row>
    <row r="231" spans="11:51" x14ac:dyDescent="0.3">
      <c r="K231" s="49"/>
      <c r="M231" s="49"/>
      <c r="O231" s="49"/>
      <c r="Q231" s="49"/>
      <c r="S231" s="49"/>
      <c r="U231" s="49"/>
      <c r="V231" s="53"/>
      <c r="W231" s="49"/>
      <c r="Y231" s="49"/>
      <c r="AA231" s="49"/>
      <c r="AB231" s="53"/>
      <c r="AC231" s="49"/>
      <c r="AD231" s="53"/>
      <c r="AE231" s="49"/>
      <c r="AG231" s="49"/>
      <c r="AI231" s="49"/>
      <c r="AK231" s="49"/>
      <c r="AM231" s="49"/>
      <c r="AO231" s="49"/>
      <c r="AP231" s="53"/>
      <c r="AQ231" s="49"/>
      <c r="AS231" s="49"/>
      <c r="AT231" s="53"/>
      <c r="AU231" s="49"/>
      <c r="AV231" s="53"/>
      <c r="AW231" s="49"/>
      <c r="AY231" s="49"/>
    </row>
    <row r="232" spans="11:51" x14ac:dyDescent="0.3">
      <c r="K232" s="49"/>
      <c r="M232" s="49"/>
      <c r="O232" s="49"/>
      <c r="Q232" s="49"/>
      <c r="S232" s="49"/>
      <c r="U232" s="49"/>
      <c r="V232" s="53"/>
      <c r="W232" s="49"/>
      <c r="Y232" s="49"/>
      <c r="AA232" s="49"/>
      <c r="AB232" s="53"/>
      <c r="AC232" s="49"/>
      <c r="AD232" s="53"/>
      <c r="AE232" s="49"/>
      <c r="AG232" s="49"/>
      <c r="AI232" s="49"/>
      <c r="AK232" s="49"/>
      <c r="AM232" s="49"/>
      <c r="AO232" s="49"/>
      <c r="AP232" s="53"/>
      <c r="AQ232" s="49"/>
      <c r="AS232" s="49"/>
      <c r="AT232" s="53"/>
      <c r="AU232" s="49"/>
      <c r="AV232" s="53"/>
      <c r="AW232" s="49"/>
      <c r="AY232" s="49"/>
    </row>
    <row r="233" spans="11:51" x14ac:dyDescent="0.3">
      <c r="K233" s="49"/>
      <c r="M233" s="49"/>
      <c r="O233" s="49"/>
      <c r="Q233" s="49"/>
      <c r="S233" s="49"/>
      <c r="U233" s="49"/>
      <c r="V233" s="53"/>
      <c r="W233" s="49"/>
      <c r="Y233" s="49"/>
      <c r="AA233" s="49"/>
      <c r="AB233" s="53"/>
      <c r="AC233" s="49"/>
      <c r="AD233" s="53"/>
      <c r="AE233" s="49"/>
      <c r="AG233" s="49"/>
      <c r="AI233" s="49"/>
      <c r="AK233" s="49"/>
      <c r="AM233" s="49"/>
      <c r="AO233" s="49"/>
      <c r="AP233" s="53"/>
      <c r="AQ233" s="49"/>
      <c r="AS233" s="49"/>
      <c r="AT233" s="53"/>
      <c r="AU233" s="49"/>
      <c r="AV233" s="53"/>
      <c r="AW233" s="49"/>
      <c r="AY233" s="49"/>
    </row>
    <row r="234" spans="11:51" x14ac:dyDescent="0.3">
      <c r="K234" s="49"/>
      <c r="M234" s="49"/>
      <c r="O234" s="49"/>
      <c r="Q234" s="49"/>
      <c r="S234" s="49"/>
      <c r="U234" s="49"/>
      <c r="V234" s="53"/>
      <c r="W234" s="49"/>
      <c r="Y234" s="49"/>
      <c r="AA234" s="49"/>
      <c r="AB234" s="53"/>
      <c r="AC234" s="49"/>
      <c r="AD234" s="53"/>
      <c r="AE234" s="49"/>
      <c r="AG234" s="49"/>
      <c r="AI234" s="49"/>
      <c r="AK234" s="49"/>
      <c r="AM234" s="49"/>
      <c r="AO234" s="49"/>
      <c r="AP234" s="53"/>
      <c r="AQ234" s="49"/>
      <c r="AS234" s="49"/>
      <c r="AT234" s="53"/>
      <c r="AU234" s="49"/>
      <c r="AV234" s="53"/>
      <c r="AW234" s="49"/>
      <c r="AY234" s="49"/>
    </row>
    <row r="235" spans="11:51" x14ac:dyDescent="0.3">
      <c r="K235" s="49"/>
      <c r="M235" s="49"/>
      <c r="O235" s="49"/>
      <c r="Q235" s="49"/>
      <c r="S235" s="49"/>
      <c r="U235" s="49"/>
      <c r="V235" s="53"/>
      <c r="W235" s="49"/>
      <c r="Y235" s="49"/>
      <c r="AA235" s="49"/>
      <c r="AB235" s="53"/>
      <c r="AC235" s="49"/>
      <c r="AD235" s="53"/>
      <c r="AE235" s="49"/>
      <c r="AG235" s="49"/>
      <c r="AI235" s="49"/>
      <c r="AK235" s="49"/>
      <c r="AM235" s="49"/>
      <c r="AO235" s="49"/>
      <c r="AP235" s="53"/>
      <c r="AQ235" s="49"/>
      <c r="AS235" s="49"/>
      <c r="AT235" s="53"/>
      <c r="AU235" s="49"/>
      <c r="AV235" s="53"/>
      <c r="AW235" s="49"/>
      <c r="AY235" s="49"/>
    </row>
    <row r="236" spans="11:51" x14ac:dyDescent="0.3">
      <c r="K236" s="49"/>
      <c r="M236" s="49"/>
      <c r="O236" s="49"/>
      <c r="Q236" s="49"/>
      <c r="S236" s="49"/>
      <c r="U236" s="49"/>
      <c r="V236" s="53"/>
      <c r="W236" s="49"/>
      <c r="Y236" s="49"/>
      <c r="AA236" s="49"/>
      <c r="AB236" s="53"/>
      <c r="AC236" s="49"/>
      <c r="AD236" s="53"/>
      <c r="AE236" s="49"/>
      <c r="AG236" s="49"/>
      <c r="AI236" s="49"/>
      <c r="AK236" s="49"/>
      <c r="AM236" s="49"/>
      <c r="AO236" s="49"/>
      <c r="AP236" s="53"/>
      <c r="AQ236" s="49"/>
      <c r="AS236" s="49"/>
      <c r="AT236" s="53"/>
      <c r="AU236" s="49"/>
      <c r="AV236" s="53"/>
      <c r="AW236" s="49"/>
      <c r="AY236" s="49"/>
    </row>
    <row r="237" spans="11:51" x14ac:dyDescent="0.3">
      <c r="K237" s="49"/>
      <c r="M237" s="49"/>
      <c r="O237" s="49"/>
      <c r="Q237" s="49"/>
      <c r="S237" s="49"/>
      <c r="U237" s="49"/>
      <c r="V237" s="53"/>
      <c r="W237" s="49"/>
      <c r="Y237" s="49"/>
      <c r="AA237" s="49"/>
      <c r="AB237" s="53"/>
      <c r="AC237" s="49"/>
      <c r="AD237" s="53"/>
      <c r="AE237" s="49"/>
      <c r="AG237" s="49"/>
      <c r="AI237" s="49"/>
      <c r="AK237" s="49"/>
      <c r="AM237" s="49"/>
      <c r="AO237" s="49"/>
      <c r="AP237" s="53"/>
      <c r="AQ237" s="49"/>
      <c r="AS237" s="49"/>
      <c r="AT237" s="53"/>
      <c r="AU237" s="49"/>
      <c r="AV237" s="53"/>
      <c r="AW237" s="49"/>
      <c r="AY237" s="49"/>
    </row>
    <row r="238" spans="11:51" x14ac:dyDescent="0.3">
      <c r="K238" s="49"/>
      <c r="M238" s="49"/>
      <c r="O238" s="49"/>
      <c r="Q238" s="49"/>
      <c r="S238" s="49"/>
      <c r="U238" s="49"/>
      <c r="V238" s="53"/>
      <c r="W238" s="49"/>
      <c r="Y238" s="49"/>
      <c r="AA238" s="49"/>
      <c r="AB238" s="53"/>
      <c r="AC238" s="49"/>
      <c r="AD238" s="53"/>
      <c r="AE238" s="49"/>
      <c r="AG238" s="49"/>
      <c r="AI238" s="49"/>
      <c r="AK238" s="49"/>
      <c r="AM238" s="49"/>
      <c r="AO238" s="49"/>
      <c r="AP238" s="53"/>
      <c r="AQ238" s="49"/>
      <c r="AS238" s="49"/>
      <c r="AT238" s="53"/>
      <c r="AU238" s="49"/>
      <c r="AV238" s="53"/>
      <c r="AW238" s="49"/>
      <c r="AY238" s="49"/>
    </row>
    <row r="239" spans="11:51" x14ac:dyDescent="0.3">
      <c r="K239" s="49"/>
      <c r="M239" s="49"/>
      <c r="O239" s="49"/>
      <c r="Q239" s="49"/>
      <c r="S239" s="49"/>
      <c r="U239" s="49"/>
      <c r="V239" s="53"/>
      <c r="W239" s="49"/>
      <c r="Y239" s="49"/>
      <c r="AA239" s="49"/>
      <c r="AB239" s="53"/>
      <c r="AC239" s="49"/>
      <c r="AD239" s="53"/>
      <c r="AE239" s="49"/>
      <c r="AG239" s="49"/>
      <c r="AI239" s="49"/>
      <c r="AK239" s="49"/>
      <c r="AM239" s="49"/>
      <c r="AO239" s="49"/>
      <c r="AP239" s="53"/>
      <c r="AQ239" s="49"/>
      <c r="AS239" s="49"/>
      <c r="AT239" s="53"/>
      <c r="AU239" s="49"/>
      <c r="AV239" s="53"/>
      <c r="AW239" s="49"/>
      <c r="AY239" s="49"/>
    </row>
    <row r="240" spans="11:51" x14ac:dyDescent="0.3">
      <c r="K240" s="49"/>
      <c r="M240" s="49"/>
      <c r="O240" s="49"/>
      <c r="Q240" s="49"/>
      <c r="S240" s="49"/>
      <c r="U240" s="49"/>
      <c r="V240" s="53"/>
      <c r="W240" s="49"/>
      <c r="Y240" s="49"/>
      <c r="AA240" s="49"/>
      <c r="AB240" s="53"/>
      <c r="AC240" s="49"/>
      <c r="AD240" s="53"/>
      <c r="AE240" s="49"/>
      <c r="AG240" s="49"/>
      <c r="AI240" s="49"/>
      <c r="AK240" s="49"/>
      <c r="AM240" s="49"/>
      <c r="AO240" s="49"/>
      <c r="AP240" s="53"/>
      <c r="AQ240" s="49"/>
      <c r="AS240" s="49"/>
      <c r="AT240" s="53"/>
      <c r="AU240" s="49"/>
      <c r="AV240" s="53"/>
      <c r="AW240" s="49"/>
      <c r="AY240" s="49"/>
    </row>
    <row r="241" spans="11:51" x14ac:dyDescent="0.3">
      <c r="K241" s="49"/>
      <c r="M241" s="49"/>
      <c r="O241" s="49"/>
      <c r="Q241" s="49"/>
      <c r="S241" s="49"/>
      <c r="U241" s="49"/>
      <c r="V241" s="53"/>
      <c r="W241" s="49"/>
      <c r="Y241" s="49"/>
      <c r="AA241" s="49"/>
      <c r="AB241" s="53"/>
      <c r="AC241" s="49"/>
      <c r="AD241" s="53"/>
      <c r="AE241" s="49"/>
      <c r="AG241" s="49"/>
      <c r="AI241" s="49"/>
      <c r="AK241" s="49"/>
      <c r="AM241" s="49"/>
      <c r="AO241" s="49"/>
      <c r="AP241" s="53"/>
      <c r="AQ241" s="49"/>
      <c r="AS241" s="49"/>
      <c r="AT241" s="53"/>
      <c r="AU241" s="49"/>
      <c r="AV241" s="53"/>
      <c r="AW241" s="49"/>
      <c r="AY241" s="49"/>
    </row>
    <row r="242" spans="11:51" x14ac:dyDescent="0.3">
      <c r="K242" s="49"/>
      <c r="M242" s="49"/>
      <c r="O242" s="49"/>
      <c r="Q242" s="49"/>
      <c r="S242" s="49"/>
      <c r="U242" s="49"/>
      <c r="V242" s="53"/>
      <c r="W242" s="49"/>
      <c r="Y242" s="49"/>
      <c r="AA242" s="49"/>
      <c r="AB242" s="53"/>
      <c r="AC242" s="49"/>
      <c r="AD242" s="53"/>
      <c r="AE242" s="49"/>
      <c r="AG242" s="49"/>
      <c r="AI242" s="49"/>
      <c r="AK242" s="49"/>
      <c r="AM242" s="49"/>
      <c r="AO242" s="49"/>
      <c r="AP242" s="53"/>
      <c r="AQ242" s="49"/>
      <c r="AS242" s="49"/>
      <c r="AT242" s="53"/>
      <c r="AU242" s="49"/>
      <c r="AV242" s="53"/>
      <c r="AW242" s="49"/>
      <c r="AY242" s="49"/>
    </row>
    <row r="243" spans="11:51" x14ac:dyDescent="0.3">
      <c r="K243" s="49"/>
      <c r="M243" s="49"/>
      <c r="O243" s="49"/>
      <c r="Q243" s="49"/>
      <c r="S243" s="49"/>
      <c r="U243" s="49"/>
      <c r="V243" s="53"/>
      <c r="W243" s="49"/>
      <c r="Y243" s="49"/>
      <c r="AA243" s="49"/>
      <c r="AB243" s="53"/>
      <c r="AC243" s="49"/>
      <c r="AD243" s="53"/>
      <c r="AE243" s="49"/>
      <c r="AG243" s="49"/>
      <c r="AI243" s="49"/>
      <c r="AK243" s="49"/>
      <c r="AM243" s="49"/>
      <c r="AO243" s="49"/>
      <c r="AP243" s="53"/>
      <c r="AQ243" s="49"/>
      <c r="AS243" s="49"/>
      <c r="AT243" s="53"/>
      <c r="AU243" s="49"/>
      <c r="AV243" s="53"/>
      <c r="AW243" s="49"/>
      <c r="AY243" s="49"/>
    </row>
    <row r="244" spans="11:51" x14ac:dyDescent="0.3">
      <c r="K244" s="49"/>
      <c r="M244" s="49"/>
      <c r="O244" s="49"/>
      <c r="Q244" s="49"/>
      <c r="S244" s="49"/>
      <c r="U244" s="49"/>
      <c r="V244" s="53"/>
      <c r="W244" s="49"/>
      <c r="Y244" s="49"/>
      <c r="AA244" s="49"/>
      <c r="AB244" s="53"/>
      <c r="AC244" s="49"/>
      <c r="AD244" s="53"/>
      <c r="AE244" s="49"/>
      <c r="AG244" s="49"/>
      <c r="AI244" s="49"/>
      <c r="AK244" s="49"/>
      <c r="AM244" s="49"/>
      <c r="AO244" s="49"/>
      <c r="AP244" s="53"/>
      <c r="AQ244" s="49"/>
      <c r="AS244" s="49"/>
      <c r="AT244" s="53"/>
      <c r="AU244" s="49"/>
      <c r="AV244" s="53"/>
      <c r="AW244" s="49"/>
      <c r="AY244" s="49"/>
    </row>
    <row r="245" spans="11:51" x14ac:dyDescent="0.3">
      <c r="K245" s="49"/>
      <c r="M245" s="49"/>
      <c r="O245" s="49"/>
      <c r="Q245" s="49"/>
      <c r="S245" s="49"/>
      <c r="U245" s="49"/>
      <c r="V245" s="53"/>
      <c r="W245" s="49"/>
      <c r="Y245" s="49"/>
      <c r="AA245" s="49"/>
      <c r="AB245" s="53"/>
      <c r="AC245" s="49"/>
      <c r="AD245" s="53"/>
      <c r="AE245" s="49"/>
      <c r="AG245" s="49"/>
      <c r="AI245" s="49"/>
      <c r="AK245" s="49"/>
      <c r="AM245" s="49"/>
      <c r="AO245" s="49"/>
      <c r="AP245" s="53"/>
      <c r="AQ245" s="49"/>
      <c r="AS245" s="49"/>
      <c r="AT245" s="53"/>
      <c r="AU245" s="49"/>
      <c r="AV245" s="53"/>
      <c r="AW245" s="49"/>
      <c r="AY245" s="49"/>
    </row>
    <row r="246" spans="11:51" x14ac:dyDescent="0.3">
      <c r="K246" s="49"/>
      <c r="M246" s="49"/>
      <c r="O246" s="49"/>
      <c r="Q246" s="49"/>
      <c r="S246" s="49"/>
      <c r="U246" s="49"/>
      <c r="V246" s="53"/>
      <c r="W246" s="49"/>
      <c r="Y246" s="49"/>
      <c r="AA246" s="49"/>
      <c r="AB246" s="53"/>
      <c r="AC246" s="49"/>
      <c r="AD246" s="53"/>
      <c r="AE246" s="49"/>
      <c r="AG246" s="49"/>
      <c r="AI246" s="49"/>
      <c r="AK246" s="49"/>
      <c r="AM246" s="49"/>
      <c r="AO246" s="49"/>
      <c r="AP246" s="53"/>
      <c r="AQ246" s="49"/>
      <c r="AS246" s="49"/>
      <c r="AT246" s="53"/>
      <c r="AU246" s="49"/>
      <c r="AV246" s="53"/>
      <c r="AW246" s="49"/>
      <c r="AY246" s="49"/>
    </row>
    <row r="247" spans="11:51" x14ac:dyDescent="0.3">
      <c r="K247" s="49"/>
      <c r="M247" s="49"/>
      <c r="O247" s="49"/>
      <c r="Q247" s="49"/>
      <c r="S247" s="49"/>
      <c r="U247" s="49"/>
      <c r="V247" s="53"/>
      <c r="W247" s="49"/>
      <c r="Y247" s="49"/>
      <c r="AA247" s="49"/>
      <c r="AB247" s="53"/>
      <c r="AC247" s="49"/>
      <c r="AD247" s="53"/>
      <c r="AE247" s="49"/>
      <c r="AG247" s="49"/>
      <c r="AI247" s="49"/>
      <c r="AK247" s="49"/>
      <c r="AM247" s="49"/>
      <c r="AO247" s="49"/>
      <c r="AP247" s="53"/>
      <c r="AQ247" s="49"/>
      <c r="AS247" s="49"/>
      <c r="AT247" s="53"/>
      <c r="AU247" s="49"/>
      <c r="AV247" s="53"/>
      <c r="AW247" s="49"/>
      <c r="AY247" s="49"/>
    </row>
    <row r="248" spans="11:51" x14ac:dyDescent="0.3">
      <c r="K248" s="49"/>
      <c r="M248" s="49"/>
      <c r="O248" s="49"/>
      <c r="Q248" s="49"/>
      <c r="S248" s="49"/>
      <c r="U248" s="49"/>
      <c r="V248" s="53"/>
      <c r="W248" s="49"/>
      <c r="Y248" s="49"/>
      <c r="AA248" s="49"/>
      <c r="AB248" s="53"/>
      <c r="AC248" s="49"/>
      <c r="AD248" s="53"/>
      <c r="AE248" s="49"/>
      <c r="AG248" s="49"/>
      <c r="AI248" s="49"/>
      <c r="AK248" s="49"/>
      <c r="AM248" s="49"/>
      <c r="AO248" s="49"/>
      <c r="AP248" s="53"/>
      <c r="AQ248" s="49"/>
      <c r="AS248" s="49"/>
      <c r="AT248" s="53"/>
      <c r="AU248" s="49"/>
      <c r="AV248" s="53"/>
      <c r="AW248" s="49"/>
      <c r="AY248" s="49"/>
    </row>
    <row r="249" spans="11:51" x14ac:dyDescent="0.3">
      <c r="K249" s="49"/>
      <c r="M249" s="49"/>
      <c r="O249" s="49"/>
      <c r="Q249" s="49"/>
      <c r="S249" s="49"/>
      <c r="U249" s="49"/>
      <c r="V249" s="53"/>
      <c r="W249" s="49"/>
      <c r="Y249" s="49"/>
      <c r="AA249" s="49"/>
      <c r="AB249" s="53"/>
      <c r="AC249" s="49"/>
      <c r="AD249" s="53"/>
      <c r="AE249" s="49"/>
      <c r="AG249" s="49"/>
      <c r="AI249" s="49"/>
      <c r="AK249" s="49"/>
      <c r="AM249" s="49"/>
      <c r="AO249" s="49"/>
      <c r="AP249" s="53"/>
      <c r="AQ249" s="49"/>
      <c r="AS249" s="49"/>
      <c r="AT249" s="53"/>
      <c r="AU249" s="49"/>
      <c r="AV249" s="53"/>
      <c r="AW249" s="49"/>
      <c r="AY249" s="49"/>
    </row>
    <row r="250" spans="11:51" x14ac:dyDescent="0.3">
      <c r="K250" s="49"/>
      <c r="M250" s="49"/>
      <c r="O250" s="49"/>
      <c r="Q250" s="49"/>
      <c r="S250" s="49"/>
      <c r="U250" s="49"/>
      <c r="V250" s="53"/>
      <c r="W250" s="49"/>
      <c r="Y250" s="49"/>
      <c r="AA250" s="49"/>
      <c r="AB250" s="53"/>
      <c r="AC250" s="49"/>
      <c r="AD250" s="53"/>
      <c r="AE250" s="49"/>
      <c r="AG250" s="49"/>
      <c r="AI250" s="49"/>
      <c r="AK250" s="49"/>
      <c r="AM250" s="49"/>
      <c r="AO250" s="49"/>
      <c r="AP250" s="53"/>
      <c r="AQ250" s="49"/>
      <c r="AS250" s="49"/>
      <c r="AT250" s="53"/>
      <c r="AU250" s="49"/>
      <c r="AV250" s="53"/>
      <c r="AW250" s="49"/>
      <c r="AY250" s="49"/>
    </row>
    <row r="251" spans="11:51" x14ac:dyDescent="0.3">
      <c r="K251" s="49"/>
      <c r="M251" s="49"/>
      <c r="O251" s="49"/>
      <c r="Q251" s="49"/>
      <c r="S251" s="49"/>
      <c r="U251" s="49"/>
      <c r="V251" s="53"/>
      <c r="W251" s="49"/>
      <c r="Y251" s="49"/>
      <c r="AA251" s="49"/>
      <c r="AB251" s="53"/>
      <c r="AC251" s="49"/>
      <c r="AD251" s="53"/>
      <c r="AE251" s="49"/>
      <c r="AG251" s="49"/>
      <c r="AI251" s="49"/>
      <c r="AK251" s="49"/>
      <c r="AM251" s="49"/>
      <c r="AO251" s="49"/>
      <c r="AP251" s="53"/>
      <c r="AQ251" s="49"/>
      <c r="AS251" s="49"/>
      <c r="AT251" s="53"/>
      <c r="AU251" s="49"/>
      <c r="AV251" s="53"/>
      <c r="AW251" s="49"/>
      <c r="AY251" s="49"/>
    </row>
    <row r="252" spans="11:51" x14ac:dyDescent="0.3">
      <c r="K252" s="49"/>
      <c r="M252" s="49"/>
      <c r="O252" s="49"/>
      <c r="Q252" s="49"/>
      <c r="S252" s="49"/>
      <c r="U252" s="49"/>
      <c r="V252" s="53"/>
      <c r="W252" s="49"/>
      <c r="Y252" s="49"/>
      <c r="AA252" s="49"/>
      <c r="AB252" s="53"/>
      <c r="AC252" s="49"/>
      <c r="AD252" s="53"/>
      <c r="AE252" s="49"/>
      <c r="AG252" s="49"/>
      <c r="AI252" s="49"/>
      <c r="AK252" s="49"/>
      <c r="AM252" s="49"/>
      <c r="AO252" s="49"/>
      <c r="AP252" s="53"/>
      <c r="AQ252" s="49"/>
      <c r="AS252" s="49"/>
      <c r="AT252" s="53"/>
      <c r="AU252" s="49"/>
      <c r="AV252" s="53"/>
      <c r="AW252" s="49"/>
      <c r="AY252" s="49"/>
    </row>
    <row r="253" spans="11:51" x14ac:dyDescent="0.3">
      <c r="K253" s="49"/>
      <c r="M253" s="49"/>
      <c r="O253" s="49"/>
      <c r="Q253" s="49"/>
      <c r="S253" s="49"/>
      <c r="U253" s="49"/>
      <c r="V253" s="53"/>
      <c r="W253" s="49"/>
      <c r="Y253" s="49"/>
      <c r="AA253" s="49"/>
      <c r="AB253" s="53"/>
      <c r="AC253" s="49"/>
      <c r="AD253" s="53"/>
      <c r="AE253" s="49"/>
      <c r="AG253" s="49"/>
      <c r="AI253" s="49"/>
      <c r="AK253" s="49"/>
      <c r="AM253" s="49"/>
      <c r="AO253" s="49"/>
      <c r="AP253" s="53"/>
      <c r="AQ253" s="49"/>
      <c r="AS253" s="49"/>
      <c r="AT253" s="53"/>
      <c r="AU253" s="49"/>
      <c r="AV253" s="53"/>
      <c r="AW253" s="49"/>
      <c r="AY253" s="49"/>
    </row>
    <row r="254" spans="11:51" x14ac:dyDescent="0.3">
      <c r="K254" s="49"/>
      <c r="M254" s="49"/>
      <c r="O254" s="49"/>
      <c r="Q254" s="49"/>
      <c r="S254" s="49"/>
      <c r="U254" s="49"/>
      <c r="V254" s="53"/>
      <c r="W254" s="49"/>
      <c r="Y254" s="49"/>
      <c r="AA254" s="49"/>
      <c r="AB254" s="53"/>
      <c r="AC254" s="49"/>
      <c r="AD254" s="53"/>
      <c r="AE254" s="49"/>
      <c r="AG254" s="49"/>
      <c r="AI254" s="49"/>
      <c r="AK254" s="49"/>
      <c r="AM254" s="49"/>
      <c r="AO254" s="49"/>
      <c r="AP254" s="53"/>
      <c r="AQ254" s="49"/>
      <c r="AS254" s="49"/>
      <c r="AT254" s="53"/>
      <c r="AU254" s="49"/>
      <c r="AV254" s="53"/>
      <c r="AW254" s="49"/>
      <c r="AY254" s="49"/>
    </row>
    <row r="255" spans="11:51" x14ac:dyDescent="0.3">
      <c r="K255" s="49"/>
      <c r="M255" s="49"/>
      <c r="O255" s="49"/>
      <c r="Q255" s="49"/>
      <c r="S255" s="49"/>
      <c r="U255" s="49"/>
      <c r="V255" s="53"/>
      <c r="W255" s="49"/>
      <c r="Y255" s="49"/>
      <c r="AA255" s="49"/>
      <c r="AB255" s="53"/>
      <c r="AC255" s="49"/>
      <c r="AD255" s="53"/>
      <c r="AE255" s="49"/>
      <c r="AG255" s="49"/>
      <c r="AI255" s="49"/>
      <c r="AK255" s="49"/>
      <c r="AM255" s="49"/>
      <c r="AO255" s="49"/>
      <c r="AP255" s="53"/>
      <c r="AQ255" s="49"/>
      <c r="AS255" s="49"/>
      <c r="AT255" s="53"/>
      <c r="AU255" s="49"/>
      <c r="AV255" s="53"/>
      <c r="AW255" s="49"/>
      <c r="AY255" s="49"/>
    </row>
    <row r="256" spans="11:51" x14ac:dyDescent="0.3">
      <c r="K256" s="49"/>
      <c r="M256" s="49"/>
      <c r="O256" s="49"/>
      <c r="Q256" s="49"/>
      <c r="S256" s="49"/>
      <c r="U256" s="49"/>
      <c r="V256" s="53"/>
      <c r="W256" s="49"/>
      <c r="Y256" s="49"/>
      <c r="AA256" s="49"/>
      <c r="AB256" s="53"/>
      <c r="AC256" s="49"/>
      <c r="AD256" s="53"/>
      <c r="AE256" s="49"/>
      <c r="AG256" s="49"/>
      <c r="AI256" s="49"/>
      <c r="AK256" s="49"/>
      <c r="AM256" s="49"/>
      <c r="AO256" s="49"/>
      <c r="AP256" s="53"/>
      <c r="AQ256" s="49"/>
      <c r="AS256" s="49"/>
      <c r="AT256" s="53"/>
      <c r="AU256" s="49"/>
      <c r="AV256" s="53"/>
      <c r="AW256" s="49"/>
      <c r="AY256" s="49"/>
    </row>
    <row r="257" spans="11:51" x14ac:dyDescent="0.3">
      <c r="K257" s="49"/>
      <c r="M257" s="49"/>
      <c r="O257" s="49"/>
      <c r="Q257" s="49"/>
      <c r="S257" s="49"/>
      <c r="U257" s="49"/>
      <c r="V257" s="53"/>
      <c r="W257" s="49"/>
      <c r="Y257" s="49"/>
      <c r="AA257" s="49"/>
      <c r="AB257" s="53"/>
      <c r="AC257" s="49"/>
      <c r="AD257" s="53"/>
      <c r="AE257" s="49"/>
      <c r="AG257" s="49"/>
      <c r="AI257" s="49"/>
      <c r="AK257" s="49"/>
      <c r="AM257" s="49"/>
      <c r="AO257" s="49"/>
      <c r="AP257" s="53"/>
      <c r="AQ257" s="49"/>
      <c r="AS257" s="49"/>
      <c r="AT257" s="53"/>
      <c r="AU257" s="49"/>
      <c r="AV257" s="53"/>
      <c r="AW257" s="49"/>
      <c r="AY257" s="49"/>
    </row>
    <row r="258" spans="11:51" x14ac:dyDescent="0.3">
      <c r="K258" s="49"/>
      <c r="M258" s="49"/>
      <c r="O258" s="49"/>
      <c r="Q258" s="49"/>
      <c r="S258" s="49"/>
      <c r="U258" s="49"/>
      <c r="V258" s="53"/>
      <c r="W258" s="49"/>
      <c r="Y258" s="49"/>
      <c r="AA258" s="49"/>
      <c r="AB258" s="53"/>
      <c r="AC258" s="49"/>
      <c r="AD258" s="53"/>
      <c r="AE258" s="49"/>
      <c r="AG258" s="49"/>
      <c r="AI258" s="49"/>
      <c r="AK258" s="49"/>
      <c r="AM258" s="49"/>
      <c r="AO258" s="49"/>
      <c r="AP258" s="53"/>
      <c r="AQ258" s="49"/>
      <c r="AS258" s="49"/>
      <c r="AT258" s="53"/>
      <c r="AU258" s="49"/>
      <c r="AV258" s="53"/>
      <c r="AW258" s="49"/>
      <c r="AY258" s="49"/>
    </row>
    <row r="259" spans="11:51" x14ac:dyDescent="0.3">
      <c r="K259" s="49"/>
      <c r="M259" s="49"/>
      <c r="O259" s="49"/>
      <c r="Q259" s="49"/>
      <c r="S259" s="49"/>
      <c r="U259" s="49"/>
      <c r="V259" s="53"/>
      <c r="W259" s="49"/>
      <c r="Y259" s="49"/>
      <c r="AA259" s="49"/>
      <c r="AB259" s="53"/>
      <c r="AC259" s="49"/>
      <c r="AD259" s="53"/>
      <c r="AE259" s="49"/>
      <c r="AG259" s="49"/>
      <c r="AI259" s="49"/>
      <c r="AK259" s="49"/>
      <c r="AM259" s="49"/>
      <c r="AO259" s="49"/>
      <c r="AP259" s="53"/>
      <c r="AQ259" s="49"/>
      <c r="AS259" s="49"/>
      <c r="AT259" s="53"/>
      <c r="AU259" s="49"/>
      <c r="AV259" s="53"/>
      <c r="AW259" s="49"/>
      <c r="AY259" s="49"/>
    </row>
    <row r="260" spans="11:51" x14ac:dyDescent="0.3">
      <c r="K260" s="49"/>
      <c r="M260" s="49"/>
      <c r="O260" s="49"/>
      <c r="Q260" s="49"/>
      <c r="S260" s="49"/>
      <c r="U260" s="49"/>
      <c r="V260" s="53"/>
      <c r="W260" s="49"/>
      <c r="Y260" s="49"/>
      <c r="AA260" s="49"/>
      <c r="AB260" s="53"/>
      <c r="AC260" s="49"/>
      <c r="AD260" s="53"/>
      <c r="AE260" s="49"/>
      <c r="AG260" s="49"/>
      <c r="AI260" s="49"/>
      <c r="AK260" s="49"/>
      <c r="AM260" s="49"/>
      <c r="AO260" s="49"/>
      <c r="AP260" s="53"/>
      <c r="AQ260" s="49"/>
      <c r="AS260" s="49"/>
      <c r="AT260" s="53"/>
      <c r="AU260" s="49"/>
      <c r="AV260" s="53"/>
      <c r="AW260" s="49"/>
      <c r="AY260" s="49"/>
    </row>
    <row r="261" spans="11:51" x14ac:dyDescent="0.3">
      <c r="K261" s="49"/>
      <c r="M261" s="49"/>
      <c r="O261" s="49"/>
      <c r="Q261" s="49"/>
      <c r="S261" s="49"/>
      <c r="U261" s="49"/>
      <c r="V261" s="53"/>
      <c r="W261" s="49"/>
      <c r="Y261" s="49"/>
      <c r="AA261" s="49"/>
      <c r="AB261" s="53"/>
      <c r="AC261" s="49"/>
      <c r="AD261" s="53"/>
      <c r="AE261" s="49"/>
      <c r="AG261" s="49"/>
      <c r="AI261" s="49"/>
      <c r="AK261" s="49"/>
      <c r="AM261" s="49"/>
      <c r="AO261" s="49"/>
      <c r="AP261" s="53"/>
      <c r="AQ261" s="49"/>
      <c r="AS261" s="49"/>
      <c r="AT261" s="53"/>
      <c r="AU261" s="49"/>
      <c r="AV261" s="53"/>
      <c r="AW261" s="49"/>
      <c r="AY261" s="49"/>
    </row>
    <row r="262" spans="11:51" x14ac:dyDescent="0.3">
      <c r="K262" s="49"/>
      <c r="M262" s="49"/>
      <c r="O262" s="49"/>
      <c r="Q262" s="49"/>
      <c r="S262" s="49"/>
      <c r="U262" s="49"/>
      <c r="V262" s="53"/>
      <c r="W262" s="49"/>
      <c r="Y262" s="49"/>
      <c r="AA262" s="49"/>
      <c r="AB262" s="53"/>
      <c r="AC262" s="49"/>
      <c r="AD262" s="53"/>
      <c r="AE262" s="49"/>
      <c r="AG262" s="49"/>
      <c r="AI262" s="49"/>
      <c r="AK262" s="49"/>
      <c r="AM262" s="49"/>
      <c r="AO262" s="49"/>
      <c r="AP262" s="53"/>
      <c r="AQ262" s="49"/>
      <c r="AS262" s="49"/>
      <c r="AT262" s="53"/>
      <c r="AU262" s="49"/>
      <c r="AV262" s="53"/>
      <c r="AW262" s="49"/>
      <c r="AY262" s="49"/>
    </row>
    <row r="263" spans="11:51" x14ac:dyDescent="0.3">
      <c r="K263" s="49"/>
      <c r="M263" s="49"/>
      <c r="O263" s="49"/>
      <c r="Q263" s="49"/>
      <c r="S263" s="49"/>
      <c r="U263" s="49"/>
      <c r="V263" s="53"/>
      <c r="W263" s="49"/>
      <c r="Y263" s="49"/>
      <c r="AA263" s="49"/>
      <c r="AB263" s="53"/>
      <c r="AC263" s="49"/>
      <c r="AD263" s="53"/>
      <c r="AE263" s="49"/>
      <c r="AG263" s="49"/>
      <c r="AI263" s="49"/>
      <c r="AK263" s="49"/>
      <c r="AM263" s="49"/>
      <c r="AO263" s="49"/>
      <c r="AP263" s="53"/>
      <c r="AQ263" s="49"/>
      <c r="AS263" s="49"/>
      <c r="AT263" s="53"/>
      <c r="AU263" s="49"/>
      <c r="AV263" s="53"/>
      <c r="AW263" s="49"/>
      <c r="AY263" s="49"/>
    </row>
    <row r="264" spans="11:51" x14ac:dyDescent="0.3">
      <c r="K264" s="49"/>
      <c r="M264" s="49"/>
      <c r="O264" s="49"/>
      <c r="Q264" s="49"/>
      <c r="S264" s="49"/>
      <c r="U264" s="49"/>
      <c r="V264" s="53"/>
      <c r="W264" s="49"/>
      <c r="Y264" s="49"/>
      <c r="AA264" s="49"/>
      <c r="AB264" s="53"/>
      <c r="AC264" s="49"/>
      <c r="AD264" s="53"/>
      <c r="AE264" s="49"/>
      <c r="AG264" s="49"/>
      <c r="AI264" s="49"/>
      <c r="AK264" s="49"/>
      <c r="AM264" s="49"/>
      <c r="AO264" s="49"/>
      <c r="AP264" s="53"/>
      <c r="AQ264" s="49"/>
      <c r="AS264" s="49"/>
      <c r="AT264" s="53"/>
      <c r="AU264" s="49"/>
      <c r="AV264" s="53"/>
      <c r="AW264" s="49"/>
      <c r="AY264" s="49"/>
    </row>
    <row r="265" spans="11:51" x14ac:dyDescent="0.3">
      <c r="K265" s="49"/>
      <c r="M265" s="49"/>
      <c r="O265" s="49"/>
      <c r="Q265" s="49"/>
      <c r="S265" s="49"/>
      <c r="U265" s="49"/>
      <c r="V265" s="53"/>
      <c r="W265" s="49"/>
      <c r="Y265" s="49"/>
      <c r="AA265" s="49"/>
      <c r="AB265" s="53"/>
      <c r="AC265" s="49"/>
      <c r="AD265" s="53"/>
      <c r="AE265" s="49"/>
      <c r="AG265" s="49"/>
      <c r="AI265" s="49"/>
      <c r="AK265" s="49"/>
      <c r="AM265" s="49"/>
      <c r="AO265" s="49"/>
      <c r="AP265" s="53"/>
      <c r="AQ265" s="49"/>
      <c r="AS265" s="49"/>
      <c r="AT265" s="53"/>
      <c r="AU265" s="49"/>
      <c r="AV265" s="53"/>
      <c r="AW265" s="49"/>
      <c r="AY265" s="49"/>
    </row>
    <row r="266" spans="11:51" x14ac:dyDescent="0.3">
      <c r="K266" s="49"/>
      <c r="M266" s="49"/>
      <c r="O266" s="49"/>
      <c r="Q266" s="49"/>
      <c r="S266" s="49"/>
      <c r="U266" s="49"/>
      <c r="V266" s="53"/>
      <c r="W266" s="49"/>
      <c r="Y266" s="49"/>
      <c r="AA266" s="49"/>
      <c r="AB266" s="53"/>
      <c r="AC266" s="49"/>
      <c r="AD266" s="53"/>
      <c r="AE266" s="49"/>
      <c r="AG266" s="49"/>
      <c r="AI266" s="49"/>
      <c r="AK266" s="49"/>
      <c r="AM266" s="49"/>
      <c r="AO266" s="49"/>
      <c r="AP266" s="53"/>
      <c r="AQ266" s="49"/>
      <c r="AS266" s="49"/>
      <c r="AT266" s="53"/>
      <c r="AU266" s="49"/>
      <c r="AV266" s="53"/>
      <c r="AW266" s="49"/>
      <c r="AY266" s="49"/>
    </row>
    <row r="267" spans="11:51" x14ac:dyDescent="0.3">
      <c r="K267" s="49"/>
      <c r="M267" s="49"/>
      <c r="O267" s="49"/>
      <c r="Q267" s="49"/>
      <c r="S267" s="49"/>
      <c r="U267" s="49"/>
      <c r="V267" s="53"/>
      <c r="W267" s="49"/>
      <c r="Y267" s="49"/>
      <c r="AA267" s="49"/>
      <c r="AB267" s="53"/>
      <c r="AC267" s="49"/>
      <c r="AD267" s="53"/>
      <c r="AE267" s="49"/>
      <c r="AG267" s="49"/>
      <c r="AI267" s="49"/>
      <c r="AK267" s="49"/>
      <c r="AM267" s="49"/>
      <c r="AO267" s="49"/>
      <c r="AP267" s="53"/>
      <c r="AQ267" s="49"/>
      <c r="AS267" s="49"/>
      <c r="AT267" s="53"/>
      <c r="AU267" s="49"/>
      <c r="AV267" s="53"/>
      <c r="AW267" s="49"/>
      <c r="AY267" s="49"/>
    </row>
    <row r="268" spans="11:51" x14ac:dyDescent="0.3">
      <c r="K268" s="49"/>
      <c r="M268" s="49"/>
      <c r="O268" s="49"/>
      <c r="Q268" s="49"/>
      <c r="S268" s="49"/>
      <c r="U268" s="49"/>
      <c r="V268" s="53"/>
      <c r="W268" s="49"/>
      <c r="Y268" s="49"/>
      <c r="AA268" s="49"/>
      <c r="AB268" s="53"/>
      <c r="AC268" s="49"/>
      <c r="AD268" s="53"/>
      <c r="AE268" s="49"/>
      <c r="AG268" s="49"/>
      <c r="AI268" s="49"/>
      <c r="AK268" s="49"/>
      <c r="AM268" s="49"/>
      <c r="AO268" s="49"/>
      <c r="AP268" s="53"/>
      <c r="AQ268" s="49"/>
      <c r="AS268" s="49"/>
      <c r="AT268" s="53"/>
      <c r="AU268" s="49"/>
      <c r="AV268" s="53"/>
      <c r="AW268" s="49"/>
      <c r="AY268" s="49"/>
    </row>
    <row r="269" spans="11:51" x14ac:dyDescent="0.3">
      <c r="K269" s="49"/>
      <c r="M269" s="49"/>
      <c r="O269" s="49"/>
      <c r="Q269" s="49"/>
      <c r="S269" s="49"/>
      <c r="U269" s="49"/>
      <c r="V269" s="53"/>
      <c r="W269" s="49"/>
      <c r="Y269" s="49"/>
      <c r="AA269" s="49"/>
      <c r="AB269" s="53"/>
      <c r="AC269" s="49"/>
      <c r="AD269" s="53"/>
      <c r="AE269" s="49"/>
      <c r="AG269" s="49"/>
      <c r="AI269" s="49"/>
      <c r="AK269" s="49"/>
      <c r="AM269" s="49"/>
      <c r="AO269" s="49"/>
      <c r="AP269" s="53"/>
      <c r="AQ269" s="49"/>
      <c r="AS269" s="49"/>
      <c r="AT269" s="53"/>
      <c r="AU269" s="49"/>
      <c r="AV269" s="53"/>
      <c r="AW269" s="49"/>
      <c r="AY269" s="49"/>
    </row>
    <row r="270" spans="11:51" x14ac:dyDescent="0.3">
      <c r="K270" s="49"/>
      <c r="M270" s="49"/>
      <c r="O270" s="49"/>
      <c r="Q270" s="49"/>
      <c r="S270" s="49"/>
      <c r="U270" s="49"/>
      <c r="V270" s="53"/>
      <c r="W270" s="49"/>
      <c r="Y270" s="49"/>
      <c r="AA270" s="49"/>
      <c r="AB270" s="53"/>
      <c r="AC270" s="49"/>
      <c r="AD270" s="53"/>
      <c r="AE270" s="49"/>
      <c r="AG270" s="49"/>
      <c r="AI270" s="49"/>
      <c r="AK270" s="49"/>
      <c r="AM270" s="49"/>
      <c r="AO270" s="49"/>
      <c r="AP270" s="53"/>
      <c r="AQ270" s="49"/>
      <c r="AS270" s="49"/>
      <c r="AT270" s="53"/>
      <c r="AU270" s="49"/>
      <c r="AV270" s="53"/>
      <c r="AW270" s="49"/>
      <c r="AY270" s="49"/>
    </row>
    <row r="271" spans="11:51" x14ac:dyDescent="0.3">
      <c r="K271" s="49"/>
      <c r="M271" s="49"/>
      <c r="O271" s="49"/>
      <c r="Q271" s="49"/>
      <c r="S271" s="49"/>
      <c r="U271" s="49"/>
      <c r="V271" s="53"/>
      <c r="W271" s="49"/>
      <c r="Y271" s="49"/>
      <c r="AA271" s="49"/>
      <c r="AB271" s="53"/>
      <c r="AC271" s="49"/>
      <c r="AD271" s="53"/>
      <c r="AE271" s="49"/>
      <c r="AG271" s="49"/>
      <c r="AI271" s="49"/>
      <c r="AK271" s="49"/>
      <c r="AM271" s="49"/>
      <c r="AO271" s="49"/>
      <c r="AP271" s="53"/>
      <c r="AQ271" s="49"/>
      <c r="AS271" s="49"/>
      <c r="AT271" s="53"/>
      <c r="AU271" s="49"/>
      <c r="AV271" s="53"/>
      <c r="AW271" s="49"/>
      <c r="AY271" s="49"/>
    </row>
    <row r="272" spans="11:51" x14ac:dyDescent="0.3">
      <c r="K272" s="49"/>
      <c r="M272" s="49"/>
      <c r="O272" s="49"/>
      <c r="Q272" s="49"/>
      <c r="S272" s="49"/>
      <c r="U272" s="49"/>
      <c r="V272" s="53"/>
      <c r="W272" s="49"/>
      <c r="Y272" s="49"/>
      <c r="AA272" s="49"/>
      <c r="AB272" s="53"/>
      <c r="AC272" s="49"/>
      <c r="AD272" s="53"/>
      <c r="AE272" s="49"/>
      <c r="AG272" s="49"/>
      <c r="AI272" s="49"/>
      <c r="AK272" s="49"/>
      <c r="AM272" s="49"/>
      <c r="AO272" s="49"/>
      <c r="AP272" s="53"/>
      <c r="AQ272" s="49"/>
      <c r="AS272" s="49"/>
      <c r="AT272" s="53"/>
      <c r="AU272" s="49"/>
      <c r="AV272" s="53"/>
      <c r="AW272" s="49"/>
      <c r="AY272" s="49"/>
    </row>
    <row r="273" spans="11:51" x14ac:dyDescent="0.3">
      <c r="K273" s="49"/>
      <c r="M273" s="49"/>
      <c r="O273" s="49"/>
      <c r="Q273" s="49"/>
      <c r="S273" s="49"/>
      <c r="U273" s="49"/>
      <c r="V273" s="53"/>
      <c r="W273" s="49"/>
      <c r="Y273" s="49"/>
      <c r="AA273" s="49"/>
      <c r="AB273" s="53"/>
      <c r="AC273" s="49"/>
      <c r="AD273" s="53"/>
      <c r="AE273" s="49"/>
      <c r="AG273" s="49"/>
      <c r="AI273" s="49"/>
      <c r="AK273" s="49"/>
      <c r="AM273" s="49"/>
      <c r="AO273" s="49"/>
      <c r="AP273" s="53"/>
      <c r="AQ273" s="49"/>
      <c r="AS273" s="49"/>
      <c r="AT273" s="53"/>
      <c r="AU273" s="49"/>
      <c r="AV273" s="53"/>
      <c r="AW273" s="49"/>
      <c r="AY273" s="49"/>
    </row>
    <row r="274" spans="11:51" x14ac:dyDescent="0.3">
      <c r="K274" s="49"/>
      <c r="M274" s="49"/>
      <c r="O274" s="49"/>
      <c r="Q274" s="49"/>
      <c r="S274" s="49"/>
      <c r="U274" s="49"/>
      <c r="V274" s="53"/>
      <c r="W274" s="49"/>
      <c r="Y274" s="49"/>
      <c r="AA274" s="49"/>
      <c r="AB274" s="53"/>
      <c r="AC274" s="49"/>
      <c r="AD274" s="53"/>
      <c r="AE274" s="49"/>
      <c r="AG274" s="49"/>
      <c r="AI274" s="49"/>
      <c r="AK274" s="49"/>
      <c r="AM274" s="49"/>
      <c r="AO274" s="49"/>
      <c r="AP274" s="53"/>
      <c r="AQ274" s="49"/>
      <c r="AS274" s="49"/>
      <c r="AT274" s="53"/>
      <c r="AU274" s="49"/>
      <c r="AV274" s="53"/>
      <c r="AW274" s="49"/>
      <c r="AY274" s="49"/>
    </row>
    <row r="275" spans="11:51" x14ac:dyDescent="0.3">
      <c r="K275" s="49"/>
      <c r="M275" s="49"/>
      <c r="O275" s="49"/>
      <c r="Q275" s="49"/>
      <c r="S275" s="49"/>
      <c r="U275" s="49"/>
      <c r="V275" s="53"/>
      <c r="W275" s="49"/>
      <c r="Y275" s="49"/>
      <c r="AA275" s="49"/>
      <c r="AB275" s="53"/>
      <c r="AC275" s="49"/>
      <c r="AD275" s="53"/>
      <c r="AE275" s="49"/>
      <c r="AG275" s="49"/>
      <c r="AI275" s="49"/>
      <c r="AK275" s="49"/>
      <c r="AM275" s="49"/>
      <c r="AO275" s="49"/>
      <c r="AP275" s="53"/>
      <c r="AQ275" s="49"/>
      <c r="AS275" s="49"/>
      <c r="AT275" s="53"/>
      <c r="AU275" s="49"/>
      <c r="AV275" s="53"/>
      <c r="AW275" s="49"/>
      <c r="AY275" s="49"/>
    </row>
    <row r="276" spans="11:51" x14ac:dyDescent="0.3">
      <c r="K276" s="49"/>
      <c r="M276" s="49"/>
      <c r="O276" s="49"/>
      <c r="Q276" s="49"/>
      <c r="S276" s="49"/>
      <c r="U276" s="49"/>
      <c r="V276" s="53"/>
      <c r="W276" s="49"/>
      <c r="Y276" s="49"/>
      <c r="AA276" s="49"/>
      <c r="AB276" s="53"/>
      <c r="AC276" s="49"/>
      <c r="AD276" s="53"/>
      <c r="AE276" s="49"/>
      <c r="AG276" s="49"/>
      <c r="AI276" s="49"/>
      <c r="AK276" s="49"/>
      <c r="AM276" s="49"/>
      <c r="AO276" s="49"/>
      <c r="AP276" s="53"/>
      <c r="AQ276" s="49"/>
      <c r="AS276" s="49"/>
      <c r="AT276" s="53"/>
      <c r="AU276" s="49"/>
      <c r="AV276" s="53"/>
      <c r="AW276" s="49"/>
      <c r="AY276" s="49"/>
    </row>
    <row r="277" spans="11:51" x14ac:dyDescent="0.3">
      <c r="K277" s="49"/>
      <c r="M277" s="49"/>
      <c r="O277" s="49"/>
      <c r="Q277" s="49"/>
      <c r="S277" s="49"/>
      <c r="U277" s="49"/>
      <c r="V277" s="53"/>
      <c r="W277" s="49"/>
      <c r="Y277" s="49"/>
      <c r="AA277" s="49"/>
      <c r="AB277" s="53"/>
      <c r="AC277" s="49"/>
      <c r="AD277" s="53"/>
      <c r="AE277" s="49"/>
      <c r="AG277" s="49"/>
      <c r="AI277" s="49"/>
      <c r="AK277" s="49"/>
      <c r="AM277" s="49"/>
      <c r="AO277" s="49"/>
      <c r="AP277" s="53"/>
      <c r="AQ277" s="49"/>
      <c r="AS277" s="49"/>
      <c r="AT277" s="53"/>
      <c r="AU277" s="49"/>
      <c r="AV277" s="53"/>
      <c r="AW277" s="49"/>
      <c r="AY277" s="49"/>
    </row>
    <row r="278" spans="11:51" x14ac:dyDescent="0.3">
      <c r="K278" s="49"/>
      <c r="M278" s="49"/>
      <c r="O278" s="49"/>
      <c r="Q278" s="49"/>
      <c r="S278" s="49"/>
      <c r="U278" s="49"/>
      <c r="V278" s="53"/>
      <c r="W278" s="49"/>
      <c r="Y278" s="49"/>
      <c r="AA278" s="49"/>
      <c r="AB278" s="53"/>
      <c r="AC278" s="49"/>
      <c r="AD278" s="53"/>
      <c r="AE278" s="49"/>
      <c r="AG278" s="49"/>
      <c r="AI278" s="49"/>
      <c r="AK278" s="49"/>
      <c r="AM278" s="49"/>
      <c r="AO278" s="49"/>
      <c r="AP278" s="53"/>
      <c r="AQ278" s="49"/>
      <c r="AS278" s="49"/>
      <c r="AT278" s="53"/>
      <c r="AU278" s="49"/>
      <c r="AV278" s="53"/>
      <c r="AW278" s="49"/>
      <c r="AY278" s="49"/>
    </row>
    <row r="279" spans="11:51" x14ac:dyDescent="0.3">
      <c r="K279" s="49"/>
      <c r="M279" s="49"/>
      <c r="O279" s="49"/>
      <c r="Q279" s="49"/>
      <c r="S279" s="49"/>
      <c r="U279" s="49"/>
      <c r="V279" s="53"/>
      <c r="W279" s="49"/>
      <c r="Y279" s="49"/>
      <c r="AA279" s="49"/>
      <c r="AB279" s="53"/>
      <c r="AC279" s="49"/>
      <c r="AD279" s="53"/>
      <c r="AE279" s="49"/>
      <c r="AG279" s="49"/>
      <c r="AI279" s="49"/>
      <c r="AK279" s="49"/>
      <c r="AM279" s="49"/>
      <c r="AO279" s="49"/>
      <c r="AP279" s="53"/>
      <c r="AQ279" s="49"/>
      <c r="AS279" s="49"/>
      <c r="AT279" s="53"/>
      <c r="AU279" s="49"/>
      <c r="AV279" s="53"/>
      <c r="AW279" s="49"/>
      <c r="AY279" s="49"/>
    </row>
    <row r="280" spans="11:51" x14ac:dyDescent="0.3">
      <c r="K280" s="49"/>
      <c r="M280" s="49"/>
      <c r="O280" s="49"/>
      <c r="Q280" s="49"/>
      <c r="S280" s="49"/>
      <c r="U280" s="49"/>
      <c r="V280" s="53"/>
      <c r="W280" s="49"/>
      <c r="Y280" s="49"/>
      <c r="AA280" s="49"/>
      <c r="AB280" s="53"/>
      <c r="AC280" s="49"/>
      <c r="AD280" s="53"/>
      <c r="AE280" s="49"/>
      <c r="AG280" s="49"/>
      <c r="AI280" s="49"/>
      <c r="AK280" s="49"/>
      <c r="AM280" s="49"/>
      <c r="AO280" s="49"/>
      <c r="AP280" s="53"/>
      <c r="AQ280" s="49"/>
      <c r="AS280" s="49"/>
      <c r="AT280" s="53"/>
      <c r="AU280" s="49"/>
      <c r="AV280" s="53"/>
      <c r="AW280" s="49"/>
      <c r="AY280" s="49"/>
    </row>
    <row r="281" spans="11:51" x14ac:dyDescent="0.3">
      <c r="K281" s="49"/>
      <c r="M281" s="49"/>
      <c r="O281" s="49"/>
      <c r="Q281" s="49"/>
      <c r="S281" s="49"/>
      <c r="U281" s="49"/>
      <c r="V281" s="53"/>
      <c r="W281" s="49"/>
      <c r="Y281" s="49"/>
      <c r="AA281" s="49"/>
      <c r="AB281" s="53"/>
      <c r="AC281" s="49"/>
      <c r="AD281" s="53"/>
      <c r="AE281" s="49"/>
      <c r="AG281" s="49"/>
      <c r="AI281" s="49"/>
      <c r="AK281" s="49"/>
      <c r="AM281" s="49"/>
      <c r="AO281" s="49"/>
      <c r="AP281" s="53"/>
      <c r="AQ281" s="49"/>
      <c r="AS281" s="49"/>
      <c r="AT281" s="53"/>
      <c r="AU281" s="49"/>
      <c r="AV281" s="53"/>
      <c r="AW281" s="49"/>
      <c r="AY281" s="49"/>
    </row>
    <row r="282" spans="11:51" x14ac:dyDescent="0.3">
      <c r="K282" s="49"/>
      <c r="M282" s="49"/>
      <c r="O282" s="49"/>
      <c r="Q282" s="49"/>
      <c r="S282" s="49"/>
      <c r="U282" s="49"/>
      <c r="V282" s="53"/>
      <c r="W282" s="49"/>
      <c r="Y282" s="49"/>
      <c r="AA282" s="49"/>
      <c r="AB282" s="53"/>
      <c r="AC282" s="49"/>
      <c r="AD282" s="53"/>
      <c r="AE282" s="49"/>
      <c r="AG282" s="49"/>
      <c r="AI282" s="49"/>
      <c r="AK282" s="49"/>
      <c r="AM282" s="49"/>
      <c r="AO282" s="49"/>
      <c r="AP282" s="53"/>
      <c r="AQ282" s="49"/>
      <c r="AS282" s="49"/>
      <c r="AT282" s="53"/>
      <c r="AU282" s="49"/>
      <c r="AV282" s="53"/>
      <c r="AW282" s="49"/>
      <c r="AY282" s="49"/>
    </row>
    <row r="283" spans="11:51" x14ac:dyDescent="0.3">
      <c r="K283" s="49"/>
      <c r="M283" s="49"/>
      <c r="O283" s="49"/>
      <c r="Q283" s="49"/>
      <c r="S283" s="49"/>
      <c r="U283" s="49"/>
      <c r="V283" s="53"/>
      <c r="W283" s="49"/>
      <c r="Y283" s="49"/>
      <c r="AA283" s="49"/>
      <c r="AB283" s="53"/>
      <c r="AD283" s="53"/>
      <c r="AP283" s="53"/>
      <c r="AT283" s="53"/>
      <c r="AV283" s="53"/>
    </row>
    <row r="284" spans="11:51" x14ac:dyDescent="0.3">
      <c r="K284" s="49"/>
      <c r="M284" s="49"/>
      <c r="O284" s="49"/>
      <c r="Q284" s="49"/>
      <c r="S284" s="49"/>
      <c r="U284" s="49"/>
      <c r="V284" s="53"/>
      <c r="W284" s="49"/>
      <c r="Y284" s="49"/>
      <c r="AA284" s="49"/>
      <c r="AB284" s="53"/>
      <c r="AD284" s="53"/>
      <c r="AP284" s="53"/>
      <c r="AT284" s="53"/>
      <c r="AV284" s="53"/>
    </row>
    <row r="285" spans="11:51" x14ac:dyDescent="0.3">
      <c r="K285" s="49"/>
      <c r="M285" s="49"/>
      <c r="O285" s="49"/>
      <c r="Q285" s="49"/>
      <c r="S285" s="49"/>
      <c r="U285" s="49"/>
      <c r="V285" s="53"/>
      <c r="W285" s="49"/>
      <c r="Y285" s="49"/>
      <c r="AA285" s="49"/>
      <c r="AB285" s="53"/>
      <c r="AD285" s="53"/>
      <c r="AP285" s="53"/>
      <c r="AT285" s="53"/>
      <c r="AV285" s="53"/>
    </row>
    <row r="286" spans="11:51" x14ac:dyDescent="0.3">
      <c r="K286" s="49"/>
      <c r="M286" s="49"/>
      <c r="O286" s="49"/>
      <c r="Q286" s="49"/>
      <c r="S286" s="49"/>
      <c r="U286" s="49"/>
      <c r="V286" s="53"/>
      <c r="W286" s="49"/>
      <c r="Y286" s="49"/>
      <c r="AA286" s="49"/>
      <c r="AB286" s="53"/>
      <c r="AD286" s="53"/>
      <c r="AP286" s="53"/>
      <c r="AT286" s="53"/>
      <c r="AV286" s="53"/>
    </row>
    <row r="287" spans="11:51" x14ac:dyDescent="0.3">
      <c r="K287" s="49"/>
      <c r="M287" s="49"/>
      <c r="O287" s="49"/>
      <c r="Q287" s="49"/>
      <c r="S287" s="49"/>
      <c r="U287" s="49"/>
      <c r="V287" s="53"/>
      <c r="W287" s="49"/>
      <c r="Y287" s="49"/>
      <c r="AA287" s="49"/>
      <c r="AB287" s="53"/>
      <c r="AD287" s="53"/>
      <c r="AP287" s="53"/>
      <c r="AT287" s="53"/>
      <c r="AV287" s="53"/>
    </row>
    <row r="288" spans="11:51" x14ac:dyDescent="0.3">
      <c r="K288" s="49"/>
      <c r="M288" s="49"/>
      <c r="O288" s="49"/>
      <c r="Q288" s="49"/>
      <c r="S288" s="49"/>
      <c r="U288" s="49"/>
      <c r="V288" s="53"/>
      <c r="W288" s="49"/>
      <c r="Y288" s="49"/>
      <c r="AA288" s="49"/>
      <c r="AB288" s="53"/>
      <c r="AD288" s="53"/>
      <c r="AT288" s="53"/>
      <c r="AV288" s="53"/>
    </row>
    <row r="289" spans="11:48" x14ac:dyDescent="0.3">
      <c r="K289" s="49"/>
      <c r="M289" s="49"/>
      <c r="O289" s="49"/>
      <c r="Q289" s="49"/>
      <c r="S289" s="49"/>
      <c r="U289" s="49"/>
      <c r="V289" s="53"/>
      <c r="W289" s="49"/>
      <c r="Y289" s="49"/>
      <c r="AA289" s="49"/>
      <c r="AB289" s="53"/>
      <c r="AD289" s="53"/>
      <c r="AV289" s="53"/>
    </row>
    <row r="290" spans="11:48" x14ac:dyDescent="0.3">
      <c r="K290" s="49"/>
      <c r="M290" s="49"/>
      <c r="O290" s="49"/>
      <c r="Q290" s="49"/>
      <c r="S290" s="49"/>
      <c r="U290" s="49"/>
      <c r="V290" s="53"/>
      <c r="W290" s="49"/>
      <c r="Y290" s="49"/>
      <c r="AA290" s="49"/>
      <c r="AB290" s="53"/>
      <c r="AD290" s="53"/>
      <c r="AV290" s="53"/>
    </row>
    <row r="291" spans="11:48" x14ac:dyDescent="0.3">
      <c r="K291" s="49"/>
      <c r="M291" s="49"/>
      <c r="O291" s="49"/>
      <c r="Q291" s="49"/>
      <c r="S291" s="49"/>
      <c r="U291" s="49"/>
      <c r="V291" s="53"/>
      <c r="W291" s="49"/>
      <c r="Y291" s="49"/>
      <c r="AA291" s="49"/>
      <c r="AB291" s="53"/>
      <c r="AD291" s="53"/>
      <c r="AV291" s="53"/>
    </row>
    <row r="292" spans="11:48" x14ac:dyDescent="0.3">
      <c r="K292" s="49"/>
      <c r="M292" s="49"/>
      <c r="O292" s="49"/>
      <c r="Q292" s="49"/>
      <c r="S292" s="49"/>
      <c r="U292" s="49"/>
      <c r="W292" s="49"/>
      <c r="Y292" s="49"/>
      <c r="AA292" s="49"/>
      <c r="AB292" s="53"/>
      <c r="AD292" s="53"/>
      <c r="AV292" s="53"/>
    </row>
    <row r="293" spans="11:48" x14ac:dyDescent="0.3">
      <c r="K293" s="49"/>
      <c r="M293" s="49"/>
      <c r="O293" s="49"/>
      <c r="Q293" s="49"/>
      <c r="S293" s="49"/>
      <c r="U293" s="49"/>
      <c r="W293" s="49"/>
      <c r="Y293" s="49"/>
      <c r="AA293" s="49"/>
      <c r="AB293" s="53"/>
      <c r="AD293" s="53"/>
      <c r="AV293" s="53"/>
    </row>
    <row r="294" spans="11:48" x14ac:dyDescent="0.3">
      <c r="K294" s="49"/>
      <c r="M294" s="49"/>
      <c r="O294" s="49"/>
      <c r="Q294" s="49"/>
      <c r="S294" s="49"/>
      <c r="U294" s="49"/>
      <c r="W294" s="49"/>
      <c r="Y294" s="49"/>
      <c r="AA294" s="49"/>
      <c r="AB294" s="53"/>
      <c r="AD294" s="53"/>
    </row>
    <row r="295" spans="11:48" x14ac:dyDescent="0.3">
      <c r="K295" s="49"/>
      <c r="M295" s="49"/>
      <c r="O295" s="49"/>
      <c r="Q295" s="49"/>
      <c r="S295" s="49"/>
      <c r="U295" s="49"/>
      <c r="W295" s="49"/>
      <c r="Y295" s="49"/>
      <c r="AA295" s="49"/>
      <c r="AB295" s="53"/>
      <c r="AD295" s="53"/>
    </row>
    <row r="296" spans="11:48" x14ac:dyDescent="0.3">
      <c r="K296" s="49"/>
      <c r="M296" s="49"/>
      <c r="O296" s="49"/>
      <c r="Q296" s="49"/>
      <c r="S296" s="49"/>
      <c r="U296" s="49"/>
      <c r="W296" s="49"/>
      <c r="Y296" s="49"/>
      <c r="AA296" s="49"/>
      <c r="AD296" s="53"/>
    </row>
    <row r="297" spans="11:48" x14ac:dyDescent="0.3">
      <c r="K297" s="49"/>
      <c r="M297" s="49"/>
      <c r="O297" s="49"/>
      <c r="Q297" s="49"/>
      <c r="S297" s="49"/>
      <c r="U297" s="49"/>
      <c r="W297" s="49"/>
      <c r="Y297" s="49"/>
      <c r="AA297" s="49"/>
      <c r="AD297" s="53"/>
    </row>
    <row r="298" spans="11:48" x14ac:dyDescent="0.3">
      <c r="K298" s="49"/>
      <c r="M298" s="49"/>
      <c r="O298" s="49"/>
      <c r="Q298" s="49"/>
      <c r="S298" s="49"/>
      <c r="U298" s="49"/>
      <c r="W298" s="49"/>
      <c r="Y298" s="49"/>
      <c r="AA298" s="49"/>
    </row>
    <row r="299" spans="11:48" x14ac:dyDescent="0.3">
      <c r="K299" s="49"/>
      <c r="M299" s="49"/>
      <c r="O299" s="49"/>
      <c r="Q299" s="49"/>
      <c r="S299" s="49"/>
      <c r="U299" s="49"/>
      <c r="W299" s="49"/>
      <c r="Y299" s="49"/>
      <c r="AA299" s="49"/>
    </row>
    <row r="300" spans="11:48" x14ac:dyDescent="0.3">
      <c r="K300" s="49"/>
      <c r="M300" s="49"/>
      <c r="O300" s="49"/>
      <c r="Q300" s="49"/>
      <c r="S300" s="49"/>
      <c r="U300" s="49"/>
      <c r="W300" s="49"/>
      <c r="Y300" s="49"/>
      <c r="AA300" s="49"/>
    </row>
    <row r="301" spans="11:48" x14ac:dyDescent="0.3">
      <c r="K301" s="49"/>
      <c r="M301" s="49"/>
      <c r="O301" s="49"/>
      <c r="Q301" s="49"/>
      <c r="S301" s="49"/>
      <c r="U301" s="49"/>
      <c r="W301" s="49"/>
      <c r="Y301" s="49"/>
      <c r="AA301" s="49"/>
    </row>
    <row r="302" spans="11:48" x14ac:dyDescent="0.3">
      <c r="K302" s="49"/>
      <c r="M302" s="49"/>
      <c r="O302" s="49"/>
      <c r="Q302" s="49"/>
      <c r="S302" s="49"/>
      <c r="U302" s="49"/>
      <c r="W302" s="49"/>
      <c r="Y302" s="49"/>
      <c r="AA302" s="49"/>
    </row>
  </sheetData>
  <sortState ref="A129:AN171">
    <sortCondition ref="C129:C171"/>
  </sortState>
  <mergeCells count="6">
    <mergeCell ref="GL15:HG15"/>
    <mergeCell ref="H15:AY15"/>
    <mergeCell ref="BB15:BW15"/>
    <mergeCell ref="BZ15:DQ15"/>
    <mergeCell ref="DT15:EO15"/>
    <mergeCell ref="ER15:GI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2020-05-19T01:17:44Z</dcterms:modified>
</cp:coreProperties>
</file>