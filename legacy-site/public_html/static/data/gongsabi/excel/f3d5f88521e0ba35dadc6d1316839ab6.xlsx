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_공사비닷컴\200327\"/>
    </mc:Choice>
  </mc:AlternateContent>
  <xr:revisionPtr revIDLastSave="0" documentId="13_ncr:1_{31F8B7B2-A667-4059-A6A9-15DF6411D0D7}" xr6:coauthVersionLast="45" xr6:coauthVersionMax="45" xr10:uidLastSave="{00000000-0000-0000-0000-000000000000}"/>
  <bookViews>
    <workbookView xWindow="-120" yWindow="-120" windowWidth="26595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1" i="4" l="1"/>
  <c r="U34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D17" i="4"/>
  <c r="D15" i="4"/>
  <c r="D16" i="4"/>
  <c r="E16" i="4"/>
  <c r="E51" i="4"/>
  <c r="E50" i="4"/>
  <c r="F50" i="4"/>
  <c r="E49" i="4"/>
  <c r="F49" i="4"/>
  <c r="G48" i="4"/>
  <c r="G47" i="4"/>
  <c r="G46" i="4"/>
  <c r="E39" i="4"/>
  <c r="F39" i="4"/>
  <c r="E38" i="4"/>
  <c r="F38" i="4"/>
  <c r="E37" i="4"/>
  <c r="E12" i="4"/>
  <c r="D10" i="4"/>
  <c r="E31" i="4"/>
  <c r="G36" i="4"/>
  <c r="G35" i="4"/>
  <c r="E17" i="4"/>
  <c r="H39" i="4"/>
  <c r="F37" i="4"/>
  <c r="E33" i="4"/>
  <c r="F33" i="4"/>
  <c r="E43" i="4"/>
  <c r="F43" i="4"/>
  <c r="E57" i="4"/>
  <c r="G56" i="4"/>
  <c r="G60" i="4"/>
  <c r="G65" i="4"/>
  <c r="G67" i="4"/>
  <c r="G69" i="4"/>
  <c r="G74" i="4"/>
  <c r="G76" i="4"/>
  <c r="G78" i="4"/>
  <c r="H38" i="4"/>
  <c r="E44" i="4"/>
  <c r="E55" i="4"/>
  <c r="E58" i="4"/>
  <c r="G57" i="4"/>
  <c r="E64" i="4"/>
  <c r="E66" i="4"/>
  <c r="E68" i="4"/>
  <c r="E73" i="4"/>
  <c r="E75" i="4"/>
  <c r="E77" i="4"/>
  <c r="G55" i="4"/>
  <c r="E59" i="4"/>
  <c r="G58" i="4"/>
  <c r="G64" i="4"/>
  <c r="G66" i="4"/>
  <c r="G68" i="4"/>
  <c r="G73" i="4"/>
  <c r="G75" i="4"/>
  <c r="G77" i="4"/>
  <c r="E32" i="4"/>
  <c r="F32" i="4"/>
  <c r="D11" i="4"/>
  <c r="E11" i="4"/>
  <c r="E45" i="4"/>
  <c r="F45" i="4"/>
  <c r="H51" i="4"/>
  <c r="E56" i="4"/>
  <c r="E60" i="4"/>
  <c r="G59" i="4"/>
  <c r="E65" i="4"/>
  <c r="E67" i="4"/>
  <c r="E69" i="4"/>
  <c r="E74" i="4"/>
  <c r="E76" i="4"/>
  <c r="E78" i="4"/>
  <c r="E15" i="4"/>
  <c r="H45" i="4"/>
  <c r="H50" i="4"/>
  <c r="F51" i="4"/>
  <c r="E10" i="4"/>
  <c r="O31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M3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E48" i="4"/>
  <c r="F48" i="4"/>
  <c r="E36" i="4"/>
  <c r="F36" i="4"/>
  <c r="F44" i="4"/>
  <c r="H44" i="4"/>
  <c r="H32" i="4"/>
  <c r="E47" i="4"/>
  <c r="E46" i="4"/>
  <c r="F46" i="4"/>
  <c r="H33" i="4"/>
  <c r="E35" i="4"/>
  <c r="H47" i="4"/>
  <c r="F47" i="4"/>
  <c r="F35" i="4"/>
  <c r="H48" i="4"/>
  <c r="F31" i="4"/>
  <c r="G34" i="4"/>
  <c r="E34" i="4"/>
  <c r="F34" i="4"/>
  <c r="H36" i="4"/>
  <c r="H35" i="4"/>
</calcChain>
</file>

<file path=xl/sharedStrings.xml><?xml version="1.0" encoding="utf-8"?>
<sst xmlns="http://schemas.openxmlformats.org/spreadsheetml/2006/main" count="305" uniqueCount="185">
  <si>
    <t>NO</t>
    <phoneticPr fontId="2" type="noConversion"/>
  </si>
  <si>
    <t>건물종류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</si>
  <si>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</si>
  <si>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</si>
  <si>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</si>
  <si>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</si>
  <si>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</si>
  <si>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</si>
  <si>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</si>
  <si>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</si>
  <si>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</si>
  <si>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</si>
  <si>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</si>
  <si>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</si>
  <si>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</si>
  <si>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</si>
  <si>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</si>
  <si>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</si>
  <si>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</si>
  <si>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</si>
  <si>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</si>
  <si>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</si>
  <si>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</si>
  <si>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</si>
  <si>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</si>
  <si>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</si>
  <si>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</si>
  <si>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</si>
  <si>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</si>
  <si>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</si>
  <si>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</si>
  <si>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</si>
  <si>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</si>
  <si>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</si>
  <si>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</si>
  <si>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</si>
  <si>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</si>
  <si>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</si>
  <si>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</si>
  <si>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</si>
  <si>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</si>
  <si>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</si>
  <si>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</si>
  <si>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</si>
  <si>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</si>
  <si>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</si>
  <si>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</si>
  <si>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</si>
  <si>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</si>
  <si>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</si>
  <si>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</si>
  <si>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</si>
  <si>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</si>
  <si>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</si>
  <si>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</si>
  <si>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</si>
  <si>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</si>
  <si>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</si>
  <si>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</si>
  <si>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</si>
  <si>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</si>
  <si>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</si>
  <si>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</si>
  <si>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</si>
  <si>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</si>
  <si>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</si>
  <si>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</si>
  <si>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</si>
  <si>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</si>
  <si>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</si>
  <si>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</si>
  <si>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</si>
  <si>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</si>
  <si>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</si>
  <si>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</si>
  <si>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</si>
  <si>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</si>
  <si>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</si>
  <si>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</si>
  <si>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</si>
  <si>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</si>
  <si>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</si>
  <si>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</si>
  <si>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</si>
  <si>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</si>
  <si>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</si>
  <si>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</si>
  <si>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</si>
  <si>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</si>
  <si>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</si>
  <si>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</si>
  <si>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</si>
  <si>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</si>
  <si>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</si>
  <si>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</si>
  <si>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</si>
  <si>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</si>
  <si>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</si>
  <si>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</si>
  <si>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</si>
  <si>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</si>
  <si>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</si>
  <si>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</si>
  <si>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</si>
  <si>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</si>
  <si>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</si>
  <si>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</si>
  <si>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</si>
  <si>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</si>
  <si>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</si>
  <si>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</si>
  <si>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</si>
  <si>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</si>
  <si>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</si>
  <si>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</si>
  <si>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</si>
  <si>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</si>
  <si>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</si>
  <si>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</si>
  <si>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</si>
  <si>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</si>
  <si>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</si>
  <si>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</si>
  <si>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</si>
  <si>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</si>
  <si>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</si>
  <si>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</si>
  <si>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</si>
  <si>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</si>
  <si>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</si>
  <si>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</si>
  <si>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</si>
  <si>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</si>
  <si>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</si>
  <si>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</si>
  <si>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</si>
  <si>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</si>
  <si>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</si>
  <si>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</si>
  <si>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</si>
  <si>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</si>
  <si>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</si>
  <si>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</si>
  <si>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</si>
  <si>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</si>
  <si>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</si>
  <si>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</si>
  <si>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2011년</t>
    <phoneticPr fontId="2" type="noConversion"/>
  </si>
  <si>
    <t>삼정동 아파트 신축공사</t>
    <phoneticPr fontId="2" type="noConversion"/>
  </si>
  <si>
    <t>항 목</t>
    <phoneticPr fontId="2" type="noConversion"/>
  </si>
  <si>
    <t>층수</t>
    <phoneticPr fontId="2" type="noConversion"/>
  </si>
  <si>
    <t>지하</t>
    <phoneticPr fontId="2" type="noConversion"/>
  </si>
  <si>
    <t>지상</t>
    <phoneticPr fontId="2" type="noConversion"/>
  </si>
  <si>
    <t>콘크리트</t>
    <phoneticPr fontId="2" type="noConversion"/>
  </si>
  <si>
    <t>거푸집</t>
    <phoneticPr fontId="2" type="noConversion"/>
  </si>
  <si>
    <t>철근</t>
    <phoneticPr fontId="2" type="noConversion"/>
  </si>
  <si>
    <t>m2 당 수량</t>
    <phoneticPr fontId="2" type="noConversion"/>
  </si>
  <si>
    <t>평 당 수량</t>
    <phoneticPr fontId="2" type="noConversion"/>
  </si>
  <si>
    <t>구조형식</t>
    <phoneticPr fontId="2" type="noConversion"/>
  </si>
  <si>
    <t>라멘토</t>
    <phoneticPr fontId="2" type="noConversion"/>
  </si>
  <si>
    <t>벽식</t>
    <phoneticPr fontId="2" type="noConversion"/>
  </si>
  <si>
    <t>무량판</t>
    <phoneticPr fontId="2" type="noConversion"/>
  </si>
  <si>
    <t>철골</t>
    <phoneticPr fontId="2" type="noConversion"/>
  </si>
  <si>
    <t>총 수량</t>
    <phoneticPr fontId="2" type="noConversion"/>
  </si>
  <si>
    <t>콘크리트 M3</t>
    <phoneticPr fontId="2" type="noConversion"/>
  </si>
  <si>
    <t>기초</t>
    <phoneticPr fontId="2" type="noConversion"/>
  </si>
  <si>
    <t>기둥</t>
    <phoneticPr fontId="2" type="noConversion"/>
  </si>
  <si>
    <t>보</t>
    <phoneticPr fontId="2" type="noConversion"/>
  </si>
  <si>
    <t>슬래브</t>
    <phoneticPr fontId="2" type="noConversion"/>
  </si>
  <si>
    <t>옹벽</t>
    <phoneticPr fontId="2" type="noConversion"/>
  </si>
  <si>
    <t>계단</t>
    <phoneticPr fontId="2" type="noConversion"/>
  </si>
  <si>
    <t>지하</t>
    <phoneticPr fontId="2" type="noConversion"/>
  </si>
  <si>
    <t>지상</t>
    <phoneticPr fontId="2" type="noConversion"/>
  </si>
  <si>
    <t>전체</t>
    <phoneticPr fontId="2" type="noConversion"/>
  </si>
  <si>
    <t>콘크리트</t>
    <phoneticPr fontId="2" type="noConversion"/>
  </si>
  <si>
    <t>개요면적</t>
    <phoneticPr fontId="2" type="noConversion"/>
  </si>
  <si>
    <t>CFA</t>
    <phoneticPr fontId="2" type="noConversion"/>
  </si>
  <si>
    <t>M2</t>
    <phoneticPr fontId="2" type="noConversion"/>
  </si>
  <si>
    <t>건물높이</t>
    <phoneticPr fontId="2" type="noConversion"/>
  </si>
  <si>
    <t>구조형식</t>
    <phoneticPr fontId="2" type="noConversion"/>
  </si>
  <si>
    <t>라멘조</t>
    <phoneticPr fontId="2" type="noConversion"/>
  </si>
  <si>
    <t>수량분석</t>
    <phoneticPr fontId="2" type="noConversion"/>
  </si>
  <si>
    <t>부재별 분석</t>
    <phoneticPr fontId="2" type="noConversion"/>
  </si>
  <si>
    <t>(공사개요)</t>
    <phoneticPr fontId="2" type="noConversion"/>
  </si>
  <si>
    <t>(CFA)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</si>
</sst>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0_);[Red]\(0\)"/>
    <numFmt numFmtId="177" formatCode="0_ "/>
    <numFmt numFmtId="178" formatCode="_-* #,##0.00_-;\-* #,##0.0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178" fontId="0" fillId="0" borderId="0" xfId="1" applyNumberFormat="1" applyFont="1" applyFill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19" xfId="0" applyFill="1" applyBorder="1">
      <alignment vertical="center"/>
    </xf>
    <xf numFmtId="178" fontId="0" fillId="0" borderId="17" xfId="1" applyNumberFormat="1" applyFont="1" applyFill="1" applyBorder="1">
      <alignment vertical="center"/>
    </xf>
    <xf numFmtId="41" fontId="0" fillId="0" borderId="32" xfId="1" applyFont="1" applyFill="1" applyBorder="1">
      <alignment vertical="center"/>
    </xf>
    <xf numFmtId="178" fontId="0" fillId="0" borderId="33" xfId="1" applyNumberFormat="1" applyFont="1" applyFill="1" applyBorder="1">
      <alignment vertical="center"/>
    </xf>
    <xf numFmtId="43" fontId="0" fillId="0" borderId="31" xfId="0" applyNumberFormat="1" applyFill="1" applyBorder="1">
      <alignment vertical="center"/>
    </xf>
    <xf numFmtId="178" fontId="0" fillId="0" borderId="34" xfId="1" applyNumberFormat="1" applyFont="1" applyFill="1" applyBorder="1">
      <alignment vertical="center"/>
    </xf>
    <xf numFmtId="0" fontId="0" fillId="0" borderId="34" xfId="0" applyFill="1" applyBorder="1">
      <alignment vertical="center"/>
    </xf>
    <xf numFmtId="0" fontId="0" fillId="0" borderId="25" xfId="0" applyFill="1" applyBorder="1">
      <alignment vertical="center"/>
    </xf>
    <xf numFmtId="178" fontId="0" fillId="0" borderId="0" xfId="1" applyNumberFormat="1" applyFont="1" applyFill="1" applyBorder="1">
      <alignment vertical="center"/>
    </xf>
    <xf numFmtId="0" fontId="0" fillId="0" borderId="0" xfId="0" applyFill="1" applyBorder="1">
      <alignment vertical="center"/>
    </xf>
    <xf numFmtId="178" fontId="0" fillId="0" borderId="24" xfId="1" applyNumberFormat="1" applyFont="1" applyFill="1" applyBorder="1">
      <alignment vertical="center"/>
    </xf>
    <xf numFmtId="0" fontId="0" fillId="0" borderId="32" xfId="0" applyFill="1" applyBorder="1">
      <alignment vertical="center"/>
    </xf>
    <xf numFmtId="178" fontId="0" fillId="0" borderId="35" xfId="1" applyNumberFormat="1" applyFont="1" applyFill="1" applyBorder="1">
      <alignment vertical="center"/>
    </xf>
    <xf numFmtId="0" fontId="0" fillId="0" borderId="35" xfId="0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25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topLeftCell="N1" workbookViewId="0">
      <selection activeCell="AG16" sqref="AG1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37" t="s">
        <v>0</v>
      </c>
      <c r="B2" s="52" t="s">
        <v>1</v>
      </c>
      <c r="C2" s="47"/>
      <c r="D2" s="52" t="s">
        <v>158</v>
      </c>
      <c r="E2" s="47"/>
      <c r="F2" s="52" t="s">
        <v>130</v>
      </c>
      <c r="G2" s="47"/>
      <c r="H2" s="52" t="s">
        <v>2</v>
      </c>
      <c r="I2" s="47"/>
      <c r="J2" s="52" t="s">
        <v>3</v>
      </c>
      <c r="K2" s="47"/>
      <c r="L2" s="40" t="s">
        <v>4</v>
      </c>
      <c r="M2" s="41"/>
      <c r="N2" s="40" t="s">
        <v>81</v>
      </c>
      <c r="O2" s="41"/>
      <c r="P2" s="46" t="s">
        <v>15</v>
      </c>
      <c r="Q2" s="47"/>
      <c r="R2" s="55" t="s">
        <v>131</v>
      </c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7"/>
    </row>
    <row r="3" spans="1:33" x14ac:dyDescent="0.3">
      <c r="A3" s="38"/>
      <c r="B3" s="53"/>
      <c r="C3" s="49"/>
      <c r="D3" s="53"/>
      <c r="E3" s="49"/>
      <c r="F3" s="53"/>
      <c r="G3" s="49"/>
      <c r="H3" s="53"/>
      <c r="I3" s="49"/>
      <c r="J3" s="53"/>
      <c r="K3" s="49"/>
      <c r="L3" s="42"/>
      <c r="M3" s="43"/>
      <c r="N3" s="42"/>
      <c r="O3" s="43"/>
      <c r="P3" s="48"/>
      <c r="Q3" s="49"/>
      <c r="R3" s="58" t="s">
        <v>132</v>
      </c>
      <c r="S3" s="59"/>
      <c r="T3" s="58" t="s">
        <v>133</v>
      </c>
      <c r="U3" s="59"/>
      <c r="V3" s="58" t="s">
        <v>134</v>
      </c>
      <c r="W3" s="59"/>
      <c r="X3" s="58" t="s">
        <v>135</v>
      </c>
      <c r="Y3" s="59"/>
      <c r="Z3" s="58" t="s">
        <v>136</v>
      </c>
      <c r="AA3" s="59"/>
      <c r="AB3" s="58" t="s">
        <v>137</v>
      </c>
      <c r="AC3" s="59"/>
      <c r="AD3" s="58" t="s">
        <v>138</v>
      </c>
      <c r="AE3" s="59"/>
      <c r="AF3" s="58" t="s">
        <v>139</v>
      </c>
      <c r="AG3" s="59"/>
    </row>
    <row r="4" spans="1:33" x14ac:dyDescent="0.3">
      <c r="A4" s="39"/>
      <c r="B4" s="54"/>
      <c r="C4" s="51"/>
      <c r="D4" s="54"/>
      <c r="E4" s="51"/>
      <c r="F4" s="54"/>
      <c r="G4" s="51"/>
      <c r="H4" s="54"/>
      <c r="I4" s="51"/>
      <c r="J4" s="54"/>
      <c r="K4" s="51"/>
      <c r="L4" s="44"/>
      <c r="M4" s="45"/>
      <c r="N4" s="44"/>
      <c r="O4" s="45"/>
      <c r="P4" s="50"/>
      <c r="Q4" s="51"/>
      <c r="R4" s="60"/>
      <c r="S4" s="61"/>
      <c r="T4" s="60"/>
      <c r="U4" s="61"/>
      <c r="V4" s="60"/>
      <c r="W4" s="61"/>
      <c r="X4" s="60"/>
      <c r="Y4" s="61"/>
      <c r="Z4" s="60"/>
      <c r="AA4" s="61"/>
      <c r="AB4" s="60"/>
      <c r="AC4" s="61"/>
      <c r="AD4" s="60"/>
      <c r="AE4" s="61"/>
      <c r="AF4" s="60"/>
      <c r="AG4" s="61"/>
    </row>
    <row r="5" spans="1:33" x14ac:dyDescent="0.3">
      <c r="A5" s="4">
        <v>1</v>
      </c>
      <c r="B5" s="5">
        <v>1</v>
      </c>
      <c r="C5" s="17" t="s">
        <v>85</v>
      </c>
      <c r="D5" s="5">
        <v>1</v>
      </c>
      <c r="E5" s="1" t="s">
        <v>159</v>
      </c>
      <c r="F5" s="17"/>
      <c r="G5" s="17" t="s">
        <v>122</v>
      </c>
      <c r="H5" s="5">
        <v>1</v>
      </c>
      <c r="I5" s="1" t="s">
        <v>121</v>
      </c>
      <c r="J5" s="19">
        <v>1</v>
      </c>
      <c r="K5" s="1" t="s">
        <v>104</v>
      </c>
      <c r="L5" s="5">
        <v>1</v>
      </c>
      <c r="M5" s="6" t="s">
        <v>5</v>
      </c>
      <c r="N5" s="5">
        <v>1</v>
      </c>
      <c r="O5" s="6" t="s">
        <v>82</v>
      </c>
      <c r="P5" s="5">
        <v>1</v>
      </c>
      <c r="Q5" s="1" t="s">
        <v>24</v>
      </c>
      <c r="R5" s="28">
        <v>1</v>
      </c>
      <c r="S5" s="29" t="s">
        <v>27</v>
      </c>
      <c r="T5" s="28">
        <v>1</v>
      </c>
      <c r="U5" s="29" t="s">
        <v>41</v>
      </c>
      <c r="V5" s="28">
        <v>1</v>
      </c>
      <c r="W5" s="29" t="s">
        <v>44</v>
      </c>
      <c r="X5" s="28">
        <v>1</v>
      </c>
      <c r="Y5" s="29" t="s">
        <v>54</v>
      </c>
      <c r="Z5" s="28">
        <v>1</v>
      </c>
      <c r="AA5" s="29" t="s">
        <v>68</v>
      </c>
      <c r="AB5" s="28">
        <v>1</v>
      </c>
      <c r="AC5" s="29" t="s">
        <v>74</v>
      </c>
      <c r="AD5" s="28">
        <v>1</v>
      </c>
      <c r="AE5" s="29" t="s">
        <v>63</v>
      </c>
      <c r="AF5" s="28">
        <v>1</v>
      </c>
      <c r="AG5" s="29" t="s">
        <v>66</v>
      </c>
    </row>
    <row r="6" spans="1:33" x14ac:dyDescent="0.3">
      <c r="A6" s="4">
        <f>+A5+1</f>
        <v>2</v>
      </c>
      <c r="B6" s="5">
        <f>+B5+1</f>
        <v>2</v>
      </c>
      <c r="C6" s="17" t="s">
        <v>86</v>
      </c>
      <c r="D6" s="5">
        <v>2</v>
      </c>
      <c r="E6" s="1" t="s">
        <v>160</v>
      </c>
      <c r="F6" s="17"/>
      <c r="G6" s="17" t="s">
        <v>123</v>
      </c>
      <c r="H6" s="5">
        <v>2</v>
      </c>
      <c r="I6" s="1" t="s">
        <v>108</v>
      </c>
      <c r="J6" s="19">
        <v>2</v>
      </c>
      <c r="K6" s="1" t="s">
        <v>103</v>
      </c>
      <c r="L6" s="5">
        <v>2</v>
      </c>
      <c r="M6" s="6" t="s">
        <v>6</v>
      </c>
      <c r="N6" s="5">
        <v>2</v>
      </c>
      <c r="O6" s="6" t="s">
        <v>83</v>
      </c>
      <c r="P6" s="5">
        <v>2</v>
      </c>
      <c r="Q6" s="1" t="s">
        <v>16</v>
      </c>
      <c r="R6" s="28">
        <v>2</v>
      </c>
      <c r="S6" s="29" t="s">
        <v>25</v>
      </c>
      <c r="T6" s="28">
        <v>2</v>
      </c>
      <c r="U6" s="29" t="s">
        <v>43</v>
      </c>
      <c r="V6" s="28">
        <v>2</v>
      </c>
      <c r="W6" s="29" t="s">
        <v>45</v>
      </c>
      <c r="X6" s="28">
        <v>2</v>
      </c>
      <c r="Y6" s="29" t="s">
        <v>55</v>
      </c>
      <c r="Z6" s="28">
        <v>2</v>
      </c>
      <c r="AA6" s="29" t="s">
        <v>69</v>
      </c>
      <c r="AB6" s="28">
        <v>2</v>
      </c>
      <c r="AC6" s="29" t="s">
        <v>75</v>
      </c>
      <c r="AD6" s="28">
        <v>2</v>
      </c>
      <c r="AE6" s="29" t="s">
        <v>64</v>
      </c>
      <c r="AF6" s="28">
        <v>2</v>
      </c>
      <c r="AG6" s="29" t="s">
        <v>67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87</v>
      </c>
      <c r="D7" s="5">
        <v>3</v>
      </c>
      <c r="E7" s="1" t="s">
        <v>161</v>
      </c>
      <c r="F7" s="17"/>
      <c r="G7" s="17" t="s">
        <v>124</v>
      </c>
      <c r="H7" s="5">
        <v>3</v>
      </c>
      <c r="I7" s="1" t="s">
        <v>109</v>
      </c>
      <c r="J7" s="19">
        <v>3</v>
      </c>
      <c r="K7" s="1" t="s">
        <v>8</v>
      </c>
      <c r="L7" s="5">
        <v>3</v>
      </c>
      <c r="M7" s="6" t="s">
        <v>7</v>
      </c>
      <c r="N7" s="5">
        <v>3</v>
      </c>
      <c r="O7" s="6" t="s">
        <v>84</v>
      </c>
      <c r="P7" s="5">
        <v>3</v>
      </c>
      <c r="Q7" s="1" t="s">
        <v>17</v>
      </c>
      <c r="R7" s="28">
        <v>3</v>
      </c>
      <c r="S7" s="29" t="s">
        <v>26</v>
      </c>
      <c r="T7" s="28">
        <v>3</v>
      </c>
      <c r="U7" s="29" t="s">
        <v>42</v>
      </c>
      <c r="V7" s="28">
        <v>3</v>
      </c>
      <c r="W7" s="29" t="s">
        <v>46</v>
      </c>
      <c r="X7" s="28">
        <v>3</v>
      </c>
      <c r="Y7" s="29" t="s">
        <v>56</v>
      </c>
      <c r="Z7" s="28">
        <v>3</v>
      </c>
      <c r="AA7" s="29" t="s">
        <v>72</v>
      </c>
      <c r="AB7" s="28">
        <v>3</v>
      </c>
      <c r="AC7" s="29" t="s">
        <v>76</v>
      </c>
      <c r="AD7" s="28">
        <v>3</v>
      </c>
      <c r="AE7" s="29" t="s">
        <v>65</v>
      </c>
      <c r="AF7" s="28"/>
      <c r="AG7" s="29"/>
    </row>
    <row r="8" spans="1:33" x14ac:dyDescent="0.3">
      <c r="A8" s="4">
        <f t="shared" si="0"/>
        <v>4</v>
      </c>
      <c r="B8" s="5">
        <f t="shared" si="0"/>
        <v>4</v>
      </c>
      <c r="C8" s="17" t="s">
        <v>107</v>
      </c>
      <c r="D8" s="5">
        <v>4</v>
      </c>
      <c r="E8" s="1" t="s">
        <v>162</v>
      </c>
      <c r="F8" s="17"/>
      <c r="G8" s="17" t="s">
        <v>125</v>
      </c>
      <c r="H8" s="5">
        <v>4</v>
      </c>
      <c r="I8" s="1" t="s">
        <v>110</v>
      </c>
      <c r="J8" s="19">
        <v>4</v>
      </c>
      <c r="K8" s="1" t="s">
        <v>9</v>
      </c>
      <c r="L8" s="5"/>
      <c r="M8" s="6"/>
      <c r="N8" s="5"/>
      <c r="O8" s="6"/>
      <c r="P8" s="5">
        <v>4</v>
      </c>
      <c r="Q8" s="1" t="s">
        <v>18</v>
      </c>
      <c r="R8" s="28">
        <v>4</v>
      </c>
      <c r="S8" s="29" t="s">
        <v>28</v>
      </c>
      <c r="T8" s="28"/>
      <c r="U8" s="29"/>
      <c r="V8" s="28">
        <v>4</v>
      </c>
      <c r="W8" s="29" t="s">
        <v>47</v>
      </c>
      <c r="X8" s="28">
        <v>4</v>
      </c>
      <c r="Y8" s="29" t="s">
        <v>57</v>
      </c>
      <c r="Z8" s="28">
        <v>4</v>
      </c>
      <c r="AA8" s="29" t="s">
        <v>70</v>
      </c>
      <c r="AB8" s="28">
        <v>4</v>
      </c>
      <c r="AC8" s="29" t="s">
        <v>77</v>
      </c>
      <c r="AD8" s="28">
        <v>4</v>
      </c>
      <c r="AE8" s="29" t="s">
        <v>62</v>
      </c>
      <c r="AF8" s="28"/>
      <c r="AG8" s="29"/>
    </row>
    <row r="9" spans="1:33" x14ac:dyDescent="0.3">
      <c r="A9" s="4">
        <f t="shared" si="0"/>
        <v>5</v>
      </c>
      <c r="B9" s="5">
        <f t="shared" si="0"/>
        <v>5</v>
      </c>
      <c r="C9" s="17" t="s">
        <v>99</v>
      </c>
      <c r="D9" s="5"/>
      <c r="E9" s="1"/>
      <c r="F9" s="17"/>
      <c r="G9" s="17" t="s">
        <v>126</v>
      </c>
      <c r="H9" s="5">
        <v>5</v>
      </c>
      <c r="I9" s="1" t="s">
        <v>111</v>
      </c>
      <c r="J9" s="19">
        <v>5</v>
      </c>
      <c r="K9" s="1" t="s">
        <v>10</v>
      </c>
      <c r="L9" s="5"/>
      <c r="M9" s="6"/>
      <c r="N9" s="5"/>
      <c r="O9" s="6"/>
      <c r="P9" s="5">
        <v>5</v>
      </c>
      <c r="Q9" s="1" t="s">
        <v>19</v>
      </c>
      <c r="R9" s="28">
        <v>5</v>
      </c>
      <c r="S9" s="29" t="s">
        <v>29</v>
      </c>
      <c r="T9" s="28"/>
      <c r="U9" s="29"/>
      <c r="V9" s="28">
        <v>5</v>
      </c>
      <c r="W9" s="29" t="s">
        <v>48</v>
      </c>
      <c r="X9" s="28">
        <v>5</v>
      </c>
      <c r="Y9" s="29" t="s">
        <v>58</v>
      </c>
      <c r="Z9" s="28">
        <v>5</v>
      </c>
      <c r="AA9" s="29" t="s">
        <v>71</v>
      </c>
      <c r="AB9" s="28">
        <v>5</v>
      </c>
      <c r="AC9" s="29" t="s">
        <v>78</v>
      </c>
      <c r="AD9" s="28"/>
      <c r="AE9" s="29"/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89</v>
      </c>
      <c r="D10" s="5"/>
      <c r="E10" s="1"/>
      <c r="F10" s="17"/>
      <c r="G10" s="17" t="s">
        <v>127</v>
      </c>
      <c r="H10" s="5">
        <v>6</v>
      </c>
      <c r="I10" s="1" t="s">
        <v>112</v>
      </c>
      <c r="J10" s="19">
        <v>6</v>
      </c>
      <c r="K10" s="1" t="s">
        <v>11</v>
      </c>
      <c r="L10" s="5"/>
      <c r="M10" s="6"/>
      <c r="N10" s="5"/>
      <c r="O10" s="6"/>
      <c r="P10" s="5">
        <v>6</v>
      </c>
      <c r="Q10" s="1" t="s">
        <v>20</v>
      </c>
      <c r="R10" s="28">
        <v>6</v>
      </c>
      <c r="S10" s="29" t="s">
        <v>30</v>
      </c>
      <c r="T10" s="28"/>
      <c r="U10" s="29"/>
      <c r="V10" s="28">
        <v>6</v>
      </c>
      <c r="W10" s="29" t="s">
        <v>49</v>
      </c>
      <c r="X10" s="28">
        <v>6</v>
      </c>
      <c r="Y10" s="29" t="s">
        <v>59</v>
      </c>
      <c r="Z10" s="28">
        <v>6</v>
      </c>
      <c r="AA10" s="29" t="s">
        <v>73</v>
      </c>
      <c r="AB10" s="28">
        <v>6</v>
      </c>
      <c r="AC10" s="29" t="s">
        <v>79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90</v>
      </c>
      <c r="D11" s="5"/>
      <c r="E11" s="1"/>
      <c r="F11" s="17"/>
      <c r="G11" s="17" t="s">
        <v>128</v>
      </c>
      <c r="H11" s="5">
        <v>7</v>
      </c>
      <c r="I11" s="1" t="s">
        <v>113</v>
      </c>
      <c r="J11" s="19">
        <v>7</v>
      </c>
      <c r="K11" s="1" t="s">
        <v>12</v>
      </c>
      <c r="L11" s="5"/>
      <c r="M11" s="6"/>
      <c r="N11" s="5"/>
      <c r="O11" s="6"/>
      <c r="P11" s="5">
        <v>7</v>
      </c>
      <c r="Q11" s="1" t="s">
        <v>21</v>
      </c>
      <c r="R11" s="28">
        <v>7</v>
      </c>
      <c r="S11" s="29" t="s">
        <v>31</v>
      </c>
      <c r="T11" s="28"/>
      <c r="U11" s="29"/>
      <c r="V11" s="28">
        <v>7</v>
      </c>
      <c r="W11" s="29" t="s">
        <v>50</v>
      </c>
      <c r="X11" s="28">
        <v>7</v>
      </c>
      <c r="Y11" s="29" t="s">
        <v>60</v>
      </c>
      <c r="Z11" s="28">
        <v>7</v>
      </c>
      <c r="AA11" s="29" t="s">
        <v>61</v>
      </c>
      <c r="AB11" s="28">
        <v>7</v>
      </c>
      <c r="AC11" s="29" t="s">
        <v>80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88</v>
      </c>
      <c r="D12" s="5"/>
      <c r="E12" s="1"/>
      <c r="F12" s="17"/>
      <c r="G12" s="17" t="s">
        <v>129</v>
      </c>
      <c r="H12" s="5">
        <v>8</v>
      </c>
      <c r="I12" s="1" t="s">
        <v>114</v>
      </c>
      <c r="J12" s="19">
        <v>8</v>
      </c>
      <c r="K12" s="1" t="s">
        <v>13</v>
      </c>
      <c r="L12" s="5"/>
      <c r="M12" s="6"/>
      <c r="N12" s="5"/>
      <c r="O12" s="6"/>
      <c r="P12" s="5">
        <v>8</v>
      </c>
      <c r="Q12" s="1" t="s">
        <v>22</v>
      </c>
      <c r="R12" s="28">
        <v>8</v>
      </c>
      <c r="S12" s="29" t="s">
        <v>32</v>
      </c>
      <c r="T12" s="28"/>
      <c r="U12" s="29"/>
      <c r="V12" s="28">
        <v>8</v>
      </c>
      <c r="W12" s="29" t="s">
        <v>51</v>
      </c>
      <c r="X12" s="28">
        <v>8</v>
      </c>
      <c r="Y12" s="29" t="s">
        <v>61</v>
      </c>
      <c r="Z12" s="28"/>
      <c r="AA12" s="29"/>
      <c r="AB12" s="28"/>
      <c r="AC12" s="29"/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91</v>
      </c>
      <c r="D13" s="5"/>
      <c r="E13" s="1"/>
      <c r="F13" s="17"/>
      <c r="G13" s="17"/>
      <c r="H13" s="5">
        <v>9</v>
      </c>
      <c r="I13" s="1" t="s">
        <v>115</v>
      </c>
      <c r="J13" s="19">
        <v>9</v>
      </c>
      <c r="K13" s="1" t="s">
        <v>14</v>
      </c>
      <c r="L13" s="5"/>
      <c r="M13" s="6"/>
      <c r="N13" s="5"/>
      <c r="O13" s="6"/>
      <c r="P13" s="5">
        <v>9</v>
      </c>
      <c r="Q13" s="1" t="s">
        <v>23</v>
      </c>
      <c r="R13" s="28">
        <v>9</v>
      </c>
      <c r="S13" s="29" t="s">
        <v>33</v>
      </c>
      <c r="T13" s="28"/>
      <c r="U13" s="29"/>
      <c r="V13" s="28">
        <v>9</v>
      </c>
      <c r="W13" s="29" t="s">
        <v>52</v>
      </c>
      <c r="X13" s="28">
        <v>9</v>
      </c>
      <c r="Y13" s="29" t="s">
        <v>62</v>
      </c>
      <c r="Z13" s="28"/>
      <c r="AA13" s="29"/>
      <c r="AB13" s="28"/>
      <c r="AC13" s="29"/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92</v>
      </c>
      <c r="D14" s="5"/>
      <c r="E14" s="1"/>
      <c r="F14" s="17"/>
      <c r="G14" s="17"/>
      <c r="H14" s="5">
        <v>10</v>
      </c>
      <c r="I14" s="1" t="s">
        <v>116</v>
      </c>
      <c r="J14" s="19">
        <v>10</v>
      </c>
      <c r="K14" s="1" t="s">
        <v>100</v>
      </c>
      <c r="L14" s="5"/>
      <c r="M14" s="6"/>
      <c r="N14" s="5"/>
      <c r="O14" s="6"/>
      <c r="P14" s="5"/>
      <c r="Q14" s="1"/>
      <c r="R14" s="28">
        <v>10</v>
      </c>
      <c r="S14" s="29" t="s">
        <v>34</v>
      </c>
      <c r="T14" s="28"/>
      <c r="U14" s="29"/>
      <c r="V14" s="28">
        <v>10</v>
      </c>
      <c r="W14" s="29" t="s">
        <v>53</v>
      </c>
      <c r="X14" s="28"/>
      <c r="Y14" s="29"/>
      <c r="Z14" s="28"/>
      <c r="AA14" s="29"/>
      <c r="AB14" s="28"/>
      <c r="AC14" s="29"/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93</v>
      </c>
      <c r="D15" s="5"/>
      <c r="E15" s="1"/>
      <c r="F15" s="17"/>
      <c r="G15" s="17"/>
      <c r="H15" s="5">
        <v>11</v>
      </c>
      <c r="I15" s="1" t="s">
        <v>117</v>
      </c>
      <c r="J15" s="20" t="s">
        <v>105</v>
      </c>
      <c r="K15" s="1" t="s">
        <v>101</v>
      </c>
      <c r="L15" s="5"/>
      <c r="M15" s="6"/>
      <c r="N15" s="5"/>
      <c r="O15" s="6"/>
      <c r="P15" s="5"/>
      <c r="Q15" s="1"/>
      <c r="R15" s="28">
        <v>11</v>
      </c>
      <c r="S15" s="29" t="s">
        <v>35</v>
      </c>
      <c r="T15" s="28"/>
      <c r="U15" s="29"/>
      <c r="V15" s="28"/>
      <c r="W15" s="29"/>
      <c r="X15" s="28"/>
      <c r="Y15" s="29"/>
      <c r="Z15" s="28"/>
      <c r="AA15" s="29"/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94</v>
      </c>
      <c r="D16" s="5"/>
      <c r="E16" s="1"/>
      <c r="F16" s="17"/>
      <c r="G16" s="22"/>
      <c r="H16" s="5">
        <v>12</v>
      </c>
      <c r="I16" s="1" t="s">
        <v>118</v>
      </c>
      <c r="J16" s="20" t="s">
        <v>106</v>
      </c>
      <c r="K16" s="1" t="s">
        <v>102</v>
      </c>
      <c r="L16" s="5"/>
      <c r="M16" s="6"/>
      <c r="N16" s="5"/>
      <c r="O16" s="6"/>
      <c r="P16" s="5"/>
      <c r="Q16" s="1"/>
      <c r="R16" s="28">
        <v>12</v>
      </c>
      <c r="S16" s="29" t="s">
        <v>36</v>
      </c>
      <c r="T16" s="28"/>
      <c r="U16" s="29"/>
      <c r="V16" s="28"/>
      <c r="W16" s="29"/>
      <c r="X16" s="28"/>
      <c r="Y16" s="29"/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95</v>
      </c>
      <c r="D17" s="5"/>
      <c r="E17" s="1"/>
      <c r="F17" s="17"/>
      <c r="G17" s="17"/>
      <c r="H17" s="5">
        <v>13</v>
      </c>
      <c r="I17" s="1" t="s">
        <v>119</v>
      </c>
      <c r="J17" s="19"/>
      <c r="K17" s="1"/>
      <c r="L17" s="5"/>
      <c r="M17" s="6"/>
      <c r="N17" s="5"/>
      <c r="O17" s="6"/>
      <c r="P17" s="5"/>
      <c r="Q17" s="1"/>
      <c r="R17" s="28">
        <v>13</v>
      </c>
      <c r="S17" s="29" t="s">
        <v>37</v>
      </c>
      <c r="T17" s="28"/>
      <c r="U17" s="29"/>
      <c r="V17" s="28"/>
      <c r="W17" s="29"/>
      <c r="X17" s="28"/>
      <c r="Y17" s="29"/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96</v>
      </c>
      <c r="D18" s="17"/>
      <c r="E18" s="1"/>
      <c r="F18" s="17"/>
      <c r="G18" s="23"/>
      <c r="H18" s="5">
        <v>14</v>
      </c>
      <c r="I18" s="1" t="s">
        <v>120</v>
      </c>
      <c r="J18" s="19"/>
      <c r="K18" s="1"/>
      <c r="L18" s="5"/>
      <c r="M18" s="6"/>
      <c r="N18" s="5"/>
      <c r="O18" s="6"/>
      <c r="P18" s="5"/>
      <c r="Q18" s="1"/>
      <c r="R18" s="28">
        <v>14</v>
      </c>
      <c r="S18" s="29" t="s">
        <v>38</v>
      </c>
      <c r="T18" s="28"/>
      <c r="U18" s="29"/>
      <c r="V18" s="28"/>
      <c r="W18" s="29"/>
      <c r="X18" s="28"/>
      <c r="Y18" s="29"/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97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28">
        <v>15</v>
      </c>
      <c r="S19" s="29" t="s">
        <v>40</v>
      </c>
      <c r="T19" s="28"/>
      <c r="U19" s="29"/>
      <c r="V19" s="28"/>
      <c r="W19" s="29"/>
      <c r="X19" s="28"/>
      <c r="Y19" s="29"/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98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28">
        <v>16</v>
      </c>
      <c r="S20" s="29" t="s">
        <v>39</v>
      </c>
      <c r="T20" s="28"/>
      <c r="U20" s="29"/>
      <c r="V20" s="28"/>
      <c r="W20" s="29"/>
      <c r="X20" s="28"/>
      <c r="Y20" s="29"/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62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28"/>
      <c r="S21" s="29"/>
      <c r="T21" s="28"/>
      <c r="U21" s="29"/>
      <c r="V21" s="28"/>
      <c r="W21" s="29"/>
      <c r="X21" s="28"/>
      <c r="Y21" s="29"/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28"/>
      <c r="S22" s="29"/>
      <c r="T22" s="28"/>
      <c r="U22" s="29"/>
      <c r="V22" s="28"/>
      <c r="W22" s="29"/>
      <c r="X22" s="28"/>
      <c r="Y22" s="29"/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28"/>
      <c r="S23" s="29"/>
      <c r="T23" s="28"/>
      <c r="U23" s="29"/>
      <c r="V23" s="28"/>
      <c r="W23" s="29"/>
      <c r="X23" s="28"/>
      <c r="Y23" s="29"/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28"/>
      <c r="S24" s="29"/>
      <c r="T24" s="28"/>
      <c r="U24" s="29"/>
      <c r="V24" s="28"/>
      <c r="W24" s="29"/>
      <c r="X24" s="28"/>
      <c r="Y24" s="29"/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30"/>
      <c r="S25" s="29"/>
      <c r="T25" s="30"/>
      <c r="U25" s="29"/>
      <c r="V25" s="30"/>
      <c r="W25" s="29"/>
      <c r="X25" s="30"/>
      <c r="Y25" s="29"/>
      <c r="Z25" s="3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31"/>
      <c r="S26" s="29"/>
      <c r="T26" s="31"/>
      <c r="U26" s="29"/>
      <c r="V26" s="31"/>
      <c r="W26" s="29"/>
      <c r="X26" s="31"/>
      <c r="Y26" s="29"/>
      <c r="Z26" s="3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31"/>
      <c r="U27" s="29"/>
      <c r="V27" s="31"/>
      <c r="W27" s="29"/>
      <c r="X27" s="31"/>
      <c r="Y27" s="29"/>
      <c r="Z27" s="3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33"/>
      <c r="S29" s="34"/>
      <c r="T29" s="33"/>
      <c r="U29" s="34"/>
      <c r="V29" s="33"/>
      <c r="W29" s="34"/>
      <c r="X29" s="33"/>
      <c r="Y29" s="34"/>
      <c r="Z29" s="33"/>
      <c r="AA29" s="34"/>
      <c r="AB29" s="33"/>
      <c r="AC29" s="34"/>
      <c r="AD29" s="33"/>
      <c r="AE29" s="34"/>
      <c r="AF29" s="33"/>
      <c r="AG29" s="34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R2:AG2"/>
    <mergeCell ref="R3:S4"/>
    <mergeCell ref="T3:U4"/>
    <mergeCell ref="V3:W4"/>
    <mergeCell ref="X3:Y4"/>
    <mergeCell ref="Z3:AA4"/>
    <mergeCell ref="AB3:AC4"/>
    <mergeCell ref="AD3:AE4"/>
    <mergeCell ref="AF3:AG4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abSelected="1" workbookViewId="0">
      <pane xSplit="14085" topLeftCell="L1"/>
      <selection activeCell="H13" sqref="H13"/>
      <selection pane="topRight" activeCell="S14" sqref="S14:V14"/>
    </sheetView>
  </sheetViews>
  <sheetFormatPr defaultRowHeight="16.5" x14ac:dyDescent="0.3"/>
  <cols>
    <col min="1" max="1" width="5.5" style="2" customWidth="1"/>
    <col min="2" max="2" width="16.375" style="2" customWidth="1"/>
    <col min="3" max="3" width="11" style="35" customWidth="1"/>
    <col min="4" max="4" width="12.625" style="2" customWidth="1"/>
    <col min="5" max="5" width="10.375" style="36" customWidth="1"/>
    <col min="6" max="6" width="13.5" style="2" customWidth="1"/>
    <col min="7" max="7" width="13.5" style="36" customWidth="1"/>
    <col min="8" max="11" width="13.5" style="2" customWidth="1"/>
    <col min="12" max="13" width="8.75" style="2" customWidth="1"/>
    <col min="14" max="14" width="8.75" style="18" customWidth="1"/>
    <col min="15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3" width="8.75" style="2" customWidth="1"/>
    <col min="24" max="34" width="24" style="2" customWidth="1"/>
    <col min="35" max="36" width="24" style="2" bestFit="1" customWidth="1"/>
    <col min="37" max="50" width="24" style="2" customWidth="1"/>
    <col min="51" max="52" width="24" style="2" bestFit="1" customWidth="1"/>
    <col min="53" max="53" width="15.875" style="2" bestFit="1" customWidth="1"/>
    <col min="54" max="54" width="20.125" style="2" bestFit="1" customWidth="1"/>
    <col min="55" max="16384" width="9" style="2"/>
  </cols>
  <sheetData>
    <row r="1" spans="1:21" ht="17.25" thickBot="1" x14ac:dyDescent="0.35">
      <c r="N1" s="2"/>
      <c r="Q1" s="2"/>
      <c r="R1" s="18"/>
      <c r="S1" s="2"/>
    </row>
    <row r="2" spans="1:21" ht="17.25" thickBot="1" x14ac:dyDescent="0.35">
      <c r="A2" s="2">
        <v>1</v>
      </c>
      <c r="B2" s="2" t="s">
        <v>140</v>
      </c>
      <c r="C2" s="62" t="s">
        <v>148</v>
      </c>
      <c r="L2" s="37" t="s">
        <v>0</v>
      </c>
      <c r="M2" s="52" t="s">
        <v>1</v>
      </c>
      <c r="N2" s="47"/>
      <c r="O2" s="52" t="s">
        <v>158</v>
      </c>
      <c r="P2" s="47"/>
      <c r="Q2" s="47"/>
      <c r="R2" s="52" t="s">
        <v>3</v>
      </c>
      <c r="S2" s="47"/>
      <c r="T2" s="40" t="s">
        <v>4</v>
      </c>
      <c r="U2" s="41"/>
    </row>
    <row r="3" spans="1:21" ht="17.25" thickBot="1" x14ac:dyDescent="0.35">
      <c r="L3" s="38"/>
      <c r="M3" s="53"/>
      <c r="N3" s="49"/>
      <c r="O3" s="53"/>
      <c r="P3" s="49"/>
      <c r="Q3" s="49"/>
      <c r="R3" s="53"/>
      <c r="S3" s="49"/>
      <c r="T3" s="42"/>
      <c r="U3" s="43"/>
    </row>
    <row r="4" spans="1:21" ht="17.25" thickBot="1" x14ac:dyDescent="0.35">
      <c r="A4" s="2">
        <v>2</v>
      </c>
      <c r="B4" s="2" t="s">
        <v>141</v>
      </c>
      <c r="C4" s="62" t="s">
        <v>85</v>
      </c>
      <c r="L4" s="39"/>
      <c r="M4" s="54"/>
      <c r="N4" s="51"/>
      <c r="O4" s="54"/>
      <c r="P4" s="51"/>
      <c r="Q4" s="51"/>
      <c r="R4" s="54"/>
      <c r="S4" s="51"/>
      <c r="T4" s="44"/>
      <c r="U4" s="45"/>
    </row>
    <row r="5" spans="1:21" x14ac:dyDescent="0.3">
      <c r="L5" s="4">
        <v>1</v>
      </c>
      <c r="M5" s="5">
        <v>1</v>
      </c>
      <c r="N5" s="17" t="s">
        <v>85</v>
      </c>
      <c r="O5" s="5">
        <v>1</v>
      </c>
      <c r="P5" s="1" t="s">
        <v>159</v>
      </c>
      <c r="Q5" s="1" t="s">
        <v>121</v>
      </c>
      <c r="R5" s="19">
        <v>1</v>
      </c>
      <c r="S5" s="1" t="s">
        <v>104</v>
      </c>
      <c r="T5" s="5">
        <v>1</v>
      </c>
      <c r="U5" s="6" t="s">
        <v>5</v>
      </c>
    </row>
    <row r="6" spans="1:21" ht="17.25" thickBot="1" x14ac:dyDescent="0.35">
      <c r="A6" s="2">
        <v>3</v>
      </c>
      <c r="B6" s="2" t="s">
        <v>150</v>
      </c>
      <c r="C6" s="2" t="s">
        <v>151</v>
      </c>
      <c r="D6" s="35" t="s">
        <v>152</v>
      </c>
      <c r="L6" s="4">
        <f>+L5+1</f>
        <v>2</v>
      </c>
      <c r="M6" s="5">
        <f>+M5+1</f>
        <v>2</v>
      </c>
      <c r="N6" s="17" t="s">
        <v>86</v>
      </c>
      <c r="O6" s="5">
        <v>2</v>
      </c>
      <c r="P6" s="1" t="s">
        <v>160</v>
      </c>
      <c r="Q6" s="1" t="s">
        <v>108</v>
      </c>
      <c r="R6" s="19">
        <v>2</v>
      </c>
      <c r="S6" s="1" t="s">
        <v>103</v>
      </c>
      <c r="T6" s="5">
        <v>2</v>
      </c>
      <c r="U6" s="6" t="s">
        <v>6</v>
      </c>
    </row>
    <row r="7" spans="1:21" ht="17.25" thickBot="1" x14ac:dyDescent="0.35">
      <c r="C7" s="64">
        <v>4</v>
      </c>
      <c r="D7" s="65">
        <v>29</v>
      </c>
      <c r="L7" s="4">
        <f t="shared" ref="L7:M18" si="0">+L6+1</f>
        <v>3</v>
      </c>
      <c r="M7" s="5">
        <f t="shared" si="0"/>
        <v>3</v>
      </c>
      <c r="N7" s="17" t="s">
        <v>87</v>
      </c>
      <c r="O7" s="5">
        <v>3</v>
      </c>
      <c r="P7" s="1" t="s">
        <v>161</v>
      </c>
      <c r="Q7" s="1" t="s">
        <v>109</v>
      </c>
      <c r="R7" s="19">
        <v>3</v>
      </c>
      <c r="S7" s="1" t="s">
        <v>8</v>
      </c>
      <c r="T7" s="5">
        <v>3</v>
      </c>
      <c r="U7" s="6" t="s">
        <v>7</v>
      </c>
    </row>
    <row r="8" spans="1:21" x14ac:dyDescent="0.3">
      <c r="C8" s="2"/>
      <c r="D8" s="35"/>
      <c r="L8" s="4">
        <f t="shared" si="0"/>
        <v>4</v>
      </c>
      <c r="M8" s="5">
        <f t="shared" si="0"/>
        <v>4</v>
      </c>
      <c r="N8" s="17" t="s">
        <v>107</v>
      </c>
      <c r="O8" s="5">
        <v>4</v>
      </c>
      <c r="P8" s="1" t="s">
        <v>162</v>
      </c>
      <c r="Q8" s="1" t="s">
        <v>110</v>
      </c>
      <c r="R8" s="19">
        <v>4</v>
      </c>
      <c r="S8" s="1" t="s">
        <v>9</v>
      </c>
      <c r="T8" s="5"/>
      <c r="U8" s="6"/>
    </row>
    <row r="9" spans="1:21" ht="17.25" thickBot="1" x14ac:dyDescent="0.35">
      <c r="A9" s="2">
        <v>4</v>
      </c>
      <c r="B9" s="2" t="s">
        <v>142</v>
      </c>
      <c r="C9" s="2" t="s">
        <v>175</v>
      </c>
      <c r="D9" s="2" t="s">
        <v>143</v>
      </c>
      <c r="E9" s="36" t="s">
        <v>144</v>
      </c>
      <c r="L9" s="4">
        <f t="shared" si="0"/>
        <v>5</v>
      </c>
      <c r="M9" s="5">
        <f t="shared" si="0"/>
        <v>5</v>
      </c>
      <c r="N9" s="17" t="s">
        <v>99</v>
      </c>
      <c r="O9" s="5"/>
      <c r="P9" s="1"/>
      <c r="Q9" s="1" t="s">
        <v>111</v>
      </c>
      <c r="R9" s="19">
        <v>5</v>
      </c>
      <c r="S9" s="1" t="s">
        <v>10</v>
      </c>
      <c r="T9" s="5"/>
      <c r="U9" s="6"/>
    </row>
    <row r="10" spans="1:21" x14ac:dyDescent="0.3">
      <c r="C10" s="2" t="s">
        <v>171</v>
      </c>
      <c r="D10" s="66">
        <f>+D12*0.3</f>
        <v>55983.012000000002</v>
      </c>
      <c r="E10" s="67">
        <f>+D10/3.3058</f>
        <v>16934.784923467843</v>
      </c>
      <c r="L10" s="4">
        <f t="shared" si="0"/>
        <v>6</v>
      </c>
      <c r="M10" s="5">
        <f t="shared" si="0"/>
        <v>6</v>
      </c>
      <c r="N10" s="17" t="s">
        <v>89</v>
      </c>
      <c r="O10" s="5"/>
      <c r="P10" s="1"/>
      <c r="Q10" s="1" t="s">
        <v>112</v>
      </c>
      <c r="R10" s="19">
        <v>6</v>
      </c>
      <c r="S10" s="1" t="s">
        <v>11</v>
      </c>
      <c r="T10" s="5"/>
      <c r="U10" s="6"/>
    </row>
    <row r="11" spans="1:21" ht="17.25" thickBot="1" x14ac:dyDescent="0.35">
      <c r="C11" s="2" t="s">
        <v>172</v>
      </c>
      <c r="D11" s="68">
        <f>+D12-D10</f>
        <v>130627.02800000001</v>
      </c>
      <c r="E11" s="69">
        <f t="shared" ref="E11:E12" si="1">+D11/3.3058</f>
        <v>39514.498154758301</v>
      </c>
      <c r="L11" s="4">
        <f t="shared" si="0"/>
        <v>7</v>
      </c>
      <c r="M11" s="5">
        <f t="shared" si="0"/>
        <v>7</v>
      </c>
      <c r="N11" s="17" t="s">
        <v>90</v>
      </c>
      <c r="O11" s="5"/>
      <c r="P11" s="1"/>
      <c r="Q11" s="1" t="s">
        <v>113</v>
      </c>
      <c r="R11" s="19">
        <v>7</v>
      </c>
      <c r="S11" s="1" t="s">
        <v>12</v>
      </c>
      <c r="T11" s="5"/>
      <c r="U11" s="6"/>
    </row>
    <row r="12" spans="1:21" x14ac:dyDescent="0.3">
      <c r="C12" s="2" t="s">
        <v>173</v>
      </c>
      <c r="D12" s="2">
        <v>186610.04</v>
      </c>
      <c r="E12" s="36">
        <f t="shared" si="1"/>
        <v>56449.283078226152</v>
      </c>
      <c r="L12" s="4">
        <f t="shared" si="0"/>
        <v>8</v>
      </c>
      <c r="M12" s="5">
        <f t="shared" si="0"/>
        <v>8</v>
      </c>
      <c r="N12" s="17" t="s">
        <v>88</v>
      </c>
      <c r="O12" s="5"/>
      <c r="P12" s="1"/>
      <c r="Q12" s="1" t="s">
        <v>114</v>
      </c>
      <c r="R12" s="19">
        <v>8</v>
      </c>
      <c r="S12" s="1" t="s">
        <v>13</v>
      </c>
      <c r="T12" s="5"/>
      <c r="U12" s="6"/>
    </row>
    <row r="13" spans="1:21" x14ac:dyDescent="0.3">
      <c r="C13" s="2"/>
      <c r="L13" s="4">
        <f t="shared" si="0"/>
        <v>9</v>
      </c>
      <c r="M13" s="5">
        <f t="shared" si="0"/>
        <v>9</v>
      </c>
      <c r="N13" s="17" t="s">
        <v>91</v>
      </c>
      <c r="O13" s="5"/>
      <c r="P13" s="1"/>
      <c r="Q13" s="1" t="s">
        <v>115</v>
      </c>
      <c r="R13" s="19">
        <v>9</v>
      </c>
      <c r="S13" s="1" t="s">
        <v>14</v>
      </c>
      <c r="T13" s="5"/>
      <c r="U13" s="6"/>
    </row>
    <row r="14" spans="1:21" ht="17.25" thickBot="1" x14ac:dyDescent="0.35">
      <c r="C14" s="2" t="s">
        <v>176</v>
      </c>
      <c r="D14" s="2" t="s">
        <v>143</v>
      </c>
      <c r="E14" s="36" t="s">
        <v>144</v>
      </c>
      <c r="L14" s="4">
        <f t="shared" si="0"/>
        <v>10</v>
      </c>
      <c r="M14" s="5">
        <f t="shared" si="0"/>
        <v>10</v>
      </c>
      <c r="N14" s="17" t="s">
        <v>92</v>
      </c>
      <c r="O14" s="5"/>
      <c r="P14" s="1"/>
      <c r="Q14" s="1" t="s">
        <v>116</v>
      </c>
      <c r="R14" s="19">
        <v>10</v>
      </c>
      <c r="S14" s="1" t="s">
        <v>100</v>
      </c>
      <c r="T14" s="5"/>
      <c r="U14" s="6"/>
    </row>
    <row r="15" spans="1:21" x14ac:dyDescent="0.3">
      <c r="C15" s="2" t="s">
        <v>171</v>
      </c>
      <c r="D15" s="66">
        <f>+D17*0.3*1.3</f>
        <v>80055.707160000005</v>
      </c>
      <c r="E15" s="67">
        <f>+D15/3.3058</f>
        <v>24216.742440559017</v>
      </c>
      <c r="L15" s="4">
        <f t="shared" si="0"/>
        <v>11</v>
      </c>
      <c r="M15" s="5">
        <f t="shared" si="0"/>
        <v>11</v>
      </c>
      <c r="N15" s="17" t="s">
        <v>93</v>
      </c>
      <c r="O15" s="5"/>
      <c r="P15" s="1"/>
      <c r="Q15" s="1" t="s">
        <v>117</v>
      </c>
      <c r="R15" s="20" t="s">
        <v>105</v>
      </c>
      <c r="S15" s="1" t="s">
        <v>101</v>
      </c>
      <c r="T15" s="5"/>
      <c r="U15" s="6"/>
    </row>
    <row r="16" spans="1:21" ht="17.25" thickBot="1" x14ac:dyDescent="0.35">
      <c r="C16" s="2" t="s">
        <v>172</v>
      </c>
      <c r="D16" s="68">
        <f>+D17-D15</f>
        <v>125215.33684000002</v>
      </c>
      <c r="E16" s="69">
        <f t="shared" ref="E16:E17" si="2">+D16/3.3058</f>
        <v>37877.468945489753</v>
      </c>
      <c r="L16" s="4">
        <f t="shared" si="0"/>
        <v>12</v>
      </c>
      <c r="M16" s="5">
        <f t="shared" si="0"/>
        <v>12</v>
      </c>
      <c r="N16" s="17" t="s">
        <v>94</v>
      </c>
      <c r="O16" s="5"/>
      <c r="P16" s="1"/>
      <c r="Q16" s="1" t="s">
        <v>118</v>
      </c>
      <c r="R16" s="20" t="s">
        <v>106</v>
      </c>
      <c r="S16" s="1" t="s">
        <v>102</v>
      </c>
      <c r="T16" s="5"/>
      <c r="U16" s="6"/>
    </row>
    <row r="17" spans="1:21" x14ac:dyDescent="0.3">
      <c r="C17" s="2" t="s">
        <v>173</v>
      </c>
      <c r="D17" s="2">
        <f>186610.04*1.1</f>
        <v>205271.04400000002</v>
      </c>
      <c r="E17" s="36">
        <f t="shared" si="2"/>
        <v>62094.211386048766</v>
      </c>
      <c r="L17" s="4">
        <f t="shared" si="0"/>
        <v>13</v>
      </c>
      <c r="M17" s="5">
        <f t="shared" si="0"/>
        <v>13</v>
      </c>
      <c r="N17" s="17" t="s">
        <v>95</v>
      </c>
      <c r="O17" s="5"/>
      <c r="P17" s="1"/>
      <c r="Q17" s="1" t="s">
        <v>119</v>
      </c>
      <c r="R17" s="19"/>
      <c r="S17" s="1"/>
      <c r="T17" s="5"/>
      <c r="U17" s="6"/>
    </row>
    <row r="18" spans="1:21" x14ac:dyDescent="0.3">
      <c r="C18" s="2"/>
      <c r="L18" s="4">
        <f t="shared" si="0"/>
        <v>14</v>
      </c>
      <c r="M18" s="5">
        <f t="shared" si="0"/>
        <v>14</v>
      </c>
      <c r="N18" s="17" t="s">
        <v>96</v>
      </c>
      <c r="O18" s="17"/>
      <c r="P18" s="1"/>
      <c r="Q18" s="1" t="s">
        <v>120</v>
      </c>
      <c r="R18" s="19"/>
      <c r="S18" s="1"/>
      <c r="T18" s="5"/>
      <c r="U18" s="6"/>
    </row>
    <row r="19" spans="1:21" x14ac:dyDescent="0.3">
      <c r="C19" s="2"/>
      <c r="L19" s="4"/>
      <c r="M19" s="5"/>
      <c r="N19" s="17"/>
      <c r="O19" s="17"/>
      <c r="P19" s="1"/>
      <c r="Q19" s="1"/>
      <c r="R19" s="19"/>
      <c r="S19" s="1"/>
      <c r="T19" s="5"/>
      <c r="U19" s="6"/>
    </row>
    <row r="20" spans="1:21" ht="17.25" thickBot="1" x14ac:dyDescent="0.35">
      <c r="A20" s="2">
        <v>5</v>
      </c>
      <c r="B20" s="2" t="s">
        <v>178</v>
      </c>
      <c r="C20" s="2" t="s">
        <v>171</v>
      </c>
      <c r="D20" s="2" t="s">
        <v>172</v>
      </c>
      <c r="L20" s="4"/>
      <c r="M20" s="5"/>
      <c r="N20" s="17"/>
      <c r="O20" s="17"/>
      <c r="P20" s="1"/>
      <c r="Q20" s="1"/>
      <c r="R20" s="19"/>
      <c r="S20" s="1"/>
      <c r="T20" s="5"/>
      <c r="U20" s="6"/>
    </row>
    <row r="21" spans="1:21" ht="17.25" thickBot="1" x14ac:dyDescent="0.35">
      <c r="C21" s="64">
        <v>6</v>
      </c>
      <c r="D21" s="70">
        <f>3.5*D7</f>
        <v>101.5</v>
      </c>
      <c r="L21" s="4"/>
      <c r="M21" s="5"/>
      <c r="N21" s="17"/>
      <c r="O21" s="17"/>
      <c r="P21" s="1"/>
      <c r="Q21" s="1"/>
      <c r="R21" s="19"/>
      <c r="S21" s="1"/>
      <c r="T21" s="5"/>
      <c r="U21" s="6"/>
    </row>
    <row r="22" spans="1:21" ht="17.25" thickBot="1" x14ac:dyDescent="0.35">
      <c r="C22" s="2"/>
      <c r="L22" s="4"/>
      <c r="M22" s="5"/>
      <c r="N22" s="17"/>
      <c r="O22" s="17"/>
      <c r="P22" s="1"/>
      <c r="Q22" s="1"/>
      <c r="R22" s="19"/>
      <c r="S22" s="1"/>
      <c r="T22" s="5"/>
      <c r="U22" s="6"/>
    </row>
    <row r="23" spans="1:21" ht="17.25" thickBot="1" x14ac:dyDescent="0.35">
      <c r="A23" s="2">
        <v>6</v>
      </c>
      <c r="B23" s="2" t="s">
        <v>179</v>
      </c>
      <c r="C23" s="63" t="s">
        <v>180</v>
      </c>
      <c r="L23" s="4"/>
      <c r="M23" s="5"/>
      <c r="N23" s="17"/>
      <c r="O23" s="17"/>
      <c r="P23" s="1"/>
      <c r="Q23" s="1"/>
      <c r="R23" s="19"/>
      <c r="S23" s="1"/>
      <c r="T23" s="5"/>
      <c r="U23" s="6"/>
    </row>
    <row r="24" spans="1:21" ht="17.25" thickBot="1" x14ac:dyDescent="0.35">
      <c r="C24" s="2"/>
      <c r="L24" s="4"/>
      <c r="M24" s="5"/>
      <c r="N24" s="17"/>
      <c r="O24" s="17"/>
      <c r="P24" s="1"/>
      <c r="Q24" s="1"/>
      <c r="R24" s="19"/>
      <c r="S24" s="1"/>
      <c r="T24" s="5"/>
      <c r="U24" s="6"/>
    </row>
    <row r="25" spans="1:21" ht="17.25" thickBot="1" x14ac:dyDescent="0.35">
      <c r="A25" s="2">
        <v>7</v>
      </c>
      <c r="B25" s="2" t="s">
        <v>145</v>
      </c>
      <c r="C25" s="62" t="s">
        <v>121</v>
      </c>
      <c r="L25" s="4"/>
      <c r="M25" s="5"/>
      <c r="N25" s="17"/>
      <c r="O25" s="5"/>
      <c r="P25" s="27"/>
      <c r="Q25" s="24"/>
      <c r="R25" s="19"/>
      <c r="S25" s="1"/>
      <c r="T25" s="5"/>
      <c r="U25" s="6"/>
    </row>
    <row r="26" spans="1:21" ht="17.25" thickBot="1" x14ac:dyDescent="0.35">
      <c r="L26" s="4"/>
      <c r="M26" s="5"/>
      <c r="N26" s="17"/>
      <c r="O26" s="5"/>
      <c r="P26" s="27"/>
      <c r="Q26" s="24"/>
      <c r="R26" s="19"/>
      <c r="S26" s="1"/>
      <c r="T26" s="5"/>
      <c r="U26" s="6"/>
    </row>
    <row r="27" spans="1:21" ht="17.25" thickBot="1" x14ac:dyDescent="0.35">
      <c r="A27" s="2">
        <v>8</v>
      </c>
      <c r="B27" s="2" t="s">
        <v>146</v>
      </c>
      <c r="C27" s="62" t="s">
        <v>147</v>
      </c>
      <c r="L27" s="4"/>
      <c r="M27" s="5"/>
      <c r="N27" s="17"/>
      <c r="O27" s="5"/>
      <c r="P27" s="27"/>
      <c r="Q27" s="24"/>
      <c r="R27" s="19"/>
      <c r="S27" s="1"/>
      <c r="T27" s="5"/>
      <c r="U27" s="6"/>
    </row>
    <row r="28" spans="1:21" x14ac:dyDescent="0.3">
      <c r="L28" s="4"/>
      <c r="M28" s="5"/>
      <c r="N28" s="1"/>
      <c r="O28" s="1"/>
      <c r="P28" s="27"/>
      <c r="Q28" s="24"/>
      <c r="R28" s="20"/>
      <c r="S28" s="1"/>
      <c r="T28" s="7"/>
      <c r="U28" s="6"/>
    </row>
    <row r="29" spans="1:21" x14ac:dyDescent="0.3">
      <c r="A29" s="2">
        <v>9</v>
      </c>
      <c r="B29" s="2" t="s">
        <v>181</v>
      </c>
      <c r="C29" s="2" t="s">
        <v>175</v>
      </c>
      <c r="L29" s="4"/>
      <c r="M29" s="5"/>
      <c r="N29" s="1"/>
      <c r="O29" s="1"/>
      <c r="P29" s="27"/>
      <c r="Q29" s="24"/>
      <c r="R29" s="20"/>
      <c r="S29" s="1"/>
      <c r="T29" s="7"/>
      <c r="U29" s="9"/>
    </row>
    <row r="30" spans="1:21" ht="17.25" thickBot="1" x14ac:dyDescent="0.35">
      <c r="B30" s="2" t="s">
        <v>183</v>
      </c>
      <c r="C30" s="2"/>
      <c r="D30" s="2" t="s">
        <v>149</v>
      </c>
      <c r="E30" s="36" t="s">
        <v>156</v>
      </c>
      <c r="F30" s="35" t="s">
        <v>157</v>
      </c>
      <c r="G30" s="36" t="s">
        <v>163</v>
      </c>
      <c r="H30" s="2" t="s">
        <v>164</v>
      </c>
      <c r="L30" s="4"/>
      <c r="M30" s="5"/>
      <c r="N30" s="11"/>
      <c r="O30" s="11"/>
      <c r="P30" s="27"/>
      <c r="Q30" s="24"/>
      <c r="R30" s="20"/>
      <c r="S30" s="1"/>
      <c r="T30" s="7"/>
      <c r="U30" s="9"/>
    </row>
    <row r="31" spans="1:21" x14ac:dyDescent="0.3">
      <c r="C31" s="2" t="s">
        <v>171</v>
      </c>
      <c r="D31" s="80" t="s">
        <v>153</v>
      </c>
      <c r="E31" s="71">
        <f>+G31/$D$10</f>
        <v>0.90300000000000002</v>
      </c>
      <c r="F31" s="71">
        <f>+E31*3.3058</f>
        <v>2.9851374000000002</v>
      </c>
      <c r="G31" s="71">
        <v>50552.659836000006</v>
      </c>
      <c r="H31" s="67"/>
      <c r="L31" s="4"/>
      <c r="M31" s="5"/>
      <c r="N31" s="11"/>
      <c r="O31" s="11"/>
      <c r="P31" s="24"/>
      <c r="Q31" s="24"/>
      <c r="R31" s="20"/>
      <c r="S31" s="11"/>
      <c r="T31" s="10"/>
      <c r="U31" s="6"/>
    </row>
    <row r="32" spans="1:21" ht="17.25" thickBot="1" x14ac:dyDescent="0.35">
      <c r="C32" s="2"/>
      <c r="D32" s="81" t="s">
        <v>154</v>
      </c>
      <c r="E32" s="74">
        <f t="shared" ref="E32:E33" si="3">+G32/$D$10</f>
        <v>4.6147560977962385</v>
      </c>
      <c r="F32" s="74">
        <f t="shared" ref="F32:F36" si="4">+E32*3.3058</f>
        <v>15.255460708094805</v>
      </c>
      <c r="G32" s="74">
        <v>258347.946</v>
      </c>
      <c r="H32" s="76">
        <f>+E32/E31</f>
        <v>5.1104718690988244</v>
      </c>
      <c r="L32" s="12"/>
      <c r="M32" s="13"/>
      <c r="N32" s="14"/>
      <c r="O32" s="14"/>
      <c r="P32" s="26"/>
      <c r="Q32" s="26"/>
      <c r="R32" s="21"/>
      <c r="S32" s="14"/>
      <c r="T32" s="15"/>
      <c r="U32" s="16"/>
    </row>
    <row r="33" spans="1:21" x14ac:dyDescent="0.3">
      <c r="C33" s="2"/>
      <c r="D33" s="81" t="s">
        <v>155</v>
      </c>
      <c r="E33" s="74">
        <f t="shared" si="3"/>
        <v>7.1734586199113382E-2</v>
      </c>
      <c r="F33" s="74">
        <f t="shared" si="4"/>
        <v>0.23714019505702902</v>
      </c>
      <c r="G33" s="74">
        <v>4015.9181999999992</v>
      </c>
      <c r="H33" s="76">
        <f>+E33/E31</f>
        <v>7.9440294794145494E-2</v>
      </c>
      <c r="N33" s="2"/>
      <c r="Q33" s="2"/>
      <c r="R33" s="18"/>
      <c r="S33" s="2"/>
      <c r="U33" s="2"/>
    </row>
    <row r="34" spans="1:21" x14ac:dyDescent="0.3">
      <c r="C34" s="2" t="s">
        <v>172</v>
      </c>
      <c r="D34" s="81" t="s">
        <v>153</v>
      </c>
      <c r="E34" s="74">
        <f>+G34/$D$11</f>
        <v>0.90299812351238651</v>
      </c>
      <c r="F34" s="74">
        <f t="shared" si="4"/>
        <v>2.9851311967072474</v>
      </c>
      <c r="G34" s="74">
        <f>+G37-G31</f>
        <v>117955.96116399998</v>
      </c>
      <c r="H34" s="76"/>
      <c r="N34" s="2"/>
      <c r="Q34" s="2"/>
      <c r="R34" s="18"/>
      <c r="S34" s="2"/>
      <c r="U34" s="3">
        <f>SUM(U5:U33)</f>
        <v>0</v>
      </c>
    </row>
    <row r="35" spans="1:21" x14ac:dyDescent="0.3">
      <c r="C35" s="2"/>
      <c r="D35" s="81" t="s">
        <v>154</v>
      </c>
      <c r="E35" s="74">
        <f t="shared" ref="E35:E36" si="5">+G35/$D$11</f>
        <v>4.6147560977962376</v>
      </c>
      <c r="F35" s="74">
        <f t="shared" si="4"/>
        <v>15.255460708094803</v>
      </c>
      <c r="G35" s="74">
        <f>+G38-G32</f>
        <v>602811.87399999995</v>
      </c>
      <c r="H35" s="76">
        <f>+E35/E34</f>
        <v>5.1104824889848581</v>
      </c>
      <c r="N35" s="2"/>
      <c r="Q35" s="2"/>
      <c r="R35" s="18"/>
      <c r="S35" s="2"/>
      <c r="U35" s="2"/>
    </row>
    <row r="36" spans="1:21" x14ac:dyDescent="0.3">
      <c r="C36" s="2"/>
      <c r="D36" s="81" t="s">
        <v>155</v>
      </c>
      <c r="E36" s="74">
        <f t="shared" si="5"/>
        <v>7.1734586199113395E-2</v>
      </c>
      <c r="F36" s="74">
        <f t="shared" si="4"/>
        <v>0.23714019505702907</v>
      </c>
      <c r="G36" s="74">
        <f>+G39-G33</f>
        <v>9370.4758000000002</v>
      </c>
      <c r="H36" s="76">
        <f>+E36/E34</f>
        <v>7.9440459876137723E-2</v>
      </c>
      <c r="N36" s="2"/>
      <c r="Q36" s="2"/>
      <c r="R36" s="18"/>
      <c r="S36" s="2"/>
      <c r="U36" s="2"/>
    </row>
    <row r="37" spans="1:21" x14ac:dyDescent="0.3">
      <c r="C37" s="2" t="s">
        <v>173</v>
      </c>
      <c r="D37" s="81" t="s">
        <v>153</v>
      </c>
      <c r="E37" s="74">
        <f>+G37/$D$12</f>
        <v>0.90299868645867054</v>
      </c>
      <c r="F37" s="74">
        <f>+E37*3.3058</f>
        <v>2.985133057695073</v>
      </c>
      <c r="G37" s="74">
        <v>168508.62099999998</v>
      </c>
      <c r="H37" s="76"/>
      <c r="N37" s="2"/>
      <c r="Q37" s="2"/>
      <c r="R37" s="18"/>
      <c r="S37" s="2"/>
      <c r="U37" s="2"/>
    </row>
    <row r="38" spans="1:21" x14ac:dyDescent="0.3">
      <c r="C38" s="2"/>
      <c r="D38" s="81" t="s">
        <v>154</v>
      </c>
      <c r="E38" s="74">
        <f t="shared" ref="E38:E39" si="6">+G38/$D$12</f>
        <v>4.6147560977962385</v>
      </c>
      <c r="F38" s="74">
        <f t="shared" ref="F38:F39" si="7">+E38*3.3058</f>
        <v>15.255460708094805</v>
      </c>
      <c r="G38" s="74">
        <v>861159.82</v>
      </c>
      <c r="H38" s="76">
        <f>+E38/E37</f>
        <v>5.1104793030144142</v>
      </c>
      <c r="N38" s="2"/>
      <c r="Q38" s="2"/>
      <c r="R38" s="18"/>
      <c r="S38" s="2"/>
      <c r="U38" s="2"/>
    </row>
    <row r="39" spans="1:21" ht="17.25" thickBot="1" x14ac:dyDescent="0.35">
      <c r="C39" s="2"/>
      <c r="D39" s="68" t="s">
        <v>155</v>
      </c>
      <c r="E39" s="78">
        <f t="shared" si="6"/>
        <v>7.1734586199113395E-2</v>
      </c>
      <c r="F39" s="78">
        <f t="shared" si="7"/>
        <v>0.23714019505702907</v>
      </c>
      <c r="G39" s="78">
        <v>13386.394</v>
      </c>
      <c r="H39" s="69">
        <f>+E39/E37</f>
        <v>7.9440410351468024E-2</v>
      </c>
      <c r="N39" s="2"/>
      <c r="Q39" s="2"/>
      <c r="R39" s="18"/>
      <c r="S39" s="2"/>
      <c r="U39" s="2"/>
    </row>
    <row r="40" spans="1:21" x14ac:dyDescent="0.3">
      <c r="D40" s="36"/>
      <c r="F40" s="36"/>
      <c r="N40" s="2"/>
      <c r="Q40" s="2"/>
      <c r="R40" s="18"/>
      <c r="S40" s="2"/>
      <c r="U40" s="2"/>
    </row>
    <row r="41" spans="1:21" x14ac:dyDescent="0.3">
      <c r="A41" s="2">
        <v>10</v>
      </c>
      <c r="B41" s="2" t="s">
        <v>181</v>
      </c>
      <c r="C41" s="2" t="s">
        <v>176</v>
      </c>
      <c r="N41" s="2"/>
      <c r="Q41" s="2"/>
      <c r="R41" s="18"/>
      <c r="S41" s="2"/>
      <c r="U41" s="2"/>
    </row>
    <row r="42" spans="1:21" ht="17.25" thickBot="1" x14ac:dyDescent="0.35">
      <c r="B42" s="2" t="s">
        <v>184</v>
      </c>
      <c r="C42" s="2"/>
      <c r="D42" s="2" t="s">
        <v>149</v>
      </c>
      <c r="E42" s="36" t="s">
        <v>156</v>
      </c>
      <c r="F42" s="35" t="s">
        <v>157</v>
      </c>
      <c r="G42" s="36" t="s">
        <v>163</v>
      </c>
      <c r="H42" s="2" t="s">
        <v>164</v>
      </c>
      <c r="N42" s="2"/>
      <c r="Q42" s="2"/>
      <c r="R42" s="18"/>
      <c r="S42" s="2"/>
      <c r="U42" s="2"/>
    </row>
    <row r="43" spans="1:21" x14ac:dyDescent="0.3">
      <c r="C43" s="2" t="s">
        <v>171</v>
      </c>
      <c r="D43" s="80" t="s">
        <v>153</v>
      </c>
      <c r="E43" s="71">
        <f>+G43/$D$10</f>
        <v>0.90300000000000002</v>
      </c>
      <c r="F43" s="71">
        <f>+E43*3.3058</f>
        <v>2.9851374000000002</v>
      </c>
      <c r="G43" s="71">
        <v>50552.659836000006</v>
      </c>
      <c r="H43" s="67"/>
      <c r="N43" s="2"/>
      <c r="Q43" s="2"/>
      <c r="R43" s="18"/>
      <c r="S43" s="2"/>
      <c r="U43" s="2"/>
    </row>
    <row r="44" spans="1:21" x14ac:dyDescent="0.3">
      <c r="C44" s="2"/>
      <c r="D44" s="81" t="s">
        <v>154</v>
      </c>
      <c r="E44" s="74">
        <f t="shared" ref="E44:E45" si="8">+G44/$D$10</f>
        <v>4.6147560977962385</v>
      </c>
      <c r="F44" s="74">
        <f t="shared" ref="F44:F48" si="9">+E44*3.3058</f>
        <v>15.255460708094805</v>
      </c>
      <c r="G44" s="74">
        <v>258347.946</v>
      </c>
      <c r="H44" s="76">
        <f>+E44/E43</f>
        <v>5.1104718690988244</v>
      </c>
      <c r="N44" s="2"/>
      <c r="Q44" s="2"/>
      <c r="R44" s="18"/>
      <c r="S44" s="2"/>
      <c r="U44" s="2"/>
    </row>
    <row r="45" spans="1:21" x14ac:dyDescent="0.3">
      <c r="C45" s="2"/>
      <c r="D45" s="81" t="s">
        <v>155</v>
      </c>
      <c r="E45" s="74">
        <f t="shared" si="8"/>
        <v>7.1734586199113382E-2</v>
      </c>
      <c r="F45" s="74">
        <f t="shared" si="9"/>
        <v>0.23714019505702902</v>
      </c>
      <c r="G45" s="74">
        <v>4015.9181999999992</v>
      </c>
      <c r="H45" s="76">
        <f>+E45/E43</f>
        <v>7.9440294794145494E-2</v>
      </c>
      <c r="N45" s="2"/>
      <c r="Q45" s="2"/>
      <c r="R45" s="18"/>
      <c r="S45" s="2"/>
      <c r="U45" s="2"/>
    </row>
    <row r="46" spans="1:21" x14ac:dyDescent="0.3">
      <c r="C46" s="2" t="s">
        <v>172</v>
      </c>
      <c r="D46" s="81" t="s">
        <v>153</v>
      </c>
      <c r="E46" s="74">
        <f>+G46/$D$11</f>
        <v>0.90299812351238651</v>
      </c>
      <c r="F46" s="74">
        <f t="shared" si="9"/>
        <v>2.9851311967072474</v>
      </c>
      <c r="G46" s="74">
        <f>+G49-G43</f>
        <v>117955.96116399998</v>
      </c>
      <c r="H46" s="76"/>
      <c r="N46" s="2"/>
      <c r="Q46" s="2"/>
      <c r="R46" s="18"/>
      <c r="S46" s="2"/>
      <c r="U46" s="2"/>
    </row>
    <row r="47" spans="1:21" x14ac:dyDescent="0.3">
      <c r="C47" s="2"/>
      <c r="D47" s="81" t="s">
        <v>154</v>
      </c>
      <c r="E47" s="74">
        <f t="shared" ref="E47:E48" si="10">+G47/$D$11</f>
        <v>4.6147560977962376</v>
      </c>
      <c r="F47" s="74">
        <f t="shared" si="9"/>
        <v>15.255460708094803</v>
      </c>
      <c r="G47" s="74">
        <f>+G50-G44</f>
        <v>602811.87399999995</v>
      </c>
      <c r="H47" s="76">
        <f>+E47/E46</f>
        <v>5.1104824889848581</v>
      </c>
      <c r="N47" s="2"/>
      <c r="Q47" s="2"/>
      <c r="R47" s="18"/>
      <c r="S47" s="2"/>
      <c r="U47" s="2"/>
    </row>
    <row r="48" spans="1:21" x14ac:dyDescent="0.3">
      <c r="C48" s="2"/>
      <c r="D48" s="81" t="s">
        <v>155</v>
      </c>
      <c r="E48" s="74">
        <f t="shared" si="10"/>
        <v>7.1734586199113395E-2</v>
      </c>
      <c r="F48" s="74">
        <f t="shared" si="9"/>
        <v>0.23714019505702907</v>
      </c>
      <c r="G48" s="74">
        <f>+G51-G45</f>
        <v>9370.4758000000002</v>
      </c>
      <c r="H48" s="76">
        <f>+E48/E46</f>
        <v>7.9440459876137723E-2</v>
      </c>
      <c r="N48" s="2"/>
      <c r="Q48" s="2"/>
      <c r="R48" s="18"/>
      <c r="S48" s="2"/>
      <c r="U48" s="2"/>
    </row>
    <row r="49" spans="1:21" x14ac:dyDescent="0.3">
      <c r="C49" s="2" t="s">
        <v>173</v>
      </c>
      <c r="D49" s="81" t="s">
        <v>153</v>
      </c>
      <c r="E49" s="74">
        <f>+G49/$D$12</f>
        <v>0.90299868645867054</v>
      </c>
      <c r="F49" s="74">
        <f>+E49*3.3058</f>
        <v>2.985133057695073</v>
      </c>
      <c r="G49" s="74">
        <v>168508.62099999998</v>
      </c>
      <c r="H49" s="76"/>
      <c r="N49" s="2"/>
      <c r="Q49" s="2"/>
      <c r="R49" s="18"/>
      <c r="S49" s="2"/>
      <c r="U49" s="2"/>
    </row>
    <row r="50" spans="1:21" x14ac:dyDescent="0.3">
      <c r="C50" s="2"/>
      <c r="D50" s="81" t="s">
        <v>154</v>
      </c>
      <c r="E50" s="74">
        <f t="shared" ref="E50:E51" si="11">+G50/$D$12</f>
        <v>4.6147560977962385</v>
      </c>
      <c r="F50" s="74">
        <f t="shared" ref="F50:F51" si="12">+E50*3.3058</f>
        <v>15.255460708094805</v>
      </c>
      <c r="G50" s="74">
        <v>861159.82</v>
      </c>
      <c r="H50" s="76">
        <f>+E50/E49</f>
        <v>5.1104793030144142</v>
      </c>
      <c r="N50" s="2"/>
      <c r="Q50" s="2"/>
      <c r="R50" s="18"/>
      <c r="S50" s="2"/>
      <c r="U50" s="2"/>
    </row>
    <row r="51" spans="1:21" ht="17.25" thickBot="1" x14ac:dyDescent="0.35">
      <c r="C51" s="2"/>
      <c r="D51" s="68" t="s">
        <v>155</v>
      </c>
      <c r="E51" s="78">
        <f t="shared" si="11"/>
        <v>7.1734586199113395E-2</v>
      </c>
      <c r="F51" s="78">
        <f t="shared" si="12"/>
        <v>0.23714019505702907</v>
      </c>
      <c r="G51" s="78">
        <v>13386.394</v>
      </c>
      <c r="H51" s="69">
        <f>+E51/E49</f>
        <v>7.9440410351468024E-2</v>
      </c>
      <c r="N51" s="2"/>
      <c r="Q51" s="2"/>
      <c r="R51" s="18"/>
      <c r="S51" s="2"/>
      <c r="U51" s="2"/>
    </row>
    <row r="52" spans="1:21" x14ac:dyDescent="0.3">
      <c r="D52" s="36"/>
      <c r="F52" s="36"/>
      <c r="N52" s="2"/>
      <c r="Q52" s="2"/>
      <c r="R52" s="18"/>
      <c r="S52" s="2"/>
      <c r="U52" s="2"/>
    </row>
    <row r="53" spans="1:21" x14ac:dyDescent="0.3">
      <c r="A53" s="2">
        <v>10</v>
      </c>
      <c r="B53" s="2" t="s">
        <v>182</v>
      </c>
      <c r="C53" s="2"/>
      <c r="N53" s="2"/>
      <c r="Q53" s="2"/>
      <c r="R53" s="18"/>
      <c r="S53" s="2"/>
      <c r="U53" s="2"/>
    </row>
    <row r="54" spans="1:21" ht="17.25" thickBot="1" x14ac:dyDescent="0.35">
      <c r="B54" s="35" t="s">
        <v>174</v>
      </c>
      <c r="C54" s="2"/>
      <c r="D54" s="2" t="s">
        <v>171</v>
      </c>
      <c r="E54" s="36" t="s">
        <v>177</v>
      </c>
      <c r="F54" s="2" t="s">
        <v>172</v>
      </c>
      <c r="G54" s="36" t="s">
        <v>177</v>
      </c>
      <c r="N54" s="2"/>
      <c r="Q54" s="2"/>
      <c r="R54" s="18"/>
      <c r="S54" s="2"/>
      <c r="U54" s="2"/>
    </row>
    <row r="55" spans="1:21" x14ac:dyDescent="0.3">
      <c r="C55" s="35" t="s">
        <v>165</v>
      </c>
      <c r="D55" s="66">
        <v>500</v>
      </c>
      <c r="E55" s="71">
        <f>+D55/$D$10</f>
        <v>8.9312807963958778E-3</v>
      </c>
      <c r="F55" s="72">
        <v>1500</v>
      </c>
      <c r="G55" s="67">
        <f>+F55/$D$10</f>
        <v>2.6793842389187632E-2</v>
      </c>
      <c r="N55" s="2"/>
      <c r="Q55" s="2"/>
      <c r="R55" s="18"/>
      <c r="S55" s="2"/>
      <c r="U55" s="2"/>
    </row>
    <row r="56" spans="1:21" x14ac:dyDescent="0.3">
      <c r="C56" s="35" t="s">
        <v>166</v>
      </c>
      <c r="D56" s="73">
        <v>501</v>
      </c>
      <c r="E56" s="74">
        <f t="shared" ref="E56:E60" si="13">+D56/$D$10</f>
        <v>8.9491433579886696E-3</v>
      </c>
      <c r="F56" s="75">
        <v>1501</v>
      </c>
      <c r="G56" s="76">
        <f t="shared" ref="G56:G60" si="14">+F56/$D$10</f>
        <v>2.6811704950780425E-2</v>
      </c>
      <c r="N56" s="2"/>
      <c r="Q56" s="2"/>
      <c r="R56" s="18"/>
      <c r="S56" s="2"/>
      <c r="U56" s="2"/>
    </row>
    <row r="57" spans="1:21" x14ac:dyDescent="0.3">
      <c r="C57" s="35" t="s">
        <v>167</v>
      </c>
      <c r="D57" s="73">
        <v>502</v>
      </c>
      <c r="E57" s="74">
        <f t="shared" si="13"/>
        <v>8.9670059195814614E-3</v>
      </c>
      <c r="F57" s="75">
        <v>1502</v>
      </c>
      <c r="G57" s="76">
        <f t="shared" si="14"/>
        <v>2.6829567512373215E-2</v>
      </c>
      <c r="N57" s="2"/>
      <c r="Q57" s="2"/>
      <c r="R57" s="18"/>
      <c r="S57" s="2"/>
      <c r="U57" s="2"/>
    </row>
    <row r="58" spans="1:21" x14ac:dyDescent="0.3">
      <c r="C58" s="35" t="s">
        <v>168</v>
      </c>
      <c r="D58" s="73">
        <v>503</v>
      </c>
      <c r="E58" s="74">
        <f t="shared" si="13"/>
        <v>8.9848684811742532E-3</v>
      </c>
      <c r="F58" s="75">
        <v>1503</v>
      </c>
      <c r="G58" s="76">
        <f t="shared" si="14"/>
        <v>2.6847430073966009E-2</v>
      </c>
      <c r="N58" s="2"/>
      <c r="Q58" s="2"/>
      <c r="R58" s="18"/>
      <c r="S58" s="2"/>
      <c r="U58" s="2"/>
    </row>
    <row r="59" spans="1:21" x14ac:dyDescent="0.3">
      <c r="C59" s="35" t="s">
        <v>169</v>
      </c>
      <c r="D59" s="73">
        <v>504</v>
      </c>
      <c r="E59" s="74">
        <f t="shared" si="13"/>
        <v>9.002731042767045E-3</v>
      </c>
      <c r="F59" s="75">
        <v>1504</v>
      </c>
      <c r="G59" s="76">
        <f t="shared" si="14"/>
        <v>2.6865292635558799E-2</v>
      </c>
      <c r="N59" s="2"/>
      <c r="Q59" s="2"/>
      <c r="R59" s="18"/>
      <c r="S59" s="2"/>
      <c r="U59" s="2"/>
    </row>
    <row r="60" spans="1:21" ht="17.25" thickBot="1" x14ac:dyDescent="0.35">
      <c r="C60" s="35" t="s">
        <v>170</v>
      </c>
      <c r="D60" s="77">
        <v>505</v>
      </c>
      <c r="E60" s="78">
        <f t="shared" si="13"/>
        <v>9.0205936043598368E-3</v>
      </c>
      <c r="F60" s="79">
        <v>1505</v>
      </c>
      <c r="G60" s="69">
        <f t="shared" si="14"/>
        <v>2.6883155197151593E-2</v>
      </c>
    </row>
    <row r="62" spans="1:21" x14ac:dyDescent="0.3">
      <c r="C62" s="2"/>
    </row>
    <row r="63" spans="1:21" ht="17.25" thickBot="1" x14ac:dyDescent="0.35">
      <c r="B63" s="35" t="s">
        <v>154</v>
      </c>
      <c r="C63" s="2"/>
      <c r="D63" s="2" t="s">
        <v>171</v>
      </c>
      <c r="E63" s="36" t="s">
        <v>177</v>
      </c>
      <c r="F63" s="2" t="s">
        <v>172</v>
      </c>
      <c r="G63" s="36" t="s">
        <v>177</v>
      </c>
    </row>
    <row r="64" spans="1:21" x14ac:dyDescent="0.3">
      <c r="C64" s="35" t="s">
        <v>165</v>
      </c>
      <c r="D64" s="66">
        <v>1000</v>
      </c>
      <c r="E64" s="71">
        <f>+D64/$D$10</f>
        <v>1.7862561592791756E-2</v>
      </c>
      <c r="F64" s="72">
        <v>2001</v>
      </c>
      <c r="G64" s="67">
        <f>+F64/$D$10</f>
        <v>3.5742985747176305E-2</v>
      </c>
    </row>
    <row r="65" spans="2:7" x14ac:dyDescent="0.3">
      <c r="C65" s="35" t="s">
        <v>166</v>
      </c>
      <c r="D65" s="73">
        <v>1001</v>
      </c>
      <c r="E65" s="74">
        <f t="shared" ref="E65:E69" si="15">+D65/$D$10</f>
        <v>1.7880424154384546E-2</v>
      </c>
      <c r="F65" s="75">
        <v>2002</v>
      </c>
      <c r="G65" s="76">
        <f t="shared" ref="G65:G69" si="16">+F65/$D$10</f>
        <v>3.5760848308769091E-2</v>
      </c>
    </row>
    <row r="66" spans="2:7" x14ac:dyDescent="0.3">
      <c r="C66" s="35" t="s">
        <v>167</v>
      </c>
      <c r="D66" s="73">
        <v>1002</v>
      </c>
      <c r="E66" s="74">
        <f t="shared" si="15"/>
        <v>1.7898286715977339E-2</v>
      </c>
      <c r="F66" s="75">
        <v>2003</v>
      </c>
      <c r="G66" s="76">
        <f t="shared" si="16"/>
        <v>3.5778710870361885E-2</v>
      </c>
    </row>
    <row r="67" spans="2:7" x14ac:dyDescent="0.3">
      <c r="C67" s="35" t="s">
        <v>168</v>
      </c>
      <c r="D67" s="73">
        <v>1003</v>
      </c>
      <c r="E67" s="74">
        <f t="shared" si="15"/>
        <v>1.7916149277570129E-2</v>
      </c>
      <c r="F67" s="75">
        <v>2004</v>
      </c>
      <c r="G67" s="76">
        <f t="shared" si="16"/>
        <v>3.5796573431954679E-2</v>
      </c>
    </row>
    <row r="68" spans="2:7" x14ac:dyDescent="0.3">
      <c r="C68" s="35" t="s">
        <v>169</v>
      </c>
      <c r="D68" s="73">
        <v>1004</v>
      </c>
      <c r="E68" s="74">
        <f t="shared" si="15"/>
        <v>1.7934011839162923E-2</v>
      </c>
      <c r="F68" s="75">
        <v>2005</v>
      </c>
      <c r="G68" s="76">
        <f t="shared" si="16"/>
        <v>3.5814435993547472E-2</v>
      </c>
    </row>
    <row r="69" spans="2:7" ht="17.25" thickBot="1" x14ac:dyDescent="0.35">
      <c r="C69" s="35" t="s">
        <v>170</v>
      </c>
      <c r="D69" s="77">
        <v>1005</v>
      </c>
      <c r="E69" s="78">
        <f t="shared" si="15"/>
        <v>1.7951874400755713E-2</v>
      </c>
      <c r="F69" s="79">
        <v>2006</v>
      </c>
      <c r="G69" s="69">
        <f t="shared" si="16"/>
        <v>3.5832298555140259E-2</v>
      </c>
    </row>
    <row r="71" spans="2:7" x14ac:dyDescent="0.3">
      <c r="C71" s="2"/>
    </row>
    <row r="72" spans="2:7" ht="17.25" thickBot="1" x14ac:dyDescent="0.35">
      <c r="B72" s="35" t="s">
        <v>155</v>
      </c>
      <c r="C72" s="2"/>
      <c r="D72" s="2" t="s">
        <v>171</v>
      </c>
      <c r="E72" s="36" t="s">
        <v>177</v>
      </c>
      <c r="F72" s="2" t="s">
        <v>172</v>
      </c>
      <c r="G72" s="36" t="s">
        <v>177</v>
      </c>
    </row>
    <row r="73" spans="2:7" x14ac:dyDescent="0.3">
      <c r="C73" s="35" t="s">
        <v>165</v>
      </c>
      <c r="D73" s="66">
        <v>100</v>
      </c>
      <c r="E73" s="71">
        <f>+D73/$D$10</f>
        <v>1.7862561592791755E-3</v>
      </c>
      <c r="F73" s="72">
        <v>201</v>
      </c>
      <c r="G73" s="67">
        <f>+F73/$D$10</f>
        <v>3.5903748801511428E-3</v>
      </c>
    </row>
    <row r="74" spans="2:7" x14ac:dyDescent="0.3">
      <c r="C74" s="35" t="s">
        <v>166</v>
      </c>
      <c r="D74" s="73">
        <v>101</v>
      </c>
      <c r="E74" s="74">
        <f t="shared" ref="E74:E78" si="17">+D74/$D$10</f>
        <v>1.8041187208719673E-3</v>
      </c>
      <c r="F74" s="75">
        <v>202</v>
      </c>
      <c r="G74" s="76">
        <f t="shared" ref="G74:G78" si="18">+F74/$D$10</f>
        <v>3.6082374417439347E-3</v>
      </c>
    </row>
    <row r="75" spans="2:7" x14ac:dyDescent="0.3">
      <c r="C75" s="35" t="s">
        <v>167</v>
      </c>
      <c r="D75" s="73">
        <v>102</v>
      </c>
      <c r="E75" s="74">
        <f t="shared" si="17"/>
        <v>1.8219812824647591E-3</v>
      </c>
      <c r="F75" s="75">
        <v>203</v>
      </c>
      <c r="G75" s="76">
        <f t="shared" si="18"/>
        <v>3.6261000033367265E-3</v>
      </c>
    </row>
    <row r="76" spans="2:7" x14ac:dyDescent="0.3">
      <c r="C76" s="35" t="s">
        <v>168</v>
      </c>
      <c r="D76" s="73">
        <v>103</v>
      </c>
      <c r="E76" s="74">
        <f t="shared" si="17"/>
        <v>1.8398438440575507E-3</v>
      </c>
      <c r="F76" s="75">
        <v>204</v>
      </c>
      <c r="G76" s="76">
        <f t="shared" si="18"/>
        <v>3.6439625649295183E-3</v>
      </c>
    </row>
    <row r="77" spans="2:7" x14ac:dyDescent="0.3">
      <c r="C77" s="35" t="s">
        <v>169</v>
      </c>
      <c r="D77" s="73">
        <v>104</v>
      </c>
      <c r="E77" s="74">
        <f t="shared" si="17"/>
        <v>1.8577064056503425E-3</v>
      </c>
      <c r="F77" s="75">
        <v>205</v>
      </c>
      <c r="G77" s="76">
        <f t="shared" si="18"/>
        <v>3.6618251265223101E-3</v>
      </c>
    </row>
    <row r="78" spans="2:7" ht="17.25" thickBot="1" x14ac:dyDescent="0.35">
      <c r="C78" s="35" t="s">
        <v>170</v>
      </c>
      <c r="D78" s="77">
        <v>105</v>
      </c>
      <c r="E78" s="78">
        <f t="shared" si="17"/>
        <v>1.8755689672431343E-3</v>
      </c>
      <c r="F78" s="79">
        <v>206</v>
      </c>
      <c r="G78" s="69">
        <f t="shared" si="18"/>
        <v>3.6796876881151014E-3</v>
      </c>
    </row>
  </sheetData>
  <mergeCells count="6">
    <mergeCell ref="R2:S4"/>
    <mergeCell ref="T2:U4"/>
    <mergeCell ref="L2:L4"/>
    <mergeCell ref="M2:N4"/>
    <mergeCell ref="O2:P4"/>
    <mergeCell ref="Q2:Q4"/>
  </mergeCells>
  <phoneticPr fontId="2" type="noConversion"/>
  <dataValidations count="3">
    <dataValidation type="list" allowBlank="1" showInputMessage="1" showErrorMessage="1" sqref="C4" xr:uid="{646E4799-6757-43E2-9B83-77F3EACF5098}">
      <formula1>$N$5:$N$18</formula1>
    </dataValidation>
    <dataValidation type="list" allowBlank="1" showInputMessage="1" showErrorMessage="1" sqref="C25" xr:uid="{C745384C-86F9-47BE-A1CF-1740ABEB3F2D}">
      <formula1>$Q$5:$Q$18</formula1>
    </dataValidation>
    <dataValidation type="list" allowBlank="1" showInputMessage="1" showErrorMessage="1" sqref="C27" xr:uid="{1BE188F5-32D9-4CF7-9663-4E7409FBF891}">
      <formula1>$S$5:$S$16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2020-03-31T14:36:17Z</dcterms:modified>
</cp:coreProperties>
</file>