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AFI\Desktop\"/>
    </mc:Choice>
  </mc:AlternateContent>
  <xr:revisionPtr revIDLastSave="0" documentId="13_ncr:1_{60EBE704-11AB-43C2-9F51-E47E42789744}" xr6:coauthVersionLast="47" xr6:coauthVersionMax="47" xr10:uidLastSave="{00000000-0000-0000-0000-000000000000}"/>
  <bookViews>
    <workbookView xWindow="-120" yWindow="-120" windowWidth="29040" windowHeight="15840" tabRatio="787" activeTab="1" xr2:uid="{00000000-000D-0000-FFFF-FFFF00000000}"/>
  </bookViews>
  <sheets>
    <sheet name="갑지" sheetId="1" r:id="rId1"/>
    <sheet name="집계표" sheetId="2" r:id="rId2"/>
  </sheets>
  <definedNames>
    <definedName name="_xlnm.Database">#REF!</definedName>
    <definedName name="_xlnm.Print_Area" localSheetId="1">집계표!$A$1:$J$26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1" l="1"/>
  <c r="G24" i="2"/>
  <c r="H24" i="2" s="1"/>
  <c r="E24" i="2"/>
  <c r="H20" i="2"/>
  <c r="H21" i="2"/>
  <c r="H22" i="2"/>
  <c r="H23" i="2"/>
  <c r="G23" i="2"/>
  <c r="E23" i="2"/>
  <c r="F23" i="2" s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4" i="2"/>
  <c r="I23" i="2" l="1"/>
  <c r="F24" i="2"/>
  <c r="I24" i="2" s="1"/>
  <c r="F22" i="2"/>
  <c r="I22" i="2" s="1"/>
  <c r="F21" i="2"/>
  <c r="I21" i="2" s="1"/>
  <c r="F20" i="2"/>
  <c r="H19" i="2"/>
  <c r="F19" i="2"/>
  <c r="I19" i="2" s="1"/>
  <c r="H18" i="2"/>
  <c r="F18" i="2"/>
  <c r="F17" i="2"/>
  <c r="H17" i="2"/>
  <c r="H16" i="2"/>
  <c r="F16" i="2"/>
  <c r="F15" i="2"/>
  <c r="H15" i="2"/>
  <c r="H14" i="2"/>
  <c r="F14" i="2"/>
  <c r="F13" i="2"/>
  <c r="H13" i="2"/>
  <c r="H12" i="2"/>
  <c r="F12" i="2"/>
  <c r="F11" i="2"/>
  <c r="H11" i="2"/>
  <c r="H10" i="2"/>
  <c r="F10" i="2"/>
  <c r="F9" i="2"/>
  <c r="H9" i="2"/>
  <c r="H8" i="2"/>
  <c r="F8" i="2"/>
  <c r="F7" i="2"/>
  <c r="H7" i="2"/>
  <c r="H26" i="2" s="1"/>
  <c r="D10" i="1" s="1"/>
  <c r="D11" i="1" s="1"/>
  <c r="H6" i="2"/>
  <c r="F6" i="2"/>
  <c r="F5" i="2"/>
  <c r="H5" i="2"/>
  <c r="H4" i="2"/>
  <c r="F4" i="2"/>
  <c r="I6" i="2" l="1"/>
  <c r="I10" i="2"/>
  <c r="I12" i="2"/>
  <c r="I14" i="2"/>
  <c r="I7" i="2"/>
  <c r="I11" i="2"/>
  <c r="I13" i="2"/>
  <c r="I5" i="2"/>
  <c r="I15" i="2"/>
  <c r="I4" i="2"/>
  <c r="I9" i="2"/>
  <c r="I17" i="2"/>
  <c r="I8" i="2"/>
  <c r="I16" i="2"/>
  <c r="I20" i="2"/>
  <c r="D16" i="1"/>
  <c r="D17" i="1"/>
  <c r="D18" i="1" s="1"/>
  <c r="D14" i="1"/>
  <c r="F26" i="2"/>
  <c r="D12" i="1"/>
  <c r="D15" i="1" l="1"/>
  <c r="D21" i="1" s="1"/>
  <c r="D7" i="1"/>
  <c r="D9" i="1" s="1"/>
  <c r="I26" i="2"/>
  <c r="D22" i="1" l="1"/>
  <c r="D23" i="1" s="1"/>
  <c r="D25" i="1" l="1"/>
  <c r="D26" i="1" l="1"/>
  <c r="D27" i="1" s="1"/>
  <c r="A4" i="1" s="1"/>
</calcChain>
</file>

<file path=xl/sharedStrings.xml><?xml version="1.0" encoding="utf-8"?>
<sst xmlns="http://schemas.openxmlformats.org/spreadsheetml/2006/main" count="113" uniqueCount="82">
  <si>
    <t>계</t>
  </si>
  <si>
    <t>노무비</t>
  </si>
  <si>
    <t>단위</t>
  </si>
  <si>
    <t>재료비</t>
  </si>
  <si>
    <t>산재보험료</t>
  </si>
  <si>
    <t>국민연금보험</t>
  </si>
  <si>
    <t>경   비</t>
  </si>
  <si>
    <t>근재,영업배상</t>
  </si>
  <si>
    <t>직접노무비</t>
  </si>
  <si>
    <t>VAT포함</t>
  </si>
  <si>
    <t>구  성  비</t>
  </si>
  <si>
    <t>일반관리비</t>
  </si>
  <si>
    <t>간접재료비</t>
  </si>
  <si>
    <t>수  량</t>
  </si>
  <si>
    <t>고용보험료</t>
  </si>
  <si>
    <t>간접노무비</t>
  </si>
  <si>
    <t>비   고</t>
  </si>
  <si>
    <t>소    계</t>
  </si>
  <si>
    <t>직접재료비</t>
  </si>
  <si>
    <t>금     액</t>
  </si>
  <si>
    <t>비     고</t>
  </si>
  <si>
    <t>국민건강보험</t>
  </si>
  <si>
    <t>공 사 비</t>
  </si>
  <si>
    <t>단   가</t>
  </si>
  <si>
    <t>기업이윤</t>
  </si>
  <si>
    <t>규      격</t>
  </si>
  <si>
    <t>금       액</t>
  </si>
  <si>
    <t>순  공  사  비</t>
  </si>
  <si>
    <t>노인장기요양보험</t>
  </si>
  <si>
    <t>품      명</t>
  </si>
  <si>
    <t>합      계</t>
  </si>
  <si>
    <t xml:space="preserve"> (재료비+노무비+경비)*6%이내</t>
  </si>
  <si>
    <t>1개월이상적용(근로자8일 연속시)</t>
  </si>
  <si>
    <t xml:space="preserve"> (직접노무비)*4.5%</t>
  </si>
  <si>
    <t>노     무     비</t>
  </si>
  <si>
    <t>총    공  사  비</t>
  </si>
  <si>
    <t>(대인,대물 각 3억)</t>
  </si>
  <si>
    <t xml:space="preserve"> (노무비)*10.5%</t>
  </si>
  <si>
    <t>구          분</t>
  </si>
  <si>
    <t>농수산진흥원    귀하</t>
  </si>
  <si>
    <t xml:space="preserve"> (노무비)*1.01%</t>
    <phoneticPr fontId="3" type="noConversion"/>
  </si>
  <si>
    <t xml:space="preserve"> (직접노무비)*3.545%</t>
    <phoneticPr fontId="3" type="noConversion"/>
  </si>
  <si>
    <t>부가세</t>
    <phoneticPr fontId="3" type="noConversion"/>
  </si>
  <si>
    <t>폐자재</t>
    <phoneticPr fontId="3" type="noConversion"/>
  </si>
  <si>
    <t>단위절사</t>
    <phoneticPr fontId="3" type="noConversion"/>
  </si>
  <si>
    <t xml:space="preserve"> (노무비)*3.56%</t>
    <phoneticPr fontId="3" type="noConversion"/>
  </si>
  <si>
    <t xml:space="preserve"> (건강보험)*12.95%</t>
    <phoneticPr fontId="3" type="noConversion"/>
  </si>
  <si>
    <t>견    적      서</t>
    <phoneticPr fontId="3" type="noConversion"/>
  </si>
  <si>
    <t xml:space="preserve"> (노무비+경비+일반)15%이내</t>
    <phoneticPr fontId="3" type="noConversion"/>
  </si>
  <si>
    <t>안전관리비 사용내역서 제출(정산)</t>
    <phoneticPr fontId="3" type="noConversion"/>
  </si>
  <si>
    <t>A 값 지정 됨</t>
    <phoneticPr fontId="3" type="noConversion"/>
  </si>
  <si>
    <t>산업안전보건관리비</t>
    <phoneticPr fontId="3" type="noConversion"/>
  </si>
  <si>
    <t>공  사  명   : 경기도민텃밭 원상복구 공사용역</t>
    <phoneticPr fontId="3" type="noConversion"/>
  </si>
  <si>
    <t>경기도민텃밭 원상복구 공사용역</t>
    <phoneticPr fontId="3" type="noConversion"/>
  </si>
  <si>
    <t>전기, 수도(지하, 지상) 철거</t>
    <phoneticPr fontId="3" type="noConversion"/>
  </si>
  <si>
    <t>장비(포크레인)</t>
    <phoneticPr fontId="3" type="noConversion"/>
  </si>
  <si>
    <t>보통인부</t>
    <phoneticPr fontId="3" type="noConversion"/>
  </si>
  <si>
    <t>6W</t>
    <phoneticPr fontId="3" type="noConversion"/>
  </si>
  <si>
    <t>명</t>
    <phoneticPr fontId="3" type="noConversion"/>
  </si>
  <si>
    <t>주차장 잡석 반출</t>
    <phoneticPr fontId="3" type="noConversion"/>
  </si>
  <si>
    <t>덤프</t>
    <phoneticPr fontId="3" type="noConversion"/>
  </si>
  <si>
    <t>단지내 PVC파이프 철거 및 반출</t>
    <phoneticPr fontId="3" type="noConversion"/>
  </si>
  <si>
    <t>5Ton카고(집개부착)</t>
    <phoneticPr fontId="3" type="noConversion"/>
  </si>
  <si>
    <t>이동식화장실철거</t>
    <phoneticPr fontId="3" type="noConversion"/>
  </si>
  <si>
    <t>이동식화장실 철거</t>
    <phoneticPr fontId="3" type="noConversion"/>
  </si>
  <si>
    <t>식</t>
    <phoneticPr fontId="3" type="noConversion"/>
  </si>
  <si>
    <t>차양시설철거</t>
    <phoneticPr fontId="3" type="noConversion"/>
  </si>
  <si>
    <t>단지 내 폐기물 반출</t>
    <phoneticPr fontId="3" type="noConversion"/>
  </si>
  <si>
    <t>단지 내 정리 정돈 작업</t>
    <phoneticPr fontId="3" type="noConversion"/>
  </si>
  <si>
    <t>현장소장</t>
    <phoneticPr fontId="3" type="noConversion"/>
  </si>
  <si>
    <t>단지 내 자연석 정돈 및 반출</t>
    <phoneticPr fontId="3" type="noConversion"/>
  </si>
  <si>
    <t>25Ton</t>
    <phoneticPr fontId="3" type="noConversion"/>
  </si>
  <si>
    <t>25ton</t>
    <phoneticPr fontId="3" type="noConversion"/>
  </si>
  <si>
    <t>5Ton</t>
    <phoneticPr fontId="3" type="noConversion"/>
  </si>
  <si>
    <t>지하수 폐공</t>
    <phoneticPr fontId="3" type="noConversion"/>
  </si>
  <si>
    <t>소모품</t>
    <phoneticPr fontId="3" type="noConversion"/>
  </si>
  <si>
    <t>계(A)</t>
    <phoneticPr fontId="3" type="noConversion"/>
  </si>
  <si>
    <t>부    대    비</t>
    <phoneticPr fontId="3" type="noConversion"/>
  </si>
  <si>
    <t>재료비</t>
    <phoneticPr fontId="3" type="noConversion"/>
  </si>
  <si>
    <t>노무비</t>
    <phoneticPr fontId="3" type="noConversion"/>
  </si>
  <si>
    <t>M2</t>
    <phoneticPr fontId="3" type="noConversion"/>
  </si>
  <si>
    <t>예초처리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</si>
</sst>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1" formatCode="_-* #,##0_-;\-* #,##0_-;_-* &quot;-&quot;_-;_-@_-"/>
    <numFmt numFmtId="176" formatCode="&quot;(&quot;&quot;₩&quot;#,##0&quot;-VAT별도)&quot;"/>
    <numFmt numFmtId="177" formatCode="#,##0_);[Red]\(#,##0\)"/>
    <numFmt numFmtId="178" formatCode="_-* #,##0.0000_-;\-* #,##0.0000_-;_-* &quot;-&quot;_-;_-@_-"/>
  </numFmts>
  <fonts count="17">
    <font>
      <sz val="11"/>
      <color rgb="FF000000"/>
      <name val="돋움"/>
    </font>
    <font>
      <sz val="10"/>
      <color rgb="FF000000"/>
      <name val="돋움"/>
      <family val="3"/>
      <charset val="129"/>
    </font>
    <font>
      <sz val="11"/>
      <color rgb="FF000000"/>
      <name val="돋움"/>
      <family val="3"/>
      <charset val="129"/>
    </font>
    <font>
      <sz val="8"/>
      <name val="돋움"/>
      <family val="3"/>
      <charset val="129"/>
    </font>
    <font>
      <sz val="10"/>
      <color rgb="FF000000"/>
      <name val="KoPubWorld돋움체 Light"/>
      <family val="3"/>
      <charset val="129"/>
    </font>
    <font>
      <b/>
      <sz val="10"/>
      <color rgb="FF000000"/>
      <name val="KoPubWorld돋움체 Light"/>
      <family val="3"/>
      <charset val="129"/>
    </font>
    <font>
      <sz val="11"/>
      <color rgb="FF000000"/>
      <name val="KoPubWorld돋움체 Light"/>
      <family val="3"/>
      <charset val="129"/>
    </font>
    <font>
      <b/>
      <sz val="11"/>
      <color rgb="FF000000"/>
      <name val="KoPubWorld돋움체 Light"/>
      <family val="3"/>
      <charset val="129"/>
    </font>
    <font>
      <b/>
      <sz val="12"/>
      <color rgb="FF000000"/>
      <name val="KoPubWorld돋움체 Light"/>
      <family val="3"/>
      <charset val="129"/>
    </font>
    <font>
      <b/>
      <u/>
      <sz val="10"/>
      <color rgb="FF000000"/>
      <name val="KoPubWorld돋움체 Light"/>
      <family val="3"/>
      <charset val="129"/>
    </font>
    <font>
      <b/>
      <sz val="22"/>
      <color rgb="FF000000"/>
      <name val="KoPubWorld돋움체 Light"/>
      <family val="3"/>
      <charset val="129"/>
    </font>
    <font>
      <b/>
      <u/>
      <sz val="24"/>
      <color rgb="FF000000"/>
      <name val="KoPubWorld돋움체 Bold"/>
      <family val="3"/>
      <charset val="129"/>
    </font>
    <font>
      <sz val="10"/>
      <color rgb="FF000000"/>
      <name val="KoPubWorld돋움체 Medium"/>
      <family val="3"/>
      <charset val="129"/>
    </font>
    <font>
      <sz val="11"/>
      <color rgb="FF000000"/>
      <name val="KoPubWorld돋움체 Medium"/>
      <family val="3"/>
      <charset val="129"/>
    </font>
    <font>
      <sz val="10"/>
      <color rgb="FFFF0000"/>
      <name val="KoPubWorld돋움체 Medium"/>
      <family val="3"/>
      <charset val="129"/>
    </font>
    <font>
      <sz val="11"/>
      <color rgb="FFFF0000"/>
      <name val="KoPubWorld돋움체 Medium"/>
      <family val="3"/>
      <charset val="129"/>
    </font>
    <font>
      <sz val="8"/>
      <color rgb="FF000000"/>
      <name val="KoPubWorld돋움체 Light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>
      <alignment vertical="center"/>
    </xf>
    <xf numFmtId="41" fontId="2" fillId="0" borderId="0">
      <alignment vertical="center"/>
    </xf>
  </cellStyleXfs>
  <cellXfs count="87">
    <xf numFmtId="0" fontId="0" fillId="0" borderId="0" xfId="0">
      <alignment vertical="center"/>
    </xf>
    <xf numFmtId="37" fontId="1" fillId="0" borderId="0" xfId="0" applyNumberFormat="1" applyFont="1">
      <alignment vertical="center"/>
    </xf>
    <xf numFmtId="41" fontId="4" fillId="0" borderId="8" xfId="1" applyFont="1" applyBorder="1">
      <alignment vertical="center"/>
    </xf>
    <xf numFmtId="41" fontId="4" fillId="2" borderId="33" xfId="1" applyFont="1" applyFill="1" applyBorder="1" applyAlignment="1">
      <alignment horizontal="center" vertical="center"/>
    </xf>
    <xf numFmtId="41" fontId="4" fillId="2" borderId="1" xfId="1" applyFont="1" applyFill="1" applyBorder="1" applyAlignment="1">
      <alignment horizontal="center" vertical="center"/>
    </xf>
    <xf numFmtId="41" fontId="4" fillId="0" borderId="7" xfId="1" applyFont="1" applyBorder="1" applyAlignment="1">
      <alignment horizontal="center" vertical="center"/>
    </xf>
    <xf numFmtId="177" fontId="4" fillId="0" borderId="1" xfId="1" applyNumberFormat="1" applyFont="1" applyBorder="1" applyAlignment="1">
      <alignment horizontal="center" vertical="center"/>
    </xf>
    <xf numFmtId="41" fontId="4" fillId="0" borderId="1" xfId="1" applyFont="1" applyBorder="1">
      <alignment vertical="center"/>
    </xf>
    <xf numFmtId="41" fontId="4" fillId="0" borderId="1" xfId="1" applyFont="1" applyBorder="1" applyAlignment="1">
      <alignment horizontal="center" vertical="center"/>
    </xf>
    <xf numFmtId="177" fontId="4" fillId="0" borderId="1" xfId="1" applyNumberFormat="1" applyFont="1" applyBorder="1">
      <alignment vertical="center"/>
    </xf>
    <xf numFmtId="41" fontId="4" fillId="0" borderId="7" xfId="1" applyFont="1" applyBorder="1" applyAlignment="1">
      <alignment horizontal="left" vertical="center"/>
    </xf>
    <xf numFmtId="41" fontId="5" fillId="0" borderId="7" xfId="1" applyFont="1" applyBorder="1" applyAlignment="1">
      <alignment horizontal="left" vertical="center"/>
    </xf>
    <xf numFmtId="41" fontId="5" fillId="0" borderId="7" xfId="1" applyFont="1" applyBorder="1" applyAlignment="1">
      <alignment horizontal="center" vertical="center"/>
    </xf>
    <xf numFmtId="41" fontId="5" fillId="0" borderId="1" xfId="1" applyFont="1" applyBorder="1">
      <alignment vertical="center"/>
    </xf>
    <xf numFmtId="41" fontId="5" fillId="0" borderId="1" xfId="1" applyFont="1" applyBorder="1" applyAlignment="1">
      <alignment horizontal="center" vertical="center"/>
    </xf>
    <xf numFmtId="177" fontId="5" fillId="0" borderId="1" xfId="1" applyNumberFormat="1" applyFont="1" applyBorder="1">
      <alignment vertical="center"/>
    </xf>
    <xf numFmtId="41" fontId="4" fillId="0" borderId="11" xfId="1" applyFont="1" applyBorder="1">
      <alignment vertical="center"/>
    </xf>
    <xf numFmtId="41" fontId="4" fillId="3" borderId="31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41" fontId="5" fillId="0" borderId="8" xfId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6" fillId="0" borderId="0" xfId="0" applyFont="1" applyAlignment="1"/>
    <xf numFmtId="37" fontId="9" fillId="0" borderId="5" xfId="0" applyNumberFormat="1" applyFont="1" applyBorder="1" applyAlignment="1">
      <alignment horizontal="center" vertical="center"/>
    </xf>
    <xf numFmtId="37" fontId="8" fillId="0" borderId="0" xfId="0" applyNumberFormat="1" applyFont="1" applyAlignment="1">
      <alignment horizontal="left" vertical="center"/>
    </xf>
    <xf numFmtId="37" fontId="8" fillId="0" borderId="6" xfId="0" applyNumberFormat="1" applyFont="1" applyBorder="1" applyAlignment="1">
      <alignment horizontal="left" vertical="center"/>
    </xf>
    <xf numFmtId="37" fontId="12" fillId="3" borderId="3" xfId="0" applyNumberFormat="1" applyFont="1" applyFill="1" applyBorder="1" applyAlignment="1">
      <alignment horizontal="center" vertical="center"/>
    </xf>
    <xf numFmtId="37" fontId="12" fillId="0" borderId="4" xfId="0" applyNumberFormat="1" applyFont="1" applyBorder="1" applyAlignment="1">
      <alignment horizontal="center" vertical="center"/>
    </xf>
    <xf numFmtId="37" fontId="12" fillId="0" borderId="2" xfId="0" applyNumberFormat="1" applyFont="1" applyBorder="1" applyAlignment="1">
      <alignment horizontal="center" vertical="center"/>
    </xf>
    <xf numFmtId="37" fontId="12" fillId="0" borderId="1" xfId="0" applyNumberFormat="1" applyFont="1" applyBorder="1" applyAlignment="1">
      <alignment horizontal="center" vertical="center"/>
    </xf>
    <xf numFmtId="37" fontId="12" fillId="0" borderId="10" xfId="0" applyNumberFormat="1" applyFont="1" applyBorder="1" applyAlignment="1">
      <alignment horizontal="center" vertical="center"/>
    </xf>
    <xf numFmtId="41" fontId="5" fillId="2" borderId="7" xfId="1" applyFont="1" applyFill="1" applyBorder="1" applyAlignment="1">
      <alignment horizontal="left" vertical="center"/>
    </xf>
    <xf numFmtId="41" fontId="7" fillId="2" borderId="32" xfId="1" applyFont="1" applyFill="1" applyBorder="1" applyAlignment="1">
      <alignment horizontal="left" vertical="center"/>
    </xf>
    <xf numFmtId="0" fontId="4" fillId="2" borderId="1" xfId="1" applyNumberFormat="1" applyFont="1" applyFill="1" applyBorder="1" applyAlignment="1">
      <alignment horizontal="center" vertical="center"/>
    </xf>
    <xf numFmtId="178" fontId="4" fillId="0" borderId="34" xfId="1" applyNumberFormat="1" applyFont="1" applyBorder="1">
      <alignment vertical="center"/>
    </xf>
    <xf numFmtId="41" fontId="4" fillId="4" borderId="7" xfId="1" applyFont="1" applyFill="1" applyBorder="1" applyAlignment="1">
      <alignment horizontal="center" vertical="center"/>
    </xf>
    <xf numFmtId="41" fontId="4" fillId="4" borderId="1" xfId="1" applyFont="1" applyFill="1" applyBorder="1" applyAlignment="1">
      <alignment horizontal="center" vertical="center"/>
    </xf>
    <xf numFmtId="177" fontId="16" fillId="4" borderId="1" xfId="1" applyNumberFormat="1" applyFont="1" applyFill="1" applyBorder="1" applyAlignment="1">
      <alignment horizontal="center" vertical="center"/>
    </xf>
    <xf numFmtId="41" fontId="4" fillId="4" borderId="1" xfId="1" applyFont="1" applyFill="1" applyBorder="1">
      <alignment vertical="center"/>
    </xf>
    <xf numFmtId="0" fontId="6" fillId="4" borderId="0" xfId="0" applyFont="1" applyFill="1">
      <alignment vertical="center"/>
    </xf>
    <xf numFmtId="37" fontId="12" fillId="0" borderId="7" xfId="0" applyNumberFormat="1" applyFont="1" applyBorder="1" applyAlignment="1">
      <alignment horizontal="center" vertical="center"/>
    </xf>
    <xf numFmtId="37" fontId="12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37" fontId="12" fillId="0" borderId="1" xfId="0" applyNumberFormat="1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37" fontId="12" fillId="0" borderId="12" xfId="0" applyNumberFormat="1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37" fontId="12" fillId="0" borderId="12" xfId="0" applyNumberFormat="1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37" fontId="12" fillId="0" borderId="12" xfId="0" applyNumberFormat="1" applyFont="1" applyBorder="1">
      <alignment vertical="center"/>
    </xf>
    <xf numFmtId="0" fontId="13" fillId="0" borderId="14" xfId="0" applyFont="1" applyBorder="1">
      <alignment vertical="center"/>
    </xf>
    <xf numFmtId="37" fontId="8" fillId="0" borderId="6" xfId="0" applyNumberFormat="1" applyFont="1" applyBorder="1" applyAlignment="1">
      <alignment horizontal="left" vertical="center"/>
    </xf>
    <xf numFmtId="37" fontId="8" fillId="0" borderId="0" xfId="0" applyNumberFormat="1" applyFont="1" applyAlignment="1">
      <alignment horizontal="left" vertical="center"/>
    </xf>
    <xf numFmtId="37" fontId="12" fillId="0" borderId="28" xfId="0" applyNumberFormat="1" applyFont="1" applyBorder="1" applyAlignment="1">
      <alignment horizontal="center" vertical="center"/>
    </xf>
    <xf numFmtId="37" fontId="12" fillId="0" borderId="13" xfId="0" applyNumberFormat="1" applyFont="1" applyBorder="1" applyAlignment="1">
      <alignment horizontal="center" vertical="center"/>
    </xf>
    <xf numFmtId="37" fontId="12" fillId="0" borderId="29" xfId="0" applyNumberFormat="1" applyFont="1" applyBorder="1" applyAlignment="1">
      <alignment horizontal="center" vertical="center" textRotation="255"/>
    </xf>
    <xf numFmtId="0" fontId="13" fillId="0" borderId="30" xfId="0" applyFont="1" applyBorder="1" applyAlignment="1"/>
    <xf numFmtId="0" fontId="13" fillId="0" borderId="2" xfId="0" applyFont="1" applyBorder="1" applyAlignment="1"/>
    <xf numFmtId="37" fontId="14" fillId="0" borderId="12" xfId="0" applyNumberFormat="1" applyFont="1" applyBorder="1" applyAlignment="1">
      <alignment horizontal="center" vertical="center"/>
    </xf>
    <xf numFmtId="37" fontId="14" fillId="0" borderId="13" xfId="0" applyNumberFormat="1" applyFont="1" applyBorder="1" applyAlignment="1">
      <alignment horizontal="center" vertical="center"/>
    </xf>
    <xf numFmtId="37" fontId="12" fillId="3" borderId="22" xfId="0" applyNumberFormat="1" applyFont="1" applyFill="1" applyBorder="1" applyAlignment="1">
      <alignment horizontal="center" vertical="center"/>
    </xf>
    <xf numFmtId="0" fontId="13" fillId="3" borderId="23" xfId="0" applyFont="1" applyFill="1" applyBorder="1" applyAlignment="1">
      <alignment horizontal="center" vertical="center"/>
    </xf>
    <xf numFmtId="37" fontId="12" fillId="3" borderId="24" xfId="0" applyNumberFormat="1" applyFont="1" applyFill="1" applyBorder="1" applyAlignment="1">
      <alignment horizontal="center" vertical="center"/>
    </xf>
    <xf numFmtId="37" fontId="12" fillId="0" borderId="25" xfId="0" applyNumberFormat="1" applyFont="1" applyBorder="1" applyAlignment="1">
      <alignment horizontal="center" vertical="center"/>
    </xf>
    <xf numFmtId="37" fontId="12" fillId="0" borderId="26" xfId="0" applyNumberFormat="1" applyFont="1" applyBorder="1" applyAlignment="1">
      <alignment horizontal="center" vertical="center"/>
    </xf>
    <xf numFmtId="176" fontId="8" fillId="0" borderId="20" xfId="0" applyNumberFormat="1" applyFont="1" applyBorder="1" applyAlignment="1">
      <alignment horizontal="center" vertical="center"/>
    </xf>
    <xf numFmtId="37" fontId="12" fillId="0" borderId="25" xfId="0" applyNumberFormat="1" applyFont="1" applyBorder="1">
      <alignment vertical="center"/>
    </xf>
    <xf numFmtId="0" fontId="13" fillId="0" borderId="27" xfId="0" applyFont="1" applyBorder="1">
      <alignment vertical="center"/>
    </xf>
    <xf numFmtId="37" fontId="12" fillId="0" borderId="9" xfId="0" applyNumberFormat="1" applyFont="1" applyBorder="1" applyAlignment="1">
      <alignment horizontal="center" vertical="center"/>
    </xf>
    <xf numFmtId="37" fontId="12" fillId="0" borderId="10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37" fontId="11" fillId="0" borderId="15" xfId="0" applyNumberFormat="1" applyFont="1" applyBorder="1" applyAlignment="1">
      <alignment horizontal="center" vertical="center"/>
    </xf>
    <xf numFmtId="37" fontId="11" fillId="0" borderId="16" xfId="0" applyNumberFormat="1" applyFont="1" applyBorder="1" applyAlignment="1">
      <alignment horizontal="center" vertical="center"/>
    </xf>
    <xf numFmtId="37" fontId="11" fillId="0" borderId="17" xfId="0" applyNumberFormat="1" applyFont="1" applyBorder="1" applyAlignment="1">
      <alignment horizontal="center" vertical="center"/>
    </xf>
    <xf numFmtId="37" fontId="12" fillId="3" borderId="18" xfId="0" applyNumberFormat="1" applyFont="1" applyFill="1" applyBorder="1" applyAlignment="1">
      <alignment horizontal="center" vertical="center"/>
    </xf>
    <xf numFmtId="37" fontId="12" fillId="0" borderId="19" xfId="0" applyNumberFormat="1" applyFont="1" applyBorder="1" applyAlignment="1">
      <alignment horizontal="center" vertical="center" textRotation="255"/>
    </xf>
    <xf numFmtId="0" fontId="12" fillId="0" borderId="19" xfId="0" applyFont="1" applyBorder="1" applyAlignment="1"/>
    <xf numFmtId="37" fontId="12" fillId="0" borderId="1" xfId="0" applyNumberFormat="1" applyFont="1" applyBorder="1" applyAlignment="1">
      <alignment horizontal="center" vertical="center" textRotation="255"/>
    </xf>
    <xf numFmtId="37" fontId="8" fillId="0" borderId="20" xfId="0" quotePrefix="1" applyNumberFormat="1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37" fontId="10" fillId="0" borderId="6" xfId="0" applyNumberFormat="1" applyFont="1" applyBorder="1">
      <alignment vertical="center"/>
    </xf>
    <xf numFmtId="37" fontId="10" fillId="0" borderId="0" xfId="0" applyNumberFormat="1" applyFont="1">
      <alignment vertical="center"/>
    </xf>
    <xf numFmtId="37" fontId="10" fillId="0" borderId="0" xfId="0" applyNumberFormat="1" applyFont="1" applyAlignment="1">
      <alignment horizontal="left" vertical="center"/>
    </xf>
    <xf numFmtId="37" fontId="12" fillId="0" borderId="10" xfId="0" applyNumberFormat="1" applyFont="1" applyBorder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37" fontId="14" fillId="0" borderId="12" xfId="0" applyNumberFormat="1" applyFont="1" applyBorder="1">
      <alignment vertical="center"/>
    </xf>
    <xf numFmtId="0" fontId="15" fillId="0" borderId="14" xfId="0" applyFont="1" applyBorder="1">
      <alignment vertical="center"/>
    </xf>
    <xf numFmtId="41" fontId="4" fillId="3" borderId="31" xfId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253" name="Line 1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SpPr>
          <a:spLocks noChangeShapeType="1"/>
        </xdr:cNvSpPr>
      </xdr:nvSpPr>
      <xdr:spPr>
        <a:xfrm>
          <a:off x="438150" y="0"/>
          <a:ext cx="20955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419100</xdr:colOff>
      <xdr:row>0</xdr:row>
      <xdr:rowOff>0</xdr:rowOff>
    </xdr:from>
    <xdr:to>
      <xdr:col>2</xdr:col>
      <xdr:colOff>381000</xdr:colOff>
      <xdr:row>0</xdr:row>
      <xdr:rowOff>0</xdr:rowOff>
    </xdr:to>
    <xdr:sp macro="" textlink="">
      <xdr:nvSpPr>
        <xdr:cNvPr id="1254" name="Line 2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SpPr>
          <a:spLocks noChangeShapeType="1"/>
        </xdr:cNvSpPr>
      </xdr:nvSpPr>
      <xdr:spPr>
        <a:xfrm>
          <a:off x="419100" y="0"/>
          <a:ext cx="8858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419100</xdr:colOff>
      <xdr:row>0</xdr:row>
      <xdr:rowOff>0</xdr:rowOff>
    </xdr:from>
    <xdr:to>
      <xdr:col>2</xdr:col>
      <xdr:colOff>685799</xdr:colOff>
      <xdr:row>0</xdr:row>
      <xdr:rowOff>0</xdr:rowOff>
    </xdr:to>
    <xdr:sp macro="" textlink="">
      <xdr:nvSpPr>
        <xdr:cNvPr id="1255" name="Line 3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SpPr>
          <a:spLocks noChangeShapeType="1"/>
        </xdr:cNvSpPr>
      </xdr:nvSpPr>
      <xdr:spPr>
        <a:xfrm>
          <a:off x="419100" y="0"/>
          <a:ext cx="11906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>
    <xdr:from>
      <xdr:col>2</xdr:col>
      <xdr:colOff>533400</xdr:colOff>
      <xdr:row>0</xdr:row>
      <xdr:rowOff>0</xdr:rowOff>
    </xdr:from>
    <xdr:to>
      <xdr:col>4</xdr:col>
      <xdr:colOff>0</xdr:colOff>
      <xdr:row>0</xdr:row>
      <xdr:rowOff>0</xdr:rowOff>
    </xdr:to>
    <xdr:sp macro="" textlink="">
      <xdr:nvSpPr>
        <xdr:cNvPr id="1256" name="Line 4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SpPr>
          <a:spLocks noChangeShapeType="1"/>
        </xdr:cNvSpPr>
      </xdr:nvSpPr>
      <xdr:spPr>
        <a:xfrm>
          <a:off x="1457325" y="0"/>
          <a:ext cx="28765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>
    <xdr:from>
      <xdr:col>2</xdr:col>
      <xdr:colOff>495299</xdr:colOff>
      <xdr:row>0</xdr:row>
      <xdr:rowOff>0</xdr:rowOff>
    </xdr:from>
    <xdr:to>
      <xdr:col>4</xdr:col>
      <xdr:colOff>0</xdr:colOff>
      <xdr:row>0</xdr:row>
      <xdr:rowOff>0</xdr:rowOff>
    </xdr:to>
    <xdr:sp macro="" textlink="">
      <xdr:nvSpPr>
        <xdr:cNvPr id="1257" name="Line 5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SpPr>
          <a:spLocks noChangeShapeType="1"/>
        </xdr:cNvSpPr>
      </xdr:nvSpPr>
      <xdr:spPr>
        <a:xfrm>
          <a:off x="1419225" y="0"/>
          <a:ext cx="2914650" cy="0"/>
        </a:xfrm>
        <a:prstGeom prst="line">
          <a:avLst/>
        </a:prstGeom>
        <a:noFill/>
        <a:ln w="17145">
          <a:solidFill>
            <a:srgbClr val="000000"/>
          </a:solidFill>
          <a:round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>
    <xdr:from>
      <xdr:col>1</xdr:col>
      <xdr:colOff>9525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258" name="Line 6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SpPr>
          <a:spLocks noChangeShapeType="1"/>
        </xdr:cNvSpPr>
      </xdr:nvSpPr>
      <xdr:spPr>
        <a:xfrm>
          <a:off x="438150" y="0"/>
          <a:ext cx="20955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419100</xdr:colOff>
      <xdr:row>0</xdr:row>
      <xdr:rowOff>0</xdr:rowOff>
    </xdr:from>
    <xdr:to>
      <xdr:col>2</xdr:col>
      <xdr:colOff>381000</xdr:colOff>
      <xdr:row>0</xdr:row>
      <xdr:rowOff>0</xdr:rowOff>
    </xdr:to>
    <xdr:sp macro="" textlink="">
      <xdr:nvSpPr>
        <xdr:cNvPr id="1259" name="Line 7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SpPr>
          <a:spLocks noChangeShapeType="1"/>
        </xdr:cNvSpPr>
      </xdr:nvSpPr>
      <xdr:spPr>
        <a:xfrm>
          <a:off x="419100" y="0"/>
          <a:ext cx="8858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419100</xdr:colOff>
      <xdr:row>0</xdr:row>
      <xdr:rowOff>0</xdr:rowOff>
    </xdr:from>
    <xdr:to>
      <xdr:col>2</xdr:col>
      <xdr:colOff>685799</xdr:colOff>
      <xdr:row>0</xdr:row>
      <xdr:rowOff>0</xdr:rowOff>
    </xdr:to>
    <xdr:sp macro="" textlink="">
      <xdr:nvSpPr>
        <xdr:cNvPr id="1260" name="Line 8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SpPr>
          <a:spLocks noChangeShapeType="1"/>
        </xdr:cNvSpPr>
      </xdr:nvSpPr>
      <xdr:spPr>
        <a:xfrm>
          <a:off x="419100" y="0"/>
          <a:ext cx="11906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>
    <xdr:from>
      <xdr:col>2</xdr:col>
      <xdr:colOff>533400</xdr:colOff>
      <xdr:row>0</xdr:row>
      <xdr:rowOff>0</xdr:rowOff>
    </xdr:from>
    <xdr:to>
      <xdr:col>4</xdr:col>
      <xdr:colOff>0</xdr:colOff>
      <xdr:row>0</xdr:row>
      <xdr:rowOff>0</xdr:rowOff>
    </xdr:to>
    <xdr:sp macro="" textlink="">
      <xdr:nvSpPr>
        <xdr:cNvPr id="1261" name="Line 9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SpPr>
          <a:spLocks noChangeShapeType="1"/>
        </xdr:cNvSpPr>
      </xdr:nvSpPr>
      <xdr:spPr>
        <a:xfrm>
          <a:off x="1457325" y="0"/>
          <a:ext cx="28765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>
    <xdr:from>
      <xdr:col>2</xdr:col>
      <xdr:colOff>495299</xdr:colOff>
      <xdr:row>0</xdr:row>
      <xdr:rowOff>0</xdr:rowOff>
    </xdr:from>
    <xdr:to>
      <xdr:col>4</xdr:col>
      <xdr:colOff>0</xdr:colOff>
      <xdr:row>0</xdr:row>
      <xdr:rowOff>0</xdr:rowOff>
    </xdr:to>
    <xdr:sp macro="" textlink="">
      <xdr:nvSpPr>
        <xdr:cNvPr id="1262" name="Line 10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SpPr>
          <a:spLocks noChangeShapeType="1"/>
        </xdr:cNvSpPr>
      </xdr:nvSpPr>
      <xdr:spPr>
        <a:xfrm>
          <a:off x="1419225" y="0"/>
          <a:ext cx="2914650" cy="0"/>
        </a:xfrm>
        <a:prstGeom prst="line">
          <a:avLst/>
        </a:prstGeom>
        <a:noFill/>
        <a:ln w="17145">
          <a:solidFill>
            <a:srgbClr val="000000"/>
          </a:solidFill>
          <a:round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w="med" len="med"/>
          <a:tailEnd w="med" len="med"/>
        </a:ln>
        <a:effectLst/>
      </a:spPr>
      <a:bodyPr/>
      <a:lstStyle/>
    </a:spDef>
    <a:lnDef>
      <a:spPr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w="med" len="med"/>
          <a:tailEnd w="med" len="med"/>
        </a:ln>
        <a:effectLst/>
      </a:spPr>
      <a:bodyPr/>
      <a:lstStyle/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view="pageBreakPreview" zoomScaleNormal="100" zoomScaleSheetLayoutView="100" workbookViewId="0">
      <selection activeCell="D7" sqref="D7"/>
    </sheetView>
  </sheetViews>
  <sheetFormatPr defaultColWidth="8.88671875" defaultRowHeight="24" customHeight="1"/>
  <cols>
    <col min="1" max="1" width="5" style="1" customWidth="1"/>
    <col min="2" max="2" width="5.77734375" style="1" customWidth="1"/>
    <col min="3" max="3" width="18.77734375" style="1" customWidth="1"/>
    <col min="4" max="4" width="21" style="1" customWidth="1"/>
    <col min="5" max="5" width="20.33203125" style="1" customWidth="1"/>
    <col min="6" max="6" width="11.77734375" style="1" customWidth="1"/>
    <col min="7" max="7" width="31.33203125" style="1" customWidth="1"/>
    <col min="8" max="8" width="3" style="1" customWidth="1"/>
    <col min="9" max="16384" width="8.88671875" style="1"/>
  </cols>
  <sheetData>
    <row r="1" spans="1:8" ht="36" customHeight="1">
      <c r="A1" s="70" t="s">
        <v>47</v>
      </c>
      <c r="B1" s="71"/>
      <c r="C1" s="71"/>
      <c r="D1" s="71"/>
      <c r="E1" s="71"/>
      <c r="F1" s="71"/>
      <c r="G1" s="71"/>
      <c r="H1" s="72"/>
    </row>
    <row r="2" spans="1:8" ht="27.75" customHeight="1">
      <c r="A2" s="79" t="s">
        <v>39</v>
      </c>
      <c r="B2" s="80"/>
      <c r="C2" s="80"/>
      <c r="D2" s="80"/>
      <c r="E2" s="23"/>
      <c r="F2" s="81"/>
      <c r="G2" s="81"/>
      <c r="H2" s="22"/>
    </row>
    <row r="3" spans="1:8" ht="17.25" customHeight="1">
      <c r="A3" s="50" t="s">
        <v>52</v>
      </c>
      <c r="B3" s="51"/>
      <c r="C3" s="51"/>
      <c r="D3" s="51"/>
      <c r="E3" s="51"/>
      <c r="F3" s="51"/>
      <c r="G3" s="51"/>
      <c r="H3" s="22"/>
    </row>
    <row r="4" spans="1:8" ht="17.25" customHeight="1">
      <c r="A4" s="50" t="str">
        <f>"금       액   :    일금 "&amp;NUMBERSTRING($D27,2)&amp;" 원정"</f>
        <v>금       액   :    일금 伍阡八百壹拾七萬八阡 원정</v>
      </c>
      <c r="B4" s="51"/>
      <c r="C4" s="51"/>
      <c r="D4" s="51"/>
      <c r="E4" s="51"/>
      <c r="F4" s="51"/>
      <c r="G4" s="51"/>
      <c r="H4" s="22"/>
    </row>
    <row r="5" spans="1:8" ht="19.5" customHeight="1">
      <c r="A5" s="24"/>
      <c r="B5" s="23"/>
      <c r="C5" s="64"/>
      <c r="D5" s="64"/>
      <c r="E5" s="23"/>
      <c r="F5" s="77"/>
      <c r="G5" s="77"/>
      <c r="H5" s="78"/>
    </row>
    <row r="6" spans="1:8" ht="18.75" customHeight="1">
      <c r="A6" s="73" t="s">
        <v>38</v>
      </c>
      <c r="B6" s="73"/>
      <c r="C6" s="73"/>
      <c r="D6" s="25" t="s">
        <v>26</v>
      </c>
      <c r="E6" s="59" t="s">
        <v>10</v>
      </c>
      <c r="F6" s="61"/>
      <c r="G6" s="59" t="s">
        <v>20</v>
      </c>
      <c r="H6" s="60"/>
    </row>
    <row r="7" spans="1:8" ht="18.75" customHeight="1">
      <c r="A7" s="74" t="s">
        <v>27</v>
      </c>
      <c r="B7" s="76" t="s">
        <v>3</v>
      </c>
      <c r="C7" s="26" t="s">
        <v>18</v>
      </c>
      <c r="D7" s="27">
        <f>집계표!F26</f>
        <v>28198900</v>
      </c>
      <c r="E7" s="62"/>
      <c r="F7" s="63"/>
      <c r="G7" s="65"/>
      <c r="H7" s="66"/>
    </row>
    <row r="8" spans="1:8" ht="18.75" customHeight="1">
      <c r="A8" s="75"/>
      <c r="B8" s="76"/>
      <c r="C8" s="26" t="s">
        <v>12</v>
      </c>
      <c r="D8" s="27"/>
      <c r="E8" s="44"/>
      <c r="F8" s="53"/>
      <c r="G8" s="48"/>
      <c r="H8" s="49"/>
    </row>
    <row r="9" spans="1:8" ht="18.75" customHeight="1">
      <c r="A9" s="75"/>
      <c r="B9" s="76"/>
      <c r="C9" s="26" t="s">
        <v>17</v>
      </c>
      <c r="D9" s="27">
        <f>SUM(D7:D8)</f>
        <v>28198900</v>
      </c>
      <c r="E9" s="44"/>
      <c r="F9" s="53"/>
      <c r="G9" s="48"/>
      <c r="H9" s="49"/>
    </row>
    <row r="10" spans="1:8" ht="18.75" customHeight="1">
      <c r="A10" s="75"/>
      <c r="B10" s="76" t="s">
        <v>1</v>
      </c>
      <c r="C10" s="26" t="s">
        <v>8</v>
      </c>
      <c r="D10" s="27">
        <f>집계표!H26</f>
        <v>16180000</v>
      </c>
      <c r="E10" s="44"/>
      <c r="F10" s="53"/>
      <c r="G10" s="48"/>
      <c r="H10" s="49"/>
    </row>
    <row r="11" spans="1:8" ht="18.75" customHeight="1">
      <c r="A11" s="75"/>
      <c r="B11" s="76"/>
      <c r="C11" s="26" t="s">
        <v>15</v>
      </c>
      <c r="D11" s="27">
        <f>D10*0.105</f>
        <v>1698900</v>
      </c>
      <c r="E11" s="44" t="s">
        <v>37</v>
      </c>
      <c r="F11" s="53"/>
      <c r="G11" s="48"/>
      <c r="H11" s="49"/>
    </row>
    <row r="12" spans="1:8" ht="18.75" customHeight="1">
      <c r="A12" s="75"/>
      <c r="B12" s="76"/>
      <c r="C12" s="26" t="s">
        <v>17</v>
      </c>
      <c r="D12" s="27">
        <f>SUM(D10:D11)</f>
        <v>17878900</v>
      </c>
      <c r="E12" s="44"/>
      <c r="F12" s="53"/>
      <c r="G12" s="48"/>
      <c r="H12" s="49"/>
    </row>
    <row r="13" spans="1:8" ht="18.75" customHeight="1">
      <c r="A13" s="75"/>
      <c r="B13" s="54" t="s">
        <v>6</v>
      </c>
      <c r="C13" s="26" t="s">
        <v>51</v>
      </c>
      <c r="D13" s="27"/>
      <c r="E13" s="57" t="s">
        <v>50</v>
      </c>
      <c r="F13" s="58"/>
      <c r="G13" s="84" t="s">
        <v>49</v>
      </c>
      <c r="H13" s="85"/>
    </row>
    <row r="14" spans="1:8" ht="18.75" customHeight="1">
      <c r="A14" s="75"/>
      <c r="B14" s="55"/>
      <c r="C14" s="26" t="s">
        <v>14</v>
      </c>
      <c r="D14" s="27">
        <f>D10*1.01%</f>
        <v>163418</v>
      </c>
      <c r="E14" s="44" t="s">
        <v>40</v>
      </c>
      <c r="F14" s="53"/>
      <c r="G14" s="48"/>
      <c r="H14" s="49"/>
    </row>
    <row r="15" spans="1:8" ht="18.75" customHeight="1">
      <c r="A15" s="75"/>
      <c r="B15" s="55"/>
      <c r="C15" s="26" t="s">
        <v>4</v>
      </c>
      <c r="D15" s="27">
        <f>INT(D12*3.56%)</f>
        <v>636488</v>
      </c>
      <c r="E15" s="44" t="s">
        <v>45</v>
      </c>
      <c r="F15" s="53"/>
      <c r="G15" s="48"/>
      <c r="H15" s="49"/>
    </row>
    <row r="16" spans="1:8" ht="18.75" customHeight="1">
      <c r="A16" s="75"/>
      <c r="B16" s="55"/>
      <c r="C16" s="26" t="s">
        <v>5</v>
      </c>
      <c r="D16" s="27">
        <f>INT(D10*4.5%)*0</f>
        <v>0</v>
      </c>
      <c r="E16" s="44" t="s">
        <v>33</v>
      </c>
      <c r="F16" s="53"/>
      <c r="G16" s="46" t="s">
        <v>32</v>
      </c>
      <c r="H16" s="47"/>
    </row>
    <row r="17" spans="1:8" ht="18.75" customHeight="1">
      <c r="A17" s="75"/>
      <c r="B17" s="55"/>
      <c r="C17" s="26" t="s">
        <v>21</v>
      </c>
      <c r="D17" s="27">
        <f>INT(D10*3.545%)*0</f>
        <v>0</v>
      </c>
      <c r="E17" s="44" t="s">
        <v>41</v>
      </c>
      <c r="F17" s="53"/>
      <c r="G17" s="46" t="s">
        <v>32</v>
      </c>
      <c r="H17" s="47"/>
    </row>
    <row r="18" spans="1:8" ht="18.75" customHeight="1">
      <c r="A18" s="75"/>
      <c r="B18" s="55"/>
      <c r="C18" s="26" t="s">
        <v>28</v>
      </c>
      <c r="D18" s="27">
        <f>INT(D17*12.95%)*0</f>
        <v>0</v>
      </c>
      <c r="E18" s="44" t="s">
        <v>46</v>
      </c>
      <c r="F18" s="53"/>
      <c r="G18" s="46" t="s">
        <v>32</v>
      </c>
      <c r="H18" s="47"/>
    </row>
    <row r="19" spans="1:8" ht="18.75" customHeight="1">
      <c r="A19" s="75"/>
      <c r="B19" s="55"/>
      <c r="C19" s="26" t="s">
        <v>7</v>
      </c>
      <c r="D19" s="27">
        <v>0</v>
      </c>
      <c r="E19" s="44" t="s">
        <v>36</v>
      </c>
      <c r="F19" s="45"/>
      <c r="G19" s="46"/>
      <c r="H19" s="47"/>
    </row>
    <row r="20" spans="1:8" ht="18.75" customHeight="1">
      <c r="A20" s="75"/>
      <c r="B20" s="55"/>
      <c r="C20" s="26"/>
      <c r="D20" s="27"/>
      <c r="E20" s="44" t="s">
        <v>43</v>
      </c>
      <c r="F20" s="53"/>
      <c r="G20" s="48"/>
      <c r="H20" s="49"/>
    </row>
    <row r="21" spans="1:8" ht="18.75" customHeight="1">
      <c r="A21" s="75"/>
      <c r="B21" s="56"/>
      <c r="C21" s="26" t="s">
        <v>17</v>
      </c>
      <c r="D21" s="27">
        <f>SUM(D13:D20)</f>
        <v>799906</v>
      </c>
      <c r="E21" s="44"/>
      <c r="F21" s="53"/>
      <c r="G21" s="48"/>
      <c r="H21" s="49"/>
    </row>
    <row r="22" spans="1:8" ht="18.75" customHeight="1">
      <c r="A22" s="52" t="s">
        <v>0</v>
      </c>
      <c r="B22" s="52"/>
      <c r="C22" s="52"/>
      <c r="D22" s="28">
        <f>+D21+D12+D9</f>
        <v>46877706</v>
      </c>
      <c r="E22" s="44"/>
      <c r="F22" s="53"/>
      <c r="G22" s="48"/>
      <c r="H22" s="49"/>
    </row>
    <row r="23" spans="1:8" ht="18.75" customHeight="1">
      <c r="A23" s="39" t="s">
        <v>11</v>
      </c>
      <c r="B23" s="39"/>
      <c r="C23" s="39"/>
      <c r="D23" s="28">
        <f>(D22*0.06)</f>
        <v>2812662.36</v>
      </c>
      <c r="E23" s="44" t="s">
        <v>31</v>
      </c>
      <c r="F23" s="53"/>
      <c r="G23" s="48"/>
      <c r="H23" s="49"/>
    </row>
    <row r="24" spans="1:8" ht="18.75" customHeight="1">
      <c r="A24" s="39" t="s">
        <v>24</v>
      </c>
      <c r="B24" s="39"/>
      <c r="C24" s="39"/>
      <c r="D24" s="28">
        <f>SUM(D12+D21+D23)*15%-24997</f>
        <v>3198723.2539999997</v>
      </c>
      <c r="E24" s="44" t="s">
        <v>48</v>
      </c>
      <c r="F24" s="53"/>
      <c r="G24" s="46"/>
      <c r="H24" s="47"/>
    </row>
    <row r="25" spans="1:8" ht="18.75" customHeight="1">
      <c r="A25" s="39" t="s">
        <v>22</v>
      </c>
      <c r="B25" s="39"/>
      <c r="C25" s="39"/>
      <c r="D25" s="28">
        <f>ROUNDDOWN(D22+D23+D24,)</f>
        <v>52889091</v>
      </c>
      <c r="E25" s="44"/>
      <c r="F25" s="45"/>
      <c r="G25" s="46" t="s">
        <v>44</v>
      </c>
      <c r="H25" s="47"/>
    </row>
    <row r="26" spans="1:8" ht="18.75" customHeight="1">
      <c r="A26" s="39" t="s">
        <v>42</v>
      </c>
      <c r="B26" s="40"/>
      <c r="C26" s="40"/>
      <c r="D26" s="28">
        <f>D25*10%</f>
        <v>5288909.1000000006</v>
      </c>
      <c r="E26" s="40"/>
      <c r="F26" s="41"/>
      <c r="G26" s="42"/>
      <c r="H26" s="43"/>
    </row>
    <row r="27" spans="1:8" ht="18.75" customHeight="1">
      <c r="A27" s="67" t="s">
        <v>35</v>
      </c>
      <c r="B27" s="68"/>
      <c r="C27" s="68"/>
      <c r="D27" s="29">
        <f>SUM(D25:D26)</f>
        <v>58178000.100000001</v>
      </c>
      <c r="E27" s="68" t="s">
        <v>9</v>
      </c>
      <c r="F27" s="69"/>
      <c r="G27" s="82"/>
      <c r="H27" s="83"/>
    </row>
    <row r="28" spans="1:8" ht="21.95" customHeight="1"/>
    <row r="29" spans="1:8" ht="21" customHeight="1"/>
  </sheetData>
  <mergeCells count="64">
    <mergeCell ref="G12:H12"/>
    <mergeCell ref="G13:H13"/>
    <mergeCell ref="G14:H14"/>
    <mergeCell ref="G15:H15"/>
    <mergeCell ref="G16:H16"/>
    <mergeCell ref="E24:F24"/>
    <mergeCell ref="E14:F14"/>
    <mergeCell ref="E9:F9"/>
    <mergeCell ref="E19:F19"/>
    <mergeCell ref="E16:F16"/>
    <mergeCell ref="E17:F17"/>
    <mergeCell ref="E18:F18"/>
    <mergeCell ref="A27:C27"/>
    <mergeCell ref="E27:F27"/>
    <mergeCell ref="A24:C24"/>
    <mergeCell ref="A1:H1"/>
    <mergeCell ref="A6:C6"/>
    <mergeCell ref="A7:A21"/>
    <mergeCell ref="B7:B9"/>
    <mergeCell ref="B10:B12"/>
    <mergeCell ref="F3:G3"/>
    <mergeCell ref="F5:H5"/>
    <mergeCell ref="F4:G4"/>
    <mergeCell ref="A4:E4"/>
    <mergeCell ref="A2:D2"/>
    <mergeCell ref="E10:F10"/>
    <mergeCell ref="F2:G2"/>
    <mergeCell ref="G27:H27"/>
    <mergeCell ref="G6:H6"/>
    <mergeCell ref="E11:F11"/>
    <mergeCell ref="E6:F6"/>
    <mergeCell ref="E7:F7"/>
    <mergeCell ref="C5:D5"/>
    <mergeCell ref="G7:H7"/>
    <mergeCell ref="G8:H8"/>
    <mergeCell ref="G9:H9"/>
    <mergeCell ref="G10:H10"/>
    <mergeCell ref="G11:H11"/>
    <mergeCell ref="E8:F8"/>
    <mergeCell ref="A3:E3"/>
    <mergeCell ref="A22:C22"/>
    <mergeCell ref="A23:C23"/>
    <mergeCell ref="E15:F15"/>
    <mergeCell ref="E12:F12"/>
    <mergeCell ref="E21:F21"/>
    <mergeCell ref="E20:F20"/>
    <mergeCell ref="B13:B21"/>
    <mergeCell ref="E13:F13"/>
    <mergeCell ref="E22:F22"/>
    <mergeCell ref="E23:F23"/>
    <mergeCell ref="G22:H22"/>
    <mergeCell ref="G23:H23"/>
    <mergeCell ref="G24:H24"/>
    <mergeCell ref="G17:H17"/>
    <mergeCell ref="G18:H18"/>
    <mergeCell ref="G19:H19"/>
    <mergeCell ref="G20:H20"/>
    <mergeCell ref="G21:H21"/>
    <mergeCell ref="A26:C26"/>
    <mergeCell ref="E26:F26"/>
    <mergeCell ref="G26:H26"/>
    <mergeCell ref="A25:C25"/>
    <mergeCell ref="E25:F25"/>
    <mergeCell ref="G25:H25"/>
  </mergeCells>
  <phoneticPr fontId="3" type="noConversion"/>
  <pageMargins left="0.63986110687255859" right="0.5" top="0.40000000596046448" bottom="0.21986110508441925" header="0.20000000298023224" footer="0.21986110508441925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26"/>
  <sheetViews>
    <sheetView tabSelected="1" view="pageBreakPreview" zoomScaleNormal="100" zoomScaleSheetLayoutView="100" workbookViewId="0">
      <selection activeCell="A25" sqref="A25"/>
    </sheetView>
  </sheetViews>
  <sheetFormatPr defaultColWidth="8.88671875" defaultRowHeight="13.5"/>
  <cols>
    <col min="1" max="1" width="29.88671875" style="21" customWidth="1"/>
    <col min="2" max="2" width="17.77734375" style="21" customWidth="1"/>
    <col min="3" max="3" width="6.21875" style="21" customWidth="1"/>
    <col min="4" max="4" width="5.88671875" style="21" customWidth="1"/>
    <col min="5" max="5" width="9.88671875" style="18" bestFit="1" customWidth="1"/>
    <col min="6" max="6" width="14.33203125" style="21" customWidth="1"/>
    <col min="7" max="7" width="8.88671875" style="18"/>
    <col min="8" max="8" width="15.21875" style="21" customWidth="1"/>
    <col min="9" max="9" width="15" style="21" customWidth="1"/>
    <col min="10" max="12" width="8.88671875" style="18"/>
    <col min="13" max="13" width="11.33203125" style="18" customWidth="1"/>
    <col min="14" max="16384" width="8.88671875" style="18"/>
  </cols>
  <sheetData>
    <row r="1" spans="1:14" ht="19.5" customHeight="1">
      <c r="A1" s="86" t="s">
        <v>29</v>
      </c>
      <c r="B1" s="86" t="s">
        <v>25</v>
      </c>
      <c r="C1" s="86" t="s">
        <v>2</v>
      </c>
      <c r="D1" s="86" t="s">
        <v>13</v>
      </c>
      <c r="E1" s="86" t="s">
        <v>77</v>
      </c>
      <c r="F1" s="86"/>
      <c r="G1" s="86" t="s">
        <v>34</v>
      </c>
      <c r="H1" s="86"/>
      <c r="I1" s="86" t="s">
        <v>30</v>
      </c>
      <c r="J1" s="86" t="s">
        <v>16</v>
      </c>
    </row>
    <row r="2" spans="1:14" ht="19.5" customHeight="1">
      <c r="A2" s="86"/>
      <c r="B2" s="86"/>
      <c r="C2" s="86"/>
      <c r="D2" s="86"/>
      <c r="E2" s="17" t="s">
        <v>23</v>
      </c>
      <c r="F2" s="17" t="s">
        <v>19</v>
      </c>
      <c r="G2" s="17" t="s">
        <v>23</v>
      </c>
      <c r="H2" s="17" t="s">
        <v>19</v>
      </c>
      <c r="I2" s="86"/>
      <c r="J2" s="86"/>
    </row>
    <row r="3" spans="1:14" ht="19.5" customHeight="1">
      <c r="A3" s="31" t="s">
        <v>53</v>
      </c>
      <c r="B3" s="3"/>
      <c r="C3" s="3"/>
      <c r="D3" s="3"/>
      <c r="E3" s="3"/>
      <c r="F3" s="3"/>
      <c r="G3" s="3"/>
      <c r="H3" s="3"/>
      <c r="I3" s="3"/>
      <c r="J3" s="33">
        <v>0.77500000000000002</v>
      </c>
      <c r="M3" s="3" t="s">
        <v>78</v>
      </c>
      <c r="N3" s="3" t="s">
        <v>79</v>
      </c>
    </row>
    <row r="4" spans="1:14" ht="19.5" customHeight="1">
      <c r="A4" s="30" t="s">
        <v>54</v>
      </c>
      <c r="B4" s="4" t="s">
        <v>55</v>
      </c>
      <c r="C4" s="4" t="s">
        <v>57</v>
      </c>
      <c r="D4" s="6">
        <v>2</v>
      </c>
      <c r="E4" s="7">
        <f>INT(M4*$J$3)</f>
        <v>542500</v>
      </c>
      <c r="F4" s="7">
        <f t="shared" ref="F4:F24" si="0">D4*E4</f>
        <v>1085000</v>
      </c>
      <c r="G4" s="7">
        <f>INT(N4*$J$3)</f>
        <v>0</v>
      </c>
      <c r="H4" s="7">
        <f t="shared" ref="H4:H15" si="1">D4*G4</f>
        <v>0</v>
      </c>
      <c r="I4" s="7">
        <f t="shared" ref="I4:I16" si="2">F4+H4</f>
        <v>1085000</v>
      </c>
      <c r="J4" s="2"/>
      <c r="M4" s="7">
        <v>700000</v>
      </c>
      <c r="N4" s="7"/>
    </row>
    <row r="5" spans="1:14" ht="19.5" customHeight="1">
      <c r="A5" s="5"/>
      <c r="B5" s="4" t="s">
        <v>56</v>
      </c>
      <c r="C5" s="4" t="s">
        <v>58</v>
      </c>
      <c r="D5" s="6">
        <v>4</v>
      </c>
      <c r="E5" s="7">
        <f t="shared" ref="E5:E22" si="3">INT(M5*$J$3)</f>
        <v>0</v>
      </c>
      <c r="F5" s="7">
        <f t="shared" si="0"/>
        <v>0</v>
      </c>
      <c r="G5" s="7">
        <f t="shared" ref="G5:G22" si="4">INT(N5*$J$3)</f>
        <v>139500</v>
      </c>
      <c r="H5" s="7">
        <f t="shared" si="1"/>
        <v>558000</v>
      </c>
      <c r="I5" s="7">
        <f t="shared" si="2"/>
        <v>558000</v>
      </c>
      <c r="J5" s="2"/>
      <c r="M5" s="7"/>
      <c r="N5" s="7">
        <v>180000</v>
      </c>
    </row>
    <row r="6" spans="1:14" ht="19.5" customHeight="1">
      <c r="A6" s="5" t="s">
        <v>59</v>
      </c>
      <c r="B6" s="8" t="s">
        <v>55</v>
      </c>
      <c r="C6" s="4" t="s">
        <v>57</v>
      </c>
      <c r="D6" s="6">
        <v>1</v>
      </c>
      <c r="E6" s="7">
        <f t="shared" si="3"/>
        <v>542500</v>
      </c>
      <c r="F6" s="7">
        <f t="shared" si="0"/>
        <v>542500</v>
      </c>
      <c r="G6" s="7">
        <f t="shared" si="4"/>
        <v>0</v>
      </c>
      <c r="H6" s="7">
        <f t="shared" si="1"/>
        <v>0</v>
      </c>
      <c r="I6" s="7">
        <f t="shared" si="2"/>
        <v>542500</v>
      </c>
      <c r="J6" s="2"/>
      <c r="M6" s="7">
        <v>700000</v>
      </c>
      <c r="N6" s="7"/>
    </row>
    <row r="7" spans="1:14" ht="19.5" customHeight="1">
      <c r="A7" s="5"/>
      <c r="B7" s="8" t="s">
        <v>60</v>
      </c>
      <c r="C7" s="8" t="s">
        <v>72</v>
      </c>
      <c r="D7" s="6">
        <v>1</v>
      </c>
      <c r="E7" s="7">
        <f t="shared" si="3"/>
        <v>503750</v>
      </c>
      <c r="F7" s="7">
        <f t="shared" si="0"/>
        <v>503750</v>
      </c>
      <c r="G7" s="7">
        <f t="shared" si="4"/>
        <v>0</v>
      </c>
      <c r="H7" s="7">
        <f t="shared" si="1"/>
        <v>0</v>
      </c>
      <c r="I7" s="7">
        <f t="shared" si="2"/>
        <v>503750</v>
      </c>
      <c r="J7" s="2"/>
      <c r="M7" s="7">
        <v>650000</v>
      </c>
      <c r="N7" s="7"/>
    </row>
    <row r="8" spans="1:14" ht="19.5" customHeight="1">
      <c r="A8" s="5"/>
      <c r="B8" s="8" t="s">
        <v>56</v>
      </c>
      <c r="C8" s="8" t="s">
        <v>58</v>
      </c>
      <c r="D8" s="6">
        <v>1</v>
      </c>
      <c r="E8" s="7">
        <f t="shared" si="3"/>
        <v>0</v>
      </c>
      <c r="F8" s="7">
        <f t="shared" si="0"/>
        <v>0</v>
      </c>
      <c r="G8" s="7">
        <f t="shared" si="4"/>
        <v>139500</v>
      </c>
      <c r="H8" s="7">
        <f t="shared" si="1"/>
        <v>139500</v>
      </c>
      <c r="I8" s="7">
        <f t="shared" si="2"/>
        <v>139500</v>
      </c>
      <c r="J8" s="2"/>
      <c r="M8" s="7"/>
      <c r="N8" s="7">
        <v>180000</v>
      </c>
    </row>
    <row r="9" spans="1:14" ht="19.5" customHeight="1">
      <c r="A9" s="5" t="s">
        <v>61</v>
      </c>
      <c r="B9" s="8" t="s">
        <v>55</v>
      </c>
      <c r="C9" s="4" t="s">
        <v>57</v>
      </c>
      <c r="D9" s="6">
        <v>1</v>
      </c>
      <c r="E9" s="7">
        <f t="shared" si="3"/>
        <v>542500</v>
      </c>
      <c r="F9" s="7">
        <f t="shared" si="0"/>
        <v>542500</v>
      </c>
      <c r="G9" s="7">
        <f t="shared" si="4"/>
        <v>0</v>
      </c>
      <c r="H9" s="7">
        <f t="shared" si="1"/>
        <v>0</v>
      </c>
      <c r="I9" s="7">
        <f t="shared" si="2"/>
        <v>542500</v>
      </c>
      <c r="J9" s="2"/>
      <c r="M9" s="7">
        <v>700000</v>
      </c>
      <c r="N9" s="7"/>
    </row>
    <row r="10" spans="1:14" ht="19.5" customHeight="1">
      <c r="A10" s="5"/>
      <c r="B10" s="8" t="s">
        <v>56</v>
      </c>
      <c r="C10" s="8" t="s">
        <v>58</v>
      </c>
      <c r="D10" s="6">
        <v>2</v>
      </c>
      <c r="E10" s="7">
        <f t="shared" si="3"/>
        <v>0</v>
      </c>
      <c r="F10" s="7">
        <f t="shared" si="0"/>
        <v>0</v>
      </c>
      <c r="G10" s="7">
        <f t="shared" si="4"/>
        <v>139500</v>
      </c>
      <c r="H10" s="7">
        <f t="shared" si="1"/>
        <v>279000</v>
      </c>
      <c r="I10" s="7">
        <f t="shared" si="2"/>
        <v>279000</v>
      </c>
      <c r="J10" s="2"/>
      <c r="M10" s="7"/>
      <c r="N10" s="9">
        <v>180000</v>
      </c>
    </row>
    <row r="11" spans="1:14" ht="19.5" customHeight="1">
      <c r="A11" s="5"/>
      <c r="B11" s="8" t="s">
        <v>62</v>
      </c>
      <c r="C11" s="8" t="s">
        <v>73</v>
      </c>
      <c r="D11" s="6">
        <v>1</v>
      </c>
      <c r="E11" s="7">
        <f t="shared" si="3"/>
        <v>1162500</v>
      </c>
      <c r="F11" s="7">
        <f t="shared" si="0"/>
        <v>1162500</v>
      </c>
      <c r="G11" s="7">
        <f t="shared" si="4"/>
        <v>0</v>
      </c>
      <c r="H11" s="7">
        <f t="shared" si="1"/>
        <v>0</v>
      </c>
      <c r="I11" s="7">
        <f t="shared" si="2"/>
        <v>1162500</v>
      </c>
      <c r="J11" s="2"/>
      <c r="M11" s="7">
        <v>1500000</v>
      </c>
      <c r="N11" s="9"/>
    </row>
    <row r="12" spans="1:14" ht="19.5" customHeight="1">
      <c r="A12" s="5" t="s">
        <v>63</v>
      </c>
      <c r="B12" s="8" t="s">
        <v>64</v>
      </c>
      <c r="C12" s="8" t="s">
        <v>65</v>
      </c>
      <c r="D12" s="6">
        <v>1</v>
      </c>
      <c r="E12" s="7">
        <f t="shared" si="3"/>
        <v>426250</v>
      </c>
      <c r="F12" s="7">
        <f t="shared" si="0"/>
        <v>426250</v>
      </c>
      <c r="G12" s="7">
        <f t="shared" si="4"/>
        <v>0</v>
      </c>
      <c r="H12" s="7">
        <f t="shared" si="1"/>
        <v>0</v>
      </c>
      <c r="I12" s="7">
        <f t="shared" si="2"/>
        <v>426250</v>
      </c>
      <c r="J12" s="2"/>
      <c r="M12" s="7">
        <v>550000</v>
      </c>
      <c r="N12" s="9"/>
    </row>
    <row r="13" spans="1:14" ht="19.5" customHeight="1">
      <c r="A13" s="5" t="s">
        <v>66</v>
      </c>
      <c r="B13" s="8" t="s">
        <v>55</v>
      </c>
      <c r="C13" s="4" t="s">
        <v>57</v>
      </c>
      <c r="D13" s="6">
        <v>1</v>
      </c>
      <c r="E13" s="7">
        <f t="shared" si="3"/>
        <v>542500</v>
      </c>
      <c r="F13" s="7">
        <f t="shared" si="0"/>
        <v>542500</v>
      </c>
      <c r="G13" s="7">
        <f t="shared" si="4"/>
        <v>0</v>
      </c>
      <c r="H13" s="7">
        <f t="shared" si="1"/>
        <v>0</v>
      </c>
      <c r="I13" s="7">
        <f t="shared" si="2"/>
        <v>542500</v>
      </c>
      <c r="J13" s="2"/>
      <c r="M13" s="7">
        <v>700000</v>
      </c>
      <c r="N13" s="9"/>
    </row>
    <row r="14" spans="1:14" ht="19.5" customHeight="1">
      <c r="A14" s="5"/>
      <c r="B14" s="8" t="s">
        <v>56</v>
      </c>
      <c r="C14" s="8" t="s">
        <v>58</v>
      </c>
      <c r="D14" s="6">
        <v>2</v>
      </c>
      <c r="E14" s="7">
        <f t="shared" si="3"/>
        <v>0</v>
      </c>
      <c r="F14" s="7">
        <f t="shared" si="0"/>
        <v>0</v>
      </c>
      <c r="G14" s="7">
        <f t="shared" si="4"/>
        <v>139500</v>
      </c>
      <c r="H14" s="7">
        <f t="shared" si="1"/>
        <v>279000</v>
      </c>
      <c r="I14" s="7">
        <f t="shared" si="2"/>
        <v>279000</v>
      </c>
      <c r="J14" s="2"/>
      <c r="M14" s="7"/>
      <c r="N14" s="9">
        <v>180000</v>
      </c>
    </row>
    <row r="15" spans="1:14" s="20" customFormat="1" ht="19.5" customHeight="1">
      <c r="A15" s="5" t="s">
        <v>67</v>
      </c>
      <c r="B15" s="8" t="s">
        <v>62</v>
      </c>
      <c r="C15" s="8" t="s">
        <v>73</v>
      </c>
      <c r="D15" s="6">
        <v>3</v>
      </c>
      <c r="E15" s="7">
        <f t="shared" si="3"/>
        <v>1162500</v>
      </c>
      <c r="F15" s="7">
        <f t="shared" si="0"/>
        <v>3487500</v>
      </c>
      <c r="G15" s="7">
        <f t="shared" si="4"/>
        <v>0</v>
      </c>
      <c r="H15" s="7">
        <f t="shared" si="1"/>
        <v>0</v>
      </c>
      <c r="I15" s="7">
        <f t="shared" si="2"/>
        <v>3487500</v>
      </c>
      <c r="J15" s="19"/>
      <c r="M15" s="7">
        <v>1500000</v>
      </c>
      <c r="N15" s="9"/>
    </row>
    <row r="16" spans="1:14" ht="19.5" customHeight="1">
      <c r="A16" s="5" t="s">
        <v>68</v>
      </c>
      <c r="B16" s="8" t="s">
        <v>55</v>
      </c>
      <c r="C16" s="4" t="s">
        <v>57</v>
      </c>
      <c r="D16" s="6">
        <v>20</v>
      </c>
      <c r="E16" s="7">
        <f t="shared" si="3"/>
        <v>542500</v>
      </c>
      <c r="F16" s="7">
        <f t="shared" si="0"/>
        <v>10850000</v>
      </c>
      <c r="G16" s="7">
        <f t="shared" si="4"/>
        <v>0</v>
      </c>
      <c r="H16" s="7">
        <f>D16*G16</f>
        <v>0</v>
      </c>
      <c r="I16" s="7">
        <f t="shared" si="2"/>
        <v>10850000</v>
      </c>
      <c r="J16" s="2"/>
      <c r="M16" s="7">
        <v>700000</v>
      </c>
      <c r="N16" s="7"/>
    </row>
    <row r="17" spans="1:14" ht="19.5" customHeight="1">
      <c r="A17" s="5"/>
      <c r="B17" s="8" t="s">
        <v>55</v>
      </c>
      <c r="C17" s="32">
        <v>0.28000000000000003</v>
      </c>
      <c r="D17" s="6">
        <v>10</v>
      </c>
      <c r="E17" s="7">
        <f t="shared" si="3"/>
        <v>465000</v>
      </c>
      <c r="F17" s="7">
        <f t="shared" si="0"/>
        <v>4650000</v>
      </c>
      <c r="G17" s="7">
        <f t="shared" si="4"/>
        <v>0</v>
      </c>
      <c r="H17" s="7">
        <f>D17*G17</f>
        <v>0</v>
      </c>
      <c r="I17" s="7">
        <f>F17+H17</f>
        <v>4650000</v>
      </c>
      <c r="J17" s="2"/>
      <c r="M17" s="7">
        <v>600000</v>
      </c>
      <c r="N17" s="9"/>
    </row>
    <row r="18" spans="1:14" ht="19.5" customHeight="1">
      <c r="A18" s="5"/>
      <c r="B18" s="8" t="s">
        <v>69</v>
      </c>
      <c r="C18" s="8" t="s">
        <v>58</v>
      </c>
      <c r="D18" s="6">
        <v>10</v>
      </c>
      <c r="E18" s="7">
        <f t="shared" si="3"/>
        <v>0</v>
      </c>
      <c r="F18" s="7">
        <f t="shared" si="0"/>
        <v>0</v>
      </c>
      <c r="G18" s="7">
        <f t="shared" si="4"/>
        <v>193750</v>
      </c>
      <c r="H18" s="7">
        <f>D18*G18</f>
        <v>1937500</v>
      </c>
      <c r="I18" s="7"/>
      <c r="J18" s="2"/>
      <c r="M18" s="7"/>
      <c r="N18" s="9">
        <v>250000</v>
      </c>
    </row>
    <row r="19" spans="1:14" ht="19.5" customHeight="1">
      <c r="A19" s="11"/>
      <c r="B19" s="8" t="s">
        <v>56</v>
      </c>
      <c r="C19" s="8" t="s">
        <v>58</v>
      </c>
      <c r="D19" s="6">
        <v>30</v>
      </c>
      <c r="E19" s="7">
        <f t="shared" si="3"/>
        <v>0</v>
      </c>
      <c r="F19" s="7">
        <f t="shared" si="0"/>
        <v>0</v>
      </c>
      <c r="G19" s="7">
        <f t="shared" si="4"/>
        <v>139500</v>
      </c>
      <c r="H19" s="7">
        <f>D19*G19</f>
        <v>4185000</v>
      </c>
      <c r="I19" s="7">
        <f t="shared" ref="I19:I24" si="5">F19+H19</f>
        <v>4185000</v>
      </c>
      <c r="J19" s="2"/>
      <c r="M19" s="7"/>
      <c r="N19" s="7">
        <v>180000</v>
      </c>
    </row>
    <row r="20" spans="1:14" ht="19.5" customHeight="1">
      <c r="A20" s="10" t="s">
        <v>70</v>
      </c>
      <c r="B20" s="8" t="s">
        <v>55</v>
      </c>
      <c r="C20" s="4" t="s">
        <v>57</v>
      </c>
      <c r="D20" s="6">
        <v>1</v>
      </c>
      <c r="E20" s="7">
        <f t="shared" si="3"/>
        <v>542500</v>
      </c>
      <c r="F20" s="7">
        <f t="shared" si="0"/>
        <v>542500</v>
      </c>
      <c r="G20" s="7">
        <f t="shared" si="4"/>
        <v>0</v>
      </c>
      <c r="H20" s="7">
        <f t="shared" ref="H20:H24" si="6">D20*G20</f>
        <v>0</v>
      </c>
      <c r="I20" s="7">
        <f t="shared" si="5"/>
        <v>542500</v>
      </c>
      <c r="J20" s="2"/>
      <c r="M20" s="7">
        <v>700000</v>
      </c>
      <c r="N20" s="7"/>
    </row>
    <row r="21" spans="1:14" ht="19.5" customHeight="1">
      <c r="A21" s="11"/>
      <c r="B21" s="8" t="s">
        <v>60</v>
      </c>
      <c r="C21" s="8" t="s">
        <v>71</v>
      </c>
      <c r="D21" s="6">
        <v>2</v>
      </c>
      <c r="E21" s="7">
        <f t="shared" si="3"/>
        <v>503750</v>
      </c>
      <c r="F21" s="7">
        <f t="shared" si="0"/>
        <v>1007500</v>
      </c>
      <c r="G21" s="7">
        <f t="shared" si="4"/>
        <v>0</v>
      </c>
      <c r="H21" s="7">
        <f t="shared" si="6"/>
        <v>0</v>
      </c>
      <c r="I21" s="7">
        <f t="shared" si="5"/>
        <v>1007500</v>
      </c>
      <c r="J21" s="2"/>
      <c r="M21" s="7">
        <v>650000</v>
      </c>
      <c r="N21" s="7"/>
    </row>
    <row r="22" spans="1:14" ht="15.75" customHeight="1">
      <c r="A22" s="5" t="s">
        <v>74</v>
      </c>
      <c r="B22" s="8"/>
      <c r="C22" s="8" t="s">
        <v>65</v>
      </c>
      <c r="D22" s="6">
        <v>1</v>
      </c>
      <c r="E22" s="7">
        <f t="shared" si="3"/>
        <v>1550000</v>
      </c>
      <c r="F22" s="7">
        <f t="shared" si="0"/>
        <v>1550000</v>
      </c>
      <c r="G22" s="7">
        <f t="shared" si="4"/>
        <v>0</v>
      </c>
      <c r="H22" s="7">
        <f t="shared" si="6"/>
        <v>0</v>
      </c>
      <c r="I22" s="7">
        <f t="shared" si="5"/>
        <v>1550000</v>
      </c>
      <c r="J22" s="16"/>
      <c r="M22" s="7">
        <v>2000000</v>
      </c>
      <c r="N22" s="7"/>
    </row>
    <row r="23" spans="1:14">
      <c r="A23" s="5" t="s">
        <v>75</v>
      </c>
      <c r="B23" s="8"/>
      <c r="C23" s="8" t="s">
        <v>65</v>
      </c>
      <c r="D23" s="6">
        <v>1</v>
      </c>
      <c r="E23" s="7">
        <f t="shared" ref="E23" si="7">INT(M23*$J$3)</f>
        <v>136400</v>
      </c>
      <c r="F23" s="7">
        <f t="shared" ref="F23" si="8">D23*E23</f>
        <v>136400</v>
      </c>
      <c r="G23" s="7">
        <f t="shared" ref="G23" si="9">INT(N23*$J$3)</f>
        <v>0</v>
      </c>
      <c r="H23" s="7">
        <f t="shared" si="6"/>
        <v>0</v>
      </c>
      <c r="I23" s="7">
        <f t="shared" ref="I23" si="10">F23+H23</f>
        <v>136400</v>
      </c>
      <c r="M23" s="7">
        <v>176000</v>
      </c>
      <c r="N23" s="7"/>
    </row>
    <row r="24" spans="1:14">
      <c r="A24" s="34" t="s">
        <v>81</v>
      </c>
      <c r="B24" s="35"/>
      <c r="C24" s="35" t="s">
        <v>80</v>
      </c>
      <c r="D24" s="36">
        <v>18000</v>
      </c>
      <c r="E24" s="37">
        <f>INT(M25*$J$3)</f>
        <v>65</v>
      </c>
      <c r="F24" s="37">
        <f t="shared" si="0"/>
        <v>1170000</v>
      </c>
      <c r="G24" s="37">
        <f>INT(N25*$J$3)</f>
        <v>489</v>
      </c>
      <c r="H24" s="37">
        <f t="shared" si="6"/>
        <v>8802000</v>
      </c>
      <c r="I24" s="37">
        <f t="shared" si="5"/>
        <v>9972000</v>
      </c>
      <c r="J24" s="38"/>
      <c r="M24" s="7">
        <v>176000</v>
      </c>
      <c r="N24" s="7"/>
    </row>
    <row r="25" spans="1:14">
      <c r="A25" s="11"/>
      <c r="B25" s="8"/>
      <c r="C25" s="8"/>
      <c r="D25" s="6"/>
      <c r="E25" s="7"/>
      <c r="F25" s="7"/>
      <c r="G25" s="7"/>
      <c r="H25" s="7"/>
      <c r="I25" s="7"/>
      <c r="M25" s="18">
        <v>84</v>
      </c>
      <c r="N25" s="18">
        <v>631</v>
      </c>
    </row>
    <row r="26" spans="1:14">
      <c r="A26" s="12" t="s">
        <v>76</v>
      </c>
      <c r="B26" s="13"/>
      <c r="C26" s="14"/>
      <c r="D26" s="13"/>
      <c r="E26" s="13"/>
      <c r="F26" s="13">
        <f>SUM(F3:F25)</f>
        <v>28198900</v>
      </c>
      <c r="G26" s="15"/>
      <c r="H26" s="13">
        <f>SUM(H3:H25)</f>
        <v>16180000</v>
      </c>
      <c r="I26" s="13">
        <f>F26+H26</f>
        <v>44378900</v>
      </c>
    </row>
  </sheetData>
  <mergeCells count="8">
    <mergeCell ref="I1:I2"/>
    <mergeCell ref="J1:J2"/>
    <mergeCell ref="A1:A2"/>
    <mergeCell ref="B1:B2"/>
    <mergeCell ref="C1:C2"/>
    <mergeCell ref="D1:D2"/>
    <mergeCell ref="E1:F1"/>
    <mergeCell ref="G1:H1"/>
  </mergeCells>
  <phoneticPr fontId="3" type="noConversion"/>
  <pageMargins left="0.43000000715255737" right="0.34000000357627869" top="1" bottom="1" header="0.5" footer="0.5"/>
  <pageSetup paperSize="9" scale="8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갑지</vt:lpstr>
      <vt:lpstr>집계표</vt:lpstr>
      <vt:lpstr>집계표!Print_Area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GAFI</cp:lastModifiedBy>
  <cp:revision>2</cp:revision>
  <cp:lastPrinted>2023-11-27T02:12:05Z</cp:lastPrinted>
  <dcterms:created xsi:type="dcterms:W3CDTF">1997-01-01T01:54:38Z</dcterms:created>
  <dcterms:modified xsi:type="dcterms:W3CDTF">2024-07-08T07:36:49Z</dcterms:modified>
  <cp:version>1100.0100.01</cp:version>
</cp:coreProperties>
</file>