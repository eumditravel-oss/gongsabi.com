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3" i="4"/>
  <c r="E151" i="4"/>
  <c r="E145" i="4"/>
  <c r="E141" i="4"/>
  <c r="E139" i="4"/>
  <c r="E138" i="4"/>
  <c r="E136" i="4"/>
  <c r="E132" i="4"/>
  <c r="E129" i="4"/>
  <c r="E128" i="4"/>
  <c r="E127" i="4"/>
  <c r="E124" i="4"/>
  <c r="E123" i="4"/>
  <c r="E118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1" i="4"/>
  <c r="E93" i="4"/>
  <c r="E90" i="4"/>
  <c r="E88" i="4"/>
  <c r="E87" i="4"/>
  <c r="E86" i="4"/>
  <c r="E85" i="4"/>
  <c r="E83" i="4"/>
  <c r="E82" i="4"/>
  <c r="E81" i="4"/>
  <c r="E80" i="4"/>
  <c r="E79" i="4"/>
  <c r="E78" i="4"/>
  <c r="E77" i="4"/>
  <c r="E76" i="4"/>
  <c r="E75" i="4"/>
  <c r="E74" i="4"/>
  <c r="E71" i="4"/>
  <c r="E70" i="4"/>
  <c r="E65" i="4"/>
  <c r="E64" i="4"/>
  <c r="E63" i="4"/>
  <c r="E66" i="4" s="1"/>
  <c r="E57" i="4"/>
  <c r="E56" i="4"/>
  <c r="E55" i="4"/>
  <c r="E54" i="4"/>
  <c r="E51" i="4"/>
  <c r="E47" i="4"/>
  <c r="E37" i="4"/>
  <c r="D161" i="4" l="1"/>
  <c r="D32" i="4" s="1"/>
  <c r="E32" i="4" s="1"/>
  <c r="D157" i="4"/>
  <c r="E157" i="4" s="1"/>
  <c r="E161" i="4" s="1"/>
  <c r="D152" i="4"/>
  <c r="E152" i="4" s="1"/>
  <c r="D150" i="4"/>
  <c r="E150" i="4" s="1"/>
  <c r="D149" i="4"/>
  <c r="D144" i="4"/>
  <c r="E144" i="4" s="1"/>
  <c r="D143" i="4"/>
  <c r="E143" i="4" s="1"/>
  <c r="D142" i="4"/>
  <c r="E142" i="4" s="1"/>
  <c r="D140" i="4"/>
  <c r="E140" i="4" s="1"/>
  <c r="D137" i="4"/>
  <c r="D131" i="4"/>
  <c r="E131" i="4" s="1"/>
  <c r="D130" i="4"/>
  <c r="E130" i="4" s="1"/>
  <c r="D126" i="4"/>
  <c r="E126" i="4" s="1"/>
  <c r="D125" i="4"/>
  <c r="D122" i="4"/>
  <c r="E122" i="4" s="1"/>
  <c r="D117" i="4"/>
  <c r="E117" i="4" s="1"/>
  <c r="D104" i="4"/>
  <c r="E104" i="4" s="1"/>
  <c r="D103" i="4"/>
  <c r="E103" i="4" s="1"/>
  <c r="D102" i="4"/>
  <c r="E102" i="4" s="1"/>
  <c r="D100" i="4"/>
  <c r="E100" i="4" s="1"/>
  <c r="D99" i="4"/>
  <c r="E99" i="4" s="1"/>
  <c r="D98" i="4"/>
  <c r="D94" i="4"/>
  <c r="E94" i="4" s="1"/>
  <c r="D92" i="4"/>
  <c r="E92" i="4" s="1"/>
  <c r="D91" i="4"/>
  <c r="E91" i="4" s="1"/>
  <c r="D89" i="4"/>
  <c r="E89" i="4" s="1"/>
  <c r="D84" i="4"/>
  <c r="E84" i="4" s="1"/>
  <c r="D73" i="4"/>
  <c r="E73" i="4" s="1"/>
  <c r="D72" i="4"/>
  <c r="E72" i="4" s="1"/>
  <c r="D69" i="4"/>
  <c r="D66" i="4"/>
  <c r="D26" i="4" s="1"/>
  <c r="E26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D41" i="4"/>
  <c r="E41" i="4" s="1"/>
  <c r="D40" i="4"/>
  <c r="E40" i="4" s="1"/>
  <c r="D24" i="4"/>
  <c r="E24" i="4" s="1"/>
  <c r="D7" i="4"/>
  <c r="D60" i="4" l="1"/>
  <c r="D25" i="4" s="1"/>
  <c r="E25" i="4" s="1"/>
  <c r="E42" i="4"/>
  <c r="E60" i="4" s="1"/>
  <c r="D95" i="4"/>
  <c r="D27" i="4" s="1"/>
  <c r="E27" i="4" s="1"/>
  <c r="E69" i="4"/>
  <c r="E95" i="4" s="1"/>
  <c r="D119" i="4"/>
  <c r="D28" i="4" s="1"/>
  <c r="E28" i="4" s="1"/>
  <c r="E98" i="4"/>
  <c r="E119" i="4" s="1"/>
  <c r="D133" i="4"/>
  <c r="D29" i="4" s="1"/>
  <c r="E29" i="4" s="1"/>
  <c r="E125" i="4"/>
  <c r="E133" i="4" s="1"/>
  <c r="D146" i="4"/>
  <c r="D30" i="4" s="1"/>
  <c r="E30" i="4" s="1"/>
  <c r="E137" i="4"/>
  <c r="E146" i="4" s="1"/>
  <c r="D154" i="4"/>
  <c r="D31" i="4" s="1"/>
  <c r="E31" i="4" s="1"/>
  <c r="E149" i="4"/>
  <c r="E15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<sst xmlns="http://schemas.openxmlformats.org/spreadsheetml/2006/main" count="388" uniqueCount="262">
  <si>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</si>
  <si>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</si>
  <si>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</si>
  <si>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</si>
  <si>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</si>
  <si>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</si>
  <si>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</si>
  <si>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</si>
  <si>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</si>
  <si>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</si>
  <si>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</si>
  <si>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</si>
  <si>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</si>
  <si>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</si>
  <si>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</si>
  <si>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</si>
  <si>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</si>
  <si>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</si>
  <si>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</si>
  <si>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</si>
  <si>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</si>
  <si>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</si>
  <si>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</si>
  <si>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</si>
  <si>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</si>
  <si>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</si>
  <si>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</si>
  <si>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</si>
  <si>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</si>
  <si>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</si>
  <si>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</si>
  <si>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</si>
  <si>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</si>
  <si>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</si>
  <si>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</si>
  <si>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</si>
  <si>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</si>
  <si>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</si>
  <si>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</si>
  <si>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</si>
  <si>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</si>
  <si>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</si>
  <si>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</si>
  <si>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</si>
  <si>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</si>
  <si>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</si>
  <si>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</si>
  <si>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</si>
  <si>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</si>
  <si>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</si>
  <si>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</si>
  <si>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</si>
  <si>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</si>
  <si>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</si>
  <si>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</si>
  <si>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</si>
  <si>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</si>
  <si>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</si>
  <si>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</si>
  <si>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</si>
  <si>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</si>
  <si>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</si>
  <si>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</si>
  <si>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</si>
  <si>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</si>
  <si>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</si>
  <si>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</si>
  <si>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</si>
  <si>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</si>
  <si>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</si>
  <si>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</si>
  <si>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</si>
  <si>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</si>
  <si>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</si>
  <si>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</si>
  <si>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</si>
  <si>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</si>
  <si>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</si>
  <si>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</si>
  <si>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</si>
  <si>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</si>
  <si>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</si>
  <si>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</si>
  <si>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</si>
  <si>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</si>
  <si>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</si>
  <si>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</si>
  <si>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</si>
  <si>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</si>
  <si>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</si>
  <si>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</si>
  <si>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</si>
  <si>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</si>
  <si>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</si>
  <si>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</si>
  <si>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</si>
  <si>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</si>
  <si>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</si>
  <si>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</si>
  <si>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</si>
  <si>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</si>
  <si>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</si>
  <si>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</si>
  <si>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</si>
  <si>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</si>
  <si>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</si>
  <si>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</si>
  <si>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</si>
  <si>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</si>
  <si>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</si>
  <si>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</si>
  <si>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</si>
  <si>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</si>
  <si>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</si>
  <si>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</si>
  <si>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</si>
  <si>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</si>
  <si>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</si>
  <si>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</si>
  <si>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</si>
  <si>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</si>
  <si>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</si>
  <si>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</si>
  <si>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</si>
  <si>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</si>
  <si>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</si>
  <si>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</si>
  <si>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</si>
  <si>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</si>
  <si>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</si>
  <si>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</si>
  <si>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</si>
  <si>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</si>
  <si>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</si>
  <si>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</si>
  <si>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</si>
  <si>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</si>
  <si>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</si>
  <si>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</si>
  <si>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</si>
  <si>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</si>
  <si>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</si>
  <si>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</si>
  <si>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</si>
  <si>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</si>
  <si>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</si>
  <si>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</si>
  <si>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</si>
  <si>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</si>
  <si>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</si>
  <si>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</si>
  <si>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</si>
  <si>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</si>
  <si>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</si>
  <si>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</si>
  <si>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</si>
  <si>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</si>
  <si>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</si>
  <si>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</si>
  <si>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</si>
  <si>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</si>
  <si>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</si>
  <si>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</si>
  <si>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</si>
  <si>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</si>
  <si>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</si>
  <si>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</si>
  <si>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</si>
  <si>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</si>
  <si>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</si>
  <si>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</si>
  <si>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</si>
  <si>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</si>
  <si>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</si>
  <si>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</si>
  <si>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</si>
  <si>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</si>
  <si>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</si>
  <si>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</si>
  <si>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</si>
  <si>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</si>
  <si>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</si>
  <si>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</si>
  <si>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</si>
  <si>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</si>
  <si>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</si>
  <si>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</si>
  <si>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</si>
  <si>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</si>
  <si>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</si>
  <si>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</si>
  <si>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</si>
  <si>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</si>
  <si>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</si>
  <si>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</si>
  <si>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</si>
  <si>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</si>
  <si>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</si>
  <si>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</si>
  <si>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</si>
  <si>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</si>
  <si>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</si>
  <si>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</si>
  <si>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</si>
  <si>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</si>
  <si>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</si>
  <si>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</si>
  <si>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</si>
  <si>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</si>
  <si>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</si>
  <si>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</si>
  <si>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</si>
  <si>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</si>
  <si>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</si>
  <si>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</si>
  <si>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</si>
  <si>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</si>
  <si>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</si>
  <si>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</si>
  <si>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</si>
  <si>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</si>
  <si>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</si>
  <si>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</si>
  <si>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</si>
  <si>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</si>
  <si>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</si>
  <si>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</si>
  <si>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</si>
  <si>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</si>
  <si>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</si>
  <si>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</si>
  <si>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</si>
  <si>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</si>
  <si>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</si>
  <si>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</si>
  <si>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</si>
  <si>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</si>
  <si>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</si>
  <si>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</si>
  <si>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</si>
  <si>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</si>
  <si>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</si>
  <si>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</si>
  <si>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</si>
  <si>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</si>
  <si>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</si>
  <si>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국민건강보험공단 순천곡성지사 사옥 신축공사</t>
  </si>
  <si>
    <t>업무</t>
  </si>
  <si>
    <t>전라도</t>
  </si>
  <si>
    <t>평</t>
    <phoneticPr fontId="2" type="noConversion"/>
  </si>
  <si>
    <t>원/ m2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</si>
  <si>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</si>
  <si>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</si>
  <si>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기초공사,폐기물처리비,골재비및운반비,작업부산물,기타공사</t>
    <phoneticPr fontId="2" type="noConversion"/>
  </si>
  <si>
    <t>바닥난방공사</t>
    <phoneticPr fontId="2" type="noConversion"/>
  </si>
  <si>
    <t>토목</t>
    <phoneticPr fontId="2" type="noConversion"/>
  </si>
  <si>
    <t>토목 사급자재비,토목 운반비,토목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</si>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</sst>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18" xfId="0" applyFill="1" applyBorder="1">
      <alignment vertical="center"/>
    </xf>
    <xf numFmtId="0" fontId="0" fillId="0" borderId="24" xfId="0" applyFill="1" applyBorder="1">
      <alignment vertical="center"/>
    </xf>
    <xf numFmtId="0" fontId="0" fillId="0" borderId="26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3" t="s">
        <v>155</v>
      </c>
      <c r="B2" s="76" t="s">
        <v>0</v>
      </c>
      <c r="C2" s="77"/>
      <c r="D2" s="76" t="s">
        <v>1</v>
      </c>
      <c r="E2" s="77"/>
      <c r="F2" s="76" t="s">
        <v>156</v>
      </c>
      <c r="G2" s="77"/>
      <c r="H2" s="76" t="s">
        <v>2</v>
      </c>
      <c r="I2" s="77"/>
      <c r="J2" s="76" t="s">
        <v>3</v>
      </c>
      <c r="K2" s="77"/>
      <c r="L2" s="76" t="s">
        <v>157</v>
      </c>
      <c r="M2" s="77"/>
      <c r="N2" s="76" t="s">
        <v>158</v>
      </c>
      <c r="O2" s="77"/>
      <c r="P2" s="76" t="s">
        <v>5</v>
      </c>
      <c r="Q2" s="77"/>
      <c r="R2" s="70" t="s">
        <v>94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4"/>
      <c r="B3" s="78"/>
      <c r="C3" s="79"/>
      <c r="D3" s="78"/>
      <c r="E3" s="79"/>
      <c r="F3" s="78"/>
      <c r="G3" s="79"/>
      <c r="H3" s="78"/>
      <c r="I3" s="79"/>
      <c r="J3" s="78"/>
      <c r="K3" s="79"/>
      <c r="L3" s="78"/>
      <c r="M3" s="79"/>
      <c r="N3" s="78"/>
      <c r="O3" s="79"/>
      <c r="P3" s="78"/>
      <c r="Q3" s="79"/>
      <c r="R3" s="45" t="s">
        <v>6</v>
      </c>
      <c r="S3" s="46"/>
      <c r="T3" s="45" t="s">
        <v>95</v>
      </c>
      <c r="U3" s="46"/>
      <c r="V3" s="45" t="s">
        <v>96</v>
      </c>
      <c r="W3" s="46"/>
      <c r="X3" s="45" t="s">
        <v>97</v>
      </c>
      <c r="Y3" s="46"/>
      <c r="Z3" s="45" t="s">
        <v>98</v>
      </c>
      <c r="AA3" s="46"/>
      <c r="AB3" s="45" t="s">
        <v>99</v>
      </c>
      <c r="AC3" s="46"/>
      <c r="AD3" s="45" t="s">
        <v>100</v>
      </c>
      <c r="AE3" s="46"/>
      <c r="AF3" s="45" t="s">
        <v>101</v>
      </c>
      <c r="AG3" s="46"/>
    </row>
    <row r="4" spans="1:33" x14ac:dyDescent="0.3">
      <c r="A4" s="75"/>
      <c r="B4" s="80"/>
      <c r="C4" s="81"/>
      <c r="D4" s="80"/>
      <c r="E4" s="81"/>
      <c r="F4" s="80"/>
      <c r="G4" s="81"/>
      <c r="H4" s="80"/>
      <c r="I4" s="81"/>
      <c r="J4" s="80"/>
      <c r="K4" s="81"/>
      <c r="L4" s="80"/>
      <c r="M4" s="81"/>
      <c r="N4" s="80"/>
      <c r="O4" s="81"/>
      <c r="P4" s="80"/>
      <c r="Q4" s="81"/>
      <c r="R4" s="47"/>
      <c r="S4" s="48"/>
      <c r="T4" s="47"/>
      <c r="U4" s="48"/>
      <c r="V4" s="47"/>
      <c r="W4" s="48"/>
      <c r="X4" s="47"/>
      <c r="Y4" s="48"/>
      <c r="Z4" s="47"/>
      <c r="AA4" s="48"/>
      <c r="AB4" s="47"/>
      <c r="AC4" s="48"/>
      <c r="AD4" s="47"/>
      <c r="AE4" s="48"/>
      <c r="AF4" s="47"/>
      <c r="AG4" s="48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49"/>
      <c r="U25" s="29"/>
      <c r="V25" s="28">
        <v>21</v>
      </c>
      <c r="W25" s="29" t="s">
        <v>35</v>
      </c>
      <c r="X25" s="28">
        <v>21</v>
      </c>
      <c r="Y25" s="29" t="s">
        <v>47</v>
      </c>
      <c r="Z25" s="49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0"/>
      <c r="U26" s="29"/>
      <c r="V26" s="28">
        <v>22</v>
      </c>
      <c r="W26" s="29" t="s">
        <v>210</v>
      </c>
      <c r="X26" s="50"/>
      <c r="Y26" s="29"/>
      <c r="Z26" s="50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0"/>
      <c r="U27" s="29"/>
      <c r="V27" s="28">
        <v>23</v>
      </c>
      <c r="W27" s="29" t="s">
        <v>37</v>
      </c>
      <c r="X27" s="50"/>
      <c r="Y27" s="29"/>
      <c r="Z27" s="50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0"/>
      <c r="Y28" s="29"/>
      <c r="Z28" s="50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49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2911.09</v>
      </c>
      <c r="D7" s="36">
        <f>+C7/3.3058</f>
        <v>880.60076229656966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250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60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56">
        <f>+D60</f>
        <v>1217770</v>
      </c>
      <c r="E25" s="61">
        <f t="shared" si="0"/>
        <v>4025700</v>
      </c>
    </row>
    <row r="26" spans="1:5" x14ac:dyDescent="0.3">
      <c r="B26" s="2">
        <v>3</v>
      </c>
      <c r="C26" s="35" t="s">
        <v>95</v>
      </c>
      <c r="D26" s="56">
        <f>+D66</f>
        <v>0</v>
      </c>
      <c r="E26" s="61">
        <f t="shared" si="0"/>
        <v>0</v>
      </c>
    </row>
    <row r="27" spans="1:5" x14ac:dyDescent="0.3">
      <c r="B27" s="2">
        <v>4</v>
      </c>
      <c r="C27" s="35" t="s">
        <v>96</v>
      </c>
      <c r="D27" s="56">
        <f>+D95</f>
        <v>61390</v>
      </c>
      <c r="E27" s="61">
        <f t="shared" si="0"/>
        <v>202940</v>
      </c>
    </row>
    <row r="28" spans="1:5" x14ac:dyDescent="0.3">
      <c r="B28" s="2">
        <v>5</v>
      </c>
      <c r="C28" s="35" t="s">
        <v>97</v>
      </c>
      <c r="D28" s="56">
        <f>+D119</f>
        <v>178940</v>
      </c>
      <c r="E28" s="61">
        <f t="shared" si="0"/>
        <v>591530</v>
      </c>
    </row>
    <row r="29" spans="1:5" x14ac:dyDescent="0.3">
      <c r="B29" s="2">
        <v>6</v>
      </c>
      <c r="C29" s="35" t="s">
        <v>98</v>
      </c>
      <c r="D29" s="56">
        <f>+D133</f>
        <v>104880</v>
      </c>
      <c r="E29" s="61">
        <f t="shared" si="0"/>
        <v>346710</v>
      </c>
    </row>
    <row r="30" spans="1:5" x14ac:dyDescent="0.3">
      <c r="B30" s="2">
        <v>7</v>
      </c>
      <c r="C30" s="35" t="s">
        <v>99</v>
      </c>
      <c r="D30" s="56">
        <f>+D146</f>
        <v>25560</v>
      </c>
      <c r="E30" s="61">
        <f t="shared" si="0"/>
        <v>84490</v>
      </c>
    </row>
    <row r="31" spans="1:5" x14ac:dyDescent="0.3">
      <c r="B31" s="2">
        <v>8</v>
      </c>
      <c r="C31" s="35" t="s">
        <v>100</v>
      </c>
      <c r="D31" s="56">
        <f>+D154</f>
        <v>78050</v>
      </c>
      <c r="E31" s="61">
        <f t="shared" si="0"/>
        <v>258010</v>
      </c>
    </row>
    <row r="32" spans="1:5" x14ac:dyDescent="0.3">
      <c r="B32" s="2">
        <v>9</v>
      </c>
      <c r="C32" s="35" t="s">
        <v>101</v>
      </c>
      <c r="D32" s="56">
        <f>+D161</f>
        <v>56450</v>
      </c>
      <c r="E32" s="61">
        <f t="shared" si="0"/>
        <v>186610</v>
      </c>
    </row>
    <row r="33" spans="1:7" x14ac:dyDescent="0.3">
      <c r="B33" s="2">
        <v>10</v>
      </c>
      <c r="C33" s="35" t="s">
        <v>153</v>
      </c>
      <c r="D33" s="51">
        <f>TRUNC(SUM(D24:D32)*0.275,-1)</f>
        <v>473830</v>
      </c>
      <c r="E33" s="62">
        <f t="shared" si="0"/>
        <v>1566380</v>
      </c>
    </row>
    <row r="34" spans="1:7" x14ac:dyDescent="0.3">
      <c r="C34" s="35" t="s">
        <v>112</v>
      </c>
      <c r="D34" s="44">
        <f>SUM(D24:D33)</f>
        <v>2196870</v>
      </c>
      <c r="E34" s="44">
        <f>SUM(E24:E33)</f>
        <v>7262370</v>
      </c>
    </row>
    <row r="35" spans="1:7" s="53" customFormat="1" x14ac:dyDescent="0.3">
      <c r="C35" s="54"/>
      <c r="D35" s="54"/>
      <c r="E35" s="54"/>
      <c r="F35" s="52"/>
      <c r="G35" s="52"/>
    </row>
    <row r="36" spans="1:7" s="53" customFormat="1" ht="17.25" thickBot="1" x14ac:dyDescent="0.35">
      <c r="B36" s="53" t="s">
        <v>12</v>
      </c>
      <c r="C36" s="53" t="s">
        <v>236</v>
      </c>
      <c r="D36" s="54" t="s">
        <v>234</v>
      </c>
      <c r="E36" s="54" t="s">
        <v>235</v>
      </c>
      <c r="F36" s="52"/>
      <c r="G36" s="52"/>
    </row>
    <row r="37" spans="1:7" ht="17.25" thickBot="1" x14ac:dyDescent="0.35">
      <c r="C37" s="38" t="s">
        <v>143</v>
      </c>
      <c r="D37" s="57">
        <v>0</v>
      </c>
      <c r="E37" s="63">
        <f>TRUNC(+D37*3.3058,-1)</f>
        <v>0</v>
      </c>
    </row>
    <row r="38" spans="1:7" s="67" customFormat="1" x14ac:dyDescent="0.3">
      <c r="C38" s="68"/>
      <c r="D38" s="68"/>
      <c r="E38" s="68"/>
      <c r="G38" s="69"/>
    </row>
    <row r="39" spans="1:7" s="67" customFormat="1" ht="17.25" thickBot="1" x14ac:dyDescent="0.35">
      <c r="B39" s="67" t="s">
        <v>111</v>
      </c>
      <c r="C39" s="67" t="s">
        <v>240</v>
      </c>
      <c r="D39" s="68" t="s">
        <v>257</v>
      </c>
      <c r="E39" s="68" t="s">
        <v>258</v>
      </c>
      <c r="G39" s="69"/>
    </row>
    <row r="40" spans="1:7" x14ac:dyDescent="0.3">
      <c r="A40" s="2">
        <v>1</v>
      </c>
      <c r="C40" s="38" t="s">
        <v>15</v>
      </c>
      <c r="D40" s="40">
        <f>TRUNC(62594,-1)</f>
        <v>62590</v>
      </c>
      <c r="E40" s="64">
        <f t="shared" ref="E40:E59" si="1">TRUNC(+D40*3.3058,-1)</f>
        <v>206910</v>
      </c>
    </row>
    <row r="41" spans="1:7" x14ac:dyDescent="0.3">
      <c r="A41" s="2">
        <v>2</v>
      </c>
      <c r="C41" s="38" t="s">
        <v>13</v>
      </c>
      <c r="D41" s="42">
        <f>TRUNC(169942,-1)</f>
        <v>169940</v>
      </c>
      <c r="E41" s="65">
        <f t="shared" si="1"/>
        <v>561780</v>
      </c>
    </row>
    <row r="42" spans="1:7" x14ac:dyDescent="0.3">
      <c r="A42" s="2">
        <v>3</v>
      </c>
      <c r="C42" s="38" t="s">
        <v>14</v>
      </c>
      <c r="D42" s="42">
        <f>TRUNC(8258,-1)</f>
        <v>8250</v>
      </c>
      <c r="E42" s="65">
        <f t="shared" si="1"/>
        <v>27270</v>
      </c>
    </row>
    <row r="43" spans="1:7" x14ac:dyDescent="0.3">
      <c r="A43" s="2">
        <v>4</v>
      </c>
      <c r="C43" s="38" t="s">
        <v>16</v>
      </c>
      <c r="D43" s="42">
        <f>TRUNC(18479,-1)</f>
        <v>18470</v>
      </c>
      <c r="E43" s="65">
        <f t="shared" si="1"/>
        <v>61050</v>
      </c>
    </row>
    <row r="44" spans="1:7" x14ac:dyDescent="0.3">
      <c r="A44" s="2">
        <v>5</v>
      </c>
      <c r="C44" s="38" t="s">
        <v>17</v>
      </c>
      <c r="D44" s="42">
        <f>TRUNC(24472,-1)</f>
        <v>24470</v>
      </c>
      <c r="E44" s="65">
        <f t="shared" si="1"/>
        <v>80890</v>
      </c>
    </row>
    <row r="45" spans="1:7" x14ac:dyDescent="0.3">
      <c r="A45" s="2">
        <v>6</v>
      </c>
      <c r="C45" s="38" t="s">
        <v>18</v>
      </c>
      <c r="D45" s="42">
        <f>TRUNC(21401,-1)</f>
        <v>21400</v>
      </c>
      <c r="E45" s="65">
        <f t="shared" si="1"/>
        <v>70740</v>
      </c>
    </row>
    <row r="46" spans="1:7" x14ac:dyDescent="0.3">
      <c r="A46" s="2">
        <v>7</v>
      </c>
      <c r="C46" s="38" t="s">
        <v>19</v>
      </c>
      <c r="D46" s="42">
        <f>TRUNC(104735,-1)</f>
        <v>104730</v>
      </c>
      <c r="E46" s="65">
        <f t="shared" si="1"/>
        <v>346210</v>
      </c>
    </row>
    <row r="47" spans="1:7" x14ac:dyDescent="0.3">
      <c r="A47" s="2">
        <v>8</v>
      </c>
      <c r="C47" s="38" t="s">
        <v>20</v>
      </c>
      <c r="D47" s="4">
        <v>0</v>
      </c>
      <c r="E47" s="65">
        <f t="shared" si="1"/>
        <v>0</v>
      </c>
    </row>
    <row r="48" spans="1:7" x14ac:dyDescent="0.3">
      <c r="A48" s="2">
        <v>9</v>
      </c>
      <c r="C48" s="38" t="s">
        <v>21</v>
      </c>
      <c r="D48" s="42">
        <f>TRUNC(103333,-1)</f>
        <v>103330</v>
      </c>
      <c r="E48" s="65">
        <f t="shared" si="1"/>
        <v>341580</v>
      </c>
    </row>
    <row r="49" spans="1:7" x14ac:dyDescent="0.3">
      <c r="A49" s="2">
        <v>10</v>
      </c>
      <c r="C49" s="38" t="s">
        <v>22</v>
      </c>
      <c r="D49" s="42">
        <f>TRUNC(15161,-1)</f>
        <v>15160</v>
      </c>
      <c r="E49" s="65">
        <f t="shared" si="1"/>
        <v>50110</v>
      </c>
    </row>
    <row r="50" spans="1:7" x14ac:dyDescent="0.3">
      <c r="A50" s="2">
        <v>11</v>
      </c>
      <c r="C50" s="38" t="s">
        <v>154</v>
      </c>
      <c r="D50" s="42">
        <f>TRUNC(57838,-1)</f>
        <v>57830</v>
      </c>
      <c r="E50" s="65">
        <f t="shared" si="1"/>
        <v>191170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5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TRUNC(5847,-1)</f>
        <v>5840</v>
      </c>
      <c r="E52" s="65">
        <f t="shared" si="1"/>
        <v>19300</v>
      </c>
    </row>
    <row r="53" spans="1:7" x14ac:dyDescent="0.3">
      <c r="A53" s="2">
        <v>14</v>
      </c>
      <c r="C53" s="38" t="s">
        <v>25</v>
      </c>
      <c r="D53" s="42">
        <f>TRUNC(111869,-1)</f>
        <v>111860</v>
      </c>
      <c r="E53" s="65">
        <f t="shared" si="1"/>
        <v>369780</v>
      </c>
      <c r="F53" s="2" t="s">
        <v>252</v>
      </c>
    </row>
    <row r="54" spans="1:7" x14ac:dyDescent="0.3">
      <c r="A54" s="2">
        <v>15</v>
      </c>
      <c r="C54" s="38" t="s">
        <v>147</v>
      </c>
      <c r="D54" s="4">
        <v>0</v>
      </c>
      <c r="E54" s="65">
        <f t="shared" si="1"/>
        <v>0</v>
      </c>
    </row>
    <row r="55" spans="1:7" x14ac:dyDescent="0.3">
      <c r="A55" s="2">
        <v>16</v>
      </c>
      <c r="C55" s="38" t="s">
        <v>144</v>
      </c>
      <c r="D55" s="4">
        <v>0</v>
      </c>
      <c r="E55" s="65">
        <f t="shared" si="1"/>
        <v>0</v>
      </c>
    </row>
    <row r="56" spans="1:7" x14ac:dyDescent="0.3">
      <c r="A56" s="2">
        <v>17</v>
      </c>
      <c r="C56" s="38" t="s">
        <v>145</v>
      </c>
      <c r="D56" s="4">
        <v>0</v>
      </c>
      <c r="E56" s="65">
        <f t="shared" si="1"/>
        <v>0</v>
      </c>
    </row>
    <row r="57" spans="1:7" x14ac:dyDescent="0.3">
      <c r="A57" s="2">
        <v>18</v>
      </c>
      <c r="C57" s="38" t="s">
        <v>146</v>
      </c>
      <c r="D57" s="4">
        <v>0</v>
      </c>
      <c r="E57" s="65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TRUNC(34285+1003 +5311-553+79444,-1)</f>
        <v>119490</v>
      </c>
      <c r="E58" s="65">
        <f t="shared" si="1"/>
        <v>395010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TRUNC(394418,-1)</f>
        <v>394410</v>
      </c>
      <c r="E59" s="66">
        <f t="shared" si="1"/>
        <v>1303840</v>
      </c>
    </row>
    <row r="60" spans="1:7" x14ac:dyDescent="0.3">
      <c r="A60" s="2">
        <v>21</v>
      </c>
      <c r="C60" s="27" t="s">
        <v>112</v>
      </c>
      <c r="D60" s="39">
        <f>SUM(D40:D59)</f>
        <v>1217770</v>
      </c>
      <c r="E60" s="39">
        <f>SUM(E40:E59)</f>
        <v>4025640</v>
      </c>
    </row>
    <row r="61" spans="1:7" s="53" customFormat="1" x14ac:dyDescent="0.3">
      <c r="C61" s="54"/>
      <c r="D61" s="54"/>
      <c r="E61" s="54"/>
      <c r="F61" s="52"/>
      <c r="G61" s="52"/>
    </row>
    <row r="62" spans="1:7" s="53" customFormat="1" ht="17.25" thickBot="1" x14ac:dyDescent="0.35">
      <c r="B62" s="53" t="s">
        <v>237</v>
      </c>
      <c r="C62" s="53" t="s">
        <v>238</v>
      </c>
      <c r="D62" s="54" t="s">
        <v>234</v>
      </c>
      <c r="E62" s="54" t="s">
        <v>235</v>
      </c>
      <c r="F62" s="52"/>
      <c r="G62" s="52"/>
    </row>
    <row r="63" spans="1:7" x14ac:dyDescent="0.3">
      <c r="A63" s="2">
        <v>1</v>
      </c>
      <c r="C63" s="38" t="s">
        <v>27</v>
      </c>
      <c r="D63" s="40">
        <v>0</v>
      </c>
      <c r="E63" s="64">
        <f>TRUNC(+D63*3.3058,-1)</f>
        <v>0</v>
      </c>
    </row>
    <row r="64" spans="1:7" x14ac:dyDescent="0.3">
      <c r="A64" s="2">
        <v>2</v>
      </c>
      <c r="C64" s="38" t="s">
        <v>29</v>
      </c>
      <c r="D64" s="4">
        <v>0</v>
      </c>
      <c r="E64" s="65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6">
        <f>TRUNC(+D65*3.3058,-1)</f>
        <v>0</v>
      </c>
    </row>
    <row r="66" spans="1:7" x14ac:dyDescent="0.3">
      <c r="A66" s="2">
        <v>4</v>
      </c>
      <c r="C66" s="27" t="s">
        <v>112</v>
      </c>
      <c r="D66" s="55">
        <f>SUM(D63:D65)</f>
        <v>0</v>
      </c>
      <c r="E66" s="55">
        <f>SUM(E63:E65)</f>
        <v>0</v>
      </c>
    </row>
    <row r="67" spans="1:7" s="53" customFormat="1" x14ac:dyDescent="0.3">
      <c r="C67" s="54"/>
      <c r="D67" s="54"/>
      <c r="E67" s="54"/>
      <c r="F67" s="52"/>
      <c r="G67" s="52"/>
    </row>
    <row r="68" spans="1:7" s="53" customFormat="1" ht="17.25" thickBot="1" x14ac:dyDescent="0.35">
      <c r="B68" s="53" t="s">
        <v>239</v>
      </c>
      <c r="C68" s="53" t="s">
        <v>240</v>
      </c>
      <c r="D68" s="54" t="s">
        <v>234</v>
      </c>
      <c r="E68" s="54" t="s">
        <v>235</v>
      </c>
      <c r="F68" s="52"/>
      <c r="G68" s="52"/>
    </row>
    <row r="69" spans="1:7" x14ac:dyDescent="0.3">
      <c r="A69" s="2">
        <v>1</v>
      </c>
      <c r="C69" s="38" t="s">
        <v>30</v>
      </c>
      <c r="D69" s="40">
        <f>TRUNC(16577,-1)</f>
        <v>16570</v>
      </c>
      <c r="E69" s="64">
        <f t="shared" ref="E69:E94" si="2">TRUNC(+D69*3.3058,-1)</f>
        <v>54770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5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5">
        <f t="shared" si="2"/>
        <v>0</v>
      </c>
    </row>
    <row r="72" spans="1:7" x14ac:dyDescent="0.3">
      <c r="A72" s="2">
        <v>4</v>
      </c>
      <c r="C72" s="38" t="s">
        <v>33</v>
      </c>
      <c r="D72" s="42">
        <f>TRUNC(5945,-1)</f>
        <v>5940</v>
      </c>
      <c r="E72" s="65">
        <f t="shared" si="2"/>
        <v>19630</v>
      </c>
    </row>
    <row r="73" spans="1:7" x14ac:dyDescent="0.3">
      <c r="A73" s="2">
        <v>5</v>
      </c>
      <c r="C73" s="38" t="s">
        <v>34</v>
      </c>
      <c r="D73" s="42">
        <f>TRUNC(12565,-1)</f>
        <v>12560</v>
      </c>
      <c r="E73" s="65">
        <f t="shared" si="2"/>
        <v>41520</v>
      </c>
    </row>
    <row r="74" spans="1:7" x14ac:dyDescent="0.3">
      <c r="A74" s="2">
        <v>6</v>
      </c>
      <c r="C74" s="38" t="s">
        <v>175</v>
      </c>
      <c r="D74" s="42">
        <v>0</v>
      </c>
      <c r="E74" s="65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5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5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5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5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5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5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5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5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5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TRUNC(1667,-1)</f>
        <v>1660</v>
      </c>
      <c r="E84" s="65">
        <f t="shared" si="2"/>
        <v>5480</v>
      </c>
    </row>
    <row r="85" spans="1:7" x14ac:dyDescent="0.3">
      <c r="A85" s="2">
        <v>17</v>
      </c>
      <c r="C85" s="38" t="s">
        <v>123</v>
      </c>
      <c r="D85" s="4">
        <v>0</v>
      </c>
      <c r="E85" s="65">
        <f t="shared" si="2"/>
        <v>0</v>
      </c>
    </row>
    <row r="86" spans="1:7" x14ac:dyDescent="0.3">
      <c r="A86" s="2">
        <v>18</v>
      </c>
      <c r="C86" s="38" t="s">
        <v>141</v>
      </c>
      <c r="D86" s="4">
        <v>0</v>
      </c>
      <c r="E86" s="65">
        <f t="shared" si="2"/>
        <v>0</v>
      </c>
    </row>
    <row r="87" spans="1:7" x14ac:dyDescent="0.3">
      <c r="A87" s="2">
        <v>19</v>
      </c>
      <c r="C87" s="38" t="s">
        <v>139</v>
      </c>
      <c r="D87" s="4">
        <v>0</v>
      </c>
      <c r="E87" s="65">
        <f t="shared" si="2"/>
        <v>0</v>
      </c>
    </row>
    <row r="88" spans="1:7" x14ac:dyDescent="0.3">
      <c r="A88" s="2">
        <v>20</v>
      </c>
      <c r="C88" s="38" t="s">
        <v>142</v>
      </c>
      <c r="D88" s="4">
        <v>0</v>
      </c>
      <c r="E88" s="65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TRUNC(7059,-1)</f>
        <v>7050</v>
      </c>
      <c r="E89" s="65">
        <f t="shared" si="2"/>
        <v>23300</v>
      </c>
    </row>
    <row r="90" spans="1:7" x14ac:dyDescent="0.3">
      <c r="A90" s="2">
        <v>22</v>
      </c>
      <c r="C90" s="38" t="s">
        <v>36</v>
      </c>
      <c r="D90" s="4">
        <v>0</v>
      </c>
      <c r="E90" s="65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TRUNC(2053,-1)</f>
        <v>2050</v>
      </c>
      <c r="E91" s="65">
        <f t="shared" si="2"/>
        <v>6770</v>
      </c>
    </row>
    <row r="92" spans="1:7" x14ac:dyDescent="0.3">
      <c r="A92" s="2">
        <v>24</v>
      </c>
      <c r="C92" s="38" t="s">
        <v>38</v>
      </c>
      <c r="D92" s="42">
        <f>TRUNC(14891,-1)</f>
        <v>14890</v>
      </c>
      <c r="E92" s="65">
        <f t="shared" si="2"/>
        <v>49220</v>
      </c>
    </row>
    <row r="93" spans="1:7" x14ac:dyDescent="0.3">
      <c r="A93" s="2">
        <v>25</v>
      </c>
      <c r="C93" s="38" t="s">
        <v>148</v>
      </c>
      <c r="D93" s="42">
        <v>0</v>
      </c>
      <c r="E93" s="65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TRUNC(676,-1)</f>
        <v>670</v>
      </c>
      <c r="E94" s="66">
        <f t="shared" si="2"/>
        <v>2210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61390</v>
      </c>
      <c r="E95" s="39">
        <f>SUM(E69:E94)</f>
        <v>202900</v>
      </c>
    </row>
    <row r="96" spans="1:7" s="53" customFormat="1" x14ac:dyDescent="0.3">
      <c r="C96" s="54"/>
      <c r="D96" s="54"/>
      <c r="E96" s="54"/>
      <c r="F96" s="52"/>
      <c r="G96" s="52"/>
    </row>
    <row r="97" spans="1:7" s="53" customFormat="1" ht="17.25" thickBot="1" x14ac:dyDescent="0.35">
      <c r="B97" s="53" t="s">
        <v>241</v>
      </c>
      <c r="C97" s="53" t="s">
        <v>240</v>
      </c>
      <c r="D97" s="54" t="s">
        <v>234</v>
      </c>
      <c r="E97" s="54" t="s">
        <v>235</v>
      </c>
      <c r="F97" s="52"/>
      <c r="G97" s="52"/>
    </row>
    <row r="98" spans="1:7" x14ac:dyDescent="0.3">
      <c r="A98" s="2">
        <v>1</v>
      </c>
      <c r="C98" s="38" t="s">
        <v>39</v>
      </c>
      <c r="D98" s="40">
        <f>TRUNC(26017,-1)</f>
        <v>26010</v>
      </c>
      <c r="E98" s="64">
        <f t="shared" ref="E98:E118" si="3">TRUNC(+D98*3.3058,-1)</f>
        <v>85980</v>
      </c>
    </row>
    <row r="99" spans="1:7" x14ac:dyDescent="0.3">
      <c r="A99" s="2">
        <v>2</v>
      </c>
      <c r="C99" s="38" t="s">
        <v>40</v>
      </c>
      <c r="D99" s="42">
        <f>TRUNC(1628,-1)</f>
        <v>1620</v>
      </c>
      <c r="E99" s="65">
        <f t="shared" si="3"/>
        <v>5350</v>
      </c>
    </row>
    <row r="100" spans="1:7" x14ac:dyDescent="0.3">
      <c r="A100" s="2">
        <v>3</v>
      </c>
      <c r="C100" s="38" t="s">
        <v>41</v>
      </c>
      <c r="D100" s="42">
        <f>TRUNC(28925,-1)</f>
        <v>28920</v>
      </c>
      <c r="E100" s="65">
        <f t="shared" si="3"/>
        <v>95600</v>
      </c>
    </row>
    <row r="101" spans="1:7" x14ac:dyDescent="0.3">
      <c r="A101" s="2">
        <v>4</v>
      </c>
      <c r="C101" s="38" t="s">
        <v>42</v>
      </c>
      <c r="D101" s="42">
        <v>0</v>
      </c>
      <c r="E101" s="65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TRUNC(20346,-1)</f>
        <v>20340</v>
      </c>
      <c r="E102" s="65">
        <f t="shared" si="3"/>
        <v>67230</v>
      </c>
    </row>
    <row r="103" spans="1:7" x14ac:dyDescent="0.3">
      <c r="A103" s="2">
        <v>6</v>
      </c>
      <c r="C103" s="38" t="s">
        <v>44</v>
      </c>
      <c r="D103" s="42">
        <f>TRUNC(3642,-1)</f>
        <v>3640</v>
      </c>
      <c r="E103" s="65">
        <f t="shared" si="3"/>
        <v>12030</v>
      </c>
    </row>
    <row r="104" spans="1:7" x14ac:dyDescent="0.3">
      <c r="A104" s="2">
        <v>7</v>
      </c>
      <c r="C104" s="38" t="s">
        <v>45</v>
      </c>
      <c r="D104" s="42">
        <f>TRUNC(6370,-1)</f>
        <v>6370</v>
      </c>
      <c r="E104" s="65">
        <f t="shared" si="3"/>
        <v>21050</v>
      </c>
    </row>
    <row r="105" spans="1:7" x14ac:dyDescent="0.3">
      <c r="A105" s="2">
        <v>8</v>
      </c>
      <c r="C105" s="38" t="s">
        <v>46</v>
      </c>
      <c r="D105" s="42">
        <v>0</v>
      </c>
      <c r="E105" s="65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5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5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5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5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5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5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5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5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5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5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5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TRUNC(92042,-1)</f>
        <v>92040</v>
      </c>
      <c r="E117" s="65">
        <f t="shared" si="3"/>
        <v>304260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6">
        <f t="shared" si="3"/>
        <v>0</v>
      </c>
    </row>
    <row r="119" spans="1:7" x14ac:dyDescent="0.3">
      <c r="A119" s="2">
        <v>22</v>
      </c>
      <c r="C119" s="27" t="s">
        <v>112</v>
      </c>
      <c r="D119" s="55">
        <f>SUM(D98:D118)</f>
        <v>178940</v>
      </c>
      <c r="E119" s="39">
        <f>SUM(E98:E118)</f>
        <v>591500</v>
      </c>
    </row>
    <row r="120" spans="1:7" s="53" customFormat="1" x14ac:dyDescent="0.3">
      <c r="C120" s="54"/>
      <c r="D120" s="54"/>
      <c r="E120" s="54"/>
      <c r="F120" s="52"/>
      <c r="G120" s="52"/>
    </row>
    <row r="121" spans="1:7" s="53" customFormat="1" ht="17.25" thickBot="1" x14ac:dyDescent="0.35">
      <c r="B121" s="53" t="s">
        <v>242</v>
      </c>
      <c r="C121" s="53" t="s">
        <v>240</v>
      </c>
      <c r="D121" s="54" t="s">
        <v>234</v>
      </c>
      <c r="E121" s="54" t="s">
        <v>235</v>
      </c>
      <c r="F121" s="52"/>
      <c r="G121" s="52"/>
    </row>
    <row r="122" spans="1:7" x14ac:dyDescent="0.3">
      <c r="A122" s="2">
        <v>1</v>
      </c>
      <c r="C122" s="38" t="s">
        <v>55</v>
      </c>
      <c r="D122" s="40">
        <f>TRUNC(3846,-1)</f>
        <v>3840</v>
      </c>
      <c r="E122" s="64">
        <f t="shared" ref="E122:E132" si="4">TRUNC(+D122*3.3058,-1)</f>
        <v>12690</v>
      </c>
    </row>
    <row r="123" spans="1:7" x14ac:dyDescent="0.3">
      <c r="A123" s="2">
        <v>2</v>
      </c>
      <c r="C123" s="38" t="s">
        <v>124</v>
      </c>
      <c r="D123" s="42">
        <v>0</v>
      </c>
      <c r="E123" s="65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5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TRUNC(9752,-1)</f>
        <v>9750</v>
      </c>
      <c r="E125" s="65">
        <f t="shared" si="4"/>
        <v>32230</v>
      </c>
    </row>
    <row r="126" spans="1:7" x14ac:dyDescent="0.3">
      <c r="A126" s="2">
        <v>5</v>
      </c>
      <c r="C126" s="38" t="s">
        <v>53</v>
      </c>
      <c r="D126" s="42">
        <f>TRUNC(4799,-1)</f>
        <v>4790</v>
      </c>
      <c r="E126" s="65">
        <f t="shared" si="4"/>
        <v>15830</v>
      </c>
    </row>
    <row r="127" spans="1:7" x14ac:dyDescent="0.3">
      <c r="A127" s="2">
        <v>6</v>
      </c>
      <c r="C127" s="38" t="s">
        <v>56</v>
      </c>
      <c r="D127" s="42">
        <v>0</v>
      </c>
      <c r="E127" s="65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5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5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TRUNC(36356,-1)</f>
        <v>36350</v>
      </c>
      <c r="E130" s="65">
        <f t="shared" si="4"/>
        <v>120160</v>
      </c>
    </row>
    <row r="131" spans="1:7" x14ac:dyDescent="0.3">
      <c r="A131" s="2">
        <v>10</v>
      </c>
      <c r="C131" s="38" t="s">
        <v>148</v>
      </c>
      <c r="D131" s="42">
        <f>TRUNC(50156,-1)</f>
        <v>50150</v>
      </c>
      <c r="E131" s="65">
        <f t="shared" si="4"/>
        <v>165780</v>
      </c>
    </row>
    <row r="132" spans="1:7" ht="17.25" thickBot="1" x14ac:dyDescent="0.35">
      <c r="A132" s="2">
        <v>11</v>
      </c>
      <c r="C132" s="38" t="s">
        <v>47</v>
      </c>
      <c r="D132" s="43">
        <v>0</v>
      </c>
      <c r="E132" s="66">
        <f t="shared" si="4"/>
        <v>0</v>
      </c>
    </row>
    <row r="133" spans="1:7" x14ac:dyDescent="0.3">
      <c r="A133" s="2">
        <v>12</v>
      </c>
      <c r="C133" s="27" t="s">
        <v>112</v>
      </c>
      <c r="D133" s="55">
        <f>SUM(D122:D132)</f>
        <v>104880</v>
      </c>
      <c r="E133" s="39">
        <f>SUM(E122:E132)</f>
        <v>346690</v>
      </c>
    </row>
    <row r="134" spans="1:7" s="53" customFormat="1" x14ac:dyDescent="0.3">
      <c r="C134" s="54"/>
      <c r="D134" s="54"/>
      <c r="E134" s="54"/>
      <c r="F134" s="52"/>
      <c r="G134" s="52"/>
    </row>
    <row r="135" spans="1:7" s="53" customFormat="1" ht="17.25" thickBot="1" x14ac:dyDescent="0.35">
      <c r="B135" s="53" t="s">
        <v>243</v>
      </c>
      <c r="C135" s="53" t="s">
        <v>240</v>
      </c>
      <c r="D135" s="54" t="s">
        <v>234</v>
      </c>
      <c r="E135" s="54" t="s">
        <v>235</v>
      </c>
      <c r="F135" s="52"/>
      <c r="G135" s="52"/>
    </row>
    <row r="136" spans="1:7" x14ac:dyDescent="0.3">
      <c r="A136" s="2">
        <v>1</v>
      </c>
      <c r="C136" s="38" t="s">
        <v>131</v>
      </c>
      <c r="D136" s="58">
        <v>0</v>
      </c>
      <c r="E136" s="64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TRUNC(229,-1)</f>
        <v>220</v>
      </c>
      <c r="E137" s="65">
        <f t="shared" si="5"/>
        <v>720</v>
      </c>
    </row>
    <row r="138" spans="1:7" x14ac:dyDescent="0.3">
      <c r="A138" s="2">
        <v>3</v>
      </c>
      <c r="C138" s="38" t="s">
        <v>60</v>
      </c>
      <c r="D138" s="4">
        <v>0</v>
      </c>
      <c r="E138" s="65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5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TRUNC(254,-1)</f>
        <v>250</v>
      </c>
      <c r="E140" s="65">
        <f t="shared" si="5"/>
        <v>820</v>
      </c>
    </row>
    <row r="141" spans="1:7" x14ac:dyDescent="0.3">
      <c r="A141" s="2">
        <v>6</v>
      </c>
      <c r="C141" s="38" t="s">
        <v>59</v>
      </c>
      <c r="D141" s="42">
        <v>0</v>
      </c>
      <c r="E141" s="65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TRUNC(8661,-1)</f>
        <v>8660</v>
      </c>
      <c r="E142" s="65">
        <f t="shared" si="5"/>
        <v>28620</v>
      </c>
    </row>
    <row r="143" spans="1:7" x14ac:dyDescent="0.3">
      <c r="A143" s="2">
        <v>8</v>
      </c>
      <c r="C143" s="38" t="s">
        <v>62</v>
      </c>
      <c r="D143" s="42">
        <f>TRUNC(5615,-1)</f>
        <v>5610</v>
      </c>
      <c r="E143" s="65">
        <f t="shared" si="5"/>
        <v>18540</v>
      </c>
    </row>
    <row r="144" spans="1:7" x14ac:dyDescent="0.3">
      <c r="A144" s="2">
        <v>9</v>
      </c>
      <c r="C144" s="38" t="s">
        <v>63</v>
      </c>
      <c r="D144" s="42">
        <f>TRUNC(10822,-1)</f>
        <v>10820</v>
      </c>
      <c r="E144" s="65">
        <f t="shared" si="5"/>
        <v>35760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6">
        <f t="shared" si="5"/>
        <v>0</v>
      </c>
    </row>
    <row r="146" spans="1:7" x14ac:dyDescent="0.3">
      <c r="A146" s="2">
        <v>11</v>
      </c>
      <c r="C146" s="27" t="s">
        <v>112</v>
      </c>
      <c r="D146" s="55">
        <f>SUM(D136:D145)</f>
        <v>25560</v>
      </c>
      <c r="E146" s="39">
        <f>SUM(E136:E145)</f>
        <v>84460</v>
      </c>
    </row>
    <row r="147" spans="1:7" s="53" customFormat="1" x14ac:dyDescent="0.3">
      <c r="C147" s="54"/>
      <c r="D147" s="54"/>
      <c r="E147" s="54"/>
      <c r="F147" s="52"/>
      <c r="G147" s="52"/>
    </row>
    <row r="148" spans="1:7" s="53" customFormat="1" ht="17.25" thickBot="1" x14ac:dyDescent="0.35">
      <c r="B148" s="53" t="s">
        <v>244</v>
      </c>
      <c r="C148" s="53" t="s">
        <v>240</v>
      </c>
      <c r="D148" s="54" t="s">
        <v>234</v>
      </c>
      <c r="E148" s="54" t="s">
        <v>235</v>
      </c>
      <c r="F148" s="52"/>
      <c r="G148" s="52"/>
    </row>
    <row r="149" spans="1:7" x14ac:dyDescent="0.3">
      <c r="A149" s="2">
        <v>1</v>
      </c>
      <c r="C149" s="38" t="s">
        <v>48</v>
      </c>
      <c r="D149" s="40">
        <f>TRUNC(5475+4784,-1)</f>
        <v>10250</v>
      </c>
      <c r="E149" s="64">
        <f>TRUNC(+D149*3.3058,-1)</f>
        <v>33880</v>
      </c>
      <c r="F149" s="2" t="s">
        <v>95</v>
      </c>
    </row>
    <row r="150" spans="1:7" x14ac:dyDescent="0.3">
      <c r="A150" s="2">
        <v>2</v>
      </c>
      <c r="C150" s="38" t="s">
        <v>49</v>
      </c>
      <c r="D150" s="42">
        <f>TRUNC(13687,-1)</f>
        <v>13680</v>
      </c>
      <c r="E150" s="65">
        <f>TRUNC(+D150*3.3058,-1)</f>
        <v>45220</v>
      </c>
      <c r="F150" s="2" t="s">
        <v>255</v>
      </c>
    </row>
    <row r="151" spans="1:7" x14ac:dyDescent="0.3">
      <c r="A151" s="2">
        <v>3</v>
      </c>
      <c r="C151" s="38" t="s">
        <v>50</v>
      </c>
      <c r="D151" s="42">
        <v>0</v>
      </c>
      <c r="E151" s="65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TRUNC(45299+228+8602,-1)</f>
        <v>54120</v>
      </c>
      <c r="E152" s="65">
        <f>TRUNC(+D152*3.3058,-1)</f>
        <v>178900</v>
      </c>
      <c r="F152" s="59" t="s">
        <v>256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6">
        <f>TRUNC(+D153*3.3058,-1)</f>
        <v>0</v>
      </c>
      <c r="F153" s="59"/>
    </row>
    <row r="154" spans="1:7" x14ac:dyDescent="0.3">
      <c r="A154" s="2">
        <v>6</v>
      </c>
      <c r="C154" s="27" t="s">
        <v>112</v>
      </c>
      <c r="D154" s="55">
        <f>SUM(D149:D153)</f>
        <v>78050</v>
      </c>
      <c r="E154" s="39">
        <f>SUM(E149:E153)</f>
        <v>258000</v>
      </c>
    </row>
    <row r="155" spans="1:7" s="53" customFormat="1" x14ac:dyDescent="0.3">
      <c r="C155" s="54"/>
      <c r="D155" s="54"/>
      <c r="E155" s="54"/>
      <c r="F155" s="52"/>
      <c r="G155" s="52"/>
    </row>
    <row r="156" spans="1:7" s="53" customFormat="1" ht="17.25" thickBot="1" x14ac:dyDescent="0.35">
      <c r="B156" s="53" t="s">
        <v>245</v>
      </c>
      <c r="C156" s="53" t="s">
        <v>240</v>
      </c>
      <c r="D156" s="54" t="s">
        <v>234</v>
      </c>
      <c r="E156" s="54" t="s">
        <v>235</v>
      </c>
      <c r="F156" s="52"/>
      <c r="G156" s="52"/>
    </row>
    <row r="157" spans="1:7" x14ac:dyDescent="0.3">
      <c r="A157" s="2">
        <v>1</v>
      </c>
      <c r="C157" s="38" t="s">
        <v>51</v>
      </c>
      <c r="D157" s="40">
        <f>TRUNC(56452,-1)</f>
        <v>56450</v>
      </c>
      <c r="E157" s="64">
        <f>TRUNC(+D157*3.3058,-1)</f>
        <v>186610</v>
      </c>
    </row>
    <row r="158" spans="1:7" x14ac:dyDescent="0.3">
      <c r="A158" s="2">
        <v>2</v>
      </c>
      <c r="C158" s="38" t="s">
        <v>52</v>
      </c>
      <c r="D158" s="42">
        <v>0</v>
      </c>
      <c r="E158" s="65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5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6">
        <f>TRUNC(+D160*3.3058,-1)</f>
        <v>0</v>
      </c>
    </row>
    <row r="161" spans="1:5" x14ac:dyDescent="0.3">
      <c r="A161" s="2">
        <v>5</v>
      </c>
      <c r="C161" s="27" t="s">
        <v>112</v>
      </c>
      <c r="D161" s="55">
        <f>SUM(D157:D160)</f>
        <v>56450</v>
      </c>
      <c r="E161" s="55">
        <f>SUM(E157:E160)</f>
        <v>186610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2020-12-07T10:17:39Z</dcterms:modified>
</cp:coreProperties>
</file>