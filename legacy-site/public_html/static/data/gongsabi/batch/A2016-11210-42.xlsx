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4" i="4" l="1"/>
  <c r="D152" i="4"/>
  <c r="D151" i="4"/>
  <c r="D150" i="4"/>
  <c r="D149" i="4"/>
  <c r="D144" i="4"/>
  <c r="D142" i="4"/>
  <c r="D139" i="4"/>
  <c r="D132" i="4"/>
  <c r="D131" i="4"/>
  <c r="D130" i="4"/>
  <c r="D128" i="4"/>
  <c r="D125" i="4"/>
  <c r="D124" i="4"/>
  <c r="D122" i="4"/>
  <c r="D118" i="4"/>
  <c r="D117" i="4"/>
  <c r="D116" i="4"/>
  <c r="D105" i="4"/>
  <c r="D104" i="4"/>
  <c r="D103" i="4"/>
  <c r="D102" i="4"/>
  <c r="D101" i="4"/>
  <c r="D100" i="4"/>
  <c r="D94" i="4"/>
  <c r="D93" i="4"/>
  <c r="D91" i="4"/>
  <c r="D89" i="4"/>
  <c r="D73" i="4"/>
  <c r="D72" i="4"/>
  <c r="D69" i="4"/>
  <c r="D63" i="4"/>
  <c r="D59" i="4"/>
  <c r="D58" i="4"/>
  <c r="D53" i="4"/>
  <c r="D52" i="4"/>
  <c r="D50" i="4"/>
  <c r="D49" i="4"/>
  <c r="D48" i="4"/>
  <c r="D46" i="4"/>
  <c r="D45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<sst xmlns="http://schemas.openxmlformats.org/spreadsheetml/2006/main" count="389" uniqueCount="264">
  <si>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</si>
  <si>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</si>
  <si>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</si>
  <si>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</si>
  <si>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</si>
  <si>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</si>
  <si>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</si>
  <si>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</si>
  <si>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</si>
  <si>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</si>
  <si>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</si>
  <si>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</si>
  <si>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</si>
  <si>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</si>
  <si>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</si>
  <si>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</si>
  <si>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</si>
  <si>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</si>
  <si>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</si>
  <si>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</si>
  <si>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</si>
  <si>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</si>
  <si>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</si>
  <si>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</si>
  <si>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</si>
  <si>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</si>
  <si>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</si>
  <si>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</si>
  <si>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</si>
  <si>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</si>
  <si>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</si>
  <si>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</si>
  <si>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</si>
  <si>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</si>
  <si>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</si>
  <si>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</si>
  <si>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</si>
  <si>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</si>
  <si>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</si>
  <si>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</si>
  <si>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</si>
  <si>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</si>
  <si>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</si>
  <si>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</si>
  <si>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</si>
  <si>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</si>
  <si>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</si>
  <si>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</si>
  <si>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</si>
  <si>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</si>
  <si>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</si>
  <si>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</si>
  <si>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</si>
  <si>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</si>
  <si>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</si>
  <si>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</si>
  <si>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</si>
  <si>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</si>
  <si>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</si>
  <si>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</si>
  <si>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</si>
  <si>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</si>
  <si>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</si>
  <si>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</si>
  <si>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</si>
  <si>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</si>
  <si>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</si>
  <si>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</si>
  <si>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</si>
  <si>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</si>
  <si>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</si>
  <si>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</si>
  <si>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</si>
  <si>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</si>
  <si>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</si>
  <si>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</si>
  <si>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</si>
  <si>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</si>
  <si>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</si>
  <si>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</si>
  <si>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</si>
  <si>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</si>
  <si>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</si>
  <si>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</si>
  <si>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</si>
  <si>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</si>
  <si>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</si>
  <si>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</si>
  <si>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</si>
  <si>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</si>
  <si>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</si>
  <si>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</si>
  <si>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</si>
  <si>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</si>
  <si>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</si>
  <si>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</si>
  <si>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</si>
  <si>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</si>
  <si>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</si>
  <si>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</si>
  <si>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</si>
  <si>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</si>
  <si>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</si>
  <si>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</si>
  <si>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</si>
  <si>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</si>
  <si>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</si>
  <si>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</si>
  <si>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</si>
  <si>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</si>
  <si>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</si>
  <si>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</si>
  <si>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</si>
  <si>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</si>
  <si>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</si>
  <si>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</si>
  <si>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</si>
  <si>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</si>
  <si>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</si>
  <si>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</si>
  <si>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</si>
  <si>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</si>
  <si>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</si>
  <si>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</si>
  <si>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</si>
  <si>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</si>
  <si>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</si>
  <si>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</si>
  <si>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</si>
  <si>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</si>
  <si>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</si>
  <si>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</si>
  <si>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</si>
  <si>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</si>
  <si>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</si>
  <si>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</si>
  <si>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</si>
  <si>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</si>
  <si>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</si>
  <si>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</si>
  <si>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</si>
  <si>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</si>
  <si>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</si>
  <si>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</si>
  <si>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</si>
  <si>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</si>
  <si>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</si>
  <si>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</si>
  <si>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</si>
  <si>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</si>
  <si>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</si>
  <si>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</si>
  <si>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</si>
  <si>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</si>
  <si>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</si>
  <si>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</si>
  <si>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</si>
  <si>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</si>
  <si>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</si>
  <si>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</si>
  <si>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</si>
  <si>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</si>
  <si>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</si>
  <si>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</si>
  <si>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</si>
  <si>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</si>
  <si>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</si>
  <si>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</si>
  <si>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</si>
  <si>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</si>
  <si>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</si>
  <si>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</si>
  <si>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</si>
  <si>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</si>
  <si>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</si>
  <si>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</si>
  <si>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</si>
  <si>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</si>
  <si>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</si>
  <si>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</si>
  <si>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</si>
  <si>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</si>
  <si>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</si>
  <si>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</si>
  <si>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</si>
  <si>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</si>
  <si>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</si>
  <si>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</si>
  <si>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</si>
  <si>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</si>
  <si>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</si>
  <si>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</si>
  <si>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</si>
  <si>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</si>
  <si>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</si>
  <si>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</si>
  <si>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</si>
  <si>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</si>
  <si>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</si>
  <si>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</si>
  <si>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</si>
  <si>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</si>
  <si>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</si>
  <si>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</si>
  <si>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</si>
  <si>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</si>
  <si>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</si>
  <si>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</si>
  <si>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</si>
  <si>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</si>
  <si>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</si>
  <si>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</si>
  <si>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</si>
  <si>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</si>
  <si>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</si>
  <si>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</si>
  <si>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</si>
  <si>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</si>
  <si>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</si>
  <si>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</si>
  <si>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</si>
  <si>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</si>
  <si>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</si>
  <si>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</si>
  <si>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</si>
  <si>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</si>
  <si>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</si>
  <si>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</si>
  <si>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</si>
  <si>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</si>
  <si>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</si>
  <si>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</si>
  <si>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</si>
  <si>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</si>
  <si>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</si>
  <si>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</si>
  <si>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</si>
  <si>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</si>
  <si>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</si>
  <si>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</si>
  <si>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</si>
  <si>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</si>
  <si>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</si>
  <si>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</si>
  <si>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</si>
  <si>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</si>
  <si>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</si>
  <si>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</si>
  <si>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</si>
  <si>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</si>
  <si>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</si>
  <si>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</si>
  <si>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</si>
  <si>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교육연구</t>
  </si>
  <si>
    <t>혁신제약임상연구동 신축공사</t>
    <phoneticPr fontId="2" type="noConversion"/>
  </si>
  <si>
    <t>강원도</t>
  </si>
  <si>
    <t>폐기물처리비, 골재비및운반비, 작업부산물, 기타공사</t>
    <phoneticPr fontId="2" type="noConversion"/>
  </si>
  <si>
    <t>CATV 및 TV 설비공사</t>
    <phoneticPr fontId="2" type="noConversion"/>
  </si>
  <si>
    <t>상수도공사, 사급자재비, 운반비, 기타고앗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</si>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</sst>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4598.2</v>
      </c>
      <c r="D7" s="36">
        <f>+C7/3.3058</f>
        <v>1390.9492407284167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1103280</v>
      </c>
      <c r="E25" s="59">
        <f t="shared" si="0"/>
        <v>3647220</v>
      </c>
    </row>
    <row r="26" spans="1:5" x14ac:dyDescent="0.3">
      <c r="B26" s="2">
        <v>3</v>
      </c>
      <c r="C26" s="35" t="s">
        <v>95</v>
      </c>
      <c r="D26" s="45">
        <f>+D66</f>
        <v>24250</v>
      </c>
      <c r="E26" s="59">
        <f t="shared" si="0"/>
        <v>80160</v>
      </c>
    </row>
    <row r="27" spans="1:5" x14ac:dyDescent="0.3">
      <c r="B27" s="2">
        <v>4</v>
      </c>
      <c r="C27" s="35" t="s">
        <v>96</v>
      </c>
      <c r="D27" s="45">
        <f>+D95</f>
        <v>221520</v>
      </c>
      <c r="E27" s="59">
        <f t="shared" si="0"/>
        <v>732300</v>
      </c>
    </row>
    <row r="28" spans="1:5" x14ac:dyDescent="0.3">
      <c r="B28" s="2">
        <v>5</v>
      </c>
      <c r="C28" s="35" t="s">
        <v>97</v>
      </c>
      <c r="D28" s="45">
        <f>+D119</f>
        <v>221320</v>
      </c>
      <c r="E28" s="59">
        <f t="shared" si="0"/>
        <v>731630</v>
      </c>
    </row>
    <row r="29" spans="1:5" x14ac:dyDescent="0.3">
      <c r="B29" s="2">
        <v>6</v>
      </c>
      <c r="C29" s="35" t="s">
        <v>98</v>
      </c>
      <c r="D29" s="45">
        <f>+D133</f>
        <v>47330</v>
      </c>
      <c r="E29" s="59">
        <f t="shared" si="0"/>
        <v>156460</v>
      </c>
    </row>
    <row r="30" spans="1:5" x14ac:dyDescent="0.3">
      <c r="B30" s="2">
        <v>7</v>
      </c>
      <c r="C30" s="35" t="s">
        <v>99</v>
      </c>
      <c r="D30" s="45">
        <f>+D146</f>
        <v>23260</v>
      </c>
      <c r="E30" s="59">
        <f t="shared" si="0"/>
        <v>76890</v>
      </c>
    </row>
    <row r="31" spans="1:5" x14ac:dyDescent="0.3">
      <c r="B31" s="2">
        <v>8</v>
      </c>
      <c r="C31" s="35" t="s">
        <v>100</v>
      </c>
      <c r="D31" s="45">
        <f>+D154</f>
        <v>87910</v>
      </c>
      <c r="E31" s="59">
        <f t="shared" si="0"/>
        <v>290610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475430</v>
      </c>
      <c r="E33" s="60">
        <f t="shared" si="0"/>
        <v>1571670</v>
      </c>
    </row>
    <row r="34" spans="1:7" x14ac:dyDescent="0.3">
      <c r="C34" s="35" t="s">
        <v>112</v>
      </c>
      <c r="D34" s="44">
        <f>SUM(D24:D33)</f>
        <v>2204300</v>
      </c>
      <c r="E34" s="44">
        <f>SUM(E24:E33)</f>
        <v>7286940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TRUNC(96598,-1)</f>
        <v>96590</v>
      </c>
      <c r="E40" s="62">
        <f t="shared" ref="E40:E59" si="1">TRUNC(+D40*3.3058,-1)</f>
        <v>319300</v>
      </c>
    </row>
    <row r="41" spans="1:7" x14ac:dyDescent="0.3">
      <c r="A41" s="2">
        <v>2</v>
      </c>
      <c r="C41" s="38" t="s">
        <v>13</v>
      </c>
      <c r="D41" s="42">
        <f>TRUNC(193643,-1)</f>
        <v>193640</v>
      </c>
      <c r="E41" s="63">
        <f t="shared" si="1"/>
        <v>640130</v>
      </c>
    </row>
    <row r="42" spans="1:7" x14ac:dyDescent="0.3">
      <c r="A42" s="2">
        <v>3</v>
      </c>
      <c r="C42" s="38" t="s">
        <v>14</v>
      </c>
      <c r="D42" s="42">
        <f>TRUNC(2595,-1)</f>
        <v>2590</v>
      </c>
      <c r="E42" s="63">
        <f t="shared" si="1"/>
        <v>8560</v>
      </c>
    </row>
    <row r="43" spans="1:7" x14ac:dyDescent="0.3">
      <c r="A43" s="2">
        <v>4</v>
      </c>
      <c r="C43" s="38" t="s">
        <v>16</v>
      </c>
      <c r="D43" s="42">
        <v>29170</v>
      </c>
      <c r="E43" s="63">
        <f t="shared" si="1"/>
        <v>96430</v>
      </c>
    </row>
    <row r="44" spans="1:7" x14ac:dyDescent="0.3">
      <c r="A44" s="2">
        <v>5</v>
      </c>
      <c r="C44" s="38" t="s">
        <v>17</v>
      </c>
      <c r="D44" s="42">
        <f>TRUNC(24736,-1)</f>
        <v>24730</v>
      </c>
      <c r="E44" s="63">
        <f t="shared" si="1"/>
        <v>81750</v>
      </c>
    </row>
    <row r="45" spans="1:7" x14ac:dyDescent="0.3">
      <c r="A45" s="2">
        <v>6</v>
      </c>
      <c r="C45" s="38" t="s">
        <v>18</v>
      </c>
      <c r="D45" s="42">
        <f>TRUNC(19379,-1)</f>
        <v>19370</v>
      </c>
      <c r="E45" s="63">
        <f t="shared" si="1"/>
        <v>64030</v>
      </c>
    </row>
    <row r="46" spans="1:7" x14ac:dyDescent="0.3">
      <c r="A46" s="2">
        <v>7</v>
      </c>
      <c r="C46" s="38" t="s">
        <v>19</v>
      </c>
      <c r="D46" s="42">
        <f>TRUNC(31338,-1)</f>
        <v>31330</v>
      </c>
      <c r="E46" s="63">
        <f t="shared" si="1"/>
        <v>103570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TRUNC(183894,-1)</f>
        <v>183890</v>
      </c>
      <c r="E48" s="63">
        <f t="shared" si="1"/>
        <v>607900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TRUNC(20697,-1)</f>
        <v>20690</v>
      </c>
      <c r="E49" s="63">
        <f t="shared" si="1"/>
        <v>68390</v>
      </c>
    </row>
    <row r="50" spans="1:7" x14ac:dyDescent="0.3">
      <c r="A50" s="2">
        <v>11</v>
      </c>
      <c r="C50" s="38" t="s">
        <v>155</v>
      </c>
      <c r="D50" s="42">
        <f>TRUNC(100003,-1)</f>
        <v>100000</v>
      </c>
      <c r="E50" s="63">
        <f t="shared" si="1"/>
        <v>330580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TRUNC(22951,-1)</f>
        <v>22950</v>
      </c>
      <c r="E52" s="63">
        <f t="shared" si="1"/>
        <v>75860</v>
      </c>
    </row>
    <row r="53" spans="1:7" x14ac:dyDescent="0.3">
      <c r="A53" s="2">
        <v>14</v>
      </c>
      <c r="C53" s="38" t="s">
        <v>25</v>
      </c>
      <c r="D53" s="42">
        <f>TRUNC(87038,-1)</f>
        <v>87030</v>
      </c>
      <c r="E53" s="63">
        <f t="shared" si="1"/>
        <v>287700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TRUNC(1004+9743-426+2910,-1)</f>
        <v>13230</v>
      </c>
      <c r="E58" s="63">
        <f t="shared" si="1"/>
        <v>43730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TRUNC(278079,-1)</f>
        <v>278070</v>
      </c>
      <c r="E59" s="64">
        <f t="shared" si="1"/>
        <v>919240</v>
      </c>
    </row>
    <row r="60" spans="1:7" x14ac:dyDescent="0.3">
      <c r="A60" s="2">
        <v>21</v>
      </c>
      <c r="C60" s="27" t="s">
        <v>112</v>
      </c>
      <c r="D60" s="39">
        <f>SUM(D40:D59)</f>
        <v>1103280</v>
      </c>
      <c r="E60" s="39">
        <f>SUM(E40:E59)</f>
        <v>3647170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TRUNC(24252,-1)</f>
        <v>24250</v>
      </c>
      <c r="E63" s="62">
        <f>TRUNC(+D63*3.3058,-1)</f>
        <v>80160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24250</v>
      </c>
      <c r="E66" s="65">
        <f>SUM(E63:E65)</f>
        <v>80160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TRUNC(15922,-1)</f>
        <v>15920</v>
      </c>
      <c r="E69" s="62">
        <f t="shared" ref="E69:E94" si="2">TRUNC(+D69*3.3058,-1)</f>
        <v>52620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4830</v>
      </c>
      <c r="E71" s="63">
        <f t="shared" si="2"/>
        <v>15960</v>
      </c>
    </row>
    <row r="72" spans="1:7" x14ac:dyDescent="0.3">
      <c r="A72" s="2">
        <v>4</v>
      </c>
      <c r="C72" s="38" t="s">
        <v>33</v>
      </c>
      <c r="D72" s="42">
        <f>TRUNC(4444,-1)</f>
        <v>4440</v>
      </c>
      <c r="E72" s="63">
        <f t="shared" si="2"/>
        <v>14670</v>
      </c>
    </row>
    <row r="73" spans="1:7" x14ac:dyDescent="0.3">
      <c r="A73" s="2">
        <v>5</v>
      </c>
      <c r="C73" s="38" t="s">
        <v>34</v>
      </c>
      <c r="D73" s="42">
        <f>TRUNC(49392,-1)</f>
        <v>49390</v>
      </c>
      <c r="E73" s="63">
        <f t="shared" si="2"/>
        <v>163270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TRUNC(10466,-1)</f>
        <v>10460</v>
      </c>
      <c r="E89" s="63">
        <f t="shared" si="2"/>
        <v>34570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TRUNC(12164,-1)</f>
        <v>12160</v>
      </c>
      <c r="E91" s="63">
        <f t="shared" si="2"/>
        <v>40190</v>
      </c>
    </row>
    <row r="92" spans="1:7" x14ac:dyDescent="0.3">
      <c r="A92" s="2">
        <v>24</v>
      </c>
      <c r="C92" s="38" t="s">
        <v>38</v>
      </c>
      <c r="D92" s="42">
        <v>6380</v>
      </c>
      <c r="E92" s="63">
        <f t="shared" si="2"/>
        <v>21090</v>
      </c>
    </row>
    <row r="93" spans="1:7" x14ac:dyDescent="0.3">
      <c r="A93" s="2">
        <v>25</v>
      </c>
      <c r="C93" s="38" t="s">
        <v>148</v>
      </c>
      <c r="D93" s="42">
        <f>TRUNC(117759,-1)</f>
        <v>117750</v>
      </c>
      <c r="E93" s="63">
        <f t="shared" si="2"/>
        <v>389250</v>
      </c>
    </row>
    <row r="94" spans="1:7" ht="17.25" thickBot="1" x14ac:dyDescent="0.35">
      <c r="A94" s="2">
        <v>26</v>
      </c>
      <c r="C94" s="38" t="s">
        <v>47</v>
      </c>
      <c r="D94" s="43">
        <f>TRUNC(191,-1)</f>
        <v>190</v>
      </c>
      <c r="E94" s="64">
        <f t="shared" si="2"/>
        <v>620</v>
      </c>
    </row>
    <row r="95" spans="1:7" x14ac:dyDescent="0.3">
      <c r="A95" s="2">
        <v>27</v>
      </c>
      <c r="C95" s="27" t="s">
        <v>112</v>
      </c>
      <c r="D95" s="39">
        <f>SUM(D69:D94)</f>
        <v>221520</v>
      </c>
      <c r="E95" s="39">
        <f>SUM(E69:E94)</f>
        <v>732240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12620</v>
      </c>
      <c r="E98" s="62">
        <f t="shared" ref="E98:E118" si="3">TRUNC(+D98*3.3058,-1)</f>
        <v>41710</v>
      </c>
    </row>
    <row r="99" spans="1:7" x14ac:dyDescent="0.3">
      <c r="A99" s="2">
        <v>2</v>
      </c>
      <c r="C99" s="38" t="s">
        <v>40</v>
      </c>
      <c r="D99" s="42">
        <v>5960</v>
      </c>
      <c r="E99" s="63">
        <f t="shared" si="3"/>
        <v>19700</v>
      </c>
    </row>
    <row r="100" spans="1:7" x14ac:dyDescent="0.3">
      <c r="A100" s="2">
        <v>3</v>
      </c>
      <c r="C100" s="38" t="s">
        <v>41</v>
      </c>
      <c r="D100" s="42">
        <f>TRUNC(26114,-1)</f>
        <v>26110</v>
      </c>
      <c r="E100" s="63">
        <f t="shared" si="3"/>
        <v>86310</v>
      </c>
    </row>
    <row r="101" spans="1:7" x14ac:dyDescent="0.3">
      <c r="A101" s="2">
        <v>4</v>
      </c>
      <c r="C101" s="38" t="s">
        <v>42</v>
      </c>
      <c r="D101" s="42">
        <f>TRUNC(5747,-1)</f>
        <v>5740</v>
      </c>
      <c r="E101" s="63">
        <f t="shared" si="3"/>
        <v>18970</v>
      </c>
    </row>
    <row r="102" spans="1:7" x14ac:dyDescent="0.3">
      <c r="A102" s="2">
        <v>5</v>
      </c>
      <c r="C102" s="38" t="s">
        <v>43</v>
      </c>
      <c r="D102" s="42">
        <f>TRUNC(12384,-1)</f>
        <v>12380</v>
      </c>
      <c r="E102" s="63">
        <f t="shared" si="3"/>
        <v>40920</v>
      </c>
    </row>
    <row r="103" spans="1:7" x14ac:dyDescent="0.3">
      <c r="A103" s="2">
        <v>6</v>
      </c>
      <c r="C103" s="38" t="s">
        <v>44</v>
      </c>
      <c r="D103" s="42">
        <f>TRUNC(3787,-1)</f>
        <v>3780</v>
      </c>
      <c r="E103" s="63">
        <f t="shared" si="3"/>
        <v>12490</v>
      </c>
    </row>
    <row r="104" spans="1:7" x14ac:dyDescent="0.3">
      <c r="A104" s="2">
        <v>7</v>
      </c>
      <c r="C104" s="38" t="s">
        <v>45</v>
      </c>
      <c r="D104" s="42">
        <f>TRUNC(3993,-1)</f>
        <v>3990</v>
      </c>
      <c r="E104" s="63">
        <f t="shared" si="3"/>
        <v>13190</v>
      </c>
    </row>
    <row r="105" spans="1:7" x14ac:dyDescent="0.3">
      <c r="A105" s="2">
        <v>8</v>
      </c>
      <c r="C105" s="38" t="s">
        <v>46</v>
      </c>
      <c r="D105" s="42">
        <f>TRUNC(8154,-1)</f>
        <v>8150</v>
      </c>
      <c r="E105" s="63">
        <f t="shared" si="3"/>
        <v>26940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3330</v>
      </c>
      <c r="E114" s="63">
        <f t="shared" si="3"/>
        <v>11000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TRUNC(20912,-1)</f>
        <v>20910</v>
      </c>
      <c r="E116" s="63">
        <f t="shared" si="3"/>
        <v>69120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TRUNC(118644,-1)</f>
        <v>118640</v>
      </c>
      <c r="E117" s="63">
        <f t="shared" si="3"/>
        <v>392200</v>
      </c>
    </row>
    <row r="118" spans="1:7" ht="17.25" thickBot="1" x14ac:dyDescent="0.35">
      <c r="A118" s="2">
        <v>21</v>
      </c>
      <c r="C118" s="38" t="s">
        <v>47</v>
      </c>
      <c r="D118" s="43">
        <f>TRUNC(-293,-1)</f>
        <v>-290</v>
      </c>
      <c r="E118" s="64">
        <f t="shared" si="3"/>
        <v>-950</v>
      </c>
    </row>
    <row r="119" spans="1:7" x14ac:dyDescent="0.3">
      <c r="A119" s="2">
        <v>22</v>
      </c>
      <c r="C119" s="27" t="s">
        <v>112</v>
      </c>
      <c r="D119" s="39">
        <f>SUM(D98:D118)</f>
        <v>221320</v>
      </c>
      <c r="E119" s="39">
        <f>SUM(E98:E118)</f>
        <v>731600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TRUNC(1693,-1)</f>
        <v>1690</v>
      </c>
      <c r="E122" s="62">
        <f t="shared" ref="E122:E132" si="4">TRUNC(+D122*3.3058,-1)</f>
        <v>5580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TRUNC(969,-1)</f>
        <v>960</v>
      </c>
      <c r="E124" s="63">
        <f t="shared" si="4"/>
        <v>3170</v>
      </c>
    </row>
    <row r="125" spans="1:7" x14ac:dyDescent="0.3">
      <c r="A125" s="2">
        <v>4</v>
      </c>
      <c r="C125" s="38" t="s">
        <v>138</v>
      </c>
      <c r="D125" s="42">
        <f>TRUNC(6326,-1)</f>
        <v>6320</v>
      </c>
      <c r="E125" s="63">
        <f t="shared" si="4"/>
        <v>20890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TRUNC(3971,-1)</f>
        <v>3970</v>
      </c>
      <c r="E128" s="63">
        <f t="shared" si="4"/>
        <v>13120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TRUNC(14961,-1)</f>
        <v>14960</v>
      </c>
      <c r="E130" s="63">
        <f t="shared" si="4"/>
        <v>49450</v>
      </c>
    </row>
    <row r="131" spans="1:7" x14ac:dyDescent="0.3">
      <c r="A131" s="2">
        <v>10</v>
      </c>
      <c r="C131" s="38" t="s">
        <v>148</v>
      </c>
      <c r="D131" s="42">
        <f>TRUNC(15595,-1)</f>
        <v>15590</v>
      </c>
      <c r="E131" s="63">
        <f t="shared" si="4"/>
        <v>51530</v>
      </c>
    </row>
    <row r="132" spans="1:7" ht="18" thickBot="1" x14ac:dyDescent="0.35">
      <c r="A132" s="2">
        <v>11</v>
      </c>
      <c r="C132" s="38" t="s">
        <v>47</v>
      </c>
      <c r="D132" s="43">
        <f>TRUNC(3413+431,-1)</f>
        <v>3840</v>
      </c>
      <c r="E132" s="64">
        <f t="shared" si="4"/>
        <v>12690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47330</v>
      </c>
      <c r="E133" s="39">
        <f>SUM(E122:E132)</f>
        <v>156430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TRUNC(2087,-1)</f>
        <v>2080</v>
      </c>
      <c r="E139" s="63">
        <f t="shared" si="5"/>
        <v>6870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TRUNC(5922,-1)</f>
        <v>5920</v>
      </c>
      <c r="E142" s="63">
        <f t="shared" si="5"/>
        <v>19570</v>
      </c>
    </row>
    <row r="143" spans="1:7" x14ac:dyDescent="0.3">
      <c r="A143" s="2">
        <v>8</v>
      </c>
      <c r="C143" s="38" t="s">
        <v>62</v>
      </c>
      <c r="D143" s="42">
        <v>3030</v>
      </c>
      <c r="E143" s="63">
        <f t="shared" si="5"/>
        <v>10010</v>
      </c>
    </row>
    <row r="144" spans="1:7" x14ac:dyDescent="0.3">
      <c r="A144" s="2">
        <v>9</v>
      </c>
      <c r="C144" s="38" t="s">
        <v>63</v>
      </c>
      <c r="D144" s="42">
        <f>TRUNC(12235,-1)</f>
        <v>12230</v>
      </c>
      <c r="E144" s="63">
        <f t="shared" si="5"/>
        <v>40420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23260</v>
      </c>
      <c r="E146" s="39">
        <f>SUM(E136:E145)</f>
        <v>76870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TRUNC(5622+34721,-1)</f>
        <v>40340</v>
      </c>
      <c r="E149" s="62">
        <f>TRUNC(+D149*3.3058,-1)</f>
        <v>133350</v>
      </c>
    </row>
    <row r="150" spans="1:7" x14ac:dyDescent="0.3">
      <c r="A150" s="2">
        <v>2</v>
      </c>
      <c r="C150" s="38" t="s">
        <v>49</v>
      </c>
      <c r="D150" s="42">
        <f>TRUNC(8009,-1)</f>
        <v>8000</v>
      </c>
      <c r="E150" s="63">
        <f>TRUNC(+D150*3.3058,-1)</f>
        <v>26440</v>
      </c>
    </row>
    <row r="151" spans="1:7" x14ac:dyDescent="0.3">
      <c r="A151" s="2">
        <v>3</v>
      </c>
      <c r="C151" s="38" t="s">
        <v>50</v>
      </c>
      <c r="D151" s="42">
        <f>TRUNC(12436,-1)</f>
        <v>12430</v>
      </c>
      <c r="E151" s="63">
        <f>TRUNC(+D151*3.3058,-1)</f>
        <v>41090</v>
      </c>
    </row>
    <row r="152" spans="1:7" x14ac:dyDescent="0.3">
      <c r="A152" s="2">
        <v>4</v>
      </c>
      <c r="C152" s="38" t="s">
        <v>47</v>
      </c>
      <c r="D152" s="42">
        <f>TRUNC(1689+18452+204+6804,-1)</f>
        <v>27140</v>
      </c>
      <c r="E152" s="63">
        <f>TRUNC(+D152*3.3058,-1)</f>
        <v>89710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87910</v>
      </c>
      <c r="E154" s="39">
        <f>SUM(E149:E153)</f>
        <v>290590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2020-12-08T01:25:19Z</dcterms:modified>
</cp:coreProperties>
</file>