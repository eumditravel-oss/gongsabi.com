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4" i="4" l="1"/>
  <c r="D159" i="4" l="1"/>
  <c r="D158" i="4"/>
  <c r="D157" i="4"/>
  <c r="D152" i="4"/>
  <c r="D151" i="4"/>
  <c r="D150" i="4"/>
  <c r="D149" i="4"/>
  <c r="D144" i="4"/>
  <c r="D143" i="4"/>
  <c r="D139" i="4"/>
  <c r="D138" i="4"/>
  <c r="D141" i="4"/>
  <c r="D142" i="4"/>
  <c r="D140" i="4"/>
  <c r="D137" i="4"/>
  <c r="D132" i="4"/>
  <c r="D128" i="4"/>
  <c r="D124" i="4"/>
  <c r="D125" i="4"/>
  <c r="D122" i="4"/>
  <c r="D130" i="4"/>
  <c r="D105" i="4"/>
  <c r="D104" i="4"/>
  <c r="D102" i="4"/>
  <c r="D100" i="4"/>
  <c r="D99" i="4"/>
  <c r="D98" i="4"/>
  <c r="D116" i="4"/>
  <c r="D92" i="4"/>
  <c r="D91" i="4"/>
  <c r="D90" i="4"/>
  <c r="D89" i="4"/>
  <c r="D73" i="4"/>
  <c r="D72" i="4"/>
  <c r="D70" i="4"/>
  <c r="D69" i="4"/>
  <c r="D63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D131" i="4"/>
  <c r="D117" i="4"/>
  <c r="D59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61" i="4" l="1"/>
  <c r="E154" i="4"/>
  <c r="E146" i="4"/>
  <c r="E133" i="4"/>
  <c r="E95" i="4"/>
  <c r="E60" i="4"/>
  <c r="E119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<sst xmlns="http://schemas.openxmlformats.org/spreadsheetml/2006/main" count="394" uniqueCount="269">
  <si>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</si>
  <si>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</si>
  <si>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</si>
  <si>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</si>
  <si>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</si>
  <si>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</si>
  <si>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</si>
  <si>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</si>
  <si>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</si>
  <si>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</si>
  <si>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</si>
  <si>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</si>
  <si>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</si>
  <si>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</si>
  <si>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</si>
  <si>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</si>
  <si>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</si>
  <si>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</si>
  <si>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</si>
  <si>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</si>
  <si>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</si>
  <si>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</si>
  <si>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</si>
  <si>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</si>
  <si>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</si>
  <si>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</si>
  <si>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</si>
  <si>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</si>
  <si>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</si>
  <si>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</si>
  <si>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</si>
  <si>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</si>
  <si>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</si>
  <si>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</si>
  <si>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</si>
  <si>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</si>
  <si>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</si>
  <si>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</si>
  <si>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</si>
  <si>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</si>
  <si>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</si>
  <si>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</si>
  <si>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</si>
  <si>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</si>
  <si>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</si>
  <si>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</si>
  <si>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</si>
  <si>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</si>
  <si>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</si>
  <si>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</si>
  <si>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</si>
  <si>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</si>
  <si>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</si>
  <si>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</si>
  <si>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</si>
  <si>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</si>
  <si>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</si>
  <si>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</si>
  <si>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</si>
  <si>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</si>
  <si>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</si>
  <si>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</si>
  <si>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</si>
  <si>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</si>
  <si>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</si>
  <si>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</si>
  <si>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</si>
  <si>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</si>
  <si>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</si>
  <si>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</si>
  <si>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</si>
  <si>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</si>
  <si>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</si>
  <si>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</si>
  <si>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</si>
  <si>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</si>
  <si>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</si>
  <si>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</si>
  <si>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</si>
  <si>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</si>
  <si>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</si>
  <si>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</si>
  <si>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</si>
  <si>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</si>
  <si>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</si>
  <si>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</si>
  <si>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</si>
  <si>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</si>
  <si>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</si>
  <si>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</si>
  <si>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</si>
  <si>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</si>
  <si>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</si>
  <si>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</si>
  <si>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</si>
  <si>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</si>
  <si>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</si>
  <si>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</si>
  <si>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</si>
  <si>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</si>
  <si>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</si>
  <si>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</si>
  <si>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</si>
  <si>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</si>
  <si>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</si>
  <si>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</si>
  <si>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</si>
  <si>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</si>
  <si>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</si>
  <si>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</si>
  <si>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</si>
  <si>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</si>
  <si>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</si>
  <si>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</si>
  <si>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</si>
  <si>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</si>
  <si>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</si>
  <si>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</si>
  <si>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</si>
  <si>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</si>
  <si>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</si>
  <si>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</si>
  <si>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</si>
  <si>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</si>
  <si>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</si>
  <si>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</si>
  <si>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</si>
  <si>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</si>
  <si>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</si>
  <si>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</si>
  <si>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</si>
  <si>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</si>
  <si>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</si>
  <si>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</si>
  <si>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</si>
  <si>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</si>
  <si>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</si>
  <si>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</si>
  <si>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</si>
  <si>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</si>
  <si>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</si>
  <si>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</si>
  <si>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</si>
  <si>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</si>
  <si>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</si>
  <si>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</si>
  <si>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</si>
  <si>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</si>
  <si>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</si>
  <si>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</si>
  <si>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</si>
  <si>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</si>
  <si>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</si>
  <si>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</si>
  <si>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</si>
  <si>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</si>
  <si>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</si>
  <si>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</si>
  <si>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</si>
  <si>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</si>
  <si>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</si>
  <si>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</si>
  <si>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</si>
  <si>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</si>
  <si>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</si>
  <si>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</si>
  <si>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</si>
  <si>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</si>
  <si>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</si>
  <si>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</si>
  <si>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</si>
  <si>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</si>
  <si>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</si>
  <si>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</si>
  <si>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</si>
  <si>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</si>
  <si>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</si>
  <si>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</si>
  <si>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</si>
  <si>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</si>
  <si>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</si>
  <si>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</si>
  <si>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</si>
  <si>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</si>
  <si>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</si>
  <si>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</si>
  <si>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</si>
  <si>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</si>
  <si>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</si>
  <si>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</si>
  <si>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</si>
  <si>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</si>
  <si>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</si>
  <si>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</si>
  <si>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</si>
  <si>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</si>
  <si>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</si>
  <si>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</si>
  <si>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</si>
  <si>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</si>
  <si>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</si>
  <si>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</si>
  <si>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</si>
  <si>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</si>
  <si>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</si>
  <si>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</si>
  <si>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</si>
  <si>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</si>
  <si>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</si>
  <si>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</si>
  <si>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</si>
  <si>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</si>
  <si>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</si>
  <si>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</si>
  <si>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</si>
  <si>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</si>
  <si>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</si>
  <si>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</si>
  <si>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</si>
  <si>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</si>
  <si>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</si>
  <si>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</si>
  <si>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</si>
  <si>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</si>
  <si>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</si>
  <si>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</si>
  <si>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</si>
  <si>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</si>
  <si>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</si>
  <si>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</si>
  <si>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</si>
  <si>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</si>
  <si>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</si>
  <si>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</si>
  <si>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</si>
  <si>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</si>
  <si>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</si>
  <si>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</si>
  <si>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</si>
  <si>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</si>
  <si>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</si>
  <si>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</si>
  <si>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</si>
  <si>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</si>
  <si>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</si>
  <si>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</si>
  <si>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</si>
  <si>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</si>
  <si>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메디컬융합소재실용화센터 신축공사</t>
    <phoneticPr fontId="2" type="noConversion"/>
  </si>
  <si>
    <t>공장</t>
  </si>
  <si>
    <t>경상도</t>
  </si>
  <si>
    <t>포장공사</t>
    <phoneticPr fontId="2" type="noConversion"/>
  </si>
  <si>
    <t>조경시설물</t>
    <phoneticPr fontId="2" type="noConversion"/>
  </si>
  <si>
    <t>우수공사,오수공사</t>
    <phoneticPr fontId="2" type="noConversion"/>
  </si>
  <si>
    <t>사급자재비,운반비</t>
    <phoneticPr fontId="2" type="noConversion"/>
  </si>
  <si>
    <t>옥외소화배관공사,펌프실배관공사,기타공사</t>
    <phoneticPr fontId="2" type="noConversion"/>
  </si>
  <si>
    <t>CATV 및 TV 설비공사</t>
    <phoneticPr fontId="2" type="noConversion"/>
  </si>
  <si>
    <t>CCTV설비공사</t>
    <phoneticPr fontId="2" type="noConversion"/>
  </si>
  <si>
    <t>전기인입 및 수변전 설비공사</t>
    <phoneticPr fontId="2" type="noConversion"/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</si>
  <si>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</si>
  <si>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</si>
  <si>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</si>
  <si>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기초공사,폐기물처리비,골재비및운반비,작업부산물,기타공사</t>
    <phoneticPr fontId="2" type="noConversion"/>
  </si>
  <si>
    <t>공조배관공사,난방배관공사,기타공사, 바닥난방공사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</si>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</sst>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266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7014.75</v>
      </c>
      <c r="D7" s="36">
        <f>+C7/3.3058</f>
        <v>2121.9523262145321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267</v>
      </c>
    </row>
    <row r="19" spans="1:5" x14ac:dyDescent="0.3">
      <c r="A19" s="2">
        <v>9</v>
      </c>
      <c r="B19" s="2" t="s">
        <v>268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992970</v>
      </c>
      <c r="E25" s="59">
        <f t="shared" si="0"/>
        <v>3282560</v>
      </c>
    </row>
    <row r="26" spans="1:5" x14ac:dyDescent="0.3">
      <c r="B26" s="2">
        <v>3</v>
      </c>
      <c r="C26" s="35" t="s">
        <v>95</v>
      </c>
      <c r="D26" s="45">
        <f>+D66</f>
        <v>6230</v>
      </c>
      <c r="E26" s="59">
        <f t="shared" si="0"/>
        <v>20590</v>
      </c>
    </row>
    <row r="27" spans="1:5" x14ac:dyDescent="0.3">
      <c r="B27" s="2">
        <v>4</v>
      </c>
      <c r="C27" s="35" t="s">
        <v>96</v>
      </c>
      <c r="D27" s="45">
        <f>+D95</f>
        <v>365330</v>
      </c>
      <c r="E27" s="59">
        <f t="shared" si="0"/>
        <v>1207700</v>
      </c>
    </row>
    <row r="28" spans="1:5" x14ac:dyDescent="0.3">
      <c r="B28" s="2">
        <v>5</v>
      </c>
      <c r="C28" s="35" t="s">
        <v>97</v>
      </c>
      <c r="D28" s="45">
        <f>+D119</f>
        <v>268820</v>
      </c>
      <c r="E28" s="59">
        <f t="shared" si="0"/>
        <v>888660</v>
      </c>
    </row>
    <row r="29" spans="1:5" x14ac:dyDescent="0.3">
      <c r="B29" s="2">
        <v>6</v>
      </c>
      <c r="C29" s="35" t="s">
        <v>98</v>
      </c>
      <c r="D29" s="45">
        <f>+D133</f>
        <v>90310</v>
      </c>
      <c r="E29" s="59">
        <f t="shared" si="0"/>
        <v>298540</v>
      </c>
    </row>
    <row r="30" spans="1:5" x14ac:dyDescent="0.3">
      <c r="B30" s="2">
        <v>7</v>
      </c>
      <c r="C30" s="35" t="s">
        <v>99</v>
      </c>
      <c r="D30" s="45">
        <f>+D146</f>
        <v>44540</v>
      </c>
      <c r="E30" s="59">
        <f t="shared" si="0"/>
        <v>147240</v>
      </c>
    </row>
    <row r="31" spans="1:5" x14ac:dyDescent="0.3">
      <c r="B31" s="2">
        <v>8</v>
      </c>
      <c r="C31" s="35" t="s">
        <v>100</v>
      </c>
      <c r="D31" s="45">
        <f>+D154</f>
        <v>43080</v>
      </c>
      <c r="E31" s="59">
        <f t="shared" si="0"/>
        <v>142410</v>
      </c>
    </row>
    <row r="32" spans="1:5" x14ac:dyDescent="0.3">
      <c r="B32" s="2">
        <v>9</v>
      </c>
      <c r="C32" s="35" t="s">
        <v>101</v>
      </c>
      <c r="D32" s="45">
        <f>+D161</f>
        <v>52330</v>
      </c>
      <c r="E32" s="59">
        <f t="shared" si="0"/>
        <v>172990</v>
      </c>
    </row>
    <row r="33" spans="1:7" x14ac:dyDescent="0.3">
      <c r="B33" s="2">
        <v>10</v>
      </c>
      <c r="C33" s="35" t="s">
        <v>154</v>
      </c>
      <c r="D33" s="53">
        <f>TRUNC(SUM(D24:D32)*0.275,-1)</f>
        <v>512490</v>
      </c>
      <c r="E33" s="60">
        <f t="shared" si="0"/>
        <v>1694180</v>
      </c>
    </row>
    <row r="34" spans="1:7" x14ac:dyDescent="0.3">
      <c r="C34" s="35" t="s">
        <v>112</v>
      </c>
      <c r="D34" s="44">
        <f>SUM(D24:D33)</f>
        <v>2376100</v>
      </c>
      <c r="E34" s="44">
        <f>SUM(E24:E33)</f>
        <v>7854870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264</v>
      </c>
      <c r="E39" s="67" t="s">
        <v>265</v>
      </c>
      <c r="G39" s="68"/>
    </row>
    <row r="40" spans="1:7" x14ac:dyDescent="0.3">
      <c r="A40" s="2">
        <v>1</v>
      </c>
      <c r="C40" s="38" t="s">
        <v>15</v>
      </c>
      <c r="D40" s="40">
        <f>TRUNC(49799,-1)</f>
        <v>49790</v>
      </c>
      <c r="E40" s="62">
        <f t="shared" ref="E40:E59" si="1">TRUNC(+D40*3.3058,-1)</f>
        <v>164590</v>
      </c>
    </row>
    <row r="41" spans="1:7" x14ac:dyDescent="0.3">
      <c r="A41" s="2">
        <v>2</v>
      </c>
      <c r="C41" s="38" t="s">
        <v>13</v>
      </c>
      <c r="D41" s="42">
        <f>TRUNC(165409,-1)</f>
        <v>165400</v>
      </c>
      <c r="E41" s="63">
        <f t="shared" si="1"/>
        <v>546770</v>
      </c>
    </row>
    <row r="42" spans="1:7" x14ac:dyDescent="0.3">
      <c r="A42" s="2">
        <v>3</v>
      </c>
      <c r="C42" s="38" t="s">
        <v>14</v>
      </c>
      <c r="D42" s="42">
        <f>TRUNC(1606,-1)</f>
        <v>1600</v>
      </c>
      <c r="E42" s="63">
        <f t="shared" si="1"/>
        <v>5280</v>
      </c>
    </row>
    <row r="43" spans="1:7" x14ac:dyDescent="0.3">
      <c r="A43" s="2">
        <v>4</v>
      </c>
      <c r="C43" s="38" t="s">
        <v>16</v>
      </c>
      <c r="D43" s="42">
        <f>TRUNC(12328,-1)</f>
        <v>12320</v>
      </c>
      <c r="E43" s="63">
        <f t="shared" si="1"/>
        <v>40720</v>
      </c>
    </row>
    <row r="44" spans="1:7" x14ac:dyDescent="0.3">
      <c r="A44" s="2">
        <v>5</v>
      </c>
      <c r="C44" s="38" t="s">
        <v>17</v>
      </c>
      <c r="D44" s="42">
        <f>TRUNC(23837,-1)</f>
        <v>23830</v>
      </c>
      <c r="E44" s="63">
        <f t="shared" si="1"/>
        <v>78770</v>
      </c>
    </row>
    <row r="45" spans="1:7" x14ac:dyDescent="0.3">
      <c r="A45" s="2">
        <v>6</v>
      </c>
      <c r="C45" s="38" t="s">
        <v>18</v>
      </c>
      <c r="D45" s="42">
        <f>TRUNC(6729,-1)</f>
        <v>6720</v>
      </c>
      <c r="E45" s="63">
        <f t="shared" si="1"/>
        <v>22210</v>
      </c>
    </row>
    <row r="46" spans="1:7" x14ac:dyDescent="0.3">
      <c r="A46" s="2">
        <v>7</v>
      </c>
      <c r="C46" s="38" t="s">
        <v>19</v>
      </c>
      <c r="D46" s="42">
        <f>TRUNC(59889,-1)</f>
        <v>59880</v>
      </c>
      <c r="E46" s="63">
        <f t="shared" si="1"/>
        <v>197950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TRUNC(48081,-1)</f>
        <v>48080</v>
      </c>
      <c r="E48" s="63">
        <f t="shared" si="1"/>
        <v>158940</v>
      </c>
      <c r="F48" s="2" t="s">
        <v>259</v>
      </c>
    </row>
    <row r="49" spans="1:7" x14ac:dyDescent="0.3">
      <c r="A49" s="2">
        <v>10</v>
      </c>
      <c r="C49" s="38" t="s">
        <v>22</v>
      </c>
      <c r="D49" s="42">
        <f>TRUNC(12490,-1)</f>
        <v>12490</v>
      </c>
      <c r="E49" s="63">
        <f t="shared" si="1"/>
        <v>41280</v>
      </c>
    </row>
    <row r="50" spans="1:7" x14ac:dyDescent="0.3">
      <c r="A50" s="2">
        <v>11</v>
      </c>
      <c r="C50" s="38" t="s">
        <v>155</v>
      </c>
      <c r="D50" s="42">
        <f>TRUNC(64822,-1)</f>
        <v>64820</v>
      </c>
      <c r="E50" s="63">
        <f t="shared" si="1"/>
        <v>214280</v>
      </c>
      <c r="F50" s="2" t="s">
        <v>260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TRUNC(9191,-1)</f>
        <v>9190</v>
      </c>
      <c r="E52" s="63">
        <f t="shared" si="1"/>
        <v>30380</v>
      </c>
    </row>
    <row r="53" spans="1:7" x14ac:dyDescent="0.3">
      <c r="A53" s="2">
        <v>14</v>
      </c>
      <c r="C53" s="38" t="s">
        <v>25</v>
      </c>
      <c r="D53" s="42">
        <f>TRUNC(83998,-1)</f>
        <v>83990</v>
      </c>
      <c r="E53" s="63">
        <f t="shared" si="1"/>
        <v>277650</v>
      </c>
      <c r="F53" s="2" t="s">
        <v>261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TRUNC(31339+81+4432-485+784,-1)</f>
        <v>36150</v>
      </c>
      <c r="E58" s="63">
        <f t="shared" si="1"/>
        <v>119500</v>
      </c>
      <c r="F58" s="2" t="s">
        <v>262</v>
      </c>
    </row>
    <row r="59" spans="1:7" ht="17.25" thickBot="1" x14ac:dyDescent="0.35">
      <c r="A59" s="2">
        <v>20</v>
      </c>
      <c r="C59" s="38" t="s">
        <v>148</v>
      </c>
      <c r="D59" s="43">
        <f>TRUNC(418718,-1)</f>
        <v>418710</v>
      </c>
      <c r="E59" s="64">
        <f t="shared" si="1"/>
        <v>1384170</v>
      </c>
    </row>
    <row r="60" spans="1:7" x14ac:dyDescent="0.3">
      <c r="A60" s="2">
        <v>21</v>
      </c>
      <c r="C60" s="27" t="s">
        <v>112</v>
      </c>
      <c r="D60" s="39">
        <f>SUM(D40:D59)</f>
        <v>992970</v>
      </c>
      <c r="E60" s="39">
        <f>SUM(E40:E59)</f>
        <v>3282490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TRUNC(6237,-1)</f>
        <v>6230</v>
      </c>
      <c r="E63" s="62">
        <f>TRUNC(+D63*3.3058,-1)</f>
        <v>20590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6230</v>
      </c>
      <c r="E66" s="65">
        <f>SUM(E63:E65)</f>
        <v>20590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TRUNC(107369,-1)</f>
        <v>107360</v>
      </c>
      <c r="E69" s="62">
        <f t="shared" ref="E69:E94" si="2">TRUNC(+D69*3.3058,-1)</f>
        <v>354910</v>
      </c>
    </row>
    <row r="70" spans="1:7" ht="16.5" customHeight="1" x14ac:dyDescent="0.3">
      <c r="A70" s="2">
        <v>2</v>
      </c>
      <c r="C70" s="38" t="s">
        <v>31</v>
      </c>
      <c r="D70" s="42">
        <f>TRUNC(7466,-1)</f>
        <v>7460</v>
      </c>
      <c r="E70" s="63">
        <f t="shared" si="2"/>
        <v>24660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f>TRUNC(4521,-1)</f>
        <v>4520</v>
      </c>
      <c r="E72" s="63">
        <f t="shared" si="2"/>
        <v>14940</v>
      </c>
    </row>
    <row r="73" spans="1:7" x14ac:dyDescent="0.3">
      <c r="A73" s="2">
        <v>5</v>
      </c>
      <c r="C73" s="38" t="s">
        <v>34</v>
      </c>
      <c r="D73" s="42">
        <f>TRUNC(12663,-1)</f>
        <v>12660</v>
      </c>
      <c r="E73" s="63">
        <f t="shared" si="2"/>
        <v>41850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TRUNC(16402,-1)</f>
        <v>16400</v>
      </c>
      <c r="E89" s="63">
        <f t="shared" si="2"/>
        <v>54210</v>
      </c>
    </row>
    <row r="90" spans="1:7" x14ac:dyDescent="0.3">
      <c r="A90" s="2">
        <v>22</v>
      </c>
      <c r="C90" s="38" t="s">
        <v>36</v>
      </c>
      <c r="D90" s="42">
        <f>TRUNC(1134,-1)</f>
        <v>1130</v>
      </c>
      <c r="E90" s="63">
        <f t="shared" si="2"/>
        <v>3730</v>
      </c>
    </row>
    <row r="91" spans="1:7" x14ac:dyDescent="0.3">
      <c r="A91" s="2">
        <v>23</v>
      </c>
      <c r="C91" s="38" t="s">
        <v>37</v>
      </c>
      <c r="D91" s="42">
        <f>TRUNC(25261,-1)</f>
        <v>25260</v>
      </c>
      <c r="E91" s="63">
        <f t="shared" si="2"/>
        <v>83500</v>
      </c>
    </row>
    <row r="92" spans="1:7" x14ac:dyDescent="0.3">
      <c r="A92" s="2">
        <v>24</v>
      </c>
      <c r="C92" s="38" t="s">
        <v>38</v>
      </c>
      <c r="D92" s="42">
        <f>TRUNC(5313,-1)</f>
        <v>5310</v>
      </c>
      <c r="E92" s="63">
        <f t="shared" si="2"/>
        <v>17550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TRUNC(180150+1334+3480+274,-1)</f>
        <v>185230</v>
      </c>
      <c r="E94" s="64">
        <f t="shared" si="2"/>
        <v>612330</v>
      </c>
      <c r="F94" s="2" t="s">
        <v>263</v>
      </c>
    </row>
    <row r="95" spans="1:7" x14ac:dyDescent="0.3">
      <c r="A95" s="2">
        <v>27</v>
      </c>
      <c r="C95" s="27" t="s">
        <v>112</v>
      </c>
      <c r="D95" s="39">
        <f>SUM(D69:D94)</f>
        <v>365330</v>
      </c>
      <c r="E95" s="39">
        <f>SUM(E69:E94)</f>
        <v>1207680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TRUNC(20206,-1)</f>
        <v>20200</v>
      </c>
      <c r="E98" s="62">
        <f t="shared" ref="E98:E118" si="3">TRUNC(+D98*3.3058,-1)</f>
        <v>66770</v>
      </c>
    </row>
    <row r="99" spans="1:7" x14ac:dyDescent="0.3">
      <c r="A99" s="2">
        <v>2</v>
      </c>
      <c r="C99" s="38" t="s">
        <v>40</v>
      </c>
      <c r="D99" s="42">
        <f>TRUNC(18817,-1)</f>
        <v>18810</v>
      </c>
      <c r="E99" s="63">
        <f t="shared" si="3"/>
        <v>62180</v>
      </c>
    </row>
    <row r="100" spans="1:7" x14ac:dyDescent="0.3">
      <c r="A100" s="2">
        <v>3</v>
      </c>
      <c r="C100" s="38" t="s">
        <v>41</v>
      </c>
      <c r="D100" s="42">
        <f>TRUNC(47304,-1)</f>
        <v>47300</v>
      </c>
      <c r="E100" s="63">
        <f t="shared" si="3"/>
        <v>156360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TRUNC(21779,-1)</f>
        <v>21770</v>
      </c>
      <c r="E102" s="63">
        <f t="shared" si="3"/>
        <v>71960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TRUNC(2789,-1)</f>
        <v>2780</v>
      </c>
      <c r="E104" s="63">
        <f t="shared" si="3"/>
        <v>9190</v>
      </c>
    </row>
    <row r="105" spans="1:7" x14ac:dyDescent="0.3">
      <c r="A105" s="2">
        <v>8</v>
      </c>
      <c r="C105" s="38" t="s">
        <v>46</v>
      </c>
      <c r="D105" s="42">
        <f>TRUNC(9211,-1)</f>
        <v>9210</v>
      </c>
      <c r="E105" s="63">
        <f t="shared" si="3"/>
        <v>30440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TRUNC(16812,-1)</f>
        <v>16810</v>
      </c>
      <c r="E116" s="63">
        <f t="shared" si="3"/>
        <v>55570</v>
      </c>
      <c r="F116" s="2" t="s">
        <v>258</v>
      </c>
    </row>
    <row r="117" spans="1:7" x14ac:dyDescent="0.3">
      <c r="A117" s="2">
        <v>20</v>
      </c>
      <c r="C117" s="38" t="s">
        <v>148</v>
      </c>
      <c r="D117" s="42">
        <f>TRUNC(131946,-1)</f>
        <v>131940</v>
      </c>
      <c r="E117" s="63">
        <f t="shared" si="3"/>
        <v>436160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4">
        <f t="shared" si="3"/>
        <v>0</v>
      </c>
    </row>
    <row r="119" spans="1:7" x14ac:dyDescent="0.3">
      <c r="A119" s="2">
        <v>22</v>
      </c>
      <c r="C119" s="27" t="s">
        <v>112</v>
      </c>
      <c r="D119" s="39">
        <f>SUM(D98:D118)</f>
        <v>268820</v>
      </c>
      <c r="E119" s="39">
        <f>SUM(E98:E118)</f>
        <v>888630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TRUNC(4930,-1)</f>
        <v>4930</v>
      </c>
      <c r="E122" s="62">
        <f t="shared" ref="E122:E132" si="4">TRUNC(+D122*3.3058,-1)</f>
        <v>16290</v>
      </c>
      <c r="F122" s="2" t="s">
        <v>256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TRUNC(622,-1)</f>
        <v>620</v>
      </c>
      <c r="E124" s="63">
        <f t="shared" si="4"/>
        <v>2040</v>
      </c>
    </row>
    <row r="125" spans="1:7" x14ac:dyDescent="0.3">
      <c r="A125" s="2">
        <v>4</v>
      </c>
      <c r="C125" s="38" t="s">
        <v>138</v>
      </c>
      <c r="D125" s="42">
        <f>TRUNC(8544,-1)</f>
        <v>8540</v>
      </c>
      <c r="E125" s="63">
        <f t="shared" si="4"/>
        <v>28230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TRUNC(6269,-1)</f>
        <v>6260</v>
      </c>
      <c r="E128" s="63">
        <f t="shared" si="4"/>
        <v>20690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TRUNC(25853,-1)</f>
        <v>25850</v>
      </c>
      <c r="E130" s="63">
        <f t="shared" si="4"/>
        <v>85450</v>
      </c>
    </row>
    <row r="131" spans="1:7" x14ac:dyDescent="0.3">
      <c r="A131" s="2">
        <v>10</v>
      </c>
      <c r="C131" s="38" t="s">
        <v>148</v>
      </c>
      <c r="D131" s="42">
        <f>TRUNC(38543,-1)</f>
        <v>38540</v>
      </c>
      <c r="E131" s="63">
        <f t="shared" si="4"/>
        <v>127400</v>
      </c>
    </row>
    <row r="132" spans="1:7" ht="18" thickBot="1" x14ac:dyDescent="0.35">
      <c r="A132" s="2">
        <v>11</v>
      </c>
      <c r="C132" s="38" t="s">
        <v>47</v>
      </c>
      <c r="D132" s="43">
        <f>TRUNC(5571,-1)</f>
        <v>5570</v>
      </c>
      <c r="E132" s="64">
        <f t="shared" si="4"/>
        <v>18410</v>
      </c>
      <c r="F132" s="54" t="s">
        <v>257</v>
      </c>
    </row>
    <row r="133" spans="1:7" x14ac:dyDescent="0.3">
      <c r="A133" s="2">
        <v>12</v>
      </c>
      <c r="C133" s="27" t="s">
        <v>112</v>
      </c>
      <c r="D133" s="39">
        <f>SUM(D122:D132)</f>
        <v>90310</v>
      </c>
      <c r="E133" s="39">
        <f>SUM(E122:E132)</f>
        <v>298510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TRUNC(871+1771+2677,-1)</f>
        <v>5310</v>
      </c>
      <c r="E137" s="63">
        <f t="shared" si="5"/>
        <v>17550</v>
      </c>
      <c r="F137" s="2" t="s">
        <v>255</v>
      </c>
    </row>
    <row r="138" spans="1:7" x14ac:dyDescent="0.3">
      <c r="A138" s="2">
        <v>3</v>
      </c>
      <c r="C138" s="38" t="s">
        <v>60</v>
      </c>
      <c r="D138" s="42">
        <f>TRUNC(2601,-1)</f>
        <v>2600</v>
      </c>
      <c r="E138" s="63">
        <f t="shared" si="5"/>
        <v>8590</v>
      </c>
    </row>
    <row r="139" spans="1:7" x14ac:dyDescent="0.3">
      <c r="A139" s="2">
        <v>4</v>
      </c>
      <c r="C139" s="38" t="s">
        <v>61</v>
      </c>
      <c r="D139" s="42">
        <f>TRUNC(2541,-1)</f>
        <v>2540</v>
      </c>
      <c r="E139" s="63">
        <f t="shared" si="5"/>
        <v>8390</v>
      </c>
    </row>
    <row r="140" spans="1:7" x14ac:dyDescent="0.3">
      <c r="A140" s="2">
        <v>5</v>
      </c>
      <c r="C140" s="38" t="s">
        <v>57</v>
      </c>
      <c r="D140" s="42">
        <f>TRUNC(1299,-1)</f>
        <v>1290</v>
      </c>
      <c r="E140" s="63">
        <f t="shared" si="5"/>
        <v>4260</v>
      </c>
    </row>
    <row r="141" spans="1:7" x14ac:dyDescent="0.3">
      <c r="A141" s="2">
        <v>6</v>
      </c>
      <c r="C141" s="38" t="s">
        <v>59</v>
      </c>
      <c r="D141" s="42">
        <f>TRUNC(1055,-1)</f>
        <v>1050</v>
      </c>
      <c r="E141" s="63">
        <f t="shared" si="5"/>
        <v>3470</v>
      </c>
    </row>
    <row r="142" spans="1:7" x14ac:dyDescent="0.3">
      <c r="A142" s="2">
        <v>7</v>
      </c>
      <c r="C142" s="38" t="s">
        <v>58</v>
      </c>
      <c r="D142" s="42">
        <f>TRUNC(4496,-1)</f>
        <v>4490</v>
      </c>
      <c r="E142" s="63">
        <f t="shared" si="5"/>
        <v>14840</v>
      </c>
    </row>
    <row r="143" spans="1:7" x14ac:dyDescent="0.3">
      <c r="A143" s="2">
        <v>8</v>
      </c>
      <c r="C143" s="38" t="s">
        <v>62</v>
      </c>
      <c r="D143" s="42">
        <f>TRUNC(11152,-1)</f>
        <v>11150</v>
      </c>
      <c r="E143" s="63">
        <f t="shared" si="5"/>
        <v>36850</v>
      </c>
    </row>
    <row r="144" spans="1:7" x14ac:dyDescent="0.3">
      <c r="A144" s="2">
        <v>9</v>
      </c>
      <c r="C144" s="38" t="s">
        <v>63</v>
      </c>
      <c r="D144" s="42">
        <f>TRUNC(16110,-1)</f>
        <v>16110</v>
      </c>
      <c r="E144" s="63">
        <f t="shared" si="5"/>
        <v>53250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44540</v>
      </c>
      <c r="E146" s="39">
        <f>SUM(E136:E145)</f>
        <v>147200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TRUNC(10375+1918,-1)</f>
        <v>12290</v>
      </c>
      <c r="E149" s="62">
        <f>TRUNC(+D149*3.3058,-1)</f>
        <v>40620</v>
      </c>
      <c r="F149" s="2" t="s">
        <v>253</v>
      </c>
    </row>
    <row r="150" spans="1:7" x14ac:dyDescent="0.3">
      <c r="A150" s="2">
        <v>2</v>
      </c>
      <c r="C150" s="38" t="s">
        <v>49</v>
      </c>
      <c r="D150" s="42">
        <f>TRUNC(6679,-1)</f>
        <v>6670</v>
      </c>
      <c r="E150" s="63">
        <f>TRUNC(+D150*3.3058,-1)</f>
        <v>22040</v>
      </c>
    </row>
    <row r="151" spans="1:7" x14ac:dyDescent="0.3">
      <c r="A151" s="2">
        <v>3</v>
      </c>
      <c r="C151" s="38" t="s">
        <v>50</v>
      </c>
      <c r="D151" s="42">
        <f>TRUNC(17283,-1)</f>
        <v>17280</v>
      </c>
      <c r="E151" s="63">
        <f>TRUNC(+D151*3.3058,-1)</f>
        <v>57120</v>
      </c>
    </row>
    <row r="152" spans="1:7" x14ac:dyDescent="0.3">
      <c r="A152" s="2">
        <v>4</v>
      </c>
      <c r="C152" s="38" t="s">
        <v>47</v>
      </c>
      <c r="D152" s="42">
        <f>TRUNC(6643+206,-1)</f>
        <v>6840</v>
      </c>
      <c r="E152" s="63">
        <f>TRUNC(+D152*3.3058,-1)</f>
        <v>22610</v>
      </c>
      <c r="F152" s="2" t="s">
        <v>254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43080</v>
      </c>
      <c r="E154" s="39">
        <f>SUM(E149:E153)</f>
        <v>142390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TRUNC(35072,-1)</f>
        <v>35070</v>
      </c>
      <c r="E157" s="62">
        <f>TRUNC(+D157*3.3058,-1)</f>
        <v>115930</v>
      </c>
    </row>
    <row r="158" spans="1:7" x14ac:dyDescent="0.3">
      <c r="A158" s="2">
        <v>2</v>
      </c>
      <c r="C158" s="38" t="s">
        <v>52</v>
      </c>
      <c r="D158" s="42">
        <f>TRUNC(6457,-1)</f>
        <v>6450</v>
      </c>
      <c r="E158" s="63">
        <f>TRUNC(+D158*3.3058,-1)</f>
        <v>21320</v>
      </c>
      <c r="F158" s="2" t="s">
        <v>252</v>
      </c>
    </row>
    <row r="159" spans="1:7" x14ac:dyDescent="0.3">
      <c r="A159" s="2">
        <v>3</v>
      </c>
      <c r="C159" s="38" t="s">
        <v>47</v>
      </c>
      <c r="D159" s="42">
        <f>TRUNC(10818,-1)</f>
        <v>10810</v>
      </c>
      <c r="E159" s="63">
        <f>TRUNC(+D159*3.3058,-1)</f>
        <v>35730</v>
      </c>
      <c r="F159" s="2" t="s">
        <v>251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52330</v>
      </c>
      <c r="E161" s="39">
        <f>SUM(E157:E160)</f>
        <v>172980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2020-12-08T04:00:40Z</dcterms:modified>
</cp:coreProperties>
</file>