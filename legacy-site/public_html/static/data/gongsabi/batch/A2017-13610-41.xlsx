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3" i="4"/>
  <c r="D152" i="4"/>
  <c r="D151" i="4"/>
  <c r="D150" i="4"/>
  <c r="D149" i="4"/>
  <c r="D144" i="4"/>
  <c r="D143" i="4"/>
  <c r="D142" i="4"/>
  <c r="D141" i="4"/>
  <c r="D140" i="4"/>
  <c r="D139" i="4"/>
  <c r="D138" i="4"/>
  <c r="D137" i="4"/>
  <c r="D132" i="4"/>
  <c r="D131" i="4"/>
  <c r="D130" i="4"/>
  <c r="D128" i="4"/>
  <c r="D127" i="4"/>
  <c r="D125" i="4"/>
  <c r="D124" i="4"/>
  <c r="D118" i="4"/>
  <c r="D117" i="4"/>
  <c r="D114" i="4"/>
  <c r="D105" i="4"/>
  <c r="D104" i="4"/>
  <c r="D102" i="4"/>
  <c r="D101" i="4"/>
  <c r="D100" i="4"/>
  <c r="D99" i="4"/>
  <c r="D98" i="4"/>
  <c r="D94" i="4"/>
  <c r="D93" i="4"/>
  <c r="D92" i="4"/>
  <c r="D91" i="4"/>
  <c r="D90" i="4"/>
  <c r="D89" i="4"/>
  <c r="D75" i="4"/>
  <c r="D73" i="4"/>
  <c r="D72" i="4"/>
  <c r="D71" i="4"/>
  <c r="D70" i="4"/>
  <c r="D69" i="4"/>
  <c r="D65" i="4"/>
  <c r="D58" i="4"/>
  <c r="D53" i="4"/>
  <c r="D52" i="4"/>
  <c r="D50" i="4"/>
  <c r="D49" i="4"/>
  <c r="D48" i="4"/>
  <c r="D46" i="4"/>
  <c r="D45" i="4"/>
  <c r="D44" i="4"/>
  <c r="D43" i="4"/>
  <c r="D42" i="4"/>
  <c r="D40" i="4"/>
  <c r="D1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<sst xmlns="http://schemas.openxmlformats.org/spreadsheetml/2006/main" count="394" uniqueCount="271">
  <si>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</si>
  <si>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</si>
  <si>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</si>
  <si>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</si>
  <si>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</si>
  <si>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</si>
  <si>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</si>
  <si>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</si>
  <si>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</si>
  <si>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</si>
  <si>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</si>
  <si>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</si>
  <si>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</si>
  <si>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</si>
  <si>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</si>
  <si>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</si>
  <si>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</si>
  <si>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</si>
  <si>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</si>
  <si>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</si>
  <si>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</si>
  <si>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</si>
  <si>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</si>
  <si>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</si>
  <si>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</si>
  <si>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</si>
  <si>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</si>
  <si>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</si>
  <si>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</si>
  <si>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</si>
  <si>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</si>
  <si>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</si>
  <si>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</si>
  <si>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</si>
  <si>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</si>
  <si>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</si>
  <si>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</si>
  <si>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</si>
  <si>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</si>
  <si>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</si>
  <si>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</si>
  <si>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</si>
  <si>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</si>
  <si>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</si>
  <si>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</si>
  <si>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</si>
  <si>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</si>
  <si>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</si>
  <si>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</si>
  <si>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</si>
  <si>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</si>
  <si>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</si>
  <si>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</si>
  <si>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</si>
  <si>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</si>
  <si>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</si>
  <si>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</si>
  <si>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</si>
  <si>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</si>
  <si>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</si>
  <si>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</si>
  <si>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</si>
  <si>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</si>
  <si>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</si>
  <si>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</si>
  <si>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</si>
  <si>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</si>
  <si>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</si>
  <si>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</si>
  <si>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</si>
  <si>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</si>
  <si>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</si>
  <si>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</si>
  <si>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</si>
  <si>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</si>
  <si>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</si>
  <si>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</si>
  <si>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</si>
  <si>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</si>
  <si>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</si>
  <si>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</si>
  <si>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</si>
  <si>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</si>
  <si>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</si>
  <si>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</si>
  <si>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</si>
  <si>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</si>
  <si>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</si>
  <si>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</si>
  <si>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</si>
  <si>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</si>
  <si>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</si>
  <si>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</si>
  <si>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</si>
  <si>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</si>
  <si>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</si>
  <si>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</si>
  <si>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</si>
  <si>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</si>
  <si>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</si>
  <si>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</si>
  <si>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</si>
  <si>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</si>
  <si>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</si>
  <si>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</si>
  <si>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</si>
  <si>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</si>
  <si>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</si>
  <si>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</si>
  <si>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</si>
  <si>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</si>
  <si>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</si>
  <si>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</si>
  <si>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</si>
  <si>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</si>
  <si>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</si>
  <si>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</si>
  <si>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</si>
  <si>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</si>
  <si>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</si>
  <si>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</si>
  <si>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</si>
  <si>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</si>
  <si>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</si>
  <si>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</si>
  <si>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</si>
  <si>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</si>
  <si>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</si>
  <si>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</si>
  <si>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</si>
  <si>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</si>
  <si>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</si>
  <si>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</si>
  <si>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</si>
  <si>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</si>
  <si>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</si>
  <si>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</si>
  <si>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</si>
  <si>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</si>
  <si>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</si>
  <si>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</si>
  <si>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</si>
  <si>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</si>
  <si>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</si>
  <si>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</si>
  <si>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</si>
  <si>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</si>
  <si>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</si>
  <si>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</si>
  <si>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</si>
  <si>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</si>
  <si>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</si>
  <si>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</si>
  <si>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</si>
  <si>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</si>
  <si>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</si>
  <si>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</si>
  <si>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</si>
  <si>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</si>
  <si>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</si>
  <si>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</si>
  <si>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</si>
  <si>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</si>
  <si>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</si>
  <si>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</si>
  <si>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</si>
  <si>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</si>
  <si>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</si>
  <si>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</si>
  <si>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</si>
  <si>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</si>
  <si>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</si>
  <si>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</si>
  <si>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</si>
  <si>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</si>
  <si>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</si>
  <si>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</si>
  <si>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</si>
  <si>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</si>
  <si>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</si>
  <si>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</si>
  <si>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</si>
  <si>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</si>
  <si>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</si>
  <si>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</si>
  <si>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</si>
  <si>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</si>
  <si>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</si>
  <si>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</si>
  <si>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</si>
  <si>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</si>
  <si>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</si>
  <si>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</si>
  <si>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</si>
  <si>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</si>
  <si>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</si>
  <si>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</si>
  <si>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</si>
  <si>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</si>
  <si>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</si>
  <si>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</si>
  <si>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</si>
  <si>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</si>
  <si>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</si>
  <si>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</si>
  <si>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</si>
  <si>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</si>
  <si>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</si>
  <si>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</si>
  <si>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</si>
  <si>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</si>
  <si>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</si>
  <si>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</si>
  <si>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</si>
  <si>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</si>
  <si>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</si>
  <si>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</si>
  <si>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</si>
  <si>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</si>
  <si>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</si>
  <si>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</si>
  <si>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</si>
  <si>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</si>
  <si>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</si>
  <si>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</si>
  <si>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</si>
  <si>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</si>
  <si>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</si>
  <si>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</si>
  <si>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</si>
  <si>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</si>
  <si>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</si>
  <si>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</si>
  <si>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</si>
  <si>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</si>
  <si>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</si>
  <si>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</si>
  <si>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</si>
  <si>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</si>
  <si>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</si>
  <si>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</si>
  <si>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</si>
  <si>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</si>
  <si>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</si>
  <si>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</si>
  <si>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</si>
  <si>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</si>
  <si>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</si>
  <si>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</si>
  <si>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</si>
  <si>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</si>
  <si>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</si>
  <si>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</si>
  <si>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</si>
  <si>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</si>
  <si>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</si>
  <si>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건강보험심사평가원 2사옥 건립공사</t>
    <phoneticPr fontId="2" type="noConversion"/>
  </si>
  <si>
    <t>강원도</t>
  </si>
  <si>
    <t>기초공사, 골재비및운반비, 품질시험비, 기타공사</t>
    <phoneticPr fontId="2" type="noConversion"/>
  </si>
  <si>
    <t>공조배관공사, 우수처리시설공사, 바닥난방공사, 기타공사</t>
    <phoneticPr fontId="2" type="noConversion"/>
  </si>
  <si>
    <t>원격검침 설비공사, 기타공사</t>
    <phoneticPr fontId="2" type="noConversion"/>
  </si>
  <si>
    <t>CCTV설비공사, 주차관제설비공사, 기타공사</t>
    <phoneticPr fontId="2" type="noConversion"/>
  </si>
  <si>
    <t>옥외소화배관공사, 펌프실배관공사, 제연덕트설치공사, 무선통신보조설비공사, 기타공사</t>
    <phoneticPr fontId="2" type="noConversion"/>
  </si>
  <si>
    <t>상수도공사, 사급자재비, 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</si>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</sst>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52592.24</v>
      </c>
      <c r="D7" s="36">
        <f>+C7/3.3058</f>
        <v>15909.081009135458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799750</v>
      </c>
      <c r="E25" s="59">
        <f t="shared" si="0"/>
        <v>2643810</v>
      </c>
    </row>
    <row r="26" spans="1:5" x14ac:dyDescent="0.3">
      <c r="B26" s="2">
        <v>3</v>
      </c>
      <c r="C26" s="35" t="s">
        <v>95</v>
      </c>
      <c r="D26" s="45">
        <f>+D66</f>
        <v>63380</v>
      </c>
      <c r="E26" s="59">
        <f t="shared" si="0"/>
        <v>209520</v>
      </c>
    </row>
    <row r="27" spans="1:5" x14ac:dyDescent="0.3">
      <c r="B27" s="2">
        <v>4</v>
      </c>
      <c r="C27" s="35" t="s">
        <v>96</v>
      </c>
      <c r="D27" s="45">
        <f>+D95</f>
        <v>363840</v>
      </c>
      <c r="E27" s="59">
        <f t="shared" si="0"/>
        <v>1202780</v>
      </c>
    </row>
    <row r="28" spans="1:5" x14ac:dyDescent="0.3">
      <c r="B28" s="2">
        <v>5</v>
      </c>
      <c r="C28" s="35" t="s">
        <v>97</v>
      </c>
      <c r="D28" s="45">
        <f>+D119</f>
        <v>198010</v>
      </c>
      <c r="E28" s="59">
        <f t="shared" si="0"/>
        <v>654580</v>
      </c>
    </row>
    <row r="29" spans="1:5" x14ac:dyDescent="0.3">
      <c r="B29" s="2">
        <v>6</v>
      </c>
      <c r="C29" s="35" t="s">
        <v>98</v>
      </c>
      <c r="D29" s="45">
        <f>+D133</f>
        <v>130910</v>
      </c>
      <c r="E29" s="59">
        <f t="shared" si="0"/>
        <v>432760</v>
      </c>
    </row>
    <row r="30" spans="1:5" x14ac:dyDescent="0.3">
      <c r="B30" s="2">
        <v>7</v>
      </c>
      <c r="C30" s="35" t="s">
        <v>99</v>
      </c>
      <c r="D30" s="45">
        <f>+D146</f>
        <v>75040</v>
      </c>
      <c r="E30" s="59">
        <f t="shared" si="0"/>
        <v>248060</v>
      </c>
    </row>
    <row r="31" spans="1:5" x14ac:dyDescent="0.3">
      <c r="B31" s="2">
        <v>8</v>
      </c>
      <c r="C31" s="35" t="s">
        <v>100</v>
      </c>
      <c r="D31" s="45">
        <f>+D154</f>
        <v>47640</v>
      </c>
      <c r="E31" s="59">
        <f t="shared" si="0"/>
        <v>157480</v>
      </c>
    </row>
    <row r="32" spans="1:5" x14ac:dyDescent="0.3">
      <c r="B32" s="2">
        <v>9</v>
      </c>
      <c r="C32" s="35" t="s">
        <v>101</v>
      </c>
      <c r="D32" s="45">
        <f>+D161</f>
        <v>45140</v>
      </c>
      <c r="E32" s="59">
        <f t="shared" si="0"/>
        <v>149220</v>
      </c>
    </row>
    <row r="33" spans="1:7" x14ac:dyDescent="0.3">
      <c r="B33" s="2">
        <v>10</v>
      </c>
      <c r="C33" s="35" t="s">
        <v>154</v>
      </c>
      <c r="D33" s="53">
        <f>TRUNC(SUM(D24:D32)*0.275,-1)</f>
        <v>474020</v>
      </c>
      <c r="E33" s="60">
        <f t="shared" si="0"/>
        <v>1567010</v>
      </c>
    </row>
    <row r="34" spans="1:7" x14ac:dyDescent="0.3">
      <c r="C34" s="35" t="s">
        <v>112</v>
      </c>
      <c r="D34" s="44">
        <f>SUM(D24:D33)</f>
        <v>2197730</v>
      </c>
      <c r="E34" s="44">
        <f>SUM(E24:E33)</f>
        <v>7265220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TRUNC(55942,-1)</f>
        <v>55940</v>
      </c>
      <c r="E40" s="62">
        <f t="shared" ref="E40:E59" si="1">TRUNC(+D40*3.3058,-1)</f>
        <v>184920</v>
      </c>
    </row>
    <row r="41" spans="1:7" x14ac:dyDescent="0.3">
      <c r="A41" s="2">
        <v>2</v>
      </c>
      <c r="C41" s="38" t="s">
        <v>13</v>
      </c>
      <c r="D41" s="42">
        <v>113580</v>
      </c>
      <c r="E41" s="63">
        <f t="shared" si="1"/>
        <v>375470</v>
      </c>
    </row>
    <row r="42" spans="1:7" x14ac:dyDescent="0.3">
      <c r="A42" s="2">
        <v>3</v>
      </c>
      <c r="C42" s="38" t="s">
        <v>14</v>
      </c>
      <c r="D42" s="42">
        <f>TRUNC(22853,-1)</f>
        <v>22850</v>
      </c>
      <c r="E42" s="63">
        <f t="shared" si="1"/>
        <v>75530</v>
      </c>
    </row>
    <row r="43" spans="1:7" x14ac:dyDescent="0.3">
      <c r="A43" s="2">
        <v>4</v>
      </c>
      <c r="C43" s="38" t="s">
        <v>16</v>
      </c>
      <c r="D43" s="42">
        <f>TRUNC(9366,-1)</f>
        <v>9360</v>
      </c>
      <c r="E43" s="63">
        <f t="shared" si="1"/>
        <v>30940</v>
      </c>
    </row>
    <row r="44" spans="1:7" x14ac:dyDescent="0.3">
      <c r="A44" s="2">
        <v>5</v>
      </c>
      <c r="C44" s="38" t="s">
        <v>17</v>
      </c>
      <c r="D44" s="42">
        <f>TRUNC(20842,-1)</f>
        <v>20840</v>
      </c>
      <c r="E44" s="63">
        <f t="shared" si="1"/>
        <v>68890</v>
      </c>
    </row>
    <row r="45" spans="1:7" x14ac:dyDescent="0.3">
      <c r="A45" s="2">
        <v>6</v>
      </c>
      <c r="C45" s="38" t="s">
        <v>18</v>
      </c>
      <c r="D45" s="42">
        <f>TRUNC(10809,-1)</f>
        <v>10800</v>
      </c>
      <c r="E45" s="63">
        <f t="shared" si="1"/>
        <v>35700</v>
      </c>
    </row>
    <row r="46" spans="1:7" x14ac:dyDescent="0.3">
      <c r="A46" s="2">
        <v>7</v>
      </c>
      <c r="C46" s="38" t="s">
        <v>19</v>
      </c>
      <c r="D46" s="42">
        <f>TRUNC(31064,-1)</f>
        <v>31060</v>
      </c>
      <c r="E46" s="63">
        <f t="shared" si="1"/>
        <v>102670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TRUNC(73881,-1)</f>
        <v>73880</v>
      </c>
      <c r="E48" s="63">
        <f t="shared" si="1"/>
        <v>244230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TRUNC(9364,-1)</f>
        <v>9360</v>
      </c>
      <c r="E49" s="63">
        <f t="shared" si="1"/>
        <v>30940</v>
      </c>
    </row>
    <row r="50" spans="1:7" x14ac:dyDescent="0.3">
      <c r="A50" s="2">
        <v>11</v>
      </c>
      <c r="C50" s="38" t="s">
        <v>155</v>
      </c>
      <c r="D50" s="42">
        <f>TRUNC(66225,-1)</f>
        <v>66220</v>
      </c>
      <c r="E50" s="63">
        <f t="shared" si="1"/>
        <v>218910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TRUNC(10667,-1)</f>
        <v>10660</v>
      </c>
      <c r="E52" s="63">
        <f t="shared" si="1"/>
        <v>35230</v>
      </c>
    </row>
    <row r="53" spans="1:7" x14ac:dyDescent="0.3">
      <c r="A53" s="2">
        <v>14</v>
      </c>
      <c r="C53" s="38" t="s">
        <v>25</v>
      </c>
      <c r="D53" s="42">
        <f>TRUNC(107436,-1)</f>
        <v>107430</v>
      </c>
      <c r="E53" s="63">
        <f t="shared" si="1"/>
        <v>355140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TRUNC(92+8928+4539+19630,-1)</f>
        <v>33180</v>
      </c>
      <c r="E58" s="63">
        <f t="shared" si="1"/>
        <v>109680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v>234590</v>
      </c>
      <c r="E59" s="64">
        <f t="shared" si="1"/>
        <v>775500</v>
      </c>
    </row>
    <row r="60" spans="1:7" x14ac:dyDescent="0.3">
      <c r="A60" s="2">
        <v>21</v>
      </c>
      <c r="C60" s="27" t="s">
        <v>112</v>
      </c>
      <c r="D60" s="39">
        <f>SUM(D40:D59)</f>
        <v>799750</v>
      </c>
      <c r="E60" s="39">
        <f>SUM(E40:E59)</f>
        <v>2643750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9680</v>
      </c>
      <c r="E63" s="62">
        <f>TRUNC(+D63*3.3058,-1)</f>
        <v>32000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TRUNC(53703,-1)</f>
        <v>53700</v>
      </c>
      <c r="E65" s="64">
        <f>TRUNC(+D65*3.3058,-1)</f>
        <v>177520</v>
      </c>
    </row>
    <row r="66" spans="1:7" x14ac:dyDescent="0.3">
      <c r="A66" s="2">
        <v>4</v>
      </c>
      <c r="C66" s="27" t="s">
        <v>112</v>
      </c>
      <c r="D66" s="39">
        <f>SUM(D63:D65)</f>
        <v>63380</v>
      </c>
      <c r="E66" s="65">
        <f>SUM(E63:E65)</f>
        <v>209520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TRUNC(11117,-1)</f>
        <v>11110</v>
      </c>
      <c r="E69" s="62">
        <f t="shared" ref="E69:E94" si="2">TRUNC(+D69*3.3058,-1)</f>
        <v>36720</v>
      </c>
    </row>
    <row r="70" spans="1:7" ht="16.5" customHeight="1" x14ac:dyDescent="0.3">
      <c r="A70" s="2">
        <v>2</v>
      </c>
      <c r="C70" s="38" t="s">
        <v>31</v>
      </c>
      <c r="D70" s="42">
        <f>TRUNC(663,-1)</f>
        <v>660</v>
      </c>
      <c r="E70" s="63">
        <f t="shared" si="2"/>
        <v>2180</v>
      </c>
    </row>
    <row r="71" spans="1:7" x14ac:dyDescent="0.3">
      <c r="A71" s="2">
        <v>3</v>
      </c>
      <c r="C71" s="38" t="s">
        <v>32</v>
      </c>
      <c r="D71" s="42">
        <f>TRUNC(12422,-1)</f>
        <v>12420</v>
      </c>
      <c r="E71" s="63">
        <f t="shared" si="2"/>
        <v>41050</v>
      </c>
    </row>
    <row r="72" spans="1:7" x14ac:dyDescent="0.3">
      <c r="A72" s="2">
        <v>4</v>
      </c>
      <c r="C72" s="38" t="s">
        <v>33</v>
      </c>
      <c r="D72" s="42">
        <f>TRUNC(2613,-1)</f>
        <v>2610</v>
      </c>
      <c r="E72" s="63">
        <f t="shared" si="2"/>
        <v>8620</v>
      </c>
    </row>
    <row r="73" spans="1:7" x14ac:dyDescent="0.3">
      <c r="A73" s="2">
        <v>5</v>
      </c>
      <c r="C73" s="38" t="s">
        <v>34</v>
      </c>
      <c r="D73" s="42">
        <f>TRUNC(6994,-1)</f>
        <v>6990</v>
      </c>
      <c r="E73" s="63">
        <f t="shared" si="2"/>
        <v>23100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TRUNC(6156,-1)</f>
        <v>6150</v>
      </c>
      <c r="E75" s="63">
        <f t="shared" si="2"/>
        <v>20330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TRUNC(14093,-1)</f>
        <v>14090</v>
      </c>
      <c r="E89" s="63">
        <f t="shared" si="2"/>
        <v>46570</v>
      </c>
    </row>
    <row r="90" spans="1:7" x14ac:dyDescent="0.3">
      <c r="A90" s="2">
        <v>22</v>
      </c>
      <c r="C90" s="38" t="s">
        <v>36</v>
      </c>
      <c r="D90" s="42">
        <f>TRUNC(4674,-1)</f>
        <v>4670</v>
      </c>
      <c r="E90" s="63">
        <f t="shared" si="2"/>
        <v>15430</v>
      </c>
    </row>
    <row r="91" spans="1:7" x14ac:dyDescent="0.3">
      <c r="A91" s="2">
        <v>23</v>
      </c>
      <c r="C91" s="38" t="s">
        <v>37</v>
      </c>
      <c r="D91" s="42">
        <f>TRUNC(57974,-1)</f>
        <v>57970</v>
      </c>
      <c r="E91" s="63">
        <f t="shared" si="2"/>
        <v>191630</v>
      </c>
    </row>
    <row r="92" spans="1:7" x14ac:dyDescent="0.3">
      <c r="A92" s="2">
        <v>24</v>
      </c>
      <c r="C92" s="38" t="s">
        <v>38</v>
      </c>
      <c r="D92" s="42">
        <f>TRUNC(7255,-1)</f>
        <v>7250</v>
      </c>
      <c r="E92" s="63">
        <f t="shared" si="2"/>
        <v>23960</v>
      </c>
    </row>
    <row r="93" spans="1:7" x14ac:dyDescent="0.3">
      <c r="A93" s="2">
        <v>25</v>
      </c>
      <c r="C93" s="38" t="s">
        <v>148</v>
      </c>
      <c r="D93" s="42">
        <f>TRUNC(174273,-1)</f>
        <v>174270</v>
      </c>
      <c r="E93" s="63">
        <f t="shared" si="2"/>
        <v>576100</v>
      </c>
    </row>
    <row r="94" spans="1:7" ht="17.25" thickBot="1" x14ac:dyDescent="0.35">
      <c r="A94" s="2">
        <v>26</v>
      </c>
      <c r="C94" s="38" t="s">
        <v>47</v>
      </c>
      <c r="D94" s="43">
        <f>TRUNC(18358+1465+3939+41897,-1)</f>
        <v>65650</v>
      </c>
      <c r="E94" s="64">
        <f t="shared" si="2"/>
        <v>217020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363840</v>
      </c>
      <c r="E95" s="39">
        <f>SUM(E69:E94)</f>
        <v>1202710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TRUNC(17847,-1)</f>
        <v>17840</v>
      </c>
      <c r="E98" s="62">
        <f t="shared" ref="E98:E118" si="3">TRUNC(+D98*3.3058,-1)</f>
        <v>58970</v>
      </c>
    </row>
    <row r="99" spans="1:7" x14ac:dyDescent="0.3">
      <c r="A99" s="2">
        <v>2</v>
      </c>
      <c r="C99" s="38" t="s">
        <v>40</v>
      </c>
      <c r="D99" s="42">
        <f>TRUNC(12121,-1)</f>
        <v>12120</v>
      </c>
      <c r="E99" s="63">
        <f t="shared" si="3"/>
        <v>40060</v>
      </c>
    </row>
    <row r="100" spans="1:7" x14ac:dyDescent="0.3">
      <c r="A100" s="2">
        <v>3</v>
      </c>
      <c r="C100" s="38" t="s">
        <v>41</v>
      </c>
      <c r="D100" s="42">
        <f>TRUNC(31018,-1)</f>
        <v>31010</v>
      </c>
      <c r="E100" s="63">
        <f t="shared" si="3"/>
        <v>102510</v>
      </c>
    </row>
    <row r="101" spans="1:7" x14ac:dyDescent="0.3">
      <c r="A101" s="2">
        <v>4</v>
      </c>
      <c r="C101" s="38" t="s">
        <v>42</v>
      </c>
      <c r="D101" s="42">
        <f>TRUNC(2719,-1)</f>
        <v>2710</v>
      </c>
      <c r="E101" s="63">
        <f t="shared" si="3"/>
        <v>8950</v>
      </c>
    </row>
    <row r="102" spans="1:7" x14ac:dyDescent="0.3">
      <c r="A102" s="2">
        <v>5</v>
      </c>
      <c r="C102" s="38" t="s">
        <v>43</v>
      </c>
      <c r="D102" s="42">
        <f>TRUNC(12472,-1)</f>
        <v>12470</v>
      </c>
      <c r="E102" s="63">
        <f t="shared" si="3"/>
        <v>41220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TRUNC(2137,-1)</f>
        <v>2130</v>
      </c>
      <c r="E104" s="63">
        <f t="shared" si="3"/>
        <v>7040</v>
      </c>
    </row>
    <row r="105" spans="1:7" x14ac:dyDescent="0.3">
      <c r="A105" s="2">
        <v>8</v>
      </c>
      <c r="C105" s="38" t="s">
        <v>46</v>
      </c>
      <c r="D105" s="42">
        <f>TRUNC(3837,-1)</f>
        <v>3830</v>
      </c>
      <c r="E105" s="63">
        <f t="shared" si="3"/>
        <v>12660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TRUNC(1359,-1)</f>
        <v>1350</v>
      </c>
      <c r="E114" s="63">
        <f t="shared" si="3"/>
        <v>4460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6510</v>
      </c>
      <c r="E116" s="63">
        <f t="shared" si="3"/>
        <v>21520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TRUNC(96336,-1)</f>
        <v>96330</v>
      </c>
      <c r="E117" s="63">
        <f t="shared" si="3"/>
        <v>318440</v>
      </c>
    </row>
    <row r="118" spans="1:7" ht="17.25" thickBot="1" x14ac:dyDescent="0.35">
      <c r="A118" s="2">
        <v>21</v>
      </c>
      <c r="C118" s="38" t="s">
        <v>47</v>
      </c>
      <c r="D118" s="43">
        <f>TRUNC(1710+10001,-1)</f>
        <v>11710</v>
      </c>
      <c r="E118" s="64">
        <f t="shared" si="3"/>
        <v>38710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198010</v>
      </c>
      <c r="E119" s="39">
        <f>SUM(E98:E118)</f>
        <v>654540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6600</v>
      </c>
      <c r="E122" s="62">
        <f t="shared" ref="E122:E132" si="4">TRUNC(+D122*3.3058,-1)</f>
        <v>21810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TRUNC(4111,-1)</f>
        <v>4110</v>
      </c>
      <c r="E124" s="63">
        <f t="shared" si="4"/>
        <v>13580</v>
      </c>
    </row>
    <row r="125" spans="1:7" x14ac:dyDescent="0.3">
      <c r="A125" s="2">
        <v>4</v>
      </c>
      <c r="C125" s="38" t="s">
        <v>138</v>
      </c>
      <c r="D125" s="42">
        <f>TRUNC(4792,-1)</f>
        <v>4790</v>
      </c>
      <c r="E125" s="63">
        <f t="shared" si="4"/>
        <v>15830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TRUNC(5183,-1)</f>
        <v>5180</v>
      </c>
      <c r="E127" s="63">
        <f t="shared" si="4"/>
        <v>17120</v>
      </c>
    </row>
    <row r="128" spans="1:7" x14ac:dyDescent="0.3">
      <c r="A128" s="2">
        <v>7</v>
      </c>
      <c r="C128" s="38" t="s">
        <v>46</v>
      </c>
      <c r="D128" s="42">
        <f>TRUNC(4826,-1)</f>
        <v>4820</v>
      </c>
      <c r="E128" s="63">
        <f t="shared" si="4"/>
        <v>15930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TRUNC(21989,-1)</f>
        <v>21980</v>
      </c>
      <c r="E130" s="63">
        <f t="shared" si="4"/>
        <v>72660</v>
      </c>
    </row>
    <row r="131" spans="1:7" x14ac:dyDescent="0.3">
      <c r="A131" s="2">
        <v>10</v>
      </c>
      <c r="C131" s="38" t="s">
        <v>148</v>
      </c>
      <c r="D131" s="42">
        <f>TRUNC(71215,-1)</f>
        <v>71210</v>
      </c>
      <c r="E131" s="63">
        <f t="shared" si="4"/>
        <v>235400</v>
      </c>
    </row>
    <row r="132" spans="1:7" ht="18" thickBot="1" x14ac:dyDescent="0.35">
      <c r="A132" s="2">
        <v>11</v>
      </c>
      <c r="C132" s="38" t="s">
        <v>47</v>
      </c>
      <c r="D132" s="43">
        <f>TRUNC(2251+1372+8606,-1)</f>
        <v>12220</v>
      </c>
      <c r="E132" s="64">
        <f t="shared" si="4"/>
        <v>40390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130910</v>
      </c>
      <c r="E133" s="39">
        <f>SUM(E122:E132)</f>
        <v>432720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TRUNC(504+881+3218+977+1721,-1)</f>
        <v>7300</v>
      </c>
      <c r="E137" s="63">
        <f t="shared" si="5"/>
        <v>24130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f>TRUNC(2789,-1)</f>
        <v>2780</v>
      </c>
      <c r="E138" s="63">
        <f t="shared" si="5"/>
        <v>9190</v>
      </c>
    </row>
    <row r="139" spans="1:7" x14ac:dyDescent="0.3">
      <c r="A139" s="2">
        <v>4</v>
      </c>
      <c r="C139" s="38" t="s">
        <v>61</v>
      </c>
      <c r="D139" s="42">
        <f>TRUNC(4115,-1)</f>
        <v>4110</v>
      </c>
      <c r="E139" s="63">
        <f t="shared" si="5"/>
        <v>13580</v>
      </c>
    </row>
    <row r="140" spans="1:7" x14ac:dyDescent="0.3">
      <c r="A140" s="2">
        <v>5</v>
      </c>
      <c r="C140" s="38" t="s">
        <v>57</v>
      </c>
      <c r="D140" s="42">
        <f>TRUNC(843,-1)</f>
        <v>840</v>
      </c>
      <c r="E140" s="63">
        <f t="shared" si="5"/>
        <v>2770</v>
      </c>
    </row>
    <row r="141" spans="1:7" x14ac:dyDescent="0.3">
      <c r="A141" s="2">
        <v>6</v>
      </c>
      <c r="C141" s="38" t="s">
        <v>59</v>
      </c>
      <c r="D141" s="42">
        <f>TRUNC(30217,-1)</f>
        <v>30210</v>
      </c>
      <c r="E141" s="63">
        <f t="shared" si="5"/>
        <v>99860</v>
      </c>
    </row>
    <row r="142" spans="1:7" x14ac:dyDescent="0.3">
      <c r="A142" s="2">
        <v>7</v>
      </c>
      <c r="C142" s="38" t="s">
        <v>58</v>
      </c>
      <c r="D142" s="42">
        <f>TRUNC(7133,-1)</f>
        <v>7130</v>
      </c>
      <c r="E142" s="63">
        <f t="shared" si="5"/>
        <v>23570</v>
      </c>
    </row>
    <row r="143" spans="1:7" x14ac:dyDescent="0.3">
      <c r="A143" s="2">
        <v>8</v>
      </c>
      <c r="C143" s="38" t="s">
        <v>62</v>
      </c>
      <c r="D143" s="42">
        <f>TRUNC(3704,-1)</f>
        <v>3700</v>
      </c>
      <c r="E143" s="63">
        <f t="shared" si="5"/>
        <v>12230</v>
      </c>
    </row>
    <row r="144" spans="1:7" x14ac:dyDescent="0.3">
      <c r="A144" s="2">
        <v>9</v>
      </c>
      <c r="C144" s="38" t="s">
        <v>63</v>
      </c>
      <c r="D144" s="42">
        <f>TRUNC(18976,-1)</f>
        <v>18970</v>
      </c>
      <c r="E144" s="63">
        <f t="shared" si="5"/>
        <v>62710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75040</v>
      </c>
      <c r="E146" s="39">
        <f>SUM(E136:E145)</f>
        <v>248040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TRUNC(6245+769,-1)</f>
        <v>7010</v>
      </c>
      <c r="E149" s="62">
        <f>TRUNC(+D149*3.3058,-1)</f>
        <v>23170</v>
      </c>
    </row>
    <row r="150" spans="1:7" x14ac:dyDescent="0.3">
      <c r="A150" s="2">
        <v>2</v>
      </c>
      <c r="C150" s="38" t="s">
        <v>49</v>
      </c>
      <c r="D150" s="42">
        <f>TRUNC(3164,-1)</f>
        <v>3160</v>
      </c>
      <c r="E150" s="63">
        <f>TRUNC(+D150*3.3058,-1)</f>
        <v>10440</v>
      </c>
    </row>
    <row r="151" spans="1:7" x14ac:dyDescent="0.3">
      <c r="A151" s="2">
        <v>3</v>
      </c>
      <c r="C151" s="38" t="s">
        <v>50</v>
      </c>
      <c r="D151" s="42">
        <f>TRUNC(4553,-1)</f>
        <v>4550</v>
      </c>
      <c r="E151" s="63">
        <f>TRUNC(+D151*3.3058,-1)</f>
        <v>15040</v>
      </c>
    </row>
    <row r="152" spans="1:7" x14ac:dyDescent="0.3">
      <c r="A152" s="2">
        <v>4</v>
      </c>
      <c r="C152" s="38" t="s">
        <v>47</v>
      </c>
      <c r="D152" s="42">
        <f>TRUNC(97+2039+56+1499,-1)</f>
        <v>3690</v>
      </c>
      <c r="E152" s="63">
        <f>TRUNC(+D152*3.3058,-1)</f>
        <v>12190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f>TRUNC(29233,-1)</f>
        <v>29230</v>
      </c>
      <c r="E153" s="64">
        <f>TRUNC(+D153*3.3058,-1)</f>
        <v>96620</v>
      </c>
    </row>
    <row r="154" spans="1:7" x14ac:dyDescent="0.3">
      <c r="A154" s="2">
        <v>6</v>
      </c>
      <c r="C154" s="27" t="s">
        <v>112</v>
      </c>
      <c r="D154" s="39">
        <f>SUM(D149:D153)</f>
        <v>47640</v>
      </c>
      <c r="E154" s="39">
        <f>SUM(E149:E153)</f>
        <v>157460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TRUNC(24373,-1)</f>
        <v>24370</v>
      </c>
      <c r="E157" s="62">
        <f>TRUNC(+D157*3.3058,-1)</f>
        <v>80560</v>
      </c>
    </row>
    <row r="158" spans="1:7" x14ac:dyDescent="0.3">
      <c r="A158" s="2">
        <v>2</v>
      </c>
      <c r="C158" s="38" t="s">
        <v>52</v>
      </c>
      <c r="D158" s="42">
        <f>TRUNC(10519,-1)</f>
        <v>10510</v>
      </c>
      <c r="E158" s="63">
        <f>TRUNC(+D158*3.3058,-1)</f>
        <v>34740</v>
      </c>
    </row>
    <row r="159" spans="1:7" x14ac:dyDescent="0.3">
      <c r="A159" s="2">
        <v>3</v>
      </c>
      <c r="C159" s="38" t="s">
        <v>47</v>
      </c>
      <c r="D159" s="42">
        <f>4846+5414</f>
        <v>10260</v>
      </c>
      <c r="E159" s="63">
        <f>TRUNC(+D159*3.3058,-1)</f>
        <v>33910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45140</v>
      </c>
      <c r="E161" s="39">
        <f>SUM(E156:E160)</f>
        <v>149210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2020-12-08T02:07:39Z</dcterms:modified>
</cp:coreProperties>
</file>