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59" i="4"/>
  <c r="D158" i="4"/>
  <c r="D157" i="4"/>
  <c r="D152" i="4"/>
  <c r="D151" i="4"/>
  <c r="D150" i="4"/>
  <c r="D149" i="4"/>
  <c r="D137" i="4"/>
  <c r="D144" i="4"/>
  <c r="D143" i="4"/>
  <c r="D139" i="4"/>
  <c r="D138" i="4"/>
  <c r="D141" i="4"/>
  <c r="D142" i="4"/>
  <c r="D140" i="4"/>
  <c r="D132" i="4"/>
  <c r="D128" i="4"/>
  <c r="D124" i="4"/>
  <c r="D125" i="4"/>
  <c r="D122" i="4"/>
  <c r="D130" i="4"/>
  <c r="D126" i="4"/>
  <c r="D118" i="4"/>
  <c r="D105" i="4"/>
  <c r="D104" i="4"/>
  <c r="D103" i="4"/>
  <c r="D102" i="4"/>
  <c r="D101" i="4"/>
  <c r="D100" i="4"/>
  <c r="D114" i="4"/>
  <c r="D99" i="4"/>
  <c r="D98" i="4"/>
  <c r="D116" i="4"/>
  <c r="D94" i="4"/>
  <c r="D92" i="4"/>
  <c r="D91" i="4"/>
  <c r="D90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<sst xmlns="http://schemas.openxmlformats.org/spreadsheetml/2006/main" count="395" uniqueCount="268">
  <si>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</si>
  <si>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</si>
  <si>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</si>
  <si>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</si>
  <si>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</si>
  <si>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</si>
  <si>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</si>
  <si>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</si>
  <si>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</si>
  <si>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</si>
  <si>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</si>
  <si>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</si>
  <si>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</si>
  <si>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</si>
  <si>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</si>
  <si>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</si>
  <si>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</si>
  <si>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</si>
  <si>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</si>
  <si>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</si>
  <si>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</si>
  <si>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</si>
  <si>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</si>
  <si>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</si>
  <si>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</si>
  <si>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</si>
  <si>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</si>
  <si>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</si>
  <si>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</si>
  <si>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</si>
  <si>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</si>
  <si>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</si>
  <si>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</si>
  <si>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</si>
  <si>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</si>
  <si>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</si>
  <si>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</si>
  <si>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</si>
  <si>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</si>
  <si>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</si>
  <si>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</si>
  <si>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</si>
  <si>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</si>
  <si>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</si>
  <si>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</si>
  <si>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</si>
  <si>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</si>
  <si>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</si>
  <si>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</si>
  <si>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</si>
  <si>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</si>
  <si>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</si>
  <si>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</si>
  <si>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</si>
  <si>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</si>
  <si>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</si>
  <si>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</si>
  <si>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</si>
  <si>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</si>
  <si>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</si>
  <si>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</si>
  <si>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</si>
  <si>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</si>
  <si>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</si>
  <si>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</si>
  <si>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</si>
  <si>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</si>
  <si>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</si>
  <si>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</si>
  <si>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</si>
  <si>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</si>
  <si>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</si>
  <si>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</si>
  <si>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</si>
  <si>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</si>
  <si>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</si>
  <si>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</si>
  <si>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</si>
  <si>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</si>
  <si>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</si>
  <si>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</si>
  <si>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</si>
  <si>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</si>
  <si>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</si>
  <si>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</si>
  <si>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</si>
  <si>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</si>
  <si>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</si>
  <si>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</si>
  <si>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</si>
  <si>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</si>
  <si>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</si>
  <si>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</si>
  <si>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</si>
  <si>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</si>
  <si>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</si>
  <si>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</si>
  <si>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</si>
  <si>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</si>
  <si>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</si>
  <si>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</si>
  <si>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</si>
  <si>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</si>
  <si>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</si>
  <si>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</si>
  <si>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</si>
  <si>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</si>
  <si>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</si>
  <si>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</si>
  <si>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</si>
  <si>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</si>
  <si>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</si>
  <si>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</si>
  <si>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</si>
  <si>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</si>
  <si>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</si>
  <si>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</si>
  <si>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</si>
  <si>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</si>
  <si>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</si>
  <si>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</si>
  <si>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</si>
  <si>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</si>
  <si>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</si>
  <si>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</si>
  <si>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</si>
  <si>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</si>
  <si>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</si>
  <si>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</si>
  <si>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</si>
  <si>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</si>
  <si>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</si>
  <si>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</si>
  <si>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</si>
  <si>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</si>
  <si>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</si>
  <si>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</si>
  <si>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</si>
  <si>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</si>
  <si>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</si>
  <si>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</si>
  <si>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</si>
  <si>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</si>
  <si>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</si>
  <si>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</si>
  <si>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</si>
  <si>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</si>
  <si>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</si>
  <si>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</si>
  <si>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</si>
  <si>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</si>
  <si>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</si>
  <si>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</si>
  <si>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</si>
  <si>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</si>
  <si>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</si>
  <si>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</si>
  <si>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</si>
  <si>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</si>
  <si>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</si>
  <si>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</si>
  <si>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</si>
  <si>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</si>
  <si>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</si>
  <si>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</si>
  <si>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</si>
  <si>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</si>
  <si>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</si>
  <si>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</si>
  <si>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</si>
  <si>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</si>
  <si>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</si>
  <si>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</si>
  <si>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</si>
  <si>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</si>
  <si>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</si>
  <si>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</si>
  <si>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</si>
  <si>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</si>
  <si>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</si>
  <si>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</si>
  <si>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</si>
  <si>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</si>
  <si>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</si>
  <si>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</si>
  <si>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</si>
  <si>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</si>
  <si>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</si>
  <si>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</si>
  <si>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</si>
  <si>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</si>
  <si>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</si>
  <si>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</si>
  <si>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</si>
  <si>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</si>
  <si>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</si>
  <si>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</si>
  <si>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</si>
  <si>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</si>
  <si>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</si>
  <si>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</si>
  <si>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</si>
  <si>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</si>
  <si>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</si>
  <si>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</si>
  <si>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</si>
  <si>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</si>
  <si>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</si>
  <si>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</si>
  <si>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</si>
  <si>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</si>
  <si>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</si>
  <si>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</si>
  <si>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</si>
  <si>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</si>
  <si>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</si>
  <si>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</si>
  <si>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</si>
  <si>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</si>
  <si>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</si>
  <si>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</si>
  <si>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</si>
  <si>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</si>
  <si>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</si>
  <si>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</si>
  <si>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</si>
  <si>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</si>
  <si>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</si>
  <si>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</si>
  <si>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</si>
  <si>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</si>
  <si>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</si>
  <si>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</si>
  <si>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</si>
  <si>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</si>
  <si>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</si>
  <si>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</si>
  <si>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</si>
  <si>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</si>
  <si>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</si>
  <si>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</si>
  <si>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</si>
  <si>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</si>
  <si>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</si>
  <si>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</si>
  <si>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</si>
  <si>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</si>
  <si>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</si>
  <si>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국제종자생명교육센터 신축사업</t>
    <phoneticPr fontId="2" type="noConversion"/>
  </si>
  <si>
    <t>교육연구</t>
  </si>
  <si>
    <t>경상도</t>
  </si>
  <si>
    <t xml:space="preserve">(지붕및홈통공사 포함)  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</si>
  <si>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</si>
  <si>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</si>
  <si>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기초공사,골재비및운반비,작업부산물,기타공사</t>
    <phoneticPr fontId="2" type="noConversion"/>
  </si>
  <si>
    <t>난방배관공사,우수처리시설공사,기타공사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</si>
  <si>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</si>
  <si>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</si>
  <si>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</si>
  <si>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</si>
  <si>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</si>
  <si>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</si>
  <si>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</si>
  <si>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포장공사</t>
    <phoneticPr fontId="2" type="noConversion"/>
  </si>
  <si>
    <t>조경시설물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</si>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</sst>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6021.51</v>
      </c>
      <c r="D7" s="36">
        <f>+C7/3.3058</f>
        <v>1821.4985782563979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880840</v>
      </c>
      <c r="E25" s="59">
        <f t="shared" si="0"/>
        <v>2911880</v>
      </c>
    </row>
    <row r="26" spans="1:5" x14ac:dyDescent="0.3">
      <c r="B26" s="2">
        <v>3</v>
      </c>
      <c r="C26" s="35" t="s">
        <v>95</v>
      </c>
      <c r="D26" s="45">
        <f>+D66</f>
        <v>18270</v>
      </c>
      <c r="E26" s="59">
        <f t="shared" si="0"/>
        <v>60390</v>
      </c>
    </row>
    <row r="27" spans="1:5" x14ac:dyDescent="0.3">
      <c r="B27" s="2">
        <v>4</v>
      </c>
      <c r="C27" s="35" t="s">
        <v>96</v>
      </c>
      <c r="D27" s="45">
        <f>+D95</f>
        <v>245460</v>
      </c>
      <c r="E27" s="59">
        <f t="shared" si="0"/>
        <v>811440</v>
      </c>
    </row>
    <row r="28" spans="1:5" x14ac:dyDescent="0.3">
      <c r="B28" s="2">
        <v>5</v>
      </c>
      <c r="C28" s="35" t="s">
        <v>97</v>
      </c>
      <c r="D28" s="45">
        <f>+D119</f>
        <v>314360</v>
      </c>
      <c r="E28" s="59">
        <f t="shared" si="0"/>
        <v>1039210</v>
      </c>
    </row>
    <row r="29" spans="1:5" x14ac:dyDescent="0.3">
      <c r="B29" s="2">
        <v>6</v>
      </c>
      <c r="C29" s="35" t="s">
        <v>98</v>
      </c>
      <c r="D29" s="45">
        <f>+D133</f>
        <v>136950</v>
      </c>
      <c r="E29" s="59">
        <f t="shared" si="0"/>
        <v>452720</v>
      </c>
    </row>
    <row r="30" spans="1:5" x14ac:dyDescent="0.3">
      <c r="B30" s="2">
        <v>7</v>
      </c>
      <c r="C30" s="35" t="s">
        <v>99</v>
      </c>
      <c r="D30" s="45">
        <f>+D146</f>
        <v>48840</v>
      </c>
      <c r="E30" s="59">
        <f t="shared" si="0"/>
        <v>161450</v>
      </c>
    </row>
    <row r="31" spans="1:5" x14ac:dyDescent="0.3">
      <c r="B31" s="2">
        <v>8</v>
      </c>
      <c r="C31" s="35" t="s">
        <v>100</v>
      </c>
      <c r="D31" s="45">
        <f>+D154</f>
        <v>82080</v>
      </c>
      <c r="E31" s="59">
        <f t="shared" si="0"/>
        <v>271340</v>
      </c>
    </row>
    <row r="32" spans="1:5" x14ac:dyDescent="0.3">
      <c r="B32" s="2">
        <v>9</v>
      </c>
      <c r="C32" s="35" t="s">
        <v>101</v>
      </c>
      <c r="D32" s="45">
        <f>+D161</f>
        <v>50770</v>
      </c>
      <c r="E32" s="59">
        <f t="shared" si="0"/>
        <v>167830</v>
      </c>
    </row>
    <row r="33" spans="1:7" x14ac:dyDescent="0.3">
      <c r="B33" s="2">
        <v>10</v>
      </c>
      <c r="C33" s="35" t="s">
        <v>154</v>
      </c>
      <c r="D33" s="53">
        <f>TRUNC(SUM(D24:D32)*0.275,-1)</f>
        <v>488830</v>
      </c>
      <c r="E33" s="60">
        <f t="shared" si="0"/>
        <v>1615970</v>
      </c>
    </row>
    <row r="34" spans="1:7" x14ac:dyDescent="0.3">
      <c r="C34" s="35" t="s">
        <v>112</v>
      </c>
      <c r="D34" s="44">
        <f>SUM(D24:D33)</f>
        <v>2266400</v>
      </c>
      <c r="E34" s="44">
        <f>SUM(E24:E33)</f>
        <v>7492230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TRUNC(51282,-1)</f>
        <v>51280</v>
      </c>
      <c r="E40" s="62">
        <f t="shared" ref="E40:E59" si="1">TRUNC(+D40*3.3058,-1)</f>
        <v>169520</v>
      </c>
    </row>
    <row r="41" spans="1:7" x14ac:dyDescent="0.3">
      <c r="A41" s="2">
        <v>2</v>
      </c>
      <c r="C41" s="38" t="s">
        <v>13</v>
      </c>
      <c r="D41" s="42">
        <f>TRUNC(184313,-1)</f>
        <v>184310</v>
      </c>
      <c r="E41" s="63">
        <f t="shared" si="1"/>
        <v>609290</v>
      </c>
    </row>
    <row r="42" spans="1:7" x14ac:dyDescent="0.3">
      <c r="A42" s="2">
        <v>3</v>
      </c>
      <c r="C42" s="38" t="s">
        <v>14</v>
      </c>
      <c r="D42" s="42">
        <f>TRUNC(10199,-1)</f>
        <v>10190</v>
      </c>
      <c r="E42" s="63">
        <f t="shared" si="1"/>
        <v>33680</v>
      </c>
    </row>
    <row r="43" spans="1:7" x14ac:dyDescent="0.3">
      <c r="A43" s="2">
        <v>4</v>
      </c>
      <c r="C43" s="38" t="s">
        <v>16</v>
      </c>
      <c r="D43" s="42">
        <f>TRUNC(31015,-1)</f>
        <v>31010</v>
      </c>
      <c r="E43" s="63">
        <f t="shared" si="1"/>
        <v>102510</v>
      </c>
    </row>
    <row r="44" spans="1:7" x14ac:dyDescent="0.3">
      <c r="A44" s="2">
        <v>5</v>
      </c>
      <c r="C44" s="38" t="s">
        <v>17</v>
      </c>
      <c r="D44" s="42">
        <f>TRUNC(30957,-1)</f>
        <v>30950</v>
      </c>
      <c r="E44" s="63">
        <f t="shared" si="1"/>
        <v>102310</v>
      </c>
    </row>
    <row r="45" spans="1:7" x14ac:dyDescent="0.3">
      <c r="A45" s="2">
        <v>6</v>
      </c>
      <c r="C45" s="38" t="s">
        <v>18</v>
      </c>
      <c r="D45" s="42">
        <f>TRUNC(34539,-1)</f>
        <v>34530</v>
      </c>
      <c r="E45" s="63">
        <f t="shared" si="1"/>
        <v>114140</v>
      </c>
    </row>
    <row r="46" spans="1:7" x14ac:dyDescent="0.3">
      <c r="A46" s="2">
        <v>7</v>
      </c>
      <c r="C46" s="38" t="s">
        <v>19</v>
      </c>
      <c r="D46" s="42">
        <f>TRUNC(57752,-1)</f>
        <v>57750</v>
      </c>
      <c r="E46" s="63">
        <f t="shared" si="1"/>
        <v>190900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TRUNC(26649,-1)</f>
        <v>26640</v>
      </c>
      <c r="E48" s="63">
        <f t="shared" si="1"/>
        <v>88060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TRUNC(14546,-1)</f>
        <v>14540</v>
      </c>
      <c r="E49" s="63">
        <f t="shared" si="1"/>
        <v>48060</v>
      </c>
    </row>
    <row r="50" spans="1:7" x14ac:dyDescent="0.3">
      <c r="A50" s="2">
        <v>11</v>
      </c>
      <c r="C50" s="38" t="s">
        <v>155</v>
      </c>
      <c r="D50" s="42">
        <f>TRUNC(61823,-1)</f>
        <v>61820</v>
      </c>
      <c r="E50" s="63">
        <f t="shared" si="1"/>
        <v>204360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TRUNC(13465,-1)</f>
        <v>13460</v>
      </c>
      <c r="E52" s="63">
        <f t="shared" si="1"/>
        <v>44490</v>
      </c>
    </row>
    <row r="53" spans="1:7" x14ac:dyDescent="0.3">
      <c r="A53" s="2">
        <v>14</v>
      </c>
      <c r="C53" s="38" t="s">
        <v>25</v>
      </c>
      <c r="D53" s="42">
        <f>TRUNC(83371,-1)</f>
        <v>83370</v>
      </c>
      <c r="E53" s="63">
        <f t="shared" si="1"/>
        <v>275600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TRUNC(14824+8023-754+6962,-1)</f>
        <v>29050</v>
      </c>
      <c r="E58" s="63">
        <f t="shared" si="1"/>
        <v>96030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TRUNC(251940,-1)</f>
        <v>251940</v>
      </c>
      <c r="E59" s="64">
        <f t="shared" si="1"/>
        <v>832860</v>
      </c>
    </row>
    <row r="60" spans="1:7" x14ac:dyDescent="0.3">
      <c r="A60" s="2">
        <v>21</v>
      </c>
      <c r="C60" s="27" t="s">
        <v>112</v>
      </c>
      <c r="D60" s="39">
        <f>SUM(D40:D59)</f>
        <v>880840</v>
      </c>
      <c r="E60" s="39">
        <f>SUM(E40:E59)</f>
        <v>2911810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TRUNC(18272,-1)</f>
        <v>18270</v>
      </c>
      <c r="E63" s="62">
        <f>TRUNC(+D63*3.3058,-1)</f>
        <v>60390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18270</v>
      </c>
      <c r="E66" s="65">
        <f>SUM(E63:E65)</f>
        <v>60390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TRUNC(16162,-1)</f>
        <v>16160</v>
      </c>
      <c r="E69" s="62">
        <f t="shared" ref="E69:E94" si="2">TRUNC(+D69*3.3058,-1)</f>
        <v>53420</v>
      </c>
    </row>
    <row r="70" spans="1:7" ht="16.5" customHeight="1" x14ac:dyDescent="0.3">
      <c r="A70" s="2">
        <v>2</v>
      </c>
      <c r="C70" s="38" t="s">
        <v>31</v>
      </c>
      <c r="D70" s="42">
        <f>TRUNC(1668,-1)</f>
        <v>1660</v>
      </c>
      <c r="E70" s="63">
        <f t="shared" si="2"/>
        <v>5480</v>
      </c>
    </row>
    <row r="71" spans="1:7" x14ac:dyDescent="0.3">
      <c r="A71" s="2">
        <v>3</v>
      </c>
      <c r="C71" s="38" t="s">
        <v>32</v>
      </c>
      <c r="D71" s="42">
        <f>TRUNC(6044,-1)</f>
        <v>6040</v>
      </c>
      <c r="E71" s="63">
        <f t="shared" si="2"/>
        <v>19960</v>
      </c>
    </row>
    <row r="72" spans="1:7" x14ac:dyDescent="0.3">
      <c r="A72" s="2">
        <v>4</v>
      </c>
      <c r="C72" s="38" t="s">
        <v>33</v>
      </c>
      <c r="D72" s="42">
        <f>TRUNC(8607,-1)</f>
        <v>8600</v>
      </c>
      <c r="E72" s="63">
        <f t="shared" si="2"/>
        <v>28420</v>
      </c>
    </row>
    <row r="73" spans="1:7" x14ac:dyDescent="0.3">
      <c r="A73" s="2">
        <v>5</v>
      </c>
      <c r="C73" s="38" t="s">
        <v>34</v>
      </c>
      <c r="D73" s="42">
        <f>TRUNC(15976,-1)</f>
        <v>15970</v>
      </c>
      <c r="E73" s="63">
        <f t="shared" si="2"/>
        <v>52790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TRUNC(14268,-1)</f>
        <v>14260</v>
      </c>
      <c r="E89" s="63">
        <f t="shared" si="2"/>
        <v>47140</v>
      </c>
    </row>
    <row r="90" spans="1:7" x14ac:dyDescent="0.3">
      <c r="A90" s="2">
        <v>22</v>
      </c>
      <c r="C90" s="38" t="s">
        <v>36</v>
      </c>
      <c r="D90" s="42">
        <f>TRUNC(1844,-1)</f>
        <v>1840</v>
      </c>
      <c r="E90" s="63">
        <f t="shared" si="2"/>
        <v>6080</v>
      </c>
    </row>
    <row r="91" spans="1:7" x14ac:dyDescent="0.3">
      <c r="A91" s="2">
        <v>23</v>
      </c>
      <c r="C91" s="38" t="s">
        <v>37</v>
      </c>
      <c r="D91" s="42">
        <f>TRUNC(11647,-1)</f>
        <v>11640</v>
      </c>
      <c r="E91" s="63">
        <f t="shared" si="2"/>
        <v>38470</v>
      </c>
    </row>
    <row r="92" spans="1:7" x14ac:dyDescent="0.3">
      <c r="A92" s="2">
        <v>24</v>
      </c>
      <c r="C92" s="38" t="s">
        <v>38</v>
      </c>
      <c r="D92" s="42">
        <f>TRUNC(9979,-1)</f>
        <v>9970</v>
      </c>
      <c r="E92" s="63">
        <f t="shared" si="2"/>
        <v>32950</v>
      </c>
    </row>
    <row r="93" spans="1:7" x14ac:dyDescent="0.3">
      <c r="A93" s="2">
        <v>25</v>
      </c>
      <c r="C93" s="38" t="s">
        <v>148</v>
      </c>
      <c r="D93" s="42">
        <f>TRUNC(148641,-1)</f>
        <v>148640</v>
      </c>
      <c r="E93" s="63">
        <f t="shared" si="2"/>
        <v>491370</v>
      </c>
    </row>
    <row r="94" spans="1:7" ht="17.25" thickBot="1" x14ac:dyDescent="0.35">
      <c r="A94" s="2">
        <v>26</v>
      </c>
      <c r="C94" s="38" t="s">
        <v>47</v>
      </c>
      <c r="D94" s="43">
        <f>TRUNC(2268+5432+2981,-1)</f>
        <v>10680</v>
      </c>
      <c r="E94" s="64">
        <f t="shared" si="2"/>
        <v>35300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245460</v>
      </c>
      <c r="E95" s="39">
        <f>SUM(E69:E94)</f>
        <v>811380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TRUNC(25687,-1)</f>
        <v>25680</v>
      </c>
      <c r="E98" s="62">
        <f t="shared" ref="E98:E118" si="3">TRUNC(+D98*3.3058,-1)</f>
        <v>84890</v>
      </c>
    </row>
    <row r="99" spans="1:7" x14ac:dyDescent="0.3">
      <c r="A99" s="2">
        <v>2</v>
      </c>
      <c r="C99" s="38" t="s">
        <v>40</v>
      </c>
      <c r="D99" s="42">
        <f>TRUNC(21409,-1)</f>
        <v>21400</v>
      </c>
      <c r="E99" s="63">
        <f t="shared" si="3"/>
        <v>70740</v>
      </c>
    </row>
    <row r="100" spans="1:7" x14ac:dyDescent="0.3">
      <c r="A100" s="2">
        <v>3</v>
      </c>
      <c r="C100" s="38" t="s">
        <v>41</v>
      </c>
      <c r="D100" s="42">
        <f>TRUNC(39304,-1)</f>
        <v>39300</v>
      </c>
      <c r="E100" s="63">
        <f t="shared" si="3"/>
        <v>129910</v>
      </c>
    </row>
    <row r="101" spans="1:7" x14ac:dyDescent="0.3">
      <c r="A101" s="2">
        <v>4</v>
      </c>
      <c r="C101" s="38" t="s">
        <v>42</v>
      </c>
      <c r="D101" s="42">
        <f>TRUNC(1215,-1)</f>
        <v>1210</v>
      </c>
      <c r="E101" s="63">
        <f t="shared" si="3"/>
        <v>4000</v>
      </c>
    </row>
    <row r="102" spans="1:7" x14ac:dyDescent="0.3">
      <c r="A102" s="2">
        <v>5</v>
      </c>
      <c r="C102" s="38" t="s">
        <v>43</v>
      </c>
      <c r="D102" s="42">
        <f>TRUNC(15472,-1)</f>
        <v>15470</v>
      </c>
      <c r="E102" s="63">
        <f t="shared" si="3"/>
        <v>51140</v>
      </c>
    </row>
    <row r="103" spans="1:7" x14ac:dyDescent="0.3">
      <c r="A103" s="2">
        <v>6</v>
      </c>
      <c r="C103" s="38" t="s">
        <v>44</v>
      </c>
      <c r="D103" s="42">
        <f>TRUNC(1992,-1)</f>
        <v>1990</v>
      </c>
      <c r="E103" s="63">
        <f t="shared" si="3"/>
        <v>6570</v>
      </c>
    </row>
    <row r="104" spans="1:7" x14ac:dyDescent="0.3">
      <c r="A104" s="2">
        <v>7</v>
      </c>
      <c r="C104" s="38" t="s">
        <v>45</v>
      </c>
      <c r="D104" s="42">
        <f>TRUNC(4772,-1)</f>
        <v>4770</v>
      </c>
      <c r="E104" s="63">
        <f t="shared" si="3"/>
        <v>15760</v>
      </c>
    </row>
    <row r="105" spans="1:7" x14ac:dyDescent="0.3">
      <c r="A105" s="2">
        <v>8</v>
      </c>
      <c r="C105" s="38" t="s">
        <v>46</v>
      </c>
      <c r="D105" s="42">
        <f>TRUNC(11890,-1)</f>
        <v>11890</v>
      </c>
      <c r="E105" s="63">
        <f t="shared" si="3"/>
        <v>39300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TRUNC(7541,-1)</f>
        <v>7540</v>
      </c>
      <c r="E114" s="63">
        <f t="shared" si="3"/>
        <v>24920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TRUNC(7524,-1)</f>
        <v>7520</v>
      </c>
      <c r="E116" s="63">
        <f t="shared" si="3"/>
        <v>24850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TRUNC(172567,-1)</f>
        <v>172560</v>
      </c>
      <c r="E117" s="63">
        <f t="shared" si="3"/>
        <v>570440</v>
      </c>
    </row>
    <row r="118" spans="1:7" ht="17.25" thickBot="1" x14ac:dyDescent="0.35">
      <c r="A118" s="2">
        <v>21</v>
      </c>
      <c r="C118" s="38" t="s">
        <v>47</v>
      </c>
      <c r="D118" s="43">
        <f>TRUNC(5030,-1)</f>
        <v>5030</v>
      </c>
      <c r="E118" s="64">
        <f t="shared" si="3"/>
        <v>16620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314360</v>
      </c>
      <c r="E119" s="39">
        <f>SUM(E98:E118)</f>
        <v>1039140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TRUNC(5980,-1)</f>
        <v>5980</v>
      </c>
      <c r="E122" s="62">
        <f t="shared" ref="E122:E132" si="4">TRUNC(+D122*3.3058,-1)</f>
        <v>19760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TRUNC(5559,-1)</f>
        <v>5550</v>
      </c>
      <c r="E124" s="63">
        <f t="shared" si="4"/>
        <v>18340</v>
      </c>
    </row>
    <row r="125" spans="1:7" x14ac:dyDescent="0.3">
      <c r="A125" s="2">
        <v>4</v>
      </c>
      <c r="C125" s="38" t="s">
        <v>138</v>
      </c>
      <c r="D125" s="42">
        <f>TRUNC(10043,-1)</f>
        <v>10040</v>
      </c>
      <c r="E125" s="63">
        <f t="shared" si="4"/>
        <v>33190</v>
      </c>
    </row>
    <row r="126" spans="1:7" x14ac:dyDescent="0.3">
      <c r="A126" s="2">
        <v>5</v>
      </c>
      <c r="C126" s="38" t="s">
        <v>53</v>
      </c>
      <c r="D126" s="42">
        <f>TRUNC(1835,-1)</f>
        <v>1830</v>
      </c>
      <c r="E126" s="63">
        <f t="shared" si="4"/>
        <v>6040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TRUNC(9903,-1)</f>
        <v>9900</v>
      </c>
      <c r="E128" s="63">
        <f t="shared" si="4"/>
        <v>32720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TRUNC(33868,-1)</f>
        <v>33860</v>
      </c>
      <c r="E130" s="63">
        <f t="shared" si="4"/>
        <v>111930</v>
      </c>
    </row>
    <row r="131" spans="1:7" x14ac:dyDescent="0.3">
      <c r="A131" s="2">
        <v>10</v>
      </c>
      <c r="C131" s="38" t="s">
        <v>148</v>
      </c>
      <c r="D131" s="42">
        <f>TRUNC(55795,-1)</f>
        <v>55790</v>
      </c>
      <c r="E131" s="63">
        <f t="shared" si="4"/>
        <v>184430</v>
      </c>
    </row>
    <row r="132" spans="1:7" ht="18" thickBot="1" x14ac:dyDescent="0.35">
      <c r="A132" s="2">
        <v>11</v>
      </c>
      <c r="C132" s="38" t="s">
        <v>47</v>
      </c>
      <c r="D132" s="43">
        <f>TRUNC(9595+4124+286,-1)</f>
        <v>14000</v>
      </c>
      <c r="E132" s="64">
        <f t="shared" si="4"/>
        <v>46280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136950</v>
      </c>
      <c r="E133" s="39">
        <f>SUM(E122:E132)</f>
        <v>452690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TRUNC(1152+3062+286,-1)</f>
        <v>4500</v>
      </c>
      <c r="E137" s="63">
        <f t="shared" si="5"/>
        <v>14870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TRUNC(784,-1)</f>
        <v>780</v>
      </c>
      <c r="E138" s="63">
        <f t="shared" si="5"/>
        <v>2570</v>
      </c>
    </row>
    <row r="139" spans="1:7" x14ac:dyDescent="0.3">
      <c r="A139" s="2">
        <v>4</v>
      </c>
      <c r="C139" s="38" t="s">
        <v>61</v>
      </c>
      <c r="D139" s="42">
        <f>TRUNC(2552,-1)</f>
        <v>2550</v>
      </c>
      <c r="E139" s="63">
        <f t="shared" si="5"/>
        <v>8420</v>
      </c>
    </row>
    <row r="140" spans="1:7" x14ac:dyDescent="0.3">
      <c r="A140" s="2">
        <v>5</v>
      </c>
      <c r="C140" s="38" t="s">
        <v>57</v>
      </c>
      <c r="D140" s="42">
        <f>TRUNC(2276,-1)</f>
        <v>2270</v>
      </c>
      <c r="E140" s="63">
        <f t="shared" si="5"/>
        <v>7500</v>
      </c>
    </row>
    <row r="141" spans="1:7" x14ac:dyDescent="0.3">
      <c r="A141" s="2">
        <v>6</v>
      </c>
      <c r="C141" s="38" t="s">
        <v>59</v>
      </c>
      <c r="D141" s="42">
        <f>TRUNC(4866,-1)</f>
        <v>4860</v>
      </c>
      <c r="E141" s="63">
        <f t="shared" si="5"/>
        <v>16060</v>
      </c>
    </row>
    <row r="142" spans="1:7" x14ac:dyDescent="0.3">
      <c r="A142" s="2">
        <v>7</v>
      </c>
      <c r="C142" s="38" t="s">
        <v>58</v>
      </c>
      <c r="D142" s="42">
        <f>TRUNC(3601,-1)</f>
        <v>3600</v>
      </c>
      <c r="E142" s="63">
        <f t="shared" si="5"/>
        <v>11900</v>
      </c>
    </row>
    <row r="143" spans="1:7" x14ac:dyDescent="0.3">
      <c r="A143" s="2">
        <v>8</v>
      </c>
      <c r="C143" s="38" t="s">
        <v>62</v>
      </c>
      <c r="D143" s="42">
        <f>TRUNC(5173,-1)</f>
        <v>5170</v>
      </c>
      <c r="E143" s="63">
        <f t="shared" si="5"/>
        <v>17090</v>
      </c>
    </row>
    <row r="144" spans="1:7" x14ac:dyDescent="0.3">
      <c r="A144" s="2">
        <v>9</v>
      </c>
      <c r="C144" s="38" t="s">
        <v>63</v>
      </c>
      <c r="D144" s="42">
        <f>TRUNC(25113,-1)</f>
        <v>25110</v>
      </c>
      <c r="E144" s="63">
        <f t="shared" si="5"/>
        <v>83000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48840</v>
      </c>
      <c r="E146" s="39">
        <f>SUM(E136:E145)</f>
        <v>161410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TRUNC(17493+2457,-1)</f>
        <v>19950</v>
      </c>
      <c r="E149" s="62">
        <f>TRUNC(+D149*3.3058,-1)</f>
        <v>65950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TRUNC(10625,-1)</f>
        <v>10620</v>
      </c>
      <c r="E150" s="63">
        <f>TRUNC(+D150*3.3058,-1)</f>
        <v>35100</v>
      </c>
    </row>
    <row r="151" spans="1:7" x14ac:dyDescent="0.3">
      <c r="A151" s="2">
        <v>3</v>
      </c>
      <c r="C151" s="38" t="s">
        <v>50</v>
      </c>
      <c r="D151" s="42">
        <f>TRUNC(6715,-1)</f>
        <v>6710</v>
      </c>
      <c r="E151" s="63">
        <f>TRUNC(+D151*3.3058,-1)</f>
        <v>22180</v>
      </c>
    </row>
    <row r="152" spans="1:7" x14ac:dyDescent="0.3">
      <c r="A152" s="2">
        <v>4</v>
      </c>
      <c r="C152" s="38" t="s">
        <v>47</v>
      </c>
      <c r="D152" s="42">
        <f>TRUNC(21806+2020,-1)</f>
        <v>23820</v>
      </c>
      <c r="E152" s="63">
        <f>TRUNC(+D152*3.3058,-1)</f>
        <v>78740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TRUNC(20981,-1)</f>
        <v>20980</v>
      </c>
      <c r="E153" s="64">
        <f>TRUNC(+D153*3.3058,-1)</f>
        <v>69350</v>
      </c>
    </row>
    <row r="154" spans="1:7" x14ac:dyDescent="0.3">
      <c r="A154" s="2">
        <v>6</v>
      </c>
      <c r="C154" s="27" t="s">
        <v>112</v>
      </c>
      <c r="D154" s="39">
        <f>SUM(D149:D153)</f>
        <v>82080</v>
      </c>
      <c r="E154" s="39">
        <f>SUM(E149:E153)</f>
        <v>271320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TRUNC(28879,-1)</f>
        <v>28870</v>
      </c>
      <c r="E157" s="62">
        <f>TRUNC(+D157*3.3058,-1)</f>
        <v>95430</v>
      </c>
    </row>
    <row r="158" spans="1:7" x14ac:dyDescent="0.3">
      <c r="A158" s="2">
        <v>2</v>
      </c>
      <c r="C158" s="38" t="s">
        <v>52</v>
      </c>
      <c r="D158" s="42">
        <f>TRUNC(16023,-1)</f>
        <v>16020</v>
      </c>
      <c r="E158" s="63">
        <f>TRUNC(+D158*3.3058,-1)</f>
        <v>52950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TRUNC(5888,-1)</f>
        <v>5880</v>
      </c>
      <c r="E159" s="63">
        <f>TRUNC(+D159*3.3058,-1)</f>
        <v>19430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50770</v>
      </c>
      <c r="E161" s="39">
        <f>SUM(E157:E160)</f>
        <v>167810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2020-12-08T02:00:16Z</dcterms:modified>
</cp:coreProperties>
</file>