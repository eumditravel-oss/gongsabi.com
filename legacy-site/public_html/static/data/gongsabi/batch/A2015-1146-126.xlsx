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1" i="4"/>
  <c r="D140" i="4"/>
  <c r="D137" i="4"/>
  <c r="D132" i="4"/>
  <c r="D131" i="4"/>
  <c r="D128" i="4"/>
  <c r="D130" i="4"/>
  <c r="D125" i="4"/>
  <c r="D124" i="4"/>
  <c r="D122" i="4"/>
  <c r="D118" i="4"/>
  <c r="D117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<sst xmlns="http://schemas.openxmlformats.org/spreadsheetml/2006/main" count="391" uniqueCount="267">
  <si>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</si>
  <si>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</si>
  <si>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</si>
  <si>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</si>
  <si>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</si>
  <si>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</si>
  <si>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</si>
  <si>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</si>
  <si>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</si>
  <si>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</si>
  <si>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</si>
  <si>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</si>
  <si>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</si>
  <si>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</si>
  <si>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</si>
  <si>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</si>
  <si>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</si>
  <si>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</si>
  <si>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</si>
  <si>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</si>
  <si>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</si>
  <si>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</si>
  <si>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</si>
  <si>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</si>
  <si>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</si>
  <si>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</si>
  <si>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</si>
  <si>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</si>
  <si>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</si>
  <si>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</si>
  <si>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</si>
  <si>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</si>
  <si>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</si>
  <si>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</si>
  <si>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</si>
  <si>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</si>
  <si>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</si>
  <si>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</si>
  <si>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</si>
  <si>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</si>
  <si>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</si>
  <si>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</si>
  <si>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</si>
  <si>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</si>
  <si>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</si>
  <si>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</si>
  <si>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</si>
  <si>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</si>
  <si>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</si>
  <si>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</si>
  <si>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</si>
  <si>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</si>
  <si>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</si>
  <si>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</si>
  <si>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</si>
  <si>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</si>
  <si>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</si>
  <si>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</si>
  <si>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</si>
  <si>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</si>
  <si>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</si>
  <si>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</si>
  <si>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</si>
  <si>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</si>
  <si>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</si>
  <si>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</si>
  <si>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</si>
  <si>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</si>
  <si>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</si>
  <si>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</si>
  <si>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</si>
  <si>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</si>
  <si>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</si>
  <si>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</si>
  <si>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</si>
  <si>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</si>
  <si>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</si>
  <si>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</si>
  <si>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</si>
  <si>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</si>
  <si>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</si>
  <si>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</si>
  <si>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</si>
  <si>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</si>
  <si>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</si>
  <si>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</si>
  <si>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</si>
  <si>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</si>
  <si>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</si>
  <si>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</si>
  <si>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</si>
  <si>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</si>
  <si>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</si>
  <si>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</si>
  <si>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</si>
  <si>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</si>
  <si>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</si>
  <si>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</si>
  <si>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</si>
  <si>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</si>
  <si>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</si>
  <si>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</si>
  <si>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</si>
  <si>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</si>
  <si>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</si>
  <si>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</si>
  <si>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</si>
  <si>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</si>
  <si>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</si>
  <si>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</si>
  <si>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</si>
  <si>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</si>
  <si>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</si>
  <si>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</si>
  <si>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</si>
  <si>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</si>
  <si>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</si>
  <si>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</si>
  <si>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</si>
  <si>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</si>
  <si>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</si>
  <si>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</si>
  <si>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</si>
  <si>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</si>
  <si>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</si>
  <si>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</si>
  <si>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</si>
  <si>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</si>
  <si>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</si>
  <si>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</si>
  <si>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</si>
  <si>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</si>
  <si>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</si>
  <si>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</si>
  <si>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</si>
  <si>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</si>
  <si>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</si>
  <si>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</si>
  <si>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</si>
  <si>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</si>
  <si>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</si>
  <si>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</si>
  <si>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</si>
  <si>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</si>
  <si>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</si>
  <si>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</si>
  <si>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</si>
  <si>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</si>
  <si>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</si>
  <si>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</si>
  <si>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</si>
  <si>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</si>
  <si>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</si>
  <si>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</si>
  <si>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</si>
  <si>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</si>
  <si>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</si>
  <si>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</si>
  <si>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</si>
  <si>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</si>
  <si>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</si>
  <si>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</si>
  <si>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</si>
  <si>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</si>
  <si>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</si>
  <si>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</si>
  <si>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</si>
  <si>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</si>
  <si>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</si>
  <si>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</si>
  <si>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</si>
  <si>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</si>
  <si>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</si>
  <si>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</si>
  <si>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</si>
  <si>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</si>
  <si>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</si>
  <si>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</si>
  <si>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</si>
  <si>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</si>
  <si>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</si>
  <si>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</si>
  <si>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</si>
  <si>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</si>
  <si>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</si>
  <si>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</si>
  <si>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</si>
  <si>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</si>
  <si>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</si>
  <si>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</si>
  <si>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</si>
  <si>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</si>
  <si>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</si>
  <si>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</si>
  <si>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</si>
  <si>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</si>
  <si>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</si>
  <si>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</si>
  <si>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</si>
  <si>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</si>
  <si>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</si>
  <si>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</si>
  <si>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</si>
  <si>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</si>
  <si>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</si>
  <si>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</si>
  <si>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</si>
  <si>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</si>
  <si>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</si>
  <si>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</si>
  <si>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</si>
  <si>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</si>
  <si>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</si>
  <si>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</si>
  <si>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</si>
  <si>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</si>
  <si>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</si>
  <si>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</si>
  <si>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</si>
  <si>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</si>
  <si>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</si>
  <si>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</si>
  <si>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</si>
  <si>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</si>
  <si>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</si>
  <si>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</si>
  <si>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</si>
  <si>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</si>
  <si>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</si>
  <si>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</si>
  <si>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</si>
  <si>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</si>
  <si>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</si>
  <si>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</si>
  <si>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</si>
  <si>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</si>
  <si>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</si>
  <si>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</si>
  <si>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</si>
  <si>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</si>
  <si>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</si>
  <si>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</si>
  <si>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</si>
  <si>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</si>
  <si>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</si>
  <si>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</si>
  <si>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</si>
  <si>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</si>
  <si>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</si>
  <si>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</si>
  <si>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</si>
  <si>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</si>
  <si>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</si>
  <si>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</si>
  <si>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</si>
  <si>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</si>
  <si>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</si>
  <si>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</si>
  <si>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</si>
  <si>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(가칭)대구강림초등학교 신축공사</t>
    <phoneticPr fontId="2" type="noConversion"/>
  </si>
  <si>
    <t>대구시</t>
  </si>
  <si>
    <t>공조배관공사,기타공사</t>
    <phoneticPr fontId="2" type="noConversion"/>
  </si>
  <si>
    <t>옥외보안등설비공사</t>
    <phoneticPr fontId="2" type="noConversion"/>
  </si>
  <si>
    <t>옥외소화배관공사, 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</si>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</sst>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11708.41</v>
      </c>
      <c r="D7" s="36">
        <f>+C7/3.3058</f>
        <v>3541.7780869986082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742820</v>
      </c>
      <c r="E25" s="59">
        <f t="shared" si="0"/>
        <v>2455610</v>
      </c>
    </row>
    <row r="26" spans="1:5" x14ac:dyDescent="0.3">
      <c r="B26" s="2">
        <v>3</v>
      </c>
      <c r="C26" s="35" t="s">
        <v>95</v>
      </c>
      <c r="D26" s="45">
        <f>+D66</f>
        <v>1970</v>
      </c>
      <c r="E26" s="59">
        <f t="shared" si="0"/>
        <v>6510</v>
      </c>
    </row>
    <row r="27" spans="1:5" x14ac:dyDescent="0.3">
      <c r="B27" s="2">
        <v>4</v>
      </c>
      <c r="C27" s="35" t="s">
        <v>96</v>
      </c>
      <c r="D27" s="45">
        <f>+D95</f>
        <v>157870</v>
      </c>
      <c r="E27" s="59">
        <f t="shared" si="0"/>
        <v>521880</v>
      </c>
    </row>
    <row r="28" spans="1:5" x14ac:dyDescent="0.3">
      <c r="B28" s="2">
        <v>5</v>
      </c>
      <c r="C28" s="35" t="s">
        <v>97</v>
      </c>
      <c r="D28" s="45">
        <f>+D119</f>
        <v>175630</v>
      </c>
      <c r="E28" s="59">
        <f t="shared" si="0"/>
        <v>580590</v>
      </c>
    </row>
    <row r="29" spans="1:5" x14ac:dyDescent="0.3">
      <c r="B29" s="2">
        <v>6</v>
      </c>
      <c r="C29" s="35" t="s">
        <v>98</v>
      </c>
      <c r="D29" s="45">
        <f>+D133</f>
        <v>66660</v>
      </c>
      <c r="E29" s="59">
        <f t="shared" si="0"/>
        <v>220360</v>
      </c>
    </row>
    <row r="30" spans="1:5" x14ac:dyDescent="0.3">
      <c r="B30" s="2">
        <v>7</v>
      </c>
      <c r="C30" s="35" t="s">
        <v>99</v>
      </c>
      <c r="D30" s="45">
        <f>+D146</f>
        <v>25620</v>
      </c>
      <c r="E30" s="59">
        <f t="shared" si="0"/>
        <v>84690</v>
      </c>
    </row>
    <row r="31" spans="1:5" x14ac:dyDescent="0.3">
      <c r="B31" s="2">
        <v>8</v>
      </c>
      <c r="C31" s="35" t="s">
        <v>100</v>
      </c>
      <c r="D31" s="45">
        <f>+D154</f>
        <v>33940</v>
      </c>
      <c r="E31" s="59">
        <f t="shared" si="0"/>
        <v>112190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331240</v>
      </c>
      <c r="E33" s="60">
        <f t="shared" si="0"/>
        <v>1095010</v>
      </c>
    </row>
    <row r="34" spans="1:7" x14ac:dyDescent="0.3">
      <c r="C34" s="35" t="s">
        <v>112</v>
      </c>
      <c r="D34" s="44">
        <f>SUM(D24:D33)</f>
        <v>1535750</v>
      </c>
      <c r="E34" s="44">
        <f>SUM(E24:E33)</f>
        <v>5076840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TRUNC(34584,-1)</f>
        <v>34580</v>
      </c>
      <c r="E40" s="62">
        <f t="shared" ref="E40:E59" si="1">TRUNC(+D40*3.3058,-1)</f>
        <v>114310</v>
      </c>
    </row>
    <row r="41" spans="1:7" x14ac:dyDescent="0.3">
      <c r="A41" s="2">
        <v>2</v>
      </c>
      <c r="C41" s="38" t="s">
        <v>13</v>
      </c>
      <c r="D41" s="42">
        <f>TRUNC(111854,-1)</f>
        <v>111850</v>
      </c>
      <c r="E41" s="63">
        <f t="shared" si="1"/>
        <v>369750</v>
      </c>
    </row>
    <row r="42" spans="1:7" x14ac:dyDescent="0.3">
      <c r="A42" s="2">
        <v>3</v>
      </c>
      <c r="C42" s="38" t="s">
        <v>14</v>
      </c>
      <c r="D42" s="42">
        <f>TRUNC(7201,-1)</f>
        <v>7200</v>
      </c>
      <c r="E42" s="63">
        <f t="shared" si="1"/>
        <v>23800</v>
      </c>
    </row>
    <row r="43" spans="1:7" x14ac:dyDescent="0.3">
      <c r="A43" s="2">
        <v>4</v>
      </c>
      <c r="C43" s="38" t="s">
        <v>16</v>
      </c>
      <c r="D43" s="42">
        <f>TRUNC(30599,-1)</f>
        <v>30590</v>
      </c>
      <c r="E43" s="63">
        <f t="shared" si="1"/>
        <v>101120</v>
      </c>
    </row>
    <row r="44" spans="1:7" x14ac:dyDescent="0.3">
      <c r="A44" s="2">
        <v>5</v>
      </c>
      <c r="C44" s="38" t="s">
        <v>17</v>
      </c>
      <c r="D44" s="42">
        <f>TRUNC(20641,-1)</f>
        <v>20640</v>
      </c>
      <c r="E44" s="63">
        <f t="shared" si="1"/>
        <v>68230</v>
      </c>
    </row>
    <row r="45" spans="1:7" x14ac:dyDescent="0.3">
      <c r="A45" s="2">
        <v>6</v>
      </c>
      <c r="C45" s="38" t="s">
        <v>18</v>
      </c>
      <c r="D45" s="42">
        <f>TRUNC(11668,-1)</f>
        <v>11660</v>
      </c>
      <c r="E45" s="63">
        <f t="shared" si="1"/>
        <v>38540</v>
      </c>
    </row>
    <row r="46" spans="1:7" x14ac:dyDescent="0.3">
      <c r="A46" s="2">
        <v>7</v>
      </c>
      <c r="C46" s="38" t="s">
        <v>19</v>
      </c>
      <c r="D46" s="42">
        <f>TRUNC(34174,-1)</f>
        <v>34170</v>
      </c>
      <c r="E46" s="63">
        <f t="shared" si="1"/>
        <v>112950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TRUNC(97614,-1)</f>
        <v>97610</v>
      </c>
      <c r="E48" s="63">
        <f t="shared" si="1"/>
        <v>322670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TRUNC(17241,-1)</f>
        <v>17240</v>
      </c>
      <c r="E49" s="63">
        <f t="shared" si="1"/>
        <v>56990</v>
      </c>
    </row>
    <row r="50" spans="1:7" x14ac:dyDescent="0.3">
      <c r="A50" s="2">
        <v>11</v>
      </c>
      <c r="C50" s="38" t="s">
        <v>155</v>
      </c>
      <c r="D50" s="42">
        <f>TRUNC(50243,-1)</f>
        <v>50240</v>
      </c>
      <c r="E50" s="63">
        <f t="shared" si="1"/>
        <v>166080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TRUNC(9648,-1)</f>
        <v>9640</v>
      </c>
      <c r="E52" s="63">
        <f t="shared" si="1"/>
        <v>31860</v>
      </c>
    </row>
    <row r="53" spans="1:7" x14ac:dyDescent="0.3">
      <c r="A53" s="2">
        <v>14</v>
      </c>
      <c r="C53" s="38" t="s">
        <v>25</v>
      </c>
      <c r="D53" s="42">
        <f>TRUNC(58314,-1)</f>
        <v>58310</v>
      </c>
      <c r="E53" s="63">
        <f t="shared" si="1"/>
        <v>192760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TRUNC(10902+3829+19531,-1)</f>
        <v>34260</v>
      </c>
      <c r="E58" s="63">
        <f t="shared" si="1"/>
        <v>113250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TRUNC(224836,-1)</f>
        <v>224830</v>
      </c>
      <c r="E59" s="64">
        <f t="shared" si="1"/>
        <v>743240</v>
      </c>
    </row>
    <row r="60" spans="1:7" x14ac:dyDescent="0.3">
      <c r="A60" s="2">
        <v>21</v>
      </c>
      <c r="C60" s="27" t="s">
        <v>112</v>
      </c>
      <c r="D60" s="39">
        <f>SUM(D40:D59)</f>
        <v>742820</v>
      </c>
      <c r="E60" s="39">
        <f>SUM(E40:E59)</f>
        <v>2455550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TRUNC(1973,-1)</f>
        <v>1970</v>
      </c>
      <c r="E63" s="62">
        <f>TRUNC(+D63*3.3058,-1)</f>
        <v>6510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1970</v>
      </c>
      <c r="E66" s="65">
        <f>SUM(E63:E65)</f>
        <v>6510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TRUNC(6479,-1)</f>
        <v>6470</v>
      </c>
      <c r="E69" s="62">
        <f t="shared" ref="E69:E94" si="2">TRUNC(+D69*3.3058,-1)</f>
        <v>21380</v>
      </c>
    </row>
    <row r="70" spans="1:7" ht="16.5" customHeight="1" x14ac:dyDescent="0.3">
      <c r="A70" s="2">
        <v>2</v>
      </c>
      <c r="C70" s="38" t="s">
        <v>31</v>
      </c>
      <c r="D70" s="42">
        <v>1710</v>
      </c>
      <c r="E70" s="63">
        <f t="shared" si="2"/>
        <v>5650</v>
      </c>
    </row>
    <row r="71" spans="1:7" x14ac:dyDescent="0.3">
      <c r="A71" s="2">
        <v>3</v>
      </c>
      <c r="C71" s="38" t="s">
        <v>32</v>
      </c>
      <c r="D71" s="42">
        <f>TRUNC(4746,-1)</f>
        <v>4740</v>
      </c>
      <c r="E71" s="63">
        <f t="shared" si="2"/>
        <v>15660</v>
      </c>
    </row>
    <row r="72" spans="1:7" x14ac:dyDescent="0.3">
      <c r="A72" s="2">
        <v>4</v>
      </c>
      <c r="C72" s="38" t="s">
        <v>33</v>
      </c>
      <c r="D72" s="42">
        <f>TRUNC(3779,-1)</f>
        <v>3770</v>
      </c>
      <c r="E72" s="63">
        <f t="shared" si="2"/>
        <v>12460</v>
      </c>
    </row>
    <row r="73" spans="1:7" x14ac:dyDescent="0.3">
      <c r="A73" s="2">
        <v>5</v>
      </c>
      <c r="C73" s="38" t="s">
        <v>34</v>
      </c>
      <c r="D73" s="42">
        <f>TRUNC(15363,-1)</f>
        <v>15360</v>
      </c>
      <c r="E73" s="63">
        <f t="shared" si="2"/>
        <v>50770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TRUNC(5222,-1)</f>
        <v>5220</v>
      </c>
      <c r="E89" s="63">
        <f t="shared" si="2"/>
        <v>17250</v>
      </c>
    </row>
    <row r="90" spans="1:7" x14ac:dyDescent="0.3">
      <c r="A90" s="2">
        <v>22</v>
      </c>
      <c r="C90" s="38" t="s">
        <v>36</v>
      </c>
      <c r="D90" s="42">
        <f>TRUNC(294,-1)</f>
        <v>290</v>
      </c>
      <c r="E90" s="63">
        <f t="shared" si="2"/>
        <v>950</v>
      </c>
    </row>
    <row r="91" spans="1:7" x14ac:dyDescent="0.3">
      <c r="A91" s="2">
        <v>23</v>
      </c>
      <c r="C91" s="38" t="s">
        <v>37</v>
      </c>
      <c r="D91" s="42">
        <f>TRUNC(3976,-1)</f>
        <v>3970</v>
      </c>
      <c r="E91" s="63">
        <f t="shared" si="2"/>
        <v>13120</v>
      </c>
    </row>
    <row r="92" spans="1:7" x14ac:dyDescent="0.3">
      <c r="A92" s="2">
        <v>24</v>
      </c>
      <c r="C92" s="38" t="s">
        <v>38</v>
      </c>
      <c r="D92" s="42">
        <f>TRUNC(9968,-1)</f>
        <v>9960</v>
      </c>
      <c r="E92" s="63">
        <f t="shared" si="2"/>
        <v>32920</v>
      </c>
    </row>
    <row r="93" spans="1:7" x14ac:dyDescent="0.3">
      <c r="A93" s="2">
        <v>25</v>
      </c>
      <c r="C93" s="38" t="s">
        <v>148</v>
      </c>
      <c r="D93" s="42">
        <f>TRUNC(101381,-1)</f>
        <v>101380</v>
      </c>
      <c r="E93" s="63">
        <f t="shared" si="2"/>
        <v>335140</v>
      </c>
    </row>
    <row r="94" spans="1:7" ht="17.25" thickBot="1" x14ac:dyDescent="0.35">
      <c r="A94" s="2">
        <v>26</v>
      </c>
      <c r="C94" s="38" t="s">
        <v>47</v>
      </c>
      <c r="D94" s="43">
        <f>TRUNC(851+4157,-1)</f>
        <v>5000</v>
      </c>
      <c r="E94" s="64">
        <f t="shared" si="2"/>
        <v>16520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157870</v>
      </c>
      <c r="E95" s="39">
        <f>SUM(E69:E94)</f>
        <v>521820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TRUNC(11642,-1)</f>
        <v>11640</v>
      </c>
      <c r="E98" s="62">
        <f t="shared" ref="E98:E118" si="3">TRUNC(+D98*3.3058,-1)</f>
        <v>38470</v>
      </c>
    </row>
    <row r="99" spans="1:7" x14ac:dyDescent="0.3">
      <c r="A99" s="2">
        <v>2</v>
      </c>
      <c r="C99" s="38" t="s">
        <v>40</v>
      </c>
      <c r="D99" s="42">
        <f>TRUNC(3418,-1)</f>
        <v>3410</v>
      </c>
      <c r="E99" s="63">
        <f t="shared" si="3"/>
        <v>11270</v>
      </c>
    </row>
    <row r="100" spans="1:7" x14ac:dyDescent="0.3">
      <c r="A100" s="2">
        <v>3</v>
      </c>
      <c r="C100" s="38" t="s">
        <v>41</v>
      </c>
      <c r="D100" s="42">
        <f>TRUNC(21233,-1)</f>
        <v>21230</v>
      </c>
      <c r="E100" s="63">
        <f t="shared" si="3"/>
        <v>70180</v>
      </c>
    </row>
    <row r="101" spans="1:7" x14ac:dyDescent="0.3">
      <c r="A101" s="2">
        <v>4</v>
      </c>
      <c r="C101" s="38" t="s">
        <v>42</v>
      </c>
      <c r="D101" s="42">
        <f>TRUNC(1092,-1)</f>
        <v>1090</v>
      </c>
      <c r="E101" s="63">
        <f t="shared" si="3"/>
        <v>3600</v>
      </c>
    </row>
    <row r="102" spans="1:7" x14ac:dyDescent="0.3">
      <c r="A102" s="2">
        <v>5</v>
      </c>
      <c r="C102" s="38" t="s">
        <v>43</v>
      </c>
      <c r="D102" s="42">
        <f>TRUNC(14273,-1)</f>
        <v>14270</v>
      </c>
      <c r="E102" s="63">
        <f t="shared" si="3"/>
        <v>47170</v>
      </c>
    </row>
    <row r="103" spans="1:7" x14ac:dyDescent="0.3">
      <c r="A103" s="2">
        <v>6</v>
      </c>
      <c r="C103" s="38" t="s">
        <v>44</v>
      </c>
      <c r="D103" s="42">
        <f>TRUNC(2375,-1)</f>
        <v>2370</v>
      </c>
      <c r="E103" s="63">
        <f t="shared" si="3"/>
        <v>7830</v>
      </c>
    </row>
    <row r="104" spans="1:7" x14ac:dyDescent="0.3">
      <c r="A104" s="2">
        <v>7</v>
      </c>
      <c r="C104" s="38" t="s">
        <v>45</v>
      </c>
      <c r="D104" s="42">
        <f>TRUNC(4351,-1)</f>
        <v>4350</v>
      </c>
      <c r="E104" s="63">
        <f t="shared" si="3"/>
        <v>14380</v>
      </c>
    </row>
    <row r="105" spans="1:7" x14ac:dyDescent="0.3">
      <c r="A105" s="2">
        <v>8</v>
      </c>
      <c r="C105" s="38" t="s">
        <v>46</v>
      </c>
      <c r="D105" s="42">
        <f>TRUNC(4853,-1)</f>
        <v>4850</v>
      </c>
      <c r="E105" s="63">
        <f t="shared" si="3"/>
        <v>16030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TRUNC(5343,-1)</f>
        <v>5340</v>
      </c>
      <c r="E114" s="63">
        <f t="shared" si="3"/>
        <v>17650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3670</v>
      </c>
      <c r="E116" s="63">
        <f t="shared" si="3"/>
        <v>12130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TRUNC(96131,-1)</f>
        <v>96130</v>
      </c>
      <c r="E117" s="63">
        <f t="shared" si="3"/>
        <v>317780</v>
      </c>
    </row>
    <row r="118" spans="1:7" ht="17.25" thickBot="1" x14ac:dyDescent="0.35">
      <c r="A118" s="2">
        <v>21</v>
      </c>
      <c r="C118" s="38" t="s">
        <v>47</v>
      </c>
      <c r="D118" s="43">
        <f>TRUNC(7282,-1)</f>
        <v>7280</v>
      </c>
      <c r="E118" s="64">
        <f t="shared" si="3"/>
        <v>24060</v>
      </c>
    </row>
    <row r="119" spans="1:7" x14ac:dyDescent="0.3">
      <c r="A119" s="2">
        <v>22</v>
      </c>
      <c r="C119" s="27" t="s">
        <v>112</v>
      </c>
      <c r="D119" s="39">
        <f>SUM(D98:D118)</f>
        <v>175630</v>
      </c>
      <c r="E119" s="39">
        <f>SUM(E98:E118)</f>
        <v>580550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TRUNC(3843,-1)</f>
        <v>3840</v>
      </c>
      <c r="E122" s="62">
        <f t="shared" ref="E122:E132" si="4">TRUNC(+D122*3.3058,-1)</f>
        <v>12690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TRUNC(1303,-1)</f>
        <v>1300</v>
      </c>
      <c r="E124" s="63">
        <f t="shared" si="4"/>
        <v>4290</v>
      </c>
    </row>
    <row r="125" spans="1:7" x14ac:dyDescent="0.3">
      <c r="A125" s="2">
        <v>4</v>
      </c>
      <c r="C125" s="38" t="s">
        <v>138</v>
      </c>
      <c r="D125" s="42">
        <f>TRUNC(10185,-1)</f>
        <v>10180</v>
      </c>
      <c r="E125" s="63">
        <f t="shared" si="4"/>
        <v>33650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TRUNC(5359,-1)</f>
        <v>5350</v>
      </c>
      <c r="E128" s="63">
        <f t="shared" si="4"/>
        <v>17680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TRUNC(20496,-1)</f>
        <v>20490</v>
      </c>
      <c r="E130" s="63">
        <f t="shared" si="4"/>
        <v>67730</v>
      </c>
    </row>
    <row r="131" spans="1:7" x14ac:dyDescent="0.3">
      <c r="A131" s="2">
        <v>10</v>
      </c>
      <c r="C131" s="38" t="s">
        <v>148</v>
      </c>
      <c r="D131" s="42">
        <f>TRUNC(23629,-1)</f>
        <v>23620</v>
      </c>
      <c r="E131" s="63">
        <f t="shared" si="4"/>
        <v>78080</v>
      </c>
    </row>
    <row r="132" spans="1:7" ht="18" thickBot="1" x14ac:dyDescent="0.35">
      <c r="A132" s="2">
        <v>11</v>
      </c>
      <c r="C132" s="38" t="s">
        <v>47</v>
      </c>
      <c r="D132" s="43">
        <f>TRUNC(1827+58,-1)</f>
        <v>1880</v>
      </c>
      <c r="E132" s="64">
        <f t="shared" si="4"/>
        <v>6210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66660</v>
      </c>
      <c r="E133" s="39">
        <f>SUM(E122:E132)</f>
        <v>220330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TRUNC(95+2401+58,-1)</f>
        <v>2550</v>
      </c>
      <c r="E137" s="63">
        <f t="shared" si="5"/>
        <v>8420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TRUNC(1565,-1)</f>
        <v>1560</v>
      </c>
      <c r="E140" s="63">
        <f t="shared" si="5"/>
        <v>5150</v>
      </c>
    </row>
    <row r="141" spans="1:7" x14ac:dyDescent="0.3">
      <c r="A141" s="2">
        <v>6</v>
      </c>
      <c r="C141" s="38" t="s">
        <v>59</v>
      </c>
      <c r="D141" s="42">
        <f>TRUNC(4419,-1)</f>
        <v>4410</v>
      </c>
      <c r="E141" s="63">
        <f t="shared" si="5"/>
        <v>14570</v>
      </c>
    </row>
    <row r="142" spans="1:7" x14ac:dyDescent="0.3">
      <c r="A142" s="2">
        <v>7</v>
      </c>
      <c r="C142" s="38" t="s">
        <v>58</v>
      </c>
      <c r="D142" s="42">
        <f>TRUNC(6434,-1)</f>
        <v>6430</v>
      </c>
      <c r="E142" s="63">
        <f t="shared" si="5"/>
        <v>21250</v>
      </c>
    </row>
    <row r="143" spans="1:7" x14ac:dyDescent="0.3">
      <c r="A143" s="2">
        <v>8</v>
      </c>
      <c r="C143" s="38" t="s">
        <v>62</v>
      </c>
      <c r="D143" s="42">
        <f>TRUNC(1675,-1)</f>
        <v>1670</v>
      </c>
      <c r="E143" s="63">
        <f t="shared" si="5"/>
        <v>5520</v>
      </c>
    </row>
    <row r="144" spans="1:7" x14ac:dyDescent="0.3">
      <c r="A144" s="2">
        <v>9</v>
      </c>
      <c r="C144" s="38" t="s">
        <v>63</v>
      </c>
      <c r="D144" s="42">
        <f>TRUNC(9009,-1)</f>
        <v>9000</v>
      </c>
      <c r="E144" s="63">
        <f t="shared" si="5"/>
        <v>29750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25620</v>
      </c>
      <c r="E146" s="39">
        <f>SUM(E136:E145)</f>
        <v>84660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TRUNC(7768+2457,-1)</f>
        <v>10220</v>
      </c>
      <c r="E149" s="62">
        <f>TRUNC(+D149*3.3058,-1)</f>
        <v>33780</v>
      </c>
    </row>
    <row r="150" spans="1:7" x14ac:dyDescent="0.3">
      <c r="A150" s="2">
        <v>2</v>
      </c>
      <c r="C150" s="38" t="s">
        <v>49</v>
      </c>
      <c r="D150" s="42">
        <f>TRUNC(5557,-1)</f>
        <v>5550</v>
      </c>
      <c r="E150" s="63">
        <f>TRUNC(+D150*3.3058,-1)</f>
        <v>18340</v>
      </c>
    </row>
    <row r="151" spans="1:7" x14ac:dyDescent="0.3">
      <c r="A151" s="2">
        <v>3</v>
      </c>
      <c r="C151" s="38" t="s">
        <v>50</v>
      </c>
      <c r="D151" s="42">
        <f>TRUNC(7391,-1)</f>
        <v>7390</v>
      </c>
      <c r="E151" s="63">
        <f>TRUNC(+D151*3.3058,-1)</f>
        <v>24420</v>
      </c>
    </row>
    <row r="152" spans="1:7" x14ac:dyDescent="0.3">
      <c r="A152" s="2">
        <v>4</v>
      </c>
      <c r="C152" s="38" t="s">
        <v>47</v>
      </c>
      <c r="D152" s="42">
        <f>TRUNC(445,-1)</f>
        <v>440</v>
      </c>
      <c r="E152" s="63">
        <f>TRUNC(+D152*3.3058,-1)</f>
        <v>1450</v>
      </c>
    </row>
    <row r="153" spans="1:7" ht="17.25" thickBot="1" x14ac:dyDescent="0.35">
      <c r="A153" s="2">
        <v>5</v>
      </c>
      <c r="C153" s="38" t="s">
        <v>148</v>
      </c>
      <c r="D153" s="43">
        <f>TRUNC(10344,-1)</f>
        <v>10340</v>
      </c>
      <c r="E153" s="64">
        <f>TRUNC(+D153*3.3058,-1)</f>
        <v>34180</v>
      </c>
    </row>
    <row r="154" spans="1:7" x14ac:dyDescent="0.3">
      <c r="A154" s="2">
        <v>6</v>
      </c>
      <c r="C154" s="27" t="s">
        <v>112</v>
      </c>
      <c r="D154" s="39">
        <f>SUM(D149:D153)</f>
        <v>33940</v>
      </c>
      <c r="E154" s="39">
        <f>SUM(E149:E153)</f>
        <v>112170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2020-12-07T09:58:41Z</dcterms:modified>
</cp:coreProperties>
</file>