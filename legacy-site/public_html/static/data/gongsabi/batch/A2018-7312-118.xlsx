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8" i="4"/>
  <c r="D127" i="4"/>
  <c r="D125" i="4"/>
  <c r="D124" i="4"/>
  <c r="D122" i="4"/>
  <c r="D117" i="4"/>
  <c r="D116" i="4"/>
  <c r="D114" i="4"/>
  <c r="D105" i="4"/>
  <c r="D104" i="4"/>
  <c r="D102" i="4"/>
  <c r="D101" i="4"/>
  <c r="D99" i="4"/>
  <c r="D98" i="4"/>
  <c r="D94" i="4"/>
  <c r="D92" i="4"/>
  <c r="D91" i="4"/>
  <c r="D90" i="4"/>
  <c r="D89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<sst xmlns="http://schemas.openxmlformats.org/spreadsheetml/2006/main" count="392" uniqueCount="267">
  <si>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</si>
  <si>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</si>
  <si>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</si>
  <si>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</si>
  <si>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</si>
  <si>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</si>
  <si>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</si>
  <si>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</si>
  <si>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</si>
  <si>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</si>
  <si>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</si>
  <si>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</si>
  <si>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</si>
  <si>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</si>
  <si>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</si>
  <si>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</si>
  <si>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</si>
  <si>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</si>
  <si>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</si>
  <si>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</si>
  <si>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</si>
  <si>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</si>
  <si>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</si>
  <si>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</si>
  <si>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</si>
  <si>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</si>
  <si>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</si>
  <si>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</si>
  <si>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</si>
  <si>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</si>
  <si>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</si>
  <si>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</si>
  <si>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</si>
  <si>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</si>
  <si>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</si>
  <si>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</si>
  <si>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</si>
  <si>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</si>
  <si>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</si>
  <si>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</si>
  <si>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</si>
  <si>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</si>
  <si>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</si>
  <si>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</si>
  <si>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</si>
  <si>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</si>
  <si>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</si>
  <si>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</si>
  <si>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</si>
  <si>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</si>
  <si>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</si>
  <si>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</si>
  <si>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</si>
  <si>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</si>
  <si>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</si>
  <si>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</si>
  <si>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</si>
  <si>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</si>
  <si>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</si>
  <si>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</si>
  <si>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</si>
  <si>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</si>
  <si>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</si>
  <si>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</si>
  <si>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</si>
  <si>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</si>
  <si>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</si>
  <si>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</si>
  <si>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</si>
  <si>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</si>
  <si>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</si>
  <si>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</si>
  <si>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</si>
  <si>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</si>
  <si>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</si>
  <si>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</si>
  <si>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</si>
  <si>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</si>
  <si>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</si>
  <si>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</si>
  <si>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</si>
  <si>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</si>
  <si>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</si>
  <si>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</si>
  <si>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</si>
  <si>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</si>
  <si>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</si>
  <si>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</si>
  <si>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</si>
  <si>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</si>
  <si>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</si>
  <si>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</si>
  <si>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</si>
  <si>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</si>
  <si>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</si>
  <si>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</si>
  <si>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</si>
  <si>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</si>
  <si>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</si>
  <si>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</si>
  <si>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</si>
  <si>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</si>
  <si>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</si>
  <si>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</si>
  <si>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</si>
  <si>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</si>
  <si>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</si>
  <si>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</si>
  <si>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</si>
  <si>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</si>
  <si>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</si>
  <si>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</si>
  <si>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</si>
  <si>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</si>
  <si>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</si>
  <si>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</si>
  <si>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</si>
  <si>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</si>
  <si>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</si>
  <si>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</si>
  <si>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</si>
  <si>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</si>
  <si>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</si>
  <si>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</si>
  <si>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</si>
  <si>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</si>
  <si>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</si>
  <si>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</si>
  <si>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</si>
  <si>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</si>
  <si>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</si>
  <si>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</si>
  <si>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</si>
  <si>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</si>
  <si>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</si>
  <si>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</si>
  <si>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</si>
  <si>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</si>
  <si>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</si>
  <si>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</si>
  <si>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</si>
  <si>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</si>
  <si>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</si>
  <si>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</si>
  <si>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</si>
  <si>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</si>
  <si>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</si>
  <si>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</si>
  <si>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</si>
  <si>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</si>
  <si>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</si>
  <si>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</si>
  <si>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</si>
  <si>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</si>
  <si>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</si>
  <si>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</si>
  <si>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</si>
  <si>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</si>
  <si>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</si>
  <si>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</si>
  <si>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</si>
  <si>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</si>
  <si>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</si>
  <si>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</si>
  <si>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</si>
  <si>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</si>
  <si>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</si>
  <si>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</si>
  <si>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</si>
  <si>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</si>
  <si>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</si>
  <si>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</si>
  <si>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</si>
  <si>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</si>
  <si>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</si>
  <si>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</si>
  <si>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</si>
  <si>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</si>
  <si>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</si>
  <si>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</si>
  <si>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</si>
  <si>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</si>
  <si>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</si>
  <si>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</si>
  <si>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</si>
  <si>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</si>
  <si>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</si>
  <si>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</si>
  <si>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</si>
  <si>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</si>
  <si>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</si>
  <si>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</si>
  <si>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</si>
  <si>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</si>
  <si>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</si>
  <si>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</si>
  <si>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</si>
  <si>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</si>
  <si>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</si>
  <si>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</si>
  <si>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</si>
  <si>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</si>
  <si>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</si>
  <si>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</si>
  <si>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</si>
  <si>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</si>
  <si>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</si>
  <si>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</si>
  <si>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</si>
  <si>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</si>
  <si>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</si>
  <si>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</si>
  <si>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</si>
  <si>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</si>
  <si>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</si>
  <si>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</si>
  <si>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</si>
  <si>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</si>
  <si>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</si>
  <si>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</si>
  <si>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</si>
  <si>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</si>
  <si>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</si>
  <si>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</si>
  <si>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</si>
  <si>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</si>
  <si>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</si>
  <si>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</si>
  <si>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</si>
  <si>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</si>
  <si>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</si>
  <si>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</si>
  <si>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</si>
  <si>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</si>
  <si>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</si>
  <si>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</si>
  <si>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</si>
  <si>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</si>
  <si>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</si>
  <si>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</si>
  <si>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</si>
  <si>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</si>
  <si>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</si>
  <si>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</si>
  <si>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</si>
  <si>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</si>
  <si>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</si>
  <si>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</si>
  <si>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죽림 종합문화센터 건립사업</t>
    <phoneticPr fontId="2" type="noConversion"/>
  </si>
  <si>
    <t>경상도</t>
  </si>
  <si>
    <t>지붕및홈통공사 포함</t>
    <phoneticPr fontId="2" type="noConversion"/>
  </si>
  <si>
    <t>창호및유리공사</t>
    <phoneticPr fontId="2" type="noConversion"/>
  </si>
  <si>
    <t>기초공사, 골재비및운반비, 작업부산물, 품질시험비, 기타공사</t>
    <phoneticPr fontId="2" type="noConversion"/>
  </si>
  <si>
    <t>공조배관공사, 난방배관공사, 우수처리시설공사, 바닥난방공사,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</si>
  <si>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</si>
  <si>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</si>
  <si>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</si>
  <si>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</si>
  <si>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펌프실배관공사</t>
    <phoneticPr fontId="2" type="noConversion"/>
  </si>
  <si>
    <t>상수도공사, 사급자재비, 운반비, 기타공사</t>
    <phoneticPr fontId="2" type="noConversion"/>
  </si>
  <si>
    <t>포장공사, 기타공사</t>
    <phoneticPr fontId="2" type="noConversion"/>
  </si>
  <si>
    <t>문화및집회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</si>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</sst>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5440.96</v>
      </c>
      <c r="D7" s="36">
        <f>+C7/3.3058</f>
        <v>1645.8829935265292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1756940</v>
      </c>
      <c r="E25" s="59">
        <f t="shared" si="0"/>
        <v>5808090</v>
      </c>
    </row>
    <row r="26" spans="1:5" x14ac:dyDescent="0.3">
      <c r="B26" s="2">
        <v>3</v>
      </c>
      <c r="C26" s="35" t="s">
        <v>95</v>
      </c>
      <c r="D26" s="45">
        <f>+D66</f>
        <v>57960</v>
      </c>
      <c r="E26" s="59">
        <f t="shared" si="0"/>
        <v>191600</v>
      </c>
    </row>
    <row r="27" spans="1:5" x14ac:dyDescent="0.3">
      <c r="B27" s="2">
        <v>4</v>
      </c>
      <c r="C27" s="35" t="s">
        <v>96</v>
      </c>
      <c r="D27" s="45">
        <f>+D95</f>
        <v>629710</v>
      </c>
      <c r="E27" s="59">
        <f t="shared" si="0"/>
        <v>2081690</v>
      </c>
    </row>
    <row r="28" spans="1:5" x14ac:dyDescent="0.3">
      <c r="B28" s="2">
        <v>5</v>
      </c>
      <c r="C28" s="35" t="s">
        <v>97</v>
      </c>
      <c r="D28" s="45">
        <f>+D119</f>
        <v>263950</v>
      </c>
      <c r="E28" s="59">
        <f t="shared" si="0"/>
        <v>872560</v>
      </c>
    </row>
    <row r="29" spans="1:5" x14ac:dyDescent="0.3">
      <c r="B29" s="2">
        <v>6</v>
      </c>
      <c r="C29" s="35" t="s">
        <v>98</v>
      </c>
      <c r="D29" s="45">
        <f>+D133</f>
        <v>118360</v>
      </c>
      <c r="E29" s="59">
        <f t="shared" si="0"/>
        <v>391270</v>
      </c>
    </row>
    <row r="30" spans="1:5" x14ac:dyDescent="0.3">
      <c r="B30" s="2">
        <v>7</v>
      </c>
      <c r="C30" s="35" t="s">
        <v>99</v>
      </c>
      <c r="D30" s="45">
        <f>+D146</f>
        <v>68310</v>
      </c>
      <c r="E30" s="59">
        <f t="shared" si="0"/>
        <v>225810</v>
      </c>
    </row>
    <row r="31" spans="1:5" x14ac:dyDescent="0.3">
      <c r="B31" s="2">
        <v>8</v>
      </c>
      <c r="C31" s="35" t="s">
        <v>100</v>
      </c>
      <c r="D31" s="45">
        <f>+D154</f>
        <v>81860</v>
      </c>
      <c r="E31" s="59">
        <f t="shared" si="0"/>
        <v>270610</v>
      </c>
    </row>
    <row r="32" spans="1:5" x14ac:dyDescent="0.3">
      <c r="B32" s="2">
        <v>9</v>
      </c>
      <c r="C32" s="35" t="s">
        <v>101</v>
      </c>
      <c r="D32" s="45">
        <f>+D161</f>
        <v>22860</v>
      </c>
      <c r="E32" s="59">
        <f t="shared" si="0"/>
        <v>75570</v>
      </c>
    </row>
    <row r="33" spans="1:7" x14ac:dyDescent="0.3">
      <c r="B33" s="2">
        <v>10</v>
      </c>
      <c r="C33" s="35" t="s">
        <v>154</v>
      </c>
      <c r="D33" s="53">
        <f>TRUNC(SUM(D24:D32)*0.275,-1)</f>
        <v>824980</v>
      </c>
      <c r="E33" s="60">
        <f t="shared" si="0"/>
        <v>2727210</v>
      </c>
    </row>
    <row r="34" spans="1:7" x14ac:dyDescent="0.3">
      <c r="C34" s="35" t="s">
        <v>112</v>
      </c>
      <c r="D34" s="44">
        <f>SUM(D24:D33)</f>
        <v>3824930</v>
      </c>
      <c r="E34" s="44">
        <f>SUM(E24:E33)</f>
        <v>12644410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TRUNC(81655,-1)</f>
        <v>81650</v>
      </c>
      <c r="E40" s="62">
        <f t="shared" ref="E40:E59" si="1">TRUNC(+D40*3.3058,-1)</f>
        <v>269910</v>
      </c>
    </row>
    <row r="41" spans="1:7" x14ac:dyDescent="0.3">
      <c r="A41" s="2">
        <v>2</v>
      </c>
      <c r="C41" s="38" t="s">
        <v>13</v>
      </c>
      <c r="D41" s="42">
        <f>TRUNC(221728,-1)</f>
        <v>221720</v>
      </c>
      <c r="E41" s="63">
        <f t="shared" si="1"/>
        <v>732960</v>
      </c>
    </row>
    <row r="42" spans="1:7" x14ac:dyDescent="0.3">
      <c r="A42" s="2">
        <v>3</v>
      </c>
      <c r="C42" s="38" t="s">
        <v>14</v>
      </c>
      <c r="D42" s="42">
        <f>TRUNC(120319,-1)</f>
        <v>120310</v>
      </c>
      <c r="E42" s="63">
        <f t="shared" si="1"/>
        <v>397720</v>
      </c>
    </row>
    <row r="43" spans="1:7" x14ac:dyDescent="0.3">
      <c r="A43" s="2">
        <v>4</v>
      </c>
      <c r="C43" s="38" t="s">
        <v>16</v>
      </c>
      <c r="D43" s="42">
        <f>TRUNC(10229,-1)</f>
        <v>10220</v>
      </c>
      <c r="E43" s="63">
        <f t="shared" si="1"/>
        <v>33780</v>
      </c>
    </row>
    <row r="44" spans="1:7" x14ac:dyDescent="0.3">
      <c r="A44" s="2">
        <v>5</v>
      </c>
      <c r="C44" s="38" t="s">
        <v>17</v>
      </c>
      <c r="D44" s="42">
        <f>TRUNC(66004,-1)</f>
        <v>66000</v>
      </c>
      <c r="E44" s="63">
        <f t="shared" si="1"/>
        <v>218180</v>
      </c>
    </row>
    <row r="45" spans="1:7" x14ac:dyDescent="0.3">
      <c r="A45" s="2">
        <v>6</v>
      </c>
      <c r="C45" s="38" t="s">
        <v>18</v>
      </c>
      <c r="D45" s="42">
        <f>TRUNC(67082,-1)</f>
        <v>67080</v>
      </c>
      <c r="E45" s="63">
        <f t="shared" si="1"/>
        <v>221750</v>
      </c>
    </row>
    <row r="46" spans="1:7" x14ac:dyDescent="0.3">
      <c r="A46" s="2">
        <v>7</v>
      </c>
      <c r="C46" s="38" t="s">
        <v>19</v>
      </c>
      <c r="D46" s="42">
        <f>TRUNC(13391,-1)</f>
        <v>13390</v>
      </c>
      <c r="E46" s="63">
        <f t="shared" si="1"/>
        <v>44260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73240</v>
      </c>
      <c r="E48" s="63">
        <f t="shared" si="1"/>
        <v>242110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TRUNC(43842,-1)</f>
        <v>43840</v>
      </c>
      <c r="E49" s="63">
        <f t="shared" si="1"/>
        <v>144920</v>
      </c>
    </row>
    <row r="50" spans="1:7" x14ac:dyDescent="0.3">
      <c r="A50" s="2">
        <v>11</v>
      </c>
      <c r="C50" s="38" t="s">
        <v>155</v>
      </c>
      <c r="D50" s="42">
        <f>TRUNC(119533,-1)</f>
        <v>119530</v>
      </c>
      <c r="E50" s="63">
        <f t="shared" si="1"/>
        <v>395140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TRUNC(9673,-1)</f>
        <v>9670</v>
      </c>
      <c r="E52" s="63">
        <f t="shared" si="1"/>
        <v>31960</v>
      </c>
    </row>
    <row r="53" spans="1:7" x14ac:dyDescent="0.3">
      <c r="A53" s="2">
        <v>14</v>
      </c>
      <c r="C53" s="38" t="s">
        <v>25</v>
      </c>
      <c r="D53" s="42">
        <f>TRUNC(107025,-1)</f>
        <v>107020</v>
      </c>
      <c r="E53" s="63">
        <f t="shared" si="1"/>
        <v>353780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TRUNC(20715+15865-2746+16856+46493,-1)</f>
        <v>97180</v>
      </c>
      <c r="E58" s="63">
        <f t="shared" si="1"/>
        <v>321250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TRUNC(726091,-1)</f>
        <v>726090</v>
      </c>
      <c r="E59" s="64">
        <f t="shared" si="1"/>
        <v>2400300</v>
      </c>
    </row>
    <row r="60" spans="1:7" x14ac:dyDescent="0.3">
      <c r="A60" s="2">
        <v>21</v>
      </c>
      <c r="C60" s="27" t="s">
        <v>112</v>
      </c>
      <c r="D60" s="39">
        <f>SUM(D40:D59)</f>
        <v>1756940</v>
      </c>
      <c r="E60" s="39">
        <f>SUM(E40:E59)</f>
        <v>5808020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TRUNC(16207,-1)</f>
        <v>16200</v>
      </c>
      <c r="E63" s="62">
        <f>TRUNC(+D63*3.3058,-1)</f>
        <v>53550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TRUNC(41768,-1)</f>
        <v>41760</v>
      </c>
      <c r="E65" s="64">
        <f>TRUNC(+D65*3.3058,-1)</f>
        <v>138050</v>
      </c>
    </row>
    <row r="66" spans="1:7" x14ac:dyDescent="0.3">
      <c r="A66" s="2">
        <v>4</v>
      </c>
      <c r="C66" s="27" t="s">
        <v>112</v>
      </c>
      <c r="D66" s="39">
        <f>SUM(D63:D65)</f>
        <v>57960</v>
      </c>
      <c r="E66" s="65">
        <f>SUM(E63:E65)</f>
        <v>191600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TRUNC(112841,-1)</f>
        <v>112840</v>
      </c>
      <c r="E69" s="62">
        <f t="shared" ref="E69:E94" si="2">TRUNC(+D69*3.3058,-1)</f>
        <v>373020</v>
      </c>
    </row>
    <row r="70" spans="1:7" ht="16.5" customHeight="1" x14ac:dyDescent="0.3">
      <c r="A70" s="2">
        <v>2</v>
      </c>
      <c r="C70" s="38" t="s">
        <v>31</v>
      </c>
      <c r="D70" s="42">
        <f>TRUNC(2817,-1)</f>
        <v>2810</v>
      </c>
      <c r="E70" s="63">
        <f t="shared" si="2"/>
        <v>9280</v>
      </c>
    </row>
    <row r="71" spans="1:7" x14ac:dyDescent="0.3">
      <c r="A71" s="2">
        <v>3</v>
      </c>
      <c r="C71" s="38" t="s">
        <v>32</v>
      </c>
      <c r="D71" s="42">
        <f>TRUNC(56771,-1)</f>
        <v>56770</v>
      </c>
      <c r="E71" s="63">
        <f t="shared" si="2"/>
        <v>187670</v>
      </c>
    </row>
    <row r="72" spans="1:7" x14ac:dyDescent="0.3">
      <c r="A72" s="2">
        <v>4</v>
      </c>
      <c r="C72" s="38" t="s">
        <v>33</v>
      </c>
      <c r="D72" s="42">
        <f>TRUNC(3964,-1)</f>
        <v>3960</v>
      </c>
      <c r="E72" s="63">
        <f t="shared" si="2"/>
        <v>13090</v>
      </c>
    </row>
    <row r="73" spans="1:7" x14ac:dyDescent="0.3">
      <c r="A73" s="2">
        <v>5</v>
      </c>
      <c r="C73" s="38" t="s">
        <v>34</v>
      </c>
      <c r="D73" s="42">
        <f>TRUNC(11849,-1)</f>
        <v>11840</v>
      </c>
      <c r="E73" s="63">
        <f t="shared" si="2"/>
        <v>39140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TRUNC(1277,-1)</f>
        <v>1270</v>
      </c>
      <c r="E75" s="63">
        <f t="shared" si="2"/>
        <v>4190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TRUNC(112083,-1)</f>
        <v>112080</v>
      </c>
      <c r="E89" s="63">
        <f t="shared" si="2"/>
        <v>370510</v>
      </c>
    </row>
    <row r="90" spans="1:7" x14ac:dyDescent="0.3">
      <c r="A90" s="2">
        <v>22</v>
      </c>
      <c r="C90" s="38" t="s">
        <v>36</v>
      </c>
      <c r="D90" s="42">
        <f>TRUNC(6752,-1)</f>
        <v>6750</v>
      </c>
      <c r="E90" s="63">
        <f t="shared" si="2"/>
        <v>22310</v>
      </c>
    </row>
    <row r="91" spans="1:7" x14ac:dyDescent="0.3">
      <c r="A91" s="2">
        <v>23</v>
      </c>
      <c r="C91" s="38" t="s">
        <v>37</v>
      </c>
      <c r="D91" s="42">
        <f>TRUNC(18582,-1)</f>
        <v>18580</v>
      </c>
      <c r="E91" s="63">
        <f t="shared" si="2"/>
        <v>61420</v>
      </c>
    </row>
    <row r="92" spans="1:7" x14ac:dyDescent="0.3">
      <c r="A92" s="2">
        <v>24</v>
      </c>
      <c r="C92" s="38" t="s">
        <v>38</v>
      </c>
      <c r="D92" s="42">
        <f>TRUNC(5863,-1)</f>
        <v>5860</v>
      </c>
      <c r="E92" s="63">
        <f t="shared" si="2"/>
        <v>19370</v>
      </c>
    </row>
    <row r="93" spans="1:7" x14ac:dyDescent="0.3">
      <c r="A93" s="2">
        <v>25</v>
      </c>
      <c r="C93" s="38" t="s">
        <v>148</v>
      </c>
      <c r="D93" s="42">
        <v>226450</v>
      </c>
      <c r="E93" s="63">
        <f t="shared" si="2"/>
        <v>748590</v>
      </c>
    </row>
    <row r="94" spans="1:7" ht="17.25" thickBot="1" x14ac:dyDescent="0.35">
      <c r="A94" s="2">
        <v>26</v>
      </c>
      <c r="C94" s="38" t="s">
        <v>47</v>
      </c>
      <c r="D94" s="43">
        <f>TRUNC(31779+2258+16708+1507+18253,-1)</f>
        <v>70500</v>
      </c>
      <c r="E94" s="64">
        <f t="shared" si="2"/>
        <v>233050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629710</v>
      </c>
      <c r="E95" s="39">
        <f>SUM(E69:E94)</f>
        <v>2081640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TRUNC(16987,-1)</f>
        <v>16980</v>
      </c>
      <c r="E98" s="62">
        <f t="shared" ref="E98:E118" si="3">TRUNC(+D98*3.3058,-1)</f>
        <v>56130</v>
      </c>
    </row>
    <row r="99" spans="1:7" x14ac:dyDescent="0.3">
      <c r="A99" s="2">
        <v>2</v>
      </c>
      <c r="C99" s="38" t="s">
        <v>40</v>
      </c>
      <c r="D99" s="42">
        <f>TRUNC(25432,-1)</f>
        <v>25430</v>
      </c>
      <c r="E99" s="63">
        <f t="shared" si="3"/>
        <v>84060</v>
      </c>
    </row>
    <row r="100" spans="1:7" x14ac:dyDescent="0.3">
      <c r="A100" s="2">
        <v>3</v>
      </c>
      <c r="C100" s="38" t="s">
        <v>41</v>
      </c>
      <c r="D100" s="42">
        <v>48380</v>
      </c>
      <c r="E100" s="63">
        <f t="shared" si="3"/>
        <v>159930</v>
      </c>
    </row>
    <row r="101" spans="1:7" x14ac:dyDescent="0.3">
      <c r="A101" s="2">
        <v>4</v>
      </c>
      <c r="C101" s="38" t="s">
        <v>42</v>
      </c>
      <c r="D101" s="42">
        <f>TRUNC(8154,-1)</f>
        <v>8150</v>
      </c>
      <c r="E101" s="63">
        <f t="shared" si="3"/>
        <v>26940</v>
      </c>
    </row>
    <row r="102" spans="1:7" x14ac:dyDescent="0.3">
      <c r="A102" s="2">
        <v>5</v>
      </c>
      <c r="C102" s="38" t="s">
        <v>43</v>
      </c>
      <c r="D102" s="42">
        <f>TRUNC(14061,-1)</f>
        <v>14060</v>
      </c>
      <c r="E102" s="63">
        <f t="shared" si="3"/>
        <v>46470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TRUNC(5717,-1)</f>
        <v>5710</v>
      </c>
      <c r="E104" s="63">
        <f t="shared" si="3"/>
        <v>18870</v>
      </c>
    </row>
    <row r="105" spans="1:7" x14ac:dyDescent="0.3">
      <c r="A105" s="2">
        <v>8</v>
      </c>
      <c r="C105" s="38" t="s">
        <v>46</v>
      </c>
      <c r="D105" s="42">
        <f>TRUNC(5811,-1)</f>
        <v>5810</v>
      </c>
      <c r="E105" s="63">
        <f t="shared" si="3"/>
        <v>19200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TRUNC(6332,-1)</f>
        <v>6330</v>
      </c>
      <c r="E114" s="63">
        <f t="shared" si="3"/>
        <v>20920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TRUNC(5749,-1)</f>
        <v>5740</v>
      </c>
      <c r="E116" s="63">
        <f t="shared" si="3"/>
        <v>18970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TRUNC(127369,-1)</f>
        <v>127360</v>
      </c>
      <c r="E117" s="63">
        <f t="shared" si="3"/>
        <v>421020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263950</v>
      </c>
      <c r="E119" s="39">
        <f>SUM(E98:E118)</f>
        <v>872510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TRUNC(6787,-1)</f>
        <v>6780</v>
      </c>
      <c r="E122" s="62">
        <f t="shared" ref="E122:E132" si="4">TRUNC(+D122*3.3058,-1)</f>
        <v>22410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TRUNC(2786,-1)</f>
        <v>2780</v>
      </c>
      <c r="E124" s="63">
        <f t="shared" si="4"/>
        <v>9190</v>
      </c>
    </row>
    <row r="125" spans="1:7" x14ac:dyDescent="0.3">
      <c r="A125" s="2">
        <v>4</v>
      </c>
      <c r="C125" s="38" t="s">
        <v>138</v>
      </c>
      <c r="D125" s="42">
        <f>TRUNC(7727,-1)</f>
        <v>7720</v>
      </c>
      <c r="E125" s="63">
        <f t="shared" si="4"/>
        <v>25520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TRUNC(7732,-1)</f>
        <v>7730</v>
      </c>
      <c r="E127" s="63">
        <f t="shared" si="4"/>
        <v>25550</v>
      </c>
    </row>
    <row r="128" spans="1:7" x14ac:dyDescent="0.3">
      <c r="A128" s="2">
        <v>7</v>
      </c>
      <c r="C128" s="38" t="s">
        <v>46</v>
      </c>
      <c r="D128" s="42">
        <f>TRUNC(1646,-1)</f>
        <v>1640</v>
      </c>
      <c r="E128" s="63">
        <f t="shared" si="4"/>
        <v>5420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TRUNC(14729,-1)</f>
        <v>14720</v>
      </c>
      <c r="E130" s="63">
        <f t="shared" si="4"/>
        <v>48660</v>
      </c>
    </row>
    <row r="131" spans="1:7" x14ac:dyDescent="0.3">
      <c r="A131" s="2">
        <v>10</v>
      </c>
      <c r="C131" s="38" t="s">
        <v>148</v>
      </c>
      <c r="D131" s="42">
        <f>TRUNC(70668,-1)</f>
        <v>70660</v>
      </c>
      <c r="E131" s="63">
        <f t="shared" si="4"/>
        <v>233580</v>
      </c>
    </row>
    <row r="132" spans="1:7" ht="18" thickBot="1" x14ac:dyDescent="0.35">
      <c r="A132" s="2">
        <v>11</v>
      </c>
      <c r="C132" s="38" t="s">
        <v>47</v>
      </c>
      <c r="D132" s="43">
        <f>TRUNC(4160+2171,-1)</f>
        <v>6330</v>
      </c>
      <c r="E132" s="64">
        <f t="shared" si="4"/>
        <v>20920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118360</v>
      </c>
      <c r="E133" s="39">
        <f>SUM(E122:E132)</f>
        <v>391250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TRUNC(4717,-1)</f>
        <v>4710</v>
      </c>
      <c r="E137" s="63">
        <f t="shared" si="5"/>
        <v>15570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TRUNC(4791,-1)</f>
        <v>4790</v>
      </c>
      <c r="E139" s="63">
        <f t="shared" si="5"/>
        <v>15830</v>
      </c>
    </row>
    <row r="140" spans="1:7" x14ac:dyDescent="0.3">
      <c r="A140" s="2">
        <v>5</v>
      </c>
      <c r="C140" s="38" t="s">
        <v>57</v>
      </c>
      <c r="D140" s="42">
        <f>TRUNC(3229,-1)</f>
        <v>3220</v>
      </c>
      <c r="E140" s="63">
        <f t="shared" si="5"/>
        <v>10640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TRUNC(32591,-1)</f>
        <v>32590</v>
      </c>
      <c r="E142" s="63">
        <f t="shared" si="5"/>
        <v>107730</v>
      </c>
    </row>
    <row r="143" spans="1:7" x14ac:dyDescent="0.3">
      <c r="A143" s="2">
        <v>8</v>
      </c>
      <c r="C143" s="38" t="s">
        <v>62</v>
      </c>
      <c r="D143" s="42">
        <f>TRUNC(6148,-1)</f>
        <v>6140</v>
      </c>
      <c r="E143" s="63">
        <f t="shared" si="5"/>
        <v>20290</v>
      </c>
    </row>
    <row r="144" spans="1:7" x14ac:dyDescent="0.3">
      <c r="A144" s="2">
        <v>9</v>
      </c>
      <c r="C144" s="38" t="s">
        <v>63</v>
      </c>
      <c r="D144" s="42">
        <f>TRUNC(16861,-1)</f>
        <v>16860</v>
      </c>
      <c r="E144" s="63">
        <f t="shared" si="5"/>
        <v>55730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68310</v>
      </c>
      <c r="E146" s="39">
        <f>SUM(E136:E145)</f>
        <v>225790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TRUNC(8482+2149,-1)</f>
        <v>10630</v>
      </c>
      <c r="E149" s="62">
        <f>TRUNC(+D149*3.3058,-1)</f>
        <v>35140</v>
      </c>
    </row>
    <row r="150" spans="1:7" x14ac:dyDescent="0.3">
      <c r="A150" s="2">
        <v>2</v>
      </c>
      <c r="C150" s="38" t="s">
        <v>49</v>
      </c>
      <c r="D150" s="42">
        <f>TRUNC(851,-1)</f>
        <v>850</v>
      </c>
      <c r="E150" s="63">
        <f>TRUNC(+D150*3.3058,-1)</f>
        <v>2800</v>
      </c>
    </row>
    <row r="151" spans="1:7" x14ac:dyDescent="0.3">
      <c r="A151" s="2">
        <v>3</v>
      </c>
      <c r="C151" s="38" t="s">
        <v>50</v>
      </c>
      <c r="D151" s="42">
        <f>TRUNC(4527,-1)</f>
        <v>4520</v>
      </c>
      <c r="E151" s="63">
        <f>TRUNC(+D151*3.3058,-1)</f>
        <v>14940</v>
      </c>
    </row>
    <row r="152" spans="1:7" x14ac:dyDescent="0.3">
      <c r="A152" s="2">
        <v>4</v>
      </c>
      <c r="C152" s="38" t="s">
        <v>47</v>
      </c>
      <c r="D152" s="42">
        <f>TRUNC(29+54012+938+7069,-1)</f>
        <v>62040</v>
      </c>
      <c r="E152" s="63">
        <f>TRUNC(+D152*3.3058,-1)</f>
        <v>205090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TRUNC(3822,-1)</f>
        <v>3820</v>
      </c>
      <c r="E153" s="64">
        <f>TRUNC(+D153*3.3058,-1)</f>
        <v>12620</v>
      </c>
    </row>
    <row r="154" spans="1:7" x14ac:dyDescent="0.3">
      <c r="A154" s="2">
        <v>6</v>
      </c>
      <c r="C154" s="27" t="s">
        <v>112</v>
      </c>
      <c r="D154" s="39">
        <f>SUM(D149:D153)</f>
        <v>81860</v>
      </c>
      <c r="E154" s="39">
        <f>SUM(E149:E153)</f>
        <v>270590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TRUNC(18806,-1)</f>
        <v>18800</v>
      </c>
      <c r="E157" s="62">
        <f>TRUNC(+D157*3.3058,-1)</f>
        <v>62140</v>
      </c>
    </row>
    <row r="158" spans="1:7" x14ac:dyDescent="0.3">
      <c r="A158" s="2">
        <v>2</v>
      </c>
      <c r="C158" s="38" t="s">
        <v>52</v>
      </c>
      <c r="D158" s="42">
        <f>TRUNC(933,-1)</f>
        <v>930</v>
      </c>
      <c r="E158" s="63">
        <f>TRUNC(+D158*3.3058,-1)</f>
        <v>3070</v>
      </c>
    </row>
    <row r="159" spans="1:7" x14ac:dyDescent="0.3">
      <c r="A159" s="2">
        <v>3</v>
      </c>
      <c r="C159" s="38" t="s">
        <v>47</v>
      </c>
      <c r="D159" s="42">
        <f>TRUNC(2809+202,-1)</f>
        <v>3010</v>
      </c>
      <c r="E159" s="63">
        <f>TRUNC(+D159*3.3058,-1)</f>
        <v>9950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TRUNC(129,-1)</f>
        <v>120</v>
      </c>
      <c r="E160" s="64">
        <f>TRUNC(+D160*3.3058,-1)</f>
        <v>390</v>
      </c>
    </row>
    <row r="161" spans="1:5" x14ac:dyDescent="0.3">
      <c r="A161" s="2">
        <v>5</v>
      </c>
      <c r="C161" s="27" t="s">
        <v>112</v>
      </c>
      <c r="D161" s="39">
        <f>SUM(D157:D160)</f>
        <v>22860</v>
      </c>
      <c r="E161" s="39">
        <f>SUM(E157:E160)</f>
        <v>75550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2020-12-08T02:34:08Z</dcterms:modified>
</cp:coreProperties>
</file>