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0" i="4"/>
  <c r="D149" i="4"/>
  <c r="D142" i="4"/>
  <c r="D141" i="4"/>
  <c r="D139" i="4"/>
  <c r="D131" i="4"/>
  <c r="D130" i="4"/>
  <c r="D127" i="4"/>
  <c r="D126" i="4"/>
  <c r="D125" i="4"/>
  <c r="D122" i="4"/>
  <c r="D118" i="4"/>
  <c r="D117" i="4"/>
  <c r="D116" i="4"/>
  <c r="D104" i="4"/>
  <c r="D103" i="4"/>
  <c r="D102" i="4"/>
  <c r="D100" i="4"/>
  <c r="D99" i="4"/>
  <c r="D98" i="4"/>
  <c r="D94" i="4"/>
  <c r="D92" i="4"/>
  <c r="D91" i="4"/>
  <c r="D89" i="4"/>
  <c r="D73" i="4"/>
  <c r="D71" i="4"/>
  <c r="D70" i="4"/>
  <c r="D63" i="4"/>
  <c r="D59" i="4"/>
  <c r="D52" i="4"/>
  <c r="D50" i="4"/>
  <c r="D49" i="4"/>
  <c r="D48" i="4"/>
  <c r="D46" i="4"/>
  <c r="D44" i="4"/>
  <c r="D43" i="4"/>
  <c r="D41" i="4"/>
  <c r="D40" i="4"/>
  <c r="D132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<sst xmlns="http://schemas.openxmlformats.org/spreadsheetml/2006/main" count="391" uniqueCount="266">
  <si>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</si>
  <si>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</si>
  <si>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</si>
  <si>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</si>
  <si>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</si>
  <si>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</si>
  <si>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</si>
  <si>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</si>
  <si>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</si>
  <si>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</si>
  <si>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</si>
  <si>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</si>
  <si>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</si>
  <si>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</si>
  <si>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</si>
  <si>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</si>
  <si>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</si>
  <si>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</si>
  <si>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</si>
  <si>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</si>
  <si>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</si>
  <si>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</si>
  <si>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</si>
  <si>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</si>
  <si>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</si>
  <si>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</si>
  <si>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</si>
  <si>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</si>
  <si>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</si>
  <si>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</si>
  <si>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</si>
  <si>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</si>
  <si>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</si>
  <si>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</si>
  <si>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</si>
  <si>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</si>
  <si>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</si>
  <si>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</si>
  <si>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</si>
  <si>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</si>
  <si>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</si>
  <si>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</si>
  <si>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</si>
  <si>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</si>
  <si>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</si>
  <si>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</si>
  <si>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</si>
  <si>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</si>
  <si>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</si>
  <si>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</si>
  <si>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</si>
  <si>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</si>
  <si>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</si>
  <si>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</si>
  <si>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</si>
  <si>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</si>
  <si>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</si>
  <si>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</si>
  <si>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</si>
  <si>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</si>
  <si>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</si>
  <si>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</si>
  <si>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</si>
  <si>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</si>
  <si>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</si>
  <si>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</si>
  <si>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</si>
  <si>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</si>
  <si>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</si>
  <si>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</si>
  <si>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</si>
  <si>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</si>
  <si>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</si>
  <si>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</si>
  <si>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</si>
  <si>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</si>
  <si>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</si>
  <si>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</si>
  <si>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</si>
  <si>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</si>
  <si>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</si>
  <si>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</si>
  <si>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</si>
  <si>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</si>
  <si>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</si>
  <si>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</si>
  <si>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</si>
  <si>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</si>
  <si>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</si>
  <si>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</si>
  <si>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</si>
  <si>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</si>
  <si>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</si>
  <si>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</si>
  <si>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</si>
  <si>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</si>
  <si>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</si>
  <si>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</si>
  <si>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</si>
  <si>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</si>
  <si>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</si>
  <si>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</si>
  <si>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</si>
  <si>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</si>
  <si>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</si>
  <si>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</si>
  <si>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</si>
  <si>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</si>
  <si>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</si>
  <si>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</si>
  <si>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</si>
  <si>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</si>
  <si>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</si>
  <si>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</si>
  <si>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</si>
  <si>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</si>
  <si>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</si>
  <si>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</si>
  <si>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</si>
  <si>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</si>
  <si>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</si>
  <si>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</si>
  <si>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</si>
  <si>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</si>
  <si>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</si>
  <si>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</si>
  <si>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</si>
  <si>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</si>
  <si>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</si>
  <si>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</si>
  <si>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</si>
  <si>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</si>
  <si>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</si>
  <si>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</si>
  <si>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</si>
  <si>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</si>
  <si>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</si>
  <si>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</si>
  <si>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</si>
  <si>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</si>
  <si>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</si>
  <si>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</si>
  <si>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</si>
  <si>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</si>
  <si>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</si>
  <si>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</si>
  <si>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</si>
  <si>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</si>
  <si>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</si>
  <si>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</si>
  <si>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</si>
  <si>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</si>
  <si>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</si>
  <si>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</si>
  <si>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</si>
  <si>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</si>
  <si>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</si>
  <si>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</si>
  <si>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</si>
  <si>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</si>
  <si>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</si>
  <si>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</si>
  <si>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</si>
  <si>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</si>
  <si>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</si>
  <si>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</si>
  <si>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</si>
  <si>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</si>
  <si>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</si>
  <si>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</si>
  <si>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</si>
  <si>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</si>
  <si>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</si>
  <si>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</si>
  <si>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</si>
  <si>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</si>
  <si>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</si>
  <si>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</si>
  <si>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</si>
  <si>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</si>
  <si>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</si>
  <si>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</si>
  <si>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</si>
  <si>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</si>
  <si>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</si>
  <si>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</si>
  <si>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</si>
  <si>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</si>
  <si>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</si>
  <si>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</si>
  <si>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</si>
  <si>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</si>
  <si>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</si>
  <si>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</si>
  <si>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</si>
  <si>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</si>
  <si>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</si>
  <si>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</si>
  <si>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</si>
  <si>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</si>
  <si>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</si>
  <si>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</si>
  <si>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</si>
  <si>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</si>
  <si>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</si>
  <si>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</si>
  <si>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</si>
  <si>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</si>
  <si>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</si>
  <si>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</si>
  <si>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</si>
  <si>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</si>
  <si>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</si>
  <si>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</si>
  <si>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</si>
  <si>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</si>
  <si>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</si>
  <si>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</si>
  <si>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</si>
  <si>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</si>
  <si>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</si>
  <si>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</si>
  <si>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</si>
  <si>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</si>
  <si>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</si>
  <si>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</si>
  <si>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</si>
  <si>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</si>
  <si>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</si>
  <si>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</si>
  <si>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</si>
  <si>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</si>
  <si>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</si>
  <si>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</si>
  <si>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</si>
  <si>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</si>
  <si>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</si>
  <si>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</si>
  <si>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</si>
  <si>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</si>
  <si>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</si>
  <si>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</si>
  <si>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</si>
  <si>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</si>
  <si>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</si>
  <si>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</si>
  <si>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</si>
  <si>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</si>
  <si>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</si>
  <si>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</si>
  <si>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</si>
  <si>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</si>
  <si>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</si>
  <si>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</si>
  <si>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부산대학교 양산캠퍼스 기숙사 신축공사</t>
    <phoneticPr fontId="2" type="noConversion"/>
  </si>
  <si>
    <t>교육연구</t>
  </si>
  <si>
    <t>기초공사, 골재비및운반비</t>
    <phoneticPr fontId="2" type="noConversion"/>
  </si>
  <si>
    <t>난방배관공사</t>
    <phoneticPr fontId="2" type="noConversion"/>
  </si>
  <si>
    <t>CATV 및 TV 설비공사</t>
    <phoneticPr fontId="2" type="noConversion"/>
  </si>
  <si>
    <t xml:space="preserve">사급자재비, 운반비, 기타공사 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</si>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</sst>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6985</v>
      </c>
      <c r="D7" s="36">
        <f>+C7/3.3058</f>
        <v>2112.9529917115374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961300</v>
      </c>
      <c r="E25" s="59">
        <f t="shared" si="0"/>
        <v>3177860</v>
      </c>
    </row>
    <row r="26" spans="1:5" x14ac:dyDescent="0.3">
      <c r="B26" s="2">
        <v>3</v>
      </c>
      <c r="C26" s="35" t="s">
        <v>95</v>
      </c>
      <c r="D26" s="45">
        <f>+D66</f>
        <v>16560</v>
      </c>
      <c r="E26" s="59">
        <f t="shared" si="0"/>
        <v>54740</v>
      </c>
    </row>
    <row r="27" spans="1:5" x14ac:dyDescent="0.3">
      <c r="B27" s="2">
        <v>4</v>
      </c>
      <c r="C27" s="35" t="s">
        <v>96</v>
      </c>
      <c r="D27" s="45">
        <f>+D95</f>
        <v>190590</v>
      </c>
      <c r="E27" s="59">
        <f t="shared" si="0"/>
        <v>630050</v>
      </c>
    </row>
    <row r="28" spans="1:5" x14ac:dyDescent="0.3">
      <c r="B28" s="2">
        <v>5</v>
      </c>
      <c r="C28" s="35" t="s">
        <v>97</v>
      </c>
      <c r="D28" s="45">
        <f>+D119</f>
        <v>277790</v>
      </c>
      <c r="E28" s="59">
        <f t="shared" si="0"/>
        <v>918310</v>
      </c>
    </row>
    <row r="29" spans="1:5" x14ac:dyDescent="0.3">
      <c r="B29" s="2">
        <v>6</v>
      </c>
      <c r="C29" s="35" t="s">
        <v>98</v>
      </c>
      <c r="D29" s="45">
        <f>+D133</f>
        <v>150890</v>
      </c>
      <c r="E29" s="59">
        <f t="shared" si="0"/>
        <v>498810</v>
      </c>
    </row>
    <row r="30" spans="1:5" x14ac:dyDescent="0.3">
      <c r="B30" s="2">
        <v>7</v>
      </c>
      <c r="C30" s="35" t="s">
        <v>99</v>
      </c>
      <c r="D30" s="45">
        <f>+D146</f>
        <v>46180</v>
      </c>
      <c r="E30" s="59">
        <f t="shared" si="0"/>
        <v>152660</v>
      </c>
    </row>
    <row r="31" spans="1:5" x14ac:dyDescent="0.3">
      <c r="B31" s="2">
        <v>8</v>
      </c>
      <c r="C31" s="35" t="s">
        <v>100</v>
      </c>
      <c r="D31" s="45">
        <f>+D154</f>
        <v>137540</v>
      </c>
      <c r="E31" s="59">
        <f t="shared" si="0"/>
        <v>454670</v>
      </c>
    </row>
    <row r="32" spans="1:5" x14ac:dyDescent="0.3">
      <c r="B32" s="2">
        <v>9</v>
      </c>
      <c r="C32" s="35" t="s">
        <v>101</v>
      </c>
      <c r="D32" s="45">
        <f>+D161</f>
        <v>30820</v>
      </c>
      <c r="E32" s="59">
        <f t="shared" si="0"/>
        <v>101880</v>
      </c>
    </row>
    <row r="33" spans="1:7" x14ac:dyDescent="0.3">
      <c r="B33" s="2">
        <v>10</v>
      </c>
      <c r="C33" s="35" t="s">
        <v>154</v>
      </c>
      <c r="D33" s="53">
        <f>TRUNC(SUM(D24:D32)*0.275,-1)</f>
        <v>498200</v>
      </c>
      <c r="E33" s="60">
        <f t="shared" si="0"/>
        <v>1646940</v>
      </c>
    </row>
    <row r="34" spans="1:7" x14ac:dyDescent="0.3">
      <c r="C34" s="35" t="s">
        <v>112</v>
      </c>
      <c r="D34" s="44">
        <f>SUM(D24:D33)</f>
        <v>2309870</v>
      </c>
      <c r="E34" s="44">
        <f>SUM(E24:E33)</f>
        <v>7635920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TRUNC(65033,-1)</f>
        <v>65030</v>
      </c>
      <c r="E40" s="62">
        <f t="shared" ref="E40:E59" si="1">TRUNC(+D40*3.3058,-1)</f>
        <v>214970</v>
      </c>
    </row>
    <row r="41" spans="1:7" x14ac:dyDescent="0.3">
      <c r="A41" s="2">
        <v>2</v>
      </c>
      <c r="C41" s="38" t="s">
        <v>13</v>
      </c>
      <c r="D41" s="42">
        <f>TRUNC(191277,-1)</f>
        <v>191270</v>
      </c>
      <c r="E41" s="63">
        <f t="shared" si="1"/>
        <v>632300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TRUNC(18754,-1)</f>
        <v>18750</v>
      </c>
      <c r="E43" s="63">
        <f t="shared" si="1"/>
        <v>61980</v>
      </c>
    </row>
    <row r="44" spans="1:7" x14ac:dyDescent="0.3">
      <c r="A44" s="2">
        <v>5</v>
      </c>
      <c r="C44" s="38" t="s">
        <v>17</v>
      </c>
      <c r="D44" s="42">
        <f>TRUNC(36406,-1)</f>
        <v>36400</v>
      </c>
      <c r="E44" s="63">
        <f t="shared" si="1"/>
        <v>120330</v>
      </c>
    </row>
    <row r="45" spans="1:7" x14ac:dyDescent="0.3">
      <c r="A45" s="2">
        <v>6</v>
      </c>
      <c r="C45" s="38" t="s">
        <v>18</v>
      </c>
      <c r="D45" s="42">
        <v>8660</v>
      </c>
      <c r="E45" s="63">
        <f t="shared" si="1"/>
        <v>28620</v>
      </c>
    </row>
    <row r="46" spans="1:7" x14ac:dyDescent="0.3">
      <c r="A46" s="2">
        <v>7</v>
      </c>
      <c r="C46" s="38" t="s">
        <v>19</v>
      </c>
      <c r="D46" s="42">
        <f>TRUNC(6465,-1)</f>
        <v>6460</v>
      </c>
      <c r="E46" s="63">
        <f t="shared" si="1"/>
        <v>21350</v>
      </c>
    </row>
    <row r="47" spans="1:7" x14ac:dyDescent="0.3">
      <c r="A47" s="2">
        <v>8</v>
      </c>
      <c r="C47" s="38" t="s">
        <v>20</v>
      </c>
      <c r="D47" s="42">
        <v>87440</v>
      </c>
      <c r="E47" s="63">
        <f t="shared" si="1"/>
        <v>289050</v>
      </c>
    </row>
    <row r="48" spans="1:7" x14ac:dyDescent="0.3">
      <c r="A48" s="2">
        <v>9</v>
      </c>
      <c r="C48" s="38" t="s">
        <v>21</v>
      </c>
      <c r="D48" s="42">
        <f>TRUNC(33909,-1)</f>
        <v>33900</v>
      </c>
      <c r="E48" s="63">
        <f t="shared" si="1"/>
        <v>112060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TRUNC(38486,-1)</f>
        <v>38480</v>
      </c>
      <c r="E49" s="63">
        <f t="shared" si="1"/>
        <v>127200</v>
      </c>
    </row>
    <row r="50" spans="1:7" x14ac:dyDescent="0.3">
      <c r="A50" s="2">
        <v>11</v>
      </c>
      <c r="C50" s="38" t="s">
        <v>155</v>
      </c>
      <c r="D50" s="42">
        <f>TRUNC(96408,-1)</f>
        <v>96400</v>
      </c>
      <c r="E50" s="63">
        <f t="shared" si="1"/>
        <v>318670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TRUNC(5857,-1)</f>
        <v>5850</v>
      </c>
      <c r="E52" s="63">
        <f t="shared" si="1"/>
        <v>19330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25411+6344+62315</f>
        <v>94070</v>
      </c>
      <c r="E58" s="63">
        <f t="shared" si="1"/>
        <v>310970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TRUNC(278595,-1)</f>
        <v>278590</v>
      </c>
      <c r="E59" s="64">
        <f t="shared" si="1"/>
        <v>920960</v>
      </c>
    </row>
    <row r="60" spans="1:7" x14ac:dyDescent="0.3">
      <c r="A60" s="2">
        <v>21</v>
      </c>
      <c r="C60" s="27" t="s">
        <v>112</v>
      </c>
      <c r="D60" s="39">
        <f>SUM(D40:D59)</f>
        <v>961300</v>
      </c>
      <c r="E60" s="39">
        <f>SUM(E40:E59)</f>
        <v>3177790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TRUNC(16564,-1)</f>
        <v>16560</v>
      </c>
      <c r="E63" s="62">
        <f>TRUNC(+D63*3.3058,-1)</f>
        <v>54740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16560</v>
      </c>
      <c r="E66" s="65">
        <f>SUM(E63:E65)</f>
        <v>54740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9620</v>
      </c>
      <c r="E69" s="62">
        <f t="shared" ref="E69:E94" si="2">TRUNC(+D69*3.3058,-1)</f>
        <v>31800</v>
      </c>
    </row>
    <row r="70" spans="1:7" ht="16.5" customHeight="1" x14ac:dyDescent="0.3">
      <c r="A70" s="2">
        <v>2</v>
      </c>
      <c r="C70" s="38" t="s">
        <v>31</v>
      </c>
      <c r="D70" s="42">
        <f>TRUNC(2351,-1)</f>
        <v>2350</v>
      </c>
      <c r="E70" s="63">
        <f t="shared" si="2"/>
        <v>7760</v>
      </c>
    </row>
    <row r="71" spans="1:7" x14ac:dyDescent="0.3">
      <c r="A71" s="2">
        <v>3</v>
      </c>
      <c r="C71" s="38" t="s">
        <v>32</v>
      </c>
      <c r="D71" s="42">
        <f>TRUNC(5923,-1)</f>
        <v>5920</v>
      </c>
      <c r="E71" s="63">
        <f t="shared" si="2"/>
        <v>19570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TRUNC(20747,-1)</f>
        <v>20740</v>
      </c>
      <c r="E73" s="63">
        <f t="shared" si="2"/>
        <v>68560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TRUNC(17566,-1)</f>
        <v>17560</v>
      </c>
      <c r="E89" s="63">
        <f t="shared" si="2"/>
        <v>58040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TRUNC(7368,-1)</f>
        <v>7360</v>
      </c>
      <c r="E91" s="63">
        <f t="shared" si="2"/>
        <v>24330</v>
      </c>
    </row>
    <row r="92" spans="1:7" x14ac:dyDescent="0.3">
      <c r="A92" s="2">
        <v>24</v>
      </c>
      <c r="C92" s="38" t="s">
        <v>38</v>
      </c>
      <c r="D92" s="42">
        <f>TRUNC(801,-1)</f>
        <v>800</v>
      </c>
      <c r="E92" s="63">
        <f t="shared" si="2"/>
        <v>2640</v>
      </c>
    </row>
    <row r="93" spans="1:7" x14ac:dyDescent="0.3">
      <c r="A93" s="2">
        <v>25</v>
      </c>
      <c r="C93" s="38" t="s">
        <v>148</v>
      </c>
      <c r="D93" s="42">
        <v>86400</v>
      </c>
      <c r="E93" s="63">
        <f t="shared" si="2"/>
        <v>285620</v>
      </c>
    </row>
    <row r="94" spans="1:7" ht="17.25" thickBot="1" x14ac:dyDescent="0.35">
      <c r="A94" s="2">
        <v>26</v>
      </c>
      <c r="C94" s="38" t="s">
        <v>47</v>
      </c>
      <c r="D94" s="43">
        <f>TRUNC(39845,-1)</f>
        <v>39840</v>
      </c>
      <c r="E94" s="64">
        <f t="shared" si="2"/>
        <v>131700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190590</v>
      </c>
      <c r="E95" s="39">
        <f>SUM(E69:E94)</f>
        <v>630020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TRUNC(25372,-1)</f>
        <v>25370</v>
      </c>
      <c r="E98" s="62">
        <f t="shared" ref="E98:E118" si="3">TRUNC(+D98*3.3058,-1)</f>
        <v>83860</v>
      </c>
    </row>
    <row r="99" spans="1:7" x14ac:dyDescent="0.3">
      <c r="A99" s="2">
        <v>2</v>
      </c>
      <c r="C99" s="38" t="s">
        <v>40</v>
      </c>
      <c r="D99" s="42">
        <f>TRUNC(1356,-1)</f>
        <v>1350</v>
      </c>
      <c r="E99" s="63">
        <f t="shared" si="3"/>
        <v>4460</v>
      </c>
    </row>
    <row r="100" spans="1:7" x14ac:dyDescent="0.3">
      <c r="A100" s="2">
        <v>3</v>
      </c>
      <c r="C100" s="38" t="s">
        <v>41</v>
      </c>
      <c r="D100" s="42">
        <f>TRUNC(35339,-1)</f>
        <v>35330</v>
      </c>
      <c r="E100" s="63">
        <f t="shared" si="3"/>
        <v>116790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TRUNC(16701,-1)</f>
        <v>16700</v>
      </c>
      <c r="E102" s="63">
        <f t="shared" si="3"/>
        <v>55200</v>
      </c>
    </row>
    <row r="103" spans="1:7" x14ac:dyDescent="0.3">
      <c r="A103" s="2">
        <v>6</v>
      </c>
      <c r="C103" s="38" t="s">
        <v>44</v>
      </c>
      <c r="D103" s="42">
        <f>TRUNC(625,-1)</f>
        <v>620</v>
      </c>
      <c r="E103" s="63">
        <f t="shared" si="3"/>
        <v>2040</v>
      </c>
    </row>
    <row r="104" spans="1:7" x14ac:dyDescent="0.3">
      <c r="A104" s="2">
        <v>7</v>
      </c>
      <c r="C104" s="38" t="s">
        <v>45</v>
      </c>
      <c r="D104" s="42">
        <f>TRUNC(4021,-1)</f>
        <v>4020</v>
      </c>
      <c r="E104" s="63">
        <f t="shared" si="3"/>
        <v>13280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TRUNC(12475,-1)</f>
        <v>12470</v>
      </c>
      <c r="E116" s="63">
        <f t="shared" si="3"/>
        <v>41220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TRUNC(180062,-1)</f>
        <v>180060</v>
      </c>
      <c r="E117" s="63">
        <f t="shared" si="3"/>
        <v>595240</v>
      </c>
    </row>
    <row r="118" spans="1:7" ht="17.25" thickBot="1" x14ac:dyDescent="0.35">
      <c r="A118" s="2">
        <v>21</v>
      </c>
      <c r="C118" s="38" t="s">
        <v>47</v>
      </c>
      <c r="D118" s="43">
        <f>TRUNC(1875,-1)</f>
        <v>1870</v>
      </c>
      <c r="E118" s="64">
        <f t="shared" si="3"/>
        <v>6180</v>
      </c>
    </row>
    <row r="119" spans="1:7" x14ac:dyDescent="0.3">
      <c r="A119" s="2">
        <v>22</v>
      </c>
      <c r="C119" s="27" t="s">
        <v>112</v>
      </c>
      <c r="D119" s="39">
        <f>SUM(D98:D118)</f>
        <v>277790</v>
      </c>
      <c r="E119" s="39">
        <f>SUM(E98:E118)</f>
        <v>918270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TRUNC(809,-1)</f>
        <v>800</v>
      </c>
      <c r="E122" s="62">
        <f t="shared" ref="E122:E132" si="4">TRUNC(+D122*3.3058,-1)</f>
        <v>2640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TRUNC(5098,-1)</f>
        <v>5090</v>
      </c>
      <c r="E125" s="63">
        <f t="shared" si="4"/>
        <v>16820</v>
      </c>
    </row>
    <row r="126" spans="1:7" x14ac:dyDescent="0.3">
      <c r="A126" s="2">
        <v>5</v>
      </c>
      <c r="C126" s="38" t="s">
        <v>53</v>
      </c>
      <c r="D126" s="42">
        <f>TRUNC(10858,-1)</f>
        <v>10850</v>
      </c>
      <c r="E126" s="63">
        <f t="shared" si="4"/>
        <v>35860</v>
      </c>
    </row>
    <row r="127" spans="1:7" x14ac:dyDescent="0.3">
      <c r="A127" s="2">
        <v>6</v>
      </c>
      <c r="C127" s="38" t="s">
        <v>56</v>
      </c>
      <c r="D127" s="42">
        <f>TRUNC(5905,-1)</f>
        <v>5900</v>
      </c>
      <c r="E127" s="63">
        <f t="shared" si="4"/>
        <v>19500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TRUNC(27064,-1)</f>
        <v>27060</v>
      </c>
      <c r="E130" s="63">
        <f t="shared" si="4"/>
        <v>89450</v>
      </c>
    </row>
    <row r="131" spans="1:7" x14ac:dyDescent="0.3">
      <c r="A131" s="2">
        <v>10</v>
      </c>
      <c r="C131" s="38" t="s">
        <v>148</v>
      </c>
      <c r="D131" s="42">
        <f>TRUNC(48224,-1)</f>
        <v>48220</v>
      </c>
      <c r="E131" s="63">
        <f t="shared" si="4"/>
        <v>159400</v>
      </c>
    </row>
    <row r="132" spans="1:7" ht="18" thickBot="1" x14ac:dyDescent="0.35">
      <c r="A132" s="2">
        <v>11</v>
      </c>
      <c r="C132" s="38" t="s">
        <v>47</v>
      </c>
      <c r="D132" s="43">
        <f>2838+50132</f>
        <v>52970</v>
      </c>
      <c r="E132" s="64">
        <f t="shared" si="4"/>
        <v>175100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150890</v>
      </c>
      <c r="E133" s="39">
        <f>SUM(E122:E132)</f>
        <v>498770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TRUNC(7511,-1)</f>
        <v>7510</v>
      </c>
      <c r="E139" s="63">
        <f t="shared" si="5"/>
        <v>24820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TRUNC(27691,-1)</f>
        <v>27690</v>
      </c>
      <c r="E141" s="63">
        <f t="shared" si="5"/>
        <v>91530</v>
      </c>
    </row>
    <row r="142" spans="1:7" x14ac:dyDescent="0.3">
      <c r="A142" s="2">
        <v>7</v>
      </c>
      <c r="C142" s="38" t="s">
        <v>58</v>
      </c>
      <c r="D142" s="42">
        <f>TRUNC(10983,-1)</f>
        <v>10980</v>
      </c>
      <c r="E142" s="63">
        <f t="shared" si="5"/>
        <v>36290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46180</v>
      </c>
      <c r="E146" s="39">
        <f>SUM(E136:E145)</f>
        <v>152640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TRUNC(4417+606,-1)</f>
        <v>5020</v>
      </c>
      <c r="E149" s="62">
        <f>TRUNC(+D149*3.3058,-1)</f>
        <v>16590</v>
      </c>
    </row>
    <row r="150" spans="1:7" x14ac:dyDescent="0.3">
      <c r="A150" s="2">
        <v>2</v>
      </c>
      <c r="C150" s="38" t="s">
        <v>49</v>
      </c>
      <c r="D150" s="42">
        <f>TRUNC(6627,-1)</f>
        <v>6620</v>
      </c>
      <c r="E150" s="63">
        <f>TRUNC(+D150*3.3058,-1)</f>
        <v>21880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TRUNC(4423+73+55979,-1)</f>
        <v>60470</v>
      </c>
      <c r="E152" s="63">
        <f>TRUNC(+D152*3.3058,-1)</f>
        <v>199900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TRUNC(65436,-1)</f>
        <v>65430</v>
      </c>
      <c r="E153" s="64">
        <f>TRUNC(+D153*3.3058,-1)</f>
        <v>216290</v>
      </c>
    </row>
    <row r="154" spans="1:7" x14ac:dyDescent="0.3">
      <c r="A154" s="2">
        <v>6</v>
      </c>
      <c r="C154" s="27" t="s">
        <v>112</v>
      </c>
      <c r="D154" s="39">
        <f>SUM(D149:D153)</f>
        <v>137540</v>
      </c>
      <c r="E154" s="39">
        <f>SUM(E149:E153)</f>
        <v>454660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TRUNC(26858,-1)</f>
        <v>26850</v>
      </c>
      <c r="E157" s="62">
        <f>TRUNC(+D157*3.3058,-1)</f>
        <v>88760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TRUNC(3975,-1)</f>
        <v>3970</v>
      </c>
      <c r="E159" s="63">
        <f>TRUNC(+D159*3.3058,-1)</f>
        <v>13120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30820</v>
      </c>
      <c r="E161" s="39">
        <f>SUM(E157:E160)</f>
        <v>101880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2020-12-08T01:13:20Z</dcterms:modified>
</cp:coreProperties>
</file>