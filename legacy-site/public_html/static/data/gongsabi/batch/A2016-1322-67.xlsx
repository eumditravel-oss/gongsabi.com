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49" i="4"/>
  <c r="D145" i="4"/>
  <c r="D144" i="4"/>
  <c r="D143" i="4"/>
  <c r="D140" i="4"/>
  <c r="D137" i="4"/>
  <c r="D132" i="4"/>
  <c r="D128" i="4"/>
  <c r="D126" i="4"/>
  <c r="D125" i="4"/>
  <c r="D122" i="4"/>
  <c r="D118" i="4"/>
  <c r="D117" i="4"/>
  <c r="D116" i="4"/>
  <c r="D105" i="4"/>
  <c r="D104" i="4"/>
  <c r="D100" i="4"/>
  <c r="D98" i="4"/>
  <c r="D94" i="4"/>
  <c r="D92" i="4"/>
  <c r="D91" i="4"/>
  <c r="D89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<sst xmlns="http://schemas.openxmlformats.org/spreadsheetml/2006/main" count="393" uniqueCount="267">
  <si>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</si>
  <si>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</si>
  <si>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</si>
  <si>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</si>
  <si>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</si>
  <si>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</si>
  <si>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</si>
  <si>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</si>
  <si>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</si>
  <si>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</si>
  <si>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</si>
  <si>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</si>
  <si>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</si>
  <si>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</si>
  <si>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</si>
  <si>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</si>
  <si>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</si>
  <si>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</si>
  <si>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</si>
  <si>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</si>
  <si>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</si>
  <si>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</si>
  <si>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</si>
  <si>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</si>
  <si>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</si>
  <si>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</si>
  <si>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</si>
  <si>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</si>
  <si>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</si>
  <si>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</si>
  <si>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</si>
  <si>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</si>
  <si>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</si>
  <si>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</si>
  <si>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</si>
  <si>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</si>
  <si>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</si>
  <si>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</si>
  <si>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</si>
  <si>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</si>
  <si>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</si>
  <si>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</si>
  <si>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</si>
  <si>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</si>
  <si>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</si>
  <si>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</si>
  <si>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</si>
  <si>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</si>
  <si>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</si>
  <si>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</si>
  <si>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</si>
  <si>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</si>
  <si>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</si>
  <si>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</si>
  <si>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</si>
  <si>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</si>
  <si>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</si>
  <si>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</si>
  <si>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</si>
  <si>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</si>
  <si>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</si>
  <si>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</si>
  <si>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</si>
  <si>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</si>
  <si>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</si>
  <si>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</si>
  <si>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</si>
  <si>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</si>
  <si>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</si>
  <si>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</si>
  <si>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</si>
  <si>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</si>
  <si>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</si>
  <si>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</si>
  <si>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</si>
  <si>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</si>
  <si>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</si>
  <si>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</si>
  <si>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</si>
  <si>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</si>
  <si>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</si>
  <si>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</si>
  <si>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</si>
  <si>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</si>
  <si>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</si>
  <si>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</si>
  <si>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</si>
  <si>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</si>
  <si>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</si>
  <si>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</si>
  <si>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</si>
  <si>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</si>
  <si>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</si>
  <si>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</si>
  <si>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</si>
  <si>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</si>
  <si>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</si>
  <si>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</si>
  <si>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</si>
  <si>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</si>
  <si>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</si>
  <si>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</si>
  <si>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</si>
  <si>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</si>
  <si>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</si>
  <si>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</si>
  <si>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</si>
  <si>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</si>
  <si>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</si>
  <si>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</si>
  <si>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</si>
  <si>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</si>
  <si>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</si>
  <si>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</si>
  <si>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</si>
  <si>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</si>
  <si>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</si>
  <si>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</si>
  <si>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</si>
  <si>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</si>
  <si>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</si>
  <si>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</si>
  <si>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</si>
  <si>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</si>
  <si>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</si>
  <si>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</si>
  <si>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</si>
  <si>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</si>
  <si>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</si>
  <si>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</si>
  <si>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</si>
  <si>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</si>
  <si>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</si>
  <si>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</si>
  <si>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</si>
  <si>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</si>
  <si>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</si>
  <si>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</si>
  <si>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</si>
  <si>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</si>
  <si>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</si>
  <si>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</si>
  <si>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</si>
  <si>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</si>
  <si>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</si>
  <si>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</si>
  <si>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</si>
  <si>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</si>
  <si>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</si>
  <si>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</si>
  <si>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</si>
  <si>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</si>
  <si>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</si>
  <si>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</si>
  <si>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</si>
  <si>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</si>
  <si>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</si>
  <si>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</si>
  <si>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</si>
  <si>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</si>
  <si>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</si>
  <si>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</si>
  <si>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</si>
  <si>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</si>
  <si>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</si>
  <si>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</si>
  <si>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</si>
  <si>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</si>
  <si>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</si>
  <si>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</si>
  <si>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</si>
  <si>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</si>
  <si>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</si>
  <si>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</si>
  <si>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</si>
  <si>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</si>
  <si>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</si>
  <si>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</si>
  <si>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</si>
  <si>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</si>
  <si>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</si>
  <si>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</si>
  <si>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</si>
  <si>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</si>
  <si>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</si>
  <si>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</si>
  <si>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</si>
  <si>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</si>
  <si>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</si>
  <si>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</si>
  <si>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</si>
  <si>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</si>
  <si>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</si>
  <si>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</si>
  <si>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</si>
  <si>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</si>
  <si>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</si>
  <si>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</si>
  <si>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</si>
  <si>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</si>
  <si>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</si>
  <si>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</si>
  <si>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</si>
  <si>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</si>
  <si>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</si>
  <si>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</si>
  <si>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</si>
  <si>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</si>
  <si>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</si>
  <si>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</si>
  <si>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</si>
  <si>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</si>
  <si>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</si>
  <si>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</si>
  <si>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</si>
  <si>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</si>
  <si>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</si>
  <si>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</si>
  <si>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</si>
  <si>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</si>
  <si>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</si>
  <si>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</si>
  <si>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</si>
  <si>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</si>
  <si>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</si>
  <si>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</si>
  <si>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</si>
  <si>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</si>
  <si>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</si>
  <si>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</si>
  <si>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</si>
  <si>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</si>
  <si>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</si>
  <si>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</si>
  <si>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</si>
  <si>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</si>
  <si>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</si>
  <si>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</si>
  <si>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</si>
  <si>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</si>
  <si>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</si>
  <si>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</si>
  <si>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</si>
  <si>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</si>
  <si>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</si>
  <si>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</si>
  <si>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</si>
  <si>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</si>
  <si>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</si>
  <si>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</si>
  <si>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</si>
  <si>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</si>
  <si>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</si>
  <si>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</si>
  <si>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</si>
  <si>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</si>
  <si>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경기서부융복합지원센터 신축공사</t>
    <phoneticPr fontId="2" type="noConversion"/>
  </si>
  <si>
    <t>경기도</t>
  </si>
  <si>
    <t>기초공사, 골재비및운반비, 작업부산물, 기타공사</t>
    <phoneticPr fontId="2" type="noConversion"/>
  </si>
  <si>
    <t>기타공사</t>
    <phoneticPr fontId="2" type="noConversion"/>
  </si>
  <si>
    <t xml:space="preserve">원격검침 설비공사 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</si>
  <si>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</si>
  <si>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</si>
  <si>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사급자재비, 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</si>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</sst>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4895.37</v>
      </c>
      <c r="D7" s="36">
        <f>+C7/3.3058</f>
        <v>1480.8427612075745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954970</v>
      </c>
      <c r="E25" s="59">
        <f t="shared" si="0"/>
        <v>3156930</v>
      </c>
    </row>
    <row r="26" spans="1:5" x14ac:dyDescent="0.3">
      <c r="B26" s="2">
        <v>3</v>
      </c>
      <c r="C26" s="35" t="s">
        <v>95</v>
      </c>
      <c r="D26" s="45">
        <f>+D66</f>
        <v>63680</v>
      </c>
      <c r="E26" s="59">
        <f t="shared" si="0"/>
        <v>210510</v>
      </c>
    </row>
    <row r="27" spans="1:5" x14ac:dyDescent="0.3">
      <c r="B27" s="2">
        <v>4</v>
      </c>
      <c r="C27" s="35" t="s">
        <v>96</v>
      </c>
      <c r="D27" s="45">
        <f>+D95</f>
        <v>41360</v>
      </c>
      <c r="E27" s="59">
        <f t="shared" si="0"/>
        <v>136720</v>
      </c>
    </row>
    <row r="28" spans="1:5" x14ac:dyDescent="0.3">
      <c r="B28" s="2">
        <v>5</v>
      </c>
      <c r="C28" s="35" t="s">
        <v>97</v>
      </c>
      <c r="D28" s="45">
        <f>+D119</f>
        <v>266490</v>
      </c>
      <c r="E28" s="59">
        <f t="shared" si="0"/>
        <v>880960</v>
      </c>
    </row>
    <row r="29" spans="1:5" x14ac:dyDescent="0.3">
      <c r="B29" s="2">
        <v>6</v>
      </c>
      <c r="C29" s="35" t="s">
        <v>98</v>
      </c>
      <c r="D29" s="45">
        <f>+D133</f>
        <v>57980</v>
      </c>
      <c r="E29" s="59">
        <f t="shared" si="0"/>
        <v>191670</v>
      </c>
    </row>
    <row r="30" spans="1:5" x14ac:dyDescent="0.3">
      <c r="B30" s="2">
        <v>7</v>
      </c>
      <c r="C30" s="35" t="s">
        <v>99</v>
      </c>
      <c r="D30" s="45">
        <f>+D146</f>
        <v>42950</v>
      </c>
      <c r="E30" s="59">
        <f t="shared" si="0"/>
        <v>141980</v>
      </c>
    </row>
    <row r="31" spans="1:5" x14ac:dyDescent="0.3">
      <c r="B31" s="2">
        <v>8</v>
      </c>
      <c r="C31" s="35" t="s">
        <v>100</v>
      </c>
      <c r="D31" s="45">
        <f>+D154</f>
        <v>14590</v>
      </c>
      <c r="E31" s="59">
        <f t="shared" si="0"/>
        <v>48230</v>
      </c>
    </row>
    <row r="32" spans="1:5" x14ac:dyDescent="0.3">
      <c r="B32" s="2">
        <v>9</v>
      </c>
      <c r="C32" s="35" t="s">
        <v>101</v>
      </c>
      <c r="D32" s="45">
        <f>+D161</f>
        <v>36430</v>
      </c>
      <c r="E32" s="59">
        <f t="shared" si="0"/>
        <v>120430</v>
      </c>
    </row>
    <row r="33" spans="1:7" x14ac:dyDescent="0.3">
      <c r="B33" s="2">
        <v>10</v>
      </c>
      <c r="C33" s="35" t="s">
        <v>155</v>
      </c>
      <c r="D33" s="53">
        <f>TRUNC(SUM(D24:D32)*0.275,-1)</f>
        <v>406570</v>
      </c>
      <c r="E33" s="60">
        <f t="shared" si="0"/>
        <v>1344030</v>
      </c>
    </row>
    <row r="34" spans="1:7" x14ac:dyDescent="0.3">
      <c r="C34" s="35" t="s">
        <v>112</v>
      </c>
      <c r="D34" s="44">
        <f>SUM(D24:D33)</f>
        <v>1885020</v>
      </c>
      <c r="E34" s="44">
        <f>SUM(E24:E33)</f>
        <v>6231460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TRUNC(38229,-1)</f>
        <v>38220</v>
      </c>
      <c r="E40" s="62">
        <f t="shared" ref="E40:E59" si="1">TRUNC(+D40*3.3058,-1)</f>
        <v>126340</v>
      </c>
    </row>
    <row r="41" spans="1:7" x14ac:dyDescent="0.3">
      <c r="A41" s="2">
        <v>2</v>
      </c>
      <c r="C41" s="38" t="s">
        <v>13</v>
      </c>
      <c r="D41" s="42">
        <f>TRUNC(136408,-1)</f>
        <v>136400</v>
      </c>
      <c r="E41" s="63">
        <f t="shared" si="1"/>
        <v>450910</v>
      </c>
    </row>
    <row r="42" spans="1:7" x14ac:dyDescent="0.3">
      <c r="A42" s="2">
        <v>3</v>
      </c>
      <c r="C42" s="38" t="s">
        <v>14</v>
      </c>
      <c r="D42" s="42">
        <f>TRUNC(19242,-1)</f>
        <v>19240</v>
      </c>
      <c r="E42" s="63">
        <f t="shared" si="1"/>
        <v>63600</v>
      </c>
    </row>
    <row r="43" spans="1:7" x14ac:dyDescent="0.3">
      <c r="A43" s="2">
        <v>4</v>
      </c>
      <c r="C43" s="38" t="s">
        <v>16</v>
      </c>
      <c r="D43" s="42">
        <f>TRUNC(26246,-1)</f>
        <v>26240</v>
      </c>
      <c r="E43" s="63">
        <f t="shared" si="1"/>
        <v>86740</v>
      </c>
    </row>
    <row r="44" spans="1:7" x14ac:dyDescent="0.3">
      <c r="A44" s="2">
        <v>5</v>
      </c>
      <c r="C44" s="38" t="s">
        <v>17</v>
      </c>
      <c r="D44" s="42">
        <f>TRUNC(30271,-1)</f>
        <v>30270</v>
      </c>
      <c r="E44" s="63">
        <f t="shared" si="1"/>
        <v>100060</v>
      </c>
    </row>
    <row r="45" spans="1:7" x14ac:dyDescent="0.3">
      <c r="A45" s="2">
        <v>6</v>
      </c>
      <c r="C45" s="38" t="s">
        <v>18</v>
      </c>
      <c r="D45" s="42">
        <f>TRUNC(6351,-1)</f>
        <v>6350</v>
      </c>
      <c r="E45" s="63">
        <f t="shared" si="1"/>
        <v>20990</v>
      </c>
    </row>
    <row r="46" spans="1:7" x14ac:dyDescent="0.3">
      <c r="A46" s="2">
        <v>7</v>
      </c>
      <c r="C46" s="38" t="s">
        <v>19</v>
      </c>
      <c r="D46" s="42">
        <f>TRUNC(184,-1)</f>
        <v>180</v>
      </c>
      <c r="E46" s="63">
        <f t="shared" si="1"/>
        <v>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TRUNC(36033,-1)</f>
        <v>36030</v>
      </c>
      <c r="E48" s="63">
        <f t="shared" si="1"/>
        <v>119100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TRUNC(5147,-1)</f>
        <v>5140</v>
      </c>
      <c r="E49" s="63">
        <f t="shared" si="1"/>
        <v>16990</v>
      </c>
    </row>
    <row r="50" spans="1:7" x14ac:dyDescent="0.3">
      <c r="A50" s="2">
        <v>11</v>
      </c>
      <c r="C50" s="38" t="s">
        <v>156</v>
      </c>
      <c r="D50" s="42">
        <f>TRUNC(67236,-1)</f>
        <v>67230</v>
      </c>
      <c r="E50" s="63">
        <f t="shared" si="1"/>
        <v>222240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TRUNC(21762,-1)</f>
        <v>21760</v>
      </c>
      <c r="E52" s="63">
        <f t="shared" si="1"/>
        <v>71930</v>
      </c>
    </row>
    <row r="53" spans="1:7" x14ac:dyDescent="0.3">
      <c r="A53" s="2">
        <v>14</v>
      </c>
      <c r="C53" s="38" t="s">
        <v>25</v>
      </c>
      <c r="D53" s="42">
        <f>TRUNC(25444,-1)</f>
        <v>25440</v>
      </c>
      <c r="E53" s="63">
        <f t="shared" si="1"/>
        <v>84090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TRUNC(20764+7462-400+5412,-1)</f>
        <v>33230</v>
      </c>
      <c r="E58" s="63">
        <f t="shared" si="1"/>
        <v>109850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TRUNC(509247,-1)</f>
        <v>509240</v>
      </c>
      <c r="E59" s="64">
        <f t="shared" si="1"/>
        <v>1683440</v>
      </c>
    </row>
    <row r="60" spans="1:7" x14ac:dyDescent="0.3">
      <c r="A60" s="2">
        <v>21</v>
      </c>
      <c r="C60" s="27" t="s">
        <v>112</v>
      </c>
      <c r="D60" s="39">
        <f>SUM(D40:D59)</f>
        <v>954970</v>
      </c>
      <c r="E60" s="39">
        <f>SUM(E40:E59)</f>
        <v>3156870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TRUNC(11983,-1)</f>
        <v>11980</v>
      </c>
      <c r="E63" s="62">
        <f>TRUNC(+D63*3.3058,-1)</f>
        <v>39600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TRUNC(51701,-1)</f>
        <v>51700</v>
      </c>
      <c r="E65" s="64">
        <f>TRUNC(+D65*3.3058,-1)</f>
        <v>170900</v>
      </c>
    </row>
    <row r="66" spans="1:7" x14ac:dyDescent="0.3">
      <c r="A66" s="2">
        <v>4</v>
      </c>
      <c r="C66" s="27" t="s">
        <v>112</v>
      </c>
      <c r="D66" s="39">
        <f>SUM(D63:D65)</f>
        <v>63680</v>
      </c>
      <c r="E66" s="65">
        <f>SUM(E63:E65)</f>
        <v>210500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TRUNC(5015,-1)</f>
        <v>5010</v>
      </c>
      <c r="E69" s="62">
        <f t="shared" ref="E69:E94" si="2">TRUNC(+D69*3.3058,-1)</f>
        <v>16560</v>
      </c>
    </row>
    <row r="70" spans="1:7" ht="16.5" customHeight="1" x14ac:dyDescent="0.3">
      <c r="A70" s="2">
        <v>2</v>
      </c>
      <c r="C70" s="38" t="s">
        <v>31</v>
      </c>
      <c r="D70" s="42">
        <f>TRUNC(1391,-1)</f>
        <v>1390</v>
      </c>
      <c r="E70" s="63">
        <f t="shared" si="2"/>
        <v>4590</v>
      </c>
    </row>
    <row r="71" spans="1:7" x14ac:dyDescent="0.3">
      <c r="A71" s="2">
        <v>3</v>
      </c>
      <c r="C71" s="38" t="s">
        <v>32</v>
      </c>
      <c r="D71" s="42">
        <f>TRUNC(4038,-1)</f>
        <v>4030</v>
      </c>
      <c r="E71" s="63">
        <f t="shared" si="2"/>
        <v>13320</v>
      </c>
    </row>
    <row r="72" spans="1:7" x14ac:dyDescent="0.3">
      <c r="A72" s="2">
        <v>4</v>
      </c>
      <c r="C72" s="38" t="s">
        <v>33</v>
      </c>
      <c r="D72" s="42">
        <f>TRUNC(4604,-1)</f>
        <v>4600</v>
      </c>
      <c r="E72" s="63">
        <f t="shared" si="2"/>
        <v>15200</v>
      </c>
    </row>
    <row r="73" spans="1:7" x14ac:dyDescent="0.3">
      <c r="A73" s="2">
        <v>5</v>
      </c>
      <c r="C73" s="38" t="s">
        <v>34</v>
      </c>
      <c r="D73" s="42">
        <v>4660</v>
      </c>
      <c r="E73" s="63">
        <f t="shared" si="2"/>
        <v>15400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TRUNC(10776,-1)</f>
        <v>10770</v>
      </c>
      <c r="E89" s="63">
        <f t="shared" si="2"/>
        <v>35600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TRUNC(5713,-1)</f>
        <v>5710</v>
      </c>
      <c r="E91" s="63">
        <f t="shared" si="2"/>
        <v>18870</v>
      </c>
    </row>
    <row r="92" spans="1:7" x14ac:dyDescent="0.3">
      <c r="A92" s="2">
        <v>24</v>
      </c>
      <c r="C92" s="38" t="s">
        <v>38</v>
      </c>
      <c r="D92" s="42">
        <f>TRUNC(4221,-1)</f>
        <v>4220</v>
      </c>
      <c r="E92" s="63">
        <f t="shared" si="2"/>
        <v>13950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TRUNC(979,-1)</f>
        <v>970</v>
      </c>
      <c r="E94" s="64">
        <f t="shared" si="2"/>
        <v>3200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41360</v>
      </c>
      <c r="E95" s="39">
        <f>SUM(E69:E94)</f>
        <v>136690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TRUNC(9299,-1)</f>
        <v>9290</v>
      </c>
      <c r="E98" s="62">
        <f t="shared" ref="E98:E118" si="3">TRUNC(+D98*3.3058,-1)</f>
        <v>30710</v>
      </c>
    </row>
    <row r="99" spans="1:7" x14ac:dyDescent="0.3">
      <c r="A99" s="2">
        <v>2</v>
      </c>
      <c r="C99" s="38" t="s">
        <v>40</v>
      </c>
      <c r="D99" s="42">
        <v>14720</v>
      </c>
      <c r="E99" s="63">
        <f t="shared" si="3"/>
        <v>48660</v>
      </c>
    </row>
    <row r="100" spans="1:7" x14ac:dyDescent="0.3">
      <c r="A100" s="2">
        <v>3</v>
      </c>
      <c r="C100" s="38" t="s">
        <v>41</v>
      </c>
      <c r="D100" s="42">
        <f>TRUNC(42475,-1)</f>
        <v>42470</v>
      </c>
      <c r="E100" s="63">
        <f t="shared" si="3"/>
        <v>140390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19930</v>
      </c>
      <c r="E102" s="63">
        <f t="shared" si="3"/>
        <v>65880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TRUNC(2871,-1)</f>
        <v>2870</v>
      </c>
      <c r="E104" s="63">
        <f t="shared" si="3"/>
        <v>9480</v>
      </c>
    </row>
    <row r="105" spans="1:7" x14ac:dyDescent="0.3">
      <c r="A105" s="2">
        <v>8</v>
      </c>
      <c r="C105" s="38" t="s">
        <v>46</v>
      </c>
      <c r="D105" s="42">
        <f>TRUNC(6493,-1)</f>
        <v>6490</v>
      </c>
      <c r="E105" s="63">
        <f t="shared" si="3"/>
        <v>21450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TRUNC(5858,-1)</f>
        <v>5850</v>
      </c>
      <c r="E116" s="63">
        <f t="shared" si="3"/>
        <v>19330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TRUNC(163027,-1)</f>
        <v>163020</v>
      </c>
      <c r="E117" s="63">
        <f t="shared" si="3"/>
        <v>538910</v>
      </c>
    </row>
    <row r="118" spans="1:7" ht="17.25" thickBot="1" x14ac:dyDescent="0.35">
      <c r="A118" s="2">
        <v>21</v>
      </c>
      <c r="C118" s="38" t="s">
        <v>47</v>
      </c>
      <c r="D118" s="43">
        <f>TRUNC(809+1050,-1)</f>
        <v>1850</v>
      </c>
      <c r="E118" s="64">
        <f t="shared" si="3"/>
        <v>6110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266490</v>
      </c>
      <c r="E119" s="39">
        <f>SUM(E98:E118)</f>
        <v>880920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TRUNC(10261,-1)</f>
        <v>10260</v>
      </c>
      <c r="E122" s="62">
        <f t="shared" ref="E122:E132" si="4">TRUNC(+D122*3.3058,-1)</f>
        <v>33910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TRUNC(9358,-1)</f>
        <v>9350</v>
      </c>
      <c r="E125" s="63">
        <f t="shared" si="4"/>
        <v>30900</v>
      </c>
    </row>
    <row r="126" spans="1:7" x14ac:dyDescent="0.3">
      <c r="A126" s="2">
        <v>5</v>
      </c>
      <c r="C126" s="38" t="s">
        <v>53</v>
      </c>
      <c r="D126" s="42">
        <f>TRUNC(29173,-1)</f>
        <v>29170</v>
      </c>
      <c r="E126" s="63">
        <f t="shared" si="4"/>
        <v>96430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TRUNC(2975,-1)</f>
        <v>2970</v>
      </c>
      <c r="E128" s="63">
        <f t="shared" si="4"/>
        <v>9810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TRUNC(2823+3409,-1)</f>
        <v>6230</v>
      </c>
      <c r="E132" s="64">
        <f t="shared" si="4"/>
        <v>20590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57980</v>
      </c>
      <c r="E133" s="39">
        <f>SUM(E122:E132)</f>
        <v>191640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TRUNC(6630+1621,-1)</f>
        <v>8250</v>
      </c>
      <c r="E137" s="63">
        <f t="shared" si="5"/>
        <v>27270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TRUNC(1264,-1)</f>
        <v>1260</v>
      </c>
      <c r="E140" s="63">
        <f t="shared" si="5"/>
        <v>4160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TRUNC(6196,-1)</f>
        <v>6190</v>
      </c>
      <c r="E143" s="63">
        <f t="shared" si="5"/>
        <v>20460</v>
      </c>
    </row>
    <row r="144" spans="1:7" x14ac:dyDescent="0.3">
      <c r="A144" s="2">
        <v>9</v>
      </c>
      <c r="C144" s="38" t="s">
        <v>63</v>
      </c>
      <c r="D144" s="42">
        <f>TRUNC(26541,-1)</f>
        <v>26540</v>
      </c>
      <c r="E144" s="63">
        <f t="shared" si="5"/>
        <v>87730</v>
      </c>
    </row>
    <row r="145" spans="1:7" ht="17.25" thickBot="1" x14ac:dyDescent="0.35">
      <c r="A145" s="2">
        <v>10</v>
      </c>
      <c r="C145" s="38" t="s">
        <v>149</v>
      </c>
      <c r="D145" s="43">
        <f>TRUNC(718,-1)</f>
        <v>710</v>
      </c>
      <c r="E145" s="64">
        <f t="shared" si="5"/>
        <v>2340</v>
      </c>
    </row>
    <row r="146" spans="1:7" x14ac:dyDescent="0.3">
      <c r="A146" s="2">
        <v>11</v>
      </c>
      <c r="C146" s="27" t="s">
        <v>112</v>
      </c>
      <c r="D146" s="39">
        <f>SUM(D136:D145)</f>
        <v>42950</v>
      </c>
      <c r="E146" s="39">
        <f>SUM(E136:E145)</f>
        <v>141960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TRUNC(3299+775,-1)</f>
        <v>4070</v>
      </c>
      <c r="E149" s="62">
        <f>TRUNC(+D149*3.3058,-1)</f>
        <v>13450</v>
      </c>
    </row>
    <row r="150" spans="1:7" x14ac:dyDescent="0.3">
      <c r="A150" s="2">
        <v>2</v>
      </c>
      <c r="C150" s="38" t="s">
        <v>49</v>
      </c>
      <c r="D150" s="42">
        <v>2320</v>
      </c>
      <c r="E150" s="63">
        <f>TRUNC(+D150*3.3058,-1)</f>
        <v>7660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TRUNC(7638+567,-1)</f>
        <v>8200</v>
      </c>
      <c r="E152" s="63">
        <f>TRUNC(+D152*3.3058,-1)</f>
        <v>27100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14590</v>
      </c>
      <c r="E154" s="39">
        <f>SUM(E149:E153)</f>
        <v>48210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TRUNC(15762,-1)</f>
        <v>15760</v>
      </c>
      <c r="E157" s="62">
        <f>TRUNC(+D157*3.3058,-1)</f>
        <v>52090</v>
      </c>
    </row>
    <row r="158" spans="1:7" x14ac:dyDescent="0.3">
      <c r="A158" s="2">
        <v>2</v>
      </c>
      <c r="C158" s="38" t="s">
        <v>52</v>
      </c>
      <c r="D158" s="42">
        <f>TRUNC(14608,-1)</f>
        <v>14600</v>
      </c>
      <c r="E158" s="63">
        <f>TRUNC(+D158*3.3058,-1)</f>
        <v>48260</v>
      </c>
    </row>
    <row r="159" spans="1:7" x14ac:dyDescent="0.3">
      <c r="A159" s="2">
        <v>3</v>
      </c>
      <c r="C159" s="38" t="s">
        <v>47</v>
      </c>
      <c r="D159" s="42">
        <f>TRUNC(3716+2362,-1)</f>
        <v>6070</v>
      </c>
      <c r="E159" s="63">
        <f>TRUNC(+D159*3.3058,-1)</f>
        <v>20060</v>
      </c>
      <c r="F159" s="2" t="s">
        <v>254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36430</v>
      </c>
      <c r="E161" s="39">
        <f>SUM(E157:E160)</f>
        <v>120410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2020-12-08T01:20:14Z</dcterms:modified>
</cp:coreProperties>
</file>