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45" i="4"/>
  <c r="D153" i="4"/>
  <c r="D160" i="4"/>
  <c r="D159" i="4"/>
  <c r="D158" i="4"/>
  <c r="D157" i="4"/>
  <c r="D152" i="4"/>
  <c r="D150" i="4"/>
  <c r="D149" i="4"/>
  <c r="D144" i="4"/>
  <c r="D143" i="4"/>
  <c r="D139" i="4"/>
  <c r="D141" i="4"/>
  <c r="D142" i="4"/>
  <c r="D137" i="4"/>
  <c r="D140" i="4"/>
  <c r="D132" i="4"/>
  <c r="D128" i="4"/>
  <c r="D127" i="4"/>
  <c r="D124" i="4"/>
  <c r="D125" i="4"/>
  <c r="D122" i="4"/>
  <c r="D130" i="4"/>
  <c r="D126" i="4"/>
  <c r="D118" i="4"/>
  <c r="D105" i="4"/>
  <c r="D104" i="4"/>
  <c r="D102" i="4"/>
  <c r="D100" i="4"/>
  <c r="D99" i="4"/>
  <c r="D114" i="4"/>
  <c r="D98" i="4"/>
  <c r="D116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<sst xmlns="http://schemas.openxmlformats.org/spreadsheetml/2006/main" count="395" uniqueCount="269">
  <si>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</si>
  <si>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</si>
  <si>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</si>
  <si>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</si>
  <si>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</si>
  <si>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</si>
  <si>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</si>
  <si>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</si>
  <si>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</si>
  <si>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</si>
  <si>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</si>
  <si>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</si>
  <si>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</si>
  <si>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</si>
  <si>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</si>
  <si>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</si>
  <si>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</si>
  <si>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</si>
  <si>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</si>
  <si>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</si>
  <si>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</si>
  <si>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</si>
  <si>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</si>
  <si>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</si>
  <si>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</si>
  <si>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</si>
  <si>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</si>
  <si>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</si>
  <si>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</si>
  <si>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</si>
  <si>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</si>
  <si>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</si>
  <si>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</si>
  <si>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</si>
  <si>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</si>
  <si>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</si>
  <si>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</si>
  <si>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</si>
  <si>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</si>
  <si>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</si>
  <si>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</si>
  <si>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</si>
  <si>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</si>
  <si>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</si>
  <si>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</si>
  <si>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</si>
  <si>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</si>
  <si>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</si>
  <si>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</si>
  <si>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</si>
  <si>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</si>
  <si>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</si>
  <si>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</si>
  <si>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</si>
  <si>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</si>
  <si>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</si>
  <si>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</si>
  <si>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</si>
  <si>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</si>
  <si>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</si>
  <si>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</si>
  <si>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</si>
  <si>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</si>
  <si>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</si>
  <si>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</si>
  <si>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</si>
  <si>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</si>
  <si>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</si>
  <si>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</si>
  <si>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</si>
  <si>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</si>
  <si>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</si>
  <si>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</si>
  <si>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</si>
  <si>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</si>
  <si>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</si>
  <si>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</si>
  <si>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</si>
  <si>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</si>
  <si>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</si>
  <si>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</si>
  <si>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</si>
  <si>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</si>
  <si>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</si>
  <si>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</si>
  <si>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</si>
  <si>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</si>
  <si>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</si>
  <si>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</si>
  <si>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</si>
  <si>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</si>
  <si>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</si>
  <si>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</si>
  <si>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</si>
  <si>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</si>
  <si>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</si>
  <si>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</si>
  <si>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</si>
  <si>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</si>
  <si>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</si>
  <si>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</si>
  <si>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</si>
  <si>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</si>
  <si>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</si>
  <si>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</si>
  <si>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</si>
  <si>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</si>
  <si>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</si>
  <si>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</si>
  <si>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</si>
  <si>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</si>
  <si>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</si>
  <si>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</si>
  <si>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</si>
  <si>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</si>
  <si>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</si>
  <si>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</si>
  <si>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</si>
  <si>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</si>
  <si>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</si>
  <si>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</si>
  <si>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</si>
  <si>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</si>
  <si>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</si>
  <si>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</si>
  <si>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</si>
  <si>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</si>
  <si>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</si>
  <si>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</si>
  <si>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</si>
  <si>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</si>
  <si>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</si>
  <si>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</si>
  <si>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</si>
  <si>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</si>
  <si>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</si>
  <si>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</si>
  <si>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</si>
  <si>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</si>
  <si>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</si>
  <si>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</si>
  <si>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</si>
  <si>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</si>
  <si>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</si>
  <si>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</si>
  <si>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</si>
  <si>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</si>
  <si>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</si>
  <si>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</si>
  <si>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</si>
  <si>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</si>
  <si>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</si>
  <si>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</si>
  <si>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</si>
  <si>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</si>
  <si>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</si>
  <si>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</si>
  <si>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</si>
  <si>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</si>
  <si>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</si>
  <si>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</si>
  <si>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</si>
  <si>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</si>
  <si>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</si>
  <si>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</si>
  <si>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</si>
  <si>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</si>
  <si>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</si>
  <si>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</si>
  <si>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</si>
  <si>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</si>
  <si>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</si>
  <si>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</si>
  <si>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</si>
  <si>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</si>
  <si>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</si>
  <si>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</si>
  <si>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</si>
  <si>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</si>
  <si>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</si>
  <si>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</si>
  <si>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</si>
  <si>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</si>
  <si>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</si>
  <si>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</si>
  <si>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</si>
  <si>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</si>
  <si>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</si>
  <si>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</si>
  <si>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</si>
  <si>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</si>
  <si>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</si>
  <si>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</si>
  <si>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</si>
  <si>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</si>
  <si>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</si>
  <si>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</si>
  <si>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</si>
  <si>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</si>
  <si>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</si>
  <si>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</si>
  <si>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</si>
  <si>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</si>
  <si>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</si>
  <si>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</si>
  <si>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</si>
  <si>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</si>
  <si>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</si>
  <si>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</si>
  <si>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</si>
  <si>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</si>
  <si>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</si>
  <si>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</si>
  <si>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</si>
  <si>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</si>
  <si>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</si>
  <si>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</si>
  <si>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</si>
  <si>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</si>
  <si>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</si>
  <si>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</si>
  <si>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</si>
  <si>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</si>
  <si>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</si>
  <si>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</si>
  <si>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</si>
  <si>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</si>
  <si>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</si>
  <si>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</si>
  <si>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</si>
  <si>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</si>
  <si>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</si>
  <si>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</si>
  <si>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</si>
  <si>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</si>
  <si>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</si>
  <si>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</si>
  <si>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</si>
  <si>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</si>
  <si>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</si>
  <si>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</si>
  <si>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</si>
  <si>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</si>
  <si>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</si>
  <si>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</si>
  <si>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</si>
  <si>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</si>
  <si>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</si>
  <si>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국립청소년생태센터 건립공사(건축)</t>
    <phoneticPr fontId="2" type="noConversion"/>
  </si>
  <si>
    <t>기타</t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</si>
  <si>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</si>
  <si>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</si>
  <si>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</si>
  <si>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</si>
  <si>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</si>
  <si>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</si>
  <si>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</si>
  <si>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</si>
  <si>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</si>
  <si>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</si>
  <si>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</si>
  <si>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</si>
  <si>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</si>
  <si>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</si>
  <si>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건축</t>
    <phoneticPr fontId="2" type="noConversion"/>
  </si>
  <si>
    <t>바닥난방공사, 공조배관공사,기타공사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</si>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</sst>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85" zoomScaleNormal="85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10691.1</v>
      </c>
      <c r="D7" s="36">
        <f>+C7/3.3058</f>
        <v>3234.0431968056146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1140700</v>
      </c>
      <c r="E25" s="59">
        <f t="shared" si="0"/>
        <v>3770920</v>
      </c>
    </row>
    <row r="26" spans="1:5" x14ac:dyDescent="0.3">
      <c r="B26" s="2">
        <v>3</v>
      </c>
      <c r="C26" s="35" t="s">
        <v>95</v>
      </c>
      <c r="D26" s="45">
        <f>+D66</f>
        <v>20760</v>
      </c>
      <c r="E26" s="59">
        <f t="shared" si="0"/>
        <v>68620</v>
      </c>
    </row>
    <row r="27" spans="1:5" x14ac:dyDescent="0.3">
      <c r="B27" s="2">
        <v>4</v>
      </c>
      <c r="C27" s="35" t="s">
        <v>96</v>
      </c>
      <c r="D27" s="45">
        <f>+D95</f>
        <v>398590</v>
      </c>
      <c r="E27" s="59">
        <f t="shared" si="0"/>
        <v>1317650</v>
      </c>
    </row>
    <row r="28" spans="1:5" x14ac:dyDescent="0.3">
      <c r="B28" s="2">
        <v>5</v>
      </c>
      <c r="C28" s="35" t="s">
        <v>97</v>
      </c>
      <c r="D28" s="45">
        <f>+D119</f>
        <v>205340</v>
      </c>
      <c r="E28" s="59">
        <f t="shared" si="0"/>
        <v>678810</v>
      </c>
    </row>
    <row r="29" spans="1:5" x14ac:dyDescent="0.3">
      <c r="B29" s="2">
        <v>6</v>
      </c>
      <c r="C29" s="35" t="s">
        <v>98</v>
      </c>
      <c r="D29" s="45">
        <f>+D133</f>
        <v>146660</v>
      </c>
      <c r="E29" s="59">
        <f t="shared" si="0"/>
        <v>484820</v>
      </c>
    </row>
    <row r="30" spans="1:5" x14ac:dyDescent="0.3">
      <c r="B30" s="2">
        <v>7</v>
      </c>
      <c r="C30" s="35" t="s">
        <v>99</v>
      </c>
      <c r="D30" s="45">
        <f>+D146</f>
        <v>94040</v>
      </c>
      <c r="E30" s="59">
        <f t="shared" si="0"/>
        <v>310870</v>
      </c>
    </row>
    <row r="31" spans="1:5" x14ac:dyDescent="0.3">
      <c r="B31" s="2">
        <v>8</v>
      </c>
      <c r="C31" s="35" t="s">
        <v>100</v>
      </c>
      <c r="D31" s="45">
        <f>+D154</f>
        <v>157490</v>
      </c>
      <c r="E31" s="59">
        <f t="shared" si="0"/>
        <v>520630</v>
      </c>
    </row>
    <row r="32" spans="1:5" x14ac:dyDescent="0.3">
      <c r="B32" s="2">
        <v>9</v>
      </c>
      <c r="C32" s="35" t="s">
        <v>101</v>
      </c>
      <c r="D32" s="45">
        <f>+D161</f>
        <v>165610</v>
      </c>
      <c r="E32" s="59">
        <f t="shared" si="0"/>
        <v>547470</v>
      </c>
    </row>
    <row r="33" spans="1:7" x14ac:dyDescent="0.3">
      <c r="B33" s="2">
        <v>10</v>
      </c>
      <c r="C33" s="35" t="s">
        <v>154</v>
      </c>
      <c r="D33" s="53">
        <f>TRUNC(SUM(D24:D32)*0.275,-1)</f>
        <v>640520</v>
      </c>
      <c r="E33" s="60">
        <f t="shared" si="0"/>
        <v>2117430</v>
      </c>
    </row>
    <row r="34" spans="1:7" x14ac:dyDescent="0.3">
      <c r="C34" s="35" t="s">
        <v>112</v>
      </c>
      <c r="D34" s="44">
        <f>SUM(D24:D33)</f>
        <v>2969710</v>
      </c>
      <c r="E34" s="44">
        <f>SUM(E24:E33)</f>
        <v>9817220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TRUNC(69777,-1)</f>
        <v>69770</v>
      </c>
      <c r="E40" s="62">
        <f t="shared" ref="E40:E59" si="1">TRUNC(+D40*3.3058,-1)</f>
        <v>230640</v>
      </c>
    </row>
    <row r="41" spans="1:7" x14ac:dyDescent="0.3">
      <c r="A41" s="2">
        <v>2</v>
      </c>
      <c r="C41" s="38" t="s">
        <v>13</v>
      </c>
      <c r="D41" s="42">
        <f>TRUNC(167704,-1)</f>
        <v>167700</v>
      </c>
      <c r="E41" s="63">
        <f t="shared" si="1"/>
        <v>554380</v>
      </c>
    </row>
    <row r="42" spans="1:7" x14ac:dyDescent="0.3">
      <c r="A42" s="2">
        <v>3</v>
      </c>
      <c r="C42" s="38" t="s">
        <v>14</v>
      </c>
      <c r="D42" s="42">
        <f>TRUNC(15678,-1)</f>
        <v>15670</v>
      </c>
      <c r="E42" s="63">
        <f t="shared" si="1"/>
        <v>51800</v>
      </c>
    </row>
    <row r="43" spans="1:7" x14ac:dyDescent="0.3">
      <c r="A43" s="2">
        <v>4</v>
      </c>
      <c r="C43" s="38" t="s">
        <v>16</v>
      </c>
      <c r="D43" s="42">
        <f>TRUNC(14126,-1)</f>
        <v>14120</v>
      </c>
      <c r="E43" s="63">
        <f t="shared" si="1"/>
        <v>46670</v>
      </c>
    </row>
    <row r="44" spans="1:7" x14ac:dyDescent="0.3">
      <c r="A44" s="2">
        <v>5</v>
      </c>
      <c r="C44" s="38" t="s">
        <v>17</v>
      </c>
      <c r="D44" s="42">
        <f>TRUNC(35736,-1)</f>
        <v>35730</v>
      </c>
      <c r="E44" s="63">
        <f t="shared" si="1"/>
        <v>118110</v>
      </c>
    </row>
    <row r="45" spans="1:7" x14ac:dyDescent="0.3">
      <c r="A45" s="2">
        <v>6</v>
      </c>
      <c r="C45" s="38" t="s">
        <v>18</v>
      </c>
      <c r="D45" s="42">
        <f>TRUNC(12778,-1)</f>
        <v>12770</v>
      </c>
      <c r="E45" s="63">
        <f t="shared" si="1"/>
        <v>42210</v>
      </c>
    </row>
    <row r="46" spans="1:7" x14ac:dyDescent="0.3">
      <c r="A46" s="2">
        <v>7</v>
      </c>
      <c r="C46" s="38" t="s">
        <v>19</v>
      </c>
      <c r="D46" s="42">
        <f>TRUNC(79453,-1)</f>
        <v>79450</v>
      </c>
      <c r="E46" s="63">
        <f t="shared" si="1"/>
        <v>262640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TRUNC(47150,-1)</f>
        <v>47150</v>
      </c>
      <c r="E48" s="63">
        <f t="shared" si="1"/>
        <v>155860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TRUNC(20778,-1)</f>
        <v>20770</v>
      </c>
      <c r="E49" s="63">
        <f t="shared" si="1"/>
        <v>68660</v>
      </c>
    </row>
    <row r="50" spans="1:7" x14ac:dyDescent="0.3">
      <c r="A50" s="2">
        <v>11</v>
      </c>
      <c r="C50" s="38" t="s">
        <v>155</v>
      </c>
      <c r="D50" s="42">
        <f>TRUNC(71063,-1)</f>
        <v>71060</v>
      </c>
      <c r="E50" s="63">
        <f t="shared" si="1"/>
        <v>234910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TRUNC(14588,-1)</f>
        <v>14580</v>
      </c>
      <c r="E52" s="63">
        <f t="shared" si="1"/>
        <v>48190</v>
      </c>
    </row>
    <row r="53" spans="1:7" x14ac:dyDescent="0.3">
      <c r="A53" s="2">
        <v>14</v>
      </c>
      <c r="C53" s="38" t="s">
        <v>25</v>
      </c>
      <c r="D53" s="42">
        <f>TRUNC(97561,-1)</f>
        <v>97560</v>
      </c>
      <c r="E53" s="63">
        <f t="shared" si="1"/>
        <v>322510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TRUNC(57394+10174+18996,-1)</f>
        <v>86560</v>
      </c>
      <c r="E58" s="63">
        <f t="shared" si="1"/>
        <v>286150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TRUNC(407811,-1)</f>
        <v>407810</v>
      </c>
      <c r="E59" s="64">
        <f t="shared" si="1"/>
        <v>1348130</v>
      </c>
    </row>
    <row r="60" spans="1:7" x14ac:dyDescent="0.3">
      <c r="A60" s="2">
        <v>21</v>
      </c>
      <c r="C60" s="27" t="s">
        <v>112</v>
      </c>
      <c r="D60" s="39">
        <f>SUM(D40:D59)</f>
        <v>1140700</v>
      </c>
      <c r="E60" s="39">
        <f>SUM(E40:E59)</f>
        <v>3770860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TRUNC(20762,-1)</f>
        <v>20760</v>
      </c>
      <c r="E63" s="62">
        <f>TRUNC(+D63*3.3058,-1)</f>
        <v>68620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20760</v>
      </c>
      <c r="E66" s="65">
        <f>SUM(E63:E65)</f>
        <v>68620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TRUNC(30835,-1)</f>
        <v>30830</v>
      </c>
      <c r="E69" s="62">
        <f t="shared" ref="E69:E94" si="2">TRUNC(+D69*3.3058,-1)</f>
        <v>101910</v>
      </c>
    </row>
    <row r="70" spans="1:7" ht="16.5" customHeight="1" x14ac:dyDescent="0.3">
      <c r="A70" s="2">
        <v>2</v>
      </c>
      <c r="C70" s="38" t="s">
        <v>31</v>
      </c>
      <c r="D70" s="42">
        <f>TRUNC(949,-1)</f>
        <v>940</v>
      </c>
      <c r="E70" s="63">
        <f t="shared" si="2"/>
        <v>3100</v>
      </c>
    </row>
    <row r="71" spans="1:7" x14ac:dyDescent="0.3">
      <c r="A71" s="2">
        <v>3</v>
      </c>
      <c r="C71" s="38" t="s">
        <v>32</v>
      </c>
      <c r="D71" s="42">
        <f>TRUNC(10676,-1)</f>
        <v>10670</v>
      </c>
      <c r="E71" s="63">
        <f t="shared" si="2"/>
        <v>35270</v>
      </c>
    </row>
    <row r="72" spans="1:7" x14ac:dyDescent="0.3">
      <c r="A72" s="2">
        <v>4</v>
      </c>
      <c r="C72" s="38" t="s">
        <v>33</v>
      </c>
      <c r="D72" s="42">
        <f>TRUNC(335,-1)</f>
        <v>330</v>
      </c>
      <c r="E72" s="63">
        <f t="shared" si="2"/>
        <v>1090</v>
      </c>
    </row>
    <row r="73" spans="1:7" x14ac:dyDescent="0.3">
      <c r="A73" s="2">
        <v>5</v>
      </c>
      <c r="C73" s="38" t="s">
        <v>34</v>
      </c>
      <c r="D73" s="42">
        <f>TRUNC(19261,-1)</f>
        <v>19260</v>
      </c>
      <c r="E73" s="63">
        <f t="shared" si="2"/>
        <v>63660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TRUNC(16694,-1)</f>
        <v>16690</v>
      </c>
      <c r="E89" s="63">
        <f t="shared" si="2"/>
        <v>55170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TRUNC(14429,-1)</f>
        <v>14420</v>
      </c>
      <c r="E91" s="63">
        <f t="shared" si="2"/>
        <v>47660</v>
      </c>
    </row>
    <row r="92" spans="1:7" x14ac:dyDescent="0.3">
      <c r="A92" s="2">
        <v>24</v>
      </c>
      <c r="C92" s="38" t="s">
        <v>38</v>
      </c>
      <c r="D92" s="42">
        <f>TRUNC(13489,-1)</f>
        <v>13480</v>
      </c>
      <c r="E92" s="63">
        <f t="shared" si="2"/>
        <v>44560</v>
      </c>
    </row>
    <row r="93" spans="1:7" x14ac:dyDescent="0.3">
      <c r="A93" s="2">
        <v>25</v>
      </c>
      <c r="C93" s="38" t="s">
        <v>148</v>
      </c>
      <c r="D93" s="42">
        <f>TRUNC(238203,-1)</f>
        <v>238200</v>
      </c>
      <c r="E93" s="63">
        <f t="shared" si="2"/>
        <v>787440</v>
      </c>
    </row>
    <row r="94" spans="1:7" ht="17.25" thickBot="1" x14ac:dyDescent="0.35">
      <c r="A94" s="2">
        <v>26</v>
      </c>
      <c r="C94" s="38" t="s">
        <v>47</v>
      </c>
      <c r="D94" s="43">
        <f>TRUNC(6255+17576+29942,-1)</f>
        <v>53770</v>
      </c>
      <c r="E94" s="64">
        <f t="shared" si="2"/>
        <v>177750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398590</v>
      </c>
      <c r="E95" s="39">
        <f>SUM(E69:E94)</f>
        <v>1317610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TRUNC(27348,-1)</f>
        <v>27340</v>
      </c>
      <c r="E98" s="62">
        <f t="shared" ref="E98:E118" si="3">TRUNC(+D98*3.3058,-1)</f>
        <v>90380</v>
      </c>
    </row>
    <row r="99" spans="1:7" x14ac:dyDescent="0.3">
      <c r="A99" s="2">
        <v>2</v>
      </c>
      <c r="C99" s="38" t="s">
        <v>40</v>
      </c>
      <c r="D99" s="42">
        <f>TRUNC(16233,-1)</f>
        <v>16230</v>
      </c>
      <c r="E99" s="63">
        <f t="shared" si="3"/>
        <v>53650</v>
      </c>
    </row>
    <row r="100" spans="1:7" x14ac:dyDescent="0.3">
      <c r="A100" s="2">
        <v>3</v>
      </c>
      <c r="C100" s="38" t="s">
        <v>41</v>
      </c>
      <c r="D100" s="42">
        <f>TRUNC(35876,-1)</f>
        <v>35870</v>
      </c>
      <c r="E100" s="63">
        <f t="shared" si="3"/>
        <v>118570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TRUNC(13965,-1)</f>
        <v>13960</v>
      </c>
      <c r="E102" s="63">
        <f t="shared" si="3"/>
        <v>46140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TRUNC(5671,-1)</f>
        <v>5670</v>
      </c>
      <c r="E104" s="63">
        <f t="shared" si="3"/>
        <v>18740</v>
      </c>
    </row>
    <row r="105" spans="1:7" x14ac:dyDescent="0.3">
      <c r="A105" s="2">
        <v>8</v>
      </c>
      <c r="C105" s="38" t="s">
        <v>46</v>
      </c>
      <c r="D105" s="42">
        <f>TRUNC(4140,-1)</f>
        <v>4140</v>
      </c>
      <c r="E105" s="63">
        <f t="shared" si="3"/>
        <v>13680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TRUNC(3100,-1)</f>
        <v>3100</v>
      </c>
      <c r="E114" s="63">
        <f t="shared" si="3"/>
        <v>10240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TRUNC(5585,-1)</f>
        <v>5580</v>
      </c>
      <c r="E116" s="63">
        <f t="shared" si="3"/>
        <v>18440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TRUNC(92241,-1)</f>
        <v>92240</v>
      </c>
      <c r="E117" s="63">
        <f t="shared" si="3"/>
        <v>304920</v>
      </c>
    </row>
    <row r="118" spans="1:7" ht="17.25" thickBot="1" x14ac:dyDescent="0.35">
      <c r="A118" s="2">
        <v>21</v>
      </c>
      <c r="C118" s="38" t="s">
        <v>47</v>
      </c>
      <c r="D118" s="43">
        <f>TRUNC(1215,-1)</f>
        <v>1210</v>
      </c>
      <c r="E118" s="64">
        <f t="shared" si="3"/>
        <v>4000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205340</v>
      </c>
      <c r="E119" s="39">
        <f>SUM(E98:E118)</f>
        <v>678760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TRUNC(6696,-1)</f>
        <v>6690</v>
      </c>
      <c r="E122" s="62">
        <f t="shared" ref="E122:E132" si="4">TRUNC(+D122*3.3058,-1)</f>
        <v>22110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TRUNC(4660,-1)</f>
        <v>4660</v>
      </c>
      <c r="E124" s="63">
        <f t="shared" si="4"/>
        <v>15400</v>
      </c>
    </row>
    <row r="125" spans="1:7" x14ac:dyDescent="0.3">
      <c r="A125" s="2">
        <v>4</v>
      </c>
      <c r="C125" s="38" t="s">
        <v>138</v>
      </c>
      <c r="D125" s="42">
        <f>TRUNC(7734,-1)</f>
        <v>7730</v>
      </c>
      <c r="E125" s="63">
        <f t="shared" si="4"/>
        <v>25550</v>
      </c>
    </row>
    <row r="126" spans="1:7" x14ac:dyDescent="0.3">
      <c r="A126" s="2">
        <v>5</v>
      </c>
      <c r="C126" s="38" t="s">
        <v>53</v>
      </c>
      <c r="D126" s="42">
        <f>TRUNC(7656,-1)</f>
        <v>7650</v>
      </c>
      <c r="E126" s="63">
        <f t="shared" si="4"/>
        <v>25280</v>
      </c>
    </row>
    <row r="127" spans="1:7" x14ac:dyDescent="0.3">
      <c r="A127" s="2">
        <v>6</v>
      </c>
      <c r="C127" s="38" t="s">
        <v>56</v>
      </c>
      <c r="D127" s="42">
        <f>TRUNC(3450,-1)</f>
        <v>3450</v>
      </c>
      <c r="E127" s="63">
        <f t="shared" si="4"/>
        <v>11400</v>
      </c>
    </row>
    <row r="128" spans="1:7" x14ac:dyDescent="0.3">
      <c r="A128" s="2">
        <v>7</v>
      </c>
      <c r="C128" s="38" t="s">
        <v>46</v>
      </c>
      <c r="D128" s="42">
        <f>TRUNC(6540,-1)</f>
        <v>6540</v>
      </c>
      <c r="E128" s="63">
        <f t="shared" si="4"/>
        <v>21610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TRUNC(25549,-1)</f>
        <v>25540</v>
      </c>
      <c r="E130" s="63">
        <f t="shared" si="4"/>
        <v>84430</v>
      </c>
    </row>
    <row r="131" spans="1:7" x14ac:dyDescent="0.3">
      <c r="A131" s="2">
        <v>10</v>
      </c>
      <c r="C131" s="38" t="s">
        <v>148</v>
      </c>
      <c r="D131" s="42">
        <f>TRUNC(81262,-1)</f>
        <v>81260</v>
      </c>
      <c r="E131" s="63">
        <f t="shared" si="4"/>
        <v>268620</v>
      </c>
    </row>
    <row r="132" spans="1:7" ht="18" thickBot="1" x14ac:dyDescent="0.35">
      <c r="A132" s="2">
        <v>11</v>
      </c>
      <c r="C132" s="38" t="s">
        <v>47</v>
      </c>
      <c r="D132" s="43">
        <f>TRUNC(2955+194,-1)</f>
        <v>3140</v>
      </c>
      <c r="E132" s="64">
        <f t="shared" si="4"/>
        <v>10380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146660</v>
      </c>
      <c r="E133" s="39">
        <f>SUM(E122:E132)</f>
        <v>484780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TRUNC(1265+3041+1054,-1)</f>
        <v>5360</v>
      </c>
      <c r="E137" s="63">
        <f t="shared" si="5"/>
        <v>17710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TRUNC(4651,-1)</f>
        <v>4650</v>
      </c>
      <c r="E139" s="63">
        <f t="shared" si="5"/>
        <v>15370</v>
      </c>
    </row>
    <row r="140" spans="1:7" x14ac:dyDescent="0.3">
      <c r="A140" s="2">
        <v>5</v>
      </c>
      <c r="C140" s="38" t="s">
        <v>57</v>
      </c>
      <c r="D140" s="42">
        <f>TRUNC(975,-1)</f>
        <v>970</v>
      </c>
      <c r="E140" s="63">
        <f t="shared" si="5"/>
        <v>3200</v>
      </c>
    </row>
    <row r="141" spans="1:7" x14ac:dyDescent="0.3">
      <c r="A141" s="2">
        <v>6</v>
      </c>
      <c r="C141" s="38" t="s">
        <v>59</v>
      </c>
      <c r="D141" s="42">
        <f>TRUNC(43823,-1)</f>
        <v>43820</v>
      </c>
      <c r="E141" s="63">
        <f t="shared" si="5"/>
        <v>144860</v>
      </c>
    </row>
    <row r="142" spans="1:7" x14ac:dyDescent="0.3">
      <c r="A142" s="2">
        <v>7</v>
      </c>
      <c r="C142" s="38" t="s">
        <v>58</v>
      </c>
      <c r="D142" s="42">
        <f>TRUNC(8995,-1)</f>
        <v>8990</v>
      </c>
      <c r="E142" s="63">
        <f t="shared" si="5"/>
        <v>29710</v>
      </c>
    </row>
    <row r="143" spans="1:7" x14ac:dyDescent="0.3">
      <c r="A143" s="2">
        <v>8</v>
      </c>
      <c r="C143" s="38" t="s">
        <v>62</v>
      </c>
      <c r="D143" s="42">
        <f>TRUNC(6024,-1)</f>
        <v>6020</v>
      </c>
      <c r="E143" s="63">
        <f t="shared" si="5"/>
        <v>19900</v>
      </c>
    </row>
    <row r="144" spans="1:7" x14ac:dyDescent="0.3">
      <c r="A144" s="2">
        <v>9</v>
      </c>
      <c r="C144" s="38" t="s">
        <v>63</v>
      </c>
      <c r="D144" s="42">
        <f>TRUNC(20922,-1)</f>
        <v>20920</v>
      </c>
      <c r="E144" s="63">
        <f t="shared" si="5"/>
        <v>69150</v>
      </c>
    </row>
    <row r="145" spans="1:7" ht="17.25" thickBot="1" x14ac:dyDescent="0.35">
      <c r="A145" s="2">
        <v>10</v>
      </c>
      <c r="C145" s="38" t="s">
        <v>148</v>
      </c>
      <c r="D145" s="43">
        <f>TRUNC(3310,-1)</f>
        <v>3310</v>
      </c>
      <c r="E145" s="64">
        <f t="shared" si="5"/>
        <v>10940</v>
      </c>
    </row>
    <row r="146" spans="1:7" x14ac:dyDescent="0.3">
      <c r="A146" s="2">
        <v>11</v>
      </c>
      <c r="C146" s="27" t="s">
        <v>112</v>
      </c>
      <c r="D146" s="39">
        <f>SUM(D136:D145)</f>
        <v>94040</v>
      </c>
      <c r="E146" s="39">
        <f>SUM(E136:E145)</f>
        <v>310840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TRUNC(25145+5059,-1)</f>
        <v>30200</v>
      </c>
      <c r="E149" s="62">
        <f>TRUNC(+D149*3.3058,-1)</f>
        <v>99830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TRUNC(10459,-1)</f>
        <v>10450</v>
      </c>
      <c r="E150" s="63">
        <f>TRUNC(+D150*3.3058,-1)</f>
        <v>34540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TRUNC(52499+28576,-1)</f>
        <v>81070</v>
      </c>
      <c r="E152" s="63">
        <f>TRUNC(+D152*3.3058,-1)</f>
        <v>268000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TRUNC(35773,-1)</f>
        <v>35770</v>
      </c>
      <c r="E153" s="64">
        <f>TRUNC(+D153*3.3058,-1)</f>
        <v>118240</v>
      </c>
    </row>
    <row r="154" spans="1:7" x14ac:dyDescent="0.3">
      <c r="A154" s="2">
        <v>6</v>
      </c>
      <c r="C154" s="27" t="s">
        <v>112</v>
      </c>
      <c r="D154" s="39">
        <f>SUM(D149:D153)</f>
        <v>157490</v>
      </c>
      <c r="E154" s="39">
        <f>SUM(E149:E153)</f>
        <v>520610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TRUNC(119147,-1)</f>
        <v>119140</v>
      </c>
      <c r="E157" s="62">
        <f>TRUNC(+D157*3.3058,-1)</f>
        <v>393850</v>
      </c>
    </row>
    <row r="158" spans="1:7" x14ac:dyDescent="0.3">
      <c r="A158" s="2">
        <v>2</v>
      </c>
      <c r="C158" s="38" t="s">
        <v>52</v>
      </c>
      <c r="D158" s="42">
        <f>TRUNC(6831,-1)</f>
        <v>6830</v>
      </c>
      <c r="E158" s="63">
        <f>TRUNC(+D158*3.3058,-1)</f>
        <v>22570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TRUNC(20696+1507,-1)</f>
        <v>22200</v>
      </c>
      <c r="E159" s="63">
        <f>TRUNC(+D159*3.3058,-1)</f>
        <v>73380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TRUNC(17447,-1)</f>
        <v>17440</v>
      </c>
      <c r="E160" s="64">
        <f>TRUNC(+D160*3.3058,-1)</f>
        <v>57650</v>
      </c>
    </row>
    <row r="161" spans="1:5" x14ac:dyDescent="0.3">
      <c r="A161" s="2">
        <v>5</v>
      </c>
      <c r="C161" s="27" t="s">
        <v>112</v>
      </c>
      <c r="D161" s="39">
        <f>SUM(D157:D160)</f>
        <v>165610</v>
      </c>
      <c r="E161" s="39">
        <f>SUM(E157:E160)</f>
        <v>547450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2020-12-08T04:42:29Z</dcterms:modified>
</cp:coreProperties>
</file>