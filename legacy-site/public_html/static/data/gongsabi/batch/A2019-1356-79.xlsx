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2" i="4" l="1"/>
  <c r="D118" i="4"/>
  <c r="D94" i="4"/>
  <c r="D60" i="4"/>
  <c r="D153" i="4"/>
  <c r="D152" i="4"/>
  <c r="D151" i="4"/>
  <c r="D150" i="4"/>
  <c r="D138" i="4"/>
  <c r="D145" i="4"/>
  <c r="D144" i="4"/>
  <c r="D140" i="4"/>
  <c r="D139" i="4"/>
  <c r="D142" i="4"/>
  <c r="D143" i="4"/>
  <c r="D141" i="4"/>
  <c r="D133" i="4"/>
  <c r="D129" i="4"/>
  <c r="D128" i="4"/>
  <c r="D125" i="4"/>
  <c r="D126" i="4"/>
  <c r="D123" i="4"/>
  <c r="D131" i="4"/>
  <c r="D127" i="4"/>
  <c r="D119" i="4"/>
  <c r="D106" i="4"/>
  <c r="D105" i="4"/>
  <c r="D104" i="4"/>
  <c r="D103" i="4"/>
  <c r="D102" i="4"/>
  <c r="D101" i="4"/>
  <c r="D100" i="4"/>
  <c r="D115" i="4"/>
  <c r="D99" i="4"/>
  <c r="D117" i="4"/>
  <c r="D95" i="4"/>
  <c r="D85" i="4"/>
  <c r="D93" i="4"/>
  <c r="D92" i="4"/>
  <c r="D90" i="4"/>
  <c r="D73" i="4"/>
  <c r="D72" i="4"/>
  <c r="D71" i="4"/>
  <c r="D70" i="4"/>
  <c r="D64" i="4"/>
  <c r="D59" i="4"/>
  <c r="D54" i="4"/>
  <c r="D53" i="4"/>
  <c r="D51" i="4"/>
  <c r="D50" i="4"/>
  <c r="D49" i="4"/>
  <c r="D47" i="4"/>
  <c r="D46" i="4"/>
  <c r="D45" i="4"/>
  <c r="D44" i="4"/>
  <c r="D43" i="4"/>
  <c r="D42" i="4"/>
  <c r="D41" i="4"/>
  <c r="E161" i="4" l="1"/>
  <c r="E160" i="4"/>
  <c r="E159" i="4"/>
  <c r="E158" i="4"/>
  <c r="E162" i="4" s="1"/>
  <c r="E154" i="4"/>
  <c r="E153" i="4"/>
  <c r="E152" i="4"/>
  <c r="E151" i="4"/>
  <c r="E150" i="4"/>
  <c r="E146" i="4"/>
  <c r="E145" i="4"/>
  <c r="E144" i="4"/>
  <c r="E143" i="4"/>
  <c r="E142" i="4"/>
  <c r="E141" i="4"/>
  <c r="E140" i="4"/>
  <c r="E139" i="4"/>
  <c r="E138" i="4"/>
  <c r="E137" i="4"/>
  <c r="E133" i="4"/>
  <c r="E132" i="4"/>
  <c r="E131" i="4"/>
  <c r="E130" i="4"/>
  <c r="E129" i="4"/>
  <c r="E128" i="4"/>
  <c r="E127" i="4"/>
  <c r="E126" i="4"/>
  <c r="E125" i="4"/>
  <c r="E124" i="4"/>
  <c r="E123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6" i="4"/>
  <c r="E65" i="4"/>
  <c r="E64" i="4"/>
  <c r="E67" i="4" s="1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38" i="4"/>
  <c r="E155" i="4" l="1"/>
  <c r="E147" i="4"/>
  <c r="E134" i="4"/>
  <c r="E120" i="4"/>
  <c r="E96" i="4"/>
  <c r="E61" i="4"/>
  <c r="D162" i="4"/>
  <c r="D155" i="4"/>
  <c r="D147" i="4"/>
  <c r="D31" i="4" s="1"/>
  <c r="E31" i="4" s="1"/>
  <c r="D134" i="4"/>
  <c r="D30" i="4" s="1"/>
  <c r="E30" i="4" s="1"/>
  <c r="D120" i="4"/>
  <c r="D29" i="4" s="1"/>
  <c r="E29" i="4" s="1"/>
  <c r="D96" i="4"/>
  <c r="D28" i="4" s="1"/>
  <c r="E28" i="4" s="1"/>
  <c r="D67" i="4"/>
  <c r="D27" i="4" s="1"/>
  <c r="E27" i="4" s="1"/>
  <c r="D61" i="4"/>
  <c r="D26" i="4" s="1"/>
  <c r="D25" i="4"/>
  <c r="E25" i="4" s="1"/>
  <c r="D32" i="4"/>
  <c r="E32" i="4" s="1"/>
  <c r="D33" i="4"/>
  <c r="E33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6" i="4" l="1"/>
  <c r="D34" i="4"/>
  <c r="E34" i="4" s="1"/>
  <c r="D35" i="4" l="1"/>
  <c r="E35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<sst xmlns="http://schemas.openxmlformats.org/spreadsheetml/2006/main" count="394" uniqueCount="269">
  <si>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</si>
  <si>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</si>
  <si>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</si>
  <si>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</si>
  <si>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</si>
  <si>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</si>
  <si>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</si>
  <si>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</si>
  <si>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</si>
  <si>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</si>
  <si>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</si>
  <si>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</si>
  <si>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</si>
  <si>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</si>
  <si>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</si>
  <si>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</si>
  <si>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</si>
  <si>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</si>
  <si>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</si>
  <si>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</si>
  <si>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</si>
  <si>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</si>
  <si>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</si>
  <si>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</si>
  <si>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</si>
  <si>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</si>
  <si>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</si>
  <si>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</si>
  <si>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</si>
  <si>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</si>
  <si>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</si>
  <si>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</si>
  <si>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</si>
  <si>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</si>
  <si>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</si>
  <si>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</si>
  <si>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</si>
  <si>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</si>
  <si>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</si>
  <si>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</si>
  <si>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</si>
  <si>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</si>
  <si>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</si>
  <si>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</si>
  <si>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</si>
  <si>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</si>
  <si>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</si>
  <si>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</si>
  <si>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</si>
  <si>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</si>
  <si>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</si>
  <si>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</si>
  <si>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</si>
  <si>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</si>
  <si>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</si>
  <si>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</si>
  <si>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</si>
  <si>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</si>
  <si>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</si>
  <si>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</si>
  <si>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</si>
  <si>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</si>
  <si>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</si>
  <si>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</si>
  <si>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</si>
  <si>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</si>
  <si>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</si>
  <si>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</si>
  <si>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</si>
  <si>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</si>
  <si>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</si>
  <si>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</si>
  <si>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</si>
  <si>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</si>
  <si>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</si>
  <si>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</si>
  <si>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</si>
  <si>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</si>
  <si>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</si>
  <si>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</si>
  <si>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</si>
  <si>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</si>
  <si>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</si>
  <si>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</si>
  <si>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</si>
  <si>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</si>
  <si>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</si>
  <si>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</si>
  <si>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</si>
  <si>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</si>
  <si>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</si>
  <si>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</si>
  <si>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</si>
  <si>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</si>
  <si>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</si>
  <si>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</si>
  <si>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</si>
  <si>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</si>
  <si>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</si>
  <si>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</si>
  <si>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</si>
  <si>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</si>
  <si>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</si>
  <si>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</si>
  <si>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</si>
  <si>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</si>
  <si>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</si>
  <si>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</si>
  <si>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</si>
  <si>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</si>
  <si>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</si>
  <si>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</si>
  <si>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</si>
  <si>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</si>
  <si>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</si>
  <si>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</si>
  <si>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</si>
  <si>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</si>
  <si>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</si>
  <si>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</si>
  <si>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</si>
  <si>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</si>
  <si>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</si>
  <si>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</si>
  <si>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</si>
  <si>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</si>
  <si>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</si>
  <si>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</si>
  <si>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</si>
  <si>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</si>
  <si>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</si>
  <si>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</si>
  <si>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</si>
  <si>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</si>
  <si>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</si>
  <si>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</si>
  <si>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</si>
  <si>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</si>
  <si>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</si>
  <si>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</si>
  <si>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</si>
  <si>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</si>
  <si>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</si>
  <si>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</si>
  <si>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</si>
  <si>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</si>
  <si>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</si>
  <si>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</si>
  <si>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</si>
  <si>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</si>
  <si>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</si>
  <si>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</si>
  <si>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</si>
  <si>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</si>
  <si>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</si>
  <si>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</si>
  <si>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</si>
  <si>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</si>
  <si>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</si>
  <si>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</si>
  <si>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</si>
  <si>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</si>
  <si>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</si>
  <si>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</si>
  <si>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</si>
  <si>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</si>
  <si>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</si>
  <si>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</si>
  <si>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</si>
  <si>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</si>
  <si>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</si>
  <si>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</si>
  <si>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</si>
  <si>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</si>
  <si>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</si>
  <si>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</si>
  <si>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</si>
  <si>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</si>
  <si>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</si>
  <si>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</si>
  <si>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</si>
  <si>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</si>
  <si>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</si>
  <si>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</si>
  <si>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</si>
  <si>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</si>
  <si>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</si>
  <si>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</si>
  <si>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</si>
  <si>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</si>
  <si>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</si>
  <si>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</si>
  <si>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</si>
  <si>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</si>
  <si>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</si>
  <si>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</si>
  <si>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</si>
  <si>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</si>
  <si>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</si>
  <si>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</si>
  <si>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</si>
  <si>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</si>
  <si>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</si>
  <si>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</si>
  <si>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</si>
  <si>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</si>
  <si>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</si>
  <si>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</si>
  <si>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</si>
  <si>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</si>
  <si>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</si>
  <si>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</si>
  <si>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</si>
  <si>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</si>
  <si>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</si>
  <si>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</si>
  <si>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</si>
  <si>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</si>
  <si>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</si>
  <si>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</si>
  <si>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</si>
  <si>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</si>
  <si>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</si>
  <si>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</si>
  <si>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</si>
  <si>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</si>
  <si>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</si>
  <si>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</si>
  <si>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</si>
  <si>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</si>
  <si>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</si>
  <si>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</si>
  <si>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</si>
  <si>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</si>
  <si>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</si>
  <si>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</si>
  <si>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</si>
  <si>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</si>
  <si>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</si>
  <si>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</si>
  <si>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</si>
  <si>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</si>
  <si>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</si>
  <si>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</si>
  <si>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</si>
  <si>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</si>
  <si>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</si>
  <si>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</si>
  <si>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</si>
  <si>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</si>
  <si>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연경지구 1초 중 통합운영학교 및 1유치원 신축공사(장기계속)</t>
    <phoneticPr fontId="2" type="noConversion"/>
  </si>
  <si>
    <t>대구시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</si>
  <si>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</si>
  <si>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</si>
  <si>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</si>
  <si>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</si>
  <si>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바닥난방공사</t>
    <phoneticPr fontId="2" type="noConversion"/>
  </si>
  <si>
    <t>공조배관공사,난방배관공사,기타공사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</si>
  <si>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</si>
  <si>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</si>
  <si>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</si>
  <si>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</si>
  <si>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옥외소화배관공사,펌프실배관공사,기타공사</t>
    <phoneticPr fontId="2" type="noConversion"/>
  </si>
  <si>
    <t>우수공사</t>
    <phoneticPr fontId="2" type="noConversion"/>
  </si>
  <si>
    <t>건축</t>
    <phoneticPr fontId="2" type="noConversion"/>
  </si>
  <si>
    <t>원/ m2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</si>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</sst>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tabSelected="1" zoomScale="90" zoomScaleNormal="90" workbookViewId="0">
      <selection activeCell="A25" sqref="A2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26977.119999999999</v>
      </c>
      <c r="D7" s="36">
        <f>+C7/3.3058</f>
        <v>8160.5420775606508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4" spans="1:5" x14ac:dyDescent="0.3">
      <c r="A24" s="2">
        <v>10</v>
      </c>
      <c r="B24" s="2" t="s">
        <v>109</v>
      </c>
      <c r="C24" s="2" t="s">
        <v>113</v>
      </c>
      <c r="D24" s="2" t="s">
        <v>238</v>
      </c>
      <c r="E24" s="35" t="s">
        <v>153</v>
      </c>
    </row>
    <row r="25" spans="1:5" x14ac:dyDescent="0.3">
      <c r="B25" s="2">
        <v>1</v>
      </c>
      <c r="C25" s="35" t="s">
        <v>110</v>
      </c>
      <c r="D25" s="41">
        <f>+D38</f>
        <v>0</v>
      </c>
      <c r="E25" s="58">
        <f t="shared" ref="E25:E34" si="0">TRUNC(+D25*3.3058,-1)</f>
        <v>0</v>
      </c>
    </row>
    <row r="26" spans="1:5" x14ac:dyDescent="0.3">
      <c r="B26" s="2">
        <v>2</v>
      </c>
      <c r="C26" s="35" t="s">
        <v>111</v>
      </c>
      <c r="D26" s="45">
        <f>+D61</f>
        <v>817630</v>
      </c>
      <c r="E26" s="59">
        <f t="shared" si="0"/>
        <v>2702920</v>
      </c>
    </row>
    <row r="27" spans="1:5" x14ac:dyDescent="0.3">
      <c r="B27" s="2">
        <v>3</v>
      </c>
      <c r="C27" s="35" t="s">
        <v>95</v>
      </c>
      <c r="D27" s="45">
        <f>+D67</f>
        <v>5600</v>
      </c>
      <c r="E27" s="59">
        <f t="shared" si="0"/>
        <v>18510</v>
      </c>
    </row>
    <row r="28" spans="1:5" x14ac:dyDescent="0.3">
      <c r="B28" s="2">
        <v>4</v>
      </c>
      <c r="C28" s="35" t="s">
        <v>96</v>
      </c>
      <c r="D28" s="45">
        <f>+D96</f>
        <v>200960</v>
      </c>
      <c r="E28" s="59">
        <f t="shared" si="0"/>
        <v>664330</v>
      </c>
    </row>
    <row r="29" spans="1:5" x14ac:dyDescent="0.3">
      <c r="B29" s="2">
        <v>5</v>
      </c>
      <c r="C29" s="35" t="s">
        <v>97</v>
      </c>
      <c r="D29" s="45">
        <f>+D120</f>
        <v>205740</v>
      </c>
      <c r="E29" s="59">
        <f t="shared" si="0"/>
        <v>680130</v>
      </c>
    </row>
    <row r="30" spans="1:5" x14ac:dyDescent="0.3">
      <c r="B30" s="2">
        <v>6</v>
      </c>
      <c r="C30" s="35" t="s">
        <v>98</v>
      </c>
      <c r="D30" s="45">
        <f>+D134</f>
        <v>49920</v>
      </c>
      <c r="E30" s="59">
        <f t="shared" si="0"/>
        <v>165020</v>
      </c>
    </row>
    <row r="31" spans="1:5" x14ac:dyDescent="0.3">
      <c r="B31" s="2">
        <v>7</v>
      </c>
      <c r="C31" s="35" t="s">
        <v>99</v>
      </c>
      <c r="D31" s="45">
        <f>+D147</f>
        <v>60440</v>
      </c>
      <c r="E31" s="59">
        <f t="shared" si="0"/>
        <v>199800</v>
      </c>
    </row>
    <row r="32" spans="1:5" x14ac:dyDescent="0.3">
      <c r="B32" s="2">
        <v>8</v>
      </c>
      <c r="C32" s="35" t="s">
        <v>100</v>
      </c>
      <c r="D32" s="45">
        <f>+D155</f>
        <v>25830</v>
      </c>
      <c r="E32" s="59">
        <f t="shared" si="0"/>
        <v>85380</v>
      </c>
    </row>
    <row r="33" spans="1:7" x14ac:dyDescent="0.3">
      <c r="B33" s="2">
        <v>9</v>
      </c>
      <c r="C33" s="35" t="s">
        <v>101</v>
      </c>
      <c r="D33" s="45">
        <f>+D162</f>
        <v>0</v>
      </c>
      <c r="E33" s="59">
        <f t="shared" si="0"/>
        <v>0</v>
      </c>
    </row>
    <row r="34" spans="1:7" x14ac:dyDescent="0.3">
      <c r="B34" s="2">
        <v>10</v>
      </c>
      <c r="C34" s="35" t="s">
        <v>154</v>
      </c>
      <c r="D34" s="53">
        <f>TRUNC(SUM(D25:D33)*0.275,-1)</f>
        <v>375680</v>
      </c>
      <c r="E34" s="60">
        <f t="shared" si="0"/>
        <v>1241920</v>
      </c>
    </row>
    <row r="35" spans="1:7" x14ac:dyDescent="0.3">
      <c r="C35" s="35" t="s">
        <v>112</v>
      </c>
      <c r="D35" s="44">
        <f>SUM(D25:D34)</f>
        <v>1741800</v>
      </c>
      <c r="E35" s="44">
        <f>SUM(E25:E34)</f>
        <v>5758010</v>
      </c>
    </row>
    <row r="36" spans="1:7" s="56" customFormat="1" x14ac:dyDescent="0.3">
      <c r="C36" s="57"/>
      <c r="D36" s="57"/>
      <c r="E36" s="57"/>
      <c r="G36" s="55"/>
    </row>
    <row r="37" spans="1:7" s="56" customFormat="1" ht="17.25" thickBot="1" x14ac:dyDescent="0.35">
      <c r="B37" s="56" t="s">
        <v>12</v>
      </c>
      <c r="C37" s="56" t="s">
        <v>239</v>
      </c>
      <c r="D37" s="57" t="s">
        <v>235</v>
      </c>
      <c r="E37" s="57" t="s">
        <v>153</v>
      </c>
      <c r="G37" s="55"/>
    </row>
    <row r="38" spans="1:7" ht="17.25" thickBot="1" x14ac:dyDescent="0.35">
      <c r="C38" s="38" t="s">
        <v>143</v>
      </c>
      <c r="D38" s="52">
        <v>0</v>
      </c>
      <c r="E38" s="61">
        <f>TRUNC(+D38*3.3058,-1)</f>
        <v>0</v>
      </c>
    </row>
    <row r="39" spans="1:7" s="56" customFormat="1" x14ac:dyDescent="0.3">
      <c r="C39" s="57"/>
      <c r="D39" s="57"/>
      <c r="E39" s="57"/>
      <c r="G39" s="55"/>
    </row>
    <row r="40" spans="1:7" s="56" customFormat="1" ht="17.25" thickBot="1" x14ac:dyDescent="0.35">
      <c r="B40" s="56" t="s">
        <v>264</v>
      </c>
      <c r="C40" s="56" t="s">
        <v>113</v>
      </c>
      <c r="D40" s="57" t="s">
        <v>265</v>
      </c>
      <c r="E40" s="57" t="s">
        <v>236</v>
      </c>
      <c r="G40" s="55"/>
    </row>
    <row r="41" spans="1:7" x14ac:dyDescent="0.3">
      <c r="A41" s="2">
        <v>1</v>
      </c>
      <c r="C41" s="38" t="s">
        <v>15</v>
      </c>
      <c r="D41" s="40">
        <f>TRUNC(48718,-1)</f>
        <v>48710</v>
      </c>
      <c r="E41" s="62">
        <f t="shared" ref="E41:E60" si="1">TRUNC(+D41*3.3058,-1)</f>
        <v>161020</v>
      </c>
    </row>
    <row r="42" spans="1:7" x14ac:dyDescent="0.3">
      <c r="A42" s="2">
        <v>2</v>
      </c>
      <c r="C42" s="38" t="s">
        <v>13</v>
      </c>
      <c r="D42" s="42">
        <f>TRUNC(127040,-1)</f>
        <v>127040</v>
      </c>
      <c r="E42" s="63">
        <f t="shared" si="1"/>
        <v>419960</v>
      </c>
    </row>
    <row r="43" spans="1:7" x14ac:dyDescent="0.3">
      <c r="A43" s="2">
        <v>3</v>
      </c>
      <c r="C43" s="38" t="s">
        <v>14</v>
      </c>
      <c r="D43" s="42">
        <f>TRUNC(15288,-1)</f>
        <v>15280</v>
      </c>
      <c r="E43" s="63">
        <f t="shared" si="1"/>
        <v>50510</v>
      </c>
    </row>
    <row r="44" spans="1:7" x14ac:dyDescent="0.3">
      <c r="A44" s="2">
        <v>4</v>
      </c>
      <c r="C44" s="38" t="s">
        <v>16</v>
      </c>
      <c r="D44" s="42">
        <f>TRUNC(7754,-1)</f>
        <v>7750</v>
      </c>
      <c r="E44" s="63">
        <f t="shared" si="1"/>
        <v>25610</v>
      </c>
    </row>
    <row r="45" spans="1:7" x14ac:dyDescent="0.3">
      <c r="A45" s="2">
        <v>5</v>
      </c>
      <c r="C45" s="38" t="s">
        <v>17</v>
      </c>
      <c r="D45" s="42">
        <f>TRUNC(17940,-1)</f>
        <v>17940</v>
      </c>
      <c r="E45" s="63">
        <f t="shared" si="1"/>
        <v>59300</v>
      </c>
    </row>
    <row r="46" spans="1:7" x14ac:dyDescent="0.3">
      <c r="A46" s="2">
        <v>6</v>
      </c>
      <c r="C46" s="38" t="s">
        <v>18</v>
      </c>
      <c r="D46" s="42">
        <f>TRUNC(8136,-1)</f>
        <v>8130</v>
      </c>
      <c r="E46" s="63">
        <f t="shared" si="1"/>
        <v>26870</v>
      </c>
    </row>
    <row r="47" spans="1:7" x14ac:dyDescent="0.3">
      <c r="A47" s="2">
        <v>7</v>
      </c>
      <c r="C47" s="38" t="s">
        <v>19</v>
      </c>
      <c r="D47" s="42">
        <f>TRUNC(29514,-1)</f>
        <v>29510</v>
      </c>
      <c r="E47" s="63">
        <f t="shared" si="1"/>
        <v>97550</v>
      </c>
    </row>
    <row r="48" spans="1:7" x14ac:dyDescent="0.3">
      <c r="A48" s="2">
        <v>8</v>
      </c>
      <c r="C48" s="38" t="s">
        <v>20</v>
      </c>
      <c r="D48" s="42">
        <v>0</v>
      </c>
      <c r="E48" s="63">
        <f t="shared" si="1"/>
        <v>0</v>
      </c>
    </row>
    <row r="49" spans="1:7" x14ac:dyDescent="0.3">
      <c r="A49" s="2">
        <v>9</v>
      </c>
      <c r="C49" s="38" t="s">
        <v>21</v>
      </c>
      <c r="D49" s="42">
        <f>TRUNC(66893,-1)</f>
        <v>66890</v>
      </c>
      <c r="E49" s="63">
        <f t="shared" si="1"/>
        <v>221120</v>
      </c>
      <c r="F49" s="2" t="s">
        <v>252</v>
      </c>
    </row>
    <row r="50" spans="1:7" x14ac:dyDescent="0.3">
      <c r="A50" s="2">
        <v>10</v>
      </c>
      <c r="C50" s="38" t="s">
        <v>22</v>
      </c>
      <c r="D50" s="42">
        <f>TRUNC(17465,-1)</f>
        <v>17460</v>
      </c>
      <c r="E50" s="63">
        <f t="shared" si="1"/>
        <v>57710</v>
      </c>
    </row>
    <row r="51" spans="1:7" x14ac:dyDescent="0.3">
      <c r="A51" s="2">
        <v>11</v>
      </c>
      <c r="C51" s="38" t="s">
        <v>155</v>
      </c>
      <c r="D51" s="42">
        <f>TRUNC(66223,-1)</f>
        <v>66220</v>
      </c>
      <c r="E51" s="63">
        <f t="shared" si="1"/>
        <v>218910</v>
      </c>
      <c r="F51" s="2" t="s">
        <v>253</v>
      </c>
    </row>
    <row r="52" spans="1:7" x14ac:dyDescent="0.3">
      <c r="A52" s="2">
        <v>12</v>
      </c>
      <c r="C52" s="38" t="s">
        <v>23</v>
      </c>
      <c r="D52" s="42">
        <v>0</v>
      </c>
      <c r="E52" s="63">
        <f t="shared" si="1"/>
        <v>0</v>
      </c>
    </row>
    <row r="53" spans="1:7" x14ac:dyDescent="0.3">
      <c r="A53" s="2">
        <v>13</v>
      </c>
      <c r="C53" s="38" t="s">
        <v>24</v>
      </c>
      <c r="D53" s="42">
        <f>TRUNC(12280,-1)</f>
        <v>12280</v>
      </c>
      <c r="E53" s="63">
        <f t="shared" si="1"/>
        <v>40590</v>
      </c>
    </row>
    <row r="54" spans="1:7" x14ac:dyDescent="0.3">
      <c r="A54" s="2">
        <v>14</v>
      </c>
      <c r="C54" s="38" t="s">
        <v>25</v>
      </c>
      <c r="D54" s="42">
        <f>TRUNC(119664,-1)</f>
        <v>119660</v>
      </c>
      <c r="E54" s="63">
        <f t="shared" si="1"/>
        <v>395570</v>
      </c>
      <c r="F54" s="2" t="s">
        <v>254</v>
      </c>
    </row>
    <row r="55" spans="1:7" x14ac:dyDescent="0.3">
      <c r="A55" s="2">
        <v>15</v>
      </c>
      <c r="C55" s="38" t="s">
        <v>147</v>
      </c>
      <c r="D55" s="42">
        <v>0</v>
      </c>
      <c r="E55" s="63">
        <f t="shared" si="1"/>
        <v>0</v>
      </c>
    </row>
    <row r="56" spans="1:7" x14ac:dyDescent="0.3">
      <c r="A56" s="2">
        <v>16</v>
      </c>
      <c r="C56" s="38" t="s">
        <v>144</v>
      </c>
      <c r="D56" s="42">
        <v>0</v>
      </c>
      <c r="E56" s="63">
        <f t="shared" si="1"/>
        <v>0</v>
      </c>
    </row>
    <row r="57" spans="1:7" x14ac:dyDescent="0.3">
      <c r="A57" s="2">
        <v>17</v>
      </c>
      <c r="C57" s="38" t="s">
        <v>145</v>
      </c>
      <c r="D57" s="42">
        <v>0</v>
      </c>
      <c r="E57" s="63">
        <f t="shared" si="1"/>
        <v>0</v>
      </c>
    </row>
    <row r="58" spans="1:7" x14ac:dyDescent="0.3">
      <c r="A58" s="2">
        <v>18</v>
      </c>
      <c r="C58" s="38" t="s">
        <v>146</v>
      </c>
      <c r="D58" s="42">
        <v>0</v>
      </c>
      <c r="E58" s="63">
        <f t="shared" si="1"/>
        <v>0</v>
      </c>
    </row>
    <row r="59" spans="1:7" x14ac:dyDescent="0.3">
      <c r="A59" s="2">
        <v>19</v>
      </c>
      <c r="C59" s="38" t="s">
        <v>26</v>
      </c>
      <c r="D59" s="42">
        <f>TRUNC(9728+2593-407+586+29452,-1)</f>
        <v>41950</v>
      </c>
      <c r="E59" s="63">
        <f t="shared" si="1"/>
        <v>138670</v>
      </c>
      <c r="F59" s="2" t="s">
        <v>255</v>
      </c>
    </row>
    <row r="60" spans="1:7" ht="17.25" thickBot="1" x14ac:dyDescent="0.35">
      <c r="A60" s="2">
        <v>20</v>
      </c>
      <c r="C60" s="38" t="s">
        <v>148</v>
      </c>
      <c r="D60" s="43">
        <f>TRUNC(238815,-1)</f>
        <v>238810</v>
      </c>
      <c r="E60" s="64">
        <f t="shared" si="1"/>
        <v>789450</v>
      </c>
    </row>
    <row r="61" spans="1:7" x14ac:dyDescent="0.3">
      <c r="A61" s="2">
        <v>21</v>
      </c>
      <c r="C61" s="27" t="s">
        <v>112</v>
      </c>
      <c r="D61" s="39">
        <f>SUM(D41:D60)</f>
        <v>817630</v>
      </c>
      <c r="E61" s="39">
        <f>SUM(E41:E60)</f>
        <v>2702840</v>
      </c>
    </row>
    <row r="62" spans="1:7" s="56" customFormat="1" x14ac:dyDescent="0.3">
      <c r="C62" s="57"/>
      <c r="D62" s="57"/>
      <c r="E62" s="57"/>
      <c r="G62" s="55"/>
    </row>
    <row r="63" spans="1:7" s="56" customFormat="1" ht="17.25" thickBot="1" x14ac:dyDescent="0.35">
      <c r="B63" s="56" t="s">
        <v>240</v>
      </c>
      <c r="C63" s="56" t="s">
        <v>241</v>
      </c>
      <c r="D63" s="57" t="s">
        <v>238</v>
      </c>
      <c r="E63" s="57" t="s">
        <v>153</v>
      </c>
      <c r="G63" s="55"/>
    </row>
    <row r="64" spans="1:7" x14ac:dyDescent="0.3">
      <c r="A64" s="2">
        <v>1</v>
      </c>
      <c r="C64" s="38" t="s">
        <v>27</v>
      </c>
      <c r="D64" s="40">
        <f>TRUNC(5604,-1)</f>
        <v>5600</v>
      </c>
      <c r="E64" s="62">
        <f>TRUNC(+D64*3.3058,-1)</f>
        <v>18510</v>
      </c>
    </row>
    <row r="65" spans="1:7" x14ac:dyDescent="0.3">
      <c r="A65" s="2">
        <v>2</v>
      </c>
      <c r="C65" s="38" t="s">
        <v>29</v>
      </c>
      <c r="D65" s="42">
        <v>0</v>
      </c>
      <c r="E65" s="63">
        <f>TRUNC(+D65*3.3058,-1)</f>
        <v>0</v>
      </c>
    </row>
    <row r="66" spans="1:7" ht="17.25" thickBot="1" x14ac:dyDescent="0.35">
      <c r="A66" s="2">
        <v>3</v>
      </c>
      <c r="C66" s="38" t="s">
        <v>28</v>
      </c>
      <c r="D66" s="43">
        <v>0</v>
      </c>
      <c r="E66" s="64">
        <f>TRUNC(+D66*3.3058,-1)</f>
        <v>0</v>
      </c>
    </row>
    <row r="67" spans="1:7" x14ac:dyDescent="0.3">
      <c r="A67" s="2">
        <v>4</v>
      </c>
      <c r="C67" s="27" t="s">
        <v>112</v>
      </c>
      <c r="D67" s="39">
        <f>SUM(D64:D66)</f>
        <v>5600</v>
      </c>
      <c r="E67" s="65">
        <f>SUM(E64:E66)</f>
        <v>18510</v>
      </c>
    </row>
    <row r="68" spans="1:7" s="56" customFormat="1" x14ac:dyDescent="0.3">
      <c r="C68" s="57"/>
      <c r="D68" s="57"/>
      <c r="E68" s="57"/>
      <c r="G68" s="55"/>
    </row>
    <row r="69" spans="1:7" s="56" customFormat="1" ht="17.25" thickBot="1" x14ac:dyDescent="0.35">
      <c r="B69" s="56" t="s">
        <v>242</v>
      </c>
      <c r="C69" s="56" t="s">
        <v>243</v>
      </c>
      <c r="D69" s="57" t="s">
        <v>235</v>
      </c>
      <c r="E69" s="57" t="s">
        <v>153</v>
      </c>
      <c r="G69" s="55"/>
    </row>
    <row r="70" spans="1:7" x14ac:dyDescent="0.3">
      <c r="A70" s="2">
        <v>1</v>
      </c>
      <c r="C70" s="38" t="s">
        <v>30</v>
      </c>
      <c r="D70" s="40">
        <f>TRUNC(5407,-1)</f>
        <v>5400</v>
      </c>
      <c r="E70" s="62">
        <f t="shared" ref="E70:E95" si="2">TRUNC(+D70*3.3058,-1)</f>
        <v>17850</v>
      </c>
    </row>
    <row r="71" spans="1:7" ht="16.5" customHeight="1" x14ac:dyDescent="0.3">
      <c r="A71" s="2">
        <v>2</v>
      </c>
      <c r="C71" s="38" t="s">
        <v>31</v>
      </c>
      <c r="D71" s="42">
        <f>TRUNC(2017,-1)</f>
        <v>2010</v>
      </c>
      <c r="E71" s="63">
        <f t="shared" si="2"/>
        <v>6640</v>
      </c>
    </row>
    <row r="72" spans="1:7" x14ac:dyDescent="0.3">
      <c r="A72" s="2">
        <v>3</v>
      </c>
      <c r="C72" s="38" t="s">
        <v>32</v>
      </c>
      <c r="D72" s="42">
        <f>TRUNC(5503,-1)</f>
        <v>5500</v>
      </c>
      <c r="E72" s="63">
        <f t="shared" si="2"/>
        <v>18180</v>
      </c>
    </row>
    <row r="73" spans="1:7" x14ac:dyDescent="0.3">
      <c r="A73" s="2">
        <v>4</v>
      </c>
      <c r="C73" s="38" t="s">
        <v>33</v>
      </c>
      <c r="D73" s="42">
        <f>TRUNC(3653,-1)</f>
        <v>3650</v>
      </c>
      <c r="E73" s="63">
        <f t="shared" si="2"/>
        <v>12060</v>
      </c>
    </row>
    <row r="74" spans="1:7" x14ac:dyDescent="0.3">
      <c r="A74" s="2">
        <v>5</v>
      </c>
      <c r="C74" s="38" t="s">
        <v>34</v>
      </c>
      <c r="D74" s="42">
        <v>0</v>
      </c>
      <c r="E74" s="63">
        <f t="shared" si="2"/>
        <v>0</v>
      </c>
    </row>
    <row r="75" spans="1:7" x14ac:dyDescent="0.3">
      <c r="A75" s="2">
        <v>6</v>
      </c>
      <c r="C75" s="38" t="s">
        <v>176</v>
      </c>
      <c r="D75" s="42">
        <v>0</v>
      </c>
      <c r="E75" s="63">
        <f t="shared" si="2"/>
        <v>0</v>
      </c>
    </row>
    <row r="76" spans="1:7" x14ac:dyDescent="0.3">
      <c r="A76" s="2">
        <v>7</v>
      </c>
      <c r="C76" s="38" t="s">
        <v>140</v>
      </c>
      <c r="D76" s="42">
        <v>0</v>
      </c>
      <c r="E76" s="63">
        <f t="shared" si="2"/>
        <v>0</v>
      </c>
    </row>
    <row r="77" spans="1:7" x14ac:dyDescent="0.3">
      <c r="A77" s="2">
        <v>8</v>
      </c>
      <c r="C77" s="38" t="s">
        <v>119</v>
      </c>
      <c r="D77" s="42">
        <v>0</v>
      </c>
      <c r="E77" s="63">
        <f t="shared" si="2"/>
        <v>0</v>
      </c>
    </row>
    <row r="78" spans="1:7" x14ac:dyDescent="0.3">
      <c r="A78" s="2">
        <v>9</v>
      </c>
      <c r="C78" s="38" t="s">
        <v>152</v>
      </c>
      <c r="D78" s="42">
        <v>0</v>
      </c>
      <c r="E78" s="63">
        <f t="shared" si="2"/>
        <v>0</v>
      </c>
    </row>
    <row r="79" spans="1:7" x14ac:dyDescent="0.3">
      <c r="A79" s="2">
        <v>10</v>
      </c>
      <c r="C79" s="38" t="s">
        <v>137</v>
      </c>
      <c r="D79" s="42">
        <v>0</v>
      </c>
      <c r="E79" s="63">
        <f t="shared" si="2"/>
        <v>0</v>
      </c>
    </row>
    <row r="80" spans="1:7" x14ac:dyDescent="0.3">
      <c r="A80" s="2">
        <v>11</v>
      </c>
      <c r="C80" s="38" t="s">
        <v>133</v>
      </c>
      <c r="D80" s="42">
        <v>0</v>
      </c>
      <c r="E80" s="63">
        <f t="shared" si="2"/>
        <v>0</v>
      </c>
    </row>
    <row r="81" spans="1:6" x14ac:dyDescent="0.3">
      <c r="A81" s="2">
        <v>12</v>
      </c>
      <c r="C81" s="38" t="s">
        <v>128</v>
      </c>
      <c r="D81" s="42">
        <v>0</v>
      </c>
      <c r="E81" s="63">
        <f t="shared" si="2"/>
        <v>0</v>
      </c>
    </row>
    <row r="82" spans="1:6" x14ac:dyDescent="0.3">
      <c r="A82" s="2">
        <v>13</v>
      </c>
      <c r="C82" s="38" t="s">
        <v>121</v>
      </c>
      <c r="D82" s="42">
        <v>0</v>
      </c>
      <c r="E82" s="63">
        <f t="shared" si="2"/>
        <v>0</v>
      </c>
    </row>
    <row r="83" spans="1:6" x14ac:dyDescent="0.3">
      <c r="A83" s="2">
        <v>14</v>
      </c>
      <c r="C83" s="38" t="s">
        <v>134</v>
      </c>
      <c r="D83" s="42">
        <v>0</v>
      </c>
      <c r="E83" s="63">
        <f t="shared" si="2"/>
        <v>0</v>
      </c>
    </row>
    <row r="84" spans="1:6" x14ac:dyDescent="0.3">
      <c r="A84" s="2">
        <v>15</v>
      </c>
      <c r="C84" s="38" t="s">
        <v>136</v>
      </c>
      <c r="D84" s="42">
        <v>0</v>
      </c>
      <c r="E84" s="63">
        <f t="shared" si="2"/>
        <v>0</v>
      </c>
    </row>
    <row r="85" spans="1:6" x14ac:dyDescent="0.3">
      <c r="A85" s="2">
        <v>16</v>
      </c>
      <c r="C85" s="38" t="s">
        <v>122</v>
      </c>
      <c r="D85" s="42">
        <f>TRUNC(1100,-1)</f>
        <v>1100</v>
      </c>
      <c r="E85" s="63">
        <f t="shared" si="2"/>
        <v>3630</v>
      </c>
      <c r="F85" s="2" t="s">
        <v>256</v>
      </c>
    </row>
    <row r="86" spans="1:6" x14ac:dyDescent="0.3">
      <c r="A86" s="2">
        <v>17</v>
      </c>
      <c r="C86" s="38" t="s">
        <v>123</v>
      </c>
      <c r="D86" s="42">
        <v>0</v>
      </c>
      <c r="E86" s="63">
        <f t="shared" si="2"/>
        <v>0</v>
      </c>
    </row>
    <row r="87" spans="1:6" x14ac:dyDescent="0.3">
      <c r="A87" s="2">
        <v>18</v>
      </c>
      <c r="C87" s="38" t="s">
        <v>141</v>
      </c>
      <c r="D87" s="42">
        <v>0</v>
      </c>
      <c r="E87" s="63">
        <f t="shared" si="2"/>
        <v>0</v>
      </c>
    </row>
    <row r="88" spans="1:6" x14ac:dyDescent="0.3">
      <c r="A88" s="2">
        <v>19</v>
      </c>
      <c r="C88" s="38" t="s">
        <v>139</v>
      </c>
      <c r="D88" s="42">
        <v>0</v>
      </c>
      <c r="E88" s="63">
        <f t="shared" si="2"/>
        <v>0</v>
      </c>
    </row>
    <row r="89" spans="1:6" x14ac:dyDescent="0.3">
      <c r="A89" s="2">
        <v>20</v>
      </c>
      <c r="C89" s="38" t="s">
        <v>142</v>
      </c>
      <c r="D89" s="42">
        <v>0</v>
      </c>
      <c r="E89" s="63">
        <f t="shared" si="2"/>
        <v>0</v>
      </c>
    </row>
    <row r="90" spans="1:6" x14ac:dyDescent="0.3">
      <c r="A90" s="2">
        <v>21</v>
      </c>
      <c r="C90" s="38" t="s">
        <v>35</v>
      </c>
      <c r="D90" s="42">
        <f>TRUNC(37660,-1)</f>
        <v>37660</v>
      </c>
      <c r="E90" s="63">
        <f t="shared" si="2"/>
        <v>124490</v>
      </c>
    </row>
    <row r="91" spans="1:6" x14ac:dyDescent="0.3">
      <c r="A91" s="2">
        <v>22</v>
      </c>
      <c r="C91" s="38" t="s">
        <v>36</v>
      </c>
      <c r="D91" s="42">
        <v>0</v>
      </c>
      <c r="E91" s="63">
        <f t="shared" si="2"/>
        <v>0</v>
      </c>
    </row>
    <row r="92" spans="1:6" x14ac:dyDescent="0.3">
      <c r="A92" s="2">
        <v>23</v>
      </c>
      <c r="C92" s="38" t="s">
        <v>37</v>
      </c>
      <c r="D92" s="42">
        <f>TRUNC(4149,-1)</f>
        <v>4140</v>
      </c>
      <c r="E92" s="63">
        <f t="shared" si="2"/>
        <v>13680</v>
      </c>
    </row>
    <row r="93" spans="1:6" x14ac:dyDescent="0.3">
      <c r="A93" s="2">
        <v>24</v>
      </c>
      <c r="C93" s="38" t="s">
        <v>38</v>
      </c>
      <c r="D93" s="42">
        <f>TRUNC(12810,-1)</f>
        <v>12810</v>
      </c>
      <c r="E93" s="63">
        <f t="shared" si="2"/>
        <v>42340</v>
      </c>
    </row>
    <row r="94" spans="1:6" x14ac:dyDescent="0.3">
      <c r="A94" s="2">
        <v>25</v>
      </c>
      <c r="C94" s="38" t="s">
        <v>148</v>
      </c>
      <c r="D94" s="42">
        <f>TRUNC(126749,-1)</f>
        <v>126740</v>
      </c>
      <c r="E94" s="63">
        <f t="shared" si="2"/>
        <v>418970</v>
      </c>
    </row>
    <row r="95" spans="1:6" ht="17.25" thickBot="1" x14ac:dyDescent="0.35">
      <c r="A95" s="2">
        <v>26</v>
      </c>
      <c r="C95" s="38" t="s">
        <v>47</v>
      </c>
      <c r="D95" s="43">
        <f>TRUNC(231+1116+608,-1)</f>
        <v>1950</v>
      </c>
      <c r="E95" s="64">
        <f t="shared" si="2"/>
        <v>6440</v>
      </c>
      <c r="F95" s="2" t="s">
        <v>257</v>
      </c>
    </row>
    <row r="96" spans="1:6" x14ac:dyDescent="0.3">
      <c r="A96" s="2">
        <v>27</v>
      </c>
      <c r="C96" s="27" t="s">
        <v>112</v>
      </c>
      <c r="D96" s="39">
        <f>SUM(D70:D95)</f>
        <v>200960</v>
      </c>
      <c r="E96" s="39">
        <f>SUM(E70:E95)</f>
        <v>664280</v>
      </c>
    </row>
    <row r="97" spans="1:7" s="56" customFormat="1" x14ac:dyDescent="0.3">
      <c r="C97" s="57"/>
      <c r="D97" s="57"/>
      <c r="E97" s="57"/>
      <c r="G97" s="55"/>
    </row>
    <row r="98" spans="1:7" s="56" customFormat="1" ht="17.25" thickBot="1" x14ac:dyDescent="0.35">
      <c r="B98" s="56" t="s">
        <v>244</v>
      </c>
      <c r="C98" s="56" t="s">
        <v>243</v>
      </c>
      <c r="D98" s="57" t="s">
        <v>235</v>
      </c>
      <c r="E98" s="57" t="s">
        <v>153</v>
      </c>
      <c r="G98" s="55"/>
    </row>
    <row r="99" spans="1:7" x14ac:dyDescent="0.3">
      <c r="A99" s="2">
        <v>1</v>
      </c>
      <c r="C99" s="38" t="s">
        <v>39</v>
      </c>
      <c r="D99" s="40">
        <f>TRUNC(12868,-1)</f>
        <v>12860</v>
      </c>
      <c r="E99" s="62">
        <f t="shared" ref="E99:E119" si="3">TRUNC(+D99*3.3058,-1)</f>
        <v>42510</v>
      </c>
    </row>
    <row r="100" spans="1:7" x14ac:dyDescent="0.3">
      <c r="A100" s="2">
        <v>2</v>
      </c>
      <c r="C100" s="38" t="s">
        <v>40</v>
      </c>
      <c r="D100" s="42">
        <f>TRUNC(3294,-1)</f>
        <v>3290</v>
      </c>
      <c r="E100" s="63">
        <f t="shared" si="3"/>
        <v>10870</v>
      </c>
    </row>
    <row r="101" spans="1:7" x14ac:dyDescent="0.3">
      <c r="A101" s="2">
        <v>3</v>
      </c>
      <c r="C101" s="38" t="s">
        <v>41</v>
      </c>
      <c r="D101" s="42">
        <f>TRUNC(27383,-1)</f>
        <v>27380</v>
      </c>
      <c r="E101" s="63">
        <f t="shared" si="3"/>
        <v>90510</v>
      </c>
    </row>
    <row r="102" spans="1:7" x14ac:dyDescent="0.3">
      <c r="A102" s="2">
        <v>4</v>
      </c>
      <c r="C102" s="38" t="s">
        <v>42</v>
      </c>
      <c r="D102" s="42">
        <f>TRUNC(2411,-1)</f>
        <v>2410</v>
      </c>
      <c r="E102" s="63">
        <f t="shared" si="3"/>
        <v>7960</v>
      </c>
    </row>
    <row r="103" spans="1:7" x14ac:dyDescent="0.3">
      <c r="A103" s="2">
        <v>5</v>
      </c>
      <c r="C103" s="38" t="s">
        <v>43</v>
      </c>
      <c r="D103" s="42">
        <f>TRUNC(19127,-1)</f>
        <v>19120</v>
      </c>
      <c r="E103" s="63">
        <f t="shared" si="3"/>
        <v>63200</v>
      </c>
    </row>
    <row r="104" spans="1:7" x14ac:dyDescent="0.3">
      <c r="A104" s="2">
        <v>6</v>
      </c>
      <c r="C104" s="38" t="s">
        <v>44</v>
      </c>
      <c r="D104" s="42">
        <f>TRUNC(18240,-1)</f>
        <v>18240</v>
      </c>
      <c r="E104" s="63">
        <f t="shared" si="3"/>
        <v>60290</v>
      </c>
    </row>
    <row r="105" spans="1:7" x14ac:dyDescent="0.3">
      <c r="A105" s="2">
        <v>7</v>
      </c>
      <c r="C105" s="38" t="s">
        <v>45</v>
      </c>
      <c r="D105" s="42">
        <f>TRUNC(3146,-1)</f>
        <v>3140</v>
      </c>
      <c r="E105" s="63">
        <f t="shared" si="3"/>
        <v>10380</v>
      </c>
    </row>
    <row r="106" spans="1:7" x14ac:dyDescent="0.3">
      <c r="A106" s="2">
        <v>8</v>
      </c>
      <c r="C106" s="38" t="s">
        <v>46</v>
      </c>
      <c r="D106" s="42">
        <f>TRUNC(6021,-1)</f>
        <v>6020</v>
      </c>
      <c r="E106" s="63">
        <f t="shared" si="3"/>
        <v>19900</v>
      </c>
    </row>
    <row r="107" spans="1:7" x14ac:dyDescent="0.3">
      <c r="A107" s="2">
        <v>9</v>
      </c>
      <c r="C107" s="38" t="s">
        <v>135</v>
      </c>
      <c r="D107" s="42">
        <v>0</v>
      </c>
      <c r="E107" s="63">
        <f t="shared" si="3"/>
        <v>0</v>
      </c>
    </row>
    <row r="108" spans="1:7" x14ac:dyDescent="0.3">
      <c r="A108" s="2">
        <v>10</v>
      </c>
      <c r="C108" s="38" t="s">
        <v>117</v>
      </c>
      <c r="D108" s="42">
        <v>0</v>
      </c>
      <c r="E108" s="63">
        <f t="shared" si="3"/>
        <v>0</v>
      </c>
    </row>
    <row r="109" spans="1:7" x14ac:dyDescent="0.3">
      <c r="A109" s="2">
        <v>11</v>
      </c>
      <c r="C109" s="38" t="s">
        <v>120</v>
      </c>
      <c r="D109" s="42">
        <v>0</v>
      </c>
      <c r="E109" s="63">
        <f t="shared" si="3"/>
        <v>0</v>
      </c>
    </row>
    <row r="110" spans="1:7" x14ac:dyDescent="0.3">
      <c r="A110" s="2">
        <v>12</v>
      </c>
      <c r="C110" s="38" t="s">
        <v>125</v>
      </c>
      <c r="D110" s="42">
        <v>0</v>
      </c>
      <c r="E110" s="63">
        <f t="shared" si="3"/>
        <v>0</v>
      </c>
    </row>
    <row r="111" spans="1:7" x14ac:dyDescent="0.3">
      <c r="A111" s="2">
        <v>13</v>
      </c>
      <c r="C111" s="38" t="s">
        <v>127</v>
      </c>
      <c r="D111" s="42">
        <v>0</v>
      </c>
      <c r="E111" s="63">
        <f t="shared" si="3"/>
        <v>0</v>
      </c>
    </row>
    <row r="112" spans="1:7" x14ac:dyDescent="0.3">
      <c r="A112" s="2">
        <v>14</v>
      </c>
      <c r="C112" s="38" t="s">
        <v>129</v>
      </c>
      <c r="D112" s="42">
        <v>0</v>
      </c>
      <c r="E112" s="63">
        <f t="shared" si="3"/>
        <v>0</v>
      </c>
    </row>
    <row r="113" spans="1:7" x14ac:dyDescent="0.3">
      <c r="A113" s="2">
        <v>15</v>
      </c>
      <c r="C113" s="38" t="s">
        <v>132</v>
      </c>
      <c r="D113" s="42">
        <v>0</v>
      </c>
      <c r="E113" s="63">
        <f t="shared" si="3"/>
        <v>0</v>
      </c>
    </row>
    <row r="114" spans="1:7" x14ac:dyDescent="0.3">
      <c r="A114" s="2">
        <v>16</v>
      </c>
      <c r="C114" s="38" t="s">
        <v>118</v>
      </c>
      <c r="D114" s="42">
        <v>0</v>
      </c>
      <c r="E114" s="63">
        <f t="shared" si="3"/>
        <v>0</v>
      </c>
    </row>
    <row r="115" spans="1:7" x14ac:dyDescent="0.3">
      <c r="A115" s="2">
        <v>17</v>
      </c>
      <c r="C115" s="38" t="s">
        <v>130</v>
      </c>
      <c r="D115" s="42">
        <f>TRUNC(4355,-1)</f>
        <v>4350</v>
      </c>
      <c r="E115" s="63">
        <f t="shared" si="3"/>
        <v>14380</v>
      </c>
    </row>
    <row r="116" spans="1:7" x14ac:dyDescent="0.3">
      <c r="A116" s="2">
        <v>18</v>
      </c>
      <c r="C116" s="38" t="s">
        <v>116</v>
      </c>
      <c r="D116" s="42">
        <v>0</v>
      </c>
      <c r="E116" s="63">
        <f t="shared" si="3"/>
        <v>0</v>
      </c>
    </row>
    <row r="117" spans="1:7" x14ac:dyDescent="0.3">
      <c r="A117" s="2">
        <v>19</v>
      </c>
      <c r="C117" s="38" t="s">
        <v>115</v>
      </c>
      <c r="D117" s="42">
        <f>TRUNC(5602,-1)</f>
        <v>5600</v>
      </c>
      <c r="E117" s="63">
        <f t="shared" si="3"/>
        <v>18510</v>
      </c>
      <c r="F117" s="2" t="s">
        <v>258</v>
      </c>
    </row>
    <row r="118" spans="1:7" x14ac:dyDescent="0.3">
      <c r="A118" s="2">
        <v>20</v>
      </c>
      <c r="C118" s="38" t="s">
        <v>148</v>
      </c>
      <c r="D118" s="42">
        <f>TRUNC(98714,-1)</f>
        <v>98710</v>
      </c>
      <c r="E118" s="63">
        <f t="shared" si="3"/>
        <v>326310</v>
      </c>
    </row>
    <row r="119" spans="1:7" ht="17.25" thickBot="1" x14ac:dyDescent="0.35">
      <c r="A119" s="2">
        <v>21</v>
      </c>
      <c r="C119" s="38" t="s">
        <v>47</v>
      </c>
      <c r="D119" s="43">
        <f>TRUNC(4622,-1)</f>
        <v>4620</v>
      </c>
      <c r="E119" s="64">
        <f t="shared" si="3"/>
        <v>15270</v>
      </c>
      <c r="F119" s="2" t="s">
        <v>259</v>
      </c>
    </row>
    <row r="120" spans="1:7" x14ac:dyDescent="0.3">
      <c r="A120" s="2">
        <v>22</v>
      </c>
      <c r="C120" s="27" t="s">
        <v>112</v>
      </c>
      <c r="D120" s="39">
        <f>SUM(D99:D119)</f>
        <v>205740</v>
      </c>
      <c r="E120" s="39">
        <f>SUM(E99:E119)</f>
        <v>680090</v>
      </c>
    </row>
    <row r="121" spans="1:7" s="56" customFormat="1" x14ac:dyDescent="0.3">
      <c r="C121" s="57"/>
      <c r="D121" s="57"/>
      <c r="E121" s="57"/>
      <c r="G121" s="55"/>
    </row>
    <row r="122" spans="1:7" s="56" customFormat="1" ht="17.25" thickBot="1" x14ac:dyDescent="0.35">
      <c r="B122" s="56" t="s">
        <v>245</v>
      </c>
      <c r="C122" s="56" t="s">
        <v>243</v>
      </c>
      <c r="D122" s="57" t="s">
        <v>235</v>
      </c>
      <c r="E122" s="57" t="s">
        <v>153</v>
      </c>
      <c r="G122" s="55"/>
    </row>
    <row r="123" spans="1:7" x14ac:dyDescent="0.3">
      <c r="A123" s="2">
        <v>1</v>
      </c>
      <c r="C123" s="38" t="s">
        <v>55</v>
      </c>
      <c r="D123" s="40">
        <f>TRUNC(8033,-1)</f>
        <v>8030</v>
      </c>
      <c r="E123" s="62">
        <f t="shared" ref="E123:E133" si="4">TRUNC(+D123*3.3058,-1)</f>
        <v>26540</v>
      </c>
      <c r="F123" s="2" t="s">
        <v>260</v>
      </c>
    </row>
    <row r="124" spans="1:7" x14ac:dyDescent="0.3">
      <c r="A124" s="2">
        <v>2</v>
      </c>
      <c r="C124" s="38" t="s">
        <v>124</v>
      </c>
      <c r="D124" s="42">
        <v>0</v>
      </c>
      <c r="E124" s="63">
        <f t="shared" si="4"/>
        <v>0</v>
      </c>
    </row>
    <row r="125" spans="1:7" x14ac:dyDescent="0.3">
      <c r="A125" s="2">
        <v>3</v>
      </c>
      <c r="C125" s="38" t="s">
        <v>151</v>
      </c>
      <c r="D125" s="42">
        <f>TRUNC(1591,-1)</f>
        <v>1590</v>
      </c>
      <c r="E125" s="63">
        <f t="shared" si="4"/>
        <v>5250</v>
      </c>
    </row>
    <row r="126" spans="1:7" x14ac:dyDescent="0.3">
      <c r="A126" s="2">
        <v>4</v>
      </c>
      <c r="C126" s="38" t="s">
        <v>138</v>
      </c>
      <c r="D126" s="42">
        <f>TRUNC(6957,-1)</f>
        <v>6950</v>
      </c>
      <c r="E126" s="63">
        <f t="shared" si="4"/>
        <v>22970</v>
      </c>
    </row>
    <row r="127" spans="1:7" x14ac:dyDescent="0.3">
      <c r="A127" s="2">
        <v>5</v>
      </c>
      <c r="C127" s="38" t="s">
        <v>53</v>
      </c>
      <c r="D127" s="42">
        <f>TRUNC(739,-1)</f>
        <v>730</v>
      </c>
      <c r="E127" s="63">
        <f t="shared" si="4"/>
        <v>2410</v>
      </c>
    </row>
    <row r="128" spans="1:7" x14ac:dyDescent="0.3">
      <c r="A128" s="2">
        <v>6</v>
      </c>
      <c r="C128" s="38" t="s">
        <v>56</v>
      </c>
      <c r="D128" s="42">
        <f>TRUNC(589,-1)</f>
        <v>580</v>
      </c>
      <c r="E128" s="63">
        <f t="shared" si="4"/>
        <v>1910</v>
      </c>
    </row>
    <row r="129" spans="1:7" x14ac:dyDescent="0.3">
      <c r="A129" s="2">
        <v>7</v>
      </c>
      <c r="C129" s="38" t="s">
        <v>46</v>
      </c>
      <c r="D129" s="42">
        <f>TRUNC(6211,-1)</f>
        <v>6210</v>
      </c>
      <c r="E129" s="63">
        <f t="shared" si="4"/>
        <v>20520</v>
      </c>
    </row>
    <row r="130" spans="1:7" x14ac:dyDescent="0.3">
      <c r="A130" s="2">
        <v>8</v>
      </c>
      <c r="C130" s="38" t="s">
        <v>126</v>
      </c>
      <c r="D130" s="42">
        <v>0</v>
      </c>
      <c r="E130" s="63">
        <f t="shared" si="4"/>
        <v>0</v>
      </c>
    </row>
    <row r="131" spans="1:7" ht="17.25" customHeight="1" x14ac:dyDescent="0.3">
      <c r="A131" s="2">
        <v>9</v>
      </c>
      <c r="C131" s="38" t="s">
        <v>54</v>
      </c>
      <c r="D131" s="42">
        <f>TRUNC(12442,-1)</f>
        <v>12440</v>
      </c>
      <c r="E131" s="63">
        <f t="shared" si="4"/>
        <v>41120</v>
      </c>
    </row>
    <row r="132" spans="1:7" x14ac:dyDescent="0.3">
      <c r="A132" s="2">
        <v>10</v>
      </c>
      <c r="C132" s="38" t="s">
        <v>148</v>
      </c>
      <c r="D132" s="42">
        <f>TRUNC(10457,-1)</f>
        <v>10450</v>
      </c>
      <c r="E132" s="63">
        <f t="shared" si="4"/>
        <v>34540</v>
      </c>
    </row>
    <row r="133" spans="1:7" ht="18" thickBot="1" x14ac:dyDescent="0.35">
      <c r="A133" s="2">
        <v>11</v>
      </c>
      <c r="C133" s="38" t="s">
        <v>47</v>
      </c>
      <c r="D133" s="43">
        <f>TRUNC(2866+81,-1)</f>
        <v>2940</v>
      </c>
      <c r="E133" s="64">
        <f t="shared" si="4"/>
        <v>9710</v>
      </c>
      <c r="F133" s="54" t="s">
        <v>261</v>
      </c>
    </row>
    <row r="134" spans="1:7" x14ac:dyDescent="0.3">
      <c r="A134" s="2">
        <v>12</v>
      </c>
      <c r="C134" s="27" t="s">
        <v>112</v>
      </c>
      <c r="D134" s="39">
        <f>SUM(D123:D133)</f>
        <v>49920</v>
      </c>
      <c r="E134" s="39">
        <f>SUM(E123:E133)</f>
        <v>164970</v>
      </c>
    </row>
    <row r="135" spans="1:7" s="56" customFormat="1" x14ac:dyDescent="0.3">
      <c r="C135" s="57"/>
      <c r="D135" s="57"/>
      <c r="E135" s="57"/>
      <c r="G135" s="55"/>
    </row>
    <row r="136" spans="1:7" s="56" customFormat="1" ht="17.25" thickBot="1" x14ac:dyDescent="0.35">
      <c r="B136" s="56" t="s">
        <v>246</v>
      </c>
      <c r="C136" s="56" t="s">
        <v>243</v>
      </c>
      <c r="D136" s="57" t="s">
        <v>235</v>
      </c>
      <c r="E136" s="57" t="s">
        <v>153</v>
      </c>
      <c r="G136" s="55"/>
    </row>
    <row r="137" spans="1:7" x14ac:dyDescent="0.3">
      <c r="A137" s="2">
        <v>1</v>
      </c>
      <c r="C137" s="38" t="s">
        <v>131</v>
      </c>
      <c r="D137" s="40">
        <v>0</v>
      </c>
      <c r="E137" s="62">
        <f t="shared" ref="E137:E146" si="5">TRUNC(+D137*3.3058,-1)</f>
        <v>0</v>
      </c>
    </row>
    <row r="138" spans="1:7" x14ac:dyDescent="0.3">
      <c r="A138" s="2">
        <v>2</v>
      </c>
      <c r="C138" s="38" t="s">
        <v>47</v>
      </c>
      <c r="D138" s="42">
        <f>TRUNC(2385+4021+15530,-1)</f>
        <v>21930</v>
      </c>
      <c r="E138" s="63">
        <f t="shared" si="5"/>
        <v>72490</v>
      </c>
      <c r="F138" s="2" t="s">
        <v>262</v>
      </c>
    </row>
    <row r="139" spans="1:7" x14ac:dyDescent="0.3">
      <c r="A139" s="2">
        <v>3</v>
      </c>
      <c r="C139" s="38" t="s">
        <v>60</v>
      </c>
      <c r="D139" s="42">
        <f>TRUNC(226,-1)</f>
        <v>220</v>
      </c>
      <c r="E139" s="63">
        <f t="shared" si="5"/>
        <v>720</v>
      </c>
    </row>
    <row r="140" spans="1:7" x14ac:dyDescent="0.3">
      <c r="A140" s="2">
        <v>4</v>
      </c>
      <c r="C140" s="38" t="s">
        <v>61</v>
      </c>
      <c r="D140" s="42">
        <f>TRUNC(1256,-1)</f>
        <v>1250</v>
      </c>
      <c r="E140" s="63">
        <f t="shared" si="5"/>
        <v>4130</v>
      </c>
    </row>
    <row r="141" spans="1:7" x14ac:dyDescent="0.3">
      <c r="A141" s="2">
        <v>5</v>
      </c>
      <c r="C141" s="38" t="s">
        <v>57</v>
      </c>
      <c r="D141" s="42">
        <f>TRUNC(491,-1)</f>
        <v>490</v>
      </c>
      <c r="E141" s="63">
        <f t="shared" si="5"/>
        <v>1610</v>
      </c>
    </row>
    <row r="142" spans="1:7" x14ac:dyDescent="0.3">
      <c r="A142" s="2">
        <v>6</v>
      </c>
      <c r="C142" s="38" t="s">
        <v>59</v>
      </c>
      <c r="D142" s="42">
        <f>TRUNC(17398,-1)</f>
        <v>17390</v>
      </c>
      <c r="E142" s="63">
        <f t="shared" si="5"/>
        <v>57480</v>
      </c>
    </row>
    <row r="143" spans="1:7" x14ac:dyDescent="0.3">
      <c r="A143" s="2">
        <v>7</v>
      </c>
      <c r="C143" s="38" t="s">
        <v>58</v>
      </c>
      <c r="D143" s="42">
        <f>TRUNC(6579,-1)</f>
        <v>6570</v>
      </c>
      <c r="E143" s="63">
        <f t="shared" si="5"/>
        <v>21710</v>
      </c>
    </row>
    <row r="144" spans="1:7" x14ac:dyDescent="0.3">
      <c r="A144" s="2">
        <v>8</v>
      </c>
      <c r="C144" s="38" t="s">
        <v>62</v>
      </c>
      <c r="D144" s="42">
        <f>TRUNC(6459,-1)</f>
        <v>6450</v>
      </c>
      <c r="E144" s="63">
        <f t="shared" si="5"/>
        <v>21320</v>
      </c>
    </row>
    <row r="145" spans="1:7" x14ac:dyDescent="0.3">
      <c r="A145" s="2">
        <v>9</v>
      </c>
      <c r="C145" s="38" t="s">
        <v>63</v>
      </c>
      <c r="D145" s="42">
        <f>TRUNC(6144,-1)</f>
        <v>6140</v>
      </c>
      <c r="E145" s="63">
        <f t="shared" si="5"/>
        <v>20290</v>
      </c>
    </row>
    <row r="146" spans="1:7" ht="17.25" thickBot="1" x14ac:dyDescent="0.35">
      <c r="A146" s="2">
        <v>10</v>
      </c>
      <c r="C146" s="38" t="s">
        <v>148</v>
      </c>
      <c r="D146" s="43">
        <v>0</v>
      </c>
      <c r="E146" s="64">
        <f t="shared" si="5"/>
        <v>0</v>
      </c>
    </row>
    <row r="147" spans="1:7" x14ac:dyDescent="0.3">
      <c r="A147" s="2">
        <v>11</v>
      </c>
      <c r="C147" s="27" t="s">
        <v>112</v>
      </c>
      <c r="D147" s="39">
        <f>SUM(D137:D146)</f>
        <v>60440</v>
      </c>
      <c r="E147" s="39">
        <f>SUM(E137:E146)</f>
        <v>199750</v>
      </c>
    </row>
    <row r="148" spans="1:7" s="56" customFormat="1" x14ac:dyDescent="0.3">
      <c r="C148" s="57"/>
      <c r="D148" s="57"/>
      <c r="E148" s="57"/>
      <c r="G148" s="55"/>
    </row>
    <row r="149" spans="1:7" s="56" customFormat="1" ht="17.25" thickBot="1" x14ac:dyDescent="0.35">
      <c r="B149" s="56" t="s">
        <v>247</v>
      </c>
      <c r="C149" s="56" t="s">
        <v>243</v>
      </c>
      <c r="D149" s="57" t="s">
        <v>235</v>
      </c>
      <c r="E149" s="57" t="s">
        <v>153</v>
      </c>
      <c r="G149" s="55"/>
    </row>
    <row r="150" spans="1:7" x14ac:dyDescent="0.3">
      <c r="A150" s="2">
        <v>1</v>
      </c>
      <c r="C150" s="38" t="s">
        <v>48</v>
      </c>
      <c r="D150" s="40">
        <f>TRUNC(8729,-1)</f>
        <v>8720</v>
      </c>
      <c r="E150" s="62">
        <f>TRUNC(+D150*3.3058,-1)</f>
        <v>28820</v>
      </c>
      <c r="F150" s="2" t="s">
        <v>263</v>
      </c>
    </row>
    <row r="151" spans="1:7" x14ac:dyDescent="0.3">
      <c r="A151" s="2">
        <v>2</v>
      </c>
      <c r="C151" s="38" t="s">
        <v>49</v>
      </c>
      <c r="D151" s="42">
        <f>TRUNC(6873,-1)</f>
        <v>6870</v>
      </c>
      <c r="E151" s="63">
        <f>TRUNC(+D151*3.3058,-1)</f>
        <v>22710</v>
      </c>
    </row>
    <row r="152" spans="1:7" x14ac:dyDescent="0.3">
      <c r="A152" s="2">
        <v>3</v>
      </c>
      <c r="C152" s="38" t="s">
        <v>50</v>
      </c>
      <c r="D152" s="42">
        <f>TRUNC(10079,-1)</f>
        <v>10070</v>
      </c>
      <c r="E152" s="63">
        <f>TRUNC(+D152*3.3058,-1)</f>
        <v>33280</v>
      </c>
    </row>
    <row r="153" spans="1:7" x14ac:dyDescent="0.3">
      <c r="A153" s="2">
        <v>4</v>
      </c>
      <c r="C153" s="38" t="s">
        <v>47</v>
      </c>
      <c r="D153" s="42">
        <f>TRUNC(173,-1)</f>
        <v>170</v>
      </c>
      <c r="E153" s="63">
        <f>TRUNC(+D153*3.3058,-1)</f>
        <v>560</v>
      </c>
      <c r="F153" s="2" t="s">
        <v>259</v>
      </c>
    </row>
    <row r="154" spans="1:7" ht="17.25" thickBot="1" x14ac:dyDescent="0.35">
      <c r="A154" s="2">
        <v>5</v>
      </c>
      <c r="C154" s="38" t="s">
        <v>148</v>
      </c>
      <c r="D154" s="43">
        <v>0</v>
      </c>
      <c r="E154" s="64">
        <f>TRUNC(+D154*3.3058,-1)</f>
        <v>0</v>
      </c>
    </row>
    <row r="155" spans="1:7" x14ac:dyDescent="0.3">
      <c r="A155" s="2">
        <v>6</v>
      </c>
      <c r="C155" s="27" t="s">
        <v>112</v>
      </c>
      <c r="D155" s="39">
        <f>SUM(D150:D154)</f>
        <v>25830</v>
      </c>
      <c r="E155" s="39">
        <f>SUM(E150:E154)</f>
        <v>85370</v>
      </c>
    </row>
    <row r="156" spans="1:7" s="56" customFormat="1" x14ac:dyDescent="0.3">
      <c r="C156" s="57"/>
      <c r="D156" s="57"/>
      <c r="E156" s="57"/>
      <c r="G156" s="55"/>
    </row>
    <row r="157" spans="1:7" s="56" customFormat="1" ht="17.25" thickBot="1" x14ac:dyDescent="0.35">
      <c r="B157" s="56" t="s">
        <v>248</v>
      </c>
      <c r="C157" s="56" t="s">
        <v>243</v>
      </c>
      <c r="D157" s="57" t="s">
        <v>235</v>
      </c>
      <c r="E157" s="57" t="s">
        <v>153</v>
      </c>
      <c r="G157" s="55"/>
    </row>
    <row r="158" spans="1:7" x14ac:dyDescent="0.3">
      <c r="A158" s="2">
        <v>1</v>
      </c>
      <c r="C158" s="38" t="s">
        <v>51</v>
      </c>
      <c r="D158" s="40">
        <v>0</v>
      </c>
      <c r="E158" s="62">
        <f>TRUNC(+D158*3.3058,-1)</f>
        <v>0</v>
      </c>
    </row>
    <row r="159" spans="1:7" x14ac:dyDescent="0.3">
      <c r="A159" s="2">
        <v>2</v>
      </c>
      <c r="C159" s="38" t="s">
        <v>52</v>
      </c>
      <c r="D159" s="42">
        <v>0</v>
      </c>
      <c r="E159" s="63">
        <f>TRUNC(+D159*3.3058,-1)</f>
        <v>0</v>
      </c>
    </row>
    <row r="160" spans="1:7" x14ac:dyDescent="0.3">
      <c r="A160" s="2">
        <v>3</v>
      </c>
      <c r="C160" s="38" t="s">
        <v>47</v>
      </c>
      <c r="D160" s="42">
        <v>0</v>
      </c>
      <c r="E160" s="63">
        <f>TRUNC(+D160*3.3058,-1)</f>
        <v>0</v>
      </c>
    </row>
    <row r="161" spans="1:5" ht="17.25" thickBot="1" x14ac:dyDescent="0.35">
      <c r="A161" s="2">
        <v>4</v>
      </c>
      <c r="C161" s="38" t="s">
        <v>148</v>
      </c>
      <c r="D161" s="43">
        <v>0</v>
      </c>
      <c r="E161" s="64">
        <f>TRUNC(+D161*3.3058,-1)</f>
        <v>0</v>
      </c>
    </row>
    <row r="162" spans="1:5" x14ac:dyDescent="0.3">
      <c r="A162" s="2">
        <v>5</v>
      </c>
      <c r="C162" s="27" t="s">
        <v>112</v>
      </c>
      <c r="D162" s="39">
        <f>SUM(D158:D161)</f>
        <v>0</v>
      </c>
      <c r="E162" s="39">
        <f>SUM(E158:E161)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2020-12-08T04:29:49Z</dcterms:modified>
</cp:coreProperties>
</file>