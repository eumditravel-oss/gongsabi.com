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8" i="4"/>
  <c r="D157" i="4"/>
  <c r="D153" i="4"/>
  <c r="D151" i="4"/>
  <c r="D150" i="4"/>
  <c r="D144" i="4"/>
  <c r="D143" i="4"/>
  <c r="D142" i="4"/>
  <c r="D140" i="4"/>
  <c r="D139" i="4"/>
  <c r="D138" i="4"/>
  <c r="D137" i="4"/>
  <c r="D132" i="4"/>
  <c r="D131" i="4"/>
  <c r="D130" i="4"/>
  <c r="D128" i="4"/>
  <c r="D127" i="4"/>
  <c r="D125" i="4"/>
  <c r="D124" i="4"/>
  <c r="D122" i="4"/>
  <c r="D118" i="4"/>
  <c r="D117" i="4"/>
  <c r="D114" i="4"/>
  <c r="D105" i="4"/>
  <c r="D104" i="4"/>
  <c r="D103" i="4"/>
  <c r="D102" i="4"/>
  <c r="D101" i="4"/>
  <c r="D99" i="4"/>
  <c r="D98" i="4"/>
  <c r="D94" i="4"/>
  <c r="D93" i="4"/>
  <c r="D92" i="4"/>
  <c r="D91" i="4"/>
  <c r="D89" i="4"/>
  <c r="D73" i="4"/>
  <c r="D71" i="4"/>
  <c r="D69" i="4"/>
  <c r="D63" i="4"/>
  <c r="D59" i="4"/>
  <c r="D58" i="4"/>
  <c r="D52" i="4"/>
  <c r="D50" i="4"/>
  <c r="D48" i="4"/>
  <c r="D46" i="4"/>
  <c r="D45" i="4"/>
  <c r="D44" i="4"/>
  <c r="D43" i="4"/>
  <c r="D42" i="4"/>
  <c r="D41" i="4"/>
  <c r="D40" i="4"/>
  <c r="D1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<sst xmlns="http://schemas.openxmlformats.org/spreadsheetml/2006/main" count="392" uniqueCount="266">
  <si>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</si>
  <si>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</si>
  <si>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</si>
  <si>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</si>
  <si>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</si>
  <si>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</si>
  <si>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</si>
  <si>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</si>
  <si>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</si>
  <si>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</si>
  <si>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</si>
  <si>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</si>
  <si>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</si>
  <si>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</si>
  <si>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</si>
  <si>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</si>
  <si>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</si>
  <si>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</si>
  <si>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</si>
  <si>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</si>
  <si>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</si>
  <si>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</si>
  <si>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</si>
  <si>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</si>
  <si>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</si>
  <si>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</si>
  <si>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</si>
  <si>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</si>
  <si>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</si>
  <si>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</si>
  <si>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</si>
  <si>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</si>
  <si>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</si>
  <si>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</si>
  <si>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</si>
  <si>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</si>
  <si>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</si>
  <si>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</si>
  <si>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</si>
  <si>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</si>
  <si>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</si>
  <si>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</si>
  <si>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</si>
  <si>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</si>
  <si>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</si>
  <si>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</si>
  <si>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</si>
  <si>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</si>
  <si>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</si>
  <si>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</si>
  <si>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</si>
  <si>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</si>
  <si>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</si>
  <si>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</si>
  <si>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</si>
  <si>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</si>
  <si>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</si>
  <si>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</si>
  <si>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</si>
  <si>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</si>
  <si>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</si>
  <si>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</si>
  <si>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</si>
  <si>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</si>
  <si>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</si>
  <si>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</si>
  <si>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</si>
  <si>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</si>
  <si>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</si>
  <si>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</si>
  <si>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</si>
  <si>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</si>
  <si>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</si>
  <si>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</si>
  <si>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</si>
  <si>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</si>
  <si>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</si>
  <si>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</si>
  <si>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</si>
  <si>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</si>
  <si>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</si>
  <si>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</si>
  <si>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</si>
  <si>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</si>
  <si>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</si>
  <si>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</si>
  <si>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</si>
  <si>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</si>
  <si>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</si>
  <si>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</si>
  <si>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</si>
  <si>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</si>
  <si>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</si>
  <si>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</si>
  <si>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</si>
  <si>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</si>
  <si>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</si>
  <si>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</si>
  <si>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</si>
  <si>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</si>
  <si>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</si>
  <si>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</si>
  <si>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</si>
  <si>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</si>
  <si>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</si>
  <si>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</si>
  <si>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</si>
  <si>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</si>
  <si>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</si>
  <si>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</si>
  <si>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</si>
  <si>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</si>
  <si>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</si>
  <si>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</si>
  <si>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</si>
  <si>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</si>
  <si>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</si>
  <si>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</si>
  <si>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</si>
  <si>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</si>
  <si>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</si>
  <si>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</si>
  <si>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</si>
  <si>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</si>
  <si>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</si>
  <si>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</si>
  <si>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</si>
  <si>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</si>
  <si>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</si>
  <si>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</si>
  <si>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</si>
  <si>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</si>
  <si>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</si>
  <si>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</si>
  <si>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</si>
  <si>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</si>
  <si>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</si>
  <si>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</si>
  <si>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</si>
  <si>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</si>
  <si>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</si>
  <si>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</si>
  <si>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</si>
  <si>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</si>
  <si>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</si>
  <si>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</si>
  <si>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</si>
  <si>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</si>
  <si>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</si>
  <si>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</si>
  <si>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</si>
  <si>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</si>
  <si>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</si>
  <si>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</si>
  <si>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</si>
  <si>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</si>
  <si>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</si>
  <si>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</si>
  <si>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</si>
  <si>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</si>
  <si>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</si>
  <si>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</si>
  <si>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</si>
  <si>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</si>
  <si>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</si>
  <si>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</si>
  <si>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</si>
  <si>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</si>
  <si>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</si>
  <si>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</si>
  <si>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</si>
  <si>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</si>
  <si>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</si>
  <si>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</si>
  <si>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</si>
  <si>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</si>
  <si>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</si>
  <si>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</si>
  <si>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</si>
  <si>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</si>
  <si>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</si>
  <si>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</si>
  <si>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</si>
  <si>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</si>
  <si>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</si>
  <si>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</si>
  <si>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</si>
  <si>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</si>
  <si>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</si>
  <si>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</si>
  <si>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</si>
  <si>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</si>
  <si>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</si>
  <si>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</si>
  <si>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</si>
  <si>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</si>
  <si>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</si>
  <si>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</si>
  <si>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</si>
  <si>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</si>
  <si>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</si>
  <si>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</si>
  <si>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</si>
  <si>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</si>
  <si>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</si>
  <si>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</si>
  <si>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</si>
  <si>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</si>
  <si>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</si>
  <si>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</si>
  <si>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</si>
  <si>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</si>
  <si>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</si>
  <si>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</si>
  <si>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</si>
  <si>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</si>
  <si>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</si>
  <si>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</si>
  <si>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</si>
  <si>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</si>
  <si>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</si>
  <si>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</si>
  <si>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</si>
  <si>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</si>
  <si>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</si>
  <si>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</si>
  <si>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</si>
  <si>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</si>
  <si>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</si>
  <si>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</si>
  <si>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</si>
  <si>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</si>
  <si>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</si>
  <si>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</si>
  <si>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</si>
  <si>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</si>
  <si>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</si>
  <si>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</si>
  <si>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</si>
  <si>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</si>
  <si>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</si>
  <si>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</si>
  <si>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</si>
  <si>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</si>
  <si>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</si>
  <si>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</si>
  <si>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</si>
  <si>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</si>
  <si>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</si>
  <si>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</si>
  <si>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가칭)기업초등학교2 신축공사</t>
    <phoneticPr fontId="2" type="noConversion"/>
  </si>
  <si>
    <t>강원도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</si>
  <si>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</si>
  <si>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</si>
  <si>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</si>
  <si>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폐기물처리비, 골재비및운반비, 작업부산물, 품질시험비, 기타공사</t>
    <phoneticPr fontId="2" type="noConversion"/>
  </si>
  <si>
    <t>난방배관공사</t>
    <phoneticPr fontId="2" type="noConversion"/>
  </si>
  <si>
    <t>원격검침 설비공사, 기타공사</t>
    <phoneticPr fontId="2" type="noConversion"/>
  </si>
  <si>
    <t>CATV 및 TV 설비공사</t>
    <phoneticPr fontId="2" type="noConversion"/>
  </si>
  <si>
    <t>CCTV설비공사</t>
    <phoneticPr fontId="2" type="noConversion"/>
  </si>
  <si>
    <t>펌프실배관공사</t>
    <phoneticPr fontId="2" type="noConversion"/>
  </si>
  <si>
    <t>상수도공사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</si>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</sst>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15079.24</v>
      </c>
      <c r="D7" s="36">
        <f>+C7/3.3058</f>
        <v>4561.4495734769189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967060</v>
      </c>
      <c r="E25" s="59">
        <f t="shared" si="0"/>
        <v>3196900</v>
      </c>
    </row>
    <row r="26" spans="1:5" x14ac:dyDescent="0.3">
      <c r="B26" s="2">
        <v>3</v>
      </c>
      <c r="C26" s="35" t="s">
        <v>95</v>
      </c>
      <c r="D26" s="45">
        <f>+D66</f>
        <v>36520</v>
      </c>
      <c r="E26" s="59">
        <f t="shared" si="0"/>
        <v>120720</v>
      </c>
    </row>
    <row r="27" spans="1:5" x14ac:dyDescent="0.3">
      <c r="B27" s="2">
        <v>4</v>
      </c>
      <c r="C27" s="35" t="s">
        <v>96</v>
      </c>
      <c r="D27" s="45">
        <f>+D95</f>
        <v>131600</v>
      </c>
      <c r="E27" s="59">
        <f t="shared" si="0"/>
        <v>435040</v>
      </c>
    </row>
    <row r="28" spans="1:5" x14ac:dyDescent="0.3">
      <c r="B28" s="2">
        <v>5</v>
      </c>
      <c r="C28" s="35" t="s">
        <v>97</v>
      </c>
      <c r="D28" s="45">
        <f>+D119</f>
        <v>239780</v>
      </c>
      <c r="E28" s="59">
        <f t="shared" si="0"/>
        <v>792660</v>
      </c>
    </row>
    <row r="29" spans="1:5" x14ac:dyDescent="0.3">
      <c r="B29" s="2">
        <v>6</v>
      </c>
      <c r="C29" s="35" t="s">
        <v>98</v>
      </c>
      <c r="D29" s="45">
        <f>+D133</f>
        <v>110280</v>
      </c>
      <c r="E29" s="59">
        <f t="shared" si="0"/>
        <v>364560</v>
      </c>
    </row>
    <row r="30" spans="1:5" x14ac:dyDescent="0.3">
      <c r="B30" s="2">
        <v>7</v>
      </c>
      <c r="C30" s="35" t="s">
        <v>99</v>
      </c>
      <c r="D30" s="45">
        <f>+D146</f>
        <v>46090</v>
      </c>
      <c r="E30" s="59">
        <f t="shared" si="0"/>
        <v>152360</v>
      </c>
    </row>
    <row r="31" spans="1:5" x14ac:dyDescent="0.3">
      <c r="B31" s="2">
        <v>8</v>
      </c>
      <c r="C31" s="35" t="s">
        <v>100</v>
      </c>
      <c r="D31" s="45">
        <f>+D154</f>
        <v>101200</v>
      </c>
      <c r="E31" s="59">
        <f t="shared" si="0"/>
        <v>334540</v>
      </c>
    </row>
    <row r="32" spans="1:5" x14ac:dyDescent="0.3">
      <c r="B32" s="2">
        <v>9</v>
      </c>
      <c r="C32" s="35" t="s">
        <v>101</v>
      </c>
      <c r="D32" s="45">
        <f>+D161</f>
        <v>26540</v>
      </c>
      <c r="E32" s="59">
        <f t="shared" si="0"/>
        <v>87730</v>
      </c>
    </row>
    <row r="33" spans="1:7" x14ac:dyDescent="0.3">
      <c r="B33" s="2">
        <v>10</v>
      </c>
      <c r="C33" s="35" t="s">
        <v>155</v>
      </c>
      <c r="D33" s="53">
        <f>TRUNC(SUM(D24:D32)*0.275,-1)</f>
        <v>456240</v>
      </c>
      <c r="E33" s="60">
        <f t="shared" si="0"/>
        <v>1508230</v>
      </c>
    </row>
    <row r="34" spans="1:7" x14ac:dyDescent="0.3">
      <c r="C34" s="35" t="s">
        <v>112</v>
      </c>
      <c r="D34" s="44">
        <f>SUM(D24:D33)</f>
        <v>2115310</v>
      </c>
      <c r="E34" s="44">
        <f>SUM(E24:E33)</f>
        <v>6992740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TRUNC(59871,-1)</f>
        <v>59870</v>
      </c>
      <c r="E40" s="62">
        <f t="shared" ref="E40:E59" si="1">TRUNC(+D40*3.3058,-1)</f>
        <v>197910</v>
      </c>
    </row>
    <row r="41" spans="1:7" x14ac:dyDescent="0.3">
      <c r="A41" s="2">
        <v>2</v>
      </c>
      <c r="C41" s="38" t="s">
        <v>13</v>
      </c>
      <c r="D41" s="42">
        <f>TRUNC(171254,-1)</f>
        <v>171250</v>
      </c>
      <c r="E41" s="63">
        <f t="shared" si="1"/>
        <v>566110</v>
      </c>
    </row>
    <row r="42" spans="1:7" x14ac:dyDescent="0.3">
      <c r="A42" s="2">
        <v>3</v>
      </c>
      <c r="C42" s="38" t="s">
        <v>14</v>
      </c>
      <c r="D42" s="42">
        <f>TRUNC(7087,-1)</f>
        <v>7080</v>
      </c>
      <c r="E42" s="63">
        <f t="shared" si="1"/>
        <v>23400</v>
      </c>
    </row>
    <row r="43" spans="1:7" x14ac:dyDescent="0.3">
      <c r="A43" s="2">
        <v>4</v>
      </c>
      <c r="C43" s="38" t="s">
        <v>16</v>
      </c>
      <c r="D43" s="42">
        <f>TRUNC(12765,-1)</f>
        <v>12760</v>
      </c>
      <c r="E43" s="63">
        <f t="shared" si="1"/>
        <v>42180</v>
      </c>
    </row>
    <row r="44" spans="1:7" x14ac:dyDescent="0.3">
      <c r="A44" s="2">
        <v>5</v>
      </c>
      <c r="C44" s="38" t="s">
        <v>17</v>
      </c>
      <c r="D44" s="42">
        <f>TRUNC(28068,-1)</f>
        <v>28060</v>
      </c>
      <c r="E44" s="63">
        <f t="shared" si="1"/>
        <v>92760</v>
      </c>
    </row>
    <row r="45" spans="1:7" x14ac:dyDescent="0.3">
      <c r="A45" s="2">
        <v>6</v>
      </c>
      <c r="C45" s="38" t="s">
        <v>18</v>
      </c>
      <c r="D45" s="42">
        <f>TRUNC(9437,-1)</f>
        <v>9430</v>
      </c>
      <c r="E45" s="63">
        <f t="shared" si="1"/>
        <v>31170</v>
      </c>
    </row>
    <row r="46" spans="1:7" x14ac:dyDescent="0.3">
      <c r="A46" s="2">
        <v>7</v>
      </c>
      <c r="C46" s="38" t="s">
        <v>19</v>
      </c>
      <c r="D46" s="42">
        <f>TRUNC(48536,-1)</f>
        <v>48530</v>
      </c>
      <c r="E46" s="63">
        <f t="shared" si="1"/>
        <v>160430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TRUNC(48271,-1)</f>
        <v>48270</v>
      </c>
      <c r="E48" s="63">
        <f t="shared" si="1"/>
        <v>159570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v>18970</v>
      </c>
      <c r="E49" s="63">
        <f t="shared" si="1"/>
        <v>62710</v>
      </c>
    </row>
    <row r="50" spans="1:7" x14ac:dyDescent="0.3">
      <c r="A50" s="2">
        <v>11</v>
      </c>
      <c r="C50" s="38" t="s">
        <v>156</v>
      </c>
      <c r="D50" s="42">
        <f>TRUNC(52467,-1)</f>
        <v>52460</v>
      </c>
      <c r="E50" s="63">
        <f t="shared" si="1"/>
        <v>173420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TRUNC(6941,-1)</f>
        <v>6940</v>
      </c>
      <c r="E52" s="63">
        <f t="shared" si="1"/>
        <v>22940</v>
      </c>
    </row>
    <row r="53" spans="1:7" x14ac:dyDescent="0.3">
      <c r="A53" s="2">
        <v>14</v>
      </c>
      <c r="C53" s="38" t="s">
        <v>25</v>
      </c>
      <c r="D53" s="42">
        <v>124650</v>
      </c>
      <c r="E53" s="63">
        <f t="shared" si="1"/>
        <v>412060</v>
      </c>
      <c r="F53" s="2" t="s">
        <v>254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TRUNC(10832+96+6981-909+3920+13751,-1)</f>
        <v>34670</v>
      </c>
      <c r="E58" s="63">
        <f t="shared" si="1"/>
        <v>114610</v>
      </c>
      <c r="F58" s="2" t="s">
        <v>255</v>
      </c>
    </row>
    <row r="59" spans="1:7" ht="17.25" thickBot="1" x14ac:dyDescent="0.35">
      <c r="A59" s="2">
        <v>20</v>
      </c>
      <c r="C59" s="38" t="s">
        <v>149</v>
      </c>
      <c r="D59" s="43">
        <f>TRUNC(344123,-1)</f>
        <v>344120</v>
      </c>
      <c r="E59" s="64">
        <f t="shared" si="1"/>
        <v>1137590</v>
      </c>
    </row>
    <row r="60" spans="1:7" x14ac:dyDescent="0.3">
      <c r="A60" s="2">
        <v>21</v>
      </c>
      <c r="C60" s="27" t="s">
        <v>112</v>
      </c>
      <c r="D60" s="39">
        <f>SUM(D40:D59)</f>
        <v>967060</v>
      </c>
      <c r="E60" s="39">
        <f>SUM(E40:E59)</f>
        <v>3196860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TRUNC(36522,-1)</f>
        <v>36520</v>
      </c>
      <c r="E63" s="62">
        <f>TRUNC(+D63*3.3058,-1)</f>
        <v>120720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36520</v>
      </c>
      <c r="E66" s="65">
        <f>SUM(E63:E65)</f>
        <v>120720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TRUNC(6726,-1)</f>
        <v>6720</v>
      </c>
      <c r="E69" s="62">
        <f t="shared" ref="E69:E94" si="2">TRUNC(+D69*3.3058,-1)</f>
        <v>22210</v>
      </c>
    </row>
    <row r="70" spans="1:7" ht="16.5" customHeight="1" x14ac:dyDescent="0.3">
      <c r="A70" s="2">
        <v>2</v>
      </c>
      <c r="C70" s="38" t="s">
        <v>31</v>
      </c>
      <c r="D70" s="42">
        <v>2700</v>
      </c>
      <c r="E70" s="63">
        <f t="shared" si="2"/>
        <v>8920</v>
      </c>
    </row>
    <row r="71" spans="1:7" x14ac:dyDescent="0.3">
      <c r="A71" s="2">
        <v>3</v>
      </c>
      <c r="C71" s="38" t="s">
        <v>32</v>
      </c>
      <c r="D71" s="42">
        <f>TRUNC(6785,-1)</f>
        <v>6780</v>
      </c>
      <c r="E71" s="63">
        <f t="shared" si="2"/>
        <v>22410</v>
      </c>
    </row>
    <row r="72" spans="1:7" x14ac:dyDescent="0.3">
      <c r="A72" s="2">
        <v>4</v>
      </c>
      <c r="C72" s="38" t="s">
        <v>33</v>
      </c>
      <c r="D72" s="42">
        <v>5460</v>
      </c>
      <c r="E72" s="63">
        <f t="shared" si="2"/>
        <v>18040</v>
      </c>
    </row>
    <row r="73" spans="1:7" x14ac:dyDescent="0.3">
      <c r="A73" s="2">
        <v>5</v>
      </c>
      <c r="C73" s="38" t="s">
        <v>34</v>
      </c>
      <c r="D73" s="42">
        <f>TRUNC(10092,-1)</f>
        <v>10090</v>
      </c>
      <c r="E73" s="63">
        <f t="shared" si="2"/>
        <v>33350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TRUNC(5359,-1)</f>
        <v>5350</v>
      </c>
      <c r="E89" s="63">
        <f t="shared" si="2"/>
        <v>17680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TRUNC(7225,-1)</f>
        <v>7220</v>
      </c>
      <c r="E91" s="63">
        <f t="shared" si="2"/>
        <v>23860</v>
      </c>
    </row>
    <row r="92" spans="1:7" x14ac:dyDescent="0.3">
      <c r="A92" s="2">
        <v>24</v>
      </c>
      <c r="C92" s="38" t="s">
        <v>38</v>
      </c>
      <c r="D92" s="42">
        <f>TRUNC(7836,-1)</f>
        <v>7830</v>
      </c>
      <c r="E92" s="63">
        <f t="shared" si="2"/>
        <v>25880</v>
      </c>
    </row>
    <row r="93" spans="1:7" x14ac:dyDescent="0.3">
      <c r="A93" s="2">
        <v>25</v>
      </c>
      <c r="C93" s="38" t="s">
        <v>149</v>
      </c>
      <c r="D93" s="42">
        <f>TRUNC(79039,-1)</f>
        <v>79030</v>
      </c>
      <c r="E93" s="63">
        <f t="shared" si="2"/>
        <v>261250</v>
      </c>
    </row>
    <row r="94" spans="1:7" ht="17.25" thickBot="1" x14ac:dyDescent="0.35">
      <c r="A94" s="2">
        <v>26</v>
      </c>
      <c r="C94" s="38" t="s">
        <v>47</v>
      </c>
      <c r="D94" s="43">
        <f>TRUNC(428,-1)</f>
        <v>420</v>
      </c>
      <c r="E94" s="64">
        <f t="shared" si="2"/>
        <v>1380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131600</v>
      </c>
      <c r="E95" s="39">
        <f>SUM(E69:E94)</f>
        <v>434980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TRUNC(14744,-1)</f>
        <v>14740</v>
      </c>
      <c r="E98" s="62">
        <f t="shared" ref="E98:E118" si="3">TRUNC(+D98*3.3058,-1)</f>
        <v>48720</v>
      </c>
    </row>
    <row r="99" spans="1:7" x14ac:dyDescent="0.3">
      <c r="A99" s="2">
        <v>2</v>
      </c>
      <c r="C99" s="38" t="s">
        <v>40</v>
      </c>
      <c r="D99" s="42">
        <f>TRUNC(11283,-1)</f>
        <v>11280</v>
      </c>
      <c r="E99" s="63">
        <f t="shared" si="3"/>
        <v>37280</v>
      </c>
    </row>
    <row r="100" spans="1:7" x14ac:dyDescent="0.3">
      <c r="A100" s="2">
        <v>3</v>
      </c>
      <c r="C100" s="38" t="s">
        <v>41</v>
      </c>
      <c r="D100" s="42">
        <v>33830</v>
      </c>
      <c r="E100" s="63">
        <f t="shared" si="3"/>
        <v>111830</v>
      </c>
    </row>
    <row r="101" spans="1:7" x14ac:dyDescent="0.3">
      <c r="A101" s="2">
        <v>4</v>
      </c>
      <c r="C101" s="38" t="s">
        <v>42</v>
      </c>
      <c r="D101" s="42">
        <f>TRUNC(1024,-1)</f>
        <v>1020</v>
      </c>
      <c r="E101" s="63">
        <f t="shared" si="3"/>
        <v>3370</v>
      </c>
    </row>
    <row r="102" spans="1:7" x14ac:dyDescent="0.3">
      <c r="A102" s="2">
        <v>5</v>
      </c>
      <c r="C102" s="38" t="s">
        <v>43</v>
      </c>
      <c r="D102" s="42">
        <f>TRUNC(14671,-1)</f>
        <v>14670</v>
      </c>
      <c r="E102" s="63">
        <f t="shared" si="3"/>
        <v>48490</v>
      </c>
    </row>
    <row r="103" spans="1:7" x14ac:dyDescent="0.3">
      <c r="A103" s="2">
        <v>6</v>
      </c>
      <c r="C103" s="38" t="s">
        <v>44</v>
      </c>
      <c r="D103" s="42">
        <f>TRUNC(9228,-1)</f>
        <v>9220</v>
      </c>
      <c r="E103" s="63">
        <f t="shared" si="3"/>
        <v>30470</v>
      </c>
    </row>
    <row r="104" spans="1:7" x14ac:dyDescent="0.3">
      <c r="A104" s="2">
        <v>7</v>
      </c>
      <c r="C104" s="38" t="s">
        <v>45</v>
      </c>
      <c r="D104" s="42">
        <f>TRUNC(2674,-1)</f>
        <v>2670</v>
      </c>
      <c r="E104" s="63">
        <f t="shared" si="3"/>
        <v>8820</v>
      </c>
    </row>
    <row r="105" spans="1:7" x14ac:dyDescent="0.3">
      <c r="A105" s="2">
        <v>8</v>
      </c>
      <c r="C105" s="38" t="s">
        <v>46</v>
      </c>
      <c r="D105" s="42">
        <f>TRUNC(7302,-1)</f>
        <v>7300</v>
      </c>
      <c r="E105" s="63">
        <f t="shared" si="3"/>
        <v>24130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TRUNC(1525,-1)</f>
        <v>1520</v>
      </c>
      <c r="E114" s="63">
        <f t="shared" si="3"/>
        <v>5020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2090</v>
      </c>
      <c r="E116" s="63">
        <f t="shared" si="3"/>
        <v>6900</v>
      </c>
    </row>
    <row r="117" spans="1:7" x14ac:dyDescent="0.3">
      <c r="A117" s="2">
        <v>20</v>
      </c>
      <c r="C117" s="38" t="s">
        <v>149</v>
      </c>
      <c r="D117" s="42">
        <f>TRUNC(136246,-1)</f>
        <v>136240</v>
      </c>
      <c r="E117" s="63">
        <f t="shared" si="3"/>
        <v>450380</v>
      </c>
    </row>
    <row r="118" spans="1:7" ht="17.25" thickBot="1" x14ac:dyDescent="0.35">
      <c r="A118" s="2">
        <v>21</v>
      </c>
      <c r="C118" s="38" t="s">
        <v>47</v>
      </c>
      <c r="D118" s="43">
        <f>TRUNC(2514+2693,-1)</f>
        <v>5200</v>
      </c>
      <c r="E118" s="64">
        <f t="shared" si="3"/>
        <v>17190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239780</v>
      </c>
      <c r="E119" s="39">
        <f>SUM(E98:E118)</f>
        <v>792600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TRUNC(3144,-1)</f>
        <v>3140</v>
      </c>
      <c r="E122" s="62">
        <f t="shared" ref="E122:E132" si="4">TRUNC(+D122*3.3058,-1)</f>
        <v>10380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TRUNC(2874,-1)</f>
        <v>2870</v>
      </c>
      <c r="E124" s="63">
        <f t="shared" si="4"/>
        <v>9480</v>
      </c>
    </row>
    <row r="125" spans="1:7" x14ac:dyDescent="0.3">
      <c r="A125" s="2">
        <v>4</v>
      </c>
      <c r="C125" s="38" t="s">
        <v>138</v>
      </c>
      <c r="D125" s="42">
        <f>TRUNC(9773,-1)</f>
        <v>9770</v>
      </c>
      <c r="E125" s="63">
        <f t="shared" si="4"/>
        <v>32290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TRUNC(989,-1)</f>
        <v>980</v>
      </c>
      <c r="E127" s="63">
        <f t="shared" si="4"/>
        <v>3230</v>
      </c>
    </row>
    <row r="128" spans="1:7" x14ac:dyDescent="0.3">
      <c r="A128" s="2">
        <v>7</v>
      </c>
      <c r="C128" s="38" t="s">
        <v>46</v>
      </c>
      <c r="D128" s="42">
        <f>TRUNC(5576,-1)</f>
        <v>5570</v>
      </c>
      <c r="E128" s="63">
        <f t="shared" si="4"/>
        <v>18410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TRUNC(10361,-1)</f>
        <v>10360</v>
      </c>
      <c r="E130" s="63">
        <f t="shared" si="4"/>
        <v>34240</v>
      </c>
    </row>
    <row r="131" spans="1:7" x14ac:dyDescent="0.3">
      <c r="A131" s="2">
        <v>10</v>
      </c>
      <c r="C131" s="38" t="s">
        <v>149</v>
      </c>
      <c r="D131" s="42">
        <f>TRUNC(73862,-1)</f>
        <v>73860</v>
      </c>
      <c r="E131" s="63">
        <f t="shared" si="4"/>
        <v>244160</v>
      </c>
    </row>
    <row r="132" spans="1:7" ht="18" thickBot="1" x14ac:dyDescent="0.35">
      <c r="A132" s="2">
        <v>11</v>
      </c>
      <c r="C132" s="38" t="s">
        <v>47</v>
      </c>
      <c r="D132" s="43">
        <f>TRUNC(3734,-1)</f>
        <v>3730</v>
      </c>
      <c r="E132" s="64">
        <f t="shared" si="4"/>
        <v>12330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110280</v>
      </c>
      <c r="E133" s="39">
        <f>SUM(E122:E132)</f>
        <v>364520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TRUNC(3168,-1)</f>
        <v>3160</v>
      </c>
      <c r="E137" s="63">
        <f t="shared" si="5"/>
        <v>10440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f>TRUNC(875,-1)</f>
        <v>870</v>
      </c>
      <c r="E138" s="63">
        <f t="shared" si="5"/>
        <v>2870</v>
      </c>
    </row>
    <row r="139" spans="1:7" x14ac:dyDescent="0.3">
      <c r="A139" s="2">
        <v>4</v>
      </c>
      <c r="C139" s="38" t="s">
        <v>61</v>
      </c>
      <c r="D139" s="42">
        <f>TRUNC(1998,-1)</f>
        <v>1990</v>
      </c>
      <c r="E139" s="63">
        <f t="shared" si="5"/>
        <v>6570</v>
      </c>
    </row>
    <row r="140" spans="1:7" x14ac:dyDescent="0.3">
      <c r="A140" s="2">
        <v>5</v>
      </c>
      <c r="C140" s="38" t="s">
        <v>57</v>
      </c>
      <c r="D140" s="42">
        <f>TRUNC(1835,-1)</f>
        <v>1830</v>
      </c>
      <c r="E140" s="63">
        <f t="shared" si="5"/>
        <v>6040</v>
      </c>
    </row>
    <row r="141" spans="1:7" x14ac:dyDescent="0.3">
      <c r="A141" s="2">
        <v>6</v>
      </c>
      <c r="C141" s="38" t="s">
        <v>59</v>
      </c>
      <c r="D141" s="42">
        <v>10790</v>
      </c>
      <c r="E141" s="63">
        <f t="shared" si="5"/>
        <v>35660</v>
      </c>
    </row>
    <row r="142" spans="1:7" x14ac:dyDescent="0.3">
      <c r="A142" s="2">
        <v>7</v>
      </c>
      <c r="C142" s="38" t="s">
        <v>58</v>
      </c>
      <c r="D142" s="42">
        <f>TRUNC(4876,-1)</f>
        <v>4870</v>
      </c>
      <c r="E142" s="63">
        <f t="shared" si="5"/>
        <v>16090</v>
      </c>
    </row>
    <row r="143" spans="1:7" x14ac:dyDescent="0.3">
      <c r="A143" s="2">
        <v>8</v>
      </c>
      <c r="C143" s="38" t="s">
        <v>62</v>
      </c>
      <c r="D143" s="42">
        <f>TRUNC(5417,-1)</f>
        <v>5410</v>
      </c>
      <c r="E143" s="63">
        <f t="shared" si="5"/>
        <v>17880</v>
      </c>
    </row>
    <row r="144" spans="1:7" x14ac:dyDescent="0.3">
      <c r="A144" s="2">
        <v>9</v>
      </c>
      <c r="C144" s="38" t="s">
        <v>63</v>
      </c>
      <c r="D144" s="42">
        <f>TRUNC(17173,-1)</f>
        <v>17170</v>
      </c>
      <c r="E144" s="63">
        <f t="shared" si="5"/>
        <v>56760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46090</v>
      </c>
      <c r="E146" s="39">
        <f>SUM(E136:E145)</f>
        <v>152310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TRUNC(8479,-1)</f>
        <v>8470</v>
      </c>
      <c r="E150" s="63">
        <f>TRUNC(+D150*3.3058,-1)</f>
        <v>28000</v>
      </c>
    </row>
    <row r="151" spans="1:7" x14ac:dyDescent="0.3">
      <c r="A151" s="2">
        <v>3</v>
      </c>
      <c r="C151" s="38" t="s">
        <v>50</v>
      </c>
      <c r="D151" s="42">
        <f>TRUNC(43337,-1)</f>
        <v>43330</v>
      </c>
      <c r="E151" s="63">
        <f>TRUNC(+D151*3.3058,-1)</f>
        <v>143240</v>
      </c>
    </row>
    <row r="152" spans="1:7" x14ac:dyDescent="0.3">
      <c r="A152" s="2">
        <v>4</v>
      </c>
      <c r="C152" s="38" t="s">
        <v>47</v>
      </c>
      <c r="D152" s="42">
        <v>6620</v>
      </c>
      <c r="E152" s="63">
        <f>TRUNC(+D152*3.3058,-1)</f>
        <v>21880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f>TRUNC(42782,-1)</f>
        <v>42780</v>
      </c>
      <c r="E153" s="64">
        <f>TRUNC(+D153*3.3058,-1)</f>
        <v>141420</v>
      </c>
    </row>
    <row r="154" spans="1:7" x14ac:dyDescent="0.3">
      <c r="A154" s="2">
        <v>6</v>
      </c>
      <c r="C154" s="27" t="s">
        <v>112</v>
      </c>
      <c r="D154" s="39">
        <f>SUM(D149:D153)</f>
        <v>101200</v>
      </c>
      <c r="E154" s="39">
        <f>SUM(E149:E153)</f>
        <v>334540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TRUNC(13979,-1)</f>
        <v>13970</v>
      </c>
      <c r="E157" s="62">
        <f>TRUNC(+D157*3.3058,-1)</f>
        <v>46180</v>
      </c>
    </row>
    <row r="158" spans="1:7" x14ac:dyDescent="0.3">
      <c r="A158" s="2">
        <v>2</v>
      </c>
      <c r="C158" s="38" t="s">
        <v>52</v>
      </c>
      <c r="D158" s="42">
        <f>TRUNC(3924,-1)</f>
        <v>3920</v>
      </c>
      <c r="E158" s="63">
        <f>TRUNC(+D158*3.3058,-1)</f>
        <v>12950</v>
      </c>
    </row>
    <row r="159" spans="1:7" x14ac:dyDescent="0.3">
      <c r="A159" s="2">
        <v>3</v>
      </c>
      <c r="C159" s="38" t="s">
        <v>47</v>
      </c>
      <c r="D159" s="42">
        <f>451+3689</f>
        <v>4140</v>
      </c>
      <c r="E159" s="63">
        <f>TRUNC(+D159*3.3058,-1)</f>
        <v>13680</v>
      </c>
      <c r="F159" s="2" t="s">
        <v>262</v>
      </c>
    </row>
    <row r="160" spans="1:7" ht="17.25" thickBot="1" x14ac:dyDescent="0.35">
      <c r="A160" s="2">
        <v>4</v>
      </c>
      <c r="C160" s="38" t="s">
        <v>149</v>
      </c>
      <c r="D160" s="43">
        <f>TRUNC(4516,-1)</f>
        <v>4510</v>
      </c>
      <c r="E160" s="64">
        <f>TRUNC(+D160*3.3058,-1)</f>
        <v>14900</v>
      </c>
    </row>
    <row r="161" spans="1:5" x14ac:dyDescent="0.3">
      <c r="A161" s="2">
        <v>5</v>
      </c>
      <c r="C161" s="27" t="s">
        <v>112</v>
      </c>
      <c r="D161" s="39">
        <f>SUM(D157:D160)</f>
        <v>26540</v>
      </c>
      <c r="E161" s="39">
        <f>SUM(E157:E160)</f>
        <v>87710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2020-12-08T04:39:51Z</dcterms:modified>
</cp:coreProperties>
</file>