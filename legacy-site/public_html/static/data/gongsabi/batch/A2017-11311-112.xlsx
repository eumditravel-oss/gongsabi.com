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7" i="4"/>
  <c r="D126" i="4"/>
  <c r="D125" i="4"/>
  <c r="D124" i="4"/>
  <c r="D118" i="4"/>
  <c r="D117" i="4"/>
  <c r="D116" i="4"/>
  <c r="D114" i="4"/>
  <c r="D105" i="4"/>
  <c r="D102" i="4"/>
  <c r="D99" i="4"/>
  <c r="D98" i="4"/>
  <c r="D94" i="4"/>
  <c r="D93" i="4"/>
  <c r="D92" i="4"/>
  <c r="D89" i="4"/>
  <c r="D72" i="4"/>
  <c r="D70" i="4"/>
  <c r="D69" i="4"/>
  <c r="D65" i="4"/>
  <c r="D63" i="4"/>
  <c r="D58" i="4"/>
  <c r="D53" i="4"/>
  <c r="D50" i="4"/>
  <c r="D49" i="4"/>
  <c r="D48" i="4"/>
  <c r="D46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<sst xmlns="http://schemas.openxmlformats.org/spreadsheetml/2006/main" count="392" uniqueCount="269">
  <si>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</si>
  <si>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</si>
  <si>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</si>
  <si>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</si>
  <si>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</si>
  <si>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</si>
  <si>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</si>
  <si>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</si>
  <si>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</si>
  <si>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</si>
  <si>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</si>
  <si>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</si>
  <si>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</si>
  <si>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</si>
  <si>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</si>
  <si>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</si>
  <si>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</si>
  <si>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</si>
  <si>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</si>
  <si>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</si>
  <si>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</si>
  <si>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</si>
  <si>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</si>
  <si>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</si>
  <si>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</si>
  <si>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</si>
  <si>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</si>
  <si>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</si>
  <si>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</si>
  <si>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</si>
  <si>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</si>
  <si>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</si>
  <si>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</si>
  <si>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</si>
  <si>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</si>
  <si>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</si>
  <si>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</si>
  <si>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</si>
  <si>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</si>
  <si>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</si>
  <si>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</si>
  <si>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</si>
  <si>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</si>
  <si>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</si>
  <si>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</si>
  <si>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</si>
  <si>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</si>
  <si>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</si>
  <si>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</si>
  <si>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</si>
  <si>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</si>
  <si>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</si>
  <si>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</si>
  <si>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</si>
  <si>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</si>
  <si>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</si>
  <si>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</si>
  <si>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</si>
  <si>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</si>
  <si>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</si>
  <si>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</si>
  <si>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</si>
  <si>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</si>
  <si>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</si>
  <si>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</si>
  <si>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</si>
  <si>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</si>
  <si>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</si>
  <si>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</si>
  <si>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</si>
  <si>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</si>
  <si>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</si>
  <si>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</si>
  <si>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</si>
  <si>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</si>
  <si>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</si>
  <si>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</si>
  <si>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</si>
  <si>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</si>
  <si>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</si>
  <si>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</si>
  <si>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</si>
  <si>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</si>
  <si>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</si>
  <si>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</si>
  <si>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</si>
  <si>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</si>
  <si>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</si>
  <si>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</si>
  <si>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</si>
  <si>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</si>
  <si>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</si>
  <si>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</si>
  <si>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</si>
  <si>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</si>
  <si>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</si>
  <si>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</si>
  <si>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</si>
  <si>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</si>
  <si>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</si>
  <si>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</si>
  <si>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</si>
  <si>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</si>
  <si>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</si>
  <si>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</si>
  <si>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</si>
  <si>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</si>
  <si>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</si>
  <si>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</si>
  <si>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</si>
  <si>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</si>
  <si>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</si>
  <si>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</si>
  <si>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</si>
  <si>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</si>
  <si>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</si>
  <si>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</si>
  <si>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</si>
  <si>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</si>
  <si>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</si>
  <si>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</si>
  <si>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</si>
  <si>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</si>
  <si>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</si>
  <si>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</si>
  <si>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</si>
  <si>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</si>
  <si>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</si>
  <si>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</si>
  <si>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</si>
  <si>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</si>
  <si>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</si>
  <si>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</si>
  <si>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</si>
  <si>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</si>
  <si>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</si>
  <si>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</si>
  <si>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</si>
  <si>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</si>
  <si>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</si>
  <si>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</si>
  <si>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</si>
  <si>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</si>
  <si>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</si>
  <si>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</si>
  <si>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</si>
  <si>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</si>
  <si>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</si>
  <si>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</si>
  <si>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</si>
  <si>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</si>
  <si>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</si>
  <si>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</si>
  <si>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</si>
  <si>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</si>
  <si>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</si>
  <si>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</si>
  <si>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</si>
  <si>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</si>
  <si>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</si>
  <si>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</si>
  <si>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</si>
  <si>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</si>
  <si>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</si>
  <si>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</si>
  <si>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</si>
  <si>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</si>
  <si>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</si>
  <si>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</si>
  <si>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</si>
  <si>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</si>
  <si>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</si>
  <si>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</si>
  <si>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</si>
  <si>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</si>
  <si>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</si>
  <si>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</si>
  <si>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</si>
  <si>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</si>
  <si>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</si>
  <si>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</si>
  <si>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</si>
  <si>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</si>
  <si>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</si>
  <si>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</si>
  <si>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</si>
  <si>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</si>
  <si>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</si>
  <si>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</si>
  <si>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</si>
  <si>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</si>
  <si>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</si>
  <si>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</si>
  <si>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</si>
  <si>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</si>
  <si>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</si>
  <si>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</si>
  <si>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</si>
  <si>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</si>
  <si>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</si>
  <si>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</si>
  <si>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</si>
  <si>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</si>
  <si>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</si>
  <si>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</si>
  <si>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</si>
  <si>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</si>
  <si>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</si>
  <si>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</si>
  <si>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</si>
  <si>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</si>
  <si>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</si>
  <si>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</si>
  <si>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</si>
  <si>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</si>
  <si>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</si>
  <si>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</si>
  <si>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</si>
  <si>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</si>
  <si>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</si>
  <si>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</si>
  <si>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</si>
  <si>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</si>
  <si>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</si>
  <si>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</si>
  <si>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</si>
  <si>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</si>
  <si>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</si>
  <si>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</si>
  <si>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</si>
  <si>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</si>
  <si>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</si>
  <si>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</si>
  <si>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</si>
  <si>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</si>
  <si>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</si>
  <si>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</si>
  <si>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</si>
  <si>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</si>
  <si>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</si>
  <si>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</si>
  <si>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</si>
  <si>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</si>
  <si>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</si>
  <si>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</si>
  <si>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</si>
  <si>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</si>
  <si>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</si>
  <si>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</si>
  <si>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</si>
  <si>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</si>
  <si>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</si>
  <si>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</si>
  <si>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</si>
  <si>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</si>
  <si>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</si>
  <si>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(가칭)용전중학교 신축공사(계속공사)</t>
    <phoneticPr fontId="2" type="noConversion"/>
  </si>
  <si>
    <t>충청도</t>
  </si>
  <si>
    <t>기초공사, 골재비및운반비, 작업부산물, 품질시험비, 기타공사</t>
    <phoneticPr fontId="2" type="noConversion"/>
  </si>
  <si>
    <t>CCTV설비공사, 기타공사</t>
    <phoneticPr fontId="2" type="noConversion"/>
  </si>
  <si>
    <t>옥외소화배관공사, 기타공사</t>
    <phoneticPr fontId="2" type="noConversion"/>
  </si>
  <si>
    <t>상수도공사, 사급자재비,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</si>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</sst>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9055.1200000000008</v>
      </c>
      <c r="D7" s="36">
        <f>+C7/3.3058</f>
        <v>2739.161473773368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918010</v>
      </c>
      <c r="E25" s="59">
        <f t="shared" si="0"/>
        <v>3034750</v>
      </c>
    </row>
    <row r="26" spans="1:5" x14ac:dyDescent="0.3">
      <c r="B26" s="2">
        <v>3</v>
      </c>
      <c r="C26" s="35" t="s">
        <v>95</v>
      </c>
      <c r="D26" s="45">
        <f>+D66</f>
        <v>35100</v>
      </c>
      <c r="E26" s="59">
        <f t="shared" si="0"/>
        <v>116030</v>
      </c>
    </row>
    <row r="27" spans="1:5" x14ac:dyDescent="0.3">
      <c r="B27" s="2">
        <v>4</v>
      </c>
      <c r="C27" s="35" t="s">
        <v>96</v>
      </c>
      <c r="D27" s="45">
        <f>+D95</f>
        <v>141740</v>
      </c>
      <c r="E27" s="59">
        <f t="shared" si="0"/>
        <v>468560</v>
      </c>
    </row>
    <row r="28" spans="1:5" x14ac:dyDescent="0.3">
      <c r="B28" s="2">
        <v>5</v>
      </c>
      <c r="C28" s="35" t="s">
        <v>97</v>
      </c>
      <c r="D28" s="45">
        <f>+D119</f>
        <v>144090</v>
      </c>
      <c r="E28" s="59">
        <f t="shared" si="0"/>
        <v>476330</v>
      </c>
    </row>
    <row r="29" spans="1:5" x14ac:dyDescent="0.3">
      <c r="B29" s="2">
        <v>6</v>
      </c>
      <c r="C29" s="35" t="s">
        <v>98</v>
      </c>
      <c r="D29" s="45">
        <f>+D133</f>
        <v>47530</v>
      </c>
      <c r="E29" s="59">
        <f t="shared" si="0"/>
        <v>157120</v>
      </c>
    </row>
    <row r="30" spans="1:5" x14ac:dyDescent="0.3">
      <c r="B30" s="2">
        <v>7</v>
      </c>
      <c r="C30" s="35" t="s">
        <v>99</v>
      </c>
      <c r="D30" s="45">
        <f>+D146</f>
        <v>27460</v>
      </c>
      <c r="E30" s="59">
        <f t="shared" si="0"/>
        <v>90770</v>
      </c>
    </row>
    <row r="31" spans="1:5" x14ac:dyDescent="0.3">
      <c r="B31" s="2">
        <v>8</v>
      </c>
      <c r="C31" s="35" t="s">
        <v>100</v>
      </c>
      <c r="D31" s="45">
        <f>+D154</f>
        <v>79910</v>
      </c>
      <c r="E31" s="59">
        <f t="shared" si="0"/>
        <v>264160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383300</v>
      </c>
      <c r="E33" s="60">
        <f t="shared" si="0"/>
        <v>1267110</v>
      </c>
    </row>
    <row r="34" spans="1:7" x14ac:dyDescent="0.3">
      <c r="C34" s="35" t="s">
        <v>112</v>
      </c>
      <c r="D34" s="44">
        <f>SUM(D24:D33)</f>
        <v>1777140</v>
      </c>
      <c r="E34" s="44">
        <f>SUM(E24:E33)</f>
        <v>5874830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TRUNC(52868,-1)</f>
        <v>52860</v>
      </c>
      <c r="E40" s="62">
        <f t="shared" ref="E40:E59" si="1">TRUNC(+D40*3.3058,-1)</f>
        <v>174740</v>
      </c>
    </row>
    <row r="41" spans="1:7" x14ac:dyDescent="0.3">
      <c r="A41" s="2">
        <v>2</v>
      </c>
      <c r="C41" s="38" t="s">
        <v>13</v>
      </c>
      <c r="D41" s="42">
        <f>TRUNC(173274,-1)</f>
        <v>173270</v>
      </c>
      <c r="E41" s="63">
        <f t="shared" si="1"/>
        <v>572790</v>
      </c>
    </row>
    <row r="42" spans="1:7" x14ac:dyDescent="0.3">
      <c r="A42" s="2">
        <v>3</v>
      </c>
      <c r="C42" s="38" t="s">
        <v>14</v>
      </c>
      <c r="D42" s="42">
        <f>TRUNC(10193,-1)</f>
        <v>10190</v>
      </c>
      <c r="E42" s="63">
        <f t="shared" si="1"/>
        <v>33680</v>
      </c>
    </row>
    <row r="43" spans="1:7" x14ac:dyDescent="0.3">
      <c r="A43" s="2">
        <v>4</v>
      </c>
      <c r="C43" s="38" t="s">
        <v>16</v>
      </c>
      <c r="D43" s="42">
        <v>40130</v>
      </c>
      <c r="E43" s="63">
        <f t="shared" si="1"/>
        <v>132660</v>
      </c>
    </row>
    <row r="44" spans="1:7" x14ac:dyDescent="0.3">
      <c r="A44" s="2">
        <v>5</v>
      </c>
      <c r="C44" s="38" t="s">
        <v>17</v>
      </c>
      <c r="D44" s="42">
        <f>TRUNC(20292,-1)</f>
        <v>20290</v>
      </c>
      <c r="E44" s="63">
        <f t="shared" si="1"/>
        <v>67070</v>
      </c>
    </row>
    <row r="45" spans="1:7" x14ac:dyDescent="0.3">
      <c r="A45" s="2">
        <v>6</v>
      </c>
      <c r="C45" s="38" t="s">
        <v>18</v>
      </c>
      <c r="D45" s="42">
        <v>9870</v>
      </c>
      <c r="E45" s="63">
        <f t="shared" si="1"/>
        <v>32620</v>
      </c>
    </row>
    <row r="46" spans="1:7" x14ac:dyDescent="0.3">
      <c r="A46" s="2">
        <v>7</v>
      </c>
      <c r="C46" s="38" t="s">
        <v>19</v>
      </c>
      <c r="D46" s="42">
        <f>TRUNC(28423,-1)</f>
        <v>28420</v>
      </c>
      <c r="E46" s="63">
        <f t="shared" si="1"/>
        <v>93950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TRUNC(46059,-1)</f>
        <v>46050</v>
      </c>
      <c r="E48" s="63">
        <f t="shared" si="1"/>
        <v>152230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TRUNC(15952,-1)</f>
        <v>15950</v>
      </c>
      <c r="E49" s="63">
        <f t="shared" si="1"/>
        <v>52720</v>
      </c>
    </row>
    <row r="50" spans="1:7" x14ac:dyDescent="0.3">
      <c r="A50" s="2">
        <v>11</v>
      </c>
      <c r="C50" s="38" t="s">
        <v>155</v>
      </c>
      <c r="D50" s="42">
        <f>TRUNC(66747,-1)</f>
        <v>66740</v>
      </c>
      <c r="E50" s="63">
        <f t="shared" si="1"/>
        <v>220620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11880</v>
      </c>
      <c r="E52" s="63">
        <f t="shared" si="1"/>
        <v>39270</v>
      </c>
    </row>
    <row r="53" spans="1:7" x14ac:dyDescent="0.3">
      <c r="A53" s="2">
        <v>14</v>
      </c>
      <c r="C53" s="38" t="s">
        <v>25</v>
      </c>
      <c r="D53" s="42">
        <f>TRUNC(107655,-1)</f>
        <v>107650</v>
      </c>
      <c r="E53" s="63">
        <f t="shared" si="1"/>
        <v>355860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TRUNC(37914+2943-634+1413+19117,-1)</f>
        <v>60750</v>
      </c>
      <c r="E58" s="63">
        <f t="shared" si="1"/>
        <v>200820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v>273960</v>
      </c>
      <c r="E59" s="64">
        <f t="shared" si="1"/>
        <v>905650</v>
      </c>
    </row>
    <row r="60" spans="1:7" x14ac:dyDescent="0.3">
      <c r="A60" s="2">
        <v>21</v>
      </c>
      <c r="C60" s="27" t="s">
        <v>112</v>
      </c>
      <c r="D60" s="39">
        <f>SUM(D40:D59)</f>
        <v>918010</v>
      </c>
      <c r="E60" s="39">
        <f>SUM(E40:E59)</f>
        <v>3034680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TRUNC(19874,-1)</f>
        <v>19870</v>
      </c>
      <c r="E63" s="62">
        <f>TRUNC(+D63*3.3058,-1)</f>
        <v>65680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TRUNC(15232,-1)</f>
        <v>15230</v>
      </c>
      <c r="E65" s="64">
        <f>TRUNC(+D65*3.3058,-1)</f>
        <v>50340</v>
      </c>
    </row>
    <row r="66" spans="1:7" x14ac:dyDescent="0.3">
      <c r="A66" s="2">
        <v>4</v>
      </c>
      <c r="C66" s="27" t="s">
        <v>112</v>
      </c>
      <c r="D66" s="39">
        <f>SUM(D63:D65)</f>
        <v>35100</v>
      </c>
      <c r="E66" s="65">
        <f>SUM(E63:E65)</f>
        <v>116020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TRUNC(9922,-1)</f>
        <v>9920</v>
      </c>
      <c r="E69" s="62">
        <f t="shared" ref="E69:E94" si="2">TRUNC(+D69*3.3058,-1)</f>
        <v>32790</v>
      </c>
    </row>
    <row r="70" spans="1:7" ht="16.5" customHeight="1" x14ac:dyDescent="0.3">
      <c r="A70" s="2">
        <v>2</v>
      </c>
      <c r="C70" s="38" t="s">
        <v>31</v>
      </c>
      <c r="D70" s="42">
        <f>TRUNC(1078,-1)</f>
        <v>1070</v>
      </c>
      <c r="E70" s="63">
        <f t="shared" si="2"/>
        <v>3530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TRUNC(3247,-1)</f>
        <v>3240</v>
      </c>
      <c r="E72" s="63">
        <f t="shared" si="2"/>
        <v>10710</v>
      </c>
    </row>
    <row r="73" spans="1:7" x14ac:dyDescent="0.3">
      <c r="A73" s="2">
        <v>5</v>
      </c>
      <c r="C73" s="38" t="s">
        <v>34</v>
      </c>
      <c r="D73" s="42">
        <v>23590</v>
      </c>
      <c r="E73" s="63">
        <f t="shared" si="2"/>
        <v>77980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14300</v>
      </c>
      <c r="E76" s="63">
        <f t="shared" si="2"/>
        <v>47270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TRUNC(5283,-1)</f>
        <v>5280</v>
      </c>
      <c r="E89" s="63">
        <f t="shared" si="2"/>
        <v>17450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3990</v>
      </c>
      <c r="E91" s="63">
        <f t="shared" si="2"/>
        <v>13190</v>
      </c>
    </row>
    <row r="92" spans="1:7" x14ac:dyDescent="0.3">
      <c r="A92" s="2">
        <v>24</v>
      </c>
      <c r="C92" s="38" t="s">
        <v>38</v>
      </c>
      <c r="D92" s="42">
        <f>TRUNC(7471,-1)</f>
        <v>7470</v>
      </c>
      <c r="E92" s="63">
        <f t="shared" si="2"/>
        <v>24690</v>
      </c>
    </row>
    <row r="93" spans="1:7" x14ac:dyDescent="0.3">
      <c r="A93" s="2">
        <v>25</v>
      </c>
      <c r="C93" s="38" t="s">
        <v>148</v>
      </c>
      <c r="D93" s="42">
        <f>TRUNC(65247,-1)</f>
        <v>65240</v>
      </c>
      <c r="E93" s="63">
        <f t="shared" si="2"/>
        <v>215670</v>
      </c>
    </row>
    <row r="94" spans="1:7" ht="17.25" thickBot="1" x14ac:dyDescent="0.35">
      <c r="A94" s="2">
        <v>26</v>
      </c>
      <c r="C94" s="38" t="s">
        <v>47</v>
      </c>
      <c r="D94" s="43">
        <f>TRUNC(188+1118+6338,-1)</f>
        <v>7640</v>
      </c>
      <c r="E94" s="64">
        <f t="shared" si="2"/>
        <v>25250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141740</v>
      </c>
      <c r="E95" s="39">
        <f>SUM(E69:E94)</f>
        <v>468530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TRUNC(10194,-1)</f>
        <v>10190</v>
      </c>
      <c r="E98" s="62">
        <f t="shared" ref="E98:E118" si="3">TRUNC(+D98*3.3058,-1)</f>
        <v>33680</v>
      </c>
    </row>
    <row r="99" spans="1:7" x14ac:dyDescent="0.3">
      <c r="A99" s="2">
        <v>2</v>
      </c>
      <c r="C99" s="38" t="s">
        <v>40</v>
      </c>
      <c r="D99" s="42">
        <f>TRUNC(1364,-1)</f>
        <v>1360</v>
      </c>
      <c r="E99" s="63">
        <f t="shared" si="3"/>
        <v>4490</v>
      </c>
    </row>
    <row r="100" spans="1:7" x14ac:dyDescent="0.3">
      <c r="A100" s="2">
        <v>3</v>
      </c>
      <c r="C100" s="38" t="s">
        <v>41</v>
      </c>
      <c r="D100" s="42">
        <v>27190</v>
      </c>
      <c r="E100" s="63">
        <f t="shared" si="3"/>
        <v>89880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TRUNC(14442,-1)</f>
        <v>14440</v>
      </c>
      <c r="E102" s="63">
        <f t="shared" si="3"/>
        <v>47730</v>
      </c>
    </row>
    <row r="103" spans="1:7" x14ac:dyDescent="0.3">
      <c r="A103" s="2">
        <v>6</v>
      </c>
      <c r="C103" s="38" t="s">
        <v>44</v>
      </c>
      <c r="D103" s="42">
        <v>4050</v>
      </c>
      <c r="E103" s="63">
        <f t="shared" si="3"/>
        <v>13380</v>
      </c>
    </row>
    <row r="104" spans="1:7" x14ac:dyDescent="0.3">
      <c r="A104" s="2">
        <v>7</v>
      </c>
      <c r="C104" s="38" t="s">
        <v>45</v>
      </c>
      <c r="D104" s="42">
        <v>2470</v>
      </c>
      <c r="E104" s="63">
        <f t="shared" si="3"/>
        <v>8160</v>
      </c>
    </row>
    <row r="105" spans="1:7" x14ac:dyDescent="0.3">
      <c r="A105" s="2">
        <v>8</v>
      </c>
      <c r="C105" s="38" t="s">
        <v>46</v>
      </c>
      <c r="D105" s="42">
        <f>TRUNC(5957,-1)</f>
        <v>5950</v>
      </c>
      <c r="E105" s="63">
        <f t="shared" si="3"/>
        <v>19660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TRUNC(3567,-1)</f>
        <v>3560</v>
      </c>
      <c r="E114" s="63">
        <f t="shared" si="3"/>
        <v>11760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TRUNC(2584,-1)</f>
        <v>2580</v>
      </c>
      <c r="E116" s="63">
        <f t="shared" si="3"/>
        <v>8520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TRUNC(70347,-1)</f>
        <v>70340</v>
      </c>
      <c r="E117" s="63">
        <f t="shared" si="3"/>
        <v>232520</v>
      </c>
    </row>
    <row r="118" spans="1:7" ht="17.25" thickBot="1" x14ac:dyDescent="0.35">
      <c r="A118" s="2">
        <v>21</v>
      </c>
      <c r="C118" s="38" t="s">
        <v>47</v>
      </c>
      <c r="D118" s="43">
        <f>TRUNC(1962,-1)</f>
        <v>1960</v>
      </c>
      <c r="E118" s="64">
        <f t="shared" si="3"/>
        <v>6470</v>
      </c>
    </row>
    <row r="119" spans="1:7" x14ac:dyDescent="0.3">
      <c r="A119" s="2">
        <v>22</v>
      </c>
      <c r="C119" s="27" t="s">
        <v>112</v>
      </c>
      <c r="D119" s="39">
        <f>SUM(D98:D118)</f>
        <v>144090</v>
      </c>
      <c r="E119" s="39">
        <f>SUM(E98:E118)</f>
        <v>476250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1690</v>
      </c>
      <c r="E122" s="62">
        <f t="shared" ref="E122:E132" si="4">TRUNC(+D122*3.3058,-1)</f>
        <v>5580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TRUNC(731,-1)</f>
        <v>730</v>
      </c>
      <c r="E124" s="63">
        <f t="shared" si="4"/>
        <v>2410</v>
      </c>
    </row>
    <row r="125" spans="1:7" x14ac:dyDescent="0.3">
      <c r="A125" s="2">
        <v>4</v>
      </c>
      <c r="C125" s="38" t="s">
        <v>138</v>
      </c>
      <c r="D125" s="42">
        <f>TRUNC(6185,-1)</f>
        <v>6180</v>
      </c>
      <c r="E125" s="63">
        <f t="shared" si="4"/>
        <v>20420</v>
      </c>
    </row>
    <row r="126" spans="1:7" x14ac:dyDescent="0.3">
      <c r="A126" s="2">
        <v>5</v>
      </c>
      <c r="C126" s="38" t="s">
        <v>53</v>
      </c>
      <c r="D126" s="42">
        <f>TRUNC(758,-1)</f>
        <v>750</v>
      </c>
      <c r="E126" s="63">
        <f t="shared" si="4"/>
        <v>2470</v>
      </c>
    </row>
    <row r="127" spans="1:7" x14ac:dyDescent="0.3">
      <c r="A127" s="2">
        <v>6</v>
      </c>
      <c r="C127" s="38" t="s">
        <v>56</v>
      </c>
      <c r="D127" s="42">
        <f>TRUNC(4488,-1)</f>
        <v>4480</v>
      </c>
      <c r="E127" s="63">
        <f t="shared" si="4"/>
        <v>14800</v>
      </c>
    </row>
    <row r="128" spans="1:7" x14ac:dyDescent="0.3">
      <c r="A128" s="2">
        <v>7</v>
      </c>
      <c r="C128" s="38" t="s">
        <v>46</v>
      </c>
      <c r="D128" s="42">
        <v>3990</v>
      </c>
      <c r="E128" s="63">
        <f t="shared" si="4"/>
        <v>13190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TRUNC(14613,-1)</f>
        <v>14610</v>
      </c>
      <c r="E130" s="63">
        <f t="shared" si="4"/>
        <v>48290</v>
      </c>
    </row>
    <row r="131" spans="1:7" x14ac:dyDescent="0.3">
      <c r="A131" s="2">
        <v>10</v>
      </c>
      <c r="C131" s="38" t="s">
        <v>148</v>
      </c>
      <c r="D131" s="42">
        <f>TRUNC(12121,-1)</f>
        <v>12120</v>
      </c>
      <c r="E131" s="63">
        <f t="shared" si="4"/>
        <v>40060</v>
      </c>
    </row>
    <row r="132" spans="1:7" ht="18" thickBot="1" x14ac:dyDescent="0.35">
      <c r="A132" s="2">
        <v>11</v>
      </c>
      <c r="C132" s="38" t="s">
        <v>47</v>
      </c>
      <c r="D132" s="43">
        <f>TRUNC(2810+175,-1)</f>
        <v>2980</v>
      </c>
      <c r="E132" s="64">
        <f t="shared" si="4"/>
        <v>9850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47530</v>
      </c>
      <c r="E133" s="39">
        <f>SUM(E122:E132)</f>
        <v>157070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TRUNC(300+7194,-1)</f>
        <v>7490</v>
      </c>
      <c r="E137" s="63">
        <f t="shared" si="5"/>
        <v>24760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TRUNC(1375,-1)</f>
        <v>1370</v>
      </c>
      <c r="E139" s="63">
        <f t="shared" si="5"/>
        <v>4520</v>
      </c>
    </row>
    <row r="140" spans="1:7" x14ac:dyDescent="0.3">
      <c r="A140" s="2">
        <v>5</v>
      </c>
      <c r="C140" s="38" t="s">
        <v>57</v>
      </c>
      <c r="D140" s="42">
        <f>TRUNC(1255,-1)</f>
        <v>1250</v>
      </c>
      <c r="E140" s="63">
        <f t="shared" si="5"/>
        <v>4130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TRUNC(5914,-1)</f>
        <v>5910</v>
      </c>
      <c r="E142" s="63">
        <f t="shared" si="5"/>
        <v>19530</v>
      </c>
    </row>
    <row r="143" spans="1:7" x14ac:dyDescent="0.3">
      <c r="A143" s="2">
        <v>8</v>
      </c>
      <c r="C143" s="38" t="s">
        <v>62</v>
      </c>
      <c r="D143" s="42">
        <f>TRUNC(3576,-1)</f>
        <v>3570</v>
      </c>
      <c r="E143" s="63">
        <f t="shared" si="5"/>
        <v>11800</v>
      </c>
    </row>
    <row r="144" spans="1:7" x14ac:dyDescent="0.3">
      <c r="A144" s="2">
        <v>9</v>
      </c>
      <c r="C144" s="38" t="s">
        <v>63</v>
      </c>
      <c r="D144" s="42">
        <f>TRUNC(7877,-1)</f>
        <v>7870</v>
      </c>
      <c r="E144" s="63">
        <f t="shared" si="5"/>
        <v>26010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27460</v>
      </c>
      <c r="E146" s="39">
        <f>SUM(E136:E145)</f>
        <v>90750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TRUNC(12639+1119,-1)</f>
        <v>13750</v>
      </c>
      <c r="E149" s="62">
        <f>TRUNC(+D149*3.3058,-1)</f>
        <v>45450</v>
      </c>
    </row>
    <row r="150" spans="1:7" x14ac:dyDescent="0.3">
      <c r="A150" s="2">
        <v>2</v>
      </c>
      <c r="C150" s="38" t="s">
        <v>49</v>
      </c>
      <c r="D150" s="42">
        <f>TRUNC(3924,-1)</f>
        <v>3920</v>
      </c>
      <c r="E150" s="63">
        <f>TRUNC(+D150*3.3058,-1)</f>
        <v>12950</v>
      </c>
    </row>
    <row r="151" spans="1:7" x14ac:dyDescent="0.3">
      <c r="A151" s="2">
        <v>3</v>
      </c>
      <c r="C151" s="38" t="s">
        <v>50</v>
      </c>
      <c r="D151" s="42">
        <f>TRUNC(14284,-1)</f>
        <v>14280</v>
      </c>
      <c r="E151" s="63">
        <f>TRUNC(+D151*3.3058,-1)</f>
        <v>47200</v>
      </c>
    </row>
    <row r="152" spans="1:7" x14ac:dyDescent="0.3">
      <c r="A152" s="2">
        <v>4</v>
      </c>
      <c r="C152" s="38" t="s">
        <v>47</v>
      </c>
      <c r="D152" s="42">
        <f>TRUNC(43+14896+218+8948,-1)</f>
        <v>24100</v>
      </c>
      <c r="E152" s="63">
        <f>TRUNC(+D152*3.3058,-1)</f>
        <v>79660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TRUNC(23865,-1)</f>
        <v>23860</v>
      </c>
      <c r="E153" s="64">
        <f>TRUNC(+D153*3.3058,-1)</f>
        <v>78870</v>
      </c>
    </row>
    <row r="154" spans="1:7" x14ac:dyDescent="0.3">
      <c r="A154" s="2">
        <v>6</v>
      </c>
      <c r="C154" s="27" t="s">
        <v>112</v>
      </c>
      <c r="D154" s="39">
        <f>SUM(D149:D153)</f>
        <v>79910</v>
      </c>
      <c r="E154" s="39">
        <f>SUM(E149:E153)</f>
        <v>264130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2020-12-08T01:51:33Z</dcterms:modified>
</cp:coreProperties>
</file>