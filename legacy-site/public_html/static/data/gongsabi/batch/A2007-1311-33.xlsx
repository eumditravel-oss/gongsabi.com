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 l="1"/>
  <c r="D52" i="4"/>
  <c r="D51" i="4"/>
  <c r="D50" i="4"/>
  <c r="D49" i="4"/>
  <c r="D48" i="4"/>
  <c r="D55" i="4"/>
  <c r="D44" i="4"/>
  <c r="D47" i="4"/>
  <c r="D45" i="4"/>
  <c r="D46" i="4"/>
  <c r="D43" i="4"/>
  <c r="D41" i="4"/>
  <c r="D40" i="4"/>
  <c r="D72" i="4" l="1"/>
  <c r="D89" i="4"/>
  <c r="D73" i="4"/>
  <c r="D92" i="4"/>
  <c r="D69" i="4"/>
  <c r="D102" i="4"/>
  <c r="D100" i="4"/>
  <c r="D13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60" i="4"/>
  <c r="E95" i="4"/>
  <c r="E119" i="4"/>
  <c r="E133" i="4"/>
  <c r="D161" i="4"/>
  <c r="D154" i="4"/>
  <c r="D146" i="4"/>
  <c r="D133" i="4"/>
  <c r="D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<sst xmlns="http://schemas.openxmlformats.org/spreadsheetml/2006/main" count="385" uniqueCount="259">
  <si>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</si>
  <si>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</si>
  <si>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</si>
  <si>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</si>
  <si>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</si>
  <si>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</si>
  <si>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</si>
  <si>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</si>
  <si>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</si>
  <si>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</si>
  <si>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</si>
  <si>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</si>
  <si>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</si>
  <si>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</si>
  <si>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</si>
  <si>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</si>
  <si>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</si>
  <si>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</si>
  <si>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</si>
  <si>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</si>
  <si>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</si>
  <si>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</si>
  <si>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</si>
  <si>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</si>
  <si>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</si>
  <si>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</si>
  <si>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</si>
  <si>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</si>
  <si>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</si>
  <si>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</si>
  <si>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</si>
  <si>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</si>
  <si>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</si>
  <si>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</si>
  <si>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</si>
  <si>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</si>
  <si>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</si>
  <si>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</si>
  <si>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</si>
  <si>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</si>
  <si>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</si>
  <si>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</si>
  <si>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</si>
  <si>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</si>
  <si>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</si>
  <si>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</si>
  <si>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</si>
  <si>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</si>
  <si>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</si>
  <si>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</si>
  <si>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</si>
  <si>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</si>
  <si>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</si>
  <si>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</si>
  <si>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</si>
  <si>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</si>
  <si>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</si>
  <si>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</si>
  <si>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</si>
  <si>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</si>
  <si>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</si>
  <si>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</si>
  <si>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</si>
  <si>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</si>
  <si>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</si>
  <si>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</si>
  <si>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</si>
  <si>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</si>
  <si>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</si>
  <si>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</si>
  <si>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</si>
  <si>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</si>
  <si>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</si>
  <si>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</si>
  <si>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</si>
  <si>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</si>
  <si>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</si>
  <si>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</si>
  <si>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</si>
  <si>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</si>
  <si>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</si>
  <si>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</si>
  <si>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</si>
  <si>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</si>
  <si>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</si>
  <si>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</si>
  <si>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</si>
  <si>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</si>
  <si>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</si>
  <si>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</si>
  <si>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</si>
  <si>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</si>
  <si>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</si>
  <si>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</si>
  <si>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</si>
  <si>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</si>
  <si>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</si>
  <si>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</si>
  <si>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</si>
  <si>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</si>
  <si>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</si>
  <si>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</si>
  <si>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</si>
  <si>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</si>
  <si>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</si>
  <si>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</si>
  <si>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</si>
  <si>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</si>
  <si>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</si>
  <si>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</si>
  <si>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</si>
  <si>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</si>
  <si>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</si>
  <si>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</si>
  <si>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</si>
  <si>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</si>
  <si>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</si>
  <si>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</si>
  <si>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</si>
  <si>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</si>
  <si>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</si>
  <si>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</si>
  <si>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</si>
  <si>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</si>
  <si>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</si>
  <si>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</si>
  <si>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</si>
  <si>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</si>
  <si>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</si>
  <si>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</si>
  <si>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</si>
  <si>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</si>
  <si>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</si>
  <si>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</si>
  <si>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</si>
  <si>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</si>
  <si>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</si>
  <si>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</si>
  <si>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</si>
  <si>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</si>
  <si>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</si>
  <si>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</si>
  <si>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</si>
  <si>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</si>
  <si>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</si>
  <si>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</si>
  <si>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</si>
  <si>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</si>
  <si>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</si>
  <si>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</si>
  <si>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</si>
  <si>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</si>
  <si>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</si>
  <si>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</si>
  <si>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</si>
  <si>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</si>
  <si>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</si>
  <si>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</si>
  <si>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</si>
  <si>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</si>
  <si>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</si>
  <si>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</si>
  <si>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</si>
  <si>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</si>
  <si>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</si>
  <si>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</si>
  <si>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</si>
  <si>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</si>
  <si>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</si>
  <si>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</si>
  <si>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</si>
  <si>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</si>
  <si>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</si>
  <si>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</si>
  <si>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</si>
  <si>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</si>
  <si>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</si>
  <si>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</si>
  <si>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</si>
  <si>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</si>
  <si>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</si>
  <si>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</si>
  <si>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</si>
  <si>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</si>
  <si>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</si>
  <si>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</si>
  <si>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</si>
  <si>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</si>
  <si>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</si>
  <si>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</si>
  <si>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</si>
  <si>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</si>
  <si>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</si>
  <si>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</si>
  <si>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</si>
  <si>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</si>
  <si>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</si>
  <si>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</si>
  <si>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</si>
  <si>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</si>
  <si>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</si>
  <si>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</si>
  <si>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</si>
  <si>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</si>
  <si>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</si>
  <si>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</si>
  <si>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</si>
  <si>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</si>
  <si>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</si>
  <si>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</si>
  <si>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</si>
  <si>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</si>
  <si>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</si>
  <si>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</si>
  <si>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</si>
  <si>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</si>
  <si>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</si>
  <si>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</si>
  <si>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</si>
  <si>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</si>
  <si>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</si>
  <si>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</si>
  <si>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</si>
  <si>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</si>
  <si>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</si>
  <si>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</si>
  <si>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</si>
  <si>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</si>
  <si>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</si>
  <si>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</si>
  <si>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</si>
  <si>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</si>
  <si>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</si>
  <si>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</si>
  <si>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</si>
  <si>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</si>
  <si>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</si>
  <si>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</si>
  <si>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</si>
  <si>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</si>
  <si>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</si>
  <si>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</si>
  <si>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</si>
  <si>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</si>
  <si>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</si>
  <si>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</si>
  <si>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</si>
  <si>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</si>
  <si>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</si>
  <si>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서울마포경찰서 00지구대 신축(건축)공사</t>
    <phoneticPr fontId="2" type="noConversion"/>
  </si>
  <si>
    <t>업무</t>
  </si>
  <si>
    <t>서울</t>
  </si>
  <si>
    <t>정보통신설비공사</t>
    <phoneticPr fontId="2" type="noConversion"/>
  </si>
  <si>
    <t>전열 및 동력설비공사</t>
    <phoneticPr fontId="2" type="noConversion"/>
  </si>
  <si>
    <t>소화설비공사</t>
    <phoneticPr fontId="2" type="noConversion"/>
  </si>
  <si>
    <t>토및지정공사,기타공사,부대공사,조경공사,철거공사,골재비,작업부산물,운반비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</si>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</sst>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309</v>
      </c>
      <c r="D7" s="36">
        <f>+C7/3.3058</f>
        <v>93.472079375642807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711850</v>
      </c>
      <c r="E25" s="59">
        <f t="shared" si="0"/>
        <v>2353230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80640</v>
      </c>
      <c r="E27" s="59">
        <f t="shared" si="0"/>
        <v>266570</v>
      </c>
    </row>
    <row r="28" spans="1:5" x14ac:dyDescent="0.3">
      <c r="B28" s="2">
        <v>5</v>
      </c>
      <c r="C28" s="35" t="s">
        <v>97</v>
      </c>
      <c r="D28" s="45">
        <f>+D119</f>
        <v>77410</v>
      </c>
      <c r="E28" s="59">
        <f t="shared" si="0"/>
        <v>255900</v>
      </c>
    </row>
    <row r="29" spans="1:5" x14ac:dyDescent="0.3">
      <c r="B29" s="2">
        <v>6</v>
      </c>
      <c r="C29" s="35" t="s">
        <v>98</v>
      </c>
      <c r="D29" s="45">
        <f>+D133</f>
        <v>46580</v>
      </c>
      <c r="E29" s="59">
        <f t="shared" si="0"/>
        <v>153980</v>
      </c>
    </row>
    <row r="30" spans="1:5" x14ac:dyDescent="0.3">
      <c r="B30" s="2">
        <v>7</v>
      </c>
      <c r="C30" s="35" t="s">
        <v>99</v>
      </c>
      <c r="D30" s="45">
        <f>+D146</f>
        <v>1240</v>
      </c>
      <c r="E30" s="59">
        <f t="shared" si="0"/>
        <v>4090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252370</v>
      </c>
      <c r="E33" s="60">
        <f t="shared" si="0"/>
        <v>834280</v>
      </c>
    </row>
    <row r="34" spans="1:7" x14ac:dyDescent="0.3">
      <c r="C34" s="35" t="s">
        <v>112</v>
      </c>
      <c r="D34" s="44">
        <f>SUM(D24:D33)</f>
        <v>1170090</v>
      </c>
      <c r="E34" s="44">
        <f>SUM(E24:E33)</f>
        <v>3868050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TRUNC(54803.8884028385,-1)</f>
        <v>54800</v>
      </c>
      <c r="E40" s="62">
        <f t="shared" ref="E40:E59" si="1">TRUNC(+D40*3.3058,-1)</f>
        <v>181150</v>
      </c>
    </row>
    <row r="41" spans="1:7" x14ac:dyDescent="0.3">
      <c r="A41" s="2">
        <v>2</v>
      </c>
      <c r="C41" s="38" t="s">
        <v>13</v>
      </c>
      <c r="D41" s="42">
        <f>TRUNC(252967.975762289,-1)</f>
        <v>252960</v>
      </c>
      <c r="E41" s="63">
        <f t="shared" si="1"/>
        <v>836230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TRUNC(9774.73186222093,-1)</f>
        <v>9770</v>
      </c>
      <c r="E43" s="63">
        <f t="shared" si="1"/>
        <v>32290</v>
      </c>
    </row>
    <row r="44" spans="1:7" x14ac:dyDescent="0.3">
      <c r="A44" s="2">
        <v>5</v>
      </c>
      <c r="C44" s="38" t="s">
        <v>17</v>
      </c>
      <c r="D44" s="42">
        <f>TRUNC(18513.7487443699,-1)</f>
        <v>18510</v>
      </c>
      <c r="E44" s="63">
        <f t="shared" si="1"/>
        <v>61190</v>
      </c>
    </row>
    <row r="45" spans="1:7" x14ac:dyDescent="0.3">
      <c r="A45" s="2">
        <v>6</v>
      </c>
      <c r="C45" s="38" t="s">
        <v>18</v>
      </c>
      <c r="D45" s="42">
        <f>TRUNC(26710.5570137066,-1)</f>
        <v>26710</v>
      </c>
      <c r="E45" s="63">
        <f t="shared" si="1"/>
        <v>88290</v>
      </c>
    </row>
    <row r="46" spans="1:7" x14ac:dyDescent="0.3">
      <c r="A46" s="2">
        <v>7</v>
      </c>
      <c r="C46" s="38" t="s">
        <v>19</v>
      </c>
      <c r="D46" s="42">
        <f>TRUNC(55238.9617964421,-1)</f>
        <v>55230</v>
      </c>
      <c r="E46" s="63">
        <f t="shared" si="1"/>
        <v>182570</v>
      </c>
    </row>
    <row r="47" spans="1:7" x14ac:dyDescent="0.3">
      <c r="A47" s="2">
        <v>8</v>
      </c>
      <c r="C47" s="38" t="s">
        <v>20</v>
      </c>
      <c r="D47" s="42">
        <f>TRUNC(7373.70143546871,-1)</f>
        <v>7370</v>
      </c>
      <c r="E47" s="63">
        <f t="shared" si="1"/>
        <v>24360</v>
      </c>
    </row>
    <row r="48" spans="1:7" x14ac:dyDescent="0.3">
      <c r="A48" s="2">
        <v>9</v>
      </c>
      <c r="C48" s="38" t="s">
        <v>21</v>
      </c>
      <c r="D48" s="42">
        <f>TRUNC(41471.1156475811,-1)</f>
        <v>41470</v>
      </c>
      <c r="E48" s="63">
        <f t="shared" si="1"/>
        <v>137090</v>
      </c>
    </row>
    <row r="49" spans="1:7" x14ac:dyDescent="0.3">
      <c r="A49" s="2">
        <v>10</v>
      </c>
      <c r="C49" s="38" t="s">
        <v>22</v>
      </c>
      <c r="D49" s="42">
        <f>TRUNC(59973.7662421827,-1)</f>
        <v>59970</v>
      </c>
      <c r="E49" s="63">
        <f t="shared" si="1"/>
        <v>198240</v>
      </c>
    </row>
    <row r="50" spans="1:7" x14ac:dyDescent="0.3">
      <c r="A50" s="2">
        <v>11</v>
      </c>
      <c r="C50" s="38" t="s">
        <v>156</v>
      </c>
      <c r="D50" s="42">
        <f>TRUNC(51957.7589838307,-1)</f>
        <v>51950</v>
      </c>
      <c r="E50" s="63">
        <f t="shared" si="1"/>
        <v>171730</v>
      </c>
    </row>
    <row r="51" spans="1:7" x14ac:dyDescent="0.3">
      <c r="A51" s="2">
        <v>12</v>
      </c>
      <c r="C51" s="38" t="s">
        <v>23</v>
      </c>
      <c r="D51" s="42">
        <f>TRUNC(25669.2362528758,-1)</f>
        <v>25660</v>
      </c>
      <c r="E51" s="63">
        <f t="shared" si="1"/>
        <v>84820</v>
      </c>
    </row>
    <row r="52" spans="1:7" x14ac:dyDescent="0.3">
      <c r="A52" s="2">
        <v>13</v>
      </c>
      <c r="C52" s="38" t="s">
        <v>24</v>
      </c>
      <c r="D52" s="42">
        <f>TRUNC(7561.98762191763,-1)</f>
        <v>7560</v>
      </c>
      <c r="E52" s="63">
        <f t="shared" si="1"/>
        <v>24990</v>
      </c>
    </row>
    <row r="53" spans="1:7" x14ac:dyDescent="0.3">
      <c r="A53" s="2">
        <v>14</v>
      </c>
      <c r="C53" s="38" t="s">
        <v>25</v>
      </c>
      <c r="D53" s="42">
        <f>TRUNC(46730.6341336963,-1)</f>
        <v>46730</v>
      </c>
      <c r="E53" s="63">
        <f t="shared" si="1"/>
        <v>154480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f>TRUNC(5960.38041541104,-1)</f>
        <v>5960</v>
      </c>
      <c r="E55" s="63">
        <f t="shared" si="1"/>
        <v>19700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TRUNC(4673.67551278312+7889.68925180649+13977.8652668416+1358.19318881436+7732.6334208224+9491.13768186384-571.93545251288+2652.71702148343,-1)</f>
        <v>47200</v>
      </c>
      <c r="E58" s="63">
        <f t="shared" si="1"/>
        <v>156030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711850</v>
      </c>
      <c r="E60" s="39">
        <f>SUM(E40:E59)</f>
        <v>2353160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TRUNC(10060.0596221769,-1)</f>
        <v>10060</v>
      </c>
      <c r="E69" s="62">
        <f t="shared" ref="E69:E94" si="2">TRUNC(+D69*3.3058,-1)</f>
        <v>33250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TRUNC(5847.4871196656,-1)</f>
        <v>5840</v>
      </c>
      <c r="E72" s="63">
        <f t="shared" si="2"/>
        <v>19300</v>
      </c>
    </row>
    <row r="73" spans="1:7" x14ac:dyDescent="0.3">
      <c r="A73" s="2">
        <v>5</v>
      </c>
      <c r="C73" s="38" t="s">
        <v>34</v>
      </c>
      <c r="D73" s="42">
        <f>TRUNC(32775.6391562166,-1)</f>
        <v>32770</v>
      </c>
      <c r="E73" s="63">
        <f t="shared" si="2"/>
        <v>108330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TRUNC(14701.1017141376,-1)</f>
        <v>14700</v>
      </c>
      <c r="E89" s="63">
        <f t="shared" si="2"/>
        <v>48590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TRUNC(17279.0609507145,-1)</f>
        <v>17270</v>
      </c>
      <c r="E92" s="63">
        <f t="shared" si="2"/>
        <v>57090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80640</v>
      </c>
      <c r="E95" s="39">
        <f>SUM(E69:E94)</f>
        <v>266560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TRUNC(32734.1174945724,-1)</f>
        <v>32730</v>
      </c>
      <c r="E100" s="63">
        <f t="shared" si="3"/>
        <v>108190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TRUNC(44684.7866238942,-1)</f>
        <v>44680</v>
      </c>
      <c r="E102" s="63">
        <f t="shared" si="3"/>
        <v>147700</v>
      </c>
      <c r="F102" s="2" t="s">
        <v>253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77410</v>
      </c>
      <c r="E119" s="39">
        <f>SUM(E98:E118)</f>
        <v>255890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TRUNC(46581.1898512686,-1)</f>
        <v>46580</v>
      </c>
      <c r="E132" s="64">
        <f t="shared" si="4"/>
        <v>153980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46580</v>
      </c>
      <c r="E133" s="39">
        <f>SUM(E122:E132)</f>
        <v>153980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1240</v>
      </c>
      <c r="E136" s="62">
        <f t="shared" ref="E136:E145" si="5">TRUNC(+D136*3.3058,-1)</f>
        <v>4090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1240</v>
      </c>
      <c r="E146" s="39">
        <f>SUM(E136:E145)</f>
        <v>4090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2020-12-07T09:18:13Z</dcterms:modified>
</cp:coreProperties>
</file>