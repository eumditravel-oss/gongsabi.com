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7" i="4"/>
  <c r="D153" i="4"/>
  <c r="D152" i="4"/>
  <c r="D149" i="4"/>
  <c r="D144" i="4"/>
  <c r="D142" i="4"/>
  <c r="D141" i="4"/>
  <c r="D140" i="4"/>
  <c r="D139" i="4"/>
  <c r="D137" i="4"/>
  <c r="D132" i="4"/>
  <c r="D130" i="4"/>
  <c r="D128" i="4"/>
  <c r="D126" i="4"/>
  <c r="D125" i="4"/>
  <c r="D117" i="4"/>
  <c r="D116" i="4"/>
  <c r="D105" i="4"/>
  <c r="D104" i="4"/>
  <c r="D103" i="4"/>
  <c r="D102" i="4"/>
  <c r="D101" i="4"/>
  <c r="D100" i="4"/>
  <c r="D99" i="4"/>
  <c r="D98" i="4"/>
  <c r="D94" i="4"/>
  <c r="D93" i="4"/>
  <c r="D92" i="4"/>
  <c r="D91" i="4"/>
  <c r="D89" i="4"/>
  <c r="D73" i="4"/>
  <c r="D72" i="4"/>
  <c r="D71" i="4"/>
  <c r="D69" i="4"/>
  <c r="D63" i="4"/>
  <c r="D59" i="4"/>
  <c r="D58" i="4"/>
  <c r="D53" i="4"/>
  <c r="D52" i="4"/>
  <c r="D50" i="4"/>
  <c r="D49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<sst xmlns="http://schemas.openxmlformats.org/spreadsheetml/2006/main" count="389" uniqueCount="263">
  <si>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</si>
  <si>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</si>
  <si>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</si>
  <si>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</si>
  <si>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</si>
  <si>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</si>
  <si>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</si>
  <si>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</si>
  <si>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</si>
  <si>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</si>
  <si>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</si>
  <si>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</si>
  <si>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</si>
  <si>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</si>
  <si>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</si>
  <si>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</si>
  <si>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</si>
  <si>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</si>
  <si>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</si>
  <si>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</si>
  <si>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</si>
  <si>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</si>
  <si>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</si>
  <si>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</si>
  <si>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</si>
  <si>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</si>
  <si>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</si>
  <si>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</si>
  <si>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</si>
  <si>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</si>
  <si>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</si>
  <si>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</si>
  <si>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</si>
  <si>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</si>
  <si>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</si>
  <si>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</si>
  <si>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</si>
  <si>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</si>
  <si>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</si>
  <si>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</si>
  <si>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</si>
  <si>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</si>
  <si>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</si>
  <si>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</si>
  <si>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</si>
  <si>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</si>
  <si>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</si>
  <si>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</si>
  <si>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</si>
  <si>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</si>
  <si>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</si>
  <si>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</si>
  <si>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</si>
  <si>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</si>
  <si>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</si>
  <si>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</si>
  <si>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</si>
  <si>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</si>
  <si>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</si>
  <si>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</si>
  <si>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</si>
  <si>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</si>
  <si>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</si>
  <si>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</si>
  <si>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</si>
  <si>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</si>
  <si>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</si>
  <si>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</si>
  <si>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</si>
  <si>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</si>
  <si>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</si>
  <si>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</si>
  <si>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</si>
  <si>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</si>
  <si>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</si>
  <si>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</si>
  <si>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</si>
  <si>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</si>
  <si>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</si>
  <si>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</si>
  <si>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</si>
  <si>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</si>
  <si>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</si>
  <si>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</si>
  <si>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</si>
  <si>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</si>
  <si>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</si>
  <si>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</si>
  <si>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</si>
  <si>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</si>
  <si>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</si>
  <si>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</si>
  <si>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</si>
  <si>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</si>
  <si>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</si>
  <si>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</si>
  <si>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</si>
  <si>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</si>
  <si>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</si>
  <si>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</si>
  <si>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</si>
  <si>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</si>
  <si>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</si>
  <si>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</si>
  <si>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</si>
  <si>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</si>
  <si>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</si>
  <si>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</si>
  <si>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</si>
  <si>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</si>
  <si>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</si>
  <si>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</si>
  <si>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</si>
  <si>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</si>
  <si>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</si>
  <si>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</si>
  <si>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</si>
  <si>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</si>
  <si>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</si>
  <si>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</si>
  <si>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</si>
  <si>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</si>
  <si>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</si>
  <si>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</si>
  <si>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</si>
  <si>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</si>
  <si>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</si>
  <si>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</si>
  <si>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</si>
  <si>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</si>
  <si>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</si>
  <si>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</si>
  <si>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</si>
  <si>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</si>
  <si>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</si>
  <si>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</si>
  <si>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</si>
  <si>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</si>
  <si>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</si>
  <si>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</si>
  <si>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</si>
  <si>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</si>
  <si>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</si>
  <si>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</si>
  <si>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</si>
  <si>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</si>
  <si>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</si>
  <si>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</si>
  <si>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</si>
  <si>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</si>
  <si>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</si>
  <si>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</si>
  <si>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</si>
  <si>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</si>
  <si>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</si>
  <si>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</si>
  <si>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</si>
  <si>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</si>
  <si>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</si>
  <si>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</si>
  <si>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</si>
  <si>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</si>
  <si>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</si>
  <si>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</si>
  <si>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</si>
  <si>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</si>
  <si>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</si>
  <si>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</si>
  <si>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</si>
  <si>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</si>
  <si>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</si>
  <si>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</si>
  <si>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</si>
  <si>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</si>
  <si>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</si>
  <si>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</si>
  <si>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</si>
  <si>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</si>
  <si>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</si>
  <si>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</si>
  <si>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</si>
  <si>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</si>
  <si>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</si>
  <si>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</si>
  <si>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</si>
  <si>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</si>
  <si>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</si>
  <si>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</si>
  <si>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</si>
  <si>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</si>
  <si>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</si>
  <si>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</si>
  <si>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</si>
  <si>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</si>
  <si>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</si>
  <si>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</si>
  <si>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</si>
  <si>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</si>
  <si>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</si>
  <si>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</si>
  <si>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</si>
  <si>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</si>
  <si>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</si>
  <si>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</si>
  <si>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</si>
  <si>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</si>
  <si>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</si>
  <si>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</si>
  <si>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</si>
  <si>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</si>
  <si>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</si>
  <si>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</si>
  <si>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</si>
  <si>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</si>
  <si>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</si>
  <si>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</si>
  <si>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</si>
  <si>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</si>
  <si>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</si>
  <si>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</si>
  <si>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</si>
  <si>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</si>
  <si>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</si>
  <si>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</si>
  <si>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</si>
  <si>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</si>
  <si>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</si>
  <si>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</si>
  <si>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</si>
  <si>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</si>
  <si>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</si>
  <si>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</si>
  <si>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</si>
  <si>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</si>
  <si>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</si>
  <si>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</si>
  <si>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</si>
  <si>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</si>
  <si>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</si>
  <si>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</si>
  <si>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</si>
  <si>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</si>
  <si>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</si>
  <si>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</si>
  <si>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</si>
  <si>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</si>
  <si>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</si>
  <si>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</si>
  <si>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</si>
  <si>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</si>
  <si>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(가칭)남율중학교 신축공사</t>
    <phoneticPr fontId="2" type="noConversion"/>
  </si>
  <si>
    <t>경상도</t>
  </si>
  <si>
    <t>금속공사(지붕및홈통공사 포함)</t>
    <phoneticPr fontId="2" type="noConversion"/>
  </si>
  <si>
    <t>목공사및수장공사(인테리어공사 포함)</t>
    <phoneticPr fontId="2" type="noConversion"/>
  </si>
  <si>
    <t>기초공사, 골재비및운반비, 기타공사</t>
    <phoneticPr fontId="2" type="noConversion"/>
  </si>
  <si>
    <t>공조배관공사, 난방배관공사, 바닥난방공사, 기타공사</t>
    <phoneticPr fontId="2" type="noConversion"/>
  </si>
  <si>
    <t xml:space="preserve">전기인입 및 수변전 설비공사 </t>
    <phoneticPr fontId="2" type="noConversion"/>
  </si>
  <si>
    <t>CCTV설비공사, 기타공사</t>
    <phoneticPr fontId="2" type="noConversion"/>
  </si>
  <si>
    <t>옥외소화배관공사, 펌프실배관공사, 기타공사</t>
    <phoneticPr fontId="2" type="noConversion"/>
  </si>
  <si>
    <t>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</si>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</sst>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11902.43</v>
      </c>
      <c r="D7" s="36">
        <f>+C7/3.3058</f>
        <v>3600.4688728900719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831210</v>
      </c>
      <c r="E25" s="59">
        <f t="shared" si="0"/>
        <v>2747810</v>
      </c>
    </row>
    <row r="26" spans="1:5" x14ac:dyDescent="0.3">
      <c r="B26" s="2">
        <v>3</v>
      </c>
      <c r="C26" s="35" t="s">
        <v>95</v>
      </c>
      <c r="D26" s="45">
        <f>+D66</f>
        <v>33150</v>
      </c>
      <c r="E26" s="59">
        <f t="shared" si="0"/>
        <v>109580</v>
      </c>
    </row>
    <row r="27" spans="1:5" x14ac:dyDescent="0.3">
      <c r="B27" s="2">
        <v>4</v>
      </c>
      <c r="C27" s="35" t="s">
        <v>96</v>
      </c>
      <c r="D27" s="45">
        <f>+D95</f>
        <v>201020</v>
      </c>
      <c r="E27" s="59">
        <f t="shared" si="0"/>
        <v>664530</v>
      </c>
    </row>
    <row r="28" spans="1:5" x14ac:dyDescent="0.3">
      <c r="B28" s="2">
        <v>5</v>
      </c>
      <c r="C28" s="35" t="s">
        <v>97</v>
      </c>
      <c r="D28" s="45">
        <f>+D119</f>
        <v>124980</v>
      </c>
      <c r="E28" s="59">
        <f t="shared" si="0"/>
        <v>413150</v>
      </c>
    </row>
    <row r="29" spans="1:5" x14ac:dyDescent="0.3">
      <c r="B29" s="2">
        <v>6</v>
      </c>
      <c r="C29" s="35" t="s">
        <v>98</v>
      </c>
      <c r="D29" s="45">
        <f>+D133</f>
        <v>62920</v>
      </c>
      <c r="E29" s="59">
        <f t="shared" si="0"/>
        <v>208000</v>
      </c>
    </row>
    <row r="30" spans="1:5" x14ac:dyDescent="0.3">
      <c r="B30" s="2">
        <v>7</v>
      </c>
      <c r="C30" s="35" t="s">
        <v>99</v>
      </c>
      <c r="D30" s="45">
        <f>+D146</f>
        <v>48290</v>
      </c>
      <c r="E30" s="59">
        <f t="shared" si="0"/>
        <v>159630</v>
      </c>
    </row>
    <row r="31" spans="1:5" x14ac:dyDescent="0.3">
      <c r="B31" s="2">
        <v>8</v>
      </c>
      <c r="C31" s="35" t="s">
        <v>100</v>
      </c>
      <c r="D31" s="45">
        <f>+D154</f>
        <v>99780</v>
      </c>
      <c r="E31" s="59">
        <f t="shared" si="0"/>
        <v>329850</v>
      </c>
    </row>
    <row r="32" spans="1:5" x14ac:dyDescent="0.3">
      <c r="B32" s="2">
        <v>9</v>
      </c>
      <c r="C32" s="35" t="s">
        <v>101</v>
      </c>
      <c r="D32" s="45">
        <f>+D161</f>
        <v>18580</v>
      </c>
      <c r="E32" s="59">
        <f t="shared" si="0"/>
        <v>61420</v>
      </c>
    </row>
    <row r="33" spans="1:7" x14ac:dyDescent="0.3">
      <c r="B33" s="2">
        <v>10</v>
      </c>
      <c r="C33" s="35" t="s">
        <v>155</v>
      </c>
      <c r="D33" s="53">
        <f>TRUNC(SUM(D24:D32)*0.275,-1)</f>
        <v>390480</v>
      </c>
      <c r="E33" s="60">
        <f t="shared" si="0"/>
        <v>1290840</v>
      </c>
    </row>
    <row r="34" spans="1:7" x14ac:dyDescent="0.3">
      <c r="C34" s="35" t="s">
        <v>112</v>
      </c>
      <c r="D34" s="44">
        <f>SUM(D24:D33)</f>
        <v>1810410</v>
      </c>
      <c r="E34" s="44">
        <f>SUM(E24:E33)</f>
        <v>5984810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TRUNC(32798,-1)</f>
        <v>32790</v>
      </c>
      <c r="E40" s="62">
        <f t="shared" ref="E40:E59" si="1">TRUNC(+D40*3.3058,-1)</f>
        <v>108390</v>
      </c>
    </row>
    <row r="41" spans="1:7" x14ac:dyDescent="0.3">
      <c r="A41" s="2">
        <v>2</v>
      </c>
      <c r="C41" s="38" t="s">
        <v>13</v>
      </c>
      <c r="D41" s="42">
        <f>TRUNC(205357,-1)</f>
        <v>205350</v>
      </c>
      <c r="E41" s="63">
        <f t="shared" si="1"/>
        <v>678840</v>
      </c>
    </row>
    <row r="42" spans="1:7" x14ac:dyDescent="0.3">
      <c r="A42" s="2">
        <v>3</v>
      </c>
      <c r="C42" s="38" t="s">
        <v>14</v>
      </c>
      <c r="D42" s="42">
        <f>TRUNC(10295,-1)</f>
        <v>10290</v>
      </c>
      <c r="E42" s="63">
        <f t="shared" si="1"/>
        <v>34010</v>
      </c>
    </row>
    <row r="43" spans="1:7" x14ac:dyDescent="0.3">
      <c r="A43" s="2">
        <v>4</v>
      </c>
      <c r="C43" s="38" t="s">
        <v>16</v>
      </c>
      <c r="D43" s="42">
        <f>TRUNC(33195,-1)</f>
        <v>33190</v>
      </c>
      <c r="E43" s="63">
        <f t="shared" si="1"/>
        <v>109710</v>
      </c>
    </row>
    <row r="44" spans="1:7" x14ac:dyDescent="0.3">
      <c r="A44" s="2">
        <v>5</v>
      </c>
      <c r="C44" s="38" t="s">
        <v>17</v>
      </c>
      <c r="D44" s="42">
        <f>TRUNC(18403,-1)</f>
        <v>18400</v>
      </c>
      <c r="E44" s="63">
        <f t="shared" si="1"/>
        <v>60820</v>
      </c>
    </row>
    <row r="45" spans="1:7" x14ac:dyDescent="0.3">
      <c r="A45" s="2">
        <v>6</v>
      </c>
      <c r="C45" s="38" t="s">
        <v>18</v>
      </c>
      <c r="D45" s="42">
        <f>TRUNC(36769,-1)</f>
        <v>36760</v>
      </c>
      <c r="E45" s="63">
        <f t="shared" si="1"/>
        <v>121520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31600</v>
      </c>
      <c r="E48" s="63">
        <f t="shared" si="1"/>
        <v>104460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TRUNC(17432,-1)</f>
        <v>17430</v>
      </c>
      <c r="E49" s="63">
        <f t="shared" si="1"/>
        <v>57620</v>
      </c>
    </row>
    <row r="50" spans="1:7" x14ac:dyDescent="0.3">
      <c r="A50" s="2">
        <v>11</v>
      </c>
      <c r="C50" s="38" t="s">
        <v>156</v>
      </c>
      <c r="D50" s="42">
        <f>TRUNC(41296,-1)</f>
        <v>41290</v>
      </c>
      <c r="E50" s="63">
        <f t="shared" si="1"/>
        <v>136490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TRUNC(13215,-1)</f>
        <v>13210</v>
      </c>
      <c r="E52" s="63">
        <f t="shared" si="1"/>
        <v>43660</v>
      </c>
    </row>
    <row r="53" spans="1:7" x14ac:dyDescent="0.3">
      <c r="A53" s="2">
        <v>14</v>
      </c>
      <c r="C53" s="38" t="s">
        <v>25</v>
      </c>
      <c r="D53" s="42">
        <f>TRUNC(52755,-1)</f>
        <v>52750</v>
      </c>
      <c r="E53" s="63">
        <f t="shared" si="1"/>
        <v>174380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TRUNC(6294+7168+1036+25373,-1)</f>
        <v>39870</v>
      </c>
      <c r="E58" s="63">
        <f t="shared" si="1"/>
        <v>131800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TRUNC(298288,-1)</f>
        <v>298280</v>
      </c>
      <c r="E59" s="64">
        <f t="shared" si="1"/>
        <v>986050</v>
      </c>
    </row>
    <row r="60" spans="1:7" x14ac:dyDescent="0.3">
      <c r="A60" s="2">
        <v>21</v>
      </c>
      <c r="C60" s="27" t="s">
        <v>112</v>
      </c>
      <c r="D60" s="39">
        <f>SUM(D40:D59)</f>
        <v>831210</v>
      </c>
      <c r="E60" s="39">
        <f>SUM(E40:E59)</f>
        <v>2747750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TRUNC(33153,-1)</f>
        <v>33150</v>
      </c>
      <c r="E63" s="62">
        <f>TRUNC(+D63*3.3058,-1)</f>
        <v>109580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33150</v>
      </c>
      <c r="E66" s="65">
        <f>SUM(E63:E65)</f>
        <v>109580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TRUNC(9309,-1)</f>
        <v>9300</v>
      </c>
      <c r="E69" s="62">
        <f t="shared" ref="E69:E94" si="2">TRUNC(+D69*3.3058,-1)</f>
        <v>30740</v>
      </c>
    </row>
    <row r="70" spans="1:7" ht="16.5" customHeight="1" x14ac:dyDescent="0.3">
      <c r="A70" s="2">
        <v>2</v>
      </c>
      <c r="C70" s="38" t="s">
        <v>31</v>
      </c>
      <c r="D70" s="42">
        <v>1700</v>
      </c>
      <c r="E70" s="63">
        <f t="shared" si="2"/>
        <v>5610</v>
      </c>
    </row>
    <row r="71" spans="1:7" x14ac:dyDescent="0.3">
      <c r="A71" s="2">
        <v>3</v>
      </c>
      <c r="C71" s="38" t="s">
        <v>32</v>
      </c>
      <c r="D71" s="42">
        <f>TRUNC(7502,-1)</f>
        <v>7500</v>
      </c>
      <c r="E71" s="63">
        <f t="shared" si="2"/>
        <v>24790</v>
      </c>
    </row>
    <row r="72" spans="1:7" x14ac:dyDescent="0.3">
      <c r="A72" s="2">
        <v>4</v>
      </c>
      <c r="C72" s="38" t="s">
        <v>33</v>
      </c>
      <c r="D72" s="42">
        <f>TRUNC(3403,-1)</f>
        <v>3400</v>
      </c>
      <c r="E72" s="63">
        <f t="shared" si="2"/>
        <v>11230</v>
      </c>
    </row>
    <row r="73" spans="1:7" x14ac:dyDescent="0.3">
      <c r="A73" s="2">
        <v>5</v>
      </c>
      <c r="C73" s="38" t="s">
        <v>34</v>
      </c>
      <c r="D73" s="42">
        <f>TRUNC(14582,-1)</f>
        <v>14580</v>
      </c>
      <c r="E73" s="63">
        <f t="shared" si="2"/>
        <v>48190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TRUNC(9362,-1)</f>
        <v>9360</v>
      </c>
      <c r="E89" s="63">
        <f t="shared" si="2"/>
        <v>30940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TRUNC(9287,-1)</f>
        <v>9280</v>
      </c>
      <c r="E91" s="63">
        <f t="shared" si="2"/>
        <v>30670</v>
      </c>
    </row>
    <row r="92" spans="1:7" x14ac:dyDescent="0.3">
      <c r="A92" s="2">
        <v>24</v>
      </c>
      <c r="C92" s="38" t="s">
        <v>38</v>
      </c>
      <c r="D92" s="42">
        <f>TRUNC(15513,-1)</f>
        <v>15510</v>
      </c>
      <c r="E92" s="63">
        <f t="shared" si="2"/>
        <v>51270</v>
      </c>
    </row>
    <row r="93" spans="1:7" x14ac:dyDescent="0.3">
      <c r="A93" s="2">
        <v>25</v>
      </c>
      <c r="C93" s="38" t="s">
        <v>149</v>
      </c>
      <c r="D93" s="42">
        <f>TRUNC(115239,-1)</f>
        <v>115230</v>
      </c>
      <c r="E93" s="63">
        <f t="shared" si="2"/>
        <v>380920</v>
      </c>
    </row>
    <row r="94" spans="1:7" ht="17.25" thickBot="1" x14ac:dyDescent="0.35">
      <c r="A94" s="2">
        <v>26</v>
      </c>
      <c r="C94" s="38" t="s">
        <v>47</v>
      </c>
      <c r="D94" s="43">
        <f>TRUNC(1156+2153+943+10917,-1)</f>
        <v>15160</v>
      </c>
      <c r="E94" s="64">
        <f t="shared" si="2"/>
        <v>50110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201020</v>
      </c>
      <c r="E95" s="39">
        <f>SUM(E69:E94)</f>
        <v>664470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TRUNC(9798,-1)</f>
        <v>9790</v>
      </c>
      <c r="E98" s="62">
        <f t="shared" ref="E98:E118" si="3">TRUNC(+D98*3.3058,-1)</f>
        <v>32360</v>
      </c>
    </row>
    <row r="99" spans="1:7" x14ac:dyDescent="0.3">
      <c r="A99" s="2">
        <v>2</v>
      </c>
      <c r="C99" s="38" t="s">
        <v>40</v>
      </c>
      <c r="D99" s="42">
        <f>TRUNC(4447,-1)</f>
        <v>4440</v>
      </c>
      <c r="E99" s="63">
        <f t="shared" si="3"/>
        <v>14670</v>
      </c>
    </row>
    <row r="100" spans="1:7" x14ac:dyDescent="0.3">
      <c r="A100" s="2">
        <v>3</v>
      </c>
      <c r="C100" s="38" t="s">
        <v>41</v>
      </c>
      <c r="D100" s="42">
        <f>TRUNC(29461,-1)</f>
        <v>29460</v>
      </c>
      <c r="E100" s="63">
        <f t="shared" si="3"/>
        <v>97380</v>
      </c>
    </row>
    <row r="101" spans="1:7" x14ac:dyDescent="0.3">
      <c r="A101" s="2">
        <v>4</v>
      </c>
      <c r="C101" s="38" t="s">
        <v>42</v>
      </c>
      <c r="D101" s="42">
        <f>TRUNC(3987,-1)</f>
        <v>3980</v>
      </c>
      <c r="E101" s="63">
        <f t="shared" si="3"/>
        <v>13150</v>
      </c>
    </row>
    <row r="102" spans="1:7" x14ac:dyDescent="0.3">
      <c r="A102" s="2">
        <v>5</v>
      </c>
      <c r="C102" s="38" t="s">
        <v>43</v>
      </c>
      <c r="D102" s="42">
        <f>TRUNC(13286,-1)</f>
        <v>13280</v>
      </c>
      <c r="E102" s="63">
        <f t="shared" si="3"/>
        <v>43900</v>
      </c>
    </row>
    <row r="103" spans="1:7" x14ac:dyDescent="0.3">
      <c r="A103" s="2">
        <v>6</v>
      </c>
      <c r="C103" s="38" t="s">
        <v>44</v>
      </c>
      <c r="D103" s="42">
        <f>TRUNC(4284,-1)</f>
        <v>4280</v>
      </c>
      <c r="E103" s="63">
        <f t="shared" si="3"/>
        <v>14140</v>
      </c>
    </row>
    <row r="104" spans="1:7" x14ac:dyDescent="0.3">
      <c r="A104" s="2">
        <v>7</v>
      </c>
      <c r="C104" s="38" t="s">
        <v>45</v>
      </c>
      <c r="D104" s="42">
        <f>TRUNC(1387,-1)</f>
        <v>1380</v>
      </c>
      <c r="E104" s="63">
        <f t="shared" si="3"/>
        <v>4560</v>
      </c>
    </row>
    <row r="105" spans="1:7" x14ac:dyDescent="0.3">
      <c r="A105" s="2">
        <v>8</v>
      </c>
      <c r="C105" s="38" t="s">
        <v>46</v>
      </c>
      <c r="D105" s="42">
        <f>TRUNC(2272,-1)</f>
        <v>2270</v>
      </c>
      <c r="E105" s="63">
        <f t="shared" si="3"/>
        <v>7500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TRUNC(1594,-1)</f>
        <v>1590</v>
      </c>
      <c r="E116" s="63">
        <f t="shared" si="3"/>
        <v>5250</v>
      </c>
      <c r="F116" s="2" t="s">
        <v>256</v>
      </c>
    </row>
    <row r="117" spans="1:7" x14ac:dyDescent="0.3">
      <c r="A117" s="2">
        <v>20</v>
      </c>
      <c r="C117" s="38" t="s">
        <v>149</v>
      </c>
      <c r="D117" s="42">
        <f>TRUNC(51061,-1)</f>
        <v>51060</v>
      </c>
      <c r="E117" s="63">
        <f t="shared" si="3"/>
        <v>168790</v>
      </c>
    </row>
    <row r="118" spans="1:7" ht="17.25" thickBot="1" x14ac:dyDescent="0.35">
      <c r="A118" s="2">
        <v>21</v>
      </c>
      <c r="C118" s="38" t="s">
        <v>47</v>
      </c>
      <c r="D118" s="43">
        <v>3450</v>
      </c>
      <c r="E118" s="64">
        <f t="shared" si="3"/>
        <v>11400</v>
      </c>
    </row>
    <row r="119" spans="1:7" x14ac:dyDescent="0.3">
      <c r="A119" s="2">
        <v>22</v>
      </c>
      <c r="C119" s="27" t="s">
        <v>112</v>
      </c>
      <c r="D119" s="39">
        <f>SUM(D98:D118)</f>
        <v>124980</v>
      </c>
      <c r="E119" s="39">
        <f>SUM(E98:E118)</f>
        <v>413100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TRUNC(10276,-1)</f>
        <v>10270</v>
      </c>
      <c r="E125" s="63">
        <f t="shared" si="4"/>
        <v>33950</v>
      </c>
    </row>
    <row r="126" spans="1:7" x14ac:dyDescent="0.3">
      <c r="A126" s="2">
        <v>5</v>
      </c>
      <c r="C126" s="38" t="s">
        <v>53</v>
      </c>
      <c r="D126" s="42">
        <f>TRUNC(877,-1)</f>
        <v>870</v>
      </c>
      <c r="E126" s="63">
        <f t="shared" si="4"/>
        <v>2870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TRUNC(4339,-1)</f>
        <v>4330</v>
      </c>
      <c r="E128" s="63">
        <f t="shared" si="4"/>
        <v>14310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TRUNC(13565,-1)</f>
        <v>13560</v>
      </c>
      <c r="E130" s="63">
        <f t="shared" si="4"/>
        <v>44820</v>
      </c>
    </row>
    <row r="131" spans="1:7" x14ac:dyDescent="0.3">
      <c r="A131" s="2">
        <v>10</v>
      </c>
      <c r="C131" s="38" t="s">
        <v>149</v>
      </c>
      <c r="D131" s="42">
        <v>31400</v>
      </c>
      <c r="E131" s="63">
        <f t="shared" si="4"/>
        <v>103800</v>
      </c>
    </row>
    <row r="132" spans="1:7" ht="18" thickBot="1" x14ac:dyDescent="0.35">
      <c r="A132" s="2">
        <v>11</v>
      </c>
      <c r="C132" s="38" t="s">
        <v>47</v>
      </c>
      <c r="D132" s="43">
        <f>TRUNC(2171+324,-1)</f>
        <v>2490</v>
      </c>
      <c r="E132" s="64">
        <f t="shared" si="4"/>
        <v>8230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62920</v>
      </c>
      <c r="E133" s="39">
        <f>SUM(E122:E132)</f>
        <v>207980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TRUNC(135+2871+4990,-1)</f>
        <v>7990</v>
      </c>
      <c r="E137" s="63">
        <f t="shared" si="5"/>
        <v>26410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TRUNC(2137,-1)</f>
        <v>2130</v>
      </c>
      <c r="E139" s="63">
        <f t="shared" si="5"/>
        <v>7040</v>
      </c>
    </row>
    <row r="140" spans="1:7" x14ac:dyDescent="0.3">
      <c r="A140" s="2">
        <v>5</v>
      </c>
      <c r="C140" s="38" t="s">
        <v>57</v>
      </c>
      <c r="D140" s="42">
        <f>TRUNC(6259,-1)</f>
        <v>6250</v>
      </c>
      <c r="E140" s="63">
        <f t="shared" si="5"/>
        <v>20660</v>
      </c>
    </row>
    <row r="141" spans="1:7" x14ac:dyDescent="0.3">
      <c r="A141" s="2">
        <v>6</v>
      </c>
      <c r="C141" s="38" t="s">
        <v>59</v>
      </c>
      <c r="D141" s="42">
        <f>TRUNC(13597,-1)</f>
        <v>13590</v>
      </c>
      <c r="E141" s="63">
        <f t="shared" si="5"/>
        <v>44920</v>
      </c>
    </row>
    <row r="142" spans="1:7" x14ac:dyDescent="0.3">
      <c r="A142" s="2">
        <v>7</v>
      </c>
      <c r="C142" s="38" t="s">
        <v>58</v>
      </c>
      <c r="D142" s="42">
        <f>TRUNC(7553,-1)</f>
        <v>7550</v>
      </c>
      <c r="E142" s="63">
        <f t="shared" si="5"/>
        <v>24950</v>
      </c>
    </row>
    <row r="143" spans="1:7" x14ac:dyDescent="0.3">
      <c r="A143" s="2">
        <v>8</v>
      </c>
      <c r="C143" s="38" t="s">
        <v>62</v>
      </c>
      <c r="D143" s="42">
        <v>5150</v>
      </c>
      <c r="E143" s="63">
        <f t="shared" si="5"/>
        <v>17020</v>
      </c>
    </row>
    <row r="144" spans="1:7" x14ac:dyDescent="0.3">
      <c r="A144" s="2">
        <v>9</v>
      </c>
      <c r="C144" s="38" t="s">
        <v>63</v>
      </c>
      <c r="D144" s="42">
        <f>TRUNC(5638,-1)</f>
        <v>5630</v>
      </c>
      <c r="E144" s="63">
        <f t="shared" si="5"/>
        <v>18610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48290</v>
      </c>
      <c r="E146" s="39">
        <f>SUM(E136:E145)</f>
        <v>159610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TRUNC(12285+4,-1)</f>
        <v>12280</v>
      </c>
      <c r="E149" s="62">
        <f>TRUNC(+D149*3.3058,-1)</f>
        <v>40590</v>
      </c>
    </row>
    <row r="150" spans="1:7" x14ac:dyDescent="0.3">
      <c r="A150" s="2">
        <v>2</v>
      </c>
      <c r="C150" s="38" t="s">
        <v>49</v>
      </c>
      <c r="D150" s="42">
        <v>14190</v>
      </c>
      <c r="E150" s="63">
        <f>TRUNC(+D150*3.3058,-1)</f>
        <v>46900</v>
      </c>
    </row>
    <row r="151" spans="1:7" x14ac:dyDescent="0.3">
      <c r="A151" s="2">
        <v>3</v>
      </c>
      <c r="C151" s="38" t="s">
        <v>50</v>
      </c>
      <c r="D151" s="42">
        <v>33760</v>
      </c>
      <c r="E151" s="63">
        <f>TRUNC(+D151*3.3058,-1)</f>
        <v>111600</v>
      </c>
    </row>
    <row r="152" spans="1:7" x14ac:dyDescent="0.3">
      <c r="A152" s="2">
        <v>4</v>
      </c>
      <c r="C152" s="38" t="s">
        <v>47</v>
      </c>
      <c r="D152" s="42">
        <f>TRUNC(530+294,-1)</f>
        <v>820</v>
      </c>
      <c r="E152" s="63">
        <f>TRUNC(+D152*3.3058,-1)</f>
        <v>2710</v>
      </c>
      <c r="F152" s="2" t="s">
        <v>259</v>
      </c>
    </row>
    <row r="153" spans="1:7" ht="17.25" thickBot="1" x14ac:dyDescent="0.35">
      <c r="A153" s="2">
        <v>5</v>
      </c>
      <c r="C153" s="38" t="s">
        <v>149</v>
      </c>
      <c r="D153" s="43">
        <f>TRUNC(38737,-1)</f>
        <v>38730</v>
      </c>
      <c r="E153" s="64">
        <f>TRUNC(+D153*3.3058,-1)</f>
        <v>128030</v>
      </c>
    </row>
    <row r="154" spans="1:7" x14ac:dyDescent="0.3">
      <c r="A154" s="2">
        <v>6</v>
      </c>
      <c r="C154" s="27" t="s">
        <v>112</v>
      </c>
      <c r="D154" s="39">
        <f>SUM(D149:D153)</f>
        <v>99780</v>
      </c>
      <c r="E154" s="39">
        <f>SUM(E149:E153)</f>
        <v>329830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TRUNC(12847,-1)</f>
        <v>12840</v>
      </c>
      <c r="E157" s="62">
        <f>TRUNC(+D157*3.3058,-1)</f>
        <v>42440</v>
      </c>
    </row>
    <row r="158" spans="1:7" x14ac:dyDescent="0.3">
      <c r="A158" s="2">
        <v>2</v>
      </c>
      <c r="C158" s="38" t="s">
        <v>52</v>
      </c>
      <c r="D158" s="42">
        <f>TRUNC(5745,-1)</f>
        <v>5740</v>
      </c>
      <c r="E158" s="63">
        <f>TRUNC(+D158*3.3058,-1)</f>
        <v>18970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18580</v>
      </c>
      <c r="E161" s="39">
        <f>SUM(E157:E160)</f>
        <v>61410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2020-12-08T04:47:48Z</dcterms:modified>
</cp:coreProperties>
</file>