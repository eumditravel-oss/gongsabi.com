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5" i="4" l="1"/>
  <c r="D131" i="4"/>
  <c r="D117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76" i="4"/>
  <c r="D94" i="4"/>
  <c r="D92" i="4"/>
  <c r="D91" i="4"/>
  <c r="D89" i="4"/>
  <c r="D73" i="4"/>
  <c r="D71" i="4"/>
  <c r="D70" i="4"/>
  <c r="D69" i="4"/>
  <c r="D105" i="4"/>
  <c r="D104" i="4"/>
  <c r="D102" i="4"/>
  <c r="D101" i="4"/>
  <c r="D100" i="4"/>
  <c r="D99" i="4"/>
  <c r="D114" i="4"/>
  <c r="D98" i="4"/>
  <c r="D116" i="4"/>
  <c r="D128" i="4"/>
  <c r="D124" i="4"/>
  <c r="D125" i="4"/>
  <c r="D122" i="4"/>
  <c r="D130" i="4"/>
  <c r="D126" i="4"/>
  <c r="D137" i="4"/>
  <c r="D143" i="4"/>
  <c r="D139" i="4"/>
  <c r="D141" i="4"/>
  <c r="D142" i="4"/>
  <c r="D1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0" i="4"/>
  <c r="E95" i="4"/>
  <c r="E119" i="4"/>
  <c r="E133" i="4"/>
  <c r="E146" i="4"/>
  <c r="D161" i="4"/>
  <c r="D154" i="4"/>
  <c r="D31" i="4" s="1"/>
  <c r="E31" i="4" s="1"/>
  <c r="D146" i="4"/>
  <c r="D133" i="4"/>
  <c r="D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<sst xmlns="http://schemas.openxmlformats.org/spreadsheetml/2006/main" count="390" uniqueCount="265">
  <si>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</si>
  <si>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</si>
  <si>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</si>
  <si>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</si>
  <si>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</si>
  <si>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</si>
  <si>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</si>
  <si>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</si>
  <si>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</si>
  <si>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</si>
  <si>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</si>
  <si>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</si>
  <si>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</si>
  <si>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</si>
  <si>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</si>
  <si>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</si>
  <si>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</si>
  <si>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</si>
  <si>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</si>
  <si>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</si>
  <si>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</si>
  <si>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</si>
  <si>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</si>
  <si>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</si>
  <si>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</si>
  <si>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</si>
  <si>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</si>
  <si>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</si>
  <si>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</si>
  <si>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</si>
  <si>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</si>
  <si>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</si>
  <si>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</si>
  <si>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</si>
  <si>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</si>
  <si>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</si>
  <si>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</si>
  <si>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</si>
  <si>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</si>
  <si>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</si>
  <si>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</si>
  <si>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</si>
  <si>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</si>
  <si>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</si>
  <si>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</si>
  <si>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</si>
  <si>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</si>
  <si>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</si>
  <si>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</si>
  <si>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</si>
  <si>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</si>
  <si>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</si>
  <si>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</si>
  <si>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</si>
  <si>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</si>
  <si>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</si>
  <si>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</si>
  <si>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</si>
  <si>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</si>
  <si>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</si>
  <si>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</si>
  <si>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</si>
  <si>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</si>
  <si>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</si>
  <si>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</si>
  <si>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</si>
  <si>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</si>
  <si>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</si>
  <si>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</si>
  <si>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</si>
  <si>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</si>
  <si>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</si>
  <si>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</si>
  <si>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</si>
  <si>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</si>
  <si>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</si>
  <si>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</si>
  <si>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</si>
  <si>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</si>
  <si>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</si>
  <si>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</si>
  <si>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</si>
  <si>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</si>
  <si>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</si>
  <si>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</si>
  <si>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</si>
  <si>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</si>
  <si>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</si>
  <si>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</si>
  <si>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</si>
  <si>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</si>
  <si>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</si>
  <si>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</si>
  <si>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</si>
  <si>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</si>
  <si>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</si>
  <si>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</si>
  <si>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</si>
  <si>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</si>
  <si>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</si>
  <si>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</si>
  <si>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</si>
  <si>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</si>
  <si>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</si>
  <si>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</si>
  <si>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</si>
  <si>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</si>
  <si>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</si>
  <si>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</si>
  <si>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</si>
  <si>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</si>
  <si>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</si>
  <si>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</si>
  <si>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</si>
  <si>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</si>
  <si>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</si>
  <si>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</si>
  <si>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</si>
  <si>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</si>
  <si>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</si>
  <si>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</si>
  <si>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</si>
  <si>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</si>
  <si>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</si>
  <si>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</si>
  <si>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</si>
  <si>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</si>
  <si>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</si>
  <si>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</si>
  <si>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</si>
  <si>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</si>
  <si>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</si>
  <si>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</si>
  <si>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</si>
  <si>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</si>
  <si>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</si>
  <si>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</si>
  <si>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</si>
  <si>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</si>
  <si>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</si>
  <si>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</si>
  <si>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</si>
  <si>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</si>
  <si>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</si>
  <si>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</si>
  <si>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</si>
  <si>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</si>
  <si>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</si>
  <si>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</si>
  <si>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</si>
  <si>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</si>
  <si>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</si>
  <si>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</si>
  <si>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</si>
  <si>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</si>
  <si>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</si>
  <si>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</si>
  <si>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</si>
  <si>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</si>
  <si>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</si>
  <si>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</si>
  <si>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</si>
  <si>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</si>
  <si>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</si>
  <si>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</si>
  <si>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</si>
  <si>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</si>
  <si>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</si>
  <si>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</si>
  <si>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</si>
  <si>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</si>
  <si>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</si>
  <si>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</si>
  <si>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</si>
  <si>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</si>
  <si>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</si>
  <si>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</si>
  <si>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</si>
  <si>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</si>
  <si>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</si>
  <si>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</si>
  <si>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</si>
  <si>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</si>
  <si>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</si>
  <si>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</si>
  <si>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</si>
  <si>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</si>
  <si>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</si>
  <si>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</si>
  <si>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</si>
  <si>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</si>
  <si>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</si>
  <si>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</si>
  <si>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</si>
  <si>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</si>
  <si>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</si>
  <si>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</si>
  <si>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</si>
  <si>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</si>
  <si>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</si>
  <si>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</si>
  <si>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</si>
  <si>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</si>
  <si>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</si>
  <si>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</si>
  <si>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</si>
  <si>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</si>
  <si>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</si>
  <si>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</si>
  <si>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</si>
  <si>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</si>
  <si>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</si>
  <si>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</si>
  <si>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</si>
  <si>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</si>
  <si>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</si>
  <si>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</si>
  <si>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</si>
  <si>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</si>
  <si>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</si>
  <si>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</si>
  <si>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</si>
  <si>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</si>
  <si>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</si>
  <si>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</si>
  <si>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</si>
  <si>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</si>
  <si>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</si>
  <si>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</si>
  <si>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</si>
  <si>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</si>
  <si>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</si>
  <si>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</si>
  <si>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</si>
  <si>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</si>
  <si>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</si>
  <si>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</si>
  <si>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</si>
  <si>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</si>
  <si>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</si>
  <si>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</si>
  <si>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</si>
  <si>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</si>
  <si>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</si>
  <si>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</si>
  <si>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</si>
  <si>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</si>
  <si>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</si>
  <si>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스마트교통융복합관 건립공사</t>
    <phoneticPr fontId="2" type="noConversion"/>
  </si>
  <si>
    <t>교육연구</t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</si>
  <si>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</si>
  <si>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</si>
  <si>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</si>
  <si>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</si>
  <si>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기초공사,골재비및운반비,작업부산물,기타공사</t>
    <phoneticPr fontId="2" type="noConversion"/>
  </si>
  <si>
    <t>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</si>
  <si>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</si>
  <si>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</si>
  <si>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</si>
  <si>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펌프실배관공사,기타공사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</si>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</sst>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6630.13</v>
      </c>
      <c r="D7" s="36">
        <f>+C7/3.3058</f>
        <v>2005.605299776151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1013750</v>
      </c>
      <c r="E25" s="59">
        <f t="shared" si="0"/>
        <v>3351250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108460</v>
      </c>
      <c r="E27" s="59">
        <f t="shared" si="0"/>
        <v>358540</v>
      </c>
    </row>
    <row r="28" spans="1:5" x14ac:dyDescent="0.3">
      <c r="B28" s="2">
        <v>5</v>
      </c>
      <c r="C28" s="35" t="s">
        <v>97</v>
      </c>
      <c r="D28" s="45">
        <f>+D119</f>
        <v>205320</v>
      </c>
      <c r="E28" s="59">
        <f t="shared" si="0"/>
        <v>678740</v>
      </c>
    </row>
    <row r="29" spans="1:5" x14ac:dyDescent="0.3">
      <c r="B29" s="2">
        <v>6</v>
      </c>
      <c r="C29" s="35" t="s">
        <v>98</v>
      </c>
      <c r="D29" s="45">
        <f>+D133</f>
        <v>97270</v>
      </c>
      <c r="E29" s="59">
        <f t="shared" si="0"/>
        <v>321550</v>
      </c>
    </row>
    <row r="30" spans="1:5" x14ac:dyDescent="0.3">
      <c r="B30" s="2">
        <v>7</v>
      </c>
      <c r="C30" s="35" t="s">
        <v>99</v>
      </c>
      <c r="D30" s="45">
        <f>+D146</f>
        <v>56440</v>
      </c>
      <c r="E30" s="59">
        <f t="shared" si="0"/>
        <v>186570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407340</v>
      </c>
      <c r="E33" s="60">
        <f t="shared" si="0"/>
        <v>1346580</v>
      </c>
    </row>
    <row r="34" spans="1:7" x14ac:dyDescent="0.3">
      <c r="C34" s="35" t="s">
        <v>112</v>
      </c>
      <c r="D34" s="44">
        <f>SUM(D24:D33)</f>
        <v>1888580</v>
      </c>
      <c r="E34" s="44">
        <f>SUM(E24:E33)</f>
        <v>6243230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TRUNC(63642,-1)</f>
        <v>63640</v>
      </c>
      <c r="E40" s="62">
        <f t="shared" ref="E40:E59" si="1">TRUNC(+D40*3.3058,-1)</f>
        <v>210380</v>
      </c>
    </row>
    <row r="41" spans="1:7" x14ac:dyDescent="0.3">
      <c r="A41" s="2">
        <v>2</v>
      </c>
      <c r="C41" s="38" t="s">
        <v>13</v>
      </c>
      <c r="D41" s="42">
        <f>TRUNC(152494,-1)</f>
        <v>152490</v>
      </c>
      <c r="E41" s="63">
        <f t="shared" si="1"/>
        <v>504100</v>
      </c>
    </row>
    <row r="42" spans="1:7" x14ac:dyDescent="0.3">
      <c r="A42" s="2">
        <v>3</v>
      </c>
      <c r="C42" s="38" t="s">
        <v>14</v>
      </c>
      <c r="D42" s="42">
        <f>TRUNC(28008,-1)</f>
        <v>28000</v>
      </c>
      <c r="E42" s="63">
        <f t="shared" si="1"/>
        <v>92560</v>
      </c>
    </row>
    <row r="43" spans="1:7" x14ac:dyDescent="0.3">
      <c r="A43" s="2">
        <v>4</v>
      </c>
      <c r="C43" s="38" t="s">
        <v>16</v>
      </c>
      <c r="D43" s="42">
        <f>TRUNC(12195,-1)</f>
        <v>12190</v>
      </c>
      <c r="E43" s="63">
        <f t="shared" si="1"/>
        <v>40290</v>
      </c>
    </row>
    <row r="44" spans="1:7" x14ac:dyDescent="0.3">
      <c r="A44" s="2">
        <v>5</v>
      </c>
      <c r="C44" s="38" t="s">
        <v>17</v>
      </c>
      <c r="D44" s="42">
        <f>TRUNC(32355,-1)</f>
        <v>32350</v>
      </c>
      <c r="E44" s="63">
        <f t="shared" si="1"/>
        <v>106940</v>
      </c>
    </row>
    <row r="45" spans="1:7" x14ac:dyDescent="0.3">
      <c r="A45" s="2">
        <v>6</v>
      </c>
      <c r="C45" s="38" t="s">
        <v>18</v>
      </c>
      <c r="D45" s="42">
        <f>TRUNC(13387,-1)</f>
        <v>13380</v>
      </c>
      <c r="E45" s="63">
        <f t="shared" si="1"/>
        <v>44230</v>
      </c>
    </row>
    <row r="46" spans="1:7" x14ac:dyDescent="0.3">
      <c r="A46" s="2">
        <v>7</v>
      </c>
      <c r="C46" s="38" t="s">
        <v>19</v>
      </c>
      <c r="D46" s="42">
        <f>TRUNC(42241,-1)</f>
        <v>42240</v>
      </c>
      <c r="E46" s="63">
        <f t="shared" si="1"/>
        <v>139630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TRUNC(49431,-1)</f>
        <v>49430</v>
      </c>
      <c r="E48" s="63">
        <f t="shared" si="1"/>
        <v>163400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TRUNC(17540,-1)</f>
        <v>17540</v>
      </c>
      <c r="E49" s="63">
        <f t="shared" si="1"/>
        <v>57980</v>
      </c>
    </row>
    <row r="50" spans="1:7" x14ac:dyDescent="0.3">
      <c r="A50" s="2">
        <v>11</v>
      </c>
      <c r="C50" s="38" t="s">
        <v>155</v>
      </c>
      <c r="D50" s="42">
        <f>TRUNC(64600,-1)</f>
        <v>64600</v>
      </c>
      <c r="E50" s="63">
        <f t="shared" si="1"/>
        <v>213550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TRUNC(21933,-1)</f>
        <v>21930</v>
      </c>
      <c r="E52" s="63">
        <f t="shared" si="1"/>
        <v>72490</v>
      </c>
    </row>
    <row r="53" spans="1:7" x14ac:dyDescent="0.3">
      <c r="A53" s="2">
        <v>14</v>
      </c>
      <c r="C53" s="38" t="s">
        <v>25</v>
      </c>
      <c r="D53" s="42">
        <f>TRUNC(220491,-1)</f>
        <v>220490</v>
      </c>
      <c r="E53" s="63">
        <f t="shared" si="1"/>
        <v>728890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TRUNC(202+5010-910+685,-1)</f>
        <v>4980</v>
      </c>
      <c r="E58" s="63">
        <f t="shared" si="1"/>
        <v>16460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TRUNC(290493,-1)</f>
        <v>290490</v>
      </c>
      <c r="E59" s="64">
        <f t="shared" si="1"/>
        <v>960300</v>
      </c>
    </row>
    <row r="60" spans="1:7" x14ac:dyDescent="0.3">
      <c r="A60" s="2">
        <v>21</v>
      </c>
      <c r="C60" s="27" t="s">
        <v>112</v>
      </c>
      <c r="D60" s="39">
        <f>SUM(D40:D59)</f>
        <v>1013750</v>
      </c>
      <c r="E60" s="39">
        <f>SUM(E40:E59)</f>
        <v>3351200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TRUNC(4732,-1)</f>
        <v>4730</v>
      </c>
      <c r="E69" s="62">
        <f t="shared" ref="E69:E94" si="2">TRUNC(+D69*3.3058,-1)</f>
        <v>15630</v>
      </c>
    </row>
    <row r="70" spans="1:7" ht="16.5" customHeight="1" x14ac:dyDescent="0.3">
      <c r="A70" s="2">
        <v>2</v>
      </c>
      <c r="C70" s="38" t="s">
        <v>31</v>
      </c>
      <c r="D70" s="42">
        <f>TRUNC(752,-1)</f>
        <v>750</v>
      </c>
      <c r="E70" s="63">
        <f t="shared" si="2"/>
        <v>2470</v>
      </c>
    </row>
    <row r="71" spans="1:7" x14ac:dyDescent="0.3">
      <c r="A71" s="2">
        <v>3</v>
      </c>
      <c r="C71" s="38" t="s">
        <v>32</v>
      </c>
      <c r="D71" s="42">
        <f>TRUNC(4409,-1)</f>
        <v>4400</v>
      </c>
      <c r="E71" s="63">
        <f t="shared" si="2"/>
        <v>14540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TRUNC(21097,-1)</f>
        <v>21090</v>
      </c>
      <c r="E73" s="63">
        <f t="shared" si="2"/>
        <v>69710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TRUNC(49239,-1)</f>
        <v>49230</v>
      </c>
      <c r="E76" s="63">
        <f t="shared" si="2"/>
        <v>162740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TRUNC(7585,-1)</f>
        <v>7580</v>
      </c>
      <c r="E89" s="63">
        <f t="shared" si="2"/>
        <v>25050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TRUNC(3506,-1)</f>
        <v>3500</v>
      </c>
      <c r="E91" s="63">
        <f t="shared" si="2"/>
        <v>11570</v>
      </c>
    </row>
    <row r="92" spans="1:7" x14ac:dyDescent="0.3">
      <c r="A92" s="2">
        <v>24</v>
      </c>
      <c r="C92" s="38" t="s">
        <v>38</v>
      </c>
      <c r="D92" s="42">
        <f>TRUNC(9333,-1)</f>
        <v>9330</v>
      </c>
      <c r="E92" s="63">
        <f t="shared" si="2"/>
        <v>30840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TRUNC(7857,-1)</f>
        <v>7850</v>
      </c>
      <c r="E94" s="64">
        <f t="shared" si="2"/>
        <v>25950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108460</v>
      </c>
      <c r="E95" s="39">
        <f>SUM(E69:E94)</f>
        <v>358500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TRUNC(21390,-1)</f>
        <v>21390</v>
      </c>
      <c r="E98" s="62">
        <f t="shared" ref="E98:E118" si="3">TRUNC(+D98*3.3058,-1)</f>
        <v>70710</v>
      </c>
    </row>
    <row r="99" spans="1:7" x14ac:dyDescent="0.3">
      <c r="A99" s="2">
        <v>2</v>
      </c>
      <c r="C99" s="38" t="s">
        <v>40</v>
      </c>
      <c r="D99" s="42">
        <f>TRUNC(9086,-1)</f>
        <v>9080</v>
      </c>
      <c r="E99" s="63">
        <f t="shared" si="3"/>
        <v>30010</v>
      </c>
    </row>
    <row r="100" spans="1:7" x14ac:dyDescent="0.3">
      <c r="A100" s="2">
        <v>3</v>
      </c>
      <c r="C100" s="38" t="s">
        <v>41</v>
      </c>
      <c r="D100" s="42">
        <f>TRUNC(46215,-1)</f>
        <v>46210</v>
      </c>
      <c r="E100" s="63">
        <f t="shared" si="3"/>
        <v>152760</v>
      </c>
    </row>
    <row r="101" spans="1:7" x14ac:dyDescent="0.3">
      <c r="A101" s="2">
        <v>4</v>
      </c>
      <c r="C101" s="38" t="s">
        <v>42</v>
      </c>
      <c r="D101" s="42">
        <f>TRUNC(623,-1)</f>
        <v>620</v>
      </c>
      <c r="E101" s="63">
        <f t="shared" si="3"/>
        <v>2040</v>
      </c>
    </row>
    <row r="102" spans="1:7" x14ac:dyDescent="0.3">
      <c r="A102" s="2">
        <v>5</v>
      </c>
      <c r="C102" s="38" t="s">
        <v>43</v>
      </c>
      <c r="D102" s="42">
        <f>TRUNC(21799,-1)</f>
        <v>21790</v>
      </c>
      <c r="E102" s="63">
        <f t="shared" si="3"/>
        <v>72030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TRUNC(5621,-1)</f>
        <v>5620</v>
      </c>
      <c r="E104" s="63">
        <f t="shared" si="3"/>
        <v>18570</v>
      </c>
    </row>
    <row r="105" spans="1:7" x14ac:dyDescent="0.3">
      <c r="A105" s="2">
        <v>8</v>
      </c>
      <c r="C105" s="38" t="s">
        <v>46</v>
      </c>
      <c r="D105" s="42">
        <f>TRUNC(13765,-1)</f>
        <v>13760</v>
      </c>
      <c r="E105" s="63">
        <f t="shared" si="3"/>
        <v>45480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TRUNC(1434,-1)</f>
        <v>1430</v>
      </c>
      <c r="E114" s="63">
        <f t="shared" si="3"/>
        <v>4720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TRUNC(6940,-1)</f>
        <v>6940</v>
      </c>
      <c r="E116" s="63">
        <f t="shared" si="3"/>
        <v>22940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TRUNC(78486,-1)</f>
        <v>78480</v>
      </c>
      <c r="E117" s="63">
        <f t="shared" si="3"/>
        <v>259430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205320</v>
      </c>
      <c r="E119" s="39">
        <f>SUM(E98:E118)</f>
        <v>678690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TRUNC(980,-1)</f>
        <v>980</v>
      </c>
      <c r="E122" s="62">
        <f t="shared" ref="E122:E132" si="4">TRUNC(+D122*3.3058,-1)</f>
        <v>3230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TRUNC(2310,-1)</f>
        <v>2310</v>
      </c>
      <c r="E124" s="63">
        <f t="shared" si="4"/>
        <v>7630</v>
      </c>
    </row>
    <row r="125" spans="1:7" x14ac:dyDescent="0.3">
      <c r="A125" s="2">
        <v>4</v>
      </c>
      <c r="C125" s="38" t="s">
        <v>138</v>
      </c>
      <c r="D125" s="42">
        <f>TRUNC(7608,-1)</f>
        <v>7600</v>
      </c>
      <c r="E125" s="63">
        <f t="shared" si="4"/>
        <v>25120</v>
      </c>
    </row>
    <row r="126" spans="1:7" x14ac:dyDescent="0.3">
      <c r="A126" s="2">
        <v>5</v>
      </c>
      <c r="C126" s="38" t="s">
        <v>53</v>
      </c>
      <c r="D126" s="42">
        <f>TRUNC(26355,-1)</f>
        <v>26350</v>
      </c>
      <c r="E126" s="63">
        <f t="shared" si="4"/>
        <v>87100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TRUNC(11568,-1)</f>
        <v>11560</v>
      </c>
      <c r="E128" s="63">
        <f t="shared" si="4"/>
        <v>38210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TRUNC(20529,-1)</f>
        <v>20520</v>
      </c>
      <c r="E130" s="63">
        <f t="shared" si="4"/>
        <v>67830</v>
      </c>
    </row>
    <row r="131" spans="1:7" x14ac:dyDescent="0.3">
      <c r="A131" s="2">
        <v>10</v>
      </c>
      <c r="C131" s="38" t="s">
        <v>148</v>
      </c>
      <c r="D131" s="42">
        <f>TRUNC(27954,-1)</f>
        <v>27950</v>
      </c>
      <c r="E131" s="63">
        <f t="shared" si="4"/>
        <v>92390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97270</v>
      </c>
      <c r="E133" s="39">
        <f>SUM(E122:E132)</f>
        <v>321510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TRUNC(5160+16559,-1)</f>
        <v>21710</v>
      </c>
      <c r="E137" s="63">
        <f t="shared" si="5"/>
        <v>71760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TRUNC(5107,-1)</f>
        <v>5100</v>
      </c>
      <c r="E139" s="63">
        <f t="shared" si="5"/>
        <v>16850</v>
      </c>
    </row>
    <row r="140" spans="1:7" x14ac:dyDescent="0.3">
      <c r="A140" s="2">
        <v>5</v>
      </c>
      <c r="C140" s="38" t="s">
        <v>57</v>
      </c>
      <c r="D140" s="42">
        <f>TRUNC(3478,-1)</f>
        <v>3470</v>
      </c>
      <c r="E140" s="63">
        <f t="shared" si="5"/>
        <v>11470</v>
      </c>
    </row>
    <row r="141" spans="1:7" x14ac:dyDescent="0.3">
      <c r="A141" s="2">
        <v>6</v>
      </c>
      <c r="C141" s="38" t="s">
        <v>59</v>
      </c>
      <c r="D141" s="42">
        <f>TRUNC(10270,-1)</f>
        <v>10270</v>
      </c>
      <c r="E141" s="63">
        <f t="shared" si="5"/>
        <v>33950</v>
      </c>
    </row>
    <row r="142" spans="1:7" x14ac:dyDescent="0.3">
      <c r="A142" s="2">
        <v>7</v>
      </c>
      <c r="C142" s="38" t="s">
        <v>58</v>
      </c>
      <c r="D142" s="42">
        <f>TRUNC(6004,-1)</f>
        <v>6000</v>
      </c>
      <c r="E142" s="63">
        <f t="shared" si="5"/>
        <v>19830</v>
      </c>
    </row>
    <row r="143" spans="1:7" x14ac:dyDescent="0.3">
      <c r="A143" s="2">
        <v>8</v>
      </c>
      <c r="C143" s="38" t="s">
        <v>62</v>
      </c>
      <c r="D143" s="42">
        <f>TRUNC(6260,-1)</f>
        <v>6260</v>
      </c>
      <c r="E143" s="63">
        <f t="shared" si="5"/>
        <v>20690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f>TRUNC(3637,-1)</f>
        <v>3630</v>
      </c>
      <c r="E145" s="64">
        <f t="shared" si="5"/>
        <v>12000</v>
      </c>
    </row>
    <row r="146" spans="1:7" x14ac:dyDescent="0.3">
      <c r="A146" s="2">
        <v>11</v>
      </c>
      <c r="C146" s="27" t="s">
        <v>112</v>
      </c>
      <c r="D146" s="39">
        <f>SUM(D136:D145)</f>
        <v>56440</v>
      </c>
      <c r="E146" s="39">
        <f>SUM(E136:E145)</f>
        <v>186550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2020-12-08T02:47:35Z</dcterms:modified>
</cp:coreProperties>
</file>