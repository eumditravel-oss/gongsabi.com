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50" i="4"/>
  <c r="E145" i="4"/>
  <c r="E144" i="4"/>
  <c r="E143" i="4"/>
  <c r="E142" i="4"/>
  <c r="E141" i="4"/>
  <c r="E140" i="4"/>
  <c r="E139" i="4"/>
  <c r="E138" i="4"/>
  <c r="E137" i="4"/>
  <c r="E130" i="4"/>
  <c r="E129" i="4"/>
  <c r="E127" i="4"/>
  <c r="E126" i="4"/>
  <c r="E124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4" i="4"/>
  <c r="E103" i="4"/>
  <c r="E101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73" i="4"/>
  <c r="E72" i="4"/>
  <c r="E65" i="4"/>
  <c r="E64" i="4"/>
  <c r="E57" i="4"/>
  <c r="E56" i="4"/>
  <c r="D159" i="4" l="1"/>
  <c r="E159" i="4" s="1"/>
  <c r="D158" i="4"/>
  <c r="E158" i="4" s="1"/>
  <c r="D157" i="4"/>
  <c r="E157" i="4" s="1"/>
  <c r="E161" i="4" s="1"/>
  <c r="D152" i="4"/>
  <c r="E152" i="4" s="1"/>
  <c r="D149" i="4"/>
  <c r="E149" i="4" s="1"/>
  <c r="D136" i="4"/>
  <c r="E136" i="4" s="1"/>
  <c r="E146" i="4" s="1"/>
  <c r="D132" i="4"/>
  <c r="E132" i="4" s="1"/>
  <c r="D131" i="4"/>
  <c r="E131" i="4" s="1"/>
  <c r="D128" i="4"/>
  <c r="E128" i="4" s="1"/>
  <c r="D125" i="4"/>
  <c r="E125" i="4" s="1"/>
  <c r="D123" i="4"/>
  <c r="E123" i="4" s="1"/>
  <c r="D118" i="4"/>
  <c r="E118" i="4" s="1"/>
  <c r="D117" i="4"/>
  <c r="E117" i="4" s="1"/>
  <c r="D105" i="4"/>
  <c r="E105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78" i="4"/>
  <c r="E78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133" i="4" l="1"/>
  <c r="E95" i="4"/>
  <c r="E119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3" i="4"/>
  <c r="E33" i="4" s="1"/>
  <c r="D34" i="4" l="1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<sst xmlns="http://schemas.openxmlformats.org/spreadsheetml/2006/main" count="394" uniqueCount="267">
  <si>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</si>
  <si>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</si>
  <si>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</si>
  <si>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</si>
  <si>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</si>
  <si>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</si>
  <si>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</si>
  <si>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</si>
  <si>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</si>
  <si>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</si>
  <si>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</si>
  <si>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</si>
  <si>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</si>
  <si>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</si>
  <si>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</si>
  <si>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</si>
  <si>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</si>
  <si>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</si>
  <si>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</si>
  <si>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</si>
  <si>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</si>
  <si>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</si>
  <si>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</si>
  <si>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</si>
  <si>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</si>
  <si>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</si>
  <si>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</si>
  <si>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</si>
  <si>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</si>
  <si>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</si>
  <si>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</si>
  <si>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</si>
  <si>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</si>
  <si>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</si>
  <si>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</si>
  <si>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</si>
  <si>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</si>
  <si>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</si>
  <si>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</si>
  <si>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</si>
  <si>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</si>
  <si>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</si>
  <si>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</si>
  <si>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</si>
  <si>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</si>
  <si>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</si>
  <si>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</si>
  <si>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</si>
  <si>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</si>
  <si>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</si>
  <si>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</si>
  <si>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</si>
  <si>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</si>
  <si>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</si>
  <si>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</si>
  <si>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</si>
  <si>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</si>
  <si>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</si>
  <si>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</si>
  <si>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</si>
  <si>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</si>
  <si>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</si>
  <si>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</si>
  <si>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</si>
  <si>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</si>
  <si>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</si>
  <si>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</si>
  <si>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</si>
  <si>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</si>
  <si>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</si>
  <si>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</si>
  <si>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</si>
  <si>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</si>
  <si>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</si>
  <si>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</si>
  <si>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</si>
  <si>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</si>
  <si>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</si>
  <si>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</si>
  <si>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</si>
  <si>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</si>
  <si>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</si>
  <si>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</si>
  <si>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</si>
  <si>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</si>
  <si>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</si>
  <si>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</si>
  <si>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</si>
  <si>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</si>
  <si>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</si>
  <si>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</si>
  <si>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</si>
  <si>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</si>
  <si>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</si>
  <si>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</si>
  <si>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</si>
  <si>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</si>
  <si>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</si>
  <si>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</si>
  <si>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</si>
  <si>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</si>
  <si>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</si>
  <si>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</si>
  <si>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</si>
  <si>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</si>
  <si>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</si>
  <si>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</si>
  <si>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</si>
  <si>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</si>
  <si>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</si>
  <si>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</si>
  <si>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</si>
  <si>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</si>
  <si>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</si>
  <si>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</si>
  <si>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</si>
  <si>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</si>
  <si>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</si>
  <si>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</si>
  <si>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</si>
  <si>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</si>
  <si>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</si>
  <si>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</si>
  <si>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</si>
  <si>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</si>
  <si>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</si>
  <si>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</si>
  <si>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</si>
  <si>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</si>
  <si>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</si>
  <si>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</si>
  <si>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</si>
  <si>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</si>
  <si>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</si>
  <si>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</si>
  <si>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</si>
  <si>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</si>
  <si>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</si>
  <si>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</si>
  <si>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</si>
  <si>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</si>
  <si>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</si>
  <si>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</si>
  <si>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</si>
  <si>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</si>
  <si>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</si>
  <si>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</si>
  <si>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</si>
  <si>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</si>
  <si>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</si>
  <si>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</si>
  <si>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</si>
  <si>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</si>
  <si>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</si>
  <si>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</si>
  <si>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</si>
  <si>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</si>
  <si>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</si>
  <si>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</si>
  <si>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</si>
  <si>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</si>
  <si>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</si>
  <si>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</si>
  <si>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</si>
  <si>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</si>
  <si>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</si>
  <si>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</si>
  <si>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</si>
  <si>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</si>
  <si>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</si>
  <si>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</si>
  <si>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</si>
  <si>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</si>
  <si>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</si>
  <si>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</si>
  <si>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</si>
  <si>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</si>
  <si>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</si>
  <si>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</si>
  <si>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</si>
  <si>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</si>
  <si>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</si>
  <si>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</si>
  <si>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</si>
  <si>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</si>
  <si>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</si>
  <si>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</si>
  <si>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</si>
  <si>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</si>
  <si>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</si>
  <si>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</si>
  <si>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</si>
  <si>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</si>
  <si>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</si>
  <si>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</si>
  <si>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</si>
  <si>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</si>
  <si>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</si>
  <si>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</si>
  <si>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</si>
  <si>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</si>
  <si>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</si>
  <si>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</si>
  <si>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</si>
  <si>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</si>
  <si>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</si>
  <si>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</si>
  <si>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</si>
  <si>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</si>
  <si>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</si>
  <si>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</si>
  <si>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</si>
  <si>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</si>
  <si>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</si>
  <si>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</si>
  <si>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</si>
  <si>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</si>
  <si>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</si>
  <si>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</si>
  <si>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</si>
  <si>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</si>
  <si>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</si>
  <si>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</si>
  <si>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</si>
  <si>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</si>
  <si>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</si>
  <si>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</si>
  <si>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</si>
  <si>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</si>
  <si>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</si>
  <si>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</si>
  <si>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</si>
  <si>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</si>
  <si>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</si>
  <si>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</si>
  <si>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전기소방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</si>
  <si>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</si>
  <si>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</si>
  <si>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</si>
  <si>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</si>
  <si>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</si>
  <si>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</si>
  <si>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</si>
  <si>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</si>
  <si>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</si>
  <si>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</si>
  <si>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</si>
  <si>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</si>
  <si>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</si>
  <si>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</si>
  <si>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00시립도서관 신축공사</t>
  </si>
  <si>
    <t>전라도</t>
  </si>
  <si>
    <t>홈통/잡공사</t>
    <phoneticPr fontId="2" type="noConversion"/>
  </si>
  <si>
    <t>기초/토공사,자재대/운반비,사급자재비,품질시험비</t>
    <phoneticPr fontId="2" type="noConversion"/>
  </si>
  <si>
    <t>도급자설치관급, 관급자설치관급</t>
    <phoneticPr fontId="2" type="noConversion"/>
  </si>
  <si>
    <t>토목 상수공, 부대공</t>
    <phoneticPr fontId="2" type="noConversion"/>
  </si>
  <si>
    <t>포장공사, 수반공사</t>
    <phoneticPr fontId="2" type="noConversion"/>
  </si>
  <si>
    <t>공조닥트,배관공사</t>
  </si>
  <si>
    <t>위생기구,배관공사</t>
    <phoneticPr fontId="2" type="noConversion"/>
  </si>
  <si>
    <t>기타공사</t>
    <phoneticPr fontId="2" type="noConversion"/>
  </si>
  <si>
    <t>RACE WAY 설치공사,GHP 실내기 제어배관 설치공사,경관조명설비공사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</si>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</sst>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4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5508</v>
      </c>
      <c r="D7" s="36">
        <f>+C7/3.3058</f>
        <v>1666.1625022687397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3470</v>
      </c>
      <c r="E24" s="58">
        <f t="shared" ref="E24:E33" si="0">TRUNC(+D24*3.3058,-1)</f>
        <v>11470</v>
      </c>
    </row>
    <row r="25" spans="1:5" x14ac:dyDescent="0.3">
      <c r="B25" s="2">
        <v>2</v>
      </c>
      <c r="C25" s="35" t="s">
        <v>111</v>
      </c>
      <c r="D25" s="45">
        <f>+D60</f>
        <v>727480</v>
      </c>
      <c r="E25" s="59">
        <f t="shared" si="0"/>
        <v>2404900</v>
      </c>
    </row>
    <row r="26" spans="1:5" x14ac:dyDescent="0.3">
      <c r="B26" s="2">
        <v>3</v>
      </c>
      <c r="C26" s="35" t="s">
        <v>95</v>
      </c>
      <c r="D26" s="45">
        <f>+D66</f>
        <v>36780</v>
      </c>
      <c r="E26" s="59">
        <f t="shared" si="0"/>
        <v>121580</v>
      </c>
    </row>
    <row r="27" spans="1:5" x14ac:dyDescent="0.3">
      <c r="B27" s="2">
        <v>4</v>
      </c>
      <c r="C27" s="35" t="s">
        <v>96</v>
      </c>
      <c r="D27" s="45">
        <f>+D95</f>
        <v>328440</v>
      </c>
      <c r="E27" s="59">
        <f t="shared" si="0"/>
        <v>1085750</v>
      </c>
    </row>
    <row r="28" spans="1:5" x14ac:dyDescent="0.3">
      <c r="B28" s="2">
        <v>5</v>
      </c>
      <c r="C28" s="35" t="s">
        <v>97</v>
      </c>
      <c r="D28" s="45">
        <f>+D119</f>
        <v>132480</v>
      </c>
      <c r="E28" s="59">
        <f t="shared" si="0"/>
        <v>437950</v>
      </c>
    </row>
    <row r="29" spans="1:5" x14ac:dyDescent="0.3">
      <c r="B29" s="2">
        <v>6</v>
      </c>
      <c r="C29" s="35" t="s">
        <v>98</v>
      </c>
      <c r="D29" s="45">
        <f>+D133</f>
        <v>30610</v>
      </c>
      <c r="E29" s="59">
        <f t="shared" si="0"/>
        <v>101190</v>
      </c>
    </row>
    <row r="30" spans="1:5" x14ac:dyDescent="0.3">
      <c r="B30" s="2">
        <v>7</v>
      </c>
      <c r="C30" s="35" t="s">
        <v>99</v>
      </c>
      <c r="D30" s="45">
        <f>+D146</f>
        <v>13310</v>
      </c>
      <c r="E30" s="59">
        <f t="shared" si="0"/>
        <v>44000</v>
      </c>
    </row>
    <row r="31" spans="1:5" x14ac:dyDescent="0.3">
      <c r="B31" s="2">
        <v>8</v>
      </c>
      <c r="C31" s="35" t="s">
        <v>100</v>
      </c>
      <c r="D31" s="45">
        <f>+D154</f>
        <v>5320</v>
      </c>
      <c r="E31" s="59">
        <f t="shared" si="0"/>
        <v>17580</v>
      </c>
    </row>
    <row r="32" spans="1:5" x14ac:dyDescent="0.3">
      <c r="B32" s="2">
        <v>9</v>
      </c>
      <c r="C32" s="35" t="s">
        <v>101</v>
      </c>
      <c r="D32" s="45">
        <f>+D161</f>
        <v>42210</v>
      </c>
      <c r="E32" s="59">
        <f t="shared" si="0"/>
        <v>139530</v>
      </c>
    </row>
    <row r="33" spans="1:7" x14ac:dyDescent="0.3">
      <c r="B33" s="2">
        <v>10</v>
      </c>
      <c r="C33" s="35" t="s">
        <v>154</v>
      </c>
      <c r="D33" s="53">
        <f>TRUNC(SUM(D24:D32)*0.275,-1)</f>
        <v>363020</v>
      </c>
      <c r="E33" s="60">
        <f t="shared" si="0"/>
        <v>1200070</v>
      </c>
    </row>
    <row r="34" spans="1:7" x14ac:dyDescent="0.3">
      <c r="C34" s="35" t="s">
        <v>112</v>
      </c>
      <c r="D34" s="44">
        <f>SUM(D24:D33)</f>
        <v>1683120</v>
      </c>
      <c r="E34" s="44">
        <f>SUM(E24:E33)</f>
        <v>5564020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TRUNC(3474.70987654321,-1)</f>
        <v>3470</v>
      </c>
      <c r="E37" s="61">
        <f>TRUNC(+D37*3.3058,-1)</f>
        <v>11470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TRUNC(43680.9891067538,-1)</f>
        <v>43680</v>
      </c>
      <c r="E40" s="62">
        <f t="shared" ref="E40:E59" si="1">TRUNC(+D40*3.3058,-1)</f>
        <v>144390</v>
      </c>
    </row>
    <row r="41" spans="1:7" x14ac:dyDescent="0.3">
      <c r="A41" s="2">
        <v>2</v>
      </c>
      <c r="C41" s="38" t="s">
        <v>13</v>
      </c>
      <c r="D41" s="42">
        <f>TRUNC(110795.369281046,-1)</f>
        <v>110790</v>
      </c>
      <c r="E41" s="63">
        <f t="shared" si="1"/>
        <v>366240</v>
      </c>
    </row>
    <row r="42" spans="1:7" x14ac:dyDescent="0.3">
      <c r="A42" s="2">
        <v>3</v>
      </c>
      <c r="C42" s="38" t="s">
        <v>14</v>
      </c>
      <c r="D42" s="42">
        <f>TRUNC(11510.4124909223,-1)</f>
        <v>11510</v>
      </c>
      <c r="E42" s="63">
        <f t="shared" si="1"/>
        <v>38040</v>
      </c>
    </row>
    <row r="43" spans="1:7" x14ac:dyDescent="0.3">
      <c r="A43" s="2">
        <v>4</v>
      </c>
      <c r="C43" s="38" t="s">
        <v>16</v>
      </c>
      <c r="D43" s="42">
        <f>TRUNC(9897.60421205519,-1)</f>
        <v>9890</v>
      </c>
      <c r="E43" s="63">
        <f t="shared" si="1"/>
        <v>32690</v>
      </c>
    </row>
    <row r="44" spans="1:7" x14ac:dyDescent="0.3">
      <c r="A44" s="2">
        <v>5</v>
      </c>
      <c r="C44" s="38" t="s">
        <v>17</v>
      </c>
      <c r="D44" s="42">
        <f>TRUNC(28756.8376906318,-1)</f>
        <v>28750</v>
      </c>
      <c r="E44" s="63">
        <f t="shared" si="1"/>
        <v>95040</v>
      </c>
    </row>
    <row r="45" spans="1:7" x14ac:dyDescent="0.3">
      <c r="A45" s="2">
        <v>6</v>
      </c>
      <c r="C45" s="38" t="s">
        <v>18</v>
      </c>
      <c r="D45" s="42">
        <f>TRUNC(8510.40595497458,-1)</f>
        <v>8510</v>
      </c>
      <c r="E45" s="63">
        <f t="shared" si="1"/>
        <v>28130</v>
      </c>
    </row>
    <row r="46" spans="1:7" x14ac:dyDescent="0.3">
      <c r="A46" s="2">
        <v>7</v>
      </c>
      <c r="C46" s="38" t="s">
        <v>19</v>
      </c>
      <c r="D46" s="42">
        <f>TRUNC(51564.8863471314,-1)</f>
        <v>51560</v>
      </c>
      <c r="E46" s="63">
        <f t="shared" si="1"/>
        <v>170440</v>
      </c>
    </row>
    <row r="47" spans="1:7" x14ac:dyDescent="0.3">
      <c r="A47" s="2">
        <v>8</v>
      </c>
      <c r="C47" s="38" t="s">
        <v>20</v>
      </c>
      <c r="D47" s="42">
        <f>TRUNC(6869.25490196078,-1)</f>
        <v>6860</v>
      </c>
      <c r="E47" s="63">
        <f t="shared" si="1"/>
        <v>22670</v>
      </c>
    </row>
    <row r="48" spans="1:7" x14ac:dyDescent="0.3">
      <c r="A48" s="2">
        <v>9</v>
      </c>
      <c r="C48" s="38" t="s">
        <v>21</v>
      </c>
      <c r="D48" s="42">
        <f>TRUNC(32634.8175381264,-1)</f>
        <v>32630</v>
      </c>
      <c r="E48" s="63">
        <f t="shared" si="1"/>
        <v>107860</v>
      </c>
    </row>
    <row r="49" spans="1:7" x14ac:dyDescent="0.3">
      <c r="A49" s="2">
        <v>10</v>
      </c>
      <c r="C49" s="38" t="s">
        <v>22</v>
      </c>
      <c r="D49" s="42">
        <f>TRUNC(17345.8861655773,-1)</f>
        <v>17340</v>
      </c>
      <c r="E49" s="63">
        <f t="shared" si="1"/>
        <v>57320</v>
      </c>
    </row>
    <row r="50" spans="1:7" x14ac:dyDescent="0.3">
      <c r="A50" s="2">
        <v>11</v>
      </c>
      <c r="C50" s="38" t="s">
        <v>155</v>
      </c>
      <c r="D50" s="42">
        <f>TRUNC(10416.0974945534,-1)</f>
        <v>10410</v>
      </c>
      <c r="E50" s="63">
        <f t="shared" si="1"/>
        <v>34410</v>
      </c>
    </row>
    <row r="51" spans="1:7" x14ac:dyDescent="0.3">
      <c r="A51" s="2">
        <v>12</v>
      </c>
      <c r="C51" s="38" t="s">
        <v>23</v>
      </c>
      <c r="D51" s="42">
        <f>TRUNC(31128.8248002905,-1)</f>
        <v>31120</v>
      </c>
      <c r="E51" s="63">
        <f t="shared" si="1"/>
        <v>102870</v>
      </c>
    </row>
    <row r="52" spans="1:7" x14ac:dyDescent="0.3">
      <c r="A52" s="2">
        <v>13</v>
      </c>
      <c r="C52" s="38" t="s">
        <v>24</v>
      </c>
      <c r="D52" s="42">
        <f>TRUNC(2927.48529411765,-1)</f>
        <v>2920</v>
      </c>
      <c r="E52" s="63">
        <f t="shared" si="1"/>
        <v>9650</v>
      </c>
    </row>
    <row r="53" spans="1:7" x14ac:dyDescent="0.3">
      <c r="A53" s="2">
        <v>14</v>
      </c>
      <c r="C53" s="38" t="s">
        <v>25</v>
      </c>
      <c r="D53" s="42">
        <f>TRUNC(75053.0962236747,-1)</f>
        <v>75050</v>
      </c>
      <c r="E53" s="63">
        <f t="shared" si="1"/>
        <v>248100</v>
      </c>
    </row>
    <row r="54" spans="1:7" x14ac:dyDescent="0.3">
      <c r="A54" s="2">
        <v>15</v>
      </c>
      <c r="C54" s="38" t="s">
        <v>147</v>
      </c>
      <c r="D54" s="42">
        <f>TRUNC(25335.7291212781,-1)</f>
        <v>25330</v>
      </c>
      <c r="E54" s="63">
        <f t="shared" si="1"/>
        <v>83730</v>
      </c>
    </row>
    <row r="55" spans="1:7" x14ac:dyDescent="0.3">
      <c r="A55" s="2">
        <v>16</v>
      </c>
      <c r="C55" s="38" t="s">
        <v>144</v>
      </c>
      <c r="D55" s="42">
        <f>TRUNC(3690.1684822077,-1)</f>
        <v>3690</v>
      </c>
      <c r="E55" s="63">
        <f t="shared" si="1"/>
        <v>12190</v>
      </c>
      <c r="F55" s="2" t="s">
        <v>252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TRUNC(960.78140885984+5985.95533769063+74117.577523602+181.899055918664,-1)</f>
        <v>81240</v>
      </c>
      <c r="E58" s="63">
        <f t="shared" si="1"/>
        <v>268560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TRUNC(114349.854756717+61854.3936092955,-1)</f>
        <v>176200</v>
      </c>
      <c r="E59" s="64">
        <f t="shared" si="1"/>
        <v>582480</v>
      </c>
      <c r="F59" s="2" t="s">
        <v>254</v>
      </c>
    </row>
    <row r="60" spans="1:7" x14ac:dyDescent="0.3">
      <c r="A60" s="2">
        <v>21</v>
      </c>
      <c r="C60" s="27" t="s">
        <v>112</v>
      </c>
      <c r="D60" s="39">
        <f>SUM(D40:D59)</f>
        <v>727480</v>
      </c>
      <c r="E60" s="39">
        <f>SUM(E40:E59)</f>
        <v>2404810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TRUNC(36782.1149237473,-1)</f>
        <v>36780</v>
      </c>
      <c r="E63" s="62">
        <f>TRUNC(+D63*3.3058,-1)</f>
        <v>121580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36780</v>
      </c>
      <c r="E66" s="65">
        <f>SUM(E63:E65)</f>
        <v>121580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TRUNC(3698.93518518519,-1)</f>
        <v>3690</v>
      </c>
      <c r="E69" s="62">
        <f>TRUNC(+D69*3.3058,-1)</f>
        <v>12190</v>
      </c>
    </row>
    <row r="70" spans="1:7" ht="16.5" customHeight="1" x14ac:dyDescent="0.3">
      <c r="A70" s="2">
        <v>2</v>
      </c>
      <c r="C70" s="38" t="s">
        <v>31</v>
      </c>
      <c r="D70" s="42">
        <f>TRUNC(1038.8779956427,-1)</f>
        <v>1030</v>
      </c>
      <c r="E70" s="63">
        <f>TRUNC(+D70*3.3058,-1)</f>
        <v>3400</v>
      </c>
    </row>
    <row r="71" spans="1:7" x14ac:dyDescent="0.3">
      <c r="A71" s="2">
        <v>3</v>
      </c>
      <c r="C71" s="38" t="s">
        <v>32</v>
      </c>
      <c r="D71" s="42">
        <f>TRUNC(8443.72821350763,-1)</f>
        <v>8440</v>
      </c>
      <c r="E71" s="63">
        <f t="shared" ref="E71:E73" si="2">TRUNC(+D71*3.3058,-1)</f>
        <v>27900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TRUNC(59463.7950254176,-1)</f>
        <v>59460</v>
      </c>
      <c r="E78" s="63">
        <f t="shared" si="3"/>
        <v>196560</v>
      </c>
      <c r="F78" s="2" t="s">
        <v>257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TRUNC(18088.4769426289,-1)</f>
        <v>18080</v>
      </c>
      <c r="E92" s="63">
        <f>TRUNC(+D92*3.3058,-1)</f>
        <v>59760</v>
      </c>
      <c r="F92" s="2" t="s">
        <v>258</v>
      </c>
    </row>
    <row r="93" spans="1:7" x14ac:dyDescent="0.3">
      <c r="A93" s="2">
        <v>25</v>
      </c>
      <c r="C93" s="38" t="s">
        <v>148</v>
      </c>
      <c r="D93" s="42">
        <f>TRUNC(231060.820624546,-1)</f>
        <v>231060</v>
      </c>
      <c r="E93" s="63">
        <f>TRUNC(+D93*3.3058,-1)</f>
        <v>763830</v>
      </c>
      <c r="F93" s="2" t="s">
        <v>261</v>
      </c>
    </row>
    <row r="94" spans="1:7" ht="17.25" thickBot="1" x14ac:dyDescent="0.35">
      <c r="A94" s="2">
        <v>26</v>
      </c>
      <c r="C94" s="38" t="s">
        <v>47</v>
      </c>
      <c r="D94" s="43">
        <f>TRUNC(6681.6045751634,-1)</f>
        <v>6680</v>
      </c>
      <c r="E94" s="64">
        <f>TRUNC(+D94*3.3058,-1)</f>
        <v>22080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328440</v>
      </c>
      <c r="E95" s="39">
        <f>SUM(E69:E94)</f>
        <v>1085720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TRUNC(9222.67011619463,-1)</f>
        <v>9220</v>
      </c>
      <c r="E98" s="62">
        <f t="shared" ref="E98:E118" si="4">TRUNC(+D98*3.3058,-1)</f>
        <v>30470</v>
      </c>
    </row>
    <row r="99" spans="1:7" x14ac:dyDescent="0.3">
      <c r="A99" s="2">
        <v>2</v>
      </c>
      <c r="C99" s="38" t="s">
        <v>40</v>
      </c>
      <c r="D99" s="42">
        <f>TRUNC(8503.3720043573,-1)</f>
        <v>8500</v>
      </c>
      <c r="E99" s="63">
        <f t="shared" si="4"/>
        <v>28090</v>
      </c>
    </row>
    <row r="100" spans="1:7" x14ac:dyDescent="0.3">
      <c r="A100" s="2">
        <v>3</v>
      </c>
      <c r="C100" s="38" t="s">
        <v>41</v>
      </c>
      <c r="D100" s="42">
        <f>TRUNC(14695.4054103123,-1)</f>
        <v>14690</v>
      </c>
      <c r="E100" s="63">
        <f t="shared" si="4"/>
        <v>48560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TRUNC(7124.99673202614,-1)</f>
        <v>7120</v>
      </c>
      <c r="E102" s="63">
        <f t="shared" si="4"/>
        <v>23530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TRUNC(2615.8663761801,-1)</f>
        <v>2610</v>
      </c>
      <c r="E105" s="63">
        <f t="shared" si="4"/>
        <v>8620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TRUNC(29377.5780682643+58575.0363108206,-1)</f>
        <v>87950</v>
      </c>
      <c r="E117" s="63">
        <f t="shared" si="4"/>
        <v>290740</v>
      </c>
      <c r="F117" s="2" t="s">
        <v>254</v>
      </c>
    </row>
    <row r="118" spans="1:7" ht="17.25" thickBot="1" x14ac:dyDescent="0.35">
      <c r="A118" s="2">
        <v>21</v>
      </c>
      <c r="C118" s="38" t="s">
        <v>47</v>
      </c>
      <c r="D118" s="43">
        <f>TRUNC(1331.20388525781+369.611111111111+691.655591866376,-1)</f>
        <v>2390</v>
      </c>
      <c r="E118" s="64">
        <f t="shared" si="4"/>
        <v>7900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132480</v>
      </c>
      <c r="E119" s="39">
        <f>SUM(E98:E118)</f>
        <v>437910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TRUNC(18155.3316993464,-1)</f>
        <v>18150</v>
      </c>
      <c r="E123" s="63">
        <f t="shared" si="5"/>
        <v>60000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TRUNC(3665.46205519245,-1)</f>
        <v>3660</v>
      </c>
      <c r="E125" s="63">
        <f t="shared" si="5"/>
        <v>12090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TRUNC(5391.25726216412,-1)</f>
        <v>5390</v>
      </c>
      <c r="E128" s="63">
        <f t="shared" si="5"/>
        <v>17810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TRUNC(2882.89760348584,-1)</f>
        <v>2880</v>
      </c>
      <c r="E131" s="63">
        <f t="shared" si="5"/>
        <v>9520</v>
      </c>
      <c r="F131" s="2" t="s">
        <v>261</v>
      </c>
    </row>
    <row r="132" spans="1:7" ht="18" thickBot="1" x14ac:dyDescent="0.35">
      <c r="A132" s="2">
        <v>11</v>
      </c>
      <c r="C132" s="38" t="s">
        <v>47</v>
      </c>
      <c r="D132" s="43">
        <f>TRUNC(537.902687000726,-1)</f>
        <v>530</v>
      </c>
      <c r="E132" s="64">
        <f t="shared" si="5"/>
        <v>1750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30610</v>
      </c>
      <c r="E133" s="39">
        <f>SUM(E122:E132)</f>
        <v>101170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TRUNC(13318.0590050835,-1)</f>
        <v>13310</v>
      </c>
      <c r="E136" s="62">
        <f t="shared" ref="E136:E145" si="6">TRUNC(+D136*3.3058,-1)</f>
        <v>44000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  <c r="F137" s="2" t="s">
        <v>235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13310</v>
      </c>
      <c r="E146" s="39">
        <f>SUM(E136:E145)</f>
        <v>44000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TRUNC(1599.22912127814+616.443899782135,-1)</f>
        <v>2210</v>
      </c>
      <c r="E149" s="62">
        <f>TRUNC(+D149*3.3058,-1)</f>
        <v>7300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TRUNC(80.2200435729847+3037.61982570806,-1)</f>
        <v>3110</v>
      </c>
      <c r="E152" s="63">
        <f>TRUNC(+D152*3.3058,-1)</f>
        <v>10280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5320</v>
      </c>
      <c r="E154" s="39">
        <f>SUM(E149:E153)</f>
        <v>17580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TRUNC(3000.24019607843,-1)</f>
        <v>3000</v>
      </c>
      <c r="E157" s="62">
        <f>TRUNC(+D157*3.3058,-1)</f>
        <v>9910</v>
      </c>
    </row>
    <row r="158" spans="1:7" x14ac:dyDescent="0.3">
      <c r="A158" s="2">
        <v>2</v>
      </c>
      <c r="C158" s="38" t="s">
        <v>52</v>
      </c>
      <c r="D158" s="42">
        <f>TRUNC(6248.25816993464,-1)</f>
        <v>6240</v>
      </c>
      <c r="E158" s="63">
        <f>TRUNC(+D158*3.3058,-1)</f>
        <v>20620</v>
      </c>
    </row>
    <row r="159" spans="1:7" x14ac:dyDescent="0.3">
      <c r="A159" s="2">
        <v>3</v>
      </c>
      <c r="C159" s="38" t="s">
        <v>47</v>
      </c>
      <c r="D159" s="42">
        <f>TRUNC(24443.9043209877+8527.59931009441,-1)</f>
        <v>32970</v>
      </c>
      <c r="E159" s="63">
        <f>TRUNC(+D159*3.3058,-1)</f>
        <v>108990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42210</v>
      </c>
      <c r="E161" s="39">
        <f>SUM(E157:E160)</f>
        <v>139520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2020-12-07T09:13:14Z</dcterms:modified>
</cp:coreProperties>
</file>