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28" i="4"/>
  <c r="D126" i="4"/>
  <c r="D125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6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<sst xmlns="http://schemas.openxmlformats.org/spreadsheetml/2006/main" count="393" uniqueCount="267">
  <si>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</si>
  <si>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</si>
  <si>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</si>
  <si>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</si>
  <si>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</si>
  <si>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</si>
  <si>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</si>
  <si>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</si>
  <si>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</si>
  <si>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</si>
  <si>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</si>
  <si>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</si>
  <si>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</si>
  <si>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</si>
  <si>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</si>
  <si>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</si>
  <si>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</si>
  <si>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</si>
  <si>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</si>
  <si>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</si>
  <si>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</si>
  <si>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</si>
  <si>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</si>
  <si>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</si>
  <si>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</si>
  <si>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</si>
  <si>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</si>
  <si>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</si>
  <si>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</si>
  <si>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</si>
  <si>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</si>
  <si>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</si>
  <si>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</si>
  <si>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</si>
  <si>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</si>
  <si>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</si>
  <si>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</si>
  <si>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</si>
  <si>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</si>
  <si>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</si>
  <si>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</si>
  <si>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</si>
  <si>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</si>
  <si>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</si>
  <si>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</si>
  <si>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</si>
  <si>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</si>
  <si>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</si>
  <si>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</si>
  <si>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</si>
  <si>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</si>
  <si>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</si>
  <si>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</si>
  <si>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</si>
  <si>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</si>
  <si>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</si>
  <si>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</si>
  <si>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</si>
  <si>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</si>
  <si>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</si>
  <si>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</si>
  <si>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</si>
  <si>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</si>
  <si>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</si>
  <si>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</si>
  <si>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</si>
  <si>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</si>
  <si>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</si>
  <si>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</si>
  <si>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</si>
  <si>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</si>
  <si>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</si>
  <si>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</si>
  <si>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</si>
  <si>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</si>
  <si>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</si>
  <si>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</si>
  <si>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</si>
  <si>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</si>
  <si>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</si>
  <si>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</si>
  <si>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</si>
  <si>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</si>
  <si>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</si>
  <si>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</si>
  <si>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</si>
  <si>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</si>
  <si>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</si>
  <si>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</si>
  <si>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</si>
  <si>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</si>
  <si>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</si>
  <si>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</si>
  <si>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</si>
  <si>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</si>
  <si>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</si>
  <si>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</si>
  <si>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</si>
  <si>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</si>
  <si>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</si>
  <si>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</si>
  <si>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</si>
  <si>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</si>
  <si>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</si>
  <si>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</si>
  <si>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</si>
  <si>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</si>
  <si>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</si>
  <si>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</si>
  <si>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</si>
  <si>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</si>
  <si>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</si>
  <si>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</si>
  <si>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</si>
  <si>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</si>
  <si>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</si>
  <si>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</si>
  <si>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</si>
  <si>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</si>
  <si>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</si>
  <si>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</si>
  <si>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</si>
  <si>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</si>
  <si>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</si>
  <si>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</si>
  <si>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</si>
  <si>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</si>
  <si>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</si>
  <si>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</si>
  <si>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</si>
  <si>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</si>
  <si>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</si>
  <si>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</si>
  <si>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</si>
  <si>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</si>
  <si>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</si>
  <si>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</si>
  <si>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</si>
  <si>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</si>
  <si>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</si>
  <si>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</si>
  <si>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</si>
  <si>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</si>
  <si>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</si>
  <si>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</si>
  <si>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</si>
  <si>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</si>
  <si>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</si>
  <si>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</si>
  <si>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</si>
  <si>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</si>
  <si>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</si>
  <si>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</si>
  <si>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</si>
  <si>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</si>
  <si>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</si>
  <si>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</si>
  <si>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</si>
  <si>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</si>
  <si>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</si>
  <si>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</si>
  <si>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</si>
  <si>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</si>
  <si>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</si>
  <si>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</si>
  <si>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</si>
  <si>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</si>
  <si>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</si>
  <si>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</si>
  <si>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</si>
  <si>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</si>
  <si>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</si>
  <si>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</si>
  <si>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</si>
  <si>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</si>
  <si>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</si>
  <si>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</si>
  <si>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</si>
  <si>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</si>
  <si>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</si>
  <si>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</si>
  <si>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</si>
  <si>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</si>
  <si>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</si>
  <si>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</si>
  <si>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</si>
  <si>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</si>
  <si>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</si>
  <si>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</si>
  <si>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</si>
  <si>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</si>
  <si>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</si>
  <si>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</si>
  <si>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</si>
  <si>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</si>
  <si>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</si>
  <si>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</si>
  <si>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</si>
  <si>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</si>
  <si>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</si>
  <si>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</si>
  <si>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</si>
  <si>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</si>
  <si>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</si>
  <si>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</si>
  <si>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</si>
  <si>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</si>
  <si>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</si>
  <si>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</si>
  <si>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</si>
  <si>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</si>
  <si>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</si>
  <si>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</si>
  <si>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</si>
  <si>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</si>
  <si>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</si>
  <si>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</si>
  <si>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</si>
  <si>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</si>
  <si>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</si>
  <si>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</si>
  <si>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</si>
  <si>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</si>
  <si>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</si>
  <si>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</si>
  <si>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</si>
  <si>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</si>
  <si>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</si>
  <si>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</si>
  <si>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</si>
  <si>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</si>
  <si>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</si>
  <si>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</si>
  <si>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</si>
  <si>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</si>
  <si>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</si>
  <si>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</si>
  <si>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</si>
  <si>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</si>
  <si>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</si>
  <si>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</si>
  <si>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</si>
  <si>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</si>
  <si>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</si>
  <si>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</si>
  <si>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</si>
  <si>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</si>
  <si>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</si>
  <si>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</si>
  <si>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</si>
  <si>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</si>
  <si>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</si>
  <si>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</si>
  <si>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</si>
  <si>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</si>
  <si>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</si>
  <si>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</si>
  <si>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대구 경찰특공대 청사 신축공사(건축)</t>
    <phoneticPr fontId="2" type="noConversion"/>
  </si>
  <si>
    <t>대구시</t>
  </si>
  <si>
    <t>기초공사, 해체및철거공사, 골재비및운반비, 작업부산물, 품질시험비, 기타공사</t>
    <phoneticPr fontId="2" type="noConversion"/>
  </si>
  <si>
    <t>우수처리시설공사, 바닥난방공사, 기타공사</t>
    <phoneticPr fontId="2" type="noConversion"/>
  </si>
  <si>
    <t>CCTV설비공사, 기타공사</t>
    <phoneticPr fontId="2" type="noConversion"/>
  </si>
  <si>
    <t>옥외소화배관공사, 펌프실배관공사, 기타공사</t>
    <phoneticPr fontId="2" type="noConversion"/>
  </si>
  <si>
    <t>상수도공사,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</si>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</sst>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5373.82</v>
      </c>
      <c r="D7" s="36">
        <f>+C7/3.3058</f>
        <v>1625.5732349204427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964100</v>
      </c>
      <c r="E25" s="59">
        <f t="shared" si="0"/>
        <v>3187120</v>
      </c>
    </row>
    <row r="26" spans="1:5" x14ac:dyDescent="0.3">
      <c r="B26" s="2">
        <v>3</v>
      </c>
      <c r="C26" s="35" t="s">
        <v>95</v>
      </c>
      <c r="D26" s="45">
        <f>+D66</f>
        <v>125970</v>
      </c>
      <c r="E26" s="59">
        <f t="shared" si="0"/>
        <v>416430</v>
      </c>
    </row>
    <row r="27" spans="1:5" x14ac:dyDescent="0.3">
      <c r="B27" s="2">
        <v>4</v>
      </c>
      <c r="C27" s="35" t="s">
        <v>96</v>
      </c>
      <c r="D27" s="45">
        <f>+D95</f>
        <v>247150</v>
      </c>
      <c r="E27" s="59">
        <f t="shared" si="0"/>
        <v>817020</v>
      </c>
    </row>
    <row r="28" spans="1:5" x14ac:dyDescent="0.3">
      <c r="B28" s="2">
        <v>5</v>
      </c>
      <c r="C28" s="35" t="s">
        <v>97</v>
      </c>
      <c r="D28" s="45">
        <f>+D119</f>
        <v>166580</v>
      </c>
      <c r="E28" s="59">
        <f t="shared" si="0"/>
        <v>550680</v>
      </c>
    </row>
    <row r="29" spans="1:5" x14ac:dyDescent="0.3">
      <c r="B29" s="2">
        <v>6</v>
      </c>
      <c r="C29" s="35" t="s">
        <v>98</v>
      </c>
      <c r="D29" s="45">
        <f>+D133</f>
        <v>68950</v>
      </c>
      <c r="E29" s="59">
        <f t="shared" si="0"/>
        <v>227930</v>
      </c>
    </row>
    <row r="30" spans="1:5" x14ac:dyDescent="0.3">
      <c r="B30" s="2">
        <v>7</v>
      </c>
      <c r="C30" s="35" t="s">
        <v>99</v>
      </c>
      <c r="D30" s="45">
        <f>+D146</f>
        <v>36790</v>
      </c>
      <c r="E30" s="59">
        <f t="shared" si="0"/>
        <v>121620</v>
      </c>
    </row>
    <row r="31" spans="1:5" x14ac:dyDescent="0.3">
      <c r="B31" s="2">
        <v>8</v>
      </c>
      <c r="C31" s="35" t="s">
        <v>100</v>
      </c>
      <c r="D31" s="45">
        <f>+D154</f>
        <v>456180</v>
      </c>
      <c r="E31" s="59">
        <f t="shared" si="0"/>
        <v>1508030</v>
      </c>
    </row>
    <row r="32" spans="1:5" x14ac:dyDescent="0.3">
      <c r="B32" s="2">
        <v>9</v>
      </c>
      <c r="C32" s="35" t="s">
        <v>101</v>
      </c>
      <c r="D32" s="45">
        <f>+D161</f>
        <v>35110</v>
      </c>
      <c r="E32" s="59">
        <f t="shared" si="0"/>
        <v>116060</v>
      </c>
    </row>
    <row r="33" spans="1:7" x14ac:dyDescent="0.3">
      <c r="B33" s="2">
        <v>10</v>
      </c>
      <c r="C33" s="35" t="s">
        <v>155</v>
      </c>
      <c r="D33" s="53">
        <f>TRUNC(SUM(D24:D32)*0.275,-1)</f>
        <v>577720</v>
      </c>
      <c r="E33" s="60">
        <f t="shared" si="0"/>
        <v>1909820</v>
      </c>
    </row>
    <row r="34" spans="1:7" x14ac:dyDescent="0.3">
      <c r="C34" s="35" t="s">
        <v>112</v>
      </c>
      <c r="D34" s="44">
        <f>SUM(D24:D33)</f>
        <v>2678550</v>
      </c>
      <c r="E34" s="44">
        <f>SUM(E24:E33)</f>
        <v>8854710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TRUNC(64082,-1)</f>
        <v>64080</v>
      </c>
      <c r="E40" s="62">
        <f t="shared" ref="E40:E59" si="1">TRUNC(+D40*3.3058,-1)</f>
        <v>211830</v>
      </c>
    </row>
    <row r="41" spans="1:7" x14ac:dyDescent="0.3">
      <c r="A41" s="2">
        <v>2</v>
      </c>
      <c r="C41" s="38" t="s">
        <v>13</v>
      </c>
      <c r="D41" s="42">
        <f>TRUNC(187434,-1)</f>
        <v>187430</v>
      </c>
      <c r="E41" s="63">
        <f t="shared" si="1"/>
        <v>619600</v>
      </c>
    </row>
    <row r="42" spans="1:7" x14ac:dyDescent="0.3">
      <c r="A42" s="2">
        <v>3</v>
      </c>
      <c r="C42" s="38" t="s">
        <v>14</v>
      </c>
      <c r="D42" s="42">
        <f>TRUNC(63407,-1)</f>
        <v>63400</v>
      </c>
      <c r="E42" s="63">
        <f t="shared" si="1"/>
        <v>209580</v>
      </c>
    </row>
    <row r="43" spans="1:7" x14ac:dyDescent="0.3">
      <c r="A43" s="2">
        <v>4</v>
      </c>
      <c r="C43" s="38" t="s">
        <v>16</v>
      </c>
      <c r="D43" s="42">
        <f>TRUNC(36972,-1)</f>
        <v>36970</v>
      </c>
      <c r="E43" s="63">
        <f t="shared" si="1"/>
        <v>122210</v>
      </c>
    </row>
    <row r="44" spans="1:7" x14ac:dyDescent="0.3">
      <c r="A44" s="2">
        <v>5</v>
      </c>
      <c r="C44" s="38" t="s">
        <v>17</v>
      </c>
      <c r="D44" s="42">
        <f>TRUNC(24592,-1)</f>
        <v>24590</v>
      </c>
      <c r="E44" s="63">
        <f t="shared" si="1"/>
        <v>81280</v>
      </c>
    </row>
    <row r="45" spans="1:7" x14ac:dyDescent="0.3">
      <c r="A45" s="2">
        <v>6</v>
      </c>
      <c r="C45" s="38" t="s">
        <v>18</v>
      </c>
      <c r="D45" s="42">
        <f>TRUNC(10031,-1)</f>
        <v>10030</v>
      </c>
      <c r="E45" s="63">
        <f t="shared" si="1"/>
        <v>33150</v>
      </c>
    </row>
    <row r="46" spans="1:7" x14ac:dyDescent="0.3">
      <c r="A46" s="2">
        <v>7</v>
      </c>
      <c r="C46" s="38" t="s">
        <v>19</v>
      </c>
      <c r="D46" s="42">
        <f>TRUNC(11447,-1)</f>
        <v>11440</v>
      </c>
      <c r="E46" s="63">
        <f t="shared" si="1"/>
        <v>37810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TRUNC(68035,-1)</f>
        <v>68030</v>
      </c>
      <c r="E48" s="63">
        <f t="shared" si="1"/>
        <v>224890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TRUNC(10175,-1)</f>
        <v>10170</v>
      </c>
      <c r="E49" s="63">
        <f t="shared" si="1"/>
        <v>33610</v>
      </c>
    </row>
    <row r="50" spans="1:7" x14ac:dyDescent="0.3">
      <c r="A50" s="2">
        <v>11</v>
      </c>
      <c r="C50" s="38" t="s">
        <v>156</v>
      </c>
      <c r="D50" s="42">
        <f>TRUNC(66188,-1)</f>
        <v>66180</v>
      </c>
      <c r="E50" s="63">
        <f t="shared" si="1"/>
        <v>218770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TRUNC(11701,-1)</f>
        <v>11700</v>
      </c>
      <c r="E52" s="63">
        <f t="shared" si="1"/>
        <v>38670</v>
      </c>
    </row>
    <row r="53" spans="1:7" x14ac:dyDescent="0.3">
      <c r="A53" s="2">
        <v>14</v>
      </c>
      <c r="C53" s="38" t="s">
        <v>25</v>
      </c>
      <c r="D53" s="42">
        <f>TRUNC(31527,-1)</f>
        <v>31520</v>
      </c>
      <c r="E53" s="63">
        <f t="shared" si="1"/>
        <v>104190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TRUNC(3720+24058+3587-1773+1542+105404,-1)</f>
        <v>136530</v>
      </c>
      <c r="E58" s="63">
        <f t="shared" si="1"/>
        <v>451340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TRUNC(242034,-1)</f>
        <v>242030</v>
      </c>
      <c r="E59" s="64">
        <f t="shared" si="1"/>
        <v>800100</v>
      </c>
    </row>
    <row r="60" spans="1:7" x14ac:dyDescent="0.3">
      <c r="A60" s="2">
        <v>21</v>
      </c>
      <c r="C60" s="27" t="s">
        <v>112</v>
      </c>
      <c r="D60" s="39">
        <f>SUM(D40:D59)</f>
        <v>964100</v>
      </c>
      <c r="E60" s="39">
        <f>SUM(E40:E59)</f>
        <v>3187030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TRUNC(125975,-1)</f>
        <v>125970</v>
      </c>
      <c r="E63" s="62">
        <f>TRUNC(+D63*3.3058,-1)</f>
        <v>416430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125970</v>
      </c>
      <c r="E66" s="65">
        <f>SUM(E63:E65)</f>
        <v>416430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TRUNC(7796,-1)</f>
        <v>7790</v>
      </c>
      <c r="E69" s="62">
        <f t="shared" ref="E69:E94" si="2">TRUNC(+D69*3.3058,-1)</f>
        <v>25750</v>
      </c>
    </row>
    <row r="70" spans="1:7" ht="16.5" customHeight="1" x14ac:dyDescent="0.3">
      <c r="A70" s="2">
        <v>2</v>
      </c>
      <c r="C70" s="38" t="s">
        <v>31</v>
      </c>
      <c r="D70" s="42">
        <f>TRUNC(464,-1)</f>
        <v>460</v>
      </c>
      <c r="E70" s="63">
        <f t="shared" si="2"/>
        <v>1520</v>
      </c>
    </row>
    <row r="71" spans="1:7" x14ac:dyDescent="0.3">
      <c r="A71" s="2">
        <v>3</v>
      </c>
      <c r="C71" s="38" t="s">
        <v>32</v>
      </c>
      <c r="D71" s="42">
        <f>TRUNC(5907,-1)</f>
        <v>5900</v>
      </c>
      <c r="E71" s="63">
        <f t="shared" si="2"/>
        <v>19500</v>
      </c>
    </row>
    <row r="72" spans="1:7" x14ac:dyDescent="0.3">
      <c r="A72" s="2">
        <v>4</v>
      </c>
      <c r="C72" s="38" t="s">
        <v>33</v>
      </c>
      <c r="D72" s="42">
        <f>TRUNC(1355,-1)</f>
        <v>1350</v>
      </c>
      <c r="E72" s="63">
        <f t="shared" si="2"/>
        <v>4460</v>
      </c>
    </row>
    <row r="73" spans="1:7" x14ac:dyDescent="0.3">
      <c r="A73" s="2">
        <v>5</v>
      </c>
      <c r="C73" s="38" t="s">
        <v>34</v>
      </c>
      <c r="D73" s="42">
        <f>TRUNC(6552,-1)</f>
        <v>6550</v>
      </c>
      <c r="E73" s="63">
        <f t="shared" si="2"/>
        <v>21650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TRUNC(391,-1)</f>
        <v>390</v>
      </c>
      <c r="E75" s="63">
        <f t="shared" si="2"/>
        <v>1280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8750</v>
      </c>
      <c r="E89" s="63">
        <f t="shared" si="2"/>
        <v>28920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TRUNC(10341,-1)</f>
        <v>10340</v>
      </c>
      <c r="E91" s="63">
        <f t="shared" si="2"/>
        <v>34180</v>
      </c>
    </row>
    <row r="92" spans="1:7" x14ac:dyDescent="0.3">
      <c r="A92" s="2">
        <v>24</v>
      </c>
      <c r="C92" s="38" t="s">
        <v>38</v>
      </c>
      <c r="D92" s="42">
        <f>TRUNC(5883,-1)</f>
        <v>5880</v>
      </c>
      <c r="E92" s="63">
        <f t="shared" si="2"/>
        <v>19430</v>
      </c>
    </row>
    <row r="93" spans="1:7" x14ac:dyDescent="0.3">
      <c r="A93" s="2">
        <v>25</v>
      </c>
      <c r="C93" s="38" t="s">
        <v>149</v>
      </c>
      <c r="D93" s="42">
        <f>TRUNC(176400,-1)</f>
        <v>176400</v>
      </c>
      <c r="E93" s="63">
        <f t="shared" si="2"/>
        <v>583140</v>
      </c>
    </row>
    <row r="94" spans="1:7" ht="17.25" thickBot="1" x14ac:dyDescent="0.35">
      <c r="A94" s="2">
        <v>26</v>
      </c>
      <c r="C94" s="38" t="s">
        <v>47</v>
      </c>
      <c r="D94" s="43">
        <f>TRUNC(15105+2631+5605,-1)</f>
        <v>23340</v>
      </c>
      <c r="E94" s="64">
        <f t="shared" si="2"/>
        <v>77150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247150</v>
      </c>
      <c r="E95" s="39">
        <f>SUM(E69:E94)</f>
        <v>816980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TRUNC(26489,-1)</f>
        <v>26480</v>
      </c>
      <c r="E98" s="62">
        <f t="shared" ref="E98:E118" si="3">TRUNC(+D98*3.3058,-1)</f>
        <v>87530</v>
      </c>
    </row>
    <row r="99" spans="1:7" x14ac:dyDescent="0.3">
      <c r="A99" s="2">
        <v>2</v>
      </c>
      <c r="C99" s="38" t="s">
        <v>40</v>
      </c>
      <c r="D99" s="42">
        <f>TRUNC(4952,-1)</f>
        <v>4950</v>
      </c>
      <c r="E99" s="63">
        <f t="shared" si="3"/>
        <v>16360</v>
      </c>
    </row>
    <row r="100" spans="1:7" x14ac:dyDescent="0.3">
      <c r="A100" s="2">
        <v>3</v>
      </c>
      <c r="C100" s="38" t="s">
        <v>41</v>
      </c>
      <c r="D100" s="42">
        <f>TRUNC(29201,-1)</f>
        <v>29200</v>
      </c>
      <c r="E100" s="63">
        <f t="shared" si="3"/>
        <v>96520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TRUNC(11028,-1)</f>
        <v>11020</v>
      </c>
      <c r="E102" s="63">
        <f t="shared" si="3"/>
        <v>36420</v>
      </c>
    </row>
    <row r="103" spans="1:7" x14ac:dyDescent="0.3">
      <c r="A103" s="2">
        <v>6</v>
      </c>
      <c r="C103" s="38" t="s">
        <v>44</v>
      </c>
      <c r="D103" s="42">
        <f>TRUNC(2503,-1)</f>
        <v>2500</v>
      </c>
      <c r="E103" s="63">
        <f t="shared" si="3"/>
        <v>8260</v>
      </c>
    </row>
    <row r="104" spans="1:7" x14ac:dyDescent="0.3">
      <c r="A104" s="2">
        <v>7</v>
      </c>
      <c r="C104" s="38" t="s">
        <v>45</v>
      </c>
      <c r="D104" s="42">
        <f>TRUNC(7749,-1)</f>
        <v>7740</v>
      </c>
      <c r="E104" s="63">
        <f t="shared" si="3"/>
        <v>25580</v>
      </c>
    </row>
    <row r="105" spans="1:7" x14ac:dyDescent="0.3">
      <c r="A105" s="2">
        <v>8</v>
      </c>
      <c r="C105" s="38" t="s">
        <v>46</v>
      </c>
      <c r="D105" s="42">
        <f>TRUNC(5774,-1)</f>
        <v>5770</v>
      </c>
      <c r="E105" s="63">
        <f t="shared" si="3"/>
        <v>19070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TRUNC(4884,-1)</f>
        <v>4880</v>
      </c>
      <c r="E114" s="63">
        <f t="shared" si="3"/>
        <v>16130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TRUNC(4981,-1)</f>
        <v>4980</v>
      </c>
      <c r="E116" s="63">
        <f t="shared" si="3"/>
        <v>16460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TRUNC(68916,-1)</f>
        <v>68910</v>
      </c>
      <c r="E117" s="63">
        <f t="shared" si="3"/>
        <v>227800</v>
      </c>
    </row>
    <row r="118" spans="1:7" ht="17.25" thickBot="1" x14ac:dyDescent="0.35">
      <c r="A118" s="2">
        <v>21</v>
      </c>
      <c r="C118" s="38" t="s">
        <v>47</v>
      </c>
      <c r="D118" s="43">
        <f>TRUNC(156,-1)</f>
        <v>150</v>
      </c>
      <c r="E118" s="64">
        <f t="shared" si="3"/>
        <v>490</v>
      </c>
    </row>
    <row r="119" spans="1:7" x14ac:dyDescent="0.3">
      <c r="A119" s="2">
        <v>22</v>
      </c>
      <c r="C119" s="27" t="s">
        <v>112</v>
      </c>
      <c r="D119" s="39">
        <f>SUM(D98:D118)</f>
        <v>166580</v>
      </c>
      <c r="E119" s="39">
        <f>SUM(E98:E118)</f>
        <v>550620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TRUNC(3193,-1)</f>
        <v>3190</v>
      </c>
      <c r="E122" s="62">
        <f t="shared" ref="E122:E132" si="4">TRUNC(+D122*3.3058,-1)</f>
        <v>10540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TRUNC(3848,-1)</f>
        <v>3840</v>
      </c>
      <c r="E125" s="63">
        <f t="shared" si="4"/>
        <v>12690</v>
      </c>
    </row>
    <row r="126" spans="1:7" x14ac:dyDescent="0.3">
      <c r="A126" s="2">
        <v>5</v>
      </c>
      <c r="C126" s="38" t="s">
        <v>53</v>
      </c>
      <c r="D126" s="42">
        <f>TRUNC(21846,-1)</f>
        <v>21840</v>
      </c>
      <c r="E126" s="63">
        <f t="shared" si="4"/>
        <v>72190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TRUNC(1361,-1)</f>
        <v>1360</v>
      </c>
      <c r="E128" s="63">
        <f t="shared" si="4"/>
        <v>4490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8350</v>
      </c>
      <c r="E130" s="63">
        <f t="shared" si="4"/>
        <v>27600</v>
      </c>
    </row>
    <row r="131" spans="1:7" x14ac:dyDescent="0.3">
      <c r="A131" s="2">
        <v>10</v>
      </c>
      <c r="C131" s="38" t="s">
        <v>149</v>
      </c>
      <c r="D131" s="42">
        <f>TRUNC(29722,-1)</f>
        <v>29720</v>
      </c>
      <c r="E131" s="63">
        <f t="shared" si="4"/>
        <v>98240</v>
      </c>
    </row>
    <row r="132" spans="1:7" ht="18" thickBot="1" x14ac:dyDescent="0.35">
      <c r="A132" s="2">
        <v>11</v>
      </c>
      <c r="C132" s="38" t="s">
        <v>47</v>
      </c>
      <c r="D132" s="43">
        <f>TRUNC(502+156,-1)</f>
        <v>650</v>
      </c>
      <c r="E132" s="64">
        <f t="shared" si="4"/>
        <v>2140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68950</v>
      </c>
      <c r="E133" s="39">
        <f>SUM(E122:E132)</f>
        <v>227890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TRUNC(3479+4773+2043,-1)</f>
        <v>10290</v>
      </c>
      <c r="E137" s="63">
        <f t="shared" si="5"/>
        <v>34010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TRUNC(814,-1)</f>
        <v>810</v>
      </c>
      <c r="E139" s="63">
        <f t="shared" si="5"/>
        <v>2670</v>
      </c>
    </row>
    <row r="140" spans="1:7" x14ac:dyDescent="0.3">
      <c r="A140" s="2">
        <v>5</v>
      </c>
      <c r="C140" s="38" t="s">
        <v>57</v>
      </c>
      <c r="D140" s="42">
        <f>TRUNC(2621,-1)</f>
        <v>2620</v>
      </c>
      <c r="E140" s="63">
        <f t="shared" si="5"/>
        <v>8660</v>
      </c>
    </row>
    <row r="141" spans="1:7" x14ac:dyDescent="0.3">
      <c r="A141" s="2">
        <v>6</v>
      </c>
      <c r="C141" s="38" t="s">
        <v>59</v>
      </c>
      <c r="D141" s="42">
        <f>TRUNC(3175,-1)</f>
        <v>3170</v>
      </c>
      <c r="E141" s="63">
        <f t="shared" si="5"/>
        <v>10470</v>
      </c>
    </row>
    <row r="142" spans="1:7" x14ac:dyDescent="0.3">
      <c r="A142" s="2">
        <v>7</v>
      </c>
      <c r="C142" s="38" t="s">
        <v>58</v>
      </c>
      <c r="D142" s="42">
        <f>TRUNC(3148,-1)</f>
        <v>3140</v>
      </c>
      <c r="E142" s="63">
        <f t="shared" si="5"/>
        <v>10380</v>
      </c>
    </row>
    <row r="143" spans="1:7" x14ac:dyDescent="0.3">
      <c r="A143" s="2">
        <v>8</v>
      </c>
      <c r="C143" s="38" t="s">
        <v>62</v>
      </c>
      <c r="D143" s="42">
        <f>TRUNC(3322,-1)</f>
        <v>3320</v>
      </c>
      <c r="E143" s="63">
        <f t="shared" si="5"/>
        <v>10970</v>
      </c>
    </row>
    <row r="144" spans="1:7" x14ac:dyDescent="0.3">
      <c r="A144" s="2">
        <v>9</v>
      </c>
      <c r="C144" s="38" t="s">
        <v>63</v>
      </c>
      <c r="D144" s="42">
        <f>TRUNC(13446,-1)</f>
        <v>13440</v>
      </c>
      <c r="E144" s="63">
        <f t="shared" si="5"/>
        <v>44420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36790</v>
      </c>
      <c r="E146" s="39">
        <f>SUM(E136:E145)</f>
        <v>121580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TRUNC(48405+6463,-1)</f>
        <v>54860</v>
      </c>
      <c r="E149" s="62">
        <f>TRUNC(+D149*3.3058,-1)</f>
        <v>181350</v>
      </c>
    </row>
    <row r="150" spans="1:7" x14ac:dyDescent="0.3">
      <c r="A150" s="2">
        <v>2</v>
      </c>
      <c r="C150" s="38" t="s">
        <v>49</v>
      </c>
      <c r="D150" s="42">
        <f>TRUNC(47053,-1)</f>
        <v>47050</v>
      </c>
      <c r="E150" s="63">
        <f>TRUNC(+D150*3.3058,-1)</f>
        <v>155530</v>
      </c>
    </row>
    <row r="151" spans="1:7" x14ac:dyDescent="0.3">
      <c r="A151" s="2">
        <v>3</v>
      </c>
      <c r="C151" s="38" t="s">
        <v>50</v>
      </c>
      <c r="D151" s="42">
        <f>TRUNC(294788,-1)</f>
        <v>294780</v>
      </c>
      <c r="E151" s="63">
        <f>TRUNC(+D151*3.3058,-1)</f>
        <v>974480</v>
      </c>
    </row>
    <row r="152" spans="1:7" x14ac:dyDescent="0.3">
      <c r="A152" s="2">
        <v>4</v>
      </c>
      <c r="C152" s="38" t="s">
        <v>47</v>
      </c>
      <c r="D152" s="42">
        <f>TRUNC(1103+309+4831,-1)</f>
        <v>6240</v>
      </c>
      <c r="E152" s="63">
        <f>TRUNC(+D152*3.3058,-1)</f>
        <v>20620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TRUNC(53259,-1)</f>
        <v>53250</v>
      </c>
      <c r="E153" s="64">
        <f>TRUNC(+D153*3.3058,-1)</f>
        <v>176030</v>
      </c>
    </row>
    <row r="154" spans="1:7" x14ac:dyDescent="0.3">
      <c r="A154" s="2">
        <v>6</v>
      </c>
      <c r="C154" s="27" t="s">
        <v>112</v>
      </c>
      <c r="D154" s="39">
        <f>SUM(D149:D153)</f>
        <v>456180</v>
      </c>
      <c r="E154" s="39">
        <f>SUM(E149:E153)</f>
        <v>1508010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TRUNC(35113,-1)</f>
        <v>35110</v>
      </c>
      <c r="E157" s="62">
        <f>TRUNC(+D157*3.3058,-1)</f>
        <v>116060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35110</v>
      </c>
      <c r="E161" s="39">
        <f>SUM(E157:E160)</f>
        <v>116060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2020-12-08T04:30:43Z</dcterms:modified>
</cp:coreProperties>
</file>