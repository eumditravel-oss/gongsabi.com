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4" i="4"/>
  <c r="D53" i="4"/>
  <c r="D52" i="4"/>
  <c r="D51" i="4"/>
  <c r="D50" i="4"/>
  <c r="D49" i="4"/>
  <c r="D48" i="4"/>
  <c r="D55" i="4"/>
  <c r="D44" i="4"/>
  <c r="D47" i="4"/>
  <c r="D45" i="4"/>
  <c r="D46" i="4"/>
  <c r="D43" i="4"/>
  <c r="D42" i="4"/>
  <c r="D41" i="4"/>
  <c r="D40" i="4"/>
  <c r="D159" i="4"/>
  <c r="D158" i="4"/>
  <c r="D157" i="4"/>
  <c r="D152" i="4"/>
  <c r="D150" i="4"/>
  <c r="D63" i="4"/>
  <c r="D59" i="4"/>
  <c r="D94" i="4"/>
  <c r="D81" i="4"/>
  <c r="D71" i="4"/>
  <c r="D69" i="4"/>
  <c r="D70" i="4"/>
  <c r="D137" i="4"/>
  <c r="D93" i="4"/>
  <c r="D118" i="4"/>
  <c r="D105" i="4"/>
  <c r="D104" i="4"/>
  <c r="D108" i="4"/>
  <c r="D102" i="4"/>
  <c r="D100" i="4"/>
  <c r="D99" i="4"/>
  <c r="D98" i="4"/>
  <c r="D115" i="4"/>
  <c r="D117" i="4"/>
  <c r="D128" i="4"/>
  <c r="D127" i="4"/>
  <c r="D124" i="4"/>
  <c r="D125" i="4"/>
  <c r="D132" i="4"/>
  <c r="D122" i="4"/>
  <c r="D130" i="4"/>
  <c r="D131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0" i="4"/>
  <c r="E154" i="4"/>
  <c r="E95" i="4"/>
  <c r="E146" i="4"/>
  <c r="E119" i="4"/>
  <c r="E133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<sst xmlns="http://schemas.openxmlformats.org/spreadsheetml/2006/main" count="394" uniqueCount="269">
  <si>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</si>
  <si>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</si>
  <si>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</si>
  <si>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</si>
  <si>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</si>
  <si>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</si>
  <si>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</si>
  <si>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</si>
  <si>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</si>
  <si>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</si>
  <si>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</si>
  <si>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</si>
  <si>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</si>
  <si>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</si>
  <si>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</si>
  <si>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</si>
  <si>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</si>
  <si>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</si>
  <si>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</si>
  <si>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</si>
  <si>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</si>
  <si>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</si>
  <si>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</si>
  <si>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</si>
  <si>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</si>
  <si>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</si>
  <si>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</si>
  <si>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</si>
  <si>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</si>
  <si>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</si>
  <si>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</si>
  <si>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</si>
  <si>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</si>
  <si>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</si>
  <si>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</si>
  <si>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</si>
  <si>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</si>
  <si>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</si>
  <si>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</si>
  <si>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</si>
  <si>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</si>
  <si>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</si>
  <si>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</si>
  <si>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</si>
  <si>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</si>
  <si>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</si>
  <si>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</si>
  <si>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</si>
  <si>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</si>
  <si>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</si>
  <si>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</si>
  <si>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</si>
  <si>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</si>
  <si>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</si>
  <si>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</si>
  <si>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</si>
  <si>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</si>
  <si>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</si>
  <si>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</si>
  <si>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</si>
  <si>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</si>
  <si>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</si>
  <si>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</si>
  <si>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</si>
  <si>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</si>
  <si>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</si>
  <si>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</si>
  <si>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</si>
  <si>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</si>
  <si>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</si>
  <si>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</si>
  <si>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</si>
  <si>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</si>
  <si>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</si>
  <si>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</si>
  <si>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</si>
  <si>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</si>
  <si>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</si>
  <si>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</si>
  <si>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</si>
  <si>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</si>
  <si>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</si>
  <si>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</si>
  <si>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</si>
  <si>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</si>
  <si>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</si>
  <si>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</si>
  <si>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</si>
  <si>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</si>
  <si>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</si>
  <si>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</si>
  <si>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</si>
  <si>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</si>
  <si>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</si>
  <si>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</si>
  <si>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</si>
  <si>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</si>
  <si>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</si>
  <si>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</si>
  <si>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</si>
  <si>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</si>
  <si>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</si>
  <si>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</si>
  <si>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</si>
  <si>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</si>
  <si>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</si>
  <si>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</si>
  <si>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</si>
  <si>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</si>
  <si>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</si>
  <si>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</si>
  <si>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</si>
  <si>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</si>
  <si>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</si>
  <si>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</si>
  <si>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</si>
  <si>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</si>
  <si>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</si>
  <si>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</si>
  <si>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</si>
  <si>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</si>
  <si>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</si>
  <si>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</si>
  <si>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</si>
  <si>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</si>
  <si>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</si>
  <si>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</si>
  <si>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</si>
  <si>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</si>
  <si>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</si>
  <si>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</si>
  <si>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</si>
  <si>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</si>
  <si>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</si>
  <si>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</si>
  <si>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</si>
  <si>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</si>
  <si>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</si>
  <si>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</si>
  <si>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</si>
  <si>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</si>
  <si>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</si>
  <si>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</si>
  <si>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</si>
  <si>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</si>
  <si>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</si>
  <si>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</si>
  <si>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</si>
  <si>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</si>
  <si>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</si>
  <si>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</si>
  <si>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</si>
  <si>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</si>
  <si>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</si>
  <si>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</si>
  <si>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</si>
  <si>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</si>
  <si>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</si>
  <si>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</si>
  <si>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</si>
  <si>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</si>
  <si>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</si>
  <si>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</si>
  <si>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</si>
  <si>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</si>
  <si>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</si>
  <si>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</si>
  <si>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</si>
  <si>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</si>
  <si>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</si>
  <si>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</si>
  <si>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</si>
  <si>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</si>
  <si>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</si>
  <si>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</si>
  <si>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</si>
  <si>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</si>
  <si>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</si>
  <si>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</si>
  <si>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</si>
  <si>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</si>
  <si>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</si>
  <si>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</si>
  <si>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</si>
  <si>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</si>
  <si>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</si>
  <si>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</si>
  <si>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</si>
  <si>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</si>
  <si>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</si>
  <si>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</si>
  <si>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</si>
  <si>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</si>
  <si>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</si>
  <si>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</si>
  <si>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</si>
  <si>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</si>
  <si>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</si>
  <si>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</si>
  <si>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</si>
  <si>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</si>
  <si>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</si>
  <si>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</si>
  <si>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</si>
  <si>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</si>
  <si>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</si>
  <si>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</si>
  <si>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</si>
  <si>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</si>
  <si>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</si>
  <si>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</si>
  <si>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</si>
  <si>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</si>
  <si>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</si>
  <si>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</si>
  <si>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</si>
  <si>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</si>
  <si>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</si>
  <si>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</si>
  <si>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</si>
  <si>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</si>
  <si>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</si>
  <si>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</si>
  <si>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</si>
  <si>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</si>
  <si>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</si>
  <si>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</si>
  <si>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</si>
  <si>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</si>
  <si>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</si>
  <si>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</si>
  <si>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</si>
  <si>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</si>
  <si>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</si>
  <si>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</si>
  <si>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</si>
  <si>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</si>
  <si>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</si>
  <si>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</si>
  <si>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</si>
  <si>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</si>
  <si>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</si>
  <si>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</si>
  <si>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</si>
  <si>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</si>
  <si>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</si>
  <si>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</si>
  <si>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</si>
  <si>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충남지방경찰청 00경찰서 신축공사</t>
  </si>
  <si>
    <t>업무</t>
  </si>
  <si>
    <t>충청도</t>
  </si>
  <si>
    <t>CATV설비공사</t>
  </si>
  <si>
    <t>CCTV설비공사,인터폰공사</t>
    <phoneticPr fontId="2" type="noConversion"/>
  </si>
  <si>
    <t>약전 트레이공사</t>
  </si>
  <si>
    <t>접지설비공사</t>
  </si>
  <si>
    <t>전력 트레이공사</t>
  </si>
  <si>
    <t>외등설비공사,태양광공사,무대장치공사,전력덕트공사</t>
    <phoneticPr fontId="2" type="noConversion"/>
  </si>
  <si>
    <t>본관동설비공사,민원동설비공사,주방기구설치공사,상수도공사비</t>
    <phoneticPr fontId="2" type="noConversion"/>
  </si>
  <si>
    <t>배수공사,부대공사,운반비</t>
    <phoneticPr fontId="2" type="noConversion"/>
  </si>
  <si>
    <t>수목식재공사</t>
  </si>
  <si>
    <t>부대공사</t>
    <phoneticPr fontId="2" type="noConversion"/>
  </si>
  <si>
    <t>시설물 및 포장공사</t>
    <phoneticPr fontId="2" type="noConversion"/>
  </si>
  <si>
    <t>기타공사,주요자재비,운반비,작업부산물,품질시험비</t>
    <phoneticPr fontId="2" type="noConversion"/>
  </si>
  <si>
    <t>전기 소방설비공사, 기계 소화배관공사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</si>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</sst>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8537</v>
      </c>
      <c r="D7" s="36">
        <f>+C7/3.3058</f>
        <v>2582.4308790610444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588480</v>
      </c>
      <c r="E25" s="59">
        <f t="shared" si="0"/>
        <v>1945390</v>
      </c>
    </row>
    <row r="26" spans="1:5" x14ac:dyDescent="0.3">
      <c r="B26" s="2">
        <v>3</v>
      </c>
      <c r="C26" s="35" t="s">
        <v>95</v>
      </c>
      <c r="D26" s="45">
        <f>+D66</f>
        <v>11880</v>
      </c>
      <c r="E26" s="59">
        <f t="shared" si="0"/>
        <v>39270</v>
      </c>
    </row>
    <row r="27" spans="1:5" x14ac:dyDescent="0.3">
      <c r="B27" s="2">
        <v>4</v>
      </c>
      <c r="C27" s="35" t="s">
        <v>96</v>
      </c>
      <c r="D27" s="45">
        <f>+D95</f>
        <v>188760</v>
      </c>
      <c r="E27" s="59">
        <f t="shared" si="0"/>
        <v>624000</v>
      </c>
    </row>
    <row r="28" spans="1:5" x14ac:dyDescent="0.3">
      <c r="B28" s="2">
        <v>5</v>
      </c>
      <c r="C28" s="35" t="s">
        <v>97</v>
      </c>
      <c r="D28" s="45">
        <f>+D119</f>
        <v>149600</v>
      </c>
      <c r="E28" s="59">
        <f t="shared" si="0"/>
        <v>494540</v>
      </c>
    </row>
    <row r="29" spans="1:5" x14ac:dyDescent="0.3">
      <c r="B29" s="2">
        <v>6</v>
      </c>
      <c r="C29" s="35" t="s">
        <v>98</v>
      </c>
      <c r="D29" s="45">
        <f>+D133</f>
        <v>95800</v>
      </c>
      <c r="E29" s="59">
        <f t="shared" si="0"/>
        <v>316690</v>
      </c>
    </row>
    <row r="30" spans="1:5" x14ac:dyDescent="0.3">
      <c r="B30" s="2">
        <v>7</v>
      </c>
      <c r="C30" s="35" t="s">
        <v>99</v>
      </c>
      <c r="D30" s="45">
        <f>+D146</f>
        <v>24090</v>
      </c>
      <c r="E30" s="59">
        <f t="shared" si="0"/>
        <v>79630</v>
      </c>
    </row>
    <row r="31" spans="1:5" x14ac:dyDescent="0.3">
      <c r="B31" s="2">
        <v>8</v>
      </c>
      <c r="C31" s="35" t="s">
        <v>100</v>
      </c>
      <c r="D31" s="45">
        <f>+D154</f>
        <v>28720</v>
      </c>
      <c r="E31" s="59">
        <f t="shared" si="0"/>
        <v>94940</v>
      </c>
    </row>
    <row r="32" spans="1:5" x14ac:dyDescent="0.3">
      <c r="B32" s="2">
        <v>9</v>
      </c>
      <c r="C32" s="35" t="s">
        <v>101</v>
      </c>
      <c r="D32" s="45">
        <f>+D161</f>
        <v>11710</v>
      </c>
      <c r="E32" s="59">
        <f t="shared" si="0"/>
        <v>38710</v>
      </c>
    </row>
    <row r="33" spans="1:7" x14ac:dyDescent="0.3">
      <c r="B33" s="2">
        <v>10</v>
      </c>
      <c r="C33" s="35" t="s">
        <v>154</v>
      </c>
      <c r="D33" s="53">
        <f>TRUNC(SUM(D24:D32)*0.275,-1)</f>
        <v>302230</v>
      </c>
      <c r="E33" s="60">
        <f t="shared" si="0"/>
        <v>999110</v>
      </c>
    </row>
    <row r="34" spans="1:7" x14ac:dyDescent="0.3">
      <c r="C34" s="35" t="s">
        <v>112</v>
      </c>
      <c r="D34" s="44">
        <f>SUM(D24:D33)</f>
        <v>1401270</v>
      </c>
      <c r="E34" s="44">
        <f>SUM(E24:E33)</f>
        <v>4632280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TRUNC(37776.8416305494,-1)</f>
        <v>37770</v>
      </c>
      <c r="E40" s="62">
        <f t="shared" ref="E40:E59" si="1">TRUNC(+D40*3.3058,-1)</f>
        <v>124860</v>
      </c>
    </row>
    <row r="41" spans="1:7" x14ac:dyDescent="0.3">
      <c r="A41" s="2">
        <v>2</v>
      </c>
      <c r="C41" s="38" t="s">
        <v>13</v>
      </c>
      <c r="D41" s="42">
        <f>TRUNC(113098.317675999,-1)</f>
        <v>113090</v>
      </c>
      <c r="E41" s="63">
        <f t="shared" si="1"/>
        <v>373850</v>
      </c>
    </row>
    <row r="42" spans="1:7" x14ac:dyDescent="0.3">
      <c r="A42" s="2">
        <v>3</v>
      </c>
      <c r="C42" s="38" t="s">
        <v>14</v>
      </c>
      <c r="D42" s="42">
        <f>TRUNC(12830.7483893639,-1)</f>
        <v>12830</v>
      </c>
      <c r="E42" s="63">
        <f t="shared" si="1"/>
        <v>42410</v>
      </c>
    </row>
    <row r="43" spans="1:7" x14ac:dyDescent="0.3">
      <c r="A43" s="2">
        <v>4</v>
      </c>
      <c r="C43" s="38" t="s">
        <v>16</v>
      </c>
      <c r="D43" s="42">
        <f>TRUNC(19250.8226543282,-1)</f>
        <v>19250</v>
      </c>
      <c r="E43" s="63">
        <f t="shared" si="1"/>
        <v>63630</v>
      </c>
    </row>
    <row r="44" spans="1:7" x14ac:dyDescent="0.3">
      <c r="A44" s="2">
        <v>5</v>
      </c>
      <c r="C44" s="38" t="s">
        <v>17</v>
      </c>
      <c r="D44" s="42">
        <f>TRUNC(21682.1354105658,-1)</f>
        <v>21680</v>
      </c>
      <c r="E44" s="63">
        <f t="shared" si="1"/>
        <v>71660</v>
      </c>
    </row>
    <row r="45" spans="1:7" x14ac:dyDescent="0.3">
      <c r="A45" s="2">
        <v>6</v>
      </c>
      <c r="C45" s="38" t="s">
        <v>18</v>
      </c>
      <c r="D45" s="42">
        <f>TRUNC(7505.41419702472,-1)</f>
        <v>7500</v>
      </c>
      <c r="E45" s="63">
        <f t="shared" si="1"/>
        <v>24790</v>
      </c>
    </row>
    <row r="46" spans="1:7" x14ac:dyDescent="0.3">
      <c r="A46" s="2">
        <v>7</v>
      </c>
      <c r="C46" s="38" t="s">
        <v>19</v>
      </c>
      <c r="D46" s="42">
        <f>TRUNC(61617.3482487993,-1)</f>
        <v>61610</v>
      </c>
      <c r="E46" s="63">
        <f t="shared" si="1"/>
        <v>203670</v>
      </c>
    </row>
    <row r="47" spans="1:7" x14ac:dyDescent="0.3">
      <c r="A47" s="2">
        <v>8</v>
      </c>
      <c r="C47" s="38" t="s">
        <v>20</v>
      </c>
      <c r="D47" s="42">
        <f>TRUNC(445.621646948577,-1)</f>
        <v>440</v>
      </c>
      <c r="E47" s="63">
        <f t="shared" si="1"/>
        <v>1450</v>
      </c>
    </row>
    <row r="48" spans="1:7" x14ac:dyDescent="0.3">
      <c r="A48" s="2">
        <v>9</v>
      </c>
      <c r="C48" s="38" t="s">
        <v>21</v>
      </c>
      <c r="D48" s="42">
        <f>TRUNC(34892.7709968373,-1)</f>
        <v>34890</v>
      </c>
      <c r="E48" s="63">
        <f t="shared" si="1"/>
        <v>115330</v>
      </c>
    </row>
    <row r="49" spans="1:7" x14ac:dyDescent="0.3">
      <c r="A49" s="2">
        <v>10</v>
      </c>
      <c r="C49" s="38" t="s">
        <v>22</v>
      </c>
      <c r="D49" s="42">
        <f>TRUNC(20325.8206629964,-1)</f>
        <v>20320</v>
      </c>
      <c r="E49" s="63">
        <f t="shared" si="1"/>
        <v>67170</v>
      </c>
    </row>
    <row r="50" spans="1:7" x14ac:dyDescent="0.3">
      <c r="A50" s="2">
        <v>11</v>
      </c>
      <c r="C50" s="38" t="s">
        <v>155</v>
      </c>
      <c r="D50" s="42">
        <f>TRUNC(54352.4379758697,-1)</f>
        <v>54350</v>
      </c>
      <c r="E50" s="63">
        <f t="shared" si="1"/>
        <v>179670</v>
      </c>
    </row>
    <row r="51" spans="1:7" x14ac:dyDescent="0.3">
      <c r="A51" s="2">
        <v>12</v>
      </c>
      <c r="C51" s="38" t="s">
        <v>23</v>
      </c>
      <c r="D51" s="42">
        <f>TRUNC(11601.6611221741,-1)</f>
        <v>11600</v>
      </c>
      <c r="E51" s="63">
        <f t="shared" si="1"/>
        <v>38340</v>
      </c>
    </row>
    <row r="52" spans="1:7" x14ac:dyDescent="0.3">
      <c r="A52" s="2">
        <v>13</v>
      </c>
      <c r="C52" s="38" t="s">
        <v>24</v>
      </c>
      <c r="D52" s="42">
        <f>TRUNC(5038.5390652454,-1)</f>
        <v>5030</v>
      </c>
      <c r="E52" s="63">
        <f t="shared" si="1"/>
        <v>16620</v>
      </c>
    </row>
    <row r="53" spans="1:7" x14ac:dyDescent="0.3">
      <c r="A53" s="2">
        <v>14</v>
      </c>
      <c r="C53" s="38" t="s">
        <v>25</v>
      </c>
      <c r="D53" s="42">
        <f>TRUNC(27619.0098395221,-1)</f>
        <v>27610</v>
      </c>
      <c r="E53" s="63">
        <f t="shared" si="1"/>
        <v>91270</v>
      </c>
    </row>
    <row r="54" spans="1:7" x14ac:dyDescent="0.3">
      <c r="A54" s="2">
        <v>15</v>
      </c>
      <c r="C54" s="38" t="s">
        <v>147</v>
      </c>
      <c r="D54" s="42">
        <f>TRUNC(7391.68911795713,-1)</f>
        <v>7390</v>
      </c>
      <c r="E54" s="63">
        <f t="shared" si="1"/>
        <v>24420</v>
      </c>
    </row>
    <row r="55" spans="1:7" x14ac:dyDescent="0.3">
      <c r="A55" s="2">
        <v>16</v>
      </c>
      <c r="C55" s="38" t="s">
        <v>144</v>
      </c>
      <c r="D55" s="42">
        <f>TRUNC(821.405177462809,-1)</f>
        <v>820</v>
      </c>
      <c r="E55" s="63">
        <f t="shared" si="1"/>
        <v>2710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TRUNC(10894.733044395+2078.83331381047+1979.37437038772-713.028464331732+687.349185896685,-1)</f>
        <v>14920</v>
      </c>
      <c r="E58" s="63">
        <f t="shared" si="1"/>
        <v>49320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f>TRUNC(137382.101440787,-1)</f>
        <v>137380</v>
      </c>
      <c r="E59" s="64">
        <f t="shared" si="1"/>
        <v>454150</v>
      </c>
    </row>
    <row r="60" spans="1:7" x14ac:dyDescent="0.3">
      <c r="A60" s="2">
        <v>21</v>
      </c>
      <c r="C60" s="27" t="s">
        <v>112</v>
      </c>
      <c r="D60" s="39">
        <f>SUM(D40:D59)</f>
        <v>588480</v>
      </c>
      <c r="E60" s="39">
        <f>SUM(E40:E59)</f>
        <v>1945320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TRUNC(11887.8547499121,-1)</f>
        <v>11880</v>
      </c>
      <c r="E63" s="62">
        <f>TRUNC(+D63*3.3058,-1)</f>
        <v>39270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11880</v>
      </c>
      <c r="E66" s="65">
        <f>SUM(E63:E65)</f>
        <v>39270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TRUNC(15026.5351997189,-1)</f>
        <v>15020</v>
      </c>
      <c r="E69" s="62">
        <f t="shared" ref="E69:E94" si="2">TRUNC(+D69*3.3058,-1)</f>
        <v>49650</v>
      </c>
    </row>
    <row r="70" spans="1:7" ht="16.5" customHeight="1" x14ac:dyDescent="0.3">
      <c r="A70" s="2">
        <v>2</v>
      </c>
      <c r="C70" s="38" t="s">
        <v>31</v>
      </c>
      <c r="D70" s="42">
        <f>TRUNC(5837.88391706689,-1)</f>
        <v>5830</v>
      </c>
      <c r="E70" s="63">
        <f t="shared" si="2"/>
        <v>19270</v>
      </c>
    </row>
    <row r="71" spans="1:7" x14ac:dyDescent="0.3">
      <c r="A71" s="2">
        <v>3</v>
      </c>
      <c r="C71" s="38" t="s">
        <v>32</v>
      </c>
      <c r="D71" s="42">
        <f>TRUNC(23989.0309242123,-1)</f>
        <v>23980</v>
      </c>
      <c r="E71" s="63">
        <f t="shared" si="2"/>
        <v>79270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TRUNC(16801.3888953965,-1)</f>
        <v>16800</v>
      </c>
      <c r="E81" s="63">
        <f t="shared" si="2"/>
        <v>55530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TRUNC(40950.568115263,-1)</f>
        <v>40950</v>
      </c>
      <c r="E93" s="63">
        <f t="shared" si="2"/>
        <v>135370</v>
      </c>
    </row>
    <row r="94" spans="1:7" ht="17.25" thickBot="1" x14ac:dyDescent="0.35">
      <c r="A94" s="2">
        <v>26</v>
      </c>
      <c r="C94" s="38" t="s">
        <v>47</v>
      </c>
      <c r="D94" s="43">
        <f>TRUNC(62574.4250907813+14683.5956424974+7990.98043809301+937.097340986295,-1)</f>
        <v>86180</v>
      </c>
      <c r="E94" s="64">
        <f t="shared" si="2"/>
        <v>284890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188760</v>
      </c>
      <c r="E95" s="39">
        <f>SUM(E69:E94)</f>
        <v>623980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TRUNC(11488.8247627972,-1)</f>
        <v>11480</v>
      </c>
      <c r="E98" s="62">
        <f t="shared" ref="E98:E118" si="3">TRUNC(+D98*3.3058,-1)</f>
        <v>37950</v>
      </c>
    </row>
    <row r="99" spans="1:7" x14ac:dyDescent="0.3">
      <c r="A99" s="2">
        <v>2</v>
      </c>
      <c r="C99" s="38" t="s">
        <v>40</v>
      </c>
      <c r="D99" s="42">
        <f>TRUNC(3878.05845144664,-1)</f>
        <v>3870</v>
      </c>
      <c r="E99" s="63">
        <f t="shared" si="3"/>
        <v>12790</v>
      </c>
    </row>
    <row r="100" spans="1:7" x14ac:dyDescent="0.3">
      <c r="A100" s="2">
        <v>3</v>
      </c>
      <c r="C100" s="38" t="s">
        <v>41</v>
      </c>
      <c r="D100" s="42">
        <f>TRUNC(15793.9795009957,-1)</f>
        <v>15790</v>
      </c>
      <c r="E100" s="63">
        <f t="shared" si="3"/>
        <v>52190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TRUNC(10408.1771113974,-1)</f>
        <v>10400</v>
      </c>
      <c r="E102" s="63">
        <f t="shared" si="3"/>
        <v>34380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TRUNC(3263.55511303737,-1)</f>
        <v>3260</v>
      </c>
      <c r="E104" s="63">
        <f t="shared" si="3"/>
        <v>10770</v>
      </c>
      <c r="F104" s="2" t="s">
        <v>254</v>
      </c>
    </row>
    <row r="105" spans="1:7" x14ac:dyDescent="0.3">
      <c r="A105" s="2">
        <v>8</v>
      </c>
      <c r="C105" s="38" t="s">
        <v>46</v>
      </c>
      <c r="D105" s="42">
        <f>TRUNC(721.232868689235,-1)</f>
        <v>720</v>
      </c>
      <c r="E105" s="63">
        <f t="shared" si="3"/>
        <v>2380</v>
      </c>
      <c r="F105" s="2" t="s">
        <v>255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TRUNC(1908.48037952442,-1)</f>
        <v>1900</v>
      </c>
      <c r="E108" s="63">
        <f t="shared" si="3"/>
        <v>6280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TRUNC(1074.3918238257,-1)</f>
        <v>1070</v>
      </c>
      <c r="E115" s="63">
        <f t="shared" si="3"/>
        <v>3530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TRUNC(12999.8828628324+84155.9095701066,-1)</f>
        <v>97150</v>
      </c>
      <c r="E117" s="63">
        <f t="shared" si="3"/>
        <v>321150</v>
      </c>
    </row>
    <row r="118" spans="1:7" ht="17.25" thickBot="1" x14ac:dyDescent="0.35">
      <c r="A118" s="2">
        <v>21</v>
      </c>
      <c r="C118" s="38" t="s">
        <v>47</v>
      </c>
      <c r="D118" s="43">
        <f>TRUNC(2748.50837530749+904.373550427551+185.048377650228+131.494904533208,-1)</f>
        <v>3960</v>
      </c>
      <c r="E118" s="64">
        <f t="shared" si="3"/>
        <v>13090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149600</v>
      </c>
      <c r="E119" s="39">
        <f>SUM(E98:E118)</f>
        <v>494510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TRUNC(2681.93744875249,-1)</f>
        <v>2680</v>
      </c>
      <c r="E122" s="62">
        <f t="shared" ref="E122:E132" si="4">TRUNC(+D122*3.3058,-1)</f>
        <v>8850</v>
      </c>
      <c r="F122" s="2" t="s">
        <v>251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TRUNC(905.380110108938,-1)</f>
        <v>900</v>
      </c>
      <c r="E124" s="63">
        <f t="shared" si="4"/>
        <v>2970</v>
      </c>
    </row>
    <row r="125" spans="1:7" x14ac:dyDescent="0.3">
      <c r="A125" s="2">
        <v>4</v>
      </c>
      <c r="C125" s="38" t="s">
        <v>138</v>
      </c>
      <c r="D125" s="42">
        <f>TRUNC(4320.14852992855,-1)</f>
        <v>4320</v>
      </c>
      <c r="E125" s="63">
        <f t="shared" si="4"/>
        <v>14280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TRUNC(2186.4200538831,-1)</f>
        <v>2180</v>
      </c>
      <c r="E127" s="63">
        <f t="shared" si="4"/>
        <v>7200</v>
      </c>
    </row>
    <row r="128" spans="1:7" x14ac:dyDescent="0.3">
      <c r="A128" s="2">
        <v>7</v>
      </c>
      <c r="C128" s="38" t="s">
        <v>46</v>
      </c>
      <c r="D128" s="42">
        <f>TRUNC(2646.88625981024,-1)</f>
        <v>2640</v>
      </c>
      <c r="E128" s="63">
        <f t="shared" si="4"/>
        <v>8720</v>
      </c>
      <c r="F128" s="2" t="s">
        <v>253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TRUNC(26912.8918823943,-1)</f>
        <v>26910</v>
      </c>
      <c r="E130" s="63">
        <f t="shared" si="4"/>
        <v>88950</v>
      </c>
    </row>
    <row r="131" spans="1:7" x14ac:dyDescent="0.3">
      <c r="A131" s="2">
        <v>10</v>
      </c>
      <c r="C131" s="38" t="s">
        <v>148</v>
      </c>
      <c r="D131" s="42">
        <f>TRUNC(52235.0942954199,-1)</f>
        <v>52230</v>
      </c>
      <c r="E131" s="63">
        <f t="shared" si="4"/>
        <v>172660</v>
      </c>
    </row>
    <row r="132" spans="1:7" ht="18" thickBot="1" x14ac:dyDescent="0.35">
      <c r="A132" s="2">
        <v>11</v>
      </c>
      <c r="C132" s="38" t="s">
        <v>47</v>
      </c>
      <c r="D132" s="43">
        <f>TRUNC(3539.58545156378+401.974698371793,-1)</f>
        <v>3940</v>
      </c>
      <c r="E132" s="64">
        <f t="shared" si="4"/>
        <v>13020</v>
      </c>
      <c r="F132" s="54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95800</v>
      </c>
      <c r="E133" s="39">
        <f>SUM(E122:E132)</f>
        <v>316650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TRUNC(7453.52430596228+16642.0372496193,-1)</f>
        <v>24090</v>
      </c>
      <c r="E137" s="63">
        <f t="shared" si="5"/>
        <v>79630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24090</v>
      </c>
      <c r="E146" s="39">
        <f>SUM(E136:E145)</f>
        <v>79630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TRUNC(14456.1840224903,-1)</f>
        <v>14450</v>
      </c>
      <c r="E150" s="63">
        <f>TRUNC(+D150*3.3058,-1)</f>
        <v>47760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TRUNC(7271.97235562844+6998.17090312756+4.08023895982195,-1)</f>
        <v>14270</v>
      </c>
      <c r="E152" s="63">
        <f>TRUNC(+D152*3.3058,-1)</f>
        <v>47170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28720</v>
      </c>
      <c r="E154" s="39">
        <f>SUM(E149:E153)</f>
        <v>94930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TRUNC(8707.10097223849,-1)</f>
        <v>8700</v>
      </c>
      <c r="E157" s="62">
        <f>TRUNC(+D157*3.3058,-1)</f>
        <v>28760</v>
      </c>
      <c r="F157" s="2" t="s">
        <v>259</v>
      </c>
    </row>
    <row r="158" spans="1:7" x14ac:dyDescent="0.3">
      <c r="A158" s="2">
        <v>2</v>
      </c>
      <c r="C158" s="38" t="s">
        <v>52</v>
      </c>
      <c r="D158" s="42">
        <f>TRUNC(2699.70446292609,-1)</f>
        <v>2690</v>
      </c>
      <c r="E158" s="63">
        <f>TRUNC(+D158*3.3058,-1)</f>
        <v>8890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f>TRUNC(326.473819843036,-1)</f>
        <v>320</v>
      </c>
      <c r="E159" s="63">
        <f>TRUNC(+D159*3.3058,-1)</f>
        <v>1050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11710</v>
      </c>
      <c r="E161" s="39">
        <f>SUM(E157:E160)</f>
        <v>38700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2020-12-07T09:22:57Z</dcterms:modified>
</cp:coreProperties>
</file>