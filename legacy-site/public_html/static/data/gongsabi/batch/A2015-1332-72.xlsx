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9" i="4"/>
  <c r="E138" i="4"/>
  <c r="E136" i="4"/>
  <c r="E129" i="4"/>
  <c r="E123" i="4"/>
  <c r="E117" i="4"/>
  <c r="E115" i="4"/>
  <c r="E113" i="4"/>
  <c r="E112" i="4"/>
  <c r="E111" i="4"/>
  <c r="E110" i="4"/>
  <c r="E109" i="4"/>
  <c r="E108" i="4"/>
  <c r="E107" i="4"/>
  <c r="E106" i="4"/>
  <c r="E91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3" i="4"/>
  <c r="E153" i="4" s="1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D122" i="4"/>
  <c r="E122" i="4" s="1"/>
  <c r="D118" i="4"/>
  <c r="E118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D98" i="4"/>
  <c r="E98" i="4" s="1"/>
  <c r="D94" i="4"/>
  <c r="E94" i="4" s="1"/>
  <c r="D93" i="4"/>
  <c r="E93" i="4" s="1"/>
  <c r="D92" i="4"/>
  <c r="E92" i="4" s="1"/>
  <c r="D90" i="4"/>
  <c r="E90" i="4" s="1"/>
  <c r="D73" i="4"/>
  <c r="E73" i="4" s="1"/>
  <c r="D72" i="4"/>
  <c r="E72" i="4" s="1"/>
  <c r="D71" i="4"/>
  <c r="E71" i="4" s="1"/>
  <c r="D70" i="4"/>
  <c r="D69" i="4"/>
  <c r="E69" i="4" s="1"/>
  <c r="D65" i="4"/>
  <c r="E65" i="4" s="1"/>
  <c r="D63" i="4"/>
  <c r="E63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40" i="4"/>
  <c r="E40" i="4" s="1"/>
  <c r="D24" i="4"/>
  <c r="D7" i="4"/>
  <c r="D60" i="4" l="1"/>
  <c r="D25" i="4" s="1"/>
  <c r="E25" i="4" s="1"/>
  <c r="E41" i="4"/>
  <c r="D161" i="4"/>
  <c r="D32" i="4" s="1"/>
  <c r="E32" i="4" s="1"/>
  <c r="E157" i="4"/>
  <c r="E161" i="4" s="1"/>
  <c r="E24" i="4"/>
  <c r="E66" i="4"/>
  <c r="D95" i="4"/>
  <c r="D27" i="4" s="1"/>
  <c r="E27" i="4" s="1"/>
  <c r="E70" i="4"/>
  <c r="E95" i="4" s="1"/>
  <c r="D133" i="4"/>
  <c r="D29" i="4" s="1"/>
  <c r="E29" i="4" s="1"/>
  <c r="E124" i="4"/>
  <c r="E133" i="4" s="1"/>
  <c r="D146" i="4"/>
  <c r="D30" i="4" s="1"/>
  <c r="E30" i="4" s="1"/>
  <c r="E137" i="4"/>
  <c r="E146" i="4" s="1"/>
  <c r="D119" i="4"/>
  <c r="D28" i="4" s="1"/>
  <c r="E28" i="4" s="1"/>
  <c r="E99" i="4"/>
  <c r="E119" i="4" s="1"/>
  <c r="E60" i="4"/>
  <c r="D66" i="4"/>
  <c r="D26" i="4" s="1"/>
  <c r="E26" i="4" s="1"/>
  <c r="D154" i="4"/>
  <c r="D31" i="4" s="1"/>
  <c r="E31" i="4" s="1"/>
  <c r="E149" i="4"/>
  <c r="E15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<sst xmlns="http://schemas.openxmlformats.org/spreadsheetml/2006/main" count="395" uniqueCount="267">
  <si>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</si>
  <si>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</si>
  <si>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</si>
  <si>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</si>
  <si>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</si>
  <si>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</si>
  <si>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</si>
  <si>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</si>
  <si>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</si>
  <si>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</si>
  <si>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</si>
  <si>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</si>
  <si>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</si>
  <si>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</si>
  <si>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</si>
  <si>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</si>
  <si>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</si>
  <si>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</si>
  <si>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</si>
  <si>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</si>
  <si>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</si>
  <si>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</si>
  <si>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</si>
  <si>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</si>
  <si>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</si>
  <si>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</si>
  <si>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</si>
  <si>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</si>
  <si>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</si>
  <si>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</si>
  <si>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</si>
  <si>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</si>
  <si>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</si>
  <si>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</si>
  <si>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</si>
  <si>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</si>
  <si>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</si>
  <si>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</si>
  <si>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</si>
  <si>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</si>
  <si>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</si>
  <si>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</si>
  <si>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</si>
  <si>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</si>
  <si>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</si>
  <si>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</si>
  <si>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</si>
  <si>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</si>
  <si>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</si>
  <si>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</si>
  <si>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</si>
  <si>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</si>
  <si>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</si>
  <si>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</si>
  <si>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</si>
  <si>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</si>
  <si>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</si>
  <si>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</si>
  <si>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</si>
  <si>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</si>
  <si>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</si>
  <si>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</si>
  <si>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</si>
  <si>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</si>
  <si>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</si>
  <si>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</si>
  <si>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</si>
  <si>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</si>
  <si>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</si>
  <si>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</si>
  <si>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</si>
  <si>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</si>
  <si>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</si>
  <si>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</si>
  <si>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</si>
  <si>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</si>
  <si>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</si>
  <si>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</si>
  <si>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</si>
  <si>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</si>
  <si>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</si>
  <si>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</si>
  <si>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</si>
  <si>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</si>
  <si>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</si>
  <si>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</si>
  <si>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</si>
  <si>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</si>
  <si>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</si>
  <si>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</si>
  <si>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</si>
  <si>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</si>
  <si>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</si>
  <si>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</si>
  <si>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</si>
  <si>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</si>
  <si>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</si>
  <si>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</si>
  <si>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</si>
  <si>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</si>
  <si>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</si>
  <si>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</si>
  <si>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</si>
  <si>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</si>
  <si>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</si>
  <si>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</si>
  <si>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</si>
  <si>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</si>
  <si>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</si>
  <si>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</si>
  <si>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</si>
  <si>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</si>
  <si>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</si>
  <si>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</si>
  <si>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</si>
  <si>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</si>
  <si>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</si>
  <si>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</si>
  <si>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</si>
  <si>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</si>
  <si>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</si>
  <si>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</si>
  <si>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</si>
  <si>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</si>
  <si>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</si>
  <si>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</si>
  <si>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</si>
  <si>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</si>
  <si>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</si>
  <si>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</si>
  <si>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</si>
  <si>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</si>
  <si>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</si>
  <si>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</si>
  <si>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</si>
  <si>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</si>
  <si>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</si>
  <si>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</si>
  <si>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</si>
  <si>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</si>
  <si>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</si>
  <si>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</si>
  <si>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</si>
  <si>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</si>
  <si>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</si>
  <si>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</si>
  <si>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</si>
  <si>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</si>
  <si>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</si>
  <si>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</si>
  <si>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</si>
  <si>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</si>
  <si>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</si>
  <si>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</si>
  <si>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</si>
  <si>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</si>
  <si>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</si>
  <si>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</si>
  <si>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</si>
  <si>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</si>
  <si>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</si>
  <si>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</si>
  <si>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</si>
  <si>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</si>
  <si>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</si>
  <si>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</si>
  <si>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</si>
  <si>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</si>
  <si>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</si>
  <si>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</si>
  <si>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</si>
  <si>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</si>
  <si>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</si>
  <si>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</si>
  <si>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</si>
  <si>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</si>
  <si>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</si>
  <si>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</si>
  <si>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</si>
  <si>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</si>
  <si>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</si>
  <si>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</si>
  <si>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</si>
  <si>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</si>
  <si>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</si>
  <si>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</si>
  <si>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</si>
  <si>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</si>
  <si>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</si>
  <si>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</si>
  <si>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</si>
  <si>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</si>
  <si>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</si>
  <si>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</si>
  <si>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</si>
  <si>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</si>
  <si>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</si>
  <si>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</si>
  <si>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</si>
  <si>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</si>
  <si>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</si>
  <si>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</si>
  <si>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</si>
  <si>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</si>
  <si>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</si>
  <si>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</si>
  <si>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</si>
  <si>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</si>
  <si>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</si>
  <si>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</si>
  <si>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</si>
  <si>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</si>
  <si>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</si>
  <si>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</si>
  <si>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</si>
  <si>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</si>
  <si>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</si>
  <si>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</si>
  <si>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</si>
  <si>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</si>
  <si>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</si>
  <si>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</si>
  <si>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</si>
  <si>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</si>
  <si>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</si>
  <si>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</si>
  <si>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</si>
  <si>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</si>
  <si>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</si>
  <si>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</si>
  <si>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</si>
  <si>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</si>
  <si>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</si>
  <si>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</si>
  <si>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</si>
  <si>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</si>
  <si>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</si>
  <si>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</si>
  <si>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</si>
  <si>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</si>
  <si>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</si>
  <si>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</si>
  <si>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</si>
  <si>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</si>
  <si>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</si>
  <si>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의왕경찰서 청사 신축공사</t>
  </si>
  <si>
    <t>업무</t>
  </si>
  <si>
    <t>경기도</t>
  </si>
  <si>
    <t>평</t>
    <phoneticPr fontId="2" type="noConversion"/>
  </si>
  <si>
    <t>원/ m2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</si>
  <si>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</si>
  <si>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</si>
  <si>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기초공사,골재비및운반비,작업부산물,품질시험비,기타공사</t>
    <phoneticPr fontId="2" type="noConversion"/>
  </si>
  <si>
    <t>우수처리시설공사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</si>
  <si>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</si>
  <si>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</si>
  <si>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</t>
    <phoneticPr fontId="2" type="noConversion"/>
  </si>
  <si>
    <t>펌프실배관공사</t>
    <phoneticPr fontId="2" type="noConversion"/>
  </si>
  <si>
    <t>토목</t>
    <phoneticPr fontId="2" type="noConversion"/>
  </si>
  <si>
    <t>상수도공사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</si>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</sst>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9346.84</v>
      </c>
      <c r="D7" s="36">
        <f>+C7/3.3058</f>
        <v>2827.4063766713048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921200</v>
      </c>
      <c r="E25" s="61">
        <f t="shared" si="0"/>
        <v>3045300</v>
      </c>
    </row>
    <row r="26" spans="1:5" x14ac:dyDescent="0.3">
      <c r="B26" s="2">
        <v>3</v>
      </c>
      <c r="C26" s="35" t="s">
        <v>95</v>
      </c>
      <c r="D26" s="56">
        <f>+D66</f>
        <v>8850</v>
      </c>
      <c r="E26" s="61">
        <f t="shared" si="0"/>
        <v>29250</v>
      </c>
    </row>
    <row r="27" spans="1:5" x14ac:dyDescent="0.3">
      <c r="B27" s="2">
        <v>4</v>
      </c>
      <c r="C27" s="35" t="s">
        <v>96</v>
      </c>
      <c r="D27" s="56">
        <f>+D95</f>
        <v>218220</v>
      </c>
      <c r="E27" s="61">
        <f t="shared" si="0"/>
        <v>721390</v>
      </c>
    </row>
    <row r="28" spans="1:5" x14ac:dyDescent="0.3">
      <c r="B28" s="2">
        <v>5</v>
      </c>
      <c r="C28" s="35" t="s">
        <v>97</v>
      </c>
      <c r="D28" s="56">
        <f>+D119</f>
        <v>196090</v>
      </c>
      <c r="E28" s="61">
        <f t="shared" si="0"/>
        <v>648230</v>
      </c>
    </row>
    <row r="29" spans="1:5" x14ac:dyDescent="0.3">
      <c r="B29" s="2">
        <v>6</v>
      </c>
      <c r="C29" s="35" t="s">
        <v>98</v>
      </c>
      <c r="D29" s="56">
        <f>+D133</f>
        <v>194400</v>
      </c>
      <c r="E29" s="61">
        <f t="shared" si="0"/>
        <v>642640</v>
      </c>
    </row>
    <row r="30" spans="1:5" x14ac:dyDescent="0.3">
      <c r="B30" s="2">
        <v>7</v>
      </c>
      <c r="C30" s="35" t="s">
        <v>99</v>
      </c>
      <c r="D30" s="56">
        <f>+D146</f>
        <v>46790</v>
      </c>
      <c r="E30" s="61">
        <f t="shared" si="0"/>
        <v>154670</v>
      </c>
    </row>
    <row r="31" spans="1:5" x14ac:dyDescent="0.3">
      <c r="B31" s="2">
        <v>8</v>
      </c>
      <c r="C31" s="35" t="s">
        <v>100</v>
      </c>
      <c r="D31" s="56">
        <f>+D154</f>
        <v>65620</v>
      </c>
      <c r="E31" s="61">
        <f t="shared" si="0"/>
        <v>216920</v>
      </c>
    </row>
    <row r="32" spans="1:5" x14ac:dyDescent="0.3">
      <c r="B32" s="2">
        <v>9</v>
      </c>
      <c r="C32" s="35" t="s">
        <v>101</v>
      </c>
      <c r="D32" s="56">
        <f>+D161</f>
        <v>41530</v>
      </c>
      <c r="E32" s="61">
        <f t="shared" si="0"/>
        <v>137280</v>
      </c>
    </row>
    <row r="33" spans="1:7" x14ac:dyDescent="0.3">
      <c r="B33" s="2">
        <v>10</v>
      </c>
      <c r="C33" s="35" t="s">
        <v>154</v>
      </c>
      <c r="D33" s="51">
        <f>TRUNC(SUM(D24:D32)*0.275,-1)</f>
        <v>465490</v>
      </c>
      <c r="E33" s="62">
        <f t="shared" si="0"/>
        <v>1538810</v>
      </c>
    </row>
    <row r="34" spans="1:7" x14ac:dyDescent="0.3">
      <c r="C34" s="35" t="s">
        <v>112</v>
      </c>
      <c r="D34" s="44">
        <f>SUM(D24:D33)</f>
        <v>2158190</v>
      </c>
      <c r="E34" s="44">
        <f>SUM(E24:E33)</f>
        <v>7134490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235</v>
      </c>
      <c r="D36" s="54" t="s">
        <v>261</v>
      </c>
      <c r="E36" s="54" t="s">
        <v>153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239</v>
      </c>
      <c r="D39" s="68" t="s">
        <v>262</v>
      </c>
      <c r="E39" s="68" t="s">
        <v>263</v>
      </c>
      <c r="G39" s="69"/>
    </row>
    <row r="40" spans="1:7" x14ac:dyDescent="0.3">
      <c r="A40" s="2">
        <v>1</v>
      </c>
      <c r="C40" s="38" t="s">
        <v>15</v>
      </c>
      <c r="D40" s="40">
        <f>TRUNC(59559,-1)</f>
        <v>59550</v>
      </c>
      <c r="E40" s="64">
        <f t="shared" ref="E40:E59" si="1">TRUNC(+D40*3.3058,-1)</f>
        <v>196860</v>
      </c>
    </row>
    <row r="41" spans="1:7" x14ac:dyDescent="0.3">
      <c r="A41" s="2">
        <v>2</v>
      </c>
      <c r="C41" s="38" t="s">
        <v>13</v>
      </c>
      <c r="D41" s="42">
        <f>TRUNC(125477,-1)</f>
        <v>125470</v>
      </c>
      <c r="E41" s="65">
        <f t="shared" si="1"/>
        <v>414770</v>
      </c>
    </row>
    <row r="42" spans="1:7" x14ac:dyDescent="0.3">
      <c r="A42" s="2">
        <v>3</v>
      </c>
      <c r="C42" s="38" t="s">
        <v>14</v>
      </c>
      <c r="D42" s="42">
        <f>TRUNC(320,-1)</f>
        <v>320</v>
      </c>
      <c r="E42" s="65">
        <f t="shared" si="1"/>
        <v>1050</v>
      </c>
    </row>
    <row r="43" spans="1:7" x14ac:dyDescent="0.3">
      <c r="A43" s="2">
        <v>4</v>
      </c>
      <c r="C43" s="38" t="s">
        <v>16</v>
      </c>
      <c r="D43" s="42">
        <f>TRUNC(23572,-1)</f>
        <v>23570</v>
      </c>
      <c r="E43" s="65">
        <f t="shared" si="1"/>
        <v>77910</v>
      </c>
    </row>
    <row r="44" spans="1:7" x14ac:dyDescent="0.3">
      <c r="A44" s="2">
        <v>5</v>
      </c>
      <c r="C44" s="38" t="s">
        <v>17</v>
      </c>
      <c r="D44" s="42">
        <f>TRUNC(23231,-1)</f>
        <v>23230</v>
      </c>
      <c r="E44" s="65">
        <f t="shared" si="1"/>
        <v>76790</v>
      </c>
    </row>
    <row r="45" spans="1:7" x14ac:dyDescent="0.3">
      <c r="A45" s="2">
        <v>6</v>
      </c>
      <c r="C45" s="38" t="s">
        <v>18</v>
      </c>
      <c r="D45" s="42">
        <f>TRUNC(10945,-1)</f>
        <v>10940</v>
      </c>
      <c r="E45" s="65">
        <f t="shared" si="1"/>
        <v>36160</v>
      </c>
    </row>
    <row r="46" spans="1:7" x14ac:dyDescent="0.3">
      <c r="A46" s="2">
        <v>7</v>
      </c>
      <c r="C46" s="38" t="s">
        <v>19</v>
      </c>
      <c r="D46" s="42">
        <f>TRUNC(47867,-1)</f>
        <v>47860</v>
      </c>
      <c r="E46" s="65">
        <f t="shared" si="1"/>
        <v>158210</v>
      </c>
    </row>
    <row r="47" spans="1:7" x14ac:dyDescent="0.3">
      <c r="A47" s="2">
        <v>8</v>
      </c>
      <c r="C47" s="38" t="s">
        <v>20</v>
      </c>
      <c r="D47" s="4">
        <v>0</v>
      </c>
      <c r="E47" s="65">
        <f t="shared" si="1"/>
        <v>0</v>
      </c>
    </row>
    <row r="48" spans="1:7" x14ac:dyDescent="0.3">
      <c r="A48" s="2">
        <v>9</v>
      </c>
      <c r="C48" s="38" t="s">
        <v>21</v>
      </c>
      <c r="D48" s="42">
        <f>TRUNC(96715,-1)</f>
        <v>96710</v>
      </c>
      <c r="E48" s="65">
        <f t="shared" si="1"/>
        <v>319700</v>
      </c>
    </row>
    <row r="49" spans="1:7" x14ac:dyDescent="0.3">
      <c r="A49" s="2">
        <v>10</v>
      </c>
      <c r="C49" s="38" t="s">
        <v>22</v>
      </c>
      <c r="D49" s="42">
        <f>TRUNC(14392,-1)</f>
        <v>14390</v>
      </c>
      <c r="E49" s="65">
        <f t="shared" si="1"/>
        <v>47570</v>
      </c>
    </row>
    <row r="50" spans="1:7" x14ac:dyDescent="0.3">
      <c r="A50" s="2">
        <v>11</v>
      </c>
      <c r="C50" s="38" t="s">
        <v>155</v>
      </c>
      <c r="D50" s="42">
        <f>TRUNC(46862,-1)</f>
        <v>46860</v>
      </c>
      <c r="E50" s="65">
        <f t="shared" si="1"/>
        <v>154900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5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TRUNC(8776,-1)</f>
        <v>8770</v>
      </c>
      <c r="E52" s="65">
        <f t="shared" si="1"/>
        <v>28990</v>
      </c>
    </row>
    <row r="53" spans="1:7" x14ac:dyDescent="0.3">
      <c r="A53" s="2">
        <v>14</v>
      </c>
      <c r="C53" s="38" t="s">
        <v>25</v>
      </c>
      <c r="D53" s="42">
        <f>TRUNC(80106,-1)</f>
        <v>80100</v>
      </c>
      <c r="E53" s="65">
        <f t="shared" si="1"/>
        <v>264790</v>
      </c>
      <c r="F53" s="2" t="s">
        <v>251</v>
      </c>
    </row>
    <row r="54" spans="1:7" x14ac:dyDescent="0.3">
      <c r="A54" s="2">
        <v>15</v>
      </c>
      <c r="C54" s="38" t="s">
        <v>147</v>
      </c>
      <c r="D54" s="4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5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15234+1682-462+329+15427</f>
        <v>32210</v>
      </c>
      <c r="E58" s="65">
        <f t="shared" si="1"/>
        <v>106470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TRUNC(351224,-1)</f>
        <v>351220</v>
      </c>
      <c r="E59" s="66">
        <f t="shared" si="1"/>
        <v>1161060</v>
      </c>
    </row>
    <row r="60" spans="1:7" x14ac:dyDescent="0.3">
      <c r="A60" s="2">
        <v>21</v>
      </c>
      <c r="C60" s="27" t="s">
        <v>112</v>
      </c>
      <c r="D60" s="39">
        <f>SUM(D40:D59)</f>
        <v>921200</v>
      </c>
      <c r="E60" s="39">
        <f>SUM(E40:E59)</f>
        <v>3045230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236</v>
      </c>
      <c r="C62" s="53" t="s">
        <v>237</v>
      </c>
      <c r="D62" s="54" t="s">
        <v>261</v>
      </c>
      <c r="E62" s="54" t="s">
        <v>153</v>
      </c>
      <c r="F62" s="52"/>
      <c r="G62" s="52"/>
    </row>
    <row r="63" spans="1:7" x14ac:dyDescent="0.3">
      <c r="A63" s="2">
        <v>1</v>
      </c>
      <c r="C63" s="38" t="s">
        <v>27</v>
      </c>
      <c r="D63" s="40">
        <f>TRUNC(7194,-1)</f>
        <v>7190</v>
      </c>
      <c r="E63" s="64">
        <f>TRUNC(+D63*3.3058,-1)</f>
        <v>23760</v>
      </c>
    </row>
    <row r="64" spans="1:7" x14ac:dyDescent="0.3">
      <c r="A64" s="2">
        <v>2</v>
      </c>
      <c r="C64" s="38" t="s">
        <v>29</v>
      </c>
      <c r="D64" s="4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TRUNC(1664,-1)</f>
        <v>1660</v>
      </c>
      <c r="E65" s="66">
        <f>TRUNC(+D65*3.3058,-1)</f>
        <v>5480</v>
      </c>
    </row>
    <row r="66" spans="1:7" x14ac:dyDescent="0.3">
      <c r="A66" s="2">
        <v>4</v>
      </c>
      <c r="C66" s="27" t="s">
        <v>112</v>
      </c>
      <c r="D66" s="55">
        <f>SUM(D63:D65)</f>
        <v>8850</v>
      </c>
      <c r="E66" s="55">
        <f>SUM(E63:E65)</f>
        <v>29240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238</v>
      </c>
      <c r="C68" s="53" t="s">
        <v>239</v>
      </c>
      <c r="D68" s="54" t="s">
        <v>261</v>
      </c>
      <c r="E68" s="54" t="s">
        <v>153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TRUNC(3874,-1)</f>
        <v>3870</v>
      </c>
      <c r="E69" s="64">
        <f t="shared" ref="E69:E94" si="2">TRUNC(+D69*3.3058,-1)</f>
        <v>12790</v>
      </c>
    </row>
    <row r="70" spans="1:7" ht="16.5" customHeight="1" x14ac:dyDescent="0.3">
      <c r="A70" s="2">
        <v>2</v>
      </c>
      <c r="C70" s="38" t="s">
        <v>31</v>
      </c>
      <c r="D70" s="42">
        <f>TRUNC(305,-1)</f>
        <v>300</v>
      </c>
      <c r="E70" s="65">
        <f t="shared" si="2"/>
        <v>990</v>
      </c>
    </row>
    <row r="71" spans="1:7" x14ac:dyDescent="0.3">
      <c r="A71" s="2">
        <v>3</v>
      </c>
      <c r="C71" s="38" t="s">
        <v>32</v>
      </c>
      <c r="D71" s="42">
        <f>TRUNC(3705,-1)</f>
        <v>3700</v>
      </c>
      <c r="E71" s="65">
        <f t="shared" si="2"/>
        <v>12230</v>
      </c>
    </row>
    <row r="72" spans="1:7" x14ac:dyDescent="0.3">
      <c r="A72" s="2">
        <v>4</v>
      </c>
      <c r="C72" s="38" t="s">
        <v>33</v>
      </c>
      <c r="D72" s="42">
        <f>TRUNC(3093,-1)</f>
        <v>3090</v>
      </c>
      <c r="E72" s="65">
        <f t="shared" si="2"/>
        <v>10210</v>
      </c>
    </row>
    <row r="73" spans="1:7" x14ac:dyDescent="0.3">
      <c r="A73" s="2">
        <v>5</v>
      </c>
      <c r="C73" s="38" t="s">
        <v>34</v>
      </c>
      <c r="D73" s="42">
        <f>TRUNC(8935,-1)</f>
        <v>8930</v>
      </c>
      <c r="E73" s="65">
        <f t="shared" si="2"/>
        <v>29520</v>
      </c>
    </row>
    <row r="74" spans="1:7" x14ac:dyDescent="0.3">
      <c r="A74" s="2">
        <v>6</v>
      </c>
      <c r="C74" s="38" t="s">
        <v>176</v>
      </c>
      <c r="D74" s="42">
        <v>0</v>
      </c>
      <c r="E74" s="65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5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5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5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5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2"/>
        <v>0</v>
      </c>
    </row>
    <row r="89" spans="1:7" x14ac:dyDescent="0.3">
      <c r="A89" s="2">
        <v>21</v>
      </c>
      <c r="C89" s="38" t="s">
        <v>35</v>
      </c>
      <c r="D89" s="42">
        <v>13150</v>
      </c>
      <c r="E89" s="65">
        <f t="shared" si="2"/>
        <v>43470</v>
      </c>
    </row>
    <row r="90" spans="1:7" x14ac:dyDescent="0.3">
      <c r="A90" s="2">
        <v>22</v>
      </c>
      <c r="C90" s="38" t="s">
        <v>36</v>
      </c>
      <c r="D90" s="42">
        <f>TRUNC(1287,-1)</f>
        <v>1280</v>
      </c>
      <c r="E90" s="65">
        <f t="shared" si="2"/>
        <v>4230</v>
      </c>
    </row>
    <row r="91" spans="1:7" x14ac:dyDescent="0.3">
      <c r="A91" s="2">
        <v>23</v>
      </c>
      <c r="C91" s="38" t="s">
        <v>37</v>
      </c>
      <c r="D91" s="42">
        <v>13800</v>
      </c>
      <c r="E91" s="65">
        <f t="shared" si="2"/>
        <v>45620</v>
      </c>
    </row>
    <row r="92" spans="1:7" x14ac:dyDescent="0.3">
      <c r="A92" s="2">
        <v>24</v>
      </c>
      <c r="C92" s="38" t="s">
        <v>38</v>
      </c>
      <c r="D92" s="42">
        <f>TRUNC(2455,-1)</f>
        <v>2450</v>
      </c>
      <c r="E92" s="65">
        <f t="shared" si="2"/>
        <v>8090</v>
      </c>
    </row>
    <row r="93" spans="1:7" x14ac:dyDescent="0.3">
      <c r="A93" s="2">
        <v>25</v>
      </c>
      <c r="C93" s="38" t="s">
        <v>148</v>
      </c>
      <c r="D93" s="42">
        <f>TRUNC(162245,-1)</f>
        <v>162240</v>
      </c>
      <c r="E93" s="65">
        <f t="shared" si="2"/>
        <v>536330</v>
      </c>
    </row>
    <row r="94" spans="1:7" ht="17.25" thickBot="1" x14ac:dyDescent="0.35">
      <c r="A94" s="2">
        <v>26</v>
      </c>
      <c r="C94" s="38" t="s">
        <v>47</v>
      </c>
      <c r="D94" s="43">
        <f>TRUNC(5042+375,-1)</f>
        <v>5410</v>
      </c>
      <c r="E94" s="66">
        <f t="shared" si="2"/>
        <v>17880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218220</v>
      </c>
      <c r="E95" s="39">
        <f>SUM(E69:E94)</f>
        <v>721360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240</v>
      </c>
      <c r="C97" s="53" t="s">
        <v>239</v>
      </c>
      <c r="D97" s="54" t="s">
        <v>261</v>
      </c>
      <c r="E97" s="54" t="s">
        <v>153</v>
      </c>
      <c r="F97" s="52"/>
      <c r="G97" s="52"/>
    </row>
    <row r="98" spans="1:7" x14ac:dyDescent="0.3">
      <c r="A98" s="2">
        <v>1</v>
      </c>
      <c r="C98" s="38" t="s">
        <v>39</v>
      </c>
      <c r="D98" s="40">
        <f>TRUNC(14886,-1)</f>
        <v>14880</v>
      </c>
      <c r="E98" s="64">
        <f t="shared" ref="E98:E118" si="3">TRUNC(+D98*3.3058,-1)</f>
        <v>49190</v>
      </c>
    </row>
    <row r="99" spans="1:7" x14ac:dyDescent="0.3">
      <c r="A99" s="2">
        <v>2</v>
      </c>
      <c r="C99" s="38" t="s">
        <v>40</v>
      </c>
      <c r="D99" s="42">
        <f>TRUNC(6074,-1)</f>
        <v>6070</v>
      </c>
      <c r="E99" s="65">
        <f t="shared" si="3"/>
        <v>20060</v>
      </c>
    </row>
    <row r="100" spans="1:7" x14ac:dyDescent="0.3">
      <c r="A100" s="2">
        <v>3</v>
      </c>
      <c r="C100" s="38" t="s">
        <v>41</v>
      </c>
      <c r="D100" s="42">
        <f>TRUNC(29269,-1)</f>
        <v>29260</v>
      </c>
      <c r="E100" s="65">
        <f t="shared" si="3"/>
        <v>96720</v>
      </c>
    </row>
    <row r="101" spans="1:7" x14ac:dyDescent="0.3">
      <c r="A101" s="2">
        <v>4</v>
      </c>
      <c r="C101" s="38" t="s">
        <v>42</v>
      </c>
      <c r="D101" s="42">
        <f>TRUNC(1889,-1)</f>
        <v>1880</v>
      </c>
      <c r="E101" s="65">
        <f t="shared" si="3"/>
        <v>6210</v>
      </c>
    </row>
    <row r="102" spans="1:7" x14ac:dyDescent="0.3">
      <c r="A102" s="2">
        <v>5</v>
      </c>
      <c r="C102" s="38" t="s">
        <v>43</v>
      </c>
      <c r="D102" s="42">
        <f>TRUNC(16393,-1)</f>
        <v>16390</v>
      </c>
      <c r="E102" s="65">
        <f t="shared" si="3"/>
        <v>54180</v>
      </c>
    </row>
    <row r="103" spans="1:7" x14ac:dyDescent="0.3">
      <c r="A103" s="2">
        <v>6</v>
      </c>
      <c r="C103" s="38" t="s">
        <v>44</v>
      </c>
      <c r="D103" s="42">
        <f>TRUNC(2759,-1)</f>
        <v>2750</v>
      </c>
      <c r="E103" s="65">
        <f t="shared" si="3"/>
        <v>9090</v>
      </c>
    </row>
    <row r="104" spans="1:7" x14ac:dyDescent="0.3">
      <c r="A104" s="2">
        <v>7</v>
      </c>
      <c r="C104" s="38" t="s">
        <v>45</v>
      </c>
      <c r="D104" s="42">
        <f>TRUNC(6409,-1)</f>
        <v>6400</v>
      </c>
      <c r="E104" s="65">
        <f t="shared" si="3"/>
        <v>21150</v>
      </c>
    </row>
    <row r="105" spans="1:7" x14ac:dyDescent="0.3">
      <c r="A105" s="2">
        <v>8</v>
      </c>
      <c r="C105" s="38" t="s">
        <v>46</v>
      </c>
      <c r="D105" s="42">
        <f>TRUNC(4859,-1)</f>
        <v>4850</v>
      </c>
      <c r="E105" s="65">
        <f t="shared" si="3"/>
        <v>16030</v>
      </c>
    </row>
    <row r="106" spans="1:7" x14ac:dyDescent="0.3">
      <c r="A106" s="2">
        <v>9</v>
      </c>
      <c r="C106" s="38" t="s">
        <v>135</v>
      </c>
      <c r="D106" s="4">
        <v>0</v>
      </c>
      <c r="E106" s="65">
        <f t="shared" si="3"/>
        <v>0</v>
      </c>
    </row>
    <row r="107" spans="1:7" x14ac:dyDescent="0.3">
      <c r="A107" s="2">
        <v>10</v>
      </c>
      <c r="C107" s="38" t="s">
        <v>117</v>
      </c>
      <c r="D107" s="4">
        <v>0</v>
      </c>
      <c r="E107" s="65">
        <f t="shared" si="3"/>
        <v>0</v>
      </c>
    </row>
    <row r="108" spans="1:7" x14ac:dyDescent="0.3">
      <c r="A108" s="2">
        <v>11</v>
      </c>
      <c r="C108" s="38" t="s">
        <v>120</v>
      </c>
      <c r="D108" s="4">
        <v>0</v>
      </c>
      <c r="E108" s="65">
        <f t="shared" si="3"/>
        <v>0</v>
      </c>
    </row>
    <row r="109" spans="1:7" x14ac:dyDescent="0.3">
      <c r="A109" s="2">
        <v>12</v>
      </c>
      <c r="C109" s="38" t="s">
        <v>125</v>
      </c>
      <c r="D109" s="4">
        <v>0</v>
      </c>
      <c r="E109" s="65">
        <f t="shared" si="3"/>
        <v>0</v>
      </c>
    </row>
    <row r="110" spans="1:7" x14ac:dyDescent="0.3">
      <c r="A110" s="2">
        <v>13</v>
      </c>
      <c r="C110" s="38" t="s">
        <v>127</v>
      </c>
      <c r="D110" s="4">
        <v>0</v>
      </c>
      <c r="E110" s="65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3"/>
        <v>0</v>
      </c>
    </row>
    <row r="112" spans="1:7" x14ac:dyDescent="0.3">
      <c r="A112" s="2">
        <v>15</v>
      </c>
      <c r="C112" s="38" t="s">
        <v>132</v>
      </c>
      <c r="D112" s="4">
        <v>0</v>
      </c>
      <c r="E112" s="65">
        <f t="shared" si="3"/>
        <v>0</v>
      </c>
    </row>
    <row r="113" spans="1:7" x14ac:dyDescent="0.3">
      <c r="A113" s="2">
        <v>16</v>
      </c>
      <c r="C113" s="38" t="s">
        <v>118</v>
      </c>
      <c r="D113" s="4">
        <v>0</v>
      </c>
      <c r="E113" s="65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TRUNC(3018,-1)</f>
        <v>3010</v>
      </c>
      <c r="E114" s="65">
        <f t="shared" si="3"/>
        <v>9950</v>
      </c>
      <c r="F114" s="2" t="s">
        <v>254</v>
      </c>
    </row>
    <row r="115" spans="1:7" x14ac:dyDescent="0.3">
      <c r="A115" s="2">
        <v>18</v>
      </c>
      <c r="C115" s="38" t="s">
        <v>116</v>
      </c>
      <c r="D115" s="4">
        <v>0</v>
      </c>
      <c r="E115" s="65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TRUNC(5356,-1)</f>
        <v>5350</v>
      </c>
      <c r="E116" s="65">
        <f t="shared" si="3"/>
        <v>17680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v>103600</v>
      </c>
      <c r="E117" s="65">
        <f t="shared" si="3"/>
        <v>342480</v>
      </c>
    </row>
    <row r="118" spans="1:7" ht="17.25" thickBot="1" x14ac:dyDescent="0.35">
      <c r="A118" s="2">
        <v>21</v>
      </c>
      <c r="C118" s="38" t="s">
        <v>47</v>
      </c>
      <c r="D118" s="43">
        <f>TRUNC(1653,-1)</f>
        <v>1650</v>
      </c>
      <c r="E118" s="66">
        <f t="shared" si="3"/>
        <v>5450</v>
      </c>
    </row>
    <row r="119" spans="1:7" x14ac:dyDescent="0.3">
      <c r="A119" s="2">
        <v>22</v>
      </c>
      <c r="C119" s="27" t="s">
        <v>112</v>
      </c>
      <c r="D119" s="39">
        <f>SUM(D98:D118)</f>
        <v>196090</v>
      </c>
      <c r="E119" s="39">
        <f>SUM(E98:E118)</f>
        <v>648190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241</v>
      </c>
      <c r="C121" s="53" t="s">
        <v>239</v>
      </c>
      <c r="D121" s="54" t="s">
        <v>261</v>
      </c>
      <c r="E121" s="54" t="s">
        <v>153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TRUNC(10426,-1)</f>
        <v>10420</v>
      </c>
      <c r="E122" s="64">
        <f t="shared" ref="E122:E132" si="4">TRUNC(+D122*3.3058,-1)</f>
        <v>34440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TRUNC(787,-1)</f>
        <v>780</v>
      </c>
      <c r="E124" s="65">
        <f t="shared" si="4"/>
        <v>2570</v>
      </c>
    </row>
    <row r="125" spans="1:7" x14ac:dyDescent="0.3">
      <c r="A125" s="2">
        <v>4</v>
      </c>
      <c r="C125" s="38" t="s">
        <v>138</v>
      </c>
      <c r="D125" s="42">
        <f>TRUNC(7539,-1)</f>
        <v>7530</v>
      </c>
      <c r="E125" s="65">
        <f t="shared" si="4"/>
        <v>24890</v>
      </c>
    </row>
    <row r="126" spans="1:7" x14ac:dyDescent="0.3">
      <c r="A126" s="2">
        <v>5</v>
      </c>
      <c r="C126" s="38" t="s">
        <v>53</v>
      </c>
      <c r="D126" s="42">
        <f>TRUNC(1637,-1)</f>
        <v>1630</v>
      </c>
      <c r="E126" s="65">
        <f t="shared" si="4"/>
        <v>5380</v>
      </c>
    </row>
    <row r="127" spans="1:7" x14ac:dyDescent="0.3">
      <c r="A127" s="2">
        <v>6</v>
      </c>
      <c r="C127" s="38" t="s">
        <v>56</v>
      </c>
      <c r="D127" s="42">
        <f>TRUNC(4215,-1)</f>
        <v>4210</v>
      </c>
      <c r="E127" s="65">
        <f t="shared" si="4"/>
        <v>13910</v>
      </c>
    </row>
    <row r="128" spans="1:7" x14ac:dyDescent="0.3">
      <c r="A128" s="2">
        <v>7</v>
      </c>
      <c r="C128" s="38" t="s">
        <v>46</v>
      </c>
      <c r="D128" s="42">
        <f>TRUNC(4589,-1)</f>
        <v>4580</v>
      </c>
      <c r="E128" s="65">
        <f t="shared" si="4"/>
        <v>15140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TRUNC(47409,-1)</f>
        <v>47400</v>
      </c>
      <c r="E130" s="65">
        <f t="shared" si="4"/>
        <v>156690</v>
      </c>
    </row>
    <row r="131" spans="1:7" x14ac:dyDescent="0.3">
      <c r="A131" s="2">
        <v>10</v>
      </c>
      <c r="C131" s="38" t="s">
        <v>148</v>
      </c>
      <c r="D131" s="42">
        <f>TRUNC(110111,-1)</f>
        <v>110110</v>
      </c>
      <c r="E131" s="65">
        <f t="shared" si="4"/>
        <v>364000</v>
      </c>
    </row>
    <row r="132" spans="1:7" ht="17.25" thickBot="1" x14ac:dyDescent="0.35">
      <c r="A132" s="2">
        <v>11</v>
      </c>
      <c r="C132" s="38" t="s">
        <v>47</v>
      </c>
      <c r="D132" s="43">
        <f>TRUNC(5520+386+1837,-1)</f>
        <v>7740</v>
      </c>
      <c r="E132" s="66">
        <f t="shared" si="4"/>
        <v>25580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194400</v>
      </c>
      <c r="E133" s="39">
        <f>SUM(E122:E132)</f>
        <v>642600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242</v>
      </c>
      <c r="C135" s="53" t="s">
        <v>239</v>
      </c>
      <c r="D135" s="54" t="s">
        <v>261</v>
      </c>
      <c r="E135" s="54" t="s">
        <v>153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4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TRUNC(2139,-1)</f>
        <v>2130</v>
      </c>
      <c r="E137" s="65">
        <f t="shared" si="5"/>
        <v>7040</v>
      </c>
      <c r="F137" s="2" t="s">
        <v>257</v>
      </c>
    </row>
    <row r="138" spans="1:7" x14ac:dyDescent="0.3">
      <c r="A138" s="2">
        <v>3</v>
      </c>
      <c r="C138" s="38" t="s">
        <v>60</v>
      </c>
      <c r="D138" s="4">
        <v>0</v>
      </c>
      <c r="E138" s="65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TRUNC(2262,-1)</f>
        <v>2260</v>
      </c>
      <c r="E140" s="65">
        <f t="shared" si="5"/>
        <v>7470</v>
      </c>
    </row>
    <row r="141" spans="1:7" x14ac:dyDescent="0.3">
      <c r="A141" s="2">
        <v>6</v>
      </c>
      <c r="C141" s="38" t="s">
        <v>59</v>
      </c>
      <c r="D141" s="42">
        <f>TRUNC(22653,-1)</f>
        <v>22650</v>
      </c>
      <c r="E141" s="65">
        <f t="shared" si="5"/>
        <v>74870</v>
      </c>
    </row>
    <row r="142" spans="1:7" x14ac:dyDescent="0.3">
      <c r="A142" s="2">
        <v>7</v>
      </c>
      <c r="C142" s="38" t="s">
        <v>58</v>
      </c>
      <c r="D142" s="42">
        <f>TRUNC(5524,-1)</f>
        <v>5520</v>
      </c>
      <c r="E142" s="65">
        <f t="shared" si="5"/>
        <v>18240</v>
      </c>
    </row>
    <row r="143" spans="1:7" x14ac:dyDescent="0.3">
      <c r="A143" s="2">
        <v>8</v>
      </c>
      <c r="C143" s="38" t="s">
        <v>62</v>
      </c>
      <c r="D143" s="42">
        <f>TRUNC(3215,-1)</f>
        <v>3210</v>
      </c>
      <c r="E143" s="65">
        <f t="shared" si="5"/>
        <v>10610</v>
      </c>
    </row>
    <row r="144" spans="1:7" x14ac:dyDescent="0.3">
      <c r="A144" s="2">
        <v>9</v>
      </c>
      <c r="C144" s="38" t="s">
        <v>63</v>
      </c>
      <c r="D144" s="42">
        <f>TRUNC(11028,-1)</f>
        <v>11020</v>
      </c>
      <c r="E144" s="65">
        <f t="shared" si="5"/>
        <v>36420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6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46790</v>
      </c>
      <c r="E146" s="39">
        <f>SUM(E136:E145)</f>
        <v>154650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243</v>
      </c>
      <c r="C148" s="53" t="s">
        <v>239</v>
      </c>
      <c r="D148" s="54" t="s">
        <v>261</v>
      </c>
      <c r="E148" s="54" t="s">
        <v>153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TRUNC(9480+2871,-1)</f>
        <v>12350</v>
      </c>
      <c r="E149" s="64">
        <f>TRUNC(+D149*3.3058,-1)</f>
        <v>40820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TRUNC(13097,-1)</f>
        <v>13090</v>
      </c>
      <c r="E150" s="65">
        <f>TRUNC(+D150*3.3058,-1)</f>
        <v>43270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f>TRUNC(7358,-1)</f>
        <v>7350</v>
      </c>
      <c r="E151" s="65">
        <f>TRUNC(+D151*3.3058,-1)</f>
        <v>24290</v>
      </c>
      <c r="F151" s="2" t="s">
        <v>258</v>
      </c>
    </row>
    <row r="152" spans="1:7" x14ac:dyDescent="0.3">
      <c r="A152" s="2">
        <v>4</v>
      </c>
      <c r="C152" s="38" t="s">
        <v>47</v>
      </c>
      <c r="D152" s="42">
        <f>TRUNC(507+605,-1)</f>
        <v>1110</v>
      </c>
      <c r="E152" s="65">
        <f>TRUNC(+D152*3.3058,-1)</f>
        <v>3660</v>
      </c>
      <c r="F152" s="59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TRUNC(31727,-1)</f>
        <v>31720</v>
      </c>
      <c r="E153" s="66">
        <f>TRUNC(+D153*3.3058,-1)</f>
        <v>104850</v>
      </c>
      <c r="F153" s="2" t="s">
        <v>258</v>
      </c>
    </row>
    <row r="154" spans="1:7" x14ac:dyDescent="0.3">
      <c r="A154" s="2">
        <v>6</v>
      </c>
      <c r="C154" s="27" t="s">
        <v>112</v>
      </c>
      <c r="D154" s="39">
        <f>SUM(D149:D153)</f>
        <v>65620</v>
      </c>
      <c r="E154" s="39">
        <f>SUM(E149:E153)</f>
        <v>216890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244</v>
      </c>
      <c r="C156" s="53" t="s">
        <v>239</v>
      </c>
      <c r="D156" s="54" t="s">
        <v>261</v>
      </c>
      <c r="E156" s="54" t="s">
        <v>153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f>TRUNC(26405,-1)</f>
        <v>26400</v>
      </c>
      <c r="E157" s="64">
        <f>TRUNC(+D157*3.3058,-1)</f>
        <v>87270</v>
      </c>
    </row>
    <row r="158" spans="1:7" x14ac:dyDescent="0.3">
      <c r="A158" s="2">
        <v>2</v>
      </c>
      <c r="C158" s="38" t="s">
        <v>52</v>
      </c>
      <c r="D158" s="42">
        <f>TRUNC(8591,-1)</f>
        <v>8590</v>
      </c>
      <c r="E158" s="65">
        <f>TRUNC(+D158*3.3058,-1)</f>
        <v>28390</v>
      </c>
    </row>
    <row r="159" spans="1:7" x14ac:dyDescent="0.3">
      <c r="A159" s="2">
        <v>3</v>
      </c>
      <c r="C159" s="38" t="s">
        <v>47</v>
      </c>
      <c r="D159" s="42">
        <f>TRUNC(6536+8,-1)</f>
        <v>6540</v>
      </c>
      <c r="E159" s="65">
        <f>TRUNC(+D159*3.3058,-1)</f>
        <v>21610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41530</v>
      </c>
      <c r="E161" s="39">
        <f>SUM(E157:E160)</f>
        <v>137270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2020-12-07T10:06:37Z</dcterms:modified>
</cp:coreProperties>
</file>