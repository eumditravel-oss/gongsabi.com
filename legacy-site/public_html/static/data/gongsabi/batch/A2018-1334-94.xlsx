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92" i="4"/>
  <c r="D91" i="4"/>
  <c r="D89" i="4"/>
  <c r="D73" i="4"/>
  <c r="D72" i="4"/>
  <c r="D71" i="4"/>
  <c r="D70" i="4"/>
  <c r="D69" i="4"/>
  <c r="D63" i="4"/>
  <c r="D118" i="4"/>
  <c r="D116" i="4"/>
  <c r="D114" i="4"/>
  <c r="D105" i="4"/>
  <c r="D104" i="4"/>
  <c r="D103" i="4"/>
  <c r="D102" i="4"/>
  <c r="D100" i="4"/>
  <c r="D99" i="4"/>
  <c r="D98" i="4"/>
  <c r="D132" i="4"/>
  <c r="D130" i="4"/>
  <c r="D128" i="4"/>
  <c r="D126" i="4"/>
  <c r="D125" i="4"/>
  <c r="D124" i="4"/>
  <c r="D122" i="4"/>
  <c r="D144" i="4"/>
  <c r="D143" i="4"/>
  <c r="D142" i="4"/>
  <c r="D140" i="4"/>
  <c r="D139" i="4"/>
  <c r="D137" i="4"/>
  <c r="D152" i="4"/>
  <c r="D150" i="4"/>
  <c r="D149" i="4"/>
  <c r="D159" i="4"/>
  <c r="D158" i="4"/>
  <c r="D157" i="4"/>
  <c r="D153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<sst xmlns="http://schemas.openxmlformats.org/spreadsheetml/2006/main" count="395" uniqueCount="270">
  <si>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</si>
  <si>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</si>
  <si>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</si>
  <si>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</si>
  <si>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</si>
  <si>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</si>
  <si>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</si>
  <si>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</si>
  <si>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</si>
  <si>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</si>
  <si>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</si>
  <si>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</si>
  <si>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</si>
  <si>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</si>
  <si>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</si>
  <si>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</si>
  <si>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</si>
  <si>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</si>
  <si>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</si>
  <si>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</si>
  <si>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</si>
  <si>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</si>
  <si>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</si>
  <si>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</si>
  <si>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</si>
  <si>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</si>
  <si>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</si>
  <si>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</si>
  <si>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</si>
  <si>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</si>
  <si>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</si>
  <si>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</si>
  <si>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</si>
  <si>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</si>
  <si>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</si>
  <si>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</si>
  <si>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</si>
  <si>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</si>
  <si>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</si>
  <si>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</si>
  <si>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</si>
  <si>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</si>
  <si>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</si>
  <si>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</si>
  <si>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</si>
  <si>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</si>
  <si>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</si>
  <si>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</si>
  <si>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</si>
  <si>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</si>
  <si>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</si>
  <si>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</si>
  <si>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</si>
  <si>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</si>
  <si>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</si>
  <si>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</si>
  <si>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</si>
  <si>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</si>
  <si>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</si>
  <si>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</si>
  <si>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</si>
  <si>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</si>
  <si>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</si>
  <si>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</si>
  <si>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</si>
  <si>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</si>
  <si>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</si>
  <si>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</si>
  <si>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</si>
  <si>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</si>
  <si>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</si>
  <si>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</si>
  <si>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</si>
  <si>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</si>
  <si>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</si>
  <si>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</si>
  <si>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</si>
  <si>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</si>
  <si>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</si>
  <si>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</si>
  <si>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</si>
  <si>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</si>
  <si>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</si>
  <si>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</si>
  <si>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</si>
  <si>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</si>
  <si>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</si>
  <si>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</si>
  <si>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</si>
  <si>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</si>
  <si>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</si>
  <si>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</si>
  <si>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</si>
  <si>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</si>
  <si>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</si>
  <si>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</si>
  <si>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</si>
  <si>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</si>
  <si>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</si>
  <si>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</si>
  <si>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</si>
  <si>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</si>
  <si>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</si>
  <si>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</si>
  <si>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</si>
  <si>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</si>
  <si>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</si>
  <si>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</si>
  <si>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</si>
  <si>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</si>
  <si>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</si>
  <si>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</si>
  <si>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</si>
  <si>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</si>
  <si>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</si>
  <si>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</si>
  <si>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</si>
  <si>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</si>
  <si>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</si>
  <si>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</si>
  <si>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</si>
  <si>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</si>
  <si>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</si>
  <si>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</si>
  <si>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</si>
  <si>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</si>
  <si>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</si>
  <si>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</si>
  <si>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</si>
  <si>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</si>
  <si>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</si>
  <si>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</si>
  <si>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</si>
  <si>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</si>
  <si>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</si>
  <si>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</si>
  <si>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</si>
  <si>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</si>
  <si>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</si>
  <si>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</si>
  <si>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</si>
  <si>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</si>
  <si>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</si>
  <si>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</si>
  <si>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</si>
  <si>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</si>
  <si>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</si>
  <si>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</si>
  <si>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</si>
  <si>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</si>
  <si>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</si>
  <si>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</si>
  <si>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</si>
  <si>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</si>
  <si>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</si>
  <si>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</si>
  <si>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</si>
  <si>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</si>
  <si>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</si>
  <si>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</si>
  <si>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</si>
  <si>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</si>
  <si>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</si>
  <si>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</si>
  <si>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</si>
  <si>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</si>
  <si>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</si>
  <si>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</si>
  <si>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</si>
  <si>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</si>
  <si>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</si>
  <si>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</si>
  <si>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</si>
  <si>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</si>
  <si>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</si>
  <si>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</si>
  <si>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</si>
  <si>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</si>
  <si>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</si>
  <si>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</si>
  <si>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</si>
  <si>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</si>
  <si>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</si>
  <si>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</si>
  <si>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</si>
  <si>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</si>
  <si>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</si>
  <si>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</si>
  <si>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</si>
  <si>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</si>
  <si>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</si>
  <si>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</si>
  <si>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</si>
  <si>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</si>
  <si>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</si>
  <si>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</si>
  <si>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</si>
  <si>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</si>
  <si>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</si>
  <si>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</si>
  <si>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</si>
  <si>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</si>
  <si>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</si>
  <si>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</si>
  <si>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</si>
  <si>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</si>
  <si>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</si>
  <si>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</si>
  <si>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</si>
  <si>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</si>
  <si>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</si>
  <si>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</si>
  <si>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</si>
  <si>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</si>
  <si>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</si>
  <si>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</si>
  <si>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</si>
  <si>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</si>
  <si>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</si>
  <si>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</si>
  <si>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</si>
  <si>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</si>
  <si>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</si>
  <si>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</si>
  <si>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</si>
  <si>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</si>
  <si>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</si>
  <si>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</si>
  <si>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</si>
  <si>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</si>
  <si>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</si>
  <si>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</si>
  <si>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</si>
  <si>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</si>
  <si>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</si>
  <si>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</si>
  <si>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</si>
  <si>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</si>
  <si>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</si>
  <si>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</si>
  <si>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</si>
  <si>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</si>
  <si>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</si>
  <si>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</si>
  <si>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</si>
  <si>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</si>
  <si>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</si>
  <si>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</si>
  <si>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북부산세관 청사 및 지정장치장 신축</t>
    <phoneticPr fontId="2" type="noConversion"/>
  </si>
  <si>
    <t>업무</t>
  </si>
  <si>
    <t>부산시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</si>
  <si>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</si>
  <si>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</si>
  <si>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</si>
  <si>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난방배관공사,우수처리시설공사,기타공사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</si>
  <si>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</si>
  <si>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</si>
  <si>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 xml:space="preserve">CATV 및 TV 설비공사  </t>
    <phoneticPr fontId="2" type="noConversion"/>
  </si>
  <si>
    <t>CCTV설비공사,기타공사</t>
    <phoneticPr fontId="2" type="noConversion"/>
  </si>
  <si>
    <t>옥외소화배관공사</t>
    <phoneticPr fontId="2" type="noConversion"/>
  </si>
  <si>
    <t>우수공사,오수공사</t>
    <phoneticPr fontId="2" type="noConversion"/>
  </si>
  <si>
    <t>포장공사,기타공사</t>
    <phoneticPr fontId="2" type="noConversion"/>
  </si>
  <si>
    <t>조경시설물</t>
    <phoneticPr fontId="2" type="noConversion"/>
  </si>
  <si>
    <t>기초공사,해체및철거공사,골재비및운반비,품질시험비,기타공사</t>
    <phoneticPr fontId="2" type="noConversion"/>
  </si>
  <si>
    <t>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</si>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</sst>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9978.65</v>
      </c>
      <c r="D7" s="36">
        <f>+C7/3.3058</f>
        <v>3018.5280416238124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833920</v>
      </c>
      <c r="E25" s="59">
        <f t="shared" si="0"/>
        <v>2756770</v>
      </c>
    </row>
    <row r="26" spans="1:5" x14ac:dyDescent="0.3">
      <c r="B26" s="2">
        <v>3</v>
      </c>
      <c r="C26" s="35" t="s">
        <v>95</v>
      </c>
      <c r="D26" s="45">
        <f>+D66</f>
        <v>3610</v>
      </c>
      <c r="E26" s="59">
        <f t="shared" si="0"/>
        <v>11930</v>
      </c>
    </row>
    <row r="27" spans="1:5" x14ac:dyDescent="0.3">
      <c r="B27" s="2">
        <v>4</v>
      </c>
      <c r="C27" s="35" t="s">
        <v>96</v>
      </c>
      <c r="D27" s="45">
        <f>+D95</f>
        <v>112100</v>
      </c>
      <c r="E27" s="59">
        <f t="shared" si="0"/>
        <v>370580</v>
      </c>
    </row>
    <row r="28" spans="1:5" x14ac:dyDescent="0.3">
      <c r="B28" s="2">
        <v>5</v>
      </c>
      <c r="C28" s="35" t="s">
        <v>97</v>
      </c>
      <c r="D28" s="45">
        <f>+D119</f>
        <v>225590</v>
      </c>
      <c r="E28" s="59">
        <f t="shared" si="0"/>
        <v>745750</v>
      </c>
    </row>
    <row r="29" spans="1:5" x14ac:dyDescent="0.3">
      <c r="B29" s="2">
        <v>6</v>
      </c>
      <c r="C29" s="35" t="s">
        <v>98</v>
      </c>
      <c r="D29" s="45">
        <f>+D133</f>
        <v>169480</v>
      </c>
      <c r="E29" s="59">
        <f t="shared" si="0"/>
        <v>560260</v>
      </c>
    </row>
    <row r="30" spans="1:5" x14ac:dyDescent="0.3">
      <c r="B30" s="2">
        <v>7</v>
      </c>
      <c r="C30" s="35" t="s">
        <v>99</v>
      </c>
      <c r="D30" s="45">
        <f>+D146</f>
        <v>27660</v>
      </c>
      <c r="E30" s="59">
        <f t="shared" si="0"/>
        <v>91430</v>
      </c>
    </row>
    <row r="31" spans="1:5" x14ac:dyDescent="0.3">
      <c r="B31" s="2">
        <v>8</v>
      </c>
      <c r="C31" s="35" t="s">
        <v>100</v>
      </c>
      <c r="D31" s="45">
        <f>+D154</f>
        <v>42560</v>
      </c>
      <c r="E31" s="59">
        <f t="shared" si="0"/>
        <v>140690</v>
      </c>
    </row>
    <row r="32" spans="1:5" x14ac:dyDescent="0.3">
      <c r="B32" s="2">
        <v>9</v>
      </c>
      <c r="C32" s="35" t="s">
        <v>101</v>
      </c>
      <c r="D32" s="45">
        <f>+D161</f>
        <v>18920</v>
      </c>
      <c r="E32" s="59">
        <f t="shared" si="0"/>
        <v>62540</v>
      </c>
    </row>
    <row r="33" spans="1:7" x14ac:dyDescent="0.3">
      <c r="B33" s="2">
        <v>10</v>
      </c>
      <c r="C33" s="35" t="s">
        <v>154</v>
      </c>
      <c r="D33" s="53">
        <f>TRUNC(SUM(D24:D32)*0.275,-1)</f>
        <v>394300</v>
      </c>
      <c r="E33" s="60">
        <f t="shared" si="0"/>
        <v>1303470</v>
      </c>
    </row>
    <row r="34" spans="1:7" x14ac:dyDescent="0.3">
      <c r="C34" s="35" t="s">
        <v>112</v>
      </c>
      <c r="D34" s="44">
        <f>SUM(D24:D33)</f>
        <v>1828140</v>
      </c>
      <c r="E34" s="44">
        <f>SUM(E24:E33)</f>
        <v>6043420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TRUNC(43574,-1)</f>
        <v>43570</v>
      </c>
      <c r="E40" s="62">
        <f t="shared" ref="E40:E59" si="1">TRUNC(+D40*3.3058,-1)</f>
        <v>144030</v>
      </c>
    </row>
    <row r="41" spans="1:7" x14ac:dyDescent="0.3">
      <c r="A41" s="2">
        <v>2</v>
      </c>
      <c r="C41" s="38" t="s">
        <v>13</v>
      </c>
      <c r="D41" s="42">
        <f>TRUNC(63149,-1)</f>
        <v>63140</v>
      </c>
      <c r="E41" s="63">
        <f t="shared" si="1"/>
        <v>208720</v>
      </c>
    </row>
    <row r="42" spans="1:7" x14ac:dyDescent="0.3">
      <c r="A42" s="2">
        <v>3</v>
      </c>
      <c r="C42" s="38" t="s">
        <v>14</v>
      </c>
      <c r="D42" s="42">
        <f>TRUNC(151283,-1)</f>
        <v>151280</v>
      </c>
      <c r="E42" s="63">
        <f t="shared" si="1"/>
        <v>500100</v>
      </c>
    </row>
    <row r="43" spans="1:7" x14ac:dyDescent="0.3">
      <c r="A43" s="2">
        <v>4</v>
      </c>
      <c r="C43" s="38" t="s">
        <v>16</v>
      </c>
      <c r="D43" s="42">
        <f>TRUNC(4441,-1)</f>
        <v>4440</v>
      </c>
      <c r="E43" s="63">
        <f t="shared" si="1"/>
        <v>14670</v>
      </c>
    </row>
    <row r="44" spans="1:7" x14ac:dyDescent="0.3">
      <c r="A44" s="2">
        <v>5</v>
      </c>
      <c r="C44" s="38" t="s">
        <v>17</v>
      </c>
      <c r="D44" s="42">
        <f>TRUNC(8021,-1)</f>
        <v>8020</v>
      </c>
      <c r="E44" s="63">
        <f t="shared" si="1"/>
        <v>26510</v>
      </c>
    </row>
    <row r="45" spans="1:7" x14ac:dyDescent="0.3">
      <c r="A45" s="2">
        <v>6</v>
      </c>
      <c r="C45" s="38" t="s">
        <v>18</v>
      </c>
      <c r="D45" s="42">
        <f>TRUNC(5520,-1)</f>
        <v>5520</v>
      </c>
      <c r="E45" s="63">
        <f t="shared" si="1"/>
        <v>18240</v>
      </c>
    </row>
    <row r="46" spans="1:7" x14ac:dyDescent="0.3">
      <c r="A46" s="2">
        <v>7</v>
      </c>
      <c r="C46" s="38" t="s">
        <v>19</v>
      </c>
      <c r="D46" s="42">
        <f>TRUNC(4430,-1)</f>
        <v>4430</v>
      </c>
      <c r="E46" s="63">
        <f t="shared" si="1"/>
        <v>14640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TRUNC(46204,-1)</f>
        <v>46200</v>
      </c>
      <c r="E48" s="63">
        <f t="shared" si="1"/>
        <v>152720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TRUNC(3301,-1)</f>
        <v>3300</v>
      </c>
      <c r="E49" s="63">
        <f t="shared" si="1"/>
        <v>10900</v>
      </c>
    </row>
    <row r="50" spans="1:7" x14ac:dyDescent="0.3">
      <c r="A50" s="2">
        <v>11</v>
      </c>
      <c r="C50" s="38" t="s">
        <v>155</v>
      </c>
      <c r="D50" s="42">
        <f>TRUNC(22109,-1)</f>
        <v>22100</v>
      </c>
      <c r="E50" s="63">
        <f t="shared" si="1"/>
        <v>73050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TRUNC(11988,-1)</f>
        <v>11980</v>
      </c>
      <c r="E52" s="63">
        <f t="shared" si="1"/>
        <v>39600</v>
      </c>
    </row>
    <row r="53" spans="1:7" x14ac:dyDescent="0.3">
      <c r="A53" s="2">
        <v>14</v>
      </c>
      <c r="C53" s="38" t="s">
        <v>25</v>
      </c>
      <c r="D53" s="42">
        <f>TRUNC(15822,-1)</f>
        <v>15820</v>
      </c>
      <c r="E53" s="63">
        <f t="shared" si="1"/>
        <v>52290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TRUNC(54313+37111+12274+413+35857,-1)</f>
        <v>139960</v>
      </c>
      <c r="E58" s="63">
        <f t="shared" si="1"/>
        <v>462670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TRUNC(314168,-1)</f>
        <v>314160</v>
      </c>
      <c r="E59" s="64">
        <f t="shared" si="1"/>
        <v>1038550</v>
      </c>
    </row>
    <row r="60" spans="1:7" x14ac:dyDescent="0.3">
      <c r="A60" s="2">
        <v>21</v>
      </c>
      <c r="C60" s="27" t="s">
        <v>112</v>
      </c>
      <c r="D60" s="39">
        <f>SUM(D40:D59)</f>
        <v>833920</v>
      </c>
      <c r="E60" s="39">
        <f>SUM(E40:E59)</f>
        <v>2756690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TRUNC(3617,-1)</f>
        <v>3610</v>
      </c>
      <c r="E63" s="62">
        <f>TRUNC(+D63*3.3058,-1)</f>
        <v>11930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3610</v>
      </c>
      <c r="E66" s="65">
        <f>SUM(E63:E65)</f>
        <v>11930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TRUNC(5664,-1)</f>
        <v>5660</v>
      </c>
      <c r="E69" s="62">
        <f t="shared" ref="E69:E94" si="2">TRUNC(+D69*3.3058,-1)</f>
        <v>18710</v>
      </c>
    </row>
    <row r="70" spans="1:7" ht="16.5" customHeight="1" x14ac:dyDescent="0.3">
      <c r="A70" s="2">
        <v>2</v>
      </c>
      <c r="C70" s="38" t="s">
        <v>31</v>
      </c>
      <c r="D70" s="42">
        <f>TRUNC(3574,-1)</f>
        <v>3570</v>
      </c>
      <c r="E70" s="63">
        <f t="shared" si="2"/>
        <v>11800</v>
      </c>
    </row>
    <row r="71" spans="1:7" x14ac:dyDescent="0.3">
      <c r="A71" s="2">
        <v>3</v>
      </c>
      <c r="C71" s="38" t="s">
        <v>32</v>
      </c>
      <c r="D71" s="42">
        <f>TRUNC(4622,-1)</f>
        <v>4620</v>
      </c>
      <c r="E71" s="63">
        <f t="shared" si="2"/>
        <v>15270</v>
      </c>
    </row>
    <row r="72" spans="1:7" x14ac:dyDescent="0.3">
      <c r="A72" s="2">
        <v>4</v>
      </c>
      <c r="C72" s="38" t="s">
        <v>33</v>
      </c>
      <c r="D72" s="42">
        <f>TRUNC(1527,-1)</f>
        <v>1520</v>
      </c>
      <c r="E72" s="63">
        <f t="shared" si="2"/>
        <v>5020</v>
      </c>
    </row>
    <row r="73" spans="1:7" x14ac:dyDescent="0.3">
      <c r="A73" s="2">
        <v>5</v>
      </c>
      <c r="C73" s="38" t="s">
        <v>34</v>
      </c>
      <c r="D73" s="42">
        <f>TRUNC(5774,-1)</f>
        <v>5770</v>
      </c>
      <c r="E73" s="63">
        <f t="shared" si="2"/>
        <v>19070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TRUNC(4906,-1)</f>
        <v>4900</v>
      </c>
      <c r="E89" s="63">
        <f t="shared" si="2"/>
        <v>16190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TRUNC(1933,-1)</f>
        <v>1930</v>
      </c>
      <c r="E91" s="63">
        <f t="shared" si="2"/>
        <v>6380</v>
      </c>
    </row>
    <row r="92" spans="1:7" x14ac:dyDescent="0.3">
      <c r="A92" s="2">
        <v>24</v>
      </c>
      <c r="C92" s="38" t="s">
        <v>38</v>
      </c>
      <c r="D92" s="42">
        <f>TRUNC(3256,-1)</f>
        <v>3250</v>
      </c>
      <c r="E92" s="63">
        <f t="shared" si="2"/>
        <v>10740</v>
      </c>
    </row>
    <row r="93" spans="1:7" x14ac:dyDescent="0.3">
      <c r="A93" s="2">
        <v>25</v>
      </c>
      <c r="C93" s="38" t="s">
        <v>148</v>
      </c>
      <c r="D93" s="42">
        <f>TRUNC(74768,-1)</f>
        <v>74760</v>
      </c>
      <c r="E93" s="63">
        <f t="shared" si="2"/>
        <v>247140</v>
      </c>
    </row>
    <row r="94" spans="1:7" ht="17.25" thickBot="1" x14ac:dyDescent="0.35">
      <c r="A94" s="2">
        <v>26</v>
      </c>
      <c r="C94" s="38" t="s">
        <v>47</v>
      </c>
      <c r="D94" s="43">
        <f>TRUNC(377+3632+2118,-1)</f>
        <v>6120</v>
      </c>
      <c r="E94" s="64">
        <f t="shared" si="2"/>
        <v>20230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112100</v>
      </c>
      <c r="E95" s="39">
        <f>SUM(E69:E94)</f>
        <v>370550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TRUNC(8343,-1)</f>
        <v>8340</v>
      </c>
      <c r="E98" s="62">
        <f t="shared" ref="E98:E118" si="3">TRUNC(+D98*3.3058,-1)</f>
        <v>27570</v>
      </c>
    </row>
    <row r="99" spans="1:7" x14ac:dyDescent="0.3">
      <c r="A99" s="2">
        <v>2</v>
      </c>
      <c r="C99" s="38" t="s">
        <v>40</v>
      </c>
      <c r="D99" s="42">
        <f>TRUNC(3211,-1)</f>
        <v>3210</v>
      </c>
      <c r="E99" s="63">
        <f t="shared" si="3"/>
        <v>10610</v>
      </c>
    </row>
    <row r="100" spans="1:7" x14ac:dyDescent="0.3">
      <c r="A100" s="2">
        <v>3</v>
      </c>
      <c r="C100" s="38" t="s">
        <v>41</v>
      </c>
      <c r="D100" s="42">
        <f>TRUNC(21222,-1)</f>
        <v>21220</v>
      </c>
      <c r="E100" s="63">
        <f t="shared" si="3"/>
        <v>70140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TRUNC(9526,-1)</f>
        <v>9520</v>
      </c>
      <c r="E102" s="63">
        <f t="shared" si="3"/>
        <v>31470</v>
      </c>
    </row>
    <row r="103" spans="1:7" x14ac:dyDescent="0.3">
      <c r="A103" s="2">
        <v>6</v>
      </c>
      <c r="C103" s="38" t="s">
        <v>44</v>
      </c>
      <c r="D103" s="42">
        <f>TRUNC(1565,-1)</f>
        <v>1560</v>
      </c>
      <c r="E103" s="63">
        <f t="shared" si="3"/>
        <v>5150</v>
      </c>
    </row>
    <row r="104" spans="1:7" x14ac:dyDescent="0.3">
      <c r="A104" s="2">
        <v>7</v>
      </c>
      <c r="C104" s="38" t="s">
        <v>45</v>
      </c>
      <c r="D104" s="42">
        <f>TRUNC(901,-1)</f>
        <v>900</v>
      </c>
      <c r="E104" s="63">
        <f t="shared" si="3"/>
        <v>2970</v>
      </c>
    </row>
    <row r="105" spans="1:7" x14ac:dyDescent="0.3">
      <c r="A105" s="2">
        <v>8</v>
      </c>
      <c r="C105" s="38" t="s">
        <v>46</v>
      </c>
      <c r="D105" s="42">
        <f>TRUNC(3093,-1)</f>
        <v>3090</v>
      </c>
      <c r="E105" s="63">
        <f t="shared" si="3"/>
        <v>10210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TRUNC(8809,-1)</f>
        <v>8800</v>
      </c>
      <c r="E114" s="63">
        <f t="shared" si="3"/>
        <v>29090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TRUNC(2248,-1)</f>
        <v>2240</v>
      </c>
      <c r="E116" s="63">
        <f t="shared" si="3"/>
        <v>7400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TRUNC(164901,-1)</f>
        <v>164900</v>
      </c>
      <c r="E117" s="63">
        <f t="shared" si="3"/>
        <v>545120</v>
      </c>
    </row>
    <row r="118" spans="1:7" ht="17.25" thickBot="1" x14ac:dyDescent="0.35">
      <c r="A118" s="2">
        <v>21</v>
      </c>
      <c r="C118" s="38" t="s">
        <v>47</v>
      </c>
      <c r="D118" s="43">
        <f>TRUNC(521+1293,-1)</f>
        <v>1810</v>
      </c>
      <c r="E118" s="64">
        <f t="shared" si="3"/>
        <v>5980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225590</v>
      </c>
      <c r="E119" s="39">
        <f>SUM(E98:E118)</f>
        <v>745710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TRUNC(1509,-1)</f>
        <v>1500</v>
      </c>
      <c r="E122" s="62">
        <f t="shared" ref="E122:E132" si="4">TRUNC(+D122*3.3058,-1)</f>
        <v>4950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TRUNC(626,-1)</f>
        <v>620</v>
      </c>
      <c r="E124" s="63">
        <f t="shared" si="4"/>
        <v>2040</v>
      </c>
    </row>
    <row r="125" spans="1:7" x14ac:dyDescent="0.3">
      <c r="A125" s="2">
        <v>4</v>
      </c>
      <c r="C125" s="38" t="s">
        <v>138</v>
      </c>
      <c r="D125" s="42">
        <f>TRUNC(3910,-1)</f>
        <v>3910</v>
      </c>
      <c r="E125" s="63">
        <f t="shared" si="4"/>
        <v>12920</v>
      </c>
    </row>
    <row r="126" spans="1:7" x14ac:dyDescent="0.3">
      <c r="A126" s="2">
        <v>5</v>
      </c>
      <c r="C126" s="38" t="s">
        <v>53</v>
      </c>
      <c r="D126" s="42">
        <f>TRUNC(8038,-1)</f>
        <v>8030</v>
      </c>
      <c r="E126" s="63">
        <f t="shared" si="4"/>
        <v>26540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TRUNC(2514,-1)</f>
        <v>2510</v>
      </c>
      <c r="E128" s="63">
        <f t="shared" si="4"/>
        <v>8290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TRUNC(28716,-1)</f>
        <v>28710</v>
      </c>
      <c r="E130" s="63">
        <f t="shared" si="4"/>
        <v>94900</v>
      </c>
    </row>
    <row r="131" spans="1:7" x14ac:dyDescent="0.3">
      <c r="A131" s="2">
        <v>10</v>
      </c>
      <c r="C131" s="38" t="s">
        <v>148</v>
      </c>
      <c r="D131" s="42">
        <f>TRUNC(122978,-1)</f>
        <v>122970</v>
      </c>
      <c r="E131" s="63">
        <f t="shared" si="4"/>
        <v>406510</v>
      </c>
    </row>
    <row r="132" spans="1:7" ht="18" thickBot="1" x14ac:dyDescent="0.35">
      <c r="A132" s="2">
        <v>11</v>
      </c>
      <c r="C132" s="38" t="s">
        <v>47</v>
      </c>
      <c r="D132" s="43">
        <f>TRUNC(146+1087,-1)</f>
        <v>1230</v>
      </c>
      <c r="E132" s="64">
        <f t="shared" si="4"/>
        <v>4060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169480</v>
      </c>
      <c r="E133" s="39">
        <f>SUM(E122:E132)</f>
        <v>560210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TRUNC(1807,-1)</f>
        <v>1800</v>
      </c>
      <c r="E137" s="63">
        <f t="shared" si="5"/>
        <v>5950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TRUNC(484,-1)</f>
        <v>480</v>
      </c>
      <c r="E139" s="63">
        <f t="shared" si="5"/>
        <v>1580</v>
      </c>
    </row>
    <row r="140" spans="1:7" x14ac:dyDescent="0.3">
      <c r="A140" s="2">
        <v>5</v>
      </c>
      <c r="C140" s="38" t="s">
        <v>57</v>
      </c>
      <c r="D140" s="42">
        <f>TRUNC(482,-1)</f>
        <v>480</v>
      </c>
      <c r="E140" s="63">
        <f t="shared" si="5"/>
        <v>1580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TRUNC(5225,-1)</f>
        <v>5220</v>
      </c>
      <c r="E142" s="63">
        <f t="shared" si="5"/>
        <v>17250</v>
      </c>
    </row>
    <row r="143" spans="1:7" x14ac:dyDescent="0.3">
      <c r="A143" s="2">
        <v>8</v>
      </c>
      <c r="C143" s="38" t="s">
        <v>62</v>
      </c>
      <c r="D143" s="42">
        <f>TRUNC(4927,-1)</f>
        <v>4920</v>
      </c>
      <c r="E143" s="63">
        <f t="shared" si="5"/>
        <v>16260</v>
      </c>
    </row>
    <row r="144" spans="1:7" x14ac:dyDescent="0.3">
      <c r="A144" s="2">
        <v>9</v>
      </c>
      <c r="C144" s="38" t="s">
        <v>63</v>
      </c>
      <c r="D144" s="42">
        <f>TRUNC(14764,-1)</f>
        <v>14760</v>
      </c>
      <c r="E144" s="63">
        <f t="shared" si="5"/>
        <v>48790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27660</v>
      </c>
      <c r="E146" s="39">
        <f>SUM(E136:E145)</f>
        <v>91410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TRUNC(18831+720,-1)</f>
        <v>19550</v>
      </c>
      <c r="E149" s="62">
        <f>TRUNC(+D149*3.3058,-1)</f>
        <v>64620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TRUNC(7980,-1)</f>
        <v>7980</v>
      </c>
      <c r="E150" s="63">
        <f>TRUNC(+D150*3.3058,-1)</f>
        <v>26380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TRUNC(2468,-1)</f>
        <v>2460</v>
      </c>
      <c r="E152" s="63">
        <f>TRUNC(+D152*3.3058,-1)</f>
        <v>8130</v>
      </c>
      <c r="F152" s="2" t="s">
        <v>264</v>
      </c>
    </row>
    <row r="153" spans="1:7" ht="17.25" thickBot="1" x14ac:dyDescent="0.35">
      <c r="A153" s="2">
        <v>5</v>
      </c>
      <c r="C153" s="38" t="s">
        <v>148</v>
      </c>
      <c r="D153" s="43">
        <f>TRUNC(12575,-1)</f>
        <v>12570</v>
      </c>
      <c r="E153" s="64">
        <f>TRUNC(+D153*3.3058,-1)</f>
        <v>41550</v>
      </c>
    </row>
    <row r="154" spans="1:7" x14ac:dyDescent="0.3">
      <c r="A154" s="2">
        <v>6</v>
      </c>
      <c r="C154" s="27" t="s">
        <v>112</v>
      </c>
      <c r="D154" s="39">
        <f>SUM(D149:D153)</f>
        <v>42560</v>
      </c>
      <c r="E154" s="39">
        <f>SUM(E149:E153)</f>
        <v>140680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TRUNC(13993,-1)</f>
        <v>13990</v>
      </c>
      <c r="E157" s="62">
        <f>TRUNC(+D157*3.3058,-1)</f>
        <v>46240</v>
      </c>
    </row>
    <row r="158" spans="1:7" x14ac:dyDescent="0.3">
      <c r="A158" s="2">
        <v>2</v>
      </c>
      <c r="C158" s="38" t="s">
        <v>52</v>
      </c>
      <c r="D158" s="42">
        <f>TRUNC(1290,-1)</f>
        <v>1290</v>
      </c>
      <c r="E158" s="63">
        <f>TRUNC(+D158*3.3058,-1)</f>
        <v>4260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TRUNC(3350+290,-1)</f>
        <v>3640</v>
      </c>
      <c r="E159" s="63">
        <f>TRUNC(+D159*3.3058,-1)</f>
        <v>12030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18920</v>
      </c>
      <c r="E161" s="39">
        <f>SUM(E157:E160)</f>
        <v>62530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2020-12-08T02:22:30Z</dcterms:modified>
</cp:coreProperties>
</file>