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32" i="4"/>
  <c r="D128" i="4"/>
  <c r="D124" i="4"/>
  <c r="D125" i="4"/>
  <c r="D122" i="4"/>
  <c r="D130" i="4"/>
  <c r="D105" i="4"/>
  <c r="D104" i="4"/>
  <c r="D103" i="4"/>
  <c r="D102" i="4"/>
  <c r="D101" i="4"/>
  <c r="D100" i="4"/>
  <c r="D99" i="4"/>
  <c r="D98" i="4"/>
  <c r="D114" i="4"/>
  <c r="D116" i="4"/>
  <c r="D94" i="4"/>
  <c r="D76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46" i="4"/>
  <c r="E154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<sst xmlns="http://schemas.openxmlformats.org/spreadsheetml/2006/main" count="393" uniqueCount="268">
  <si>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</si>
  <si>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</si>
  <si>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</si>
  <si>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</si>
  <si>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</si>
  <si>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</si>
  <si>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</si>
  <si>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</si>
  <si>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</si>
  <si>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</si>
  <si>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</si>
  <si>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</si>
  <si>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</si>
  <si>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</si>
  <si>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</si>
  <si>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</si>
  <si>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</si>
  <si>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</si>
  <si>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</si>
  <si>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</si>
  <si>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</si>
  <si>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</si>
  <si>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</si>
  <si>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</si>
  <si>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</si>
  <si>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</si>
  <si>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</si>
  <si>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</si>
  <si>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</si>
  <si>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</si>
  <si>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</si>
  <si>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</si>
  <si>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</si>
  <si>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</si>
  <si>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</si>
  <si>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</si>
  <si>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</si>
  <si>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</si>
  <si>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</si>
  <si>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</si>
  <si>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</si>
  <si>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</si>
  <si>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</si>
  <si>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</si>
  <si>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</si>
  <si>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</si>
  <si>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</si>
  <si>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</si>
  <si>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</si>
  <si>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</si>
  <si>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</si>
  <si>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</si>
  <si>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</si>
  <si>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</si>
  <si>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</si>
  <si>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</si>
  <si>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</si>
  <si>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</si>
  <si>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</si>
  <si>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</si>
  <si>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</si>
  <si>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</si>
  <si>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</si>
  <si>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</si>
  <si>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</si>
  <si>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</si>
  <si>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</si>
  <si>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</si>
  <si>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</si>
  <si>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</si>
  <si>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</si>
  <si>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</si>
  <si>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</si>
  <si>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</si>
  <si>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</si>
  <si>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</si>
  <si>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</si>
  <si>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</si>
  <si>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</si>
  <si>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</si>
  <si>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</si>
  <si>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</si>
  <si>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</si>
  <si>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</si>
  <si>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</si>
  <si>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</si>
  <si>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</si>
  <si>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</si>
  <si>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</si>
  <si>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</si>
  <si>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</si>
  <si>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</si>
  <si>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</si>
  <si>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</si>
  <si>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</si>
  <si>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</si>
  <si>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</si>
  <si>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</si>
  <si>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</si>
  <si>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</si>
  <si>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</si>
  <si>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</si>
  <si>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</si>
  <si>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</si>
  <si>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</si>
  <si>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</si>
  <si>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</si>
  <si>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</si>
  <si>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</si>
  <si>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</si>
  <si>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</si>
  <si>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</si>
  <si>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</si>
  <si>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</si>
  <si>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</si>
  <si>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</si>
  <si>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</si>
  <si>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</si>
  <si>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</si>
  <si>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</si>
  <si>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</si>
  <si>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</si>
  <si>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</si>
  <si>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</si>
  <si>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</si>
  <si>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</si>
  <si>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</si>
  <si>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</si>
  <si>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</si>
  <si>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</si>
  <si>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</si>
  <si>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</si>
  <si>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</si>
  <si>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</si>
  <si>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</si>
  <si>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</si>
  <si>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</si>
  <si>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</si>
  <si>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</si>
  <si>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</si>
  <si>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</si>
  <si>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</si>
  <si>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</si>
  <si>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</si>
  <si>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</si>
  <si>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</si>
  <si>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</si>
  <si>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</si>
  <si>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</si>
  <si>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</si>
  <si>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</si>
  <si>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</si>
  <si>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</si>
  <si>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</si>
  <si>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</si>
  <si>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</si>
  <si>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</si>
  <si>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</si>
  <si>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</si>
  <si>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</si>
  <si>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</si>
  <si>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</si>
  <si>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</si>
  <si>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</si>
  <si>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</si>
  <si>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</si>
  <si>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</si>
  <si>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</si>
  <si>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</si>
  <si>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</si>
  <si>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</si>
  <si>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</si>
  <si>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</si>
  <si>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</si>
  <si>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</si>
  <si>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</si>
  <si>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</si>
  <si>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</si>
  <si>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</si>
  <si>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</si>
  <si>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</si>
  <si>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</si>
  <si>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</si>
  <si>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</si>
  <si>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</si>
  <si>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</si>
  <si>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</si>
  <si>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</si>
  <si>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</si>
  <si>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</si>
  <si>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</si>
  <si>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</si>
  <si>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</si>
  <si>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</si>
  <si>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</si>
  <si>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</si>
  <si>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</si>
  <si>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</si>
  <si>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</si>
  <si>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</si>
  <si>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</si>
  <si>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</si>
  <si>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</si>
  <si>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</si>
  <si>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</si>
  <si>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</si>
  <si>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</si>
  <si>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</si>
  <si>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</si>
  <si>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</si>
  <si>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</si>
  <si>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</si>
  <si>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</si>
  <si>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</si>
  <si>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</si>
  <si>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</si>
  <si>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</si>
  <si>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</si>
  <si>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</si>
  <si>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</si>
  <si>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</si>
  <si>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</si>
  <si>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</si>
  <si>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</si>
  <si>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</si>
  <si>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</si>
  <si>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</si>
  <si>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</si>
  <si>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</si>
  <si>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</si>
  <si>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</si>
  <si>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</si>
  <si>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</si>
  <si>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</si>
  <si>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</si>
  <si>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</si>
  <si>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</si>
  <si>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</si>
  <si>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</si>
  <si>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</si>
  <si>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</si>
  <si>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</si>
  <si>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</si>
  <si>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</si>
  <si>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</si>
  <si>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</si>
  <si>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</si>
  <si>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</si>
  <si>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출토유물분석연구센터 건립공사</t>
    <phoneticPr fontId="2" type="noConversion"/>
  </si>
  <si>
    <t>교육연구</t>
  </si>
  <si>
    <t>대전시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</si>
  <si>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</si>
  <si>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</si>
  <si>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</si>
  <si>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사급자재비,운반비</t>
    <phoneticPr fontId="2" type="noConversion"/>
  </si>
  <si>
    <t>CATV 및 TV 설비공사</t>
    <phoneticPr fontId="2" type="noConversion"/>
  </si>
  <si>
    <t>CCTV설비공사</t>
    <phoneticPr fontId="2" type="noConversion"/>
  </si>
  <si>
    <t>전기인입 및 수변전 설비공사</t>
    <phoneticPr fontId="2" type="noConversion"/>
  </si>
  <si>
    <t>공조배관공사,우수처리시설공사,기타공사</t>
    <phoneticPr fontId="2" type="noConversion"/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</si>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</sst>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6919.4</v>
      </c>
      <c r="D7" s="36">
        <f>+C7/3.3058</f>
        <v>2093.1090810091355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988730</v>
      </c>
      <c r="E25" s="59">
        <f t="shared" si="0"/>
        <v>3268540</v>
      </c>
    </row>
    <row r="26" spans="1:5" x14ac:dyDescent="0.3">
      <c r="B26" s="2">
        <v>3</v>
      </c>
      <c r="C26" s="35" t="s">
        <v>95</v>
      </c>
      <c r="D26" s="45">
        <f>+D66</f>
        <v>126900</v>
      </c>
      <c r="E26" s="59">
        <f t="shared" si="0"/>
        <v>419500</v>
      </c>
    </row>
    <row r="27" spans="1:5" x14ac:dyDescent="0.3">
      <c r="B27" s="2">
        <v>4</v>
      </c>
      <c r="C27" s="35" t="s">
        <v>96</v>
      </c>
      <c r="D27" s="45">
        <f>+D95</f>
        <v>213750</v>
      </c>
      <c r="E27" s="59">
        <f t="shared" si="0"/>
        <v>706610</v>
      </c>
    </row>
    <row r="28" spans="1:5" x14ac:dyDescent="0.3">
      <c r="B28" s="2">
        <v>5</v>
      </c>
      <c r="C28" s="35" t="s">
        <v>97</v>
      </c>
      <c r="D28" s="45">
        <f>+D119</f>
        <v>361470</v>
      </c>
      <c r="E28" s="59">
        <f t="shared" si="0"/>
        <v>1194940</v>
      </c>
    </row>
    <row r="29" spans="1:5" x14ac:dyDescent="0.3">
      <c r="B29" s="2">
        <v>6</v>
      </c>
      <c r="C29" s="35" t="s">
        <v>98</v>
      </c>
      <c r="D29" s="45">
        <f>+D133</f>
        <v>87690</v>
      </c>
      <c r="E29" s="59">
        <f t="shared" si="0"/>
        <v>289880</v>
      </c>
    </row>
    <row r="30" spans="1:5" x14ac:dyDescent="0.3">
      <c r="B30" s="2">
        <v>7</v>
      </c>
      <c r="C30" s="35" t="s">
        <v>99</v>
      </c>
      <c r="D30" s="45">
        <f>+D146</f>
        <v>19050</v>
      </c>
      <c r="E30" s="59">
        <f t="shared" si="0"/>
        <v>62970</v>
      </c>
    </row>
    <row r="31" spans="1:5" x14ac:dyDescent="0.3">
      <c r="B31" s="2">
        <v>8</v>
      </c>
      <c r="C31" s="35" t="s">
        <v>100</v>
      </c>
      <c r="D31" s="45">
        <f>+D154</f>
        <v>13740</v>
      </c>
      <c r="E31" s="59">
        <f t="shared" si="0"/>
        <v>45420</v>
      </c>
    </row>
    <row r="32" spans="1:5" x14ac:dyDescent="0.3">
      <c r="B32" s="2">
        <v>9</v>
      </c>
      <c r="C32" s="35" t="s">
        <v>101</v>
      </c>
      <c r="D32" s="45">
        <f>+D161</f>
        <v>30320</v>
      </c>
      <c r="E32" s="59">
        <f t="shared" si="0"/>
        <v>100230</v>
      </c>
    </row>
    <row r="33" spans="1:7" x14ac:dyDescent="0.3">
      <c r="B33" s="2">
        <v>10</v>
      </c>
      <c r="C33" s="35" t="s">
        <v>154</v>
      </c>
      <c r="D33" s="53">
        <f>TRUNC(SUM(D24:D32)*0.275,-1)</f>
        <v>506450</v>
      </c>
      <c r="E33" s="60">
        <f t="shared" si="0"/>
        <v>1674220</v>
      </c>
    </row>
    <row r="34" spans="1:7" x14ac:dyDescent="0.3">
      <c r="C34" s="35" t="s">
        <v>112</v>
      </c>
      <c r="D34" s="44">
        <f>SUM(D24:D33)</f>
        <v>2348100</v>
      </c>
      <c r="E34" s="44">
        <f>SUM(E24:E33)</f>
        <v>7762310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TRUNC(52775,-1)</f>
        <v>52770</v>
      </c>
      <c r="E40" s="62">
        <f t="shared" ref="E40:E59" si="1">TRUNC(+D40*3.3058,-1)</f>
        <v>174440</v>
      </c>
    </row>
    <row r="41" spans="1:7" x14ac:dyDescent="0.3">
      <c r="A41" s="2">
        <v>2</v>
      </c>
      <c r="C41" s="38" t="s">
        <v>13</v>
      </c>
      <c r="D41" s="42">
        <f>TRUNC(281556,-1)</f>
        <v>281550</v>
      </c>
      <c r="E41" s="63">
        <f t="shared" si="1"/>
        <v>930740</v>
      </c>
    </row>
    <row r="42" spans="1:7" x14ac:dyDescent="0.3">
      <c r="A42" s="2">
        <v>3</v>
      </c>
      <c r="C42" s="38" t="s">
        <v>14</v>
      </c>
      <c r="D42" s="42">
        <f>TRUNC(16156,-1)</f>
        <v>16150</v>
      </c>
      <c r="E42" s="63">
        <f t="shared" si="1"/>
        <v>53380</v>
      </c>
    </row>
    <row r="43" spans="1:7" x14ac:dyDescent="0.3">
      <c r="A43" s="2">
        <v>4</v>
      </c>
      <c r="C43" s="38" t="s">
        <v>16</v>
      </c>
      <c r="D43" s="42">
        <f>TRUNC(23242,-1)</f>
        <v>23240</v>
      </c>
      <c r="E43" s="63">
        <f t="shared" si="1"/>
        <v>76820</v>
      </c>
    </row>
    <row r="44" spans="1:7" x14ac:dyDescent="0.3">
      <c r="A44" s="2">
        <v>5</v>
      </c>
      <c r="C44" s="38" t="s">
        <v>17</v>
      </c>
      <c r="D44" s="42">
        <f>TRUNC(25533,-1)</f>
        <v>25530</v>
      </c>
      <c r="E44" s="63">
        <f t="shared" si="1"/>
        <v>84390</v>
      </c>
    </row>
    <row r="45" spans="1:7" x14ac:dyDescent="0.3">
      <c r="A45" s="2">
        <v>6</v>
      </c>
      <c r="C45" s="38" t="s">
        <v>18</v>
      </c>
      <c r="D45" s="42">
        <f>TRUNC(7870,-1)</f>
        <v>7870</v>
      </c>
      <c r="E45" s="63">
        <f t="shared" si="1"/>
        <v>26010</v>
      </c>
    </row>
    <row r="46" spans="1:7" x14ac:dyDescent="0.3">
      <c r="A46" s="2">
        <v>7</v>
      </c>
      <c r="C46" s="38" t="s">
        <v>19</v>
      </c>
      <c r="D46" s="42">
        <f>TRUNC(6485,-1)</f>
        <v>6480</v>
      </c>
      <c r="E46" s="63">
        <f t="shared" si="1"/>
        <v>21420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TRUNC(88815,-1)</f>
        <v>88810</v>
      </c>
      <c r="E48" s="63">
        <f t="shared" si="1"/>
        <v>293580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TRUNC(9173,-1)</f>
        <v>9170</v>
      </c>
      <c r="E49" s="63">
        <f t="shared" si="1"/>
        <v>30310</v>
      </c>
    </row>
    <row r="50" spans="1:7" x14ac:dyDescent="0.3">
      <c r="A50" s="2">
        <v>11</v>
      </c>
      <c r="C50" s="38" t="s">
        <v>155</v>
      </c>
      <c r="D50" s="42">
        <f>TRUNC(51247,-1)</f>
        <v>51240</v>
      </c>
      <c r="E50" s="63">
        <f t="shared" si="1"/>
        <v>169380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TRUNC(12373,-1)</f>
        <v>12370</v>
      </c>
      <c r="E52" s="63">
        <f t="shared" si="1"/>
        <v>40890</v>
      </c>
    </row>
    <row r="53" spans="1:7" x14ac:dyDescent="0.3">
      <c r="A53" s="2">
        <v>14</v>
      </c>
      <c r="C53" s="38" t="s">
        <v>25</v>
      </c>
      <c r="D53" s="42">
        <f>TRUNC(77331,-1)</f>
        <v>77330</v>
      </c>
      <c r="E53" s="63">
        <f t="shared" si="1"/>
        <v>255630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TRUNC(2178+228+4295-1337+820+28500,-1)</f>
        <v>34680</v>
      </c>
      <c r="E58" s="63">
        <f t="shared" si="1"/>
        <v>114640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TRUNC(301543,-1)</f>
        <v>301540</v>
      </c>
      <c r="E59" s="64">
        <f t="shared" si="1"/>
        <v>996830</v>
      </c>
    </row>
    <row r="60" spans="1:7" x14ac:dyDescent="0.3">
      <c r="A60" s="2">
        <v>21</v>
      </c>
      <c r="C60" s="27" t="s">
        <v>112</v>
      </c>
      <c r="D60" s="39">
        <f>SUM(D40:D59)</f>
        <v>988730</v>
      </c>
      <c r="E60" s="39">
        <f>SUM(E40:E59)</f>
        <v>3268460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TRUNC(40803,-1)</f>
        <v>40800</v>
      </c>
      <c r="E63" s="62">
        <f>TRUNC(+D63*3.3058,-1)</f>
        <v>134870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TRUNC(86106,-1)</f>
        <v>86100</v>
      </c>
      <c r="E65" s="64">
        <f>TRUNC(+D65*3.3058,-1)</f>
        <v>284620</v>
      </c>
    </row>
    <row r="66" spans="1:7" x14ac:dyDescent="0.3">
      <c r="A66" s="2">
        <v>4</v>
      </c>
      <c r="C66" s="27" t="s">
        <v>112</v>
      </c>
      <c r="D66" s="39">
        <f>SUM(D63:D65)</f>
        <v>126900</v>
      </c>
      <c r="E66" s="65">
        <f>SUM(E63:E65)</f>
        <v>419490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TRUNC(17751,-1)</f>
        <v>17750</v>
      </c>
      <c r="E69" s="62">
        <f t="shared" ref="E69:E94" si="2">TRUNC(+D69*3.3058,-1)</f>
        <v>58670</v>
      </c>
    </row>
    <row r="70" spans="1:7" ht="16.5" customHeight="1" x14ac:dyDescent="0.3">
      <c r="A70" s="2">
        <v>2</v>
      </c>
      <c r="C70" s="38" t="s">
        <v>31</v>
      </c>
      <c r="D70" s="42">
        <f>TRUNC(479,-1)</f>
        <v>470</v>
      </c>
      <c r="E70" s="63">
        <f t="shared" si="2"/>
        <v>1550</v>
      </c>
    </row>
    <row r="71" spans="1:7" x14ac:dyDescent="0.3">
      <c r="A71" s="2">
        <v>3</v>
      </c>
      <c r="C71" s="38" t="s">
        <v>32</v>
      </c>
      <c r="D71" s="42">
        <f>TRUNC(4662,-1)</f>
        <v>4660</v>
      </c>
      <c r="E71" s="63">
        <f t="shared" si="2"/>
        <v>15400</v>
      </c>
    </row>
    <row r="72" spans="1:7" x14ac:dyDescent="0.3">
      <c r="A72" s="2">
        <v>4</v>
      </c>
      <c r="C72" s="38" t="s">
        <v>33</v>
      </c>
      <c r="D72" s="42">
        <f>TRUNC(3766,-1)</f>
        <v>3760</v>
      </c>
      <c r="E72" s="63">
        <f t="shared" si="2"/>
        <v>12420</v>
      </c>
    </row>
    <row r="73" spans="1:7" x14ac:dyDescent="0.3">
      <c r="A73" s="2">
        <v>5</v>
      </c>
      <c r="C73" s="38" t="s">
        <v>34</v>
      </c>
      <c r="D73" s="42">
        <f>TRUNC(16987,-1)</f>
        <v>16980</v>
      </c>
      <c r="E73" s="63">
        <f t="shared" si="2"/>
        <v>56130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TRUNC(54861,-1)</f>
        <v>54860</v>
      </c>
      <c r="E76" s="63">
        <f t="shared" si="2"/>
        <v>181350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TRUNC(8694,-1)</f>
        <v>8690</v>
      </c>
      <c r="E89" s="63">
        <f t="shared" si="2"/>
        <v>28720</v>
      </c>
    </row>
    <row r="90" spans="1:7" x14ac:dyDescent="0.3">
      <c r="A90" s="2">
        <v>22</v>
      </c>
      <c r="C90" s="38" t="s">
        <v>36</v>
      </c>
      <c r="D90" s="42">
        <f>TRUNC(2847,-1)</f>
        <v>2840</v>
      </c>
      <c r="E90" s="63">
        <f t="shared" si="2"/>
        <v>9380</v>
      </c>
    </row>
    <row r="91" spans="1:7" x14ac:dyDescent="0.3">
      <c r="A91" s="2">
        <v>23</v>
      </c>
      <c r="C91" s="38" t="s">
        <v>37</v>
      </c>
      <c r="D91" s="42">
        <f>TRUNC(26828,-1)</f>
        <v>26820</v>
      </c>
      <c r="E91" s="63">
        <f t="shared" si="2"/>
        <v>88660</v>
      </c>
    </row>
    <row r="92" spans="1:7" x14ac:dyDescent="0.3">
      <c r="A92" s="2">
        <v>24</v>
      </c>
      <c r="C92" s="38" t="s">
        <v>38</v>
      </c>
      <c r="D92" s="42">
        <f>TRUNC(4056,-1)</f>
        <v>4050</v>
      </c>
      <c r="E92" s="63">
        <f t="shared" si="2"/>
        <v>13380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TRUNC(1961+3907+67003,-1)</f>
        <v>72870</v>
      </c>
      <c r="E94" s="64">
        <f t="shared" si="2"/>
        <v>240890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213750</v>
      </c>
      <c r="E95" s="39">
        <f>SUM(E69:E94)</f>
        <v>706550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TRUNC(41309,-1)</f>
        <v>41300</v>
      </c>
      <c r="E98" s="62">
        <f t="shared" ref="E98:E118" si="3">TRUNC(+D98*3.3058,-1)</f>
        <v>136520</v>
      </c>
    </row>
    <row r="99" spans="1:7" x14ac:dyDescent="0.3">
      <c r="A99" s="2">
        <v>2</v>
      </c>
      <c r="C99" s="38" t="s">
        <v>40</v>
      </c>
      <c r="D99" s="42">
        <f>TRUNC(14626,-1)</f>
        <v>14620</v>
      </c>
      <c r="E99" s="63">
        <f t="shared" si="3"/>
        <v>48330</v>
      </c>
    </row>
    <row r="100" spans="1:7" x14ac:dyDescent="0.3">
      <c r="A100" s="2">
        <v>3</v>
      </c>
      <c r="C100" s="38" t="s">
        <v>41</v>
      </c>
      <c r="D100" s="42">
        <f>TRUNC(42973,-1)</f>
        <v>42970</v>
      </c>
      <c r="E100" s="63">
        <f t="shared" si="3"/>
        <v>142050</v>
      </c>
    </row>
    <row r="101" spans="1:7" x14ac:dyDescent="0.3">
      <c r="A101" s="2">
        <v>4</v>
      </c>
      <c r="C101" s="38" t="s">
        <v>42</v>
      </c>
      <c r="D101" s="42">
        <f>TRUNC(4652,-1)</f>
        <v>4650</v>
      </c>
      <c r="E101" s="63">
        <f t="shared" si="3"/>
        <v>15370</v>
      </c>
    </row>
    <row r="102" spans="1:7" x14ac:dyDescent="0.3">
      <c r="A102" s="2">
        <v>5</v>
      </c>
      <c r="C102" s="38" t="s">
        <v>43</v>
      </c>
      <c r="D102" s="42">
        <f>TRUNC(32442,-1)</f>
        <v>32440</v>
      </c>
      <c r="E102" s="63">
        <f t="shared" si="3"/>
        <v>107240</v>
      </c>
    </row>
    <row r="103" spans="1:7" x14ac:dyDescent="0.3">
      <c r="A103" s="2">
        <v>6</v>
      </c>
      <c r="C103" s="38" t="s">
        <v>44</v>
      </c>
      <c r="D103" s="42">
        <f>TRUNC(5333,-1)</f>
        <v>5330</v>
      </c>
      <c r="E103" s="63">
        <f t="shared" si="3"/>
        <v>17610</v>
      </c>
    </row>
    <row r="104" spans="1:7" x14ac:dyDescent="0.3">
      <c r="A104" s="2">
        <v>7</v>
      </c>
      <c r="C104" s="38" t="s">
        <v>45</v>
      </c>
      <c r="D104" s="42">
        <f>TRUNC(8104,-1)</f>
        <v>8100</v>
      </c>
      <c r="E104" s="63">
        <f t="shared" si="3"/>
        <v>26770</v>
      </c>
    </row>
    <row r="105" spans="1:7" x14ac:dyDescent="0.3">
      <c r="A105" s="2">
        <v>8</v>
      </c>
      <c r="C105" s="38" t="s">
        <v>46</v>
      </c>
      <c r="D105" s="42">
        <f>TRUNC(13863,-1)</f>
        <v>13860</v>
      </c>
      <c r="E105" s="63">
        <f t="shared" si="3"/>
        <v>45810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TRUNC(1567,-1)</f>
        <v>1560</v>
      </c>
      <c r="E114" s="63">
        <f t="shared" si="3"/>
        <v>5150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TRUNC(13499,-1)</f>
        <v>13490</v>
      </c>
      <c r="E116" s="63">
        <f t="shared" si="3"/>
        <v>44590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TRUNC(183154,-1)</f>
        <v>183150</v>
      </c>
      <c r="E117" s="63">
        <f t="shared" si="3"/>
        <v>605450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361470</v>
      </c>
      <c r="E119" s="39">
        <f>SUM(E98:E118)</f>
        <v>1194890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TRUNC(3053,-1)</f>
        <v>3050</v>
      </c>
      <c r="E122" s="62">
        <f t="shared" ref="E122:E132" si="4">TRUNC(+D122*3.3058,-1)</f>
        <v>10080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TRUNC(2184,-1)</f>
        <v>2180</v>
      </c>
      <c r="E124" s="63">
        <f t="shared" si="4"/>
        <v>7200</v>
      </c>
    </row>
    <row r="125" spans="1:7" x14ac:dyDescent="0.3">
      <c r="A125" s="2">
        <v>4</v>
      </c>
      <c r="C125" s="38" t="s">
        <v>138</v>
      </c>
      <c r="D125" s="42">
        <f>TRUNC(7915,-1)</f>
        <v>7910</v>
      </c>
      <c r="E125" s="63">
        <f t="shared" si="4"/>
        <v>26140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TRUNC(3090,-1)</f>
        <v>3090</v>
      </c>
      <c r="E128" s="63">
        <f t="shared" si="4"/>
        <v>10210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TRUNC(17599,-1)</f>
        <v>17590</v>
      </c>
      <c r="E130" s="63">
        <f t="shared" si="4"/>
        <v>58140</v>
      </c>
    </row>
    <row r="131" spans="1:7" x14ac:dyDescent="0.3">
      <c r="A131" s="2">
        <v>10</v>
      </c>
      <c r="C131" s="38" t="s">
        <v>148</v>
      </c>
      <c r="D131" s="42">
        <f>TRUNC(50893,-1)</f>
        <v>50890</v>
      </c>
      <c r="E131" s="63">
        <f t="shared" si="4"/>
        <v>168230</v>
      </c>
    </row>
    <row r="132" spans="1:7" ht="18" thickBot="1" x14ac:dyDescent="0.35">
      <c r="A132" s="2">
        <v>11</v>
      </c>
      <c r="C132" s="38" t="s">
        <v>47</v>
      </c>
      <c r="D132" s="43">
        <f>TRUNC(2983,-1)</f>
        <v>2980</v>
      </c>
      <c r="E132" s="64">
        <f t="shared" si="4"/>
        <v>9850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87690</v>
      </c>
      <c r="E133" s="39">
        <f>SUM(E122:E132)</f>
        <v>289850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TRUNC(5629,-1)</f>
        <v>5620</v>
      </c>
      <c r="E143" s="63">
        <f t="shared" si="5"/>
        <v>18570</v>
      </c>
    </row>
    <row r="144" spans="1:7" x14ac:dyDescent="0.3">
      <c r="A144" s="2">
        <v>9</v>
      </c>
      <c r="C144" s="38" t="s">
        <v>63</v>
      </c>
      <c r="D144" s="42">
        <f>TRUNC(13436,-1)</f>
        <v>13430</v>
      </c>
      <c r="E144" s="63">
        <f t="shared" si="5"/>
        <v>44390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19050</v>
      </c>
      <c r="E146" s="39">
        <f>SUM(E136:E145)</f>
        <v>62960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TRUNC(4525+184,-1)</f>
        <v>4700</v>
      </c>
      <c r="E149" s="62">
        <f>TRUNC(+D149*3.3058,-1)</f>
        <v>15530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TRUNC(2827,-1)</f>
        <v>2820</v>
      </c>
      <c r="E150" s="63">
        <f>TRUNC(+D150*3.3058,-1)</f>
        <v>9320</v>
      </c>
    </row>
    <row r="151" spans="1:7" x14ac:dyDescent="0.3">
      <c r="A151" s="2">
        <v>3</v>
      </c>
      <c r="C151" s="38" t="s">
        <v>50</v>
      </c>
      <c r="D151" s="42">
        <f>TRUNC(2048,-1)</f>
        <v>2040</v>
      </c>
      <c r="E151" s="63">
        <f>TRUNC(+D151*3.3058,-1)</f>
        <v>6740</v>
      </c>
    </row>
    <row r="152" spans="1:7" x14ac:dyDescent="0.3">
      <c r="A152" s="2">
        <v>4</v>
      </c>
      <c r="C152" s="38" t="s">
        <v>47</v>
      </c>
      <c r="D152" s="42">
        <f>TRUNC(2824+1359,-1)</f>
        <v>4180</v>
      </c>
      <c r="E152" s="63">
        <f>TRUNC(+D152*3.3058,-1)</f>
        <v>13810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13740</v>
      </c>
      <c r="E154" s="39">
        <f>SUM(E149:E153)</f>
        <v>45400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TRUNC(18288,-1)</f>
        <v>18280</v>
      </c>
      <c r="E157" s="62">
        <f>TRUNC(+D157*3.3058,-1)</f>
        <v>60430</v>
      </c>
    </row>
    <row r="158" spans="1:7" x14ac:dyDescent="0.3">
      <c r="A158" s="2">
        <v>2</v>
      </c>
      <c r="C158" s="38" t="s">
        <v>52</v>
      </c>
      <c r="D158" s="42">
        <f>TRUNC(8086,-1)</f>
        <v>8080</v>
      </c>
      <c r="E158" s="63">
        <f>TRUNC(+D158*3.3058,-1)</f>
        <v>26710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TRUNC(3960,-1)</f>
        <v>3960</v>
      </c>
      <c r="E159" s="63">
        <f>TRUNC(+D159*3.3058,-1)</f>
        <v>13090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30320</v>
      </c>
      <c r="E161" s="39">
        <f>SUM(E157:E160)</f>
        <v>100230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2020-12-08T02:16:00Z</dcterms:modified>
</cp:coreProperties>
</file>