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31" i="4"/>
  <c r="D132" i="4"/>
  <c r="D117" i="4"/>
  <c r="D118" i="4"/>
  <c r="D93" i="4"/>
  <c r="D94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7" i="4"/>
  <c r="E56" i="4"/>
  <c r="E54" i="4"/>
  <c r="E42" i="4"/>
  <c r="E37" i="4"/>
  <c r="E161" i="4" l="1"/>
  <c r="E133" i="4"/>
  <c r="E146" i="4"/>
  <c r="E154" i="4"/>
  <c r="E119" i="4"/>
  <c r="E95" i="4"/>
  <c r="D40" i="4"/>
  <c r="E40" i="4" s="1"/>
  <c r="D58" i="4" l="1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E60" i="4" s="1"/>
  <c r="D41" i="4"/>
  <c r="E41" i="4" s="1"/>
  <c r="D161" i="4" l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32" i="4"/>
  <c r="E32" i="4" s="1"/>
  <c r="D31" i="4"/>
  <c r="E31" i="4" s="1"/>
  <c r="D24" i="4"/>
  <c r="E24" i="4" s="1"/>
  <c r="D7" i="4"/>
  <c r="D33" i="4" l="1"/>
  <c r="D34" i="4" l="1"/>
  <c r="E33" i="4"/>
  <c r="E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<sst xmlns="http://schemas.openxmlformats.org/spreadsheetml/2006/main" count="383" uniqueCount="257">
  <si>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</si>
  <si>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</si>
  <si>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</si>
  <si>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</si>
  <si>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</si>
  <si>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</si>
  <si>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</si>
  <si>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</si>
  <si>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</si>
  <si>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</si>
  <si>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</si>
  <si>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</si>
  <si>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</si>
  <si>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</si>
  <si>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</si>
  <si>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</si>
  <si>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</si>
  <si>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</si>
  <si>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</si>
  <si>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</si>
  <si>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</si>
  <si>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</si>
  <si>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</si>
  <si>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</si>
  <si>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</si>
  <si>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</si>
  <si>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</si>
  <si>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</si>
  <si>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</si>
  <si>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</si>
  <si>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</si>
  <si>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</si>
  <si>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</si>
  <si>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</si>
  <si>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</si>
  <si>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</si>
  <si>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</si>
  <si>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</si>
  <si>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</si>
  <si>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</si>
  <si>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</si>
  <si>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</si>
  <si>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</si>
  <si>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</si>
  <si>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</si>
  <si>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</si>
  <si>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</si>
  <si>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</si>
  <si>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</si>
  <si>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</si>
  <si>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</si>
  <si>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</si>
  <si>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</si>
  <si>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</si>
  <si>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</si>
  <si>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</si>
  <si>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</si>
  <si>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</si>
  <si>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</si>
  <si>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</si>
  <si>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</si>
  <si>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</si>
  <si>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</si>
  <si>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</si>
  <si>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</si>
  <si>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</si>
  <si>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</si>
  <si>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</si>
  <si>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</si>
  <si>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</si>
  <si>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</si>
  <si>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</si>
  <si>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</si>
  <si>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</si>
  <si>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</si>
  <si>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</si>
  <si>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</si>
  <si>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</si>
  <si>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</si>
  <si>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</si>
  <si>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</si>
  <si>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</si>
  <si>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</si>
  <si>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</si>
  <si>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</si>
  <si>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</si>
  <si>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</si>
  <si>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</si>
  <si>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</si>
  <si>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</si>
  <si>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</si>
  <si>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</si>
  <si>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</si>
  <si>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</si>
  <si>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</si>
  <si>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</si>
  <si>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</si>
  <si>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</si>
  <si>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</si>
  <si>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</si>
  <si>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</si>
  <si>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</si>
  <si>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</si>
  <si>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</si>
  <si>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</si>
  <si>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</si>
  <si>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</si>
  <si>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</si>
  <si>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</si>
  <si>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</si>
  <si>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</si>
  <si>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</si>
  <si>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</si>
  <si>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</si>
  <si>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</si>
  <si>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</si>
  <si>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</si>
  <si>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</si>
  <si>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</si>
  <si>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</si>
  <si>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</si>
  <si>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</si>
  <si>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</si>
  <si>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</si>
  <si>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</si>
  <si>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</si>
  <si>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</si>
  <si>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</si>
  <si>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</si>
  <si>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</si>
  <si>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</si>
  <si>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</si>
  <si>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</si>
  <si>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</si>
  <si>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</si>
  <si>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</si>
  <si>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</si>
  <si>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</si>
  <si>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</si>
  <si>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</si>
  <si>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</si>
  <si>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</si>
  <si>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</si>
  <si>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</si>
  <si>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</si>
  <si>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</si>
  <si>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</si>
  <si>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</si>
  <si>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</si>
  <si>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</si>
  <si>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</si>
  <si>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</si>
  <si>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</si>
  <si>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</si>
  <si>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</si>
  <si>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</si>
  <si>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</si>
  <si>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</si>
  <si>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</si>
  <si>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</si>
  <si>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</si>
  <si>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</si>
  <si>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</si>
  <si>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</si>
  <si>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</si>
  <si>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</si>
  <si>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</si>
  <si>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</si>
  <si>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</si>
  <si>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</si>
  <si>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</si>
  <si>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</si>
  <si>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</si>
  <si>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</si>
  <si>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</si>
  <si>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</si>
  <si>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</si>
  <si>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</si>
  <si>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</si>
  <si>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</si>
  <si>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</si>
  <si>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</si>
  <si>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</si>
  <si>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</si>
  <si>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</si>
  <si>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</si>
  <si>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</si>
  <si>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</si>
  <si>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</si>
  <si>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</si>
  <si>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</si>
  <si>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</si>
  <si>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</si>
  <si>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</si>
  <si>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</si>
  <si>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</si>
  <si>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</si>
  <si>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</si>
  <si>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</si>
  <si>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</si>
  <si>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</si>
  <si>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</si>
  <si>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</si>
  <si>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</si>
  <si>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</si>
  <si>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</si>
  <si>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</si>
  <si>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</si>
  <si>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</si>
  <si>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</si>
  <si>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</si>
  <si>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</si>
  <si>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</si>
  <si>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</si>
  <si>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</si>
  <si>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</si>
  <si>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</si>
  <si>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</si>
  <si>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</si>
  <si>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</si>
  <si>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</si>
  <si>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</si>
  <si>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</si>
  <si>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</si>
  <si>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</si>
  <si>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</si>
  <si>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</si>
  <si>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</si>
  <si>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</si>
  <si>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</si>
  <si>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</si>
  <si>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</si>
  <si>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</si>
  <si>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</si>
  <si>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</si>
  <si>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</si>
  <si>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</si>
  <si>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</si>
  <si>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</si>
  <si>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</si>
  <si>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</si>
  <si>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</si>
  <si>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</si>
  <si>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</si>
  <si>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</si>
  <si>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</si>
  <si>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</si>
  <si>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수원지방법원 여주지원청사 건축공사</t>
  </si>
  <si>
    <t>업무</t>
  </si>
  <si>
    <t>경기도</t>
  </si>
  <si>
    <t>기타공사,골재대 및 운반비</t>
  </si>
  <si>
    <t>작업부산물,부대시설공사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</si>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</sst>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10006</v>
      </c>
      <c r="D7" s="36">
        <f>+C7/3.3058</f>
        <v>3026.8013793937926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255</v>
      </c>
    </row>
    <row r="19" spans="1:5" x14ac:dyDescent="0.3">
      <c r="A19" s="2">
        <v>9</v>
      </c>
      <c r="B19" s="2" t="s">
        <v>256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1031820</v>
      </c>
      <c r="E25" s="60">
        <f t="shared" si="0"/>
        <v>3410990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60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412500</v>
      </c>
      <c r="E27" s="60">
        <f t="shared" si="0"/>
        <v>1363640</v>
      </c>
    </row>
    <row r="28" spans="1:5" x14ac:dyDescent="0.3">
      <c r="B28" s="2">
        <v>5</v>
      </c>
      <c r="C28" s="35" t="s">
        <v>97</v>
      </c>
      <c r="D28" s="45">
        <f>+D119</f>
        <v>223480</v>
      </c>
      <c r="E28" s="60">
        <f t="shared" si="0"/>
        <v>738780</v>
      </c>
    </row>
    <row r="29" spans="1:5" x14ac:dyDescent="0.3">
      <c r="B29" s="2">
        <v>6</v>
      </c>
      <c r="C29" s="35" t="s">
        <v>98</v>
      </c>
      <c r="D29" s="45">
        <f>+D133</f>
        <v>122960</v>
      </c>
      <c r="E29" s="60">
        <f t="shared" si="0"/>
        <v>406480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183000</v>
      </c>
      <c r="E31" s="60">
        <f t="shared" si="0"/>
        <v>604960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542780</v>
      </c>
      <c r="E33" s="61">
        <f t="shared" si="0"/>
        <v>1794320</v>
      </c>
    </row>
    <row r="34" spans="1:7" x14ac:dyDescent="0.3">
      <c r="C34" s="35" t="s">
        <v>112</v>
      </c>
      <c r="D34" s="44">
        <f>SUM(D24:D33)</f>
        <v>2516540</v>
      </c>
      <c r="E34" s="44">
        <f>SUM(E24:E33)</f>
        <v>8319170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252</v>
      </c>
      <c r="E39" s="67" t="s">
        <v>253</v>
      </c>
      <c r="G39" s="68"/>
    </row>
    <row r="40" spans="1:7" x14ac:dyDescent="0.3">
      <c r="A40" s="2">
        <v>1</v>
      </c>
      <c r="C40" s="38" t="s">
        <v>15</v>
      </c>
      <c r="D40" s="40">
        <f>TRUNC(73089,-1)</f>
        <v>73080</v>
      </c>
      <c r="E40" s="63">
        <f t="shared" ref="E40:E59" si="1">TRUNC(+D40*3.3058,-1)</f>
        <v>241580</v>
      </c>
    </row>
    <row r="41" spans="1:7" x14ac:dyDescent="0.3">
      <c r="A41" s="2">
        <v>2</v>
      </c>
      <c r="C41" s="38" t="s">
        <v>13</v>
      </c>
      <c r="D41" s="42">
        <f>TRUNC(198306,-1)</f>
        <v>198300</v>
      </c>
      <c r="E41" s="64">
        <f t="shared" si="1"/>
        <v>655540</v>
      </c>
    </row>
    <row r="42" spans="1:7" x14ac:dyDescent="0.3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f>TRUNC(17729,-1)</f>
        <v>17720</v>
      </c>
      <c r="E43" s="64">
        <f t="shared" si="1"/>
        <v>58570</v>
      </c>
    </row>
    <row r="44" spans="1:7" x14ac:dyDescent="0.3">
      <c r="A44" s="2">
        <v>5</v>
      </c>
      <c r="C44" s="38" t="s">
        <v>17</v>
      </c>
      <c r="D44" s="42">
        <f>TRUNC(35908,-1)</f>
        <v>35900</v>
      </c>
      <c r="E44" s="64">
        <f t="shared" si="1"/>
        <v>118670</v>
      </c>
    </row>
    <row r="45" spans="1:7" x14ac:dyDescent="0.3">
      <c r="A45" s="2">
        <v>6</v>
      </c>
      <c r="C45" s="38" t="s">
        <v>18</v>
      </c>
      <c r="D45" s="42">
        <f>TRUNC(3906,-1)</f>
        <v>3900</v>
      </c>
      <c r="E45" s="64">
        <f t="shared" si="1"/>
        <v>12890</v>
      </c>
    </row>
    <row r="46" spans="1:7" x14ac:dyDescent="0.3">
      <c r="A46" s="2">
        <v>7</v>
      </c>
      <c r="C46" s="38" t="s">
        <v>19</v>
      </c>
      <c r="D46" s="42">
        <f>TRUNC(23545,-1)</f>
        <v>23540</v>
      </c>
      <c r="E46" s="64">
        <f t="shared" si="1"/>
        <v>77810</v>
      </c>
    </row>
    <row r="47" spans="1:7" x14ac:dyDescent="0.3">
      <c r="A47" s="2">
        <v>8</v>
      </c>
      <c r="C47" s="38" t="s">
        <v>20</v>
      </c>
      <c r="D47" s="42">
        <f>TRUNC(482,-1)</f>
        <v>480</v>
      </c>
      <c r="E47" s="64">
        <f t="shared" si="1"/>
        <v>1580</v>
      </c>
    </row>
    <row r="48" spans="1:7" x14ac:dyDescent="0.3">
      <c r="A48" s="2">
        <v>9</v>
      </c>
      <c r="C48" s="38" t="s">
        <v>21</v>
      </c>
      <c r="D48" s="42">
        <f>TRUNC(130111,-1)</f>
        <v>130110</v>
      </c>
      <c r="E48" s="64">
        <f t="shared" si="1"/>
        <v>430110</v>
      </c>
    </row>
    <row r="49" spans="1:7" x14ac:dyDescent="0.3">
      <c r="A49" s="2">
        <v>10</v>
      </c>
      <c r="C49" s="38" t="s">
        <v>22</v>
      </c>
      <c r="D49" s="42">
        <f>TRUNC(26642,-1)</f>
        <v>26640</v>
      </c>
      <c r="E49" s="64">
        <f t="shared" si="1"/>
        <v>88060</v>
      </c>
    </row>
    <row r="50" spans="1:7" x14ac:dyDescent="0.3">
      <c r="A50" s="2">
        <v>11</v>
      </c>
      <c r="C50" s="38" t="s">
        <v>155</v>
      </c>
      <c r="D50" s="42">
        <f>TRUNC(101847,-1)</f>
        <v>101840</v>
      </c>
      <c r="E50" s="64">
        <f t="shared" si="1"/>
        <v>336660</v>
      </c>
    </row>
    <row r="51" spans="1:7" x14ac:dyDescent="0.3">
      <c r="A51" s="2">
        <v>12</v>
      </c>
      <c r="C51" s="38" t="s">
        <v>23</v>
      </c>
      <c r="D51" s="42">
        <f>TRUNC(65395,-1)</f>
        <v>65390</v>
      </c>
      <c r="E51" s="64">
        <f t="shared" si="1"/>
        <v>216160</v>
      </c>
    </row>
    <row r="52" spans="1:7" x14ac:dyDescent="0.3">
      <c r="A52" s="2">
        <v>13</v>
      </c>
      <c r="C52" s="38" t="s">
        <v>24</v>
      </c>
      <c r="D52" s="42">
        <f>TRUNC(8589,-1)</f>
        <v>8580</v>
      </c>
      <c r="E52" s="64">
        <f t="shared" si="1"/>
        <v>28360</v>
      </c>
    </row>
    <row r="53" spans="1:7" x14ac:dyDescent="0.3">
      <c r="A53" s="2">
        <v>14</v>
      </c>
      <c r="C53" s="38" t="s">
        <v>25</v>
      </c>
      <c r="D53" s="42">
        <f>TRUNC(90411,-1)</f>
        <v>90410</v>
      </c>
      <c r="E53" s="64">
        <f t="shared" si="1"/>
        <v>298870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TRUNC(4926,-1)</f>
        <v>4920</v>
      </c>
      <c r="E55" s="64">
        <f t="shared" si="1"/>
        <v>16260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TRUNC(101984+3403,-1)</f>
        <v>105380</v>
      </c>
      <c r="E58" s="64">
        <f t="shared" si="1"/>
        <v>348360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TRUNC(145632,-1)</f>
        <v>145630</v>
      </c>
      <c r="E59" s="65">
        <f t="shared" si="1"/>
        <v>481420</v>
      </c>
    </row>
    <row r="60" spans="1:7" x14ac:dyDescent="0.3">
      <c r="A60" s="2">
        <v>21</v>
      </c>
      <c r="C60" s="27" t="s">
        <v>112</v>
      </c>
      <c r="D60" s="39">
        <f>SUM(D40:D59)</f>
        <v>1031820</v>
      </c>
      <c r="E60" s="39">
        <f>SUM(E40:E59)</f>
        <v>3410900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235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3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8">
        <f>SUM(D63:D65)</f>
        <v>0</v>
      </c>
      <c r="E66" s="58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3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TRUNC(27697,-1)</f>
        <v>27690</v>
      </c>
      <c r="E93" s="64">
        <f t="shared" si="2"/>
        <v>91530</v>
      </c>
    </row>
    <row r="94" spans="1:7" ht="17.25" thickBot="1" x14ac:dyDescent="0.35">
      <c r="A94" s="2">
        <v>26</v>
      </c>
      <c r="C94" s="38" t="s">
        <v>47</v>
      </c>
      <c r="D94" s="43">
        <f>TRUNC(384813,-1)</f>
        <v>384810</v>
      </c>
      <c r="E94" s="65">
        <f t="shared" si="2"/>
        <v>1272100</v>
      </c>
    </row>
    <row r="95" spans="1:7" x14ac:dyDescent="0.3">
      <c r="A95" s="2">
        <v>27</v>
      </c>
      <c r="C95" s="27" t="s">
        <v>112</v>
      </c>
      <c r="D95" s="39">
        <f>SUM(D69:D94)</f>
        <v>412500</v>
      </c>
      <c r="E95" s="39">
        <f>SUM(E69:E94)</f>
        <v>1363630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3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4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4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4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4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TRUNC(34856,-1)</f>
        <v>34850</v>
      </c>
      <c r="E117" s="64">
        <f t="shared" si="3"/>
        <v>115200</v>
      </c>
    </row>
    <row r="118" spans="1:7" ht="17.25" thickBot="1" x14ac:dyDescent="0.35">
      <c r="A118" s="2">
        <v>21</v>
      </c>
      <c r="C118" s="38" t="s">
        <v>47</v>
      </c>
      <c r="D118" s="43">
        <f>TRUNC(188636,-1)</f>
        <v>188630</v>
      </c>
      <c r="E118" s="65">
        <f t="shared" si="3"/>
        <v>623570</v>
      </c>
    </row>
    <row r="119" spans="1:7" x14ac:dyDescent="0.3">
      <c r="A119" s="2">
        <v>22</v>
      </c>
      <c r="C119" s="27" t="s">
        <v>112</v>
      </c>
      <c r="D119" s="39">
        <f>SUM(D98:D118)</f>
        <v>223480</v>
      </c>
      <c r="E119" s="39">
        <f>SUM(E98:E118)</f>
        <v>738770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4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TRUNC(40345,-1)</f>
        <v>40340</v>
      </c>
      <c r="E131" s="64">
        <f t="shared" si="4"/>
        <v>133350</v>
      </c>
    </row>
    <row r="132" spans="1:7" ht="18" thickBot="1" x14ac:dyDescent="0.35">
      <c r="A132" s="2">
        <v>11</v>
      </c>
      <c r="C132" s="38" t="s">
        <v>47</v>
      </c>
      <c r="D132" s="43">
        <f>TRUNC(82621,-1)</f>
        <v>82620</v>
      </c>
      <c r="E132" s="65">
        <f t="shared" si="4"/>
        <v>273120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122960</v>
      </c>
      <c r="E133" s="39">
        <f>SUM(E122:E132)</f>
        <v>406470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4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TRUNC(-872+181960,-1)</f>
        <v>181080</v>
      </c>
      <c r="E152" s="64">
        <f>TRUNC(+D152*3.3058,-1)</f>
        <v>598610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f>TRUNC(1928,-1)</f>
        <v>1920</v>
      </c>
      <c r="E153" s="65">
        <f>TRUNC(+D153*3.3058,-1)</f>
        <v>6340</v>
      </c>
    </row>
    <row r="154" spans="1:7" x14ac:dyDescent="0.3">
      <c r="A154" s="2">
        <v>6</v>
      </c>
      <c r="C154" s="27" t="s">
        <v>112</v>
      </c>
      <c r="D154" s="39">
        <f>SUM(D149:D153)</f>
        <v>183000</v>
      </c>
      <c r="E154" s="39">
        <f>SUM(E149:E153)</f>
        <v>604950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2020-12-07T09:28:09Z</dcterms:modified>
</cp:coreProperties>
</file>