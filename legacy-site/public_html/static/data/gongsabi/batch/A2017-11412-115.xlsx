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1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6" i="4"/>
  <c r="D125" i="4"/>
  <c r="D116" i="4"/>
  <c r="D114" i="4"/>
  <c r="D104" i="4"/>
  <c r="D103" i="4"/>
  <c r="D102" i="4"/>
  <c r="D100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6" i="4"/>
  <c r="D45" i="4"/>
  <c r="D44" i="4"/>
  <c r="D43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<sst xmlns="http://schemas.openxmlformats.org/spreadsheetml/2006/main" count="391" uniqueCount="268">
  <si>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</si>
  <si>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</si>
  <si>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</si>
  <si>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</si>
  <si>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</si>
  <si>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</si>
  <si>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</si>
  <si>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</si>
  <si>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</si>
  <si>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</si>
  <si>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</si>
  <si>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</si>
  <si>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</si>
  <si>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</si>
  <si>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</si>
  <si>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</si>
  <si>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</si>
  <si>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</si>
  <si>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</si>
  <si>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</si>
  <si>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</si>
  <si>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</si>
  <si>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</si>
  <si>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</si>
  <si>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</si>
  <si>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</si>
  <si>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</si>
  <si>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</si>
  <si>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</si>
  <si>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</si>
  <si>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</si>
  <si>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</si>
  <si>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</si>
  <si>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</si>
  <si>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</si>
  <si>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</si>
  <si>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</si>
  <si>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</si>
  <si>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</si>
  <si>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</si>
  <si>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</si>
  <si>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</si>
  <si>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</si>
  <si>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</si>
  <si>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</si>
  <si>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</si>
  <si>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</si>
  <si>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</si>
  <si>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</si>
  <si>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</si>
  <si>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</si>
  <si>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</si>
  <si>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</si>
  <si>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</si>
  <si>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</si>
  <si>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</si>
  <si>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</si>
  <si>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</si>
  <si>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</si>
  <si>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</si>
  <si>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</si>
  <si>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</si>
  <si>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</si>
  <si>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</si>
  <si>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</si>
  <si>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</si>
  <si>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</si>
  <si>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</si>
  <si>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</si>
  <si>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</si>
  <si>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</si>
  <si>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</si>
  <si>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</si>
  <si>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</si>
  <si>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</si>
  <si>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</si>
  <si>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</si>
  <si>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</si>
  <si>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</si>
  <si>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</si>
  <si>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</si>
  <si>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</si>
  <si>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</si>
  <si>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</si>
  <si>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</si>
  <si>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</si>
  <si>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</si>
  <si>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</si>
  <si>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</si>
  <si>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</si>
  <si>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</si>
  <si>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</si>
  <si>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</si>
  <si>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</si>
  <si>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</si>
  <si>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</si>
  <si>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</si>
  <si>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</si>
  <si>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</si>
  <si>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</si>
  <si>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</si>
  <si>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</si>
  <si>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</si>
  <si>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</si>
  <si>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</si>
  <si>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</si>
  <si>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</si>
  <si>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</si>
  <si>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</si>
  <si>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</si>
  <si>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</si>
  <si>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</si>
  <si>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</si>
  <si>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</si>
  <si>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</si>
  <si>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</si>
  <si>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</si>
  <si>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</si>
  <si>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</si>
  <si>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</si>
  <si>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</si>
  <si>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</si>
  <si>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</si>
  <si>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</si>
  <si>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</si>
  <si>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</si>
  <si>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</si>
  <si>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</si>
  <si>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</si>
  <si>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</si>
  <si>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</si>
  <si>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</si>
  <si>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</si>
  <si>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</si>
  <si>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</si>
  <si>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</si>
  <si>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</si>
  <si>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</si>
  <si>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</si>
  <si>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</si>
  <si>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</si>
  <si>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</si>
  <si>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</si>
  <si>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</si>
  <si>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</si>
  <si>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</si>
  <si>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</si>
  <si>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</si>
  <si>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</si>
  <si>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</si>
  <si>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</si>
  <si>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</si>
  <si>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</si>
  <si>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</si>
  <si>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</si>
  <si>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</si>
  <si>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</si>
  <si>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</si>
  <si>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</si>
  <si>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</si>
  <si>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</si>
  <si>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</si>
  <si>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</si>
  <si>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</si>
  <si>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</si>
  <si>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</si>
  <si>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</si>
  <si>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</si>
  <si>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</si>
  <si>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</si>
  <si>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</si>
  <si>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</si>
  <si>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</si>
  <si>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</si>
  <si>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</si>
  <si>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</si>
  <si>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</si>
  <si>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</si>
  <si>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</si>
  <si>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</si>
  <si>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</si>
  <si>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</si>
  <si>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</si>
  <si>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</si>
  <si>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</si>
  <si>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</si>
  <si>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</si>
  <si>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</si>
  <si>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</si>
  <si>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</si>
  <si>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</si>
  <si>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</si>
  <si>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</si>
  <si>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</si>
  <si>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</si>
  <si>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</si>
  <si>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</si>
  <si>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</si>
  <si>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</si>
  <si>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</si>
  <si>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</si>
  <si>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</si>
  <si>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</si>
  <si>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</si>
  <si>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</si>
  <si>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</si>
  <si>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</si>
  <si>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</si>
  <si>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</si>
  <si>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</si>
  <si>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</si>
  <si>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</si>
  <si>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</si>
  <si>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</si>
  <si>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</si>
  <si>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</si>
  <si>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</si>
  <si>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</si>
  <si>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</si>
  <si>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</si>
  <si>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</si>
  <si>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</si>
  <si>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</si>
  <si>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</si>
  <si>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</si>
  <si>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</si>
  <si>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</si>
  <si>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</si>
  <si>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</si>
  <si>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</si>
  <si>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</si>
  <si>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</si>
  <si>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</si>
  <si>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</si>
  <si>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</si>
  <si>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</si>
  <si>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</si>
  <si>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</si>
  <si>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</si>
  <si>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</si>
  <si>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</si>
  <si>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</si>
  <si>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</si>
  <si>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</si>
  <si>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</si>
  <si>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</si>
  <si>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</si>
  <si>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</si>
  <si>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</si>
  <si>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</si>
  <si>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</si>
  <si>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</si>
  <si>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</si>
  <si>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</si>
  <si>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</si>
  <si>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</si>
  <si>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혁신2초등학교 교사 신축공사</t>
    <phoneticPr fontId="2" type="noConversion"/>
  </si>
  <si>
    <t>경상도</t>
  </si>
  <si>
    <t>기초공사, 골재비및운반비, 품질시험비,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</si>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</sst>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11230.25</v>
      </c>
      <c r="D7" s="36">
        <f>+C7/3.3058</f>
        <v>3397.1353378909794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905680</v>
      </c>
      <c r="E25" s="59">
        <f t="shared" si="0"/>
        <v>2993990</v>
      </c>
    </row>
    <row r="26" spans="1:5" x14ac:dyDescent="0.3">
      <c r="B26" s="2">
        <v>3</v>
      </c>
      <c r="C26" s="35" t="s">
        <v>95</v>
      </c>
      <c r="D26" s="45">
        <f>+D66</f>
        <v>6040</v>
      </c>
      <c r="E26" s="59">
        <f t="shared" si="0"/>
        <v>19960</v>
      </c>
    </row>
    <row r="27" spans="1:5" x14ac:dyDescent="0.3">
      <c r="B27" s="2">
        <v>4</v>
      </c>
      <c r="C27" s="35" t="s">
        <v>96</v>
      </c>
      <c r="D27" s="45">
        <f>+D95</f>
        <v>124920</v>
      </c>
      <c r="E27" s="59">
        <f t="shared" si="0"/>
        <v>412960</v>
      </c>
    </row>
    <row r="28" spans="1:5" x14ac:dyDescent="0.3">
      <c r="B28" s="2">
        <v>5</v>
      </c>
      <c r="C28" s="35" t="s">
        <v>97</v>
      </c>
      <c r="D28" s="45">
        <f>+D119</f>
        <v>212220</v>
      </c>
      <c r="E28" s="59">
        <f t="shared" si="0"/>
        <v>701550</v>
      </c>
    </row>
    <row r="29" spans="1:5" x14ac:dyDescent="0.3">
      <c r="B29" s="2">
        <v>6</v>
      </c>
      <c r="C29" s="35" t="s">
        <v>98</v>
      </c>
      <c r="D29" s="45">
        <f>+D133</f>
        <v>83880</v>
      </c>
      <c r="E29" s="59">
        <f t="shared" si="0"/>
        <v>277290</v>
      </c>
    </row>
    <row r="30" spans="1:5" x14ac:dyDescent="0.3">
      <c r="B30" s="2">
        <v>7</v>
      </c>
      <c r="C30" s="35" t="s">
        <v>99</v>
      </c>
      <c r="D30" s="45">
        <f>+D146</f>
        <v>33080</v>
      </c>
      <c r="E30" s="59">
        <f t="shared" si="0"/>
        <v>109350</v>
      </c>
    </row>
    <row r="31" spans="1:5" x14ac:dyDescent="0.3">
      <c r="B31" s="2">
        <v>8</v>
      </c>
      <c r="C31" s="35" t="s">
        <v>100</v>
      </c>
      <c r="D31" s="45">
        <f>+D154</f>
        <v>38770</v>
      </c>
      <c r="E31" s="59">
        <f t="shared" si="0"/>
        <v>128160</v>
      </c>
    </row>
    <row r="32" spans="1:5" x14ac:dyDescent="0.3">
      <c r="B32" s="2">
        <v>9</v>
      </c>
      <c r="C32" s="35" t="s">
        <v>101</v>
      </c>
      <c r="D32" s="45">
        <f>+D161</f>
        <v>24000</v>
      </c>
      <c r="E32" s="59">
        <f t="shared" si="0"/>
        <v>79330</v>
      </c>
    </row>
    <row r="33" spans="1:7" x14ac:dyDescent="0.3">
      <c r="B33" s="2">
        <v>10</v>
      </c>
      <c r="C33" s="35" t="s">
        <v>154</v>
      </c>
      <c r="D33" s="53">
        <f>TRUNC(SUM(D24:D32)*0.275,-1)</f>
        <v>392860</v>
      </c>
      <c r="E33" s="60">
        <f t="shared" si="0"/>
        <v>1298710</v>
      </c>
    </row>
    <row r="34" spans="1:7" x14ac:dyDescent="0.3">
      <c r="C34" s="35" t="s">
        <v>112</v>
      </c>
      <c r="D34" s="44">
        <f>SUM(D24:D33)</f>
        <v>1821450</v>
      </c>
      <c r="E34" s="44">
        <f>SUM(E24:E33)</f>
        <v>6021300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261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TRUNC(47021,-1)</f>
        <v>47020</v>
      </c>
      <c r="E40" s="62">
        <f t="shared" ref="E40:E59" si="1">TRUNC(+D40*3.3058,-1)</f>
        <v>155430</v>
      </c>
    </row>
    <row r="41" spans="1:7" x14ac:dyDescent="0.3">
      <c r="A41" s="2">
        <v>2</v>
      </c>
      <c r="C41" s="38" t="s">
        <v>13</v>
      </c>
      <c r="D41" s="42">
        <v>125080</v>
      </c>
      <c r="E41" s="63">
        <f t="shared" si="1"/>
        <v>413480</v>
      </c>
    </row>
    <row r="42" spans="1:7" x14ac:dyDescent="0.3">
      <c r="A42" s="2">
        <v>3</v>
      </c>
      <c r="C42" s="38" t="s">
        <v>14</v>
      </c>
      <c r="D42" s="42">
        <f>TRUNC(13609,-1)</f>
        <v>13600</v>
      </c>
      <c r="E42" s="63">
        <f t="shared" si="1"/>
        <v>44950</v>
      </c>
    </row>
    <row r="43" spans="1:7" x14ac:dyDescent="0.3">
      <c r="A43" s="2">
        <v>4</v>
      </c>
      <c r="C43" s="38" t="s">
        <v>16</v>
      </c>
      <c r="D43" s="42">
        <f>TRUNC(27838,-1)</f>
        <v>27830</v>
      </c>
      <c r="E43" s="63">
        <f t="shared" si="1"/>
        <v>92000</v>
      </c>
    </row>
    <row r="44" spans="1:7" x14ac:dyDescent="0.3">
      <c r="A44" s="2">
        <v>5</v>
      </c>
      <c r="C44" s="38" t="s">
        <v>17</v>
      </c>
      <c r="D44" s="42">
        <f>TRUNC(23663,-1)</f>
        <v>23660</v>
      </c>
      <c r="E44" s="63">
        <f t="shared" si="1"/>
        <v>78210</v>
      </c>
    </row>
    <row r="45" spans="1:7" x14ac:dyDescent="0.3">
      <c r="A45" s="2">
        <v>6</v>
      </c>
      <c r="C45" s="38" t="s">
        <v>18</v>
      </c>
      <c r="D45" s="42">
        <f>TRUNC(8612,-1)</f>
        <v>8610</v>
      </c>
      <c r="E45" s="63">
        <f t="shared" si="1"/>
        <v>28460</v>
      </c>
    </row>
    <row r="46" spans="1:7" x14ac:dyDescent="0.3">
      <c r="A46" s="2">
        <v>7</v>
      </c>
      <c r="C46" s="38" t="s">
        <v>19</v>
      </c>
      <c r="D46" s="42">
        <f>TRUNC(37462,-1)</f>
        <v>37460</v>
      </c>
      <c r="E46" s="63">
        <f t="shared" si="1"/>
        <v>123830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35040</v>
      </c>
      <c r="E48" s="63">
        <f t="shared" si="1"/>
        <v>115830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TRUNC(21017,-1)</f>
        <v>21010</v>
      </c>
      <c r="E49" s="63">
        <f t="shared" si="1"/>
        <v>69450</v>
      </c>
    </row>
    <row r="50" spans="1:7" x14ac:dyDescent="0.3">
      <c r="A50" s="2">
        <v>11</v>
      </c>
      <c r="C50" s="38" t="s">
        <v>155</v>
      </c>
      <c r="D50" s="42">
        <f>TRUNC(39587,-1)</f>
        <v>39580</v>
      </c>
      <c r="E50" s="63">
        <f t="shared" si="1"/>
        <v>130840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TRUNC(12616,-1)</f>
        <v>12610</v>
      </c>
      <c r="E52" s="63">
        <f t="shared" si="1"/>
        <v>41680</v>
      </c>
    </row>
    <row r="53" spans="1:7" x14ac:dyDescent="0.3">
      <c r="A53" s="2">
        <v>14</v>
      </c>
      <c r="C53" s="38" t="s">
        <v>25</v>
      </c>
      <c r="D53" s="42">
        <f>TRUNC(122437,-1)</f>
        <v>122430</v>
      </c>
      <c r="E53" s="63">
        <f t="shared" si="1"/>
        <v>404720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TRUNC(17449+27914+272+20950,-1)</f>
        <v>66580</v>
      </c>
      <c r="E58" s="63">
        <f t="shared" si="1"/>
        <v>220100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TRUNC(325172,-1)</f>
        <v>325170</v>
      </c>
      <c r="E59" s="64">
        <f t="shared" si="1"/>
        <v>1074940</v>
      </c>
    </row>
    <row r="60" spans="1:7" x14ac:dyDescent="0.3">
      <c r="A60" s="2">
        <v>21</v>
      </c>
      <c r="C60" s="27" t="s">
        <v>112</v>
      </c>
      <c r="D60" s="39">
        <f>SUM(D40:D59)</f>
        <v>905680</v>
      </c>
      <c r="E60" s="39">
        <f>SUM(E40:E59)</f>
        <v>2993920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TRUNC(6043,-1)</f>
        <v>6040</v>
      </c>
      <c r="E63" s="62">
        <f>TRUNC(+D63*3.3058,-1)</f>
        <v>19960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6040</v>
      </c>
      <c r="E66" s="65">
        <f>SUM(E63:E65)</f>
        <v>19960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TRUNC(5916,-1)</f>
        <v>5910</v>
      </c>
      <c r="E69" s="62">
        <f t="shared" ref="E69:E94" si="2">TRUNC(+D69*3.3058,-1)</f>
        <v>19530</v>
      </c>
    </row>
    <row r="70" spans="1:7" ht="16.5" customHeight="1" x14ac:dyDescent="0.3">
      <c r="A70" s="2">
        <v>2</v>
      </c>
      <c r="C70" s="38" t="s">
        <v>31</v>
      </c>
      <c r="D70" s="42">
        <f>TRUNC(2974,-1)</f>
        <v>2970</v>
      </c>
      <c r="E70" s="63">
        <f t="shared" si="2"/>
        <v>9810</v>
      </c>
    </row>
    <row r="71" spans="1:7" x14ac:dyDescent="0.3">
      <c r="A71" s="2">
        <v>3</v>
      </c>
      <c r="C71" s="38" t="s">
        <v>32</v>
      </c>
      <c r="D71" s="42">
        <f>TRUNC(3076,-1)</f>
        <v>3070</v>
      </c>
      <c r="E71" s="63">
        <f t="shared" si="2"/>
        <v>10140</v>
      </c>
    </row>
    <row r="72" spans="1:7" x14ac:dyDescent="0.3">
      <c r="A72" s="2">
        <v>4</v>
      </c>
      <c r="C72" s="38" t="s">
        <v>33</v>
      </c>
      <c r="D72" s="42">
        <f>TRUNC(3765,-1)</f>
        <v>3760</v>
      </c>
      <c r="E72" s="63">
        <f t="shared" si="2"/>
        <v>12420</v>
      </c>
    </row>
    <row r="73" spans="1:7" x14ac:dyDescent="0.3">
      <c r="A73" s="2">
        <v>5</v>
      </c>
      <c r="C73" s="38" t="s">
        <v>34</v>
      </c>
      <c r="D73" s="42">
        <f>TRUNC(10741,-1)</f>
        <v>10740</v>
      </c>
      <c r="E73" s="63">
        <f t="shared" si="2"/>
        <v>35500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TRUNC(6535,-1)</f>
        <v>6530</v>
      </c>
      <c r="E89" s="63">
        <f t="shared" si="2"/>
        <v>21580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TRUNC(2497,-1)</f>
        <v>2490</v>
      </c>
      <c r="E91" s="63">
        <f t="shared" si="2"/>
        <v>8230</v>
      </c>
    </row>
    <row r="92" spans="1:7" x14ac:dyDescent="0.3">
      <c r="A92" s="2">
        <v>24</v>
      </c>
      <c r="C92" s="38" t="s">
        <v>38</v>
      </c>
      <c r="D92" s="42">
        <f>TRUNC(11293,-1)</f>
        <v>11290</v>
      </c>
      <c r="E92" s="63">
        <f t="shared" si="2"/>
        <v>37320</v>
      </c>
    </row>
    <row r="93" spans="1:7" x14ac:dyDescent="0.3">
      <c r="A93" s="2">
        <v>25</v>
      </c>
      <c r="C93" s="38" t="s">
        <v>148</v>
      </c>
      <c r="D93" s="42">
        <f>TRUNC(70818,-1)</f>
        <v>70810</v>
      </c>
      <c r="E93" s="63">
        <f t="shared" si="2"/>
        <v>234080</v>
      </c>
    </row>
    <row r="94" spans="1:7" ht="17.25" thickBot="1" x14ac:dyDescent="0.35">
      <c r="A94" s="2">
        <v>26</v>
      </c>
      <c r="C94" s="38" t="s">
        <v>47</v>
      </c>
      <c r="D94" s="43">
        <f>TRUNC(678+4420+2257,-1)</f>
        <v>7350</v>
      </c>
      <c r="E94" s="64">
        <f t="shared" si="2"/>
        <v>24290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124920</v>
      </c>
      <c r="E95" s="39">
        <f>SUM(E69:E94)</f>
        <v>412900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17160</v>
      </c>
      <c r="E98" s="62">
        <f t="shared" ref="E98:E118" si="3">TRUNC(+D98*3.3058,-1)</f>
        <v>56720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TRUNC(2671,-1)</f>
        <v>2670</v>
      </c>
      <c r="E100" s="63">
        <f t="shared" si="3"/>
        <v>8820</v>
      </c>
    </row>
    <row r="101" spans="1:7" x14ac:dyDescent="0.3">
      <c r="A101" s="2">
        <v>4</v>
      </c>
      <c r="C101" s="38" t="s">
        <v>42</v>
      </c>
      <c r="D101" s="42">
        <v>23090</v>
      </c>
      <c r="E101" s="63">
        <f t="shared" si="3"/>
        <v>76330</v>
      </c>
    </row>
    <row r="102" spans="1:7" x14ac:dyDescent="0.3">
      <c r="A102" s="2">
        <v>5</v>
      </c>
      <c r="C102" s="38" t="s">
        <v>43</v>
      </c>
      <c r="D102" s="42">
        <f>TRUNC(22962,-1)</f>
        <v>22960</v>
      </c>
      <c r="E102" s="63">
        <f t="shared" si="3"/>
        <v>75900</v>
      </c>
    </row>
    <row r="103" spans="1:7" x14ac:dyDescent="0.3">
      <c r="A103" s="2">
        <v>6</v>
      </c>
      <c r="C103" s="38" t="s">
        <v>44</v>
      </c>
      <c r="D103" s="42">
        <f>TRUNC(3456,-1)</f>
        <v>3450</v>
      </c>
      <c r="E103" s="63">
        <f t="shared" si="3"/>
        <v>11400</v>
      </c>
    </row>
    <row r="104" spans="1:7" x14ac:dyDescent="0.3">
      <c r="A104" s="2">
        <v>7</v>
      </c>
      <c r="C104" s="38" t="s">
        <v>45</v>
      </c>
      <c r="D104" s="42">
        <f>TRUNC(4145,-1)</f>
        <v>4140</v>
      </c>
      <c r="E104" s="63">
        <f t="shared" si="3"/>
        <v>13680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TRUNC(2026,-1)</f>
        <v>2020</v>
      </c>
      <c r="E114" s="63">
        <f t="shared" si="3"/>
        <v>6670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TRUNC(2044,-1)</f>
        <v>2040</v>
      </c>
      <c r="E116" s="63">
        <f t="shared" si="3"/>
        <v>6740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134690</v>
      </c>
      <c r="E117" s="63">
        <f t="shared" si="3"/>
        <v>445250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212220</v>
      </c>
      <c r="E119" s="39">
        <f>SUM(E98:E118)</f>
        <v>701510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5570</v>
      </c>
      <c r="E122" s="62">
        <f t="shared" ref="E122:E132" si="4">TRUNC(+D122*3.3058,-1)</f>
        <v>18410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TRUNC(7833,-1)</f>
        <v>7830</v>
      </c>
      <c r="E125" s="63">
        <f t="shared" si="4"/>
        <v>25880</v>
      </c>
    </row>
    <row r="126" spans="1:7" x14ac:dyDescent="0.3">
      <c r="A126" s="2">
        <v>5</v>
      </c>
      <c r="C126" s="38" t="s">
        <v>53</v>
      </c>
      <c r="D126" s="42">
        <f>TRUNC(4732,-1)</f>
        <v>4730</v>
      </c>
      <c r="E126" s="63">
        <f t="shared" si="4"/>
        <v>15630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TRUNC(6204,-1)</f>
        <v>6200</v>
      </c>
      <c r="E128" s="63">
        <f t="shared" si="4"/>
        <v>20490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TRUNC(10803,-1)</f>
        <v>10800</v>
      </c>
      <c r="E130" s="63">
        <f t="shared" si="4"/>
        <v>35700</v>
      </c>
    </row>
    <row r="131" spans="1:7" x14ac:dyDescent="0.3">
      <c r="A131" s="2">
        <v>10</v>
      </c>
      <c r="C131" s="38" t="s">
        <v>148</v>
      </c>
      <c r="D131" s="42">
        <f>TRUNC(46862,-1)</f>
        <v>46860</v>
      </c>
      <c r="E131" s="63">
        <f t="shared" si="4"/>
        <v>154900</v>
      </c>
    </row>
    <row r="132" spans="1:7" ht="18" thickBot="1" x14ac:dyDescent="0.35">
      <c r="A132" s="2">
        <v>11</v>
      </c>
      <c r="C132" s="38" t="s">
        <v>47</v>
      </c>
      <c r="D132" s="43">
        <f>TRUNC(1893,-1)</f>
        <v>1890</v>
      </c>
      <c r="E132" s="64">
        <f t="shared" si="4"/>
        <v>6240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83880</v>
      </c>
      <c r="E133" s="39">
        <f>SUM(E122:E132)</f>
        <v>277250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TRUNC(1897+8417,-1)</f>
        <v>10310</v>
      </c>
      <c r="E137" s="63">
        <f t="shared" si="5"/>
        <v>34080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TRUNC(1595,-1)</f>
        <v>1590</v>
      </c>
      <c r="E139" s="63">
        <f t="shared" si="5"/>
        <v>5250</v>
      </c>
    </row>
    <row r="140" spans="1:7" x14ac:dyDescent="0.3">
      <c r="A140" s="2">
        <v>5</v>
      </c>
      <c r="C140" s="38" t="s">
        <v>57</v>
      </c>
      <c r="D140" s="42">
        <f>TRUNC(1196,-1)</f>
        <v>1190</v>
      </c>
      <c r="E140" s="63">
        <f t="shared" si="5"/>
        <v>3930</v>
      </c>
    </row>
    <row r="141" spans="1:7" x14ac:dyDescent="0.3">
      <c r="A141" s="2">
        <v>6</v>
      </c>
      <c r="C141" s="38" t="s">
        <v>59</v>
      </c>
      <c r="D141" s="42">
        <f>TRUNC(5369,-1)</f>
        <v>5360</v>
      </c>
      <c r="E141" s="63">
        <f t="shared" si="5"/>
        <v>17710</v>
      </c>
    </row>
    <row r="142" spans="1:7" x14ac:dyDescent="0.3">
      <c r="A142" s="2">
        <v>7</v>
      </c>
      <c r="C142" s="38" t="s">
        <v>58</v>
      </c>
      <c r="D142" s="42">
        <f>TRUNC(6854,-1)</f>
        <v>6850</v>
      </c>
      <c r="E142" s="63">
        <f t="shared" si="5"/>
        <v>22640</v>
      </c>
    </row>
    <row r="143" spans="1:7" x14ac:dyDescent="0.3">
      <c r="A143" s="2">
        <v>8</v>
      </c>
      <c r="C143" s="38" t="s">
        <v>62</v>
      </c>
      <c r="D143" s="42">
        <f>TRUNC(2319,-1)</f>
        <v>2310</v>
      </c>
      <c r="E143" s="63">
        <f t="shared" si="5"/>
        <v>7630</v>
      </c>
    </row>
    <row r="144" spans="1:7" x14ac:dyDescent="0.3">
      <c r="A144" s="2">
        <v>9</v>
      </c>
      <c r="C144" s="38" t="s">
        <v>63</v>
      </c>
      <c r="D144" s="42">
        <f>TRUNC(5471,-1)</f>
        <v>5470</v>
      </c>
      <c r="E144" s="63">
        <f t="shared" si="5"/>
        <v>18080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33080</v>
      </c>
      <c r="E146" s="39">
        <f>SUM(E136:E145)</f>
        <v>109320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TRUNC(5653+2844,-1)</f>
        <v>8490</v>
      </c>
      <c r="E149" s="62">
        <f>TRUNC(+D149*3.3058,-1)</f>
        <v>28060</v>
      </c>
    </row>
    <row r="150" spans="1:7" x14ac:dyDescent="0.3">
      <c r="A150" s="2">
        <v>2</v>
      </c>
      <c r="C150" s="38" t="s">
        <v>49</v>
      </c>
      <c r="D150" s="42">
        <v>10590</v>
      </c>
      <c r="E150" s="63">
        <f>TRUNC(+D150*3.3058,-1)</f>
        <v>35000</v>
      </c>
    </row>
    <row r="151" spans="1:7" x14ac:dyDescent="0.3">
      <c r="A151" s="2">
        <v>3</v>
      </c>
      <c r="C151" s="38" t="s">
        <v>50</v>
      </c>
      <c r="D151" s="42">
        <f>TRUNC(8918,-1)</f>
        <v>8910</v>
      </c>
      <c r="E151" s="63">
        <f>TRUNC(+D151*3.3058,-1)</f>
        <v>29450</v>
      </c>
    </row>
    <row r="152" spans="1:7" x14ac:dyDescent="0.3">
      <c r="A152" s="2">
        <v>4</v>
      </c>
      <c r="C152" s="38" t="s">
        <v>47</v>
      </c>
      <c r="D152" s="42">
        <v>10780</v>
      </c>
      <c r="E152" s="63">
        <f>TRUNC(+D152*3.3058,-1)</f>
        <v>35630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38770</v>
      </c>
      <c r="E154" s="39">
        <f>SUM(E149:E153)</f>
        <v>128140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TRUNC(23365,-1)</f>
        <v>23360</v>
      </c>
      <c r="E157" s="62">
        <f>TRUNC(+D157*3.3058,-1)</f>
        <v>77220</v>
      </c>
    </row>
    <row r="158" spans="1:7" x14ac:dyDescent="0.3">
      <c r="A158" s="2">
        <v>2</v>
      </c>
      <c r="C158" s="38" t="s">
        <v>52</v>
      </c>
      <c r="D158" s="42">
        <f>TRUNC(649,-1)</f>
        <v>640</v>
      </c>
      <c r="E158" s="63">
        <f>TRUNC(+D158*3.3058,-1)</f>
        <v>2110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24000</v>
      </c>
      <c r="E161" s="39">
        <f>SUM(E157:E160)</f>
        <v>79330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2020-12-08T01:57:54Z</dcterms:modified>
</cp:coreProperties>
</file>