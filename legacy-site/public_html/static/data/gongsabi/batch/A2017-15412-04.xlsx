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36" i="4" l="1"/>
  <c r="D153" i="4" l="1"/>
  <c r="D145" i="4"/>
  <c r="D131" i="4"/>
  <c r="D117" i="4"/>
  <c r="D93" i="4"/>
  <c r="D65" i="4"/>
  <c r="E65" i="4" s="1"/>
  <c r="D63" i="4"/>
  <c r="D59" i="4"/>
  <c r="D159" i="4" l="1"/>
  <c r="D158" i="4"/>
  <c r="E158" i="4" s="1"/>
  <c r="D157" i="4"/>
  <c r="D152" i="4"/>
  <c r="D151" i="4"/>
  <c r="D150" i="4"/>
  <c r="D149" i="4"/>
  <c r="E149" i="4" s="1"/>
  <c r="D144" i="4"/>
  <c r="D143" i="4"/>
  <c r="D142" i="4"/>
  <c r="D141" i="4"/>
  <c r="D140" i="4"/>
  <c r="D139" i="4"/>
  <c r="D137" i="4"/>
  <c r="D132" i="4"/>
  <c r="D128" i="4"/>
  <c r="D126" i="4"/>
  <c r="D125" i="4"/>
  <c r="D122" i="4"/>
  <c r="E122" i="4" s="1"/>
  <c r="D118" i="4"/>
  <c r="D116" i="4"/>
  <c r="D114" i="4"/>
  <c r="D105" i="4"/>
  <c r="D104" i="4"/>
  <c r="D103" i="4"/>
  <c r="D102" i="4"/>
  <c r="D101" i="4"/>
  <c r="D99" i="4"/>
  <c r="D98" i="4"/>
  <c r="E98" i="4" s="1"/>
  <c r="D94" i="4"/>
  <c r="D91" i="4"/>
  <c r="D90" i="4"/>
  <c r="D84" i="4"/>
  <c r="D75" i="4"/>
  <c r="D73" i="4"/>
  <c r="D72" i="4"/>
  <c r="D71" i="4"/>
  <c r="D70" i="4"/>
  <c r="D6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57" i="4" l="1"/>
  <c r="D161" i="4"/>
  <c r="E160" i="4"/>
  <c r="E159" i="4"/>
  <c r="E153" i="4"/>
  <c r="E152" i="4"/>
  <c r="E151" i="4"/>
  <c r="E154" i="4" s="1"/>
  <c r="E150" i="4"/>
  <c r="E145" i="4"/>
  <c r="E144" i="4"/>
  <c r="E143" i="4"/>
  <c r="E142" i="4"/>
  <c r="E141" i="4"/>
  <c r="E140" i="4"/>
  <c r="E139" i="4"/>
  <c r="E138" i="4"/>
  <c r="E137" i="4"/>
  <c r="E132" i="4"/>
  <c r="E131" i="4"/>
  <c r="E130" i="4"/>
  <c r="E129" i="4"/>
  <c r="E128" i="4"/>
  <c r="E127" i="4"/>
  <c r="E126" i="4"/>
  <c r="E125" i="4"/>
  <c r="E124" i="4"/>
  <c r="E123" i="4"/>
  <c r="E133" i="4" s="1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119" i="4" s="1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60" i="4" s="1"/>
  <c r="E37" i="4"/>
  <c r="E95" i="4" l="1"/>
  <c r="E161" i="4"/>
  <c r="E146" i="4"/>
  <c r="D32" i="4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D34" i="4" l="1"/>
  <c r="E34" i="4"/>
</calcChain>
</file>

<file path=xl/sharedStrings.xml><?xml version="1.0" encoding="utf-8"?>
<sst xmlns="http://schemas.openxmlformats.org/spreadsheetml/2006/main" count="394" uniqueCount="271">
  <si>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</si>
  <si>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</si>
  <si>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</si>
  <si>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</si>
  <si>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</si>
  <si>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</si>
  <si>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</si>
  <si>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</si>
  <si>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</si>
  <si>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</si>
  <si>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</si>
  <si>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</si>
  <si>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</si>
  <si>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</si>
  <si>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</si>
  <si>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</si>
  <si>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</si>
  <si>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</si>
  <si>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</si>
  <si>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</si>
  <si>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</si>
  <si>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</si>
  <si>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</si>
  <si>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</si>
  <si>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</si>
  <si>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</si>
  <si>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</si>
  <si>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</si>
  <si>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</si>
  <si>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</si>
  <si>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</si>
  <si>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</si>
  <si>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</si>
  <si>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</si>
  <si>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</si>
  <si>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</si>
  <si>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</si>
  <si>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</si>
  <si>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</si>
  <si>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</si>
  <si>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</si>
  <si>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</si>
  <si>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</si>
  <si>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</si>
  <si>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</si>
  <si>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</si>
  <si>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</si>
  <si>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</si>
  <si>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</si>
  <si>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</si>
  <si>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</si>
  <si>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</si>
  <si>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</si>
  <si>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</si>
  <si>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</si>
  <si>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</si>
  <si>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</si>
  <si>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</si>
  <si>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</si>
  <si>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</si>
  <si>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</si>
  <si>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</si>
  <si>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</si>
  <si>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</si>
  <si>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</si>
  <si>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</si>
  <si>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</si>
  <si>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</si>
  <si>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</si>
  <si>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</si>
  <si>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</si>
  <si>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</si>
  <si>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</si>
  <si>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</si>
  <si>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</si>
  <si>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</si>
  <si>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</si>
  <si>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</si>
  <si>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</si>
  <si>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</si>
  <si>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</si>
  <si>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</si>
  <si>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</si>
  <si>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</si>
  <si>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</si>
  <si>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</si>
  <si>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</si>
  <si>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</si>
  <si>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</si>
  <si>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</si>
  <si>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</si>
  <si>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</si>
  <si>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</si>
  <si>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</si>
  <si>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</si>
  <si>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</si>
  <si>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</si>
  <si>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</si>
  <si>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</si>
  <si>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</si>
  <si>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</si>
  <si>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</si>
  <si>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</si>
  <si>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</si>
  <si>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</si>
  <si>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</si>
  <si>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</si>
  <si>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</si>
  <si>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</si>
  <si>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</si>
  <si>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</si>
  <si>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</si>
  <si>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</si>
  <si>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</si>
  <si>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</si>
  <si>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</si>
  <si>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</si>
  <si>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</si>
  <si>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</si>
  <si>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</si>
  <si>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</si>
  <si>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</si>
  <si>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</si>
  <si>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</si>
  <si>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</si>
  <si>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</si>
  <si>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</si>
  <si>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</si>
  <si>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</si>
  <si>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</si>
  <si>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</si>
  <si>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</si>
  <si>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</si>
  <si>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</si>
  <si>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</si>
  <si>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</si>
  <si>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</si>
  <si>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</si>
  <si>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</si>
  <si>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</si>
  <si>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</si>
  <si>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</si>
  <si>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</si>
  <si>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</si>
  <si>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</si>
  <si>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</si>
  <si>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</si>
  <si>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</si>
  <si>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</si>
  <si>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</si>
  <si>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</si>
  <si>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</si>
  <si>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</si>
  <si>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</si>
  <si>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</si>
  <si>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</si>
  <si>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</si>
  <si>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</si>
  <si>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</si>
  <si>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</si>
  <si>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</si>
  <si>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</si>
  <si>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</si>
  <si>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</si>
  <si>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</si>
  <si>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</si>
  <si>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</si>
  <si>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</si>
  <si>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</si>
  <si>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</si>
  <si>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</si>
  <si>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</si>
  <si>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</si>
  <si>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</si>
  <si>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</si>
  <si>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</si>
  <si>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</si>
  <si>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</si>
  <si>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</si>
  <si>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</si>
  <si>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</si>
  <si>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</si>
  <si>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</si>
  <si>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</si>
  <si>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</si>
  <si>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</si>
  <si>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</si>
  <si>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</si>
  <si>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</si>
  <si>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</si>
  <si>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</si>
  <si>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</si>
  <si>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</si>
  <si>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</si>
  <si>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</si>
  <si>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</si>
  <si>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</si>
  <si>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</si>
  <si>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</si>
  <si>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</si>
  <si>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</si>
  <si>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</si>
  <si>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</si>
  <si>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</si>
  <si>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</si>
  <si>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</si>
  <si>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</si>
  <si>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</si>
  <si>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</si>
  <si>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</si>
  <si>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</si>
  <si>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</si>
  <si>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</si>
  <si>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</si>
  <si>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</si>
  <si>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</si>
  <si>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</si>
  <si>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</si>
  <si>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</si>
  <si>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</si>
  <si>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</si>
  <si>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</si>
  <si>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</si>
  <si>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</si>
  <si>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</si>
  <si>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</si>
  <si>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</si>
  <si>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</si>
  <si>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</si>
  <si>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</si>
  <si>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</si>
  <si>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</si>
  <si>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</si>
  <si>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</si>
  <si>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</si>
  <si>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</si>
  <si>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원 /평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</si>
  <si>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</si>
  <si>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</si>
  <si>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</si>
  <si>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</si>
  <si>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</si>
  <si>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</si>
  <si>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</si>
  <si>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</si>
  <si>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</si>
  <si>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</si>
  <si>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</si>
  <si>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</si>
  <si>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구미 지식산업센터 건립공사</t>
    <phoneticPr fontId="2" type="noConversion"/>
  </si>
  <si>
    <t>공장</t>
  </si>
  <si>
    <t>경상도</t>
  </si>
  <si>
    <t>해체및철거공사,골재비및운반비,작업부산물,품질시험비,기타공사</t>
    <phoneticPr fontId="2" type="noConversion"/>
  </si>
  <si>
    <t>(지붕및홈통공사 포함)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</si>
  <si>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</si>
  <si>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</si>
  <si>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우수처리시설공사,기타공사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</si>
  <si>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</si>
  <si>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</si>
  <si>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CCTV설비공사,주차관제설비공사,기타공사</t>
    <phoneticPr fontId="2" type="noConversion"/>
  </si>
  <si>
    <t>옥외소화배관공사,펌프실배관공사,제연덕트설치공사,무선통신보조설비공사,기타공사</t>
    <phoneticPr fontId="2" type="noConversion"/>
  </si>
  <si>
    <t>우수공사,오수공사</t>
    <phoneticPr fontId="2" type="noConversion"/>
  </si>
  <si>
    <t>사급자재비,운반비,기타공사</t>
    <phoneticPr fontId="2" type="noConversion"/>
  </si>
  <si>
    <t>포장공사,기타공사</t>
    <phoneticPr fontId="2" type="noConversion"/>
  </si>
  <si>
    <t>조경시설물</t>
    <phoneticPr fontId="2" type="noConversion"/>
  </si>
  <si>
    <t>건축</t>
    <phoneticPr fontId="2" type="noConversion"/>
  </si>
  <si>
    <t>항 목</t>
    <phoneticPr fontId="2" type="noConversion"/>
  </si>
  <si>
    <t>원/ m2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</si>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</sst>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8" t="s">
        <v>156</v>
      </c>
      <c r="B2" s="71" t="s">
        <v>0</v>
      </c>
      <c r="C2" s="72"/>
      <c r="D2" s="71" t="s">
        <v>1</v>
      </c>
      <c r="E2" s="72"/>
      <c r="F2" s="71" t="s">
        <v>157</v>
      </c>
      <c r="G2" s="72"/>
      <c r="H2" s="71" t="s">
        <v>2</v>
      </c>
      <c r="I2" s="72"/>
      <c r="J2" s="71" t="s">
        <v>3</v>
      </c>
      <c r="K2" s="72"/>
      <c r="L2" s="71" t="s">
        <v>158</v>
      </c>
      <c r="M2" s="72"/>
      <c r="N2" s="71" t="s">
        <v>159</v>
      </c>
      <c r="O2" s="72"/>
      <c r="P2" s="71" t="s">
        <v>5</v>
      </c>
      <c r="Q2" s="72"/>
      <c r="R2" s="65" t="s">
        <v>94</v>
      </c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7"/>
    </row>
    <row r="3" spans="1:33" x14ac:dyDescent="0.3">
      <c r="A3" s="69"/>
      <c r="B3" s="73"/>
      <c r="C3" s="74"/>
      <c r="D3" s="73"/>
      <c r="E3" s="74"/>
      <c r="F3" s="73"/>
      <c r="G3" s="74"/>
      <c r="H3" s="73"/>
      <c r="I3" s="74"/>
      <c r="J3" s="73"/>
      <c r="K3" s="74"/>
      <c r="L3" s="73"/>
      <c r="M3" s="74"/>
      <c r="N3" s="73"/>
      <c r="O3" s="74"/>
      <c r="P3" s="73"/>
      <c r="Q3" s="74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0"/>
      <c r="B4" s="75"/>
      <c r="C4" s="76"/>
      <c r="D4" s="75"/>
      <c r="E4" s="76"/>
      <c r="F4" s="75"/>
      <c r="G4" s="76"/>
      <c r="H4" s="75"/>
      <c r="I4" s="76"/>
      <c r="J4" s="75"/>
      <c r="K4" s="76"/>
      <c r="L4" s="75"/>
      <c r="M4" s="76"/>
      <c r="N4" s="75"/>
      <c r="O4" s="76"/>
      <c r="P4" s="75"/>
      <c r="Q4" s="76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268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250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237</v>
      </c>
    </row>
    <row r="7" spans="1:4" ht="17.25" thickBot="1" x14ac:dyDescent="0.35">
      <c r="C7" s="37">
        <v>18820.29</v>
      </c>
      <c r="D7" s="36">
        <f>+C7/3.3058</f>
        <v>5693.1121059955231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251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269</v>
      </c>
    </row>
    <row r="19" spans="1:5" x14ac:dyDescent="0.3">
      <c r="A19" s="2">
        <v>9</v>
      </c>
      <c r="B19" s="2" t="s">
        <v>270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734230</v>
      </c>
      <c r="E25" s="59">
        <f>TRUNC(+D25*3.3058,-1)</f>
        <v>2427210</v>
      </c>
    </row>
    <row r="26" spans="1:5" x14ac:dyDescent="0.3">
      <c r="B26" s="2">
        <v>3</v>
      </c>
      <c r="C26" s="35" t="s">
        <v>95</v>
      </c>
      <c r="D26" s="45">
        <f>+D66</f>
        <v>33660</v>
      </c>
      <c r="E26" s="59">
        <f t="shared" si="0"/>
        <v>111270</v>
      </c>
    </row>
    <row r="27" spans="1:5" x14ac:dyDescent="0.3">
      <c r="B27" s="2">
        <v>4</v>
      </c>
      <c r="C27" s="35" t="s">
        <v>96</v>
      </c>
      <c r="D27" s="45">
        <f>+D95</f>
        <v>211270</v>
      </c>
      <c r="E27" s="59">
        <f t="shared" si="0"/>
        <v>698410</v>
      </c>
    </row>
    <row r="28" spans="1:5" x14ac:dyDescent="0.3">
      <c r="B28" s="2">
        <v>5</v>
      </c>
      <c r="C28" s="35" t="s">
        <v>97</v>
      </c>
      <c r="D28" s="45">
        <f>+D119</f>
        <v>126600</v>
      </c>
      <c r="E28" s="59">
        <f t="shared" si="0"/>
        <v>418510</v>
      </c>
    </row>
    <row r="29" spans="1:5" x14ac:dyDescent="0.3">
      <c r="B29" s="2">
        <v>6</v>
      </c>
      <c r="C29" s="35" t="s">
        <v>98</v>
      </c>
      <c r="D29" s="45">
        <f>+D133</f>
        <v>47180</v>
      </c>
      <c r="E29" s="59">
        <f t="shared" si="0"/>
        <v>155960</v>
      </c>
    </row>
    <row r="30" spans="1:5" x14ac:dyDescent="0.3">
      <c r="B30" s="2">
        <v>7</v>
      </c>
      <c r="C30" s="35" t="s">
        <v>99</v>
      </c>
      <c r="D30" s="45">
        <f>+D146</f>
        <v>49530</v>
      </c>
      <c r="E30" s="59">
        <f t="shared" si="0"/>
        <v>163730</v>
      </c>
    </row>
    <row r="31" spans="1:5" x14ac:dyDescent="0.3">
      <c r="B31" s="2">
        <v>8</v>
      </c>
      <c r="C31" s="35" t="s">
        <v>100</v>
      </c>
      <c r="D31" s="45">
        <f>+D154</f>
        <v>19840</v>
      </c>
      <c r="E31" s="59">
        <f>TRUNC(+D31*3.3058,-1)</f>
        <v>65580</v>
      </c>
    </row>
    <row r="32" spans="1:5" x14ac:dyDescent="0.3">
      <c r="B32" s="2">
        <v>9</v>
      </c>
      <c r="C32" s="35" t="s">
        <v>101</v>
      </c>
      <c r="D32" s="45">
        <f>+D161</f>
        <v>18500</v>
      </c>
      <c r="E32" s="59">
        <f t="shared" si="0"/>
        <v>61150</v>
      </c>
    </row>
    <row r="33" spans="1:7" x14ac:dyDescent="0.3">
      <c r="B33" s="2">
        <v>10</v>
      </c>
      <c r="C33" s="35" t="s">
        <v>154</v>
      </c>
      <c r="D33" s="53">
        <f>TRUNC(SUM(D24:D32)*0.275,-1)</f>
        <v>341220</v>
      </c>
      <c r="E33" s="60">
        <f t="shared" si="0"/>
        <v>1128000</v>
      </c>
    </row>
    <row r="34" spans="1:7" x14ac:dyDescent="0.3">
      <c r="C34" s="35" t="s">
        <v>112</v>
      </c>
      <c r="D34" s="44">
        <f>SUM(D24:D33)</f>
        <v>1582030</v>
      </c>
      <c r="E34" s="44">
        <f>SUM(E24:E33)</f>
        <v>5229820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265</v>
      </c>
      <c r="C39" s="56" t="s">
        <v>266</v>
      </c>
      <c r="D39" s="57" t="s">
        <v>267</v>
      </c>
      <c r="E39" s="57" t="s">
        <v>236</v>
      </c>
      <c r="G39" s="55"/>
    </row>
    <row r="40" spans="1:7" x14ac:dyDescent="0.3">
      <c r="A40" s="2">
        <v>1</v>
      </c>
      <c r="C40" s="38" t="s">
        <v>15</v>
      </c>
      <c r="D40" s="40">
        <f>TRUNC(73930,-1)</f>
        <v>73930</v>
      </c>
      <c r="E40" s="62">
        <f t="shared" ref="E40:E59" si="1">TRUNC(+D40*3.3058,-1)</f>
        <v>244390</v>
      </c>
    </row>
    <row r="41" spans="1:7" x14ac:dyDescent="0.3">
      <c r="A41" s="2">
        <v>2</v>
      </c>
      <c r="C41" s="38" t="s">
        <v>13</v>
      </c>
      <c r="D41" s="42">
        <f>TRUNC(143922,-1)</f>
        <v>143920</v>
      </c>
      <c r="E41" s="63">
        <f t="shared" si="1"/>
        <v>475770</v>
      </c>
    </row>
    <row r="42" spans="1:7" x14ac:dyDescent="0.3">
      <c r="A42" s="2">
        <v>3</v>
      </c>
      <c r="C42" s="38" t="s">
        <v>14</v>
      </c>
      <c r="D42" s="42">
        <f>TRUNC(5530,-1)</f>
        <v>5530</v>
      </c>
      <c r="E42" s="63">
        <f t="shared" si="1"/>
        <v>18280</v>
      </c>
    </row>
    <row r="43" spans="1:7" x14ac:dyDescent="0.3">
      <c r="A43" s="2">
        <v>4</v>
      </c>
      <c r="C43" s="38" t="s">
        <v>16</v>
      </c>
      <c r="D43" s="42">
        <f>TRUNC(10660,-1)</f>
        <v>10660</v>
      </c>
      <c r="E43" s="63">
        <f t="shared" si="1"/>
        <v>35230</v>
      </c>
    </row>
    <row r="44" spans="1:7" x14ac:dyDescent="0.3">
      <c r="A44" s="2">
        <v>5</v>
      </c>
      <c r="C44" s="38" t="s">
        <v>17</v>
      </c>
      <c r="D44" s="42">
        <f>TRUNC(10075,-1)</f>
        <v>10070</v>
      </c>
      <c r="E44" s="63">
        <f t="shared" si="1"/>
        <v>33280</v>
      </c>
    </row>
    <row r="45" spans="1:7" x14ac:dyDescent="0.3">
      <c r="A45" s="2">
        <v>6</v>
      </c>
      <c r="C45" s="38" t="s">
        <v>18</v>
      </c>
      <c r="D45" s="42">
        <f>TRUNC(7283,-1)</f>
        <v>7280</v>
      </c>
      <c r="E45" s="63">
        <f t="shared" si="1"/>
        <v>24060</v>
      </c>
    </row>
    <row r="46" spans="1:7" x14ac:dyDescent="0.3">
      <c r="A46" s="2">
        <v>7</v>
      </c>
      <c r="C46" s="38" t="s">
        <v>19</v>
      </c>
      <c r="D46" s="42">
        <f>TRUNC(19950,-1)</f>
        <v>19950</v>
      </c>
      <c r="E46" s="63">
        <f t="shared" si="1"/>
        <v>65950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TRUNC(85713,-1)</f>
        <v>85710</v>
      </c>
      <c r="E48" s="63">
        <f t="shared" si="1"/>
        <v>283340</v>
      </c>
      <c r="F48" s="2" t="s">
        <v>253</v>
      </c>
    </row>
    <row r="49" spans="1:7" x14ac:dyDescent="0.3">
      <c r="A49" s="2">
        <v>10</v>
      </c>
      <c r="C49" s="38" t="s">
        <v>22</v>
      </c>
      <c r="D49" s="42">
        <f>TRUNC(18203,-1)</f>
        <v>18200</v>
      </c>
      <c r="E49" s="63">
        <f t="shared" si="1"/>
        <v>60160</v>
      </c>
    </row>
    <row r="50" spans="1:7" x14ac:dyDescent="0.3">
      <c r="A50" s="2">
        <v>11</v>
      </c>
      <c r="C50" s="38" t="s">
        <v>155</v>
      </c>
      <c r="D50" s="42">
        <f>TRUNC(43005,-1)</f>
        <v>43000</v>
      </c>
      <c r="E50" s="63">
        <f t="shared" si="1"/>
        <v>142140</v>
      </c>
      <c r="F50" s="2" t="s">
        <v>254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TRUNC(12234,-1)</f>
        <v>12230</v>
      </c>
      <c r="E52" s="63">
        <f t="shared" si="1"/>
        <v>40420</v>
      </c>
    </row>
    <row r="53" spans="1:7" x14ac:dyDescent="0.3">
      <c r="A53" s="2">
        <v>14</v>
      </c>
      <c r="C53" s="38" t="s">
        <v>25</v>
      </c>
      <c r="D53" s="42">
        <f>TRUNC(70795,-1)</f>
        <v>70790</v>
      </c>
      <c r="E53" s="63">
        <f t="shared" si="1"/>
        <v>234010</v>
      </c>
      <c r="F53" s="2" t="s">
        <v>255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TRUNC(1215+6897-663+1648+4404,-1)</f>
        <v>13500</v>
      </c>
      <c r="E58" s="63">
        <f t="shared" si="1"/>
        <v>44620</v>
      </c>
      <c r="F58" s="2" t="s">
        <v>252</v>
      </c>
    </row>
    <row r="59" spans="1:7" ht="17.25" thickBot="1" x14ac:dyDescent="0.35">
      <c r="A59" s="2">
        <v>20</v>
      </c>
      <c r="C59" s="38" t="s">
        <v>148</v>
      </c>
      <c r="D59" s="43">
        <f>TRUNC(219469,-1)</f>
        <v>219460</v>
      </c>
      <c r="E59" s="64">
        <f t="shared" si="1"/>
        <v>725490</v>
      </c>
    </row>
    <row r="60" spans="1:7" x14ac:dyDescent="0.3">
      <c r="A60" s="2">
        <v>21</v>
      </c>
      <c r="C60" s="27" t="s">
        <v>112</v>
      </c>
      <c r="D60" s="39">
        <f>SUM(D40:D59)</f>
        <v>734230</v>
      </c>
      <c r="E60" s="39">
        <f>SUM(E40:E59)</f>
        <v>2427140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TRUNC(11678,-1)</f>
        <v>11670</v>
      </c>
      <c r="E63" s="62">
        <f>TRUNC(+D63*3.3058,-1)</f>
        <v>38570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TRUNC(21996,-1)</f>
        <v>21990</v>
      </c>
      <c r="E65" s="64">
        <f>TRUNC(+D65*3.3058,-1)</f>
        <v>72690</v>
      </c>
    </row>
    <row r="66" spans="1:7" x14ac:dyDescent="0.3">
      <c r="A66" s="2">
        <v>4</v>
      </c>
      <c r="C66" s="27" t="s">
        <v>112</v>
      </c>
      <c r="D66" s="39">
        <f>SUM(D63:D65)</f>
        <v>33660</v>
      </c>
      <c r="E66" s="39">
        <f>SUM(E63:E65)</f>
        <v>111260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TRUNC(4554,-1)</f>
        <v>4550</v>
      </c>
      <c r="E69" s="62">
        <f t="shared" ref="E69:E94" si="2">TRUNC(+D69*3.3058,-1)</f>
        <v>15040</v>
      </c>
    </row>
    <row r="70" spans="1:7" ht="16.5" customHeight="1" x14ac:dyDescent="0.3">
      <c r="A70" s="2">
        <v>2</v>
      </c>
      <c r="C70" s="38" t="s">
        <v>31</v>
      </c>
      <c r="D70" s="42">
        <f>TRUNC(283,-1)</f>
        <v>280</v>
      </c>
      <c r="E70" s="63">
        <f t="shared" si="2"/>
        <v>920</v>
      </c>
    </row>
    <row r="71" spans="1:7" x14ac:dyDescent="0.3">
      <c r="A71" s="2">
        <v>3</v>
      </c>
      <c r="C71" s="38" t="s">
        <v>32</v>
      </c>
      <c r="D71" s="42">
        <f>TRUNC(3111,-1)</f>
        <v>3110</v>
      </c>
      <c r="E71" s="63">
        <f t="shared" si="2"/>
        <v>10280</v>
      </c>
    </row>
    <row r="72" spans="1:7" x14ac:dyDescent="0.3">
      <c r="A72" s="2">
        <v>4</v>
      </c>
      <c r="C72" s="38" t="s">
        <v>33</v>
      </c>
      <c r="D72" s="42">
        <f>TRUNC(1529,-1)</f>
        <v>1520</v>
      </c>
      <c r="E72" s="63">
        <f t="shared" si="2"/>
        <v>5020</v>
      </c>
    </row>
    <row r="73" spans="1:7" x14ac:dyDescent="0.3">
      <c r="A73" s="2">
        <v>5</v>
      </c>
      <c r="C73" s="38" t="s">
        <v>34</v>
      </c>
      <c r="D73" s="42">
        <f>TRUNC(16035,-1)</f>
        <v>16030</v>
      </c>
      <c r="E73" s="63">
        <f t="shared" si="2"/>
        <v>52990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TRUNC(287,-1)</f>
        <v>280</v>
      </c>
      <c r="E75" s="63">
        <f t="shared" si="2"/>
        <v>920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f>TRUNC(90,-1)</f>
        <v>90</v>
      </c>
      <c r="E84" s="63">
        <f t="shared" si="2"/>
        <v>290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f>TRUNC(1743,-1)</f>
        <v>1740</v>
      </c>
      <c r="E90" s="63">
        <f t="shared" si="2"/>
        <v>5750</v>
      </c>
    </row>
    <row r="91" spans="1:7" x14ac:dyDescent="0.3">
      <c r="A91" s="2">
        <v>23</v>
      </c>
      <c r="C91" s="38" t="s">
        <v>37</v>
      </c>
      <c r="D91" s="42">
        <f>TRUNC(11214,-1)</f>
        <v>11210</v>
      </c>
      <c r="E91" s="63">
        <f t="shared" si="2"/>
        <v>37050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f>TRUNC(169823,-1)</f>
        <v>169820</v>
      </c>
      <c r="E93" s="63">
        <f t="shared" si="2"/>
        <v>561390</v>
      </c>
    </row>
    <row r="94" spans="1:7" ht="17.25" thickBot="1" x14ac:dyDescent="0.35">
      <c r="A94" s="2">
        <v>26</v>
      </c>
      <c r="C94" s="38" t="s">
        <v>47</v>
      </c>
      <c r="D94" s="43">
        <f>TRUNC(1400+1240,-1)</f>
        <v>2640</v>
      </c>
      <c r="E94" s="64">
        <f t="shared" si="2"/>
        <v>8720</v>
      </c>
      <c r="F94" s="2" t="s">
        <v>256</v>
      </c>
    </row>
    <row r="95" spans="1:7" x14ac:dyDescent="0.3">
      <c r="A95" s="2">
        <v>27</v>
      </c>
      <c r="C95" s="27" t="s">
        <v>112</v>
      </c>
      <c r="D95" s="39">
        <f>SUM(D69:D94)</f>
        <v>211270</v>
      </c>
      <c r="E95" s="39">
        <f>SUM(E69:E94)</f>
        <v>698370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TRUNC(13379,-1)</f>
        <v>13370</v>
      </c>
      <c r="E98" s="62">
        <f>TRUNC(+D98*3.3058,-1)</f>
        <v>44190</v>
      </c>
    </row>
    <row r="99" spans="1:7" x14ac:dyDescent="0.3">
      <c r="A99" s="2">
        <v>2</v>
      </c>
      <c r="C99" s="38" t="s">
        <v>40</v>
      </c>
      <c r="D99" s="42">
        <f>TRUNC(4290,-1)</f>
        <v>4290</v>
      </c>
      <c r="E99" s="63">
        <f t="shared" ref="E99:E118" si="3">TRUNC(+D99*3.3058,-1)</f>
        <v>14180</v>
      </c>
    </row>
    <row r="100" spans="1:7" x14ac:dyDescent="0.3">
      <c r="A100" s="2">
        <v>3</v>
      </c>
      <c r="C100" s="38" t="s">
        <v>41</v>
      </c>
      <c r="D100" s="42">
        <v>0</v>
      </c>
      <c r="E100" s="63">
        <f t="shared" si="3"/>
        <v>0</v>
      </c>
    </row>
    <row r="101" spans="1:7" x14ac:dyDescent="0.3">
      <c r="A101" s="2">
        <v>4</v>
      </c>
      <c r="C101" s="38" t="s">
        <v>42</v>
      </c>
      <c r="D101" s="42">
        <f>TRUNC(944,-1)</f>
        <v>940</v>
      </c>
      <c r="E101" s="63">
        <f t="shared" si="3"/>
        <v>3100</v>
      </c>
    </row>
    <row r="102" spans="1:7" x14ac:dyDescent="0.3">
      <c r="A102" s="2">
        <v>5</v>
      </c>
      <c r="C102" s="38" t="s">
        <v>43</v>
      </c>
      <c r="D102" s="42">
        <f>TRUNC(7709,-1)</f>
        <v>7700</v>
      </c>
      <c r="E102" s="63">
        <f t="shared" si="3"/>
        <v>25450</v>
      </c>
    </row>
    <row r="103" spans="1:7" x14ac:dyDescent="0.3">
      <c r="A103" s="2">
        <v>6</v>
      </c>
      <c r="C103" s="38" t="s">
        <v>44</v>
      </c>
      <c r="D103" s="42">
        <f>TRUNC(2944,-1)</f>
        <v>2940</v>
      </c>
      <c r="E103" s="63">
        <f t="shared" si="3"/>
        <v>9710</v>
      </c>
    </row>
    <row r="104" spans="1:7" x14ac:dyDescent="0.3">
      <c r="A104" s="2">
        <v>7</v>
      </c>
      <c r="C104" s="38" t="s">
        <v>45</v>
      </c>
      <c r="D104" s="42">
        <f>TRUNC(1631,-1)</f>
        <v>1630</v>
      </c>
      <c r="E104" s="63">
        <f t="shared" si="3"/>
        <v>5380</v>
      </c>
    </row>
    <row r="105" spans="1:7" x14ac:dyDescent="0.3">
      <c r="A105" s="2">
        <v>8</v>
      </c>
      <c r="C105" s="38" t="s">
        <v>46</v>
      </c>
      <c r="D105" s="42">
        <f>TRUNC(5844,-1)</f>
        <v>5840</v>
      </c>
      <c r="E105" s="63">
        <f t="shared" si="3"/>
        <v>19300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TRUNC(25791,-1)</f>
        <v>25790</v>
      </c>
      <c r="E114" s="63">
        <f t="shared" si="3"/>
        <v>85250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TRUNC(1804,-1)</f>
        <v>1800</v>
      </c>
      <c r="E116" s="63">
        <f t="shared" si="3"/>
        <v>5950</v>
      </c>
      <c r="F116" s="2" t="s">
        <v>257</v>
      </c>
    </row>
    <row r="117" spans="1:7" x14ac:dyDescent="0.3">
      <c r="A117" s="2">
        <v>20</v>
      </c>
      <c r="C117" s="38" t="s">
        <v>148</v>
      </c>
      <c r="D117" s="42">
        <f>TRUNC(61622,-1)</f>
        <v>61620</v>
      </c>
      <c r="E117" s="63">
        <f t="shared" si="3"/>
        <v>203700</v>
      </c>
    </row>
    <row r="118" spans="1:7" ht="17.25" thickBot="1" x14ac:dyDescent="0.35">
      <c r="A118" s="2">
        <v>21</v>
      </c>
      <c r="C118" s="38" t="s">
        <v>47</v>
      </c>
      <c r="D118" s="43">
        <f>TRUNC(680,-1)</f>
        <v>680</v>
      </c>
      <c r="E118" s="64">
        <f t="shared" si="3"/>
        <v>2240</v>
      </c>
    </row>
    <row r="119" spans="1:7" x14ac:dyDescent="0.3">
      <c r="A119" s="2">
        <v>22</v>
      </c>
      <c r="C119" s="27" t="s">
        <v>112</v>
      </c>
      <c r="D119" s="39">
        <f>SUM(D98:D118)</f>
        <v>126600</v>
      </c>
      <c r="E119" s="39">
        <f>SUM(E98:E118)</f>
        <v>418450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TRUNC(1735,-1)</f>
        <v>1730</v>
      </c>
      <c r="E122" s="62">
        <f>TRUNC(+D122*3.3058,-1)</f>
        <v>5710</v>
      </c>
      <c r="F122" s="2" t="s">
        <v>258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ref="E123:E132" si="4">TRUNC(+D123*3.3058,-1)</f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TRUNC(4480,-1)</f>
        <v>4480</v>
      </c>
      <c r="E125" s="63">
        <f t="shared" si="4"/>
        <v>14800</v>
      </c>
    </row>
    <row r="126" spans="1:7" x14ac:dyDescent="0.3">
      <c r="A126" s="2">
        <v>5</v>
      </c>
      <c r="C126" s="38" t="s">
        <v>53</v>
      </c>
      <c r="D126" s="42">
        <f>TRUNC(13686,-1)</f>
        <v>13680</v>
      </c>
      <c r="E126" s="63">
        <f t="shared" si="4"/>
        <v>45220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TRUNC(3174,-1)</f>
        <v>3170</v>
      </c>
      <c r="E128" s="63">
        <f t="shared" si="4"/>
        <v>10470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f>TRUNC(23100,-1)</f>
        <v>23100</v>
      </c>
      <c r="E131" s="63">
        <f t="shared" si="4"/>
        <v>76360</v>
      </c>
    </row>
    <row r="132" spans="1:7" ht="18" thickBot="1" x14ac:dyDescent="0.35">
      <c r="A132" s="2">
        <v>11</v>
      </c>
      <c r="C132" s="38" t="s">
        <v>47</v>
      </c>
      <c r="D132" s="43">
        <f>TRUNC(501 +406+122,-1)</f>
        <v>1020</v>
      </c>
      <c r="E132" s="64">
        <f t="shared" si="4"/>
        <v>3370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47180</v>
      </c>
      <c r="E133" s="39">
        <f>SUM(E122:E132)</f>
        <v>155930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>TRUNC(+D136*3.3058,-1)</f>
        <v>0</v>
      </c>
    </row>
    <row r="137" spans="1:7" x14ac:dyDescent="0.3">
      <c r="A137" s="2">
        <v>2</v>
      </c>
      <c r="C137" s="38" t="s">
        <v>47</v>
      </c>
      <c r="D137" s="42">
        <f>TRUNC(135+2139+2976+1157+636,-1)</f>
        <v>7040</v>
      </c>
      <c r="E137" s="63">
        <f t="shared" ref="E137:E145" si="5">TRUNC(+D137*3.3058,-1)</f>
        <v>23270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TRUNC(1285,-1)</f>
        <v>1280</v>
      </c>
      <c r="E139" s="63">
        <f t="shared" si="5"/>
        <v>4230</v>
      </c>
    </row>
    <row r="140" spans="1:7" x14ac:dyDescent="0.3">
      <c r="A140" s="2">
        <v>5</v>
      </c>
      <c r="C140" s="38" t="s">
        <v>57</v>
      </c>
      <c r="D140" s="42">
        <f>TRUNC(412,-1)</f>
        <v>410</v>
      </c>
      <c r="E140" s="63">
        <f t="shared" si="5"/>
        <v>1350</v>
      </c>
    </row>
    <row r="141" spans="1:7" x14ac:dyDescent="0.3">
      <c r="A141" s="2">
        <v>6</v>
      </c>
      <c r="C141" s="38" t="s">
        <v>59</v>
      </c>
      <c r="D141" s="42">
        <f>TRUNC(17821,-1)</f>
        <v>17820</v>
      </c>
      <c r="E141" s="63">
        <f t="shared" si="5"/>
        <v>58900</v>
      </c>
    </row>
    <row r="142" spans="1:7" x14ac:dyDescent="0.3">
      <c r="A142" s="2">
        <v>7</v>
      </c>
      <c r="C142" s="38" t="s">
        <v>58</v>
      </c>
      <c r="D142" s="42">
        <f>TRUNC(4155,-1)</f>
        <v>4150</v>
      </c>
      <c r="E142" s="63">
        <f t="shared" si="5"/>
        <v>13710</v>
      </c>
    </row>
    <row r="143" spans="1:7" x14ac:dyDescent="0.3">
      <c r="A143" s="2">
        <v>8</v>
      </c>
      <c r="C143" s="38" t="s">
        <v>62</v>
      </c>
      <c r="D143" s="42">
        <f>TRUNC(2691,-1)</f>
        <v>2690</v>
      </c>
      <c r="E143" s="63">
        <f t="shared" si="5"/>
        <v>8890</v>
      </c>
    </row>
    <row r="144" spans="1:7" x14ac:dyDescent="0.3">
      <c r="A144" s="2">
        <v>9</v>
      </c>
      <c r="C144" s="38" t="s">
        <v>63</v>
      </c>
      <c r="D144" s="42">
        <f>TRUNC(13008,-1)</f>
        <v>13000</v>
      </c>
      <c r="E144" s="63">
        <f t="shared" si="5"/>
        <v>42970</v>
      </c>
    </row>
    <row r="145" spans="1:7" ht="17.25" thickBot="1" x14ac:dyDescent="0.35">
      <c r="A145" s="2">
        <v>10</v>
      </c>
      <c r="C145" s="38" t="s">
        <v>148</v>
      </c>
      <c r="D145" s="43">
        <f>TRUNC(3145,-1)</f>
        <v>3140</v>
      </c>
      <c r="E145" s="64">
        <f t="shared" si="5"/>
        <v>10380</v>
      </c>
    </row>
    <row r="146" spans="1:7" x14ac:dyDescent="0.3">
      <c r="A146" s="2">
        <v>11</v>
      </c>
      <c r="C146" s="27" t="s">
        <v>112</v>
      </c>
      <c r="D146" s="39">
        <f>SUM(D136:D145)</f>
        <v>49530</v>
      </c>
      <c r="E146" s="39">
        <f>SUM(E136:E145)</f>
        <v>163700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TRUNC(2184+557,-1)</f>
        <v>2740</v>
      </c>
      <c r="E149" s="62">
        <f>TRUNC(+D149*3.3058,-1)</f>
        <v>9050</v>
      </c>
      <c r="F149" s="2" t="s">
        <v>261</v>
      </c>
    </row>
    <row r="150" spans="1:7" x14ac:dyDescent="0.3">
      <c r="A150" s="2">
        <v>2</v>
      </c>
      <c r="C150" s="38" t="s">
        <v>49</v>
      </c>
      <c r="D150" s="42">
        <f>TRUNC(1074,-1)</f>
        <v>1070</v>
      </c>
      <c r="E150" s="63">
        <f>TRUNC(+D150*3.3058,-1)</f>
        <v>3530</v>
      </c>
    </row>
    <row r="151" spans="1:7" x14ac:dyDescent="0.3">
      <c r="A151" s="2">
        <v>3</v>
      </c>
      <c r="C151" s="38" t="s">
        <v>50</v>
      </c>
      <c r="D151" s="42">
        <f>TRUNC(1964,-1)</f>
        <v>1960</v>
      </c>
      <c r="E151" s="63">
        <f>TRUNC(+D151*3.3058,-1)</f>
        <v>6470</v>
      </c>
    </row>
    <row r="152" spans="1:7" x14ac:dyDescent="0.3">
      <c r="A152" s="2">
        <v>4</v>
      </c>
      <c r="C152" s="38" t="s">
        <v>47</v>
      </c>
      <c r="D152" s="42">
        <f>TRUNC(2240+414+174,-1)</f>
        <v>2820</v>
      </c>
      <c r="E152" s="63">
        <f>TRUNC(+D152*3.3058,-1)</f>
        <v>9320</v>
      </c>
      <c r="F152" s="2" t="s">
        <v>262</v>
      </c>
    </row>
    <row r="153" spans="1:7" ht="17.25" thickBot="1" x14ac:dyDescent="0.35">
      <c r="A153" s="2">
        <v>5</v>
      </c>
      <c r="C153" s="38" t="s">
        <v>148</v>
      </c>
      <c r="D153" s="43">
        <f>TRUNC(11255,-1)</f>
        <v>11250</v>
      </c>
      <c r="E153" s="64">
        <f>TRUNC(+D153*3.3058,-1)</f>
        <v>37190</v>
      </c>
    </row>
    <row r="154" spans="1:7" x14ac:dyDescent="0.3">
      <c r="A154" s="2">
        <v>6</v>
      </c>
      <c r="C154" s="27" t="s">
        <v>112</v>
      </c>
      <c r="D154" s="39">
        <f>SUM(D149:D153)</f>
        <v>19840</v>
      </c>
      <c r="E154" s="39">
        <f>SUM(E149:E153)</f>
        <v>65560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TRUNC(10508,-1)</f>
        <v>10500</v>
      </c>
      <c r="E157" s="62">
        <f>TRUNC(+D157*3.3058,-1)</f>
        <v>34710</v>
      </c>
    </row>
    <row r="158" spans="1:7" x14ac:dyDescent="0.3">
      <c r="A158" s="2">
        <v>2</v>
      </c>
      <c r="C158" s="38" t="s">
        <v>52</v>
      </c>
      <c r="D158" s="42">
        <f>TRUNC(2191,-1)</f>
        <v>2190</v>
      </c>
      <c r="E158" s="63">
        <f>TRUNC(+D158*3.3058,-1)</f>
        <v>7230</v>
      </c>
      <c r="F158" s="2" t="s">
        <v>264</v>
      </c>
    </row>
    <row r="159" spans="1:7" x14ac:dyDescent="0.3">
      <c r="A159" s="2">
        <v>3</v>
      </c>
      <c r="C159" s="38" t="s">
        <v>47</v>
      </c>
      <c r="D159" s="42">
        <f>TRUNC(4250+1563,-1)</f>
        <v>5810</v>
      </c>
      <c r="E159" s="63">
        <f>TRUNC(+D159*3.3058,-1)</f>
        <v>19200</v>
      </c>
      <c r="F159" s="2" t="s">
        <v>263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18500</v>
      </c>
      <c r="E161" s="39">
        <f>SUM(E157:E160)</f>
        <v>61140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2020-12-08T02:06:43Z</dcterms:modified>
</cp:coreProperties>
</file>