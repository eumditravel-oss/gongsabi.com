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1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7" i="4"/>
  <c r="E126" i="4"/>
  <c r="E124" i="4"/>
  <c r="E123" i="4"/>
  <c r="E116" i="4"/>
  <c r="E113" i="4"/>
  <c r="E112" i="4"/>
  <c r="E111" i="4"/>
  <c r="E110" i="4"/>
  <c r="E109" i="4"/>
  <c r="E108" i="4"/>
  <c r="E107" i="4"/>
  <c r="E106" i="4"/>
  <c r="E103" i="4"/>
  <c r="E101" i="4"/>
  <c r="E93" i="4"/>
  <c r="E92" i="4"/>
  <c r="E90" i="4"/>
  <c r="E89" i="4"/>
  <c r="E88" i="4"/>
  <c r="E87" i="4"/>
  <c r="E86" i="4"/>
  <c r="E85" i="4"/>
  <c r="E83" i="4"/>
  <c r="E82" i="4"/>
  <c r="E80" i="4"/>
  <c r="E79" i="4"/>
  <c r="E78" i="4"/>
  <c r="E77" i="4"/>
  <c r="E76" i="4"/>
  <c r="E75" i="4"/>
  <c r="E74" i="4"/>
  <c r="E73" i="4"/>
  <c r="E64" i="4"/>
  <c r="E57" i="4"/>
  <c r="E56" i="4"/>
  <c r="E54" i="4"/>
  <c r="E146" i="4" l="1"/>
  <c r="D118" i="4"/>
  <c r="E118" i="4" s="1"/>
  <c r="D94" i="4"/>
  <c r="E94" i="4" s="1"/>
  <c r="D84" i="4"/>
  <c r="E84" i="4" s="1"/>
  <c r="D161" i="4" l="1"/>
  <c r="D152" i="4"/>
  <c r="D150" i="4"/>
  <c r="E150" i="4" s="1"/>
  <c r="D146" i="4"/>
  <c r="D30" i="4" s="1"/>
  <c r="E30" i="4" s="1"/>
  <c r="D132" i="4"/>
  <c r="E132" i="4" s="1"/>
  <c r="D131" i="4"/>
  <c r="E131" i="4" s="1"/>
  <c r="D130" i="4"/>
  <c r="E130" i="4" s="1"/>
  <c r="D128" i="4"/>
  <c r="E128" i="4" s="1"/>
  <c r="D125" i="4"/>
  <c r="D122" i="4"/>
  <c r="E122" i="4" s="1"/>
  <c r="D117" i="4"/>
  <c r="E117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D91" i="4"/>
  <c r="E91" i="4" s="1"/>
  <c r="D81" i="4"/>
  <c r="E81" i="4" s="1"/>
  <c r="D72" i="4"/>
  <c r="E72" i="4" s="1"/>
  <c r="D71" i="4"/>
  <c r="E71" i="4" s="1"/>
  <c r="D70" i="4"/>
  <c r="E70" i="4" s="1"/>
  <c r="D69" i="4"/>
  <c r="D65" i="4"/>
  <c r="E65" i="4" s="1"/>
  <c r="D63" i="4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7" i="4"/>
  <c r="D32" i="4"/>
  <c r="E32" i="4" s="1"/>
  <c r="D7" i="4"/>
  <c r="D60" i="4" l="1"/>
  <c r="D25" i="4" s="1"/>
  <c r="E25" i="4" s="1"/>
  <c r="E40" i="4"/>
  <c r="E60" i="4" s="1"/>
  <c r="D66" i="4"/>
  <c r="D26" i="4" s="1"/>
  <c r="E26" i="4" s="1"/>
  <c r="E63" i="4"/>
  <c r="E66" i="4" s="1"/>
  <c r="D119" i="4"/>
  <c r="D28" i="4" s="1"/>
  <c r="E28" i="4" s="1"/>
  <c r="E98" i="4"/>
  <c r="E119" i="4"/>
  <c r="D154" i="4"/>
  <c r="D31" i="4" s="1"/>
  <c r="E31" i="4" s="1"/>
  <c r="E152" i="4"/>
  <c r="E154" i="4" s="1"/>
  <c r="D24" i="4"/>
  <c r="E24" i="4" s="1"/>
  <c r="E37" i="4"/>
  <c r="D95" i="4"/>
  <c r="D27" i="4" s="1"/>
  <c r="E27" i="4" s="1"/>
  <c r="E69" i="4"/>
  <c r="E95" i="4" s="1"/>
  <c r="D133" i="4"/>
  <c r="D29" i="4" s="1"/>
  <c r="E29" i="4" s="1"/>
  <c r="E125" i="4"/>
  <c r="E133" i="4" s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<sst xmlns="http://schemas.openxmlformats.org/spreadsheetml/2006/main" count="389" uniqueCount="264">
  <si>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</si>
  <si>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</si>
  <si>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</si>
  <si>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</si>
  <si>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</si>
  <si>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</si>
  <si>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</si>
  <si>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</si>
  <si>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</si>
  <si>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</si>
  <si>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</si>
  <si>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</si>
  <si>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</si>
  <si>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</si>
  <si>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</si>
  <si>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</si>
  <si>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</si>
  <si>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</si>
  <si>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</si>
  <si>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</si>
  <si>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</si>
  <si>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</si>
  <si>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</si>
  <si>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</si>
  <si>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</si>
  <si>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</si>
  <si>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</si>
  <si>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</si>
  <si>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</si>
  <si>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</si>
  <si>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</si>
  <si>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</si>
  <si>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</si>
  <si>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</si>
  <si>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</si>
  <si>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</si>
  <si>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</si>
  <si>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</si>
  <si>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</si>
  <si>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</si>
  <si>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</si>
  <si>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</si>
  <si>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</si>
  <si>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</si>
  <si>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</si>
  <si>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</si>
  <si>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</si>
  <si>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</si>
  <si>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</si>
  <si>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</si>
  <si>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</si>
  <si>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</si>
  <si>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</si>
  <si>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</si>
  <si>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</si>
  <si>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</si>
  <si>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</si>
  <si>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</si>
  <si>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</si>
  <si>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</si>
  <si>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</si>
  <si>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</si>
  <si>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</si>
  <si>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</si>
  <si>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</si>
  <si>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</si>
  <si>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</si>
  <si>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</si>
  <si>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</si>
  <si>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</si>
  <si>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</si>
  <si>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</si>
  <si>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</si>
  <si>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</si>
  <si>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</si>
  <si>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</si>
  <si>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</si>
  <si>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</si>
  <si>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</si>
  <si>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</si>
  <si>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</si>
  <si>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</si>
  <si>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</si>
  <si>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</si>
  <si>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</si>
  <si>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</si>
  <si>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</si>
  <si>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</si>
  <si>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</si>
  <si>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</si>
  <si>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</si>
  <si>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</si>
  <si>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</si>
  <si>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</si>
  <si>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</si>
  <si>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</si>
  <si>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</si>
  <si>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</si>
  <si>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</si>
  <si>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</si>
  <si>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</si>
  <si>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</si>
  <si>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</si>
  <si>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</si>
  <si>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</si>
  <si>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</si>
  <si>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</si>
  <si>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</si>
  <si>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</si>
  <si>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</si>
  <si>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</si>
  <si>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</si>
  <si>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</si>
  <si>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</si>
  <si>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</si>
  <si>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</si>
  <si>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</si>
  <si>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</si>
  <si>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</si>
  <si>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</si>
  <si>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</si>
  <si>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</si>
  <si>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</si>
  <si>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</si>
  <si>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</si>
  <si>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</si>
  <si>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</si>
  <si>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</si>
  <si>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</si>
  <si>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</si>
  <si>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</si>
  <si>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</si>
  <si>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</si>
  <si>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</si>
  <si>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</si>
  <si>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</si>
  <si>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</si>
  <si>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</si>
  <si>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</si>
  <si>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</si>
  <si>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</si>
  <si>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</si>
  <si>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</si>
  <si>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</si>
  <si>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</si>
  <si>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</si>
  <si>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</si>
  <si>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</si>
  <si>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</si>
  <si>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</si>
  <si>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</si>
  <si>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</si>
  <si>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</si>
  <si>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</si>
  <si>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</si>
  <si>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</si>
  <si>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</si>
  <si>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</si>
  <si>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</si>
  <si>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</si>
  <si>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</si>
  <si>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</si>
  <si>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</si>
  <si>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</si>
  <si>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</si>
  <si>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</si>
  <si>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</si>
  <si>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</si>
  <si>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</si>
  <si>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</si>
  <si>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</si>
  <si>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</si>
  <si>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</si>
  <si>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</si>
  <si>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</si>
  <si>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</si>
  <si>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</si>
  <si>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</si>
  <si>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</si>
  <si>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</si>
  <si>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</si>
  <si>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</si>
  <si>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</si>
  <si>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</si>
  <si>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</si>
  <si>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</si>
  <si>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</si>
  <si>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</si>
  <si>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</si>
  <si>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</si>
  <si>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</si>
  <si>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</si>
  <si>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</si>
  <si>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</si>
  <si>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</si>
  <si>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</si>
  <si>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</si>
  <si>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</si>
  <si>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</si>
  <si>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</si>
  <si>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</si>
  <si>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</si>
  <si>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</si>
  <si>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</si>
  <si>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</si>
  <si>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</si>
  <si>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</si>
  <si>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</si>
  <si>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</si>
  <si>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</si>
  <si>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</si>
  <si>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</si>
  <si>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</si>
  <si>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</si>
  <si>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</si>
  <si>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</si>
  <si>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</si>
  <si>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</si>
  <si>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</si>
  <si>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</si>
  <si>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</si>
  <si>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</si>
  <si>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</si>
  <si>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</si>
  <si>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</si>
  <si>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</si>
  <si>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</si>
  <si>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</si>
  <si>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</si>
  <si>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</si>
  <si>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</si>
  <si>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</si>
  <si>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</si>
  <si>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</si>
  <si>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</si>
  <si>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</si>
  <si>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지정공사,철제칸막이공사,잡공사및외벽패널공사,철거공사,골재비,운반비,정화조공사</t>
    <phoneticPr fontId="2" type="noConversion"/>
  </si>
  <si>
    <t>토목 배수공, 상수공, 시설물공, 철거공,자재공</t>
    <phoneticPr fontId="2" type="noConversion"/>
  </si>
  <si>
    <t>피뢰침설비공사</t>
  </si>
  <si>
    <t>케이블트레이설비공사</t>
  </si>
  <si>
    <t>인터폰설비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</si>
  <si>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</si>
  <si>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</si>
  <si>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</si>
  <si>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</si>
  <si>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</si>
  <si>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</si>
  <si>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</si>
  <si>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</si>
  <si>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</si>
  <si>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</si>
  <si>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</si>
  <si>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00노동조합청사 신축공사</t>
  </si>
  <si>
    <t>경상도</t>
  </si>
  <si>
    <t>평</t>
    <phoneticPr fontId="2" type="noConversion"/>
  </si>
  <si>
    <t>원/ m2</t>
    <phoneticPr fontId="2" type="noConversion"/>
  </si>
  <si>
    <t>공조배관공사,위생배관공사,지열히트펌프설치공사,주방기구설치공사,난방배관공사</t>
    <phoneticPr fontId="2" type="noConversion"/>
  </si>
  <si>
    <t>엘리베이터설비공사</t>
  </si>
  <si>
    <t>도급자설치관급, 관급자설치관급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</si>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</sst>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235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254</v>
      </c>
    </row>
    <row r="7" spans="1:4" ht="17.25" thickBot="1" x14ac:dyDescent="0.35">
      <c r="C7" s="37">
        <v>3884</v>
      </c>
      <c r="D7" s="36">
        <f>+C7/3.3058</f>
        <v>1174.9047129287917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241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2650</v>
      </c>
      <c r="E24" s="60">
        <f t="shared" ref="E24:E33" si="0">TRUNC(+D24*3.3058,-1)</f>
        <v>8760</v>
      </c>
    </row>
    <row r="25" spans="1:5" x14ac:dyDescent="0.3">
      <c r="B25" s="2">
        <v>2</v>
      </c>
      <c r="C25" s="35" t="s">
        <v>111</v>
      </c>
      <c r="D25" s="45">
        <f>+D60</f>
        <v>646040</v>
      </c>
      <c r="E25" s="61">
        <f t="shared" si="0"/>
        <v>2135670</v>
      </c>
    </row>
    <row r="26" spans="1:5" x14ac:dyDescent="0.3">
      <c r="B26" s="2">
        <v>3</v>
      </c>
      <c r="C26" s="35" t="s">
        <v>95</v>
      </c>
      <c r="D26" s="57">
        <f>+D66</f>
        <v>21350</v>
      </c>
      <c r="E26" s="61">
        <f t="shared" si="0"/>
        <v>70570</v>
      </c>
    </row>
    <row r="27" spans="1:5" x14ac:dyDescent="0.3">
      <c r="B27" s="2">
        <v>4</v>
      </c>
      <c r="C27" s="35" t="s">
        <v>96</v>
      </c>
      <c r="D27" s="57">
        <f>+D95</f>
        <v>241710</v>
      </c>
      <c r="E27" s="61">
        <f t="shared" si="0"/>
        <v>799040</v>
      </c>
    </row>
    <row r="28" spans="1:5" x14ac:dyDescent="0.3">
      <c r="B28" s="2">
        <v>5</v>
      </c>
      <c r="C28" s="35" t="s">
        <v>97</v>
      </c>
      <c r="D28" s="57">
        <f>+D119</f>
        <v>162030</v>
      </c>
      <c r="E28" s="61">
        <f t="shared" si="0"/>
        <v>535630</v>
      </c>
    </row>
    <row r="29" spans="1:5" x14ac:dyDescent="0.3">
      <c r="B29" s="2">
        <v>6</v>
      </c>
      <c r="C29" s="35" t="s">
        <v>98</v>
      </c>
      <c r="D29" s="57">
        <f>+D133</f>
        <v>39170</v>
      </c>
      <c r="E29" s="61">
        <f t="shared" si="0"/>
        <v>129480</v>
      </c>
    </row>
    <row r="30" spans="1:5" x14ac:dyDescent="0.3">
      <c r="B30" s="2">
        <v>7</v>
      </c>
      <c r="C30" s="35" t="s">
        <v>99</v>
      </c>
      <c r="D30" s="57">
        <f>+D146</f>
        <v>0</v>
      </c>
      <c r="E30" s="61">
        <f t="shared" si="0"/>
        <v>0</v>
      </c>
    </row>
    <row r="31" spans="1:5" x14ac:dyDescent="0.3">
      <c r="B31" s="2">
        <v>8</v>
      </c>
      <c r="C31" s="35" t="s">
        <v>100</v>
      </c>
      <c r="D31" s="57">
        <f>+D154</f>
        <v>48170</v>
      </c>
      <c r="E31" s="61">
        <f t="shared" si="0"/>
        <v>159240</v>
      </c>
    </row>
    <row r="32" spans="1:5" x14ac:dyDescent="0.3">
      <c r="B32" s="2">
        <v>9</v>
      </c>
      <c r="C32" s="35" t="s">
        <v>101</v>
      </c>
      <c r="D32" s="57">
        <f>+D161</f>
        <v>0</v>
      </c>
      <c r="E32" s="61">
        <f t="shared" si="0"/>
        <v>0</v>
      </c>
    </row>
    <row r="33" spans="1:7" x14ac:dyDescent="0.3">
      <c r="B33" s="2">
        <v>10</v>
      </c>
      <c r="C33" s="35" t="s">
        <v>154</v>
      </c>
      <c r="D33" s="58">
        <f>TRUNC(SUM(D24:D32)*0.275,-1)</f>
        <v>319300</v>
      </c>
      <c r="E33" s="62">
        <f t="shared" si="0"/>
        <v>1055540</v>
      </c>
    </row>
    <row r="34" spans="1:7" x14ac:dyDescent="0.3">
      <c r="C34" s="35" t="s">
        <v>112</v>
      </c>
      <c r="D34" s="44">
        <f>SUM(D24:D33)</f>
        <v>1480420</v>
      </c>
      <c r="E34" s="44">
        <f>SUM(E24:E33)</f>
        <v>4893930</v>
      </c>
    </row>
    <row r="35" spans="1:7" s="55" customFormat="1" x14ac:dyDescent="0.3">
      <c r="C35" s="56"/>
      <c r="D35" s="56"/>
      <c r="E35" s="56"/>
      <c r="G35" s="54"/>
    </row>
    <row r="36" spans="1:7" s="55" customFormat="1" ht="17.25" thickBot="1" x14ac:dyDescent="0.35">
      <c r="B36" s="55" t="s">
        <v>12</v>
      </c>
      <c r="C36" s="55" t="s">
        <v>242</v>
      </c>
      <c r="D36" s="56" t="s">
        <v>255</v>
      </c>
      <c r="E36" s="56" t="s">
        <v>153</v>
      </c>
      <c r="G36" s="54"/>
    </row>
    <row r="37" spans="1:7" ht="17.25" thickBot="1" x14ac:dyDescent="0.35">
      <c r="C37" s="38" t="s">
        <v>143</v>
      </c>
      <c r="D37" s="52">
        <f>TRUNC(2659.0929454171,-1)</f>
        <v>2650</v>
      </c>
      <c r="E37" s="63">
        <f>TRUNC(+D37*3.3058,-1)</f>
        <v>8760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246</v>
      </c>
      <c r="D39" s="68" t="s">
        <v>259</v>
      </c>
      <c r="E39" s="68" t="s">
        <v>260</v>
      </c>
      <c r="G39" s="69"/>
    </row>
    <row r="40" spans="1:7" x14ac:dyDescent="0.3">
      <c r="A40" s="2">
        <v>1</v>
      </c>
      <c r="C40" s="38" t="s">
        <v>15</v>
      </c>
      <c r="D40" s="40">
        <f>TRUNC(24743.2427909372,-1)</f>
        <v>24740</v>
      </c>
      <c r="E40" s="64">
        <f t="shared" ref="E40:E59" si="1">TRUNC(+D40*3.3058,-1)</f>
        <v>81780</v>
      </c>
    </row>
    <row r="41" spans="1:7" x14ac:dyDescent="0.3">
      <c r="A41" s="2">
        <v>2</v>
      </c>
      <c r="C41" s="38" t="s">
        <v>13</v>
      </c>
      <c r="D41" s="42">
        <f>TRUNC(76792.4894438723,-1)</f>
        <v>76790</v>
      </c>
      <c r="E41" s="65">
        <f t="shared" si="1"/>
        <v>253850</v>
      </c>
    </row>
    <row r="42" spans="1:7" x14ac:dyDescent="0.3">
      <c r="A42" s="2">
        <v>3</v>
      </c>
      <c r="C42" s="38" t="s">
        <v>14</v>
      </c>
      <c r="D42" s="42">
        <f>TRUNC(16870.0226570546,-1)</f>
        <v>16870</v>
      </c>
      <c r="E42" s="65">
        <f t="shared" si="1"/>
        <v>55760</v>
      </c>
    </row>
    <row r="43" spans="1:7" x14ac:dyDescent="0.3">
      <c r="A43" s="2">
        <v>4</v>
      </c>
      <c r="C43" s="38" t="s">
        <v>16</v>
      </c>
      <c r="D43" s="42">
        <f>TRUNC(12886.8311019567,-1)</f>
        <v>12880</v>
      </c>
      <c r="E43" s="65">
        <f t="shared" si="1"/>
        <v>42570</v>
      </c>
    </row>
    <row r="44" spans="1:7" x14ac:dyDescent="0.3">
      <c r="A44" s="2">
        <v>5</v>
      </c>
      <c r="C44" s="38" t="s">
        <v>17</v>
      </c>
      <c r="D44" s="42">
        <f>TRUNC(23004.3612255407,-1)</f>
        <v>23000</v>
      </c>
      <c r="E44" s="65">
        <f t="shared" si="1"/>
        <v>76030</v>
      </c>
    </row>
    <row r="45" spans="1:7" x14ac:dyDescent="0.3">
      <c r="A45" s="2">
        <v>6</v>
      </c>
      <c r="C45" s="38" t="s">
        <v>18</v>
      </c>
      <c r="D45" s="42">
        <f>TRUNC(5835.23738414006,-1)</f>
        <v>5830</v>
      </c>
      <c r="E45" s="65">
        <f t="shared" si="1"/>
        <v>19270</v>
      </c>
    </row>
    <row r="46" spans="1:7" x14ac:dyDescent="0.3">
      <c r="A46" s="2">
        <v>7</v>
      </c>
      <c r="C46" s="38" t="s">
        <v>19</v>
      </c>
      <c r="D46" s="42">
        <f>TRUNC(8592.72502574665,-1)</f>
        <v>8590</v>
      </c>
      <c r="E46" s="65">
        <f t="shared" si="1"/>
        <v>28390</v>
      </c>
    </row>
    <row r="47" spans="1:7" x14ac:dyDescent="0.3">
      <c r="A47" s="2">
        <v>8</v>
      </c>
      <c r="C47" s="38" t="s">
        <v>20</v>
      </c>
      <c r="D47" s="42">
        <f>TRUNC(2652.7973738414,-1)</f>
        <v>2650</v>
      </c>
      <c r="E47" s="65">
        <f t="shared" si="1"/>
        <v>8760</v>
      </c>
    </row>
    <row r="48" spans="1:7" x14ac:dyDescent="0.3">
      <c r="A48" s="2">
        <v>9</v>
      </c>
      <c r="C48" s="38" t="s">
        <v>21</v>
      </c>
      <c r="D48" s="42">
        <f>TRUNC(32993.8256951596,-1)</f>
        <v>32990</v>
      </c>
      <c r="E48" s="65">
        <f t="shared" si="1"/>
        <v>109050</v>
      </c>
    </row>
    <row r="49" spans="1:7" x14ac:dyDescent="0.3">
      <c r="A49" s="2">
        <v>10</v>
      </c>
      <c r="C49" s="38" t="s">
        <v>22</v>
      </c>
      <c r="D49" s="42">
        <f>TRUNC(15337.574407827,-1)</f>
        <v>15330</v>
      </c>
      <c r="E49" s="65">
        <f t="shared" si="1"/>
        <v>50670</v>
      </c>
    </row>
    <row r="50" spans="1:7" x14ac:dyDescent="0.3">
      <c r="A50" s="2">
        <v>11</v>
      </c>
      <c r="C50" s="38" t="s">
        <v>155</v>
      </c>
      <c r="D50" s="42">
        <f>TRUNC(78235.0687435633,-1)</f>
        <v>78230</v>
      </c>
      <c r="E50" s="65">
        <f t="shared" si="1"/>
        <v>258610</v>
      </c>
    </row>
    <row r="51" spans="1:7" x14ac:dyDescent="0.3">
      <c r="A51" s="2">
        <v>12</v>
      </c>
      <c r="C51" s="38" t="s">
        <v>23</v>
      </c>
      <c r="D51" s="42">
        <f>TRUNC(12317.517507724,-1)</f>
        <v>12310</v>
      </c>
      <c r="E51" s="65">
        <f t="shared" si="1"/>
        <v>40690</v>
      </c>
    </row>
    <row r="52" spans="1:7" x14ac:dyDescent="0.3">
      <c r="A52" s="2">
        <v>13</v>
      </c>
      <c r="C52" s="38" t="s">
        <v>24</v>
      </c>
      <c r="D52" s="42">
        <f>TRUNC(6444.81848609681,-1)</f>
        <v>6440</v>
      </c>
      <c r="E52" s="65">
        <f t="shared" si="1"/>
        <v>21280</v>
      </c>
    </row>
    <row r="53" spans="1:7" x14ac:dyDescent="0.3">
      <c r="A53" s="2">
        <v>14</v>
      </c>
      <c r="C53" s="38" t="s">
        <v>25</v>
      </c>
      <c r="D53" s="42">
        <f>TRUNC(50851.9727085479,-1)</f>
        <v>50850</v>
      </c>
      <c r="E53" s="65">
        <f t="shared" si="1"/>
        <v>168090</v>
      </c>
    </row>
    <row r="54" spans="1:7" x14ac:dyDescent="0.3">
      <c r="A54" s="2">
        <v>15</v>
      </c>
      <c r="C54" s="38" t="s">
        <v>147</v>
      </c>
      <c r="D54" s="42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TRUNC(1555.14881565396,-1)</f>
        <v>1550</v>
      </c>
      <c r="E55" s="65">
        <f t="shared" si="1"/>
        <v>5120</v>
      </c>
    </row>
    <row r="56" spans="1:7" x14ac:dyDescent="0.3">
      <c r="A56" s="2">
        <v>17</v>
      </c>
      <c r="C56" s="38" t="s">
        <v>145</v>
      </c>
      <c r="D56" s="42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TRUNC(61828.2402162719+15263.4531410917+82862.5811019567+2082.7113800206-584.334449021627,-1)</f>
        <v>161450</v>
      </c>
      <c r="E58" s="65">
        <f t="shared" si="1"/>
        <v>533720</v>
      </c>
      <c r="F58" s="2" t="s">
        <v>236</v>
      </c>
    </row>
    <row r="59" spans="1:7" ht="17.25" thickBot="1" x14ac:dyDescent="0.35">
      <c r="A59" s="2">
        <v>20</v>
      </c>
      <c r="C59" s="38" t="s">
        <v>148</v>
      </c>
      <c r="D59" s="43">
        <f>TRUNC(115544.799176107,-1)</f>
        <v>115540</v>
      </c>
      <c r="E59" s="66">
        <f t="shared" si="1"/>
        <v>381950</v>
      </c>
    </row>
    <row r="60" spans="1:7" x14ac:dyDescent="0.3">
      <c r="A60" s="2">
        <v>21</v>
      </c>
      <c r="C60" s="27" t="s">
        <v>112</v>
      </c>
      <c r="D60" s="39">
        <f>SUM(D40:D59)</f>
        <v>646040</v>
      </c>
      <c r="E60" s="39">
        <f>SUM(E40:E59)</f>
        <v>2135590</v>
      </c>
    </row>
    <row r="61" spans="1:7" s="55" customFormat="1" x14ac:dyDescent="0.3">
      <c r="C61" s="56"/>
      <c r="D61" s="56"/>
      <c r="E61" s="56"/>
      <c r="G61" s="54"/>
    </row>
    <row r="62" spans="1:7" s="55" customFormat="1" ht="17.25" thickBot="1" x14ac:dyDescent="0.35">
      <c r="B62" s="55" t="s">
        <v>243</v>
      </c>
      <c r="C62" s="55" t="s">
        <v>244</v>
      </c>
      <c r="D62" s="56" t="s">
        <v>255</v>
      </c>
      <c r="E62" s="56" t="s">
        <v>153</v>
      </c>
      <c r="G62" s="54"/>
    </row>
    <row r="63" spans="1:7" x14ac:dyDescent="0.3">
      <c r="A63" s="2">
        <v>1</v>
      </c>
      <c r="C63" s="38" t="s">
        <v>27</v>
      </c>
      <c r="D63" s="40">
        <f>TRUNC(2126.54891864058,-1)</f>
        <v>2120</v>
      </c>
      <c r="E63" s="64">
        <f>TRUNC(+D63*3.3058,-1)</f>
        <v>7000</v>
      </c>
    </row>
    <row r="64" spans="1:7" x14ac:dyDescent="0.3">
      <c r="A64" s="2">
        <v>2</v>
      </c>
      <c r="C64" s="38" t="s">
        <v>29</v>
      </c>
      <c r="D64" s="42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TRUNC(19230.1985066941,-1)</f>
        <v>19230</v>
      </c>
      <c r="E65" s="66">
        <f>TRUNC(+D65*3.3058,-1)</f>
        <v>63570</v>
      </c>
    </row>
    <row r="66" spans="1:7" x14ac:dyDescent="0.3">
      <c r="A66" s="2">
        <v>4</v>
      </c>
      <c r="C66" s="27" t="s">
        <v>112</v>
      </c>
      <c r="D66" s="59">
        <f>SUM(D63:D65)</f>
        <v>21350</v>
      </c>
      <c r="E66" s="59">
        <f>SUM(E63:E65)</f>
        <v>70570</v>
      </c>
    </row>
    <row r="67" spans="1:7" s="55" customFormat="1" x14ac:dyDescent="0.3">
      <c r="C67" s="56"/>
      <c r="D67" s="56"/>
      <c r="E67" s="56"/>
      <c r="G67" s="54"/>
    </row>
    <row r="68" spans="1:7" s="55" customFormat="1" ht="17.25" thickBot="1" x14ac:dyDescent="0.35">
      <c r="B68" s="55" t="s">
        <v>245</v>
      </c>
      <c r="C68" s="55" t="s">
        <v>246</v>
      </c>
      <c r="D68" s="56" t="s">
        <v>255</v>
      </c>
      <c r="E68" s="56" t="s">
        <v>153</v>
      </c>
      <c r="G68" s="54"/>
    </row>
    <row r="69" spans="1:7" x14ac:dyDescent="0.3">
      <c r="A69" s="2">
        <v>1</v>
      </c>
      <c r="C69" s="38" t="s">
        <v>30</v>
      </c>
      <c r="D69" s="40">
        <f>TRUNC(35395.5605046343,-1)</f>
        <v>35390</v>
      </c>
      <c r="E69" s="64">
        <f t="shared" ref="E69:E94" si="2">TRUNC(+D69*3.3058,-1)</f>
        <v>116990</v>
      </c>
    </row>
    <row r="70" spans="1:7" ht="16.5" customHeight="1" x14ac:dyDescent="0.3">
      <c r="A70" s="2">
        <v>2</v>
      </c>
      <c r="C70" s="38" t="s">
        <v>31</v>
      </c>
      <c r="D70" s="42">
        <f>TRUNC(325.14701338826,-1)</f>
        <v>320</v>
      </c>
      <c r="E70" s="65">
        <f t="shared" si="2"/>
        <v>1050</v>
      </c>
    </row>
    <row r="71" spans="1:7" x14ac:dyDescent="0.3">
      <c r="A71" s="2">
        <v>3</v>
      </c>
      <c r="C71" s="38" t="s">
        <v>32</v>
      </c>
      <c r="D71" s="42">
        <f>TRUNC(11241.5139031926,-1)</f>
        <v>11240</v>
      </c>
      <c r="E71" s="65">
        <f t="shared" si="2"/>
        <v>37150</v>
      </c>
    </row>
    <row r="72" spans="1:7" x14ac:dyDescent="0.3">
      <c r="A72" s="2">
        <v>4</v>
      </c>
      <c r="C72" s="38" t="s">
        <v>33</v>
      </c>
      <c r="D72" s="42">
        <f>TRUNC(1355.36019567456,-1)</f>
        <v>1350</v>
      </c>
      <c r="E72" s="65">
        <f t="shared" si="2"/>
        <v>4460</v>
      </c>
    </row>
    <row r="73" spans="1:7" x14ac:dyDescent="0.3">
      <c r="A73" s="2">
        <v>5</v>
      </c>
      <c r="C73" s="38" t="s">
        <v>34</v>
      </c>
      <c r="D73" s="42">
        <v>0</v>
      </c>
      <c r="E73" s="65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5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5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TRUNC(7428.79969104016,-1)</f>
        <v>7420</v>
      </c>
      <c r="E81" s="65">
        <f t="shared" si="2"/>
        <v>24520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TRUNC(,-1)</f>
        <v>0</v>
      </c>
      <c r="E84" s="65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5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5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TRUNC(7939.31591143151,-1)</f>
        <v>7930</v>
      </c>
      <c r="E91" s="65">
        <f t="shared" si="2"/>
        <v>26210</v>
      </c>
    </row>
    <row r="92" spans="1:7" x14ac:dyDescent="0.3">
      <c r="A92" s="2">
        <v>24</v>
      </c>
      <c r="C92" s="38" t="s">
        <v>38</v>
      </c>
      <c r="D92" s="42">
        <v>0</v>
      </c>
      <c r="E92" s="65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5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TRUNC(46978.3692070031+23479.9961380021+15604.3009783728+39289.4667868177+52714.9034500515,-1)</f>
        <v>178060</v>
      </c>
      <c r="E94" s="66">
        <f t="shared" si="2"/>
        <v>588630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241710</v>
      </c>
      <c r="E95" s="39">
        <f>SUM(E69:E94)</f>
        <v>799010</v>
      </c>
    </row>
    <row r="96" spans="1:7" s="55" customFormat="1" x14ac:dyDescent="0.3">
      <c r="C96" s="56"/>
      <c r="D96" s="56"/>
      <c r="E96" s="56"/>
      <c r="G96" s="54"/>
    </row>
    <row r="97" spans="1:7" s="55" customFormat="1" ht="17.25" thickBot="1" x14ac:dyDescent="0.35">
      <c r="B97" s="55" t="s">
        <v>247</v>
      </c>
      <c r="C97" s="55" t="s">
        <v>246</v>
      </c>
      <c r="D97" s="56" t="s">
        <v>255</v>
      </c>
      <c r="E97" s="56" t="s">
        <v>153</v>
      </c>
      <c r="G97" s="54"/>
    </row>
    <row r="98" spans="1:7" x14ac:dyDescent="0.3">
      <c r="A98" s="2">
        <v>1</v>
      </c>
      <c r="C98" s="38" t="s">
        <v>39</v>
      </c>
      <c r="D98" s="40">
        <f>TRUNC(5896.46163748713,-1)</f>
        <v>5890</v>
      </c>
      <c r="E98" s="64">
        <f t="shared" ref="E98:E118" si="3">TRUNC(+D98*3.3058,-1)</f>
        <v>19470</v>
      </c>
    </row>
    <row r="99" spans="1:7" x14ac:dyDescent="0.3">
      <c r="A99" s="2">
        <v>2</v>
      </c>
      <c r="C99" s="38" t="s">
        <v>40</v>
      </c>
      <c r="D99" s="42">
        <f>TRUNC(8424.42919670443,-1)</f>
        <v>8420</v>
      </c>
      <c r="E99" s="65">
        <f t="shared" si="3"/>
        <v>27830</v>
      </c>
    </row>
    <row r="100" spans="1:7" x14ac:dyDescent="0.3">
      <c r="A100" s="2">
        <v>3</v>
      </c>
      <c r="C100" s="38" t="s">
        <v>41</v>
      </c>
      <c r="D100" s="42">
        <f>TRUNC(23032.16246138,-1)</f>
        <v>23030</v>
      </c>
      <c r="E100" s="65">
        <f t="shared" si="3"/>
        <v>76130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TRUNC(9503.31745623069,-1)</f>
        <v>9500</v>
      </c>
      <c r="E102" s="65">
        <f t="shared" si="3"/>
        <v>31400</v>
      </c>
    </row>
    <row r="103" spans="1:7" x14ac:dyDescent="0.3">
      <c r="A103" s="2">
        <v>6</v>
      </c>
      <c r="C103" s="38" t="s">
        <v>44</v>
      </c>
      <c r="D103" s="42">
        <v>0</v>
      </c>
      <c r="E103" s="65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TRUNC(1365.46884654995,-1)</f>
        <v>1360</v>
      </c>
      <c r="E104" s="65">
        <f t="shared" si="3"/>
        <v>4490</v>
      </c>
      <c r="F104" s="2" t="s">
        <v>238</v>
      </c>
    </row>
    <row r="105" spans="1:7" x14ac:dyDescent="0.3">
      <c r="A105" s="2">
        <v>8</v>
      </c>
      <c r="C105" s="38" t="s">
        <v>46</v>
      </c>
      <c r="D105" s="42">
        <f>TRUNC(3314.28964984552,-1)</f>
        <v>3310</v>
      </c>
      <c r="E105" s="65">
        <f t="shared" si="3"/>
        <v>10940</v>
      </c>
    </row>
    <row r="106" spans="1:7" x14ac:dyDescent="0.3">
      <c r="A106" s="2">
        <v>9</v>
      </c>
      <c r="C106" s="38" t="s">
        <v>135</v>
      </c>
      <c r="D106" s="42">
        <v>0</v>
      </c>
      <c r="E106" s="65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5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5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5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5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5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5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TRUNC(2009.11534500515,-1)</f>
        <v>2000</v>
      </c>
      <c r="E114" s="65">
        <f t="shared" si="3"/>
        <v>6610</v>
      </c>
    </row>
    <row r="115" spans="1:7" x14ac:dyDescent="0.3">
      <c r="A115" s="2">
        <v>18</v>
      </c>
      <c r="C115" s="38" t="s">
        <v>116</v>
      </c>
      <c r="D115" s="42">
        <f>TRUNC(11275.636199794,-1)</f>
        <v>11270</v>
      </c>
      <c r="E115" s="65">
        <f t="shared" si="3"/>
        <v>37250</v>
      </c>
    </row>
    <row r="116" spans="1:7" x14ac:dyDescent="0.3">
      <c r="A116" s="2">
        <v>19</v>
      </c>
      <c r="C116" s="38" t="s">
        <v>115</v>
      </c>
      <c r="D116" s="42">
        <v>0</v>
      </c>
      <c r="E116" s="65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TRUNC(19855.3038105046+68390.8341915551,-1)</f>
        <v>88240</v>
      </c>
      <c r="E117" s="65">
        <f t="shared" si="3"/>
        <v>291700</v>
      </c>
      <c r="F117" s="2" t="s">
        <v>258</v>
      </c>
    </row>
    <row r="118" spans="1:7" ht="17.25" thickBot="1" x14ac:dyDescent="0.35">
      <c r="A118" s="2">
        <v>21</v>
      </c>
      <c r="C118" s="38" t="s">
        <v>47</v>
      </c>
      <c r="D118" s="43">
        <f>TRUNC(9011.32852729145,-1)</f>
        <v>9010</v>
      </c>
      <c r="E118" s="66">
        <f t="shared" si="3"/>
        <v>29780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162030</v>
      </c>
      <c r="E119" s="39">
        <f>SUM(E98:E118)</f>
        <v>535600</v>
      </c>
    </row>
    <row r="120" spans="1:7" s="55" customFormat="1" x14ac:dyDescent="0.3">
      <c r="C120" s="56"/>
      <c r="D120" s="56"/>
      <c r="E120" s="56"/>
      <c r="G120" s="54"/>
    </row>
    <row r="121" spans="1:7" s="55" customFormat="1" ht="17.25" thickBot="1" x14ac:dyDescent="0.35">
      <c r="B121" s="55" t="s">
        <v>248</v>
      </c>
      <c r="C121" s="55" t="s">
        <v>246</v>
      </c>
      <c r="D121" s="56" t="s">
        <v>255</v>
      </c>
      <c r="E121" s="56" t="s">
        <v>153</v>
      </c>
      <c r="G121" s="54"/>
    </row>
    <row r="122" spans="1:7" x14ac:dyDescent="0.3">
      <c r="A122" s="2">
        <v>1</v>
      </c>
      <c r="C122" s="38" t="s">
        <v>55</v>
      </c>
      <c r="D122" s="40">
        <f>TRUNC(2761.01776519053,-1)</f>
        <v>2760</v>
      </c>
      <c r="E122" s="64">
        <f t="shared" ref="E122:E132" si="4">TRUNC(+D122*3.3058,-1)</f>
        <v>9120</v>
      </c>
    </row>
    <row r="123" spans="1:7" x14ac:dyDescent="0.3">
      <c r="A123" s="2">
        <v>2</v>
      </c>
      <c r="C123" s="38" t="s">
        <v>124</v>
      </c>
      <c r="D123" s="42">
        <v>0</v>
      </c>
      <c r="E123" s="65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5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TRUNC(3118.78398558187,-1)</f>
        <v>3110</v>
      </c>
      <c r="E125" s="65">
        <f t="shared" si="4"/>
        <v>10280</v>
      </c>
    </row>
    <row r="126" spans="1:7" x14ac:dyDescent="0.3">
      <c r="A126" s="2">
        <v>5</v>
      </c>
      <c r="C126" s="38" t="s">
        <v>53</v>
      </c>
      <c r="D126" s="42">
        <v>0</v>
      </c>
      <c r="E126" s="65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TRUNC(1297.00566426365,-1)</f>
        <v>1290</v>
      </c>
      <c r="E128" s="65">
        <f t="shared" si="4"/>
        <v>4260</v>
      </c>
      <c r="F128" s="2" t="s">
        <v>239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TRUNC(19477.4685890834,-1)</f>
        <v>19470</v>
      </c>
      <c r="E130" s="65">
        <f t="shared" si="4"/>
        <v>64360</v>
      </c>
    </row>
    <row r="131" spans="1:7" x14ac:dyDescent="0.3">
      <c r="A131" s="2">
        <v>10</v>
      </c>
      <c r="C131" s="38" t="s">
        <v>148</v>
      </c>
      <c r="D131" s="42">
        <f>TRUNC(10251.5447991761,-1)</f>
        <v>10250</v>
      </c>
      <c r="E131" s="65">
        <f t="shared" si="4"/>
        <v>33880</v>
      </c>
    </row>
    <row r="132" spans="1:7" ht="18" thickBot="1" x14ac:dyDescent="0.35">
      <c r="A132" s="2">
        <v>11</v>
      </c>
      <c r="C132" s="38" t="s">
        <v>47</v>
      </c>
      <c r="D132" s="43">
        <f>TRUNC(1347.46369721936+950.841658084449,-1)</f>
        <v>2290</v>
      </c>
      <c r="E132" s="66">
        <f t="shared" si="4"/>
        <v>7570</v>
      </c>
      <c r="F132" s="53" t="s">
        <v>240</v>
      </c>
    </row>
    <row r="133" spans="1:7" x14ac:dyDescent="0.3">
      <c r="A133" s="2">
        <v>12</v>
      </c>
      <c r="C133" s="27" t="s">
        <v>112</v>
      </c>
      <c r="D133" s="39">
        <f>SUM(D122:D132)</f>
        <v>39170</v>
      </c>
      <c r="E133" s="39">
        <f>SUM(E122:E132)</f>
        <v>129470</v>
      </c>
    </row>
    <row r="134" spans="1:7" s="55" customFormat="1" x14ac:dyDescent="0.3">
      <c r="C134" s="56"/>
      <c r="D134" s="56"/>
      <c r="E134" s="56"/>
      <c r="G134" s="54"/>
    </row>
    <row r="135" spans="1:7" s="55" customFormat="1" ht="17.25" thickBot="1" x14ac:dyDescent="0.35">
      <c r="B135" s="55" t="s">
        <v>249</v>
      </c>
      <c r="C135" s="55" t="s">
        <v>246</v>
      </c>
      <c r="D135" s="56" t="s">
        <v>255</v>
      </c>
      <c r="E135" s="56" t="s">
        <v>153</v>
      </c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4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5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5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5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5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5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5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5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6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G147" s="54"/>
    </row>
    <row r="148" spans="1:7" s="55" customFormat="1" ht="17.25" thickBot="1" x14ac:dyDescent="0.35">
      <c r="B148" s="55" t="s">
        <v>250</v>
      </c>
      <c r="C148" s="55" t="s">
        <v>246</v>
      </c>
      <c r="D148" s="56" t="s">
        <v>255</v>
      </c>
      <c r="E148" s="56" t="s">
        <v>153</v>
      </c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4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TRUNC(4000.99665293512,-1)</f>
        <v>4000</v>
      </c>
      <c r="E150" s="65">
        <f>TRUNC(+D150*3.3058,-1)</f>
        <v>13220</v>
      </c>
    </row>
    <row r="151" spans="1:7" x14ac:dyDescent="0.3">
      <c r="A151" s="2">
        <v>3</v>
      </c>
      <c r="C151" s="38" t="s">
        <v>50</v>
      </c>
      <c r="D151" s="42">
        <v>0</v>
      </c>
      <c r="E151" s="65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TRUNC(8214.04351184346+193.046343975283+6395.32698249228+41.4021627188465+29329.7201338826,-1)</f>
        <v>44170</v>
      </c>
      <c r="E152" s="65">
        <f>TRUNC(+D152*3.3058,-1)</f>
        <v>146010</v>
      </c>
      <c r="F152" s="2" t="s">
        <v>237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6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48170</v>
      </c>
      <c r="E154" s="39">
        <f>SUM(E149:E153)</f>
        <v>159230</v>
      </c>
    </row>
    <row r="155" spans="1:7" s="55" customFormat="1" x14ac:dyDescent="0.3">
      <c r="C155" s="56"/>
      <c r="D155" s="56"/>
      <c r="E155" s="56"/>
      <c r="G155" s="54"/>
    </row>
    <row r="156" spans="1:7" s="55" customFormat="1" ht="17.25" thickBot="1" x14ac:dyDescent="0.35">
      <c r="B156" s="55" t="s">
        <v>251</v>
      </c>
      <c r="C156" s="55" t="s">
        <v>246</v>
      </c>
      <c r="D156" s="56" t="s">
        <v>255</v>
      </c>
      <c r="E156" s="56" t="s">
        <v>153</v>
      </c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4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5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5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2020-12-07T09:22:47Z</dcterms:modified>
</cp:coreProperties>
</file>