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7" i="4" l="1"/>
  <c r="D153" i="4"/>
  <c r="D152" i="4"/>
  <c r="D151" i="4"/>
  <c r="D150" i="4"/>
  <c r="D149" i="4"/>
  <c r="D143" i="4"/>
  <c r="D141" i="4"/>
  <c r="D140" i="4"/>
  <c r="D139" i="4"/>
  <c r="D137" i="4"/>
  <c r="D132" i="4"/>
  <c r="D131" i="4"/>
  <c r="D126" i="4"/>
  <c r="D125" i="4"/>
  <c r="D122" i="4"/>
  <c r="D118" i="4"/>
  <c r="D117" i="4"/>
  <c r="D105" i="4"/>
  <c r="D104" i="4"/>
  <c r="D102" i="4"/>
  <c r="D100" i="4"/>
  <c r="D99" i="4"/>
  <c r="D98" i="4"/>
  <c r="D93" i="4"/>
  <c r="D91" i="4"/>
  <c r="D90" i="4"/>
  <c r="D89" i="4"/>
  <c r="D76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<sst xmlns="http://schemas.openxmlformats.org/spreadsheetml/2006/main" count="392" uniqueCount="265">
  <si>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</si>
  <si>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</si>
  <si>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</si>
  <si>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</si>
  <si>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</si>
  <si>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</si>
  <si>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</si>
  <si>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</si>
  <si>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</si>
  <si>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</si>
  <si>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</si>
  <si>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</si>
  <si>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</si>
  <si>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</si>
  <si>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</si>
  <si>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</si>
  <si>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</si>
  <si>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</si>
  <si>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</si>
  <si>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</si>
  <si>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</si>
  <si>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</si>
  <si>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</si>
  <si>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</si>
  <si>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</si>
  <si>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</si>
  <si>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</si>
  <si>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</si>
  <si>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</si>
  <si>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</si>
  <si>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</si>
  <si>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</si>
  <si>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</si>
  <si>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</si>
  <si>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</si>
  <si>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</si>
  <si>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</si>
  <si>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</si>
  <si>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</si>
  <si>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</si>
  <si>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</si>
  <si>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</si>
  <si>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</si>
  <si>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</si>
  <si>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</si>
  <si>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</si>
  <si>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</si>
  <si>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</si>
  <si>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</si>
  <si>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</si>
  <si>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</si>
  <si>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</si>
  <si>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</si>
  <si>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</si>
  <si>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</si>
  <si>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</si>
  <si>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</si>
  <si>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</si>
  <si>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</si>
  <si>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</si>
  <si>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</si>
  <si>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</si>
  <si>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</si>
  <si>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</si>
  <si>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</si>
  <si>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</si>
  <si>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</si>
  <si>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</si>
  <si>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</si>
  <si>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</si>
  <si>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</si>
  <si>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</si>
  <si>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</si>
  <si>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</si>
  <si>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</si>
  <si>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</si>
  <si>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</si>
  <si>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</si>
  <si>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</si>
  <si>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</si>
  <si>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</si>
  <si>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</si>
  <si>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</si>
  <si>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</si>
  <si>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</si>
  <si>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</si>
  <si>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</si>
  <si>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</si>
  <si>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</si>
  <si>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</si>
  <si>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</si>
  <si>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</si>
  <si>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</si>
  <si>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</si>
  <si>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</si>
  <si>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</si>
  <si>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</si>
  <si>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</si>
  <si>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</si>
  <si>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</si>
  <si>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</si>
  <si>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</si>
  <si>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</si>
  <si>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</si>
  <si>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</si>
  <si>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</si>
  <si>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</si>
  <si>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</si>
  <si>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</si>
  <si>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</si>
  <si>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</si>
  <si>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</si>
  <si>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</si>
  <si>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</si>
  <si>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</si>
  <si>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</si>
  <si>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</si>
  <si>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</si>
  <si>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</si>
  <si>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</si>
  <si>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</si>
  <si>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</si>
  <si>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</si>
  <si>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</si>
  <si>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</si>
  <si>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</si>
  <si>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</si>
  <si>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</si>
  <si>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</si>
  <si>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</si>
  <si>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</si>
  <si>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</si>
  <si>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</si>
  <si>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</si>
  <si>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</si>
  <si>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</si>
  <si>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</si>
  <si>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</si>
  <si>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</si>
  <si>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</si>
  <si>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</si>
  <si>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</si>
  <si>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</si>
  <si>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</si>
  <si>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</si>
  <si>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</si>
  <si>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</si>
  <si>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</si>
  <si>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</si>
  <si>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</si>
  <si>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</si>
  <si>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</si>
  <si>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</si>
  <si>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</si>
  <si>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</si>
  <si>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</si>
  <si>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</si>
  <si>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</si>
  <si>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</si>
  <si>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</si>
  <si>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</si>
  <si>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</si>
  <si>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</si>
  <si>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</si>
  <si>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</si>
  <si>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</si>
  <si>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</si>
  <si>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</si>
  <si>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</si>
  <si>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</si>
  <si>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</si>
  <si>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</si>
  <si>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</si>
  <si>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</si>
  <si>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</si>
  <si>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</si>
  <si>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</si>
  <si>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</si>
  <si>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</si>
  <si>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</si>
  <si>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</si>
  <si>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</si>
  <si>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</si>
  <si>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</si>
  <si>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</si>
  <si>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</si>
  <si>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</si>
  <si>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</si>
  <si>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</si>
  <si>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</si>
  <si>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</si>
  <si>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</si>
  <si>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</si>
  <si>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</si>
  <si>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</si>
  <si>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</si>
  <si>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</si>
  <si>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</si>
  <si>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</si>
  <si>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</si>
  <si>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</si>
  <si>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</si>
  <si>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</si>
  <si>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</si>
  <si>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</si>
  <si>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</si>
  <si>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</si>
  <si>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</si>
  <si>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</si>
  <si>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</si>
  <si>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</si>
  <si>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</si>
  <si>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</si>
  <si>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</si>
  <si>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</si>
  <si>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</si>
  <si>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</si>
  <si>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</si>
  <si>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</si>
  <si>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</si>
  <si>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</si>
  <si>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</si>
  <si>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</si>
  <si>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</si>
  <si>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</si>
  <si>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</si>
  <si>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</si>
  <si>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</si>
  <si>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</si>
  <si>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</si>
  <si>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</si>
  <si>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</si>
  <si>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</si>
  <si>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</si>
  <si>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</si>
  <si>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</si>
  <si>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</si>
  <si>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</si>
  <si>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</si>
  <si>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</si>
  <si>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</si>
  <si>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</si>
  <si>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</si>
  <si>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</si>
  <si>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</si>
  <si>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</si>
  <si>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</si>
  <si>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</si>
  <si>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</si>
  <si>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한국폴리텍대학 순천캠퍼스 복합교육동 증축 공사(건축, 토목, 조경, 기계설비)</t>
    <phoneticPr fontId="2" type="noConversion"/>
  </si>
  <si>
    <t>교육연구</t>
  </si>
  <si>
    <t>(지붕및홈통공사 포함)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</si>
  <si>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</si>
  <si>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</si>
  <si>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기초공사,골재비및운반비,작업부산물,품질시험비,기타공사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</si>
  <si>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</si>
  <si>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</si>
  <si>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</si>
  <si>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기타공사</t>
    <phoneticPr fontId="2" type="noConversion"/>
  </si>
  <si>
    <t>우수공사,오수공사</t>
    <phoneticPr fontId="2" type="noConversion"/>
  </si>
  <si>
    <t>운반비,기타공사</t>
    <phoneticPr fontId="2" type="noConversion"/>
  </si>
  <si>
    <t>조경시설물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</si>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</sst>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5271.7</v>
      </c>
      <c r="D7" s="36">
        <f>+C7/3.3058</f>
        <v>1594.6820739306672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936080</v>
      </c>
      <c r="E25" s="59">
        <f t="shared" si="0"/>
        <v>3094490</v>
      </c>
    </row>
    <row r="26" spans="1:5" x14ac:dyDescent="0.3">
      <c r="B26" s="2">
        <v>3</v>
      </c>
      <c r="C26" s="35" t="s">
        <v>95</v>
      </c>
      <c r="D26" s="45">
        <f>+D66</f>
        <v>10940</v>
      </c>
      <c r="E26" s="59">
        <f t="shared" si="0"/>
        <v>36160</v>
      </c>
    </row>
    <row r="27" spans="1:5" x14ac:dyDescent="0.3">
      <c r="B27" s="2">
        <v>4</v>
      </c>
      <c r="C27" s="35" t="s">
        <v>96</v>
      </c>
      <c r="D27" s="45">
        <f>+D95</f>
        <v>184800</v>
      </c>
      <c r="E27" s="59">
        <f t="shared" si="0"/>
        <v>610910</v>
      </c>
    </row>
    <row r="28" spans="1:5" x14ac:dyDescent="0.3">
      <c r="B28" s="2">
        <v>5</v>
      </c>
      <c r="C28" s="35" t="s">
        <v>97</v>
      </c>
      <c r="D28" s="45">
        <f>+D119</f>
        <v>200940</v>
      </c>
      <c r="E28" s="59">
        <f t="shared" si="0"/>
        <v>664260</v>
      </c>
    </row>
    <row r="29" spans="1:5" x14ac:dyDescent="0.3">
      <c r="B29" s="2">
        <v>6</v>
      </c>
      <c r="C29" s="35" t="s">
        <v>98</v>
      </c>
      <c r="D29" s="45">
        <f>+D133</f>
        <v>80880</v>
      </c>
      <c r="E29" s="59">
        <f t="shared" si="0"/>
        <v>267370</v>
      </c>
    </row>
    <row r="30" spans="1:5" x14ac:dyDescent="0.3">
      <c r="B30" s="2">
        <v>7</v>
      </c>
      <c r="C30" s="35" t="s">
        <v>99</v>
      </c>
      <c r="D30" s="45">
        <f>+D146</f>
        <v>78740</v>
      </c>
      <c r="E30" s="59">
        <f t="shared" si="0"/>
        <v>260290</v>
      </c>
    </row>
    <row r="31" spans="1:5" x14ac:dyDescent="0.3">
      <c r="B31" s="2">
        <v>8</v>
      </c>
      <c r="C31" s="35" t="s">
        <v>100</v>
      </c>
      <c r="D31" s="45">
        <f>+D154</f>
        <v>67910</v>
      </c>
      <c r="E31" s="59">
        <f t="shared" si="0"/>
        <v>224490</v>
      </c>
    </row>
    <row r="32" spans="1:5" x14ac:dyDescent="0.3">
      <c r="B32" s="2">
        <v>9</v>
      </c>
      <c r="C32" s="35" t="s">
        <v>101</v>
      </c>
      <c r="D32" s="45">
        <f>+D161</f>
        <v>17060</v>
      </c>
      <c r="E32" s="59">
        <f t="shared" si="0"/>
        <v>56390</v>
      </c>
    </row>
    <row r="33" spans="1:7" x14ac:dyDescent="0.3">
      <c r="B33" s="2">
        <v>10</v>
      </c>
      <c r="C33" s="35" t="s">
        <v>154</v>
      </c>
      <c r="D33" s="53">
        <f>TRUNC(SUM(D24:D32)*0.275,-1)</f>
        <v>433770</v>
      </c>
      <c r="E33" s="60">
        <f t="shared" si="0"/>
        <v>1433950</v>
      </c>
    </row>
    <row r="34" spans="1:7" x14ac:dyDescent="0.3">
      <c r="C34" s="35" t="s">
        <v>112</v>
      </c>
      <c r="D34" s="44">
        <f>SUM(D24:D33)</f>
        <v>2011120</v>
      </c>
      <c r="E34" s="44">
        <f>SUM(E24:E33)</f>
        <v>6648310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239</v>
      </c>
      <c r="D39" s="57" t="s">
        <v>238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TRUNC(67125,-1)</f>
        <v>67120</v>
      </c>
      <c r="E40" s="62">
        <f t="shared" ref="E40:E59" si="1">TRUNC(+D40*3.3058,-1)</f>
        <v>221880</v>
      </c>
    </row>
    <row r="41" spans="1:7" x14ac:dyDescent="0.3">
      <c r="A41" s="2">
        <v>2</v>
      </c>
      <c r="C41" s="38" t="s">
        <v>13</v>
      </c>
      <c r="D41" s="42">
        <f>TRUNC(181274,-1)</f>
        <v>181270</v>
      </c>
      <c r="E41" s="63">
        <f t="shared" si="1"/>
        <v>599240</v>
      </c>
    </row>
    <row r="42" spans="1:7" x14ac:dyDescent="0.3">
      <c r="A42" s="2">
        <v>3</v>
      </c>
      <c r="C42" s="38" t="s">
        <v>14</v>
      </c>
      <c r="D42" s="42">
        <f>TRUNC(1103,-1)</f>
        <v>1100</v>
      </c>
      <c r="E42" s="63">
        <f t="shared" si="1"/>
        <v>3630</v>
      </c>
    </row>
    <row r="43" spans="1:7" x14ac:dyDescent="0.3">
      <c r="A43" s="2">
        <v>4</v>
      </c>
      <c r="C43" s="38" t="s">
        <v>16</v>
      </c>
      <c r="D43" s="42">
        <f>TRUNC(41048,-1)</f>
        <v>41040</v>
      </c>
      <c r="E43" s="63">
        <f t="shared" si="1"/>
        <v>135670</v>
      </c>
    </row>
    <row r="44" spans="1:7" x14ac:dyDescent="0.3">
      <c r="A44" s="2">
        <v>5</v>
      </c>
      <c r="C44" s="38" t="s">
        <v>17</v>
      </c>
      <c r="D44" s="42">
        <f>TRUNC(28373,-1)</f>
        <v>28370</v>
      </c>
      <c r="E44" s="63">
        <f t="shared" si="1"/>
        <v>93780</v>
      </c>
    </row>
    <row r="45" spans="1:7" x14ac:dyDescent="0.3">
      <c r="A45" s="2">
        <v>6</v>
      </c>
      <c r="C45" s="38" t="s">
        <v>18</v>
      </c>
      <c r="D45" s="42">
        <f>TRUNC(26844,-1)</f>
        <v>26840</v>
      </c>
      <c r="E45" s="63">
        <f t="shared" si="1"/>
        <v>88720</v>
      </c>
    </row>
    <row r="46" spans="1:7" x14ac:dyDescent="0.3">
      <c r="A46" s="2">
        <v>7</v>
      </c>
      <c r="C46" s="38" t="s">
        <v>19</v>
      </c>
      <c r="D46" s="42">
        <f>TRUNC(24019,-1)</f>
        <v>24010</v>
      </c>
      <c r="E46" s="63">
        <f t="shared" si="1"/>
        <v>79370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TRUNC(48443,-1)</f>
        <v>48440</v>
      </c>
      <c r="E48" s="63">
        <f t="shared" si="1"/>
        <v>160130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TRUNC(33454,-1)</f>
        <v>33450</v>
      </c>
      <c r="E49" s="63">
        <f t="shared" si="1"/>
        <v>110570</v>
      </c>
    </row>
    <row r="50" spans="1:7" x14ac:dyDescent="0.3">
      <c r="A50" s="2">
        <v>11</v>
      </c>
      <c r="C50" s="38" t="s">
        <v>155</v>
      </c>
      <c r="D50" s="42">
        <f>TRUNC(61203,-1)</f>
        <v>61200</v>
      </c>
      <c r="E50" s="63">
        <f t="shared" si="1"/>
        <v>202310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TRUNC(14889,-1)</f>
        <v>14880</v>
      </c>
      <c r="E52" s="63">
        <f t="shared" si="1"/>
        <v>49190</v>
      </c>
    </row>
    <row r="53" spans="1:7" x14ac:dyDescent="0.3">
      <c r="A53" s="2">
        <v>14</v>
      </c>
      <c r="C53" s="38" t="s">
        <v>25</v>
      </c>
      <c r="D53" s="42">
        <f>TRUNC(84629,-1)</f>
        <v>84620</v>
      </c>
      <c r="E53" s="63">
        <f t="shared" si="1"/>
        <v>279730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TRUNC(21090+6958-891+174+4174,-1)</f>
        <v>31500</v>
      </c>
      <c r="E58" s="63">
        <f t="shared" si="1"/>
        <v>104130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TRUNC(292243,-1)</f>
        <v>292240</v>
      </c>
      <c r="E59" s="64">
        <f t="shared" si="1"/>
        <v>966080</v>
      </c>
    </row>
    <row r="60" spans="1:7" x14ac:dyDescent="0.3">
      <c r="A60" s="2">
        <v>21</v>
      </c>
      <c r="C60" s="27" t="s">
        <v>112</v>
      </c>
      <c r="D60" s="39">
        <f>SUM(D40:D59)</f>
        <v>936080</v>
      </c>
      <c r="E60" s="39">
        <f>SUM(E40:E59)</f>
        <v>3094430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TRUNC(10947,-1)</f>
        <v>10940</v>
      </c>
      <c r="E63" s="62">
        <f>TRUNC(+D63*3.3058,-1)</f>
        <v>36160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10940</v>
      </c>
      <c r="E66" s="65">
        <f>SUM(E63:E65)</f>
        <v>36160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TRUNC(6152,-1)</f>
        <v>6150</v>
      </c>
      <c r="E69" s="62">
        <f t="shared" ref="E69:E94" si="2">TRUNC(+D69*3.3058,-1)</f>
        <v>20330</v>
      </c>
    </row>
    <row r="70" spans="1:7" ht="16.5" customHeight="1" x14ac:dyDescent="0.3">
      <c r="A70" s="2">
        <v>2</v>
      </c>
      <c r="C70" s="38" t="s">
        <v>31</v>
      </c>
      <c r="D70" s="42">
        <f>TRUNC(622,-1)</f>
        <v>620</v>
      </c>
      <c r="E70" s="63">
        <f t="shared" si="2"/>
        <v>2040</v>
      </c>
    </row>
    <row r="71" spans="1:7" x14ac:dyDescent="0.3">
      <c r="A71" s="2">
        <v>3</v>
      </c>
      <c r="C71" s="38" t="s">
        <v>32</v>
      </c>
      <c r="D71" s="42">
        <f>TRUNC(8512,-1)</f>
        <v>8510</v>
      </c>
      <c r="E71" s="63">
        <f t="shared" si="2"/>
        <v>28130</v>
      </c>
    </row>
    <row r="72" spans="1:7" x14ac:dyDescent="0.3">
      <c r="A72" s="2">
        <v>4</v>
      </c>
      <c r="C72" s="38" t="s">
        <v>33</v>
      </c>
      <c r="D72" s="42">
        <f>TRUNC(7113,-1)</f>
        <v>7110</v>
      </c>
      <c r="E72" s="63">
        <f t="shared" si="2"/>
        <v>23500</v>
      </c>
    </row>
    <row r="73" spans="1:7" x14ac:dyDescent="0.3">
      <c r="A73" s="2">
        <v>5</v>
      </c>
      <c r="C73" s="38" t="s">
        <v>34</v>
      </c>
      <c r="D73" s="42">
        <f>TRUNC(7801,-1)</f>
        <v>7800</v>
      </c>
      <c r="E73" s="63">
        <f t="shared" si="2"/>
        <v>25780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TRUNC(42071,-1)</f>
        <v>42070</v>
      </c>
      <c r="E76" s="63">
        <f t="shared" si="2"/>
        <v>139070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TRUNC(3838,-1)</f>
        <v>3830</v>
      </c>
      <c r="E89" s="63">
        <f t="shared" si="2"/>
        <v>12660</v>
      </c>
    </row>
    <row r="90" spans="1:7" x14ac:dyDescent="0.3">
      <c r="A90" s="2">
        <v>22</v>
      </c>
      <c r="C90" s="38" t="s">
        <v>36</v>
      </c>
      <c r="D90" s="42">
        <f>TRUNC(1193,-1)</f>
        <v>1190</v>
      </c>
      <c r="E90" s="63">
        <f t="shared" si="2"/>
        <v>3930</v>
      </c>
    </row>
    <row r="91" spans="1:7" x14ac:dyDescent="0.3">
      <c r="A91" s="2">
        <v>23</v>
      </c>
      <c r="C91" s="38" t="s">
        <v>37</v>
      </c>
      <c r="D91" s="42">
        <f>TRUNC(5985,-1)</f>
        <v>5980</v>
      </c>
      <c r="E91" s="63">
        <f t="shared" si="2"/>
        <v>19760</v>
      </c>
    </row>
    <row r="92" spans="1:7" x14ac:dyDescent="0.3">
      <c r="A92" s="2">
        <v>24</v>
      </c>
      <c r="C92" s="38" t="s">
        <v>38</v>
      </c>
      <c r="D92" s="42">
        <v>7430</v>
      </c>
      <c r="E92" s="63">
        <f t="shared" si="2"/>
        <v>24560</v>
      </c>
    </row>
    <row r="93" spans="1:7" x14ac:dyDescent="0.3">
      <c r="A93" s="2">
        <v>25</v>
      </c>
      <c r="C93" s="38" t="s">
        <v>148</v>
      </c>
      <c r="D93" s="42">
        <f>TRUNC(94113,-1)</f>
        <v>94110</v>
      </c>
      <c r="E93" s="63">
        <f t="shared" si="2"/>
        <v>311100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184800</v>
      </c>
      <c r="E95" s="39">
        <f>SUM(E69:E94)</f>
        <v>610860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TRUNC(14012,-1)</f>
        <v>14010</v>
      </c>
      <c r="E98" s="62">
        <f t="shared" ref="E98:E118" si="3">TRUNC(+D98*3.3058,-1)</f>
        <v>46310</v>
      </c>
    </row>
    <row r="99" spans="1:7" x14ac:dyDescent="0.3">
      <c r="A99" s="2">
        <v>2</v>
      </c>
      <c r="C99" s="38" t="s">
        <v>40</v>
      </c>
      <c r="D99" s="42">
        <f>TRUNC(15392,-1)</f>
        <v>15390</v>
      </c>
      <c r="E99" s="63">
        <f t="shared" si="3"/>
        <v>50870</v>
      </c>
    </row>
    <row r="100" spans="1:7" x14ac:dyDescent="0.3">
      <c r="A100" s="2">
        <v>3</v>
      </c>
      <c r="C100" s="38" t="s">
        <v>41</v>
      </c>
      <c r="D100" s="42">
        <f>TRUNC(35545,-1)</f>
        <v>35540</v>
      </c>
      <c r="E100" s="63">
        <f t="shared" si="3"/>
        <v>117480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TRUNC(15966,-1)</f>
        <v>15960</v>
      </c>
      <c r="E102" s="63">
        <f t="shared" si="3"/>
        <v>52760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TRUNC(3996,-1)</f>
        <v>3990</v>
      </c>
      <c r="E104" s="63">
        <f t="shared" si="3"/>
        <v>13190</v>
      </c>
    </row>
    <row r="105" spans="1:7" x14ac:dyDescent="0.3">
      <c r="A105" s="2">
        <v>8</v>
      </c>
      <c r="C105" s="38" t="s">
        <v>46</v>
      </c>
      <c r="D105" s="42">
        <f>TRUNC(3665,-1)</f>
        <v>3660</v>
      </c>
      <c r="E105" s="63">
        <f t="shared" si="3"/>
        <v>12090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TRUNC(96164,-1)</f>
        <v>96160</v>
      </c>
      <c r="E117" s="63">
        <f t="shared" si="3"/>
        <v>317880</v>
      </c>
    </row>
    <row r="118" spans="1:7" ht="17.25" thickBot="1" x14ac:dyDescent="0.35">
      <c r="A118" s="2">
        <v>21</v>
      </c>
      <c r="C118" s="38" t="s">
        <v>47</v>
      </c>
      <c r="D118" s="43">
        <f>TRUNC(16237,-1)</f>
        <v>16230</v>
      </c>
      <c r="E118" s="64">
        <f t="shared" si="3"/>
        <v>53650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200940</v>
      </c>
      <c r="E119" s="39">
        <f>SUM(E98:E118)</f>
        <v>664230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TRUNC(2367,-1)</f>
        <v>2360</v>
      </c>
      <c r="E122" s="62">
        <f t="shared" ref="E122:E132" si="4">TRUNC(+D122*3.3058,-1)</f>
        <v>7800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TRUNC(14255,-1)</f>
        <v>14250</v>
      </c>
      <c r="E125" s="63">
        <f t="shared" si="4"/>
        <v>47100</v>
      </c>
    </row>
    <row r="126" spans="1:7" x14ac:dyDescent="0.3">
      <c r="A126" s="2">
        <v>5</v>
      </c>
      <c r="C126" s="38" t="s">
        <v>53</v>
      </c>
      <c r="D126" s="42">
        <f>TRUNC(23302,-1)</f>
        <v>23300</v>
      </c>
      <c r="E126" s="63">
        <f t="shared" si="4"/>
        <v>77020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TRUNC(8415,-1)</f>
        <v>8410</v>
      </c>
      <c r="E131" s="63">
        <f t="shared" si="4"/>
        <v>27800</v>
      </c>
    </row>
    <row r="132" spans="1:7" ht="18" thickBot="1" x14ac:dyDescent="0.35">
      <c r="A132" s="2">
        <v>11</v>
      </c>
      <c r="C132" s="38" t="s">
        <v>47</v>
      </c>
      <c r="D132" s="43">
        <f>TRUNC(1164+31402,-1)</f>
        <v>32560</v>
      </c>
      <c r="E132" s="64">
        <f t="shared" si="4"/>
        <v>107630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80880</v>
      </c>
      <c r="E133" s="39">
        <f>SUM(E122:E132)</f>
        <v>267350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TRUNC(735,-1)</f>
        <v>730</v>
      </c>
      <c r="E137" s="63">
        <f t="shared" si="5"/>
        <v>2410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TRUNC(1859,-1)</f>
        <v>1850</v>
      </c>
      <c r="E139" s="63">
        <f t="shared" si="5"/>
        <v>6110</v>
      </c>
    </row>
    <row r="140" spans="1:7" x14ac:dyDescent="0.3">
      <c r="A140" s="2">
        <v>5</v>
      </c>
      <c r="C140" s="38" t="s">
        <v>57</v>
      </c>
      <c r="D140" s="42">
        <f>TRUNC(40881,-1)</f>
        <v>40880</v>
      </c>
      <c r="E140" s="63">
        <f t="shared" si="5"/>
        <v>135140</v>
      </c>
    </row>
    <row r="141" spans="1:7" x14ac:dyDescent="0.3">
      <c r="A141" s="2">
        <v>6</v>
      </c>
      <c r="C141" s="38" t="s">
        <v>59</v>
      </c>
      <c r="D141" s="42">
        <f>TRUNC(10411,-1)</f>
        <v>10410</v>
      </c>
      <c r="E141" s="63">
        <f t="shared" si="5"/>
        <v>34410</v>
      </c>
    </row>
    <row r="142" spans="1:7" x14ac:dyDescent="0.3">
      <c r="A142" s="2">
        <v>7</v>
      </c>
      <c r="C142" s="38" t="s">
        <v>58</v>
      </c>
      <c r="D142" s="42">
        <v>9740</v>
      </c>
      <c r="E142" s="63">
        <f t="shared" si="5"/>
        <v>32190</v>
      </c>
    </row>
    <row r="143" spans="1:7" x14ac:dyDescent="0.3">
      <c r="A143" s="2">
        <v>8</v>
      </c>
      <c r="C143" s="38" t="s">
        <v>62</v>
      </c>
      <c r="D143" s="42">
        <f>TRUNC(8663,-1)</f>
        <v>8660</v>
      </c>
      <c r="E143" s="63">
        <f t="shared" si="5"/>
        <v>28620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6470</v>
      </c>
      <c r="E145" s="64">
        <f t="shared" si="5"/>
        <v>21380</v>
      </c>
    </row>
    <row r="146" spans="1:7" x14ac:dyDescent="0.3">
      <c r="A146" s="2">
        <v>11</v>
      </c>
      <c r="C146" s="27" t="s">
        <v>112</v>
      </c>
      <c r="D146" s="39">
        <f>SUM(D136:D145)</f>
        <v>78740</v>
      </c>
      <c r="E146" s="39">
        <f>SUM(E136:E145)</f>
        <v>260260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TRUNC(15219+2853,-1)</f>
        <v>18070</v>
      </c>
      <c r="E149" s="62">
        <f>TRUNC(+D149*3.3058,-1)</f>
        <v>59730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TRUNC(12039,-1)</f>
        <v>12030</v>
      </c>
      <c r="E150" s="63">
        <f>TRUNC(+D150*3.3058,-1)</f>
        <v>39760</v>
      </c>
    </row>
    <row r="151" spans="1:7" x14ac:dyDescent="0.3">
      <c r="A151" s="2">
        <v>3</v>
      </c>
      <c r="C151" s="38" t="s">
        <v>50</v>
      </c>
      <c r="D151" s="42">
        <f>TRUNC(1534,-1)</f>
        <v>1530</v>
      </c>
      <c r="E151" s="63">
        <f>TRUNC(+D151*3.3058,-1)</f>
        <v>5050</v>
      </c>
    </row>
    <row r="152" spans="1:7" x14ac:dyDescent="0.3">
      <c r="A152" s="2">
        <v>4</v>
      </c>
      <c r="C152" s="38" t="s">
        <v>47</v>
      </c>
      <c r="D152" s="42">
        <f>TRUNC(365+3992,-1)</f>
        <v>4350</v>
      </c>
      <c r="E152" s="63">
        <f>TRUNC(+D152*3.3058,-1)</f>
        <v>14380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f>TRUNC(31931,-1)</f>
        <v>31930</v>
      </c>
      <c r="E153" s="64">
        <f>TRUNC(+D153*3.3058,-1)</f>
        <v>105550</v>
      </c>
    </row>
    <row r="154" spans="1:7" x14ac:dyDescent="0.3">
      <c r="A154" s="2">
        <v>6</v>
      </c>
      <c r="C154" s="27" t="s">
        <v>112</v>
      </c>
      <c r="D154" s="39">
        <f>SUM(D149:D153)</f>
        <v>67910</v>
      </c>
      <c r="E154" s="39">
        <f>SUM(E149:E153)</f>
        <v>224470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TRUNC(13367,-1)</f>
        <v>13360</v>
      </c>
      <c r="E157" s="62">
        <f>TRUNC(+D157*3.3058,-1)</f>
        <v>44160</v>
      </c>
    </row>
    <row r="158" spans="1:7" x14ac:dyDescent="0.3">
      <c r="A158" s="2">
        <v>2</v>
      </c>
      <c r="C158" s="38" t="s">
        <v>52</v>
      </c>
      <c r="D158" s="42">
        <v>2490</v>
      </c>
      <c r="E158" s="63">
        <f>TRUNC(+D158*3.3058,-1)</f>
        <v>8230</v>
      </c>
      <c r="F158" s="2" t="s">
        <v>261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1210</v>
      </c>
      <c r="E160" s="64">
        <f>TRUNC(+D160*3.3058,-1)</f>
        <v>4000</v>
      </c>
    </row>
    <row r="161" spans="1:5" x14ac:dyDescent="0.3">
      <c r="A161" s="2">
        <v>5</v>
      </c>
      <c r="C161" s="27" t="s">
        <v>112</v>
      </c>
      <c r="D161" s="39">
        <f>SUM(D157:D160)</f>
        <v>17060</v>
      </c>
      <c r="E161" s="39">
        <f>SUM(E157:E160)</f>
        <v>56390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2020-12-08T04:22:29Z</dcterms:modified>
</cp:coreProperties>
</file>