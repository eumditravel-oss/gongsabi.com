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64" i="4" l="1"/>
  <c r="D58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7" i="4"/>
  <c r="E124" i="4"/>
  <c r="E116" i="4"/>
  <c r="E115" i="4"/>
  <c r="E113" i="4"/>
  <c r="E112" i="4"/>
  <c r="E111" i="4"/>
  <c r="E110" i="4"/>
  <c r="E109" i="4"/>
  <c r="E108" i="4"/>
  <c r="E107" i="4"/>
  <c r="E106" i="4"/>
  <c r="E102" i="4"/>
  <c r="E101" i="4"/>
  <c r="E100" i="4"/>
  <c r="E91" i="4"/>
  <c r="E90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65" i="4"/>
  <c r="E64" i="4"/>
  <c r="E63" i="4"/>
  <c r="E58" i="4"/>
  <c r="E57" i="4"/>
  <c r="E56" i="4"/>
  <c r="E54" i="4"/>
  <c r="E146" i="4" l="1"/>
  <c r="E154" i="4"/>
  <c r="E66" i="4"/>
  <c r="D59" i="4"/>
  <c r="E59" i="4" s="1"/>
  <c r="D93" i="4"/>
  <c r="E93" i="4" s="1"/>
  <c r="D117" i="4"/>
  <c r="E117" i="4" s="1"/>
  <c r="D131" i="4"/>
  <c r="E131" i="4" s="1"/>
  <c r="D132" i="4"/>
  <c r="E132" i="4" s="1"/>
  <c r="D123" i="4"/>
  <c r="E123" i="4" s="1"/>
  <c r="D122" i="4"/>
  <c r="E122" i="4" s="1"/>
  <c r="D128" i="4"/>
  <c r="E128" i="4" s="1"/>
  <c r="D126" i="4"/>
  <c r="E126" i="4" s="1"/>
  <c r="D125" i="4"/>
  <c r="E125" i="4" s="1"/>
  <c r="E133" i="4" s="1"/>
  <c r="D118" i="4"/>
  <c r="E118" i="4" s="1"/>
  <c r="D114" i="4"/>
  <c r="E114" i="4" s="1"/>
  <c r="D105" i="4"/>
  <c r="E105" i="4" s="1"/>
  <c r="D104" i="4"/>
  <c r="E104" i="4" s="1"/>
  <c r="D103" i="4"/>
  <c r="E103" i="4" s="1"/>
  <c r="D99" i="4"/>
  <c r="E99" i="4" s="1"/>
  <c r="D98" i="4"/>
  <c r="E98" i="4" s="1"/>
  <c r="D94" i="4"/>
  <c r="E94" i="4" s="1"/>
  <c r="D92" i="4"/>
  <c r="E92" i="4" s="1"/>
  <c r="D89" i="4"/>
  <c r="E89" i="4" s="1"/>
  <c r="D84" i="4"/>
  <c r="E84" i="4" s="1"/>
  <c r="D79" i="4"/>
  <c r="E79" i="4" s="1"/>
  <c r="D73" i="4"/>
  <c r="E73" i="4" s="1"/>
  <c r="D72" i="4"/>
  <c r="E72" i="4" s="1"/>
  <c r="D71" i="4"/>
  <c r="E71" i="4" s="1"/>
  <c r="D70" i="4"/>
  <c r="E70" i="4" s="1"/>
  <c r="D69" i="4"/>
  <c r="E6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D159" i="4"/>
  <c r="E159" i="4" s="1"/>
  <c r="E161" i="4" s="1"/>
  <c r="D152" i="4"/>
  <c r="E152" i="4" s="1"/>
  <c r="E95" i="4" l="1"/>
  <c r="E119" i="4"/>
  <c r="D161" i="4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<sst xmlns="http://schemas.openxmlformats.org/spreadsheetml/2006/main" count="392" uniqueCount="267">
  <si>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</si>
  <si>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</si>
  <si>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</si>
  <si>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</si>
  <si>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</si>
  <si>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</si>
  <si>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</si>
  <si>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</si>
  <si>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</si>
  <si>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</si>
  <si>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</si>
  <si>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</si>
  <si>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</si>
  <si>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</si>
  <si>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</si>
  <si>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</si>
  <si>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</si>
  <si>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</si>
  <si>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</si>
  <si>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</si>
  <si>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</si>
  <si>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</si>
  <si>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</si>
  <si>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</si>
  <si>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</si>
  <si>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</si>
  <si>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</si>
  <si>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</si>
  <si>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</si>
  <si>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</si>
  <si>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</si>
  <si>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</si>
  <si>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</si>
  <si>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</si>
  <si>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</si>
  <si>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</si>
  <si>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</si>
  <si>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</si>
  <si>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</si>
  <si>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</si>
  <si>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</si>
  <si>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</si>
  <si>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</si>
  <si>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</si>
  <si>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</si>
  <si>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</si>
  <si>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</si>
  <si>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</si>
  <si>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</si>
  <si>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</si>
  <si>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</si>
  <si>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</si>
  <si>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</si>
  <si>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</si>
  <si>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</si>
  <si>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</si>
  <si>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</si>
  <si>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</si>
  <si>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</si>
  <si>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</si>
  <si>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</si>
  <si>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</si>
  <si>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</si>
  <si>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</si>
  <si>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</si>
  <si>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</si>
  <si>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</si>
  <si>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</si>
  <si>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</si>
  <si>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</si>
  <si>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</si>
  <si>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</si>
  <si>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</si>
  <si>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</si>
  <si>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</si>
  <si>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</si>
  <si>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</si>
  <si>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</si>
  <si>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</si>
  <si>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</si>
  <si>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</si>
  <si>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</si>
  <si>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</si>
  <si>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</si>
  <si>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</si>
  <si>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</si>
  <si>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</si>
  <si>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</si>
  <si>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</si>
  <si>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</si>
  <si>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</si>
  <si>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</si>
  <si>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</si>
  <si>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</si>
  <si>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</si>
  <si>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</si>
  <si>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</si>
  <si>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</si>
  <si>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</si>
  <si>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</si>
  <si>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</si>
  <si>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</si>
  <si>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</si>
  <si>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</si>
  <si>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</si>
  <si>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</si>
  <si>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</si>
  <si>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</si>
  <si>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</si>
  <si>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</si>
  <si>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</si>
  <si>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</si>
  <si>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</si>
  <si>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</si>
  <si>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</si>
  <si>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</si>
  <si>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</si>
  <si>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</si>
  <si>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</si>
  <si>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</si>
  <si>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</si>
  <si>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</si>
  <si>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</si>
  <si>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</si>
  <si>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</si>
  <si>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</si>
  <si>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</si>
  <si>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</si>
  <si>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</si>
  <si>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</si>
  <si>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</si>
  <si>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</si>
  <si>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</si>
  <si>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</si>
  <si>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</si>
  <si>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</si>
  <si>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</si>
  <si>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</si>
  <si>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</si>
  <si>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</si>
  <si>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</si>
  <si>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</si>
  <si>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</si>
  <si>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</si>
  <si>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</si>
  <si>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</si>
  <si>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</si>
  <si>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</si>
  <si>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</si>
  <si>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</si>
  <si>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</si>
  <si>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</si>
  <si>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</si>
  <si>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</si>
  <si>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</si>
  <si>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</si>
  <si>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</si>
  <si>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</si>
  <si>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</si>
  <si>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</si>
  <si>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</si>
  <si>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</si>
  <si>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</si>
  <si>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</si>
  <si>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</si>
  <si>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</si>
  <si>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</si>
  <si>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</si>
  <si>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</si>
  <si>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</si>
  <si>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</si>
  <si>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</si>
  <si>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</si>
  <si>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</si>
  <si>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</si>
  <si>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</si>
  <si>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</si>
  <si>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</si>
  <si>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</si>
  <si>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</si>
  <si>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</si>
  <si>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</si>
  <si>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</si>
  <si>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</si>
  <si>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</si>
  <si>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</si>
  <si>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</si>
  <si>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</si>
  <si>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</si>
  <si>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</si>
  <si>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</si>
  <si>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</si>
  <si>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</si>
  <si>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</si>
  <si>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</si>
  <si>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</si>
  <si>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</si>
  <si>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</si>
  <si>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</si>
  <si>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</si>
  <si>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</si>
  <si>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</si>
  <si>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</si>
  <si>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</si>
  <si>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</si>
  <si>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</si>
  <si>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</si>
  <si>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</si>
  <si>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</si>
  <si>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</si>
  <si>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</si>
  <si>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</si>
  <si>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</si>
  <si>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</si>
  <si>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</si>
  <si>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</si>
  <si>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</si>
  <si>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</si>
  <si>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</si>
  <si>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</si>
  <si>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</si>
  <si>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</si>
  <si>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</si>
  <si>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</si>
  <si>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</si>
  <si>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</si>
  <si>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</si>
  <si>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</si>
  <si>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</si>
  <si>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</si>
  <si>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</si>
  <si>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</si>
  <si>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</si>
  <si>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</si>
  <si>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</si>
  <si>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</si>
  <si>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</si>
  <si>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</si>
  <si>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</si>
  <si>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</si>
  <si>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</si>
  <si>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</si>
  <si>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</si>
  <si>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</si>
  <si>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</si>
  <si>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</si>
  <si>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</si>
  <si>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</si>
  <si>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00고 교사 증개축공사</t>
    <phoneticPr fontId="2" type="noConversion"/>
  </si>
  <si>
    <t>교육연구</t>
  </si>
  <si>
    <t>전라도</t>
  </si>
  <si>
    <t>부대토목공사</t>
  </si>
  <si>
    <t>조경공사</t>
  </si>
  <si>
    <t>지붕및홈통공사,홈통공사</t>
    <phoneticPr fontId="2" type="noConversion"/>
  </si>
  <si>
    <t>전기난방공사,에어컨드레인배관공사,심정보수및크린캡설치공사,다목적실및시청각실제어공사,무대기계공사,수축열공사,신재생에너지공사</t>
    <phoneticPr fontId="2" type="noConversion"/>
  </si>
  <si>
    <t>옥외간선및전기실설비공사,옥외보안등설비공사</t>
    <phoneticPr fontId="2" type="noConversion"/>
  </si>
  <si>
    <t>최대전력제어설비공사,교사창의동전기설비공사,기숙사동전기설비공사,기숙사3동리모델링전기설비공사,사택전기설비공사,태양광발전설비공사</t>
    <phoneticPr fontId="2" type="noConversion"/>
  </si>
  <si>
    <t>광통신LAN,TEL F/O간선설비공사,LAN,TEL통합배선설비공사,전화설비공사</t>
    <phoneticPr fontId="2" type="noConversion"/>
  </si>
  <si>
    <t>옥외통신설비공사,국선전용전화설비공사,CCTV설비공사,가설공사,철거공사</t>
    <phoneticPr fontId="2" type="noConversion"/>
  </si>
  <si>
    <t>토및지정공사,데크플레이트골사,외벽판넬공사,기타공사,자재대및운반비,작업부산물,포스트텐셔닝공사,철거공사</t>
    <phoneticPr fontId="2" type="noConversion"/>
  </si>
  <si>
    <t>전기 전기소방공사</t>
    <phoneticPr fontId="2" type="noConversion"/>
  </si>
  <si>
    <t>기계 소방기계설비공사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</si>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</sst>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18814</v>
      </c>
      <c r="D7" s="36">
        <f>+C7/3.3058</f>
        <v>5691.2093895577473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6760</v>
      </c>
      <c r="E24" s="58">
        <f t="shared" ref="E24:E33" si="0">TRUNC(+D24*3.3058,-1)</f>
        <v>22340</v>
      </c>
    </row>
    <row r="25" spans="1:5" x14ac:dyDescent="0.3">
      <c r="B25" s="2">
        <v>2</v>
      </c>
      <c r="C25" s="35" t="s">
        <v>111</v>
      </c>
      <c r="D25" s="45">
        <f>+D60</f>
        <v>789730</v>
      </c>
      <c r="E25" s="59">
        <f t="shared" si="0"/>
        <v>2610680</v>
      </c>
    </row>
    <row r="26" spans="1:5" x14ac:dyDescent="0.3">
      <c r="B26" s="2">
        <v>3</v>
      </c>
      <c r="C26" s="35" t="s">
        <v>95</v>
      </c>
      <c r="D26" s="45">
        <f>+D66</f>
        <v>18580</v>
      </c>
      <c r="E26" s="59">
        <f t="shared" si="0"/>
        <v>61420</v>
      </c>
    </row>
    <row r="27" spans="1:5" x14ac:dyDescent="0.3">
      <c r="B27" s="2">
        <v>4</v>
      </c>
      <c r="C27" s="35" t="s">
        <v>96</v>
      </c>
      <c r="D27" s="45">
        <f>+D95</f>
        <v>175510</v>
      </c>
      <c r="E27" s="59">
        <f t="shared" si="0"/>
        <v>580200</v>
      </c>
    </row>
    <row r="28" spans="1:5" x14ac:dyDescent="0.3">
      <c r="B28" s="2">
        <v>5</v>
      </c>
      <c r="C28" s="35" t="s">
        <v>97</v>
      </c>
      <c r="D28" s="45">
        <f>+D119</f>
        <v>99760</v>
      </c>
      <c r="E28" s="59">
        <f t="shared" si="0"/>
        <v>329780</v>
      </c>
    </row>
    <row r="29" spans="1:5" x14ac:dyDescent="0.3">
      <c r="B29" s="2">
        <v>6</v>
      </c>
      <c r="C29" s="35" t="s">
        <v>98</v>
      </c>
      <c r="D29" s="45">
        <f>+D133</f>
        <v>47240</v>
      </c>
      <c r="E29" s="59">
        <f t="shared" si="0"/>
        <v>156160</v>
      </c>
    </row>
    <row r="30" spans="1:5" x14ac:dyDescent="0.3">
      <c r="B30" s="2">
        <v>7</v>
      </c>
      <c r="C30" s="35" t="s">
        <v>99</v>
      </c>
      <c r="D30" s="45">
        <f>+D146</f>
        <v>24480</v>
      </c>
      <c r="E30" s="59">
        <f t="shared" si="0"/>
        <v>80920</v>
      </c>
    </row>
    <row r="31" spans="1:5" x14ac:dyDescent="0.3">
      <c r="B31" s="2">
        <v>8</v>
      </c>
      <c r="C31" s="35" t="s">
        <v>100</v>
      </c>
      <c r="D31" s="45">
        <f>+D154</f>
        <v>51250</v>
      </c>
      <c r="E31" s="59">
        <f t="shared" si="0"/>
        <v>169420</v>
      </c>
    </row>
    <row r="32" spans="1:5" x14ac:dyDescent="0.3">
      <c r="B32" s="2">
        <v>9</v>
      </c>
      <c r="C32" s="35" t="s">
        <v>101</v>
      </c>
      <c r="D32" s="45">
        <f>+D161</f>
        <v>16770</v>
      </c>
      <c r="E32" s="59">
        <f t="shared" si="0"/>
        <v>55430</v>
      </c>
    </row>
    <row r="33" spans="1:7" x14ac:dyDescent="0.3">
      <c r="B33" s="2">
        <v>10</v>
      </c>
      <c r="C33" s="35" t="s">
        <v>154</v>
      </c>
      <c r="D33" s="53">
        <f>TRUNC(SUM(D24:D32)*0.275,-1)</f>
        <v>338270</v>
      </c>
      <c r="E33" s="60">
        <f t="shared" si="0"/>
        <v>1118250</v>
      </c>
    </row>
    <row r="34" spans="1:7" x14ac:dyDescent="0.3">
      <c r="C34" s="35" t="s">
        <v>112</v>
      </c>
      <c r="D34" s="44">
        <f>SUM(D24:D33)</f>
        <v>1568350</v>
      </c>
      <c r="E34" s="44">
        <f>SUM(E24:E33)</f>
        <v>5184600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TRUNC(6763,-1)</f>
        <v>6760</v>
      </c>
      <c r="E37" s="61">
        <f>TRUNC(+D37*3.3058,-1)</f>
        <v>22340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TRUNC(24408,-1)</f>
        <v>24400</v>
      </c>
      <c r="E40" s="62">
        <f t="shared" ref="E40:E59" si="1">TRUNC(+D40*3.3058,-1)</f>
        <v>80660</v>
      </c>
    </row>
    <row r="41" spans="1:7" x14ac:dyDescent="0.3">
      <c r="A41" s="2">
        <v>2</v>
      </c>
      <c r="C41" s="38" t="s">
        <v>13</v>
      </c>
      <c r="D41" s="42">
        <f>TRUNC(80655,-1)</f>
        <v>80650</v>
      </c>
      <c r="E41" s="63">
        <f t="shared" si="1"/>
        <v>266610</v>
      </c>
    </row>
    <row r="42" spans="1:7" x14ac:dyDescent="0.3">
      <c r="A42" s="2">
        <v>3</v>
      </c>
      <c r="C42" s="38" t="s">
        <v>14</v>
      </c>
      <c r="D42" s="42">
        <f>TRUNC(65974,-1)</f>
        <v>65970</v>
      </c>
      <c r="E42" s="63">
        <f t="shared" si="1"/>
        <v>218080</v>
      </c>
    </row>
    <row r="43" spans="1:7" x14ac:dyDescent="0.3">
      <c r="A43" s="2">
        <v>4</v>
      </c>
      <c r="C43" s="38" t="s">
        <v>16</v>
      </c>
      <c r="D43" s="42">
        <f>TRUNC(24571,-1)</f>
        <v>24570</v>
      </c>
      <c r="E43" s="63">
        <f t="shared" si="1"/>
        <v>81220</v>
      </c>
    </row>
    <row r="44" spans="1:7" x14ac:dyDescent="0.3">
      <c r="A44" s="2">
        <v>5</v>
      </c>
      <c r="C44" s="38" t="s">
        <v>17</v>
      </c>
      <c r="D44" s="42">
        <f>TRUNC(18581,-1)</f>
        <v>18580</v>
      </c>
      <c r="E44" s="63">
        <f t="shared" si="1"/>
        <v>61420</v>
      </c>
    </row>
    <row r="45" spans="1:7" x14ac:dyDescent="0.3">
      <c r="A45" s="2">
        <v>6</v>
      </c>
      <c r="C45" s="38" t="s">
        <v>18</v>
      </c>
      <c r="D45" s="42">
        <f>TRUNC(7933,-1)</f>
        <v>7930</v>
      </c>
      <c r="E45" s="63">
        <f t="shared" si="1"/>
        <v>26210</v>
      </c>
    </row>
    <row r="46" spans="1:7" x14ac:dyDescent="0.3">
      <c r="A46" s="2">
        <v>7</v>
      </c>
      <c r="C46" s="38" t="s">
        <v>19</v>
      </c>
      <c r="D46" s="42">
        <f>TRUNC(20886,-1)</f>
        <v>20880</v>
      </c>
      <c r="E46" s="63">
        <f t="shared" si="1"/>
        <v>69020</v>
      </c>
    </row>
    <row r="47" spans="1:7" x14ac:dyDescent="0.3">
      <c r="A47" s="2">
        <v>8</v>
      </c>
      <c r="C47" s="38" t="s">
        <v>20</v>
      </c>
      <c r="D47" s="42">
        <f>TRUNC(19667,-1)</f>
        <v>19660</v>
      </c>
      <c r="E47" s="63">
        <f t="shared" si="1"/>
        <v>64990</v>
      </c>
    </row>
    <row r="48" spans="1:7" x14ac:dyDescent="0.3">
      <c r="A48" s="2">
        <v>9</v>
      </c>
      <c r="C48" s="38" t="s">
        <v>21</v>
      </c>
      <c r="D48" s="42">
        <f>TRUNC(79131,-1)</f>
        <v>79130</v>
      </c>
      <c r="E48" s="63">
        <f t="shared" si="1"/>
        <v>261580</v>
      </c>
    </row>
    <row r="49" spans="1:7" x14ac:dyDescent="0.3">
      <c r="A49" s="2">
        <v>10</v>
      </c>
      <c r="C49" s="38" t="s">
        <v>22</v>
      </c>
      <c r="D49" s="42">
        <f>TRUNC(23070,-1)</f>
        <v>23070</v>
      </c>
      <c r="E49" s="63">
        <f t="shared" si="1"/>
        <v>76260</v>
      </c>
    </row>
    <row r="50" spans="1:7" x14ac:dyDescent="0.3">
      <c r="A50" s="2">
        <v>11</v>
      </c>
      <c r="C50" s="38" t="s">
        <v>155</v>
      </c>
      <c r="D50" s="42">
        <f>TRUNC(21165,-1)</f>
        <v>21160</v>
      </c>
      <c r="E50" s="63">
        <f t="shared" si="1"/>
        <v>69950</v>
      </c>
    </row>
    <row r="51" spans="1:7" x14ac:dyDescent="0.3">
      <c r="A51" s="2">
        <v>12</v>
      </c>
      <c r="C51" s="38" t="s">
        <v>23</v>
      </c>
      <c r="D51" s="42">
        <f>TRUNC(20568,-1)</f>
        <v>20560</v>
      </c>
      <c r="E51" s="63">
        <f t="shared" si="1"/>
        <v>67960</v>
      </c>
    </row>
    <row r="52" spans="1:7" x14ac:dyDescent="0.3">
      <c r="A52" s="2">
        <v>13</v>
      </c>
      <c r="C52" s="38" t="s">
        <v>24</v>
      </c>
      <c r="D52" s="42">
        <f>TRUNC(6310,-1)</f>
        <v>6310</v>
      </c>
      <c r="E52" s="63">
        <f t="shared" si="1"/>
        <v>20850</v>
      </c>
    </row>
    <row r="53" spans="1:7" x14ac:dyDescent="0.3">
      <c r="A53" s="2">
        <v>14</v>
      </c>
      <c r="C53" s="38" t="s">
        <v>25</v>
      </c>
      <c r="D53" s="42">
        <f>TRUNC(36597,-1)</f>
        <v>36590</v>
      </c>
      <c r="E53" s="63">
        <f t="shared" si="1"/>
        <v>120950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TRUNC(366+2557,-1)</f>
        <v>2920</v>
      </c>
      <c r="E55" s="63">
        <f t="shared" si="1"/>
        <v>9650</v>
      </c>
      <c r="F55" s="2" t="s">
        <v>253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TRUNC(4625+3013+21063+7773+7979-1100+2778+17739,-1)</f>
        <v>63870</v>
      </c>
      <c r="E58" s="63">
        <f t="shared" si="1"/>
        <v>211140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TRUNC(273488,-1)</f>
        <v>273480</v>
      </c>
      <c r="E59" s="64">
        <f t="shared" si="1"/>
        <v>904070</v>
      </c>
    </row>
    <row r="60" spans="1:7" x14ac:dyDescent="0.3">
      <c r="A60" s="2">
        <v>21</v>
      </c>
      <c r="C60" s="27" t="s">
        <v>112</v>
      </c>
      <c r="D60" s="39">
        <f>SUM(D40:D59)</f>
        <v>789730</v>
      </c>
      <c r="E60" s="39">
        <f>SUM(E40:E59)</f>
        <v>2610620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TRUNC(18582,-1)</f>
        <v>18580</v>
      </c>
      <c r="E64" s="63">
        <f>TRUNC(+D64*3.3058,-1)</f>
        <v>61420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18580</v>
      </c>
      <c r="E66" s="65">
        <f>SUM(E63:E65)</f>
        <v>61420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TRUNC(5344,-1)</f>
        <v>5340</v>
      </c>
      <c r="E69" s="62">
        <f t="shared" ref="E69:E94" si="2">TRUNC(+D69*3.3058,-1)</f>
        <v>17650</v>
      </c>
    </row>
    <row r="70" spans="1:7" ht="16.5" customHeight="1" x14ac:dyDescent="0.3">
      <c r="A70" s="2">
        <v>2</v>
      </c>
      <c r="C70" s="38" t="s">
        <v>31</v>
      </c>
      <c r="D70" s="42">
        <f>TRUNC(292,-1)</f>
        <v>290</v>
      </c>
      <c r="E70" s="63">
        <f t="shared" si="2"/>
        <v>950</v>
      </c>
    </row>
    <row r="71" spans="1:7" x14ac:dyDescent="0.3">
      <c r="A71" s="2">
        <v>3</v>
      </c>
      <c r="C71" s="38" t="s">
        <v>32</v>
      </c>
      <c r="D71" s="42">
        <f>TRUNC(2444,-1)</f>
        <v>2440</v>
      </c>
      <c r="E71" s="63">
        <f t="shared" si="2"/>
        <v>8060</v>
      </c>
    </row>
    <row r="72" spans="1:7" x14ac:dyDescent="0.3">
      <c r="A72" s="2">
        <v>4</v>
      </c>
      <c r="C72" s="38" t="s">
        <v>33</v>
      </c>
      <c r="D72" s="42">
        <f>TRUNC(812,-1)</f>
        <v>810</v>
      </c>
      <c r="E72" s="63">
        <f t="shared" si="2"/>
        <v>2670</v>
      </c>
    </row>
    <row r="73" spans="1:7" x14ac:dyDescent="0.3">
      <c r="A73" s="2">
        <v>5</v>
      </c>
      <c r="C73" s="38" t="s">
        <v>34</v>
      </c>
      <c r="D73" s="42">
        <f>TRUNC(10382,-1)</f>
        <v>10380</v>
      </c>
      <c r="E73" s="63">
        <f t="shared" si="2"/>
        <v>34310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TRUNC(4866,-1)</f>
        <v>4860</v>
      </c>
      <c r="E79" s="63">
        <f t="shared" si="2"/>
        <v>16060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TRUNC(519,-1)</f>
        <v>510</v>
      </c>
      <c r="E84" s="63">
        <f t="shared" si="2"/>
        <v>1680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TRUNC(5764,-1)</f>
        <v>5760</v>
      </c>
      <c r="E89" s="63">
        <f t="shared" si="2"/>
        <v>19040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TRUNC(12006,-1)</f>
        <v>12000</v>
      </c>
      <c r="E92" s="63">
        <f t="shared" si="2"/>
        <v>39660</v>
      </c>
    </row>
    <row r="93" spans="1:7" x14ac:dyDescent="0.3">
      <c r="A93" s="2">
        <v>25</v>
      </c>
      <c r="C93" s="38" t="s">
        <v>148</v>
      </c>
      <c r="D93" s="42">
        <f>TRUNC(79989,-1)</f>
        <v>79980</v>
      </c>
      <c r="E93" s="63">
        <f t="shared" si="2"/>
        <v>264390</v>
      </c>
    </row>
    <row r="94" spans="1:7" ht="17.25" thickBot="1" x14ac:dyDescent="0.35">
      <c r="A94" s="2">
        <v>26</v>
      </c>
      <c r="C94" s="38" t="s">
        <v>47</v>
      </c>
      <c r="D94" s="43">
        <f>TRUNC(5173+784+577+389+550+1157+13942+30577,-1)</f>
        <v>53140</v>
      </c>
      <c r="E94" s="64">
        <f t="shared" si="2"/>
        <v>175670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175510</v>
      </c>
      <c r="E95" s="39">
        <f>SUM(E69:E94)</f>
        <v>580140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TRUNC(5403,-1)</f>
        <v>5400</v>
      </c>
      <c r="E98" s="62">
        <f t="shared" ref="E98:E118" si="3">TRUNC(+D98*3.3058,-1)</f>
        <v>17850</v>
      </c>
    </row>
    <row r="99" spans="1:7" x14ac:dyDescent="0.3">
      <c r="A99" s="2">
        <v>2</v>
      </c>
      <c r="C99" s="38" t="s">
        <v>40</v>
      </c>
      <c r="D99" s="42">
        <f>TRUNC(1842,-1)</f>
        <v>1840</v>
      </c>
      <c r="E99" s="63">
        <f t="shared" si="3"/>
        <v>6080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f>TRUNC(5299,-1)</f>
        <v>5290</v>
      </c>
      <c r="E103" s="63">
        <f t="shared" si="3"/>
        <v>17480</v>
      </c>
    </row>
    <row r="104" spans="1:7" x14ac:dyDescent="0.3">
      <c r="A104" s="2">
        <v>7</v>
      </c>
      <c r="C104" s="38" t="s">
        <v>45</v>
      </c>
      <c r="D104" s="42">
        <f>TRUNC(654,-1)</f>
        <v>650</v>
      </c>
      <c r="E104" s="63">
        <f t="shared" si="3"/>
        <v>2140</v>
      </c>
    </row>
    <row r="105" spans="1:7" x14ac:dyDescent="0.3">
      <c r="A105" s="2">
        <v>8</v>
      </c>
      <c r="C105" s="38" t="s">
        <v>46</v>
      </c>
      <c r="D105" s="42">
        <f>TRUNC(1595,-1)</f>
        <v>1590</v>
      </c>
      <c r="E105" s="63">
        <f t="shared" si="3"/>
        <v>5250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TRUNC(5913+1175,-1)</f>
        <v>7080</v>
      </c>
      <c r="E114" s="63">
        <f t="shared" si="3"/>
        <v>23400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TRUNC(42517,-1)</f>
        <v>42510</v>
      </c>
      <c r="E117" s="63">
        <f t="shared" si="3"/>
        <v>140520</v>
      </c>
    </row>
    <row r="118" spans="1:7" ht="17.25" thickBot="1" x14ac:dyDescent="0.35">
      <c r="A118" s="2">
        <v>21</v>
      </c>
      <c r="C118" s="38" t="s">
        <v>47</v>
      </c>
      <c r="D118" s="43">
        <f>TRUNC(466+24471+6448+1018+2311+686,-1)</f>
        <v>35400</v>
      </c>
      <c r="E118" s="64">
        <f t="shared" si="3"/>
        <v>117020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99760</v>
      </c>
      <c r="E119" s="39">
        <f>SUM(E98:E118)</f>
        <v>329740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TRUNC(1030+186,-1)</f>
        <v>1210</v>
      </c>
      <c r="E122" s="62">
        <f t="shared" ref="E122:E132" si="4">TRUNC(+D122*3.3058,-1)</f>
        <v>4000</v>
      </c>
    </row>
    <row r="123" spans="1:7" x14ac:dyDescent="0.3">
      <c r="A123" s="2">
        <v>2</v>
      </c>
      <c r="C123" s="38" t="s">
        <v>124</v>
      </c>
      <c r="D123" s="42">
        <f>TRUNC(6281+4275+288,-1)</f>
        <v>10840</v>
      </c>
      <c r="E123" s="63">
        <f t="shared" si="4"/>
        <v>35830</v>
      </c>
      <c r="F123" s="2" t="s">
        <v>257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TRUNC(3433,-1)</f>
        <v>3430</v>
      </c>
      <c r="E125" s="63">
        <f t="shared" si="4"/>
        <v>11330</v>
      </c>
    </row>
    <row r="126" spans="1:7" x14ac:dyDescent="0.3">
      <c r="A126" s="2">
        <v>5</v>
      </c>
      <c r="C126" s="38" t="s">
        <v>53</v>
      </c>
      <c r="D126" s="42">
        <f>TRUNC(484,-1)</f>
        <v>480</v>
      </c>
      <c r="E126" s="63">
        <f t="shared" si="4"/>
        <v>1580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TRUNC(641,-1)</f>
        <v>640</v>
      </c>
      <c r="E128" s="63">
        <f t="shared" si="4"/>
        <v>2110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TRUNC(24954,-1)</f>
        <v>24950</v>
      </c>
      <c r="E131" s="63">
        <f t="shared" si="4"/>
        <v>82470</v>
      </c>
    </row>
    <row r="132" spans="1:7" ht="18" thickBot="1" x14ac:dyDescent="0.35">
      <c r="A132" s="2">
        <v>11</v>
      </c>
      <c r="C132" s="38" t="s">
        <v>47</v>
      </c>
      <c r="D132" s="43">
        <f>TRUNC(3181+1561+649+159+145,-1)</f>
        <v>5690</v>
      </c>
      <c r="E132" s="64">
        <f t="shared" si="4"/>
        <v>18810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47240</v>
      </c>
      <c r="E133" s="39">
        <f>SUM(E122:E132)</f>
        <v>156130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TRUNC(12567,-1)</f>
        <v>12560</v>
      </c>
      <c r="E136" s="62">
        <f t="shared" ref="E136:E145" si="5">TRUNC(+D136*3.3058,-1)</f>
        <v>41520</v>
      </c>
      <c r="F136" s="2" t="s">
        <v>261</v>
      </c>
    </row>
    <row r="137" spans="1:7" x14ac:dyDescent="0.3">
      <c r="A137" s="2">
        <v>2</v>
      </c>
      <c r="C137" s="38" t="s">
        <v>47</v>
      </c>
      <c r="D137" s="42">
        <f>TRUNC(11921,-1)</f>
        <v>11920</v>
      </c>
      <c r="E137" s="63">
        <f t="shared" si="5"/>
        <v>39400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24480</v>
      </c>
      <c r="E146" s="39">
        <f>SUM(E136:E145)</f>
        <v>80920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TRUNC(51259,-1)</f>
        <v>51250</v>
      </c>
      <c r="E152" s="63">
        <f>TRUNC(+D152*3.3058,-1)</f>
        <v>169420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51250</v>
      </c>
      <c r="E154" s="39">
        <f>SUM(E149:E153)</f>
        <v>169420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TRUNC(16774,-1)</f>
        <v>16770</v>
      </c>
      <c r="E159" s="63">
        <f>TRUNC(+D159*3.3058,-1)</f>
        <v>55430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16770</v>
      </c>
      <c r="E161" s="39">
        <f>SUM(E157:E160)</f>
        <v>55430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2020-12-07T09:37:04Z</dcterms:modified>
</cp:coreProperties>
</file>