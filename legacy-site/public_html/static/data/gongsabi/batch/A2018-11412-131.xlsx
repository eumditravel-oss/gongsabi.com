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8" i="4" l="1"/>
  <c r="D157" i="4"/>
  <c r="D151" i="4"/>
  <c r="D150" i="4"/>
  <c r="D149" i="4"/>
  <c r="D144" i="4"/>
  <c r="D143" i="4"/>
  <c r="D139" i="4"/>
  <c r="D141" i="4"/>
  <c r="D142" i="4"/>
  <c r="D137" i="4"/>
  <c r="D140" i="4"/>
  <c r="D128" i="4"/>
  <c r="D127" i="4"/>
  <c r="D132" i="4"/>
  <c r="D125" i="4"/>
  <c r="D130" i="4"/>
  <c r="D105" i="4"/>
  <c r="D104" i="4"/>
  <c r="D103" i="4"/>
  <c r="D102" i="4"/>
  <c r="D101" i="4"/>
  <c r="D100" i="4"/>
  <c r="D99" i="4"/>
  <c r="D98" i="4"/>
  <c r="D116" i="4"/>
  <c r="D58" i="4"/>
  <c r="D53" i="4"/>
  <c r="D52" i="4"/>
  <c r="D50" i="4"/>
  <c r="D49" i="4"/>
  <c r="D48" i="4"/>
  <c r="D45" i="4"/>
  <c r="D44" i="4"/>
  <c r="D43" i="4"/>
  <c r="D42" i="4"/>
  <c r="D41" i="4"/>
  <c r="D40" i="4"/>
  <c r="D63" i="4"/>
  <c r="D160" i="4"/>
  <c r="D153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54" i="4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<sst xmlns="http://schemas.openxmlformats.org/spreadsheetml/2006/main" count="391" uniqueCount="266">
  <si>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</si>
  <si>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</si>
  <si>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</si>
  <si>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</si>
  <si>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</si>
  <si>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</si>
  <si>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</si>
  <si>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</si>
  <si>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</si>
  <si>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</si>
  <si>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</si>
  <si>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</si>
  <si>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</si>
  <si>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</si>
  <si>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</si>
  <si>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</si>
  <si>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</si>
  <si>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</si>
  <si>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</si>
  <si>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</si>
  <si>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</si>
  <si>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</si>
  <si>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</si>
  <si>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</si>
  <si>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</si>
  <si>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</si>
  <si>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</si>
  <si>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</si>
  <si>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</si>
  <si>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</si>
  <si>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</si>
  <si>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</si>
  <si>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</si>
  <si>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</si>
  <si>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</si>
  <si>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</si>
  <si>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</si>
  <si>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</si>
  <si>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</si>
  <si>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</si>
  <si>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</si>
  <si>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</si>
  <si>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</si>
  <si>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</si>
  <si>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</si>
  <si>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</si>
  <si>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</si>
  <si>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</si>
  <si>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</si>
  <si>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</si>
  <si>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</si>
  <si>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</si>
  <si>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</si>
  <si>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</si>
  <si>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</si>
  <si>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</si>
  <si>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</si>
  <si>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</si>
  <si>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</si>
  <si>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</si>
  <si>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</si>
  <si>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</si>
  <si>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</si>
  <si>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</si>
  <si>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</si>
  <si>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</si>
  <si>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</si>
  <si>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</si>
  <si>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</si>
  <si>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</si>
  <si>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</si>
  <si>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</si>
  <si>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</si>
  <si>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</si>
  <si>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</si>
  <si>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</si>
  <si>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</si>
  <si>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</si>
  <si>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</si>
  <si>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</si>
  <si>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</si>
  <si>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</si>
  <si>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</si>
  <si>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</si>
  <si>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</si>
  <si>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</si>
  <si>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</si>
  <si>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</si>
  <si>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</si>
  <si>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</si>
  <si>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</si>
  <si>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</si>
  <si>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</si>
  <si>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</si>
  <si>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</si>
  <si>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</si>
  <si>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</si>
  <si>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</si>
  <si>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</si>
  <si>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</si>
  <si>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</si>
  <si>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</si>
  <si>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</si>
  <si>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</si>
  <si>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</si>
  <si>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</si>
  <si>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</si>
  <si>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</si>
  <si>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</si>
  <si>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</si>
  <si>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</si>
  <si>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</si>
  <si>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</si>
  <si>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</si>
  <si>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</si>
  <si>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</si>
  <si>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</si>
  <si>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</si>
  <si>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</si>
  <si>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</si>
  <si>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</si>
  <si>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</si>
  <si>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</si>
  <si>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</si>
  <si>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</si>
  <si>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</si>
  <si>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</si>
  <si>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</si>
  <si>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</si>
  <si>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</si>
  <si>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</si>
  <si>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</si>
  <si>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</si>
  <si>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</si>
  <si>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</si>
  <si>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</si>
  <si>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</si>
  <si>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</si>
  <si>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</si>
  <si>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</si>
  <si>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</si>
  <si>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</si>
  <si>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</si>
  <si>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</si>
  <si>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</si>
  <si>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</si>
  <si>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</si>
  <si>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</si>
  <si>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</si>
  <si>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</si>
  <si>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</si>
  <si>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</si>
  <si>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</si>
  <si>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</si>
  <si>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</si>
  <si>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</si>
  <si>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</si>
  <si>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</si>
  <si>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</si>
  <si>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</si>
  <si>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</si>
  <si>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</si>
  <si>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</si>
  <si>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</si>
  <si>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</si>
  <si>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</si>
  <si>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</si>
  <si>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</si>
  <si>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</si>
  <si>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</si>
  <si>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</si>
  <si>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</si>
  <si>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</si>
  <si>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</si>
  <si>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</si>
  <si>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</si>
  <si>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</si>
  <si>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</si>
  <si>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</si>
  <si>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</si>
  <si>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</si>
  <si>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</si>
  <si>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</si>
  <si>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</si>
  <si>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</si>
  <si>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</si>
  <si>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</si>
  <si>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</si>
  <si>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</si>
  <si>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</si>
  <si>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</si>
  <si>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</si>
  <si>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</si>
  <si>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</si>
  <si>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</si>
  <si>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</si>
  <si>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</si>
  <si>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</si>
  <si>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</si>
  <si>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</si>
  <si>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</si>
  <si>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</si>
  <si>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</si>
  <si>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</si>
  <si>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</si>
  <si>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</si>
  <si>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</si>
  <si>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</si>
  <si>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</si>
  <si>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</si>
  <si>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</si>
  <si>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</si>
  <si>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</si>
  <si>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</si>
  <si>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</si>
  <si>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</si>
  <si>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</si>
  <si>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</si>
  <si>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</si>
  <si>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</si>
  <si>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</si>
  <si>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</si>
  <si>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</si>
  <si>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</si>
  <si>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</si>
  <si>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</si>
  <si>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</si>
  <si>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</si>
  <si>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</si>
  <si>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</si>
  <si>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</si>
  <si>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</si>
  <si>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</si>
  <si>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</si>
  <si>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</si>
  <si>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</si>
  <si>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</si>
  <si>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</si>
  <si>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</si>
  <si>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</si>
  <si>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</si>
  <si>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</si>
  <si>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</si>
  <si>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</si>
  <si>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</si>
  <si>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</si>
  <si>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</si>
  <si>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</si>
  <si>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(가칭)신당초등학교 교사 신축공사</t>
    <phoneticPr fontId="2" type="noConversion"/>
  </si>
  <si>
    <t>교육연구</t>
  </si>
  <si>
    <t>경상도</t>
  </si>
  <si>
    <t>조경시설물</t>
    <phoneticPr fontId="2" type="noConversion"/>
  </si>
  <si>
    <t>우수공사</t>
    <phoneticPr fontId="2" type="noConversion"/>
  </si>
  <si>
    <t>운반비,기타공사</t>
    <phoneticPr fontId="2" type="noConversion"/>
  </si>
  <si>
    <t>옥외소화배관공사</t>
    <phoneticPr fontId="2" type="noConversion"/>
  </si>
  <si>
    <t>CCTV설비공사</t>
    <phoneticPr fontId="2" type="noConversion"/>
  </si>
  <si>
    <t>전기인입 및 수변전 설비공사</t>
    <phoneticPr fontId="2" type="noConversion"/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</si>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</sst>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3" sqref="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15278.67</v>
      </c>
      <c r="D7" s="36">
        <f>+C7/3.3058</f>
        <v>4621.7768770040529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889020</v>
      </c>
      <c r="E25" s="59">
        <f t="shared" si="0"/>
        <v>2938920</v>
      </c>
    </row>
    <row r="26" spans="1:5" x14ac:dyDescent="0.3">
      <c r="B26" s="2">
        <v>3</v>
      </c>
      <c r="C26" s="35" t="s">
        <v>95</v>
      </c>
      <c r="D26" s="45">
        <f>+D66</f>
        <v>4480</v>
      </c>
      <c r="E26" s="59">
        <f t="shared" si="0"/>
        <v>14800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171330</v>
      </c>
      <c r="E28" s="59">
        <f t="shared" si="0"/>
        <v>566380</v>
      </c>
    </row>
    <row r="29" spans="1:5" x14ac:dyDescent="0.3">
      <c r="B29" s="2">
        <v>6</v>
      </c>
      <c r="C29" s="35" t="s">
        <v>98</v>
      </c>
      <c r="D29" s="45">
        <f>+D133</f>
        <v>68570</v>
      </c>
      <c r="E29" s="59">
        <f t="shared" si="0"/>
        <v>226670</v>
      </c>
    </row>
    <row r="30" spans="1:5" x14ac:dyDescent="0.3">
      <c r="B30" s="2">
        <v>7</v>
      </c>
      <c r="C30" s="35" t="s">
        <v>99</v>
      </c>
      <c r="D30" s="45">
        <f>+D146</f>
        <v>43900</v>
      </c>
      <c r="E30" s="59">
        <f t="shared" si="0"/>
        <v>145120</v>
      </c>
    </row>
    <row r="31" spans="1:5" x14ac:dyDescent="0.3">
      <c r="B31" s="2">
        <v>8</v>
      </c>
      <c r="C31" s="35" t="s">
        <v>100</v>
      </c>
      <c r="D31" s="45">
        <f>+D154</f>
        <v>58200</v>
      </c>
      <c r="E31" s="59">
        <f t="shared" si="0"/>
        <v>192390</v>
      </c>
    </row>
    <row r="32" spans="1:5" x14ac:dyDescent="0.3">
      <c r="B32" s="2">
        <v>9</v>
      </c>
      <c r="C32" s="35" t="s">
        <v>101</v>
      </c>
      <c r="D32" s="45">
        <f>+D161</f>
        <v>11240</v>
      </c>
      <c r="E32" s="59">
        <f t="shared" si="0"/>
        <v>37150</v>
      </c>
    </row>
    <row r="33" spans="1:7" x14ac:dyDescent="0.3">
      <c r="B33" s="2">
        <v>10</v>
      </c>
      <c r="C33" s="35" t="s">
        <v>154</v>
      </c>
      <c r="D33" s="53">
        <f>TRUNC(SUM(D24:D32)*0.275,-1)</f>
        <v>342850</v>
      </c>
      <c r="E33" s="60">
        <f t="shared" si="0"/>
        <v>1133390</v>
      </c>
    </row>
    <row r="34" spans="1:7" x14ac:dyDescent="0.3">
      <c r="C34" s="35" t="s">
        <v>112</v>
      </c>
      <c r="D34" s="44">
        <f>SUM(D24:D33)</f>
        <v>1589590</v>
      </c>
      <c r="E34" s="44">
        <f>SUM(E24:E33)</f>
        <v>5254820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TRUNC(33841,-1)</f>
        <v>33840</v>
      </c>
      <c r="E40" s="62">
        <f t="shared" ref="E40:E59" si="1">TRUNC(+D40*3.3058,-1)</f>
        <v>111860</v>
      </c>
    </row>
    <row r="41" spans="1:7" x14ac:dyDescent="0.3">
      <c r="A41" s="2">
        <v>2</v>
      </c>
      <c r="C41" s="38" t="s">
        <v>13</v>
      </c>
      <c r="D41" s="42">
        <f>TRUNC(203256,-1)</f>
        <v>203250</v>
      </c>
      <c r="E41" s="63">
        <f t="shared" si="1"/>
        <v>671900</v>
      </c>
    </row>
    <row r="42" spans="1:7" x14ac:dyDescent="0.3">
      <c r="A42" s="2">
        <v>3</v>
      </c>
      <c r="C42" s="38" t="s">
        <v>14</v>
      </c>
      <c r="D42" s="42">
        <f>TRUNC(10521,-1)</f>
        <v>10520</v>
      </c>
      <c r="E42" s="63">
        <f t="shared" si="1"/>
        <v>34770</v>
      </c>
    </row>
    <row r="43" spans="1:7" x14ac:dyDescent="0.3">
      <c r="A43" s="2">
        <v>4</v>
      </c>
      <c r="C43" s="38" t="s">
        <v>16</v>
      </c>
      <c r="D43" s="42">
        <f>TRUNC(36289,-1)</f>
        <v>36280</v>
      </c>
      <c r="E43" s="63">
        <f t="shared" si="1"/>
        <v>119930</v>
      </c>
    </row>
    <row r="44" spans="1:7" x14ac:dyDescent="0.3">
      <c r="A44" s="2">
        <v>5</v>
      </c>
      <c r="C44" s="38" t="s">
        <v>17</v>
      </c>
      <c r="D44" s="42">
        <f>TRUNC(20994,-1)</f>
        <v>20990</v>
      </c>
      <c r="E44" s="63">
        <f t="shared" si="1"/>
        <v>69380</v>
      </c>
    </row>
    <row r="45" spans="1:7" x14ac:dyDescent="0.3">
      <c r="A45" s="2">
        <v>6</v>
      </c>
      <c r="C45" s="38" t="s">
        <v>18</v>
      </c>
      <c r="D45" s="42">
        <f>TRUNC(45811,-1)</f>
        <v>45810</v>
      </c>
      <c r="E45" s="63">
        <f t="shared" si="1"/>
        <v>151430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TRUNC(58996,-1)</f>
        <v>58990</v>
      </c>
      <c r="E48" s="63">
        <f t="shared" si="1"/>
        <v>195000</v>
      </c>
      <c r="F48" s="2" t="s">
        <v>258</v>
      </c>
    </row>
    <row r="49" spans="1:7" x14ac:dyDescent="0.3">
      <c r="A49" s="2">
        <v>10</v>
      </c>
      <c r="C49" s="38" t="s">
        <v>22</v>
      </c>
      <c r="D49" s="42">
        <f>TRUNC(17950,-1)</f>
        <v>17950</v>
      </c>
      <c r="E49" s="63">
        <f t="shared" si="1"/>
        <v>59330</v>
      </c>
    </row>
    <row r="50" spans="1:7" x14ac:dyDescent="0.3">
      <c r="A50" s="2">
        <v>11</v>
      </c>
      <c r="C50" s="38" t="s">
        <v>155</v>
      </c>
      <c r="D50" s="42">
        <f>TRUNC(50476,-1)</f>
        <v>50470</v>
      </c>
      <c r="E50" s="63">
        <f t="shared" si="1"/>
        <v>166840</v>
      </c>
      <c r="F50" s="2" t="s">
        <v>259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TRUNC(12985,-1)</f>
        <v>12980</v>
      </c>
      <c r="E52" s="63">
        <f t="shared" si="1"/>
        <v>42900</v>
      </c>
    </row>
    <row r="53" spans="1:7" x14ac:dyDescent="0.3">
      <c r="A53" s="2">
        <v>14</v>
      </c>
      <c r="C53" s="38" t="s">
        <v>25</v>
      </c>
      <c r="D53" s="42">
        <f>TRUNC(90148,-1)</f>
        <v>90140</v>
      </c>
      <c r="E53" s="63">
        <f t="shared" si="1"/>
        <v>297980</v>
      </c>
      <c r="F53" s="2" t="s">
        <v>260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TRUNC(9734+4981+36100,-1)</f>
        <v>50810</v>
      </c>
      <c r="E58" s="63">
        <f t="shared" si="1"/>
        <v>167960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TRUNC(256991,-1)</f>
        <v>256990</v>
      </c>
      <c r="E59" s="64">
        <f t="shared" si="1"/>
        <v>849550</v>
      </c>
    </row>
    <row r="60" spans="1:7" x14ac:dyDescent="0.3">
      <c r="A60" s="2">
        <v>21</v>
      </c>
      <c r="C60" s="27" t="s">
        <v>112</v>
      </c>
      <c r="D60" s="39">
        <f>SUM(D40:D59)</f>
        <v>889020</v>
      </c>
      <c r="E60" s="39">
        <f>SUM(E40:E59)</f>
        <v>2938830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TRUNC(4485,-1)</f>
        <v>4480</v>
      </c>
      <c r="E63" s="62">
        <f>TRUNC(+D63*3.3058,-1)</f>
        <v>14800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4480</v>
      </c>
      <c r="E66" s="65">
        <f>SUM(E63:E65)</f>
        <v>14800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TRUNC(10257,-1)</f>
        <v>10250</v>
      </c>
      <c r="E98" s="62">
        <f t="shared" ref="E98:E118" si="3">TRUNC(+D98*3.3058,-1)</f>
        <v>33880</v>
      </c>
    </row>
    <row r="99" spans="1:7" x14ac:dyDescent="0.3">
      <c r="A99" s="2">
        <v>2</v>
      </c>
      <c r="C99" s="38" t="s">
        <v>40</v>
      </c>
      <c r="D99" s="42">
        <f>TRUNC(2871,-1)</f>
        <v>2870</v>
      </c>
      <c r="E99" s="63">
        <f t="shared" si="3"/>
        <v>9480</v>
      </c>
    </row>
    <row r="100" spans="1:7" x14ac:dyDescent="0.3">
      <c r="A100" s="2">
        <v>3</v>
      </c>
      <c r="C100" s="38" t="s">
        <v>41</v>
      </c>
      <c r="D100" s="42">
        <f>TRUNC(26699,-1)</f>
        <v>26690</v>
      </c>
      <c r="E100" s="63">
        <f t="shared" si="3"/>
        <v>88230</v>
      </c>
    </row>
    <row r="101" spans="1:7" x14ac:dyDescent="0.3">
      <c r="A101" s="2">
        <v>4</v>
      </c>
      <c r="C101" s="38" t="s">
        <v>42</v>
      </c>
      <c r="D101" s="42">
        <f>TRUNC(1329,-1)</f>
        <v>1320</v>
      </c>
      <c r="E101" s="63">
        <f t="shared" si="3"/>
        <v>4360</v>
      </c>
    </row>
    <row r="102" spans="1:7" x14ac:dyDescent="0.3">
      <c r="A102" s="2">
        <v>5</v>
      </c>
      <c r="C102" s="38" t="s">
        <v>43</v>
      </c>
      <c r="D102" s="42">
        <f>TRUNC(13220,-1)</f>
        <v>13220</v>
      </c>
      <c r="E102" s="63">
        <f t="shared" si="3"/>
        <v>43700</v>
      </c>
    </row>
    <row r="103" spans="1:7" x14ac:dyDescent="0.3">
      <c r="A103" s="2">
        <v>6</v>
      </c>
      <c r="C103" s="38" t="s">
        <v>44</v>
      </c>
      <c r="D103" s="42">
        <f>TRUNC(11894,-1)</f>
        <v>11890</v>
      </c>
      <c r="E103" s="63">
        <f t="shared" si="3"/>
        <v>39300</v>
      </c>
    </row>
    <row r="104" spans="1:7" x14ac:dyDescent="0.3">
      <c r="A104" s="2">
        <v>7</v>
      </c>
      <c r="C104" s="38" t="s">
        <v>45</v>
      </c>
      <c r="D104" s="42">
        <f>TRUNC(1646,-1)</f>
        <v>1640</v>
      </c>
      <c r="E104" s="63">
        <f t="shared" si="3"/>
        <v>5420</v>
      </c>
    </row>
    <row r="105" spans="1:7" x14ac:dyDescent="0.3">
      <c r="A105" s="2">
        <v>8</v>
      </c>
      <c r="C105" s="38" t="s">
        <v>46</v>
      </c>
      <c r="D105" s="42">
        <f>TRUNC(13509,-1)</f>
        <v>13500</v>
      </c>
      <c r="E105" s="63">
        <f t="shared" si="3"/>
        <v>44620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TRUNC(3243,-1)</f>
        <v>3240</v>
      </c>
      <c r="E116" s="63">
        <f t="shared" si="3"/>
        <v>10710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TRUNC(86715,-1)</f>
        <v>86710</v>
      </c>
      <c r="E117" s="63">
        <f t="shared" si="3"/>
        <v>286640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171330</v>
      </c>
      <c r="E119" s="39">
        <f>SUM(E98:E118)</f>
        <v>566340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TRUNC(12171,-1)</f>
        <v>12170</v>
      </c>
      <c r="E125" s="63">
        <f t="shared" si="4"/>
        <v>40230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TRUNC(1313,-1)</f>
        <v>1310</v>
      </c>
      <c r="E127" s="63">
        <f t="shared" si="4"/>
        <v>4330</v>
      </c>
    </row>
    <row r="128" spans="1:7" x14ac:dyDescent="0.3">
      <c r="A128" s="2">
        <v>7</v>
      </c>
      <c r="C128" s="38" t="s">
        <v>46</v>
      </c>
      <c r="D128" s="42">
        <f>TRUNC(220,-1)</f>
        <v>220</v>
      </c>
      <c r="E128" s="63">
        <f t="shared" si="4"/>
        <v>720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TRUNC(20520,-1)</f>
        <v>20520</v>
      </c>
      <c r="E130" s="63">
        <f t="shared" si="4"/>
        <v>67830</v>
      </c>
    </row>
    <row r="131" spans="1:7" x14ac:dyDescent="0.3">
      <c r="A131" s="2">
        <v>10</v>
      </c>
      <c r="C131" s="38" t="s">
        <v>148</v>
      </c>
      <c r="D131" s="42">
        <f>TRUNC(30874,-1)</f>
        <v>30870</v>
      </c>
      <c r="E131" s="63">
        <f t="shared" si="4"/>
        <v>102050</v>
      </c>
    </row>
    <row r="132" spans="1:7" ht="18" thickBot="1" x14ac:dyDescent="0.35">
      <c r="A132" s="2">
        <v>11</v>
      </c>
      <c r="C132" s="38" t="s">
        <v>47</v>
      </c>
      <c r="D132" s="43">
        <f>TRUNC(3489,-1)</f>
        <v>3480</v>
      </c>
      <c r="E132" s="64">
        <f t="shared" si="4"/>
        <v>11500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68570</v>
      </c>
      <c r="E133" s="39">
        <f>SUM(E122:E132)</f>
        <v>226660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TRUNC(93,-1)</f>
        <v>90</v>
      </c>
      <c r="E137" s="63">
        <f t="shared" si="5"/>
        <v>290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TRUNC(1933,-1)</f>
        <v>1930</v>
      </c>
      <c r="E139" s="63">
        <f t="shared" si="5"/>
        <v>6380</v>
      </c>
    </row>
    <row r="140" spans="1:7" x14ac:dyDescent="0.3">
      <c r="A140" s="2">
        <v>5</v>
      </c>
      <c r="C140" s="38" t="s">
        <v>57</v>
      </c>
      <c r="D140" s="42">
        <f>TRUNC(5451,-1)</f>
        <v>5450</v>
      </c>
      <c r="E140" s="63">
        <f t="shared" si="5"/>
        <v>18010</v>
      </c>
    </row>
    <row r="141" spans="1:7" x14ac:dyDescent="0.3">
      <c r="A141" s="2">
        <v>6</v>
      </c>
      <c r="C141" s="38" t="s">
        <v>59</v>
      </c>
      <c r="D141" s="42">
        <f>TRUNC(7766,-1)</f>
        <v>7760</v>
      </c>
      <c r="E141" s="63">
        <f t="shared" si="5"/>
        <v>25650</v>
      </c>
    </row>
    <row r="142" spans="1:7" x14ac:dyDescent="0.3">
      <c r="A142" s="2">
        <v>7</v>
      </c>
      <c r="C142" s="38" t="s">
        <v>58</v>
      </c>
      <c r="D142" s="42">
        <f>TRUNC(11301,-1)</f>
        <v>11300</v>
      </c>
      <c r="E142" s="63">
        <f t="shared" si="5"/>
        <v>37350</v>
      </c>
    </row>
    <row r="143" spans="1:7" x14ac:dyDescent="0.3">
      <c r="A143" s="2">
        <v>8</v>
      </c>
      <c r="C143" s="38" t="s">
        <v>62</v>
      </c>
      <c r="D143" s="42">
        <f>TRUNC(5882,-1)</f>
        <v>5880</v>
      </c>
      <c r="E143" s="63">
        <f t="shared" si="5"/>
        <v>19430</v>
      </c>
    </row>
    <row r="144" spans="1:7" x14ac:dyDescent="0.3">
      <c r="A144" s="2">
        <v>9</v>
      </c>
      <c r="C144" s="38" t="s">
        <v>63</v>
      </c>
      <c r="D144" s="42">
        <f>TRUNC(11490,-1)</f>
        <v>11490</v>
      </c>
      <c r="E144" s="63">
        <f t="shared" si="5"/>
        <v>37980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43900</v>
      </c>
      <c r="E146" s="39">
        <f>SUM(E136:E145)</f>
        <v>145090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TRUNC(10441,-1)</f>
        <v>10440</v>
      </c>
      <c r="E149" s="62">
        <f>TRUNC(+D149*3.3058,-1)</f>
        <v>34510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TRUNC(13701,-1)</f>
        <v>13700</v>
      </c>
      <c r="E150" s="63">
        <f>TRUNC(+D150*3.3058,-1)</f>
        <v>45280</v>
      </c>
    </row>
    <row r="151" spans="1:7" x14ac:dyDescent="0.3">
      <c r="A151" s="2">
        <v>3</v>
      </c>
      <c r="C151" s="38" t="s">
        <v>50</v>
      </c>
      <c r="D151" s="42">
        <f>TRUNC(14232,-1)</f>
        <v>14230</v>
      </c>
      <c r="E151" s="63">
        <f>TRUNC(+D151*3.3058,-1)</f>
        <v>47040</v>
      </c>
    </row>
    <row r="152" spans="1:7" x14ac:dyDescent="0.3">
      <c r="A152" s="2">
        <v>4</v>
      </c>
      <c r="C152" s="38" t="s">
        <v>47</v>
      </c>
      <c r="D152" s="42">
        <f>TRUNC(113+785,-1)</f>
        <v>890</v>
      </c>
      <c r="E152" s="63">
        <f>TRUNC(+D152*3.3058,-1)</f>
        <v>2940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TRUNC(18942,-1)</f>
        <v>18940</v>
      </c>
      <c r="E153" s="64">
        <f>TRUNC(+D153*3.3058,-1)</f>
        <v>62610</v>
      </c>
    </row>
    <row r="154" spans="1:7" x14ac:dyDescent="0.3">
      <c r="A154" s="2">
        <v>6</v>
      </c>
      <c r="C154" s="27" t="s">
        <v>112</v>
      </c>
      <c r="D154" s="39">
        <f>SUM(D149:D153)</f>
        <v>58200</v>
      </c>
      <c r="E154" s="39">
        <f>SUM(E149:E153)</f>
        <v>192380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TRUNC(8310,-1)</f>
        <v>8310</v>
      </c>
      <c r="E157" s="62">
        <f>TRUNC(+D157*3.3058,-1)</f>
        <v>27470</v>
      </c>
    </row>
    <row r="158" spans="1:7" x14ac:dyDescent="0.3">
      <c r="A158" s="2">
        <v>2</v>
      </c>
      <c r="C158" s="38" t="s">
        <v>52</v>
      </c>
      <c r="D158" s="42">
        <f>TRUNC(2926,-1)</f>
        <v>2920</v>
      </c>
      <c r="E158" s="63">
        <f>TRUNC(+D158*3.3058,-1)</f>
        <v>9650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f>TRUNC(16,-1)</f>
        <v>10</v>
      </c>
      <c r="E160" s="64">
        <f>TRUNC(+D160*3.3058,-1)</f>
        <v>30</v>
      </c>
    </row>
    <row r="161" spans="1:5" x14ac:dyDescent="0.3">
      <c r="A161" s="2">
        <v>5</v>
      </c>
      <c r="C161" s="27" t="s">
        <v>112</v>
      </c>
      <c r="D161" s="39">
        <f>SUM(D157:D160)</f>
        <v>11240</v>
      </c>
      <c r="E161" s="39">
        <f>SUM(E157:E160)</f>
        <v>37150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2020-12-08T03:58:11Z</dcterms:modified>
</cp:coreProperties>
</file>