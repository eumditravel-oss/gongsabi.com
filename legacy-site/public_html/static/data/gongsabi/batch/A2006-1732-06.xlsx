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4" i="4" l="1"/>
  <c r="E143" i="4"/>
  <c r="E139" i="4"/>
  <c r="E138" i="4"/>
  <c r="E136" i="4"/>
  <c r="E129" i="4"/>
  <c r="E127" i="4"/>
  <c r="E126" i="4"/>
  <c r="E122" i="4"/>
  <c r="E118" i="4"/>
  <c r="E116" i="4"/>
  <c r="E113" i="4"/>
  <c r="E112" i="4"/>
  <c r="E111" i="4"/>
  <c r="E110" i="4"/>
  <c r="E109" i="4"/>
  <c r="E107" i="4"/>
  <c r="E106" i="4"/>
  <c r="E103" i="4"/>
  <c r="E101" i="4"/>
  <c r="E92" i="4"/>
  <c r="E91" i="4"/>
  <c r="E89" i="4"/>
  <c r="E88" i="4"/>
  <c r="E87" i="4"/>
  <c r="E86" i="4"/>
  <c r="E85" i="4"/>
  <c r="E84" i="4"/>
  <c r="E83" i="4"/>
  <c r="E82" i="4"/>
  <c r="E80" i="4"/>
  <c r="E79" i="4"/>
  <c r="E77" i="4"/>
  <c r="E74" i="4"/>
  <c r="E73" i="4"/>
  <c r="E65" i="4"/>
  <c r="E64" i="4"/>
  <c r="E57" i="4"/>
  <c r="E56" i="4"/>
  <c r="E54" i="4"/>
  <c r="D93" i="4" l="1"/>
  <c r="E93" i="4" s="1"/>
  <c r="D117" i="4" l="1"/>
  <c r="E117" i="4" s="1"/>
  <c r="D145" i="4"/>
  <c r="E145" i="4" s="1"/>
  <c r="D157" i="4"/>
  <c r="E157" i="4" s="1"/>
  <c r="D158" i="4"/>
  <c r="E158" i="4" s="1"/>
  <c r="D159" i="4"/>
  <c r="E159" i="4" s="1"/>
  <c r="D160" i="4"/>
  <c r="E160" i="4" s="1"/>
  <c r="D149" i="4"/>
  <c r="E149" i="4" s="1"/>
  <c r="E154" i="4" s="1"/>
  <c r="D150" i="4"/>
  <c r="E150" i="4" s="1"/>
  <c r="D151" i="4"/>
  <c r="E151" i="4" s="1"/>
  <c r="D152" i="4"/>
  <c r="E152" i="4" s="1"/>
  <c r="D153" i="4"/>
  <c r="E153" i="4" s="1"/>
  <c r="D137" i="4"/>
  <c r="E137" i="4" s="1"/>
  <c r="D140" i="4"/>
  <c r="E140" i="4" s="1"/>
  <c r="D141" i="4"/>
  <c r="E141" i="4" s="1"/>
  <c r="D142" i="4"/>
  <c r="E142" i="4" s="1"/>
  <c r="D123" i="4"/>
  <c r="E123" i="4" s="1"/>
  <c r="D124" i="4"/>
  <c r="E124" i="4" s="1"/>
  <c r="D125" i="4"/>
  <c r="E125" i="4" s="1"/>
  <c r="D128" i="4"/>
  <c r="E128" i="4" s="1"/>
  <c r="D130" i="4"/>
  <c r="E130" i="4" s="1"/>
  <c r="D131" i="4"/>
  <c r="E131" i="4" s="1"/>
  <c r="D132" i="4"/>
  <c r="E132" i="4" s="1"/>
  <c r="D98" i="4"/>
  <c r="E98" i="4" s="1"/>
  <c r="D99" i="4"/>
  <c r="E99" i="4" s="1"/>
  <c r="E119" i="4" s="1"/>
  <c r="D100" i="4"/>
  <c r="E100" i="4" s="1"/>
  <c r="D102" i="4"/>
  <c r="E102" i="4" s="1"/>
  <c r="D104" i="4"/>
  <c r="E104" i="4" s="1"/>
  <c r="D105" i="4"/>
  <c r="E105" i="4" s="1"/>
  <c r="D108" i="4"/>
  <c r="E108" i="4" s="1"/>
  <c r="D114" i="4"/>
  <c r="E114" i="4" s="1"/>
  <c r="D115" i="4"/>
  <c r="E115" i="4" s="1"/>
  <c r="D119" i="4"/>
  <c r="D69" i="4"/>
  <c r="E69" i="4" s="1"/>
  <c r="D70" i="4"/>
  <c r="E70" i="4" s="1"/>
  <c r="D71" i="4"/>
  <c r="E71" i="4" s="1"/>
  <c r="D72" i="4"/>
  <c r="E72" i="4" s="1"/>
  <c r="D75" i="4"/>
  <c r="E75" i="4" s="1"/>
  <c r="D76" i="4"/>
  <c r="E76" i="4" s="1"/>
  <c r="D78" i="4"/>
  <c r="E78" i="4" s="1"/>
  <c r="D81" i="4"/>
  <c r="E81" i="4" s="1"/>
  <c r="D90" i="4"/>
  <c r="E90" i="4" s="1"/>
  <c r="D94" i="4"/>
  <c r="E94" i="4" s="1"/>
  <c r="D63" i="4"/>
  <c r="E63" i="4" s="1"/>
  <c r="E66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5" i="4"/>
  <c r="E55" i="4" s="1"/>
  <c r="D58" i="4"/>
  <c r="E58" i="4" s="1"/>
  <c r="D59" i="4"/>
  <c r="E59" i="4" s="1"/>
  <c r="D37" i="4"/>
  <c r="E37" i="4" s="1"/>
  <c r="D28" i="4"/>
  <c r="E28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60" i="4" l="1"/>
  <c r="D25" i="4" s="1"/>
  <c r="E25" i="4" s="1"/>
  <c r="D95" i="4"/>
  <c r="D27" i="4" s="1"/>
  <c r="E27" i="4" s="1"/>
  <c r="D161" i="4"/>
  <c r="D32" i="4" s="1"/>
  <c r="E32" i="4" s="1"/>
  <c r="E161" i="4"/>
  <c r="E60" i="4"/>
  <c r="D133" i="4"/>
  <c r="D29" i="4" s="1"/>
  <c r="E29" i="4" s="1"/>
  <c r="D146" i="4"/>
  <c r="D30" i="4" s="1"/>
  <c r="E30" i="4" s="1"/>
  <c r="E146" i="4"/>
  <c r="D24" i="4"/>
  <c r="E24" i="4" s="1"/>
  <c r="D66" i="4"/>
  <c r="D26" i="4" s="1"/>
  <c r="E26" i="4" s="1"/>
  <c r="E95" i="4"/>
  <c r="E133" i="4"/>
  <c r="D154" i="4"/>
  <c r="D31" i="4" s="1"/>
  <c r="E31" i="4" s="1"/>
  <c r="D33" i="4"/>
  <c r="E33" i="4" s="1"/>
  <c r="D34" i="4" l="1"/>
  <c r="E34" i="4"/>
</calcChain>
</file>

<file path=xl/sharedStrings.xml><?xml version="1.0" encoding="utf-8"?>
<sst xmlns="http://schemas.openxmlformats.org/spreadsheetml/2006/main" count="399" uniqueCount="273">
  <si>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</si>
  <si>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</si>
  <si>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</si>
  <si>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</si>
  <si>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</si>
  <si>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</si>
  <si>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</si>
  <si>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</si>
  <si>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</si>
  <si>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</si>
  <si>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</si>
  <si>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</si>
  <si>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</si>
  <si>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</si>
  <si>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</si>
  <si>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</si>
  <si>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</si>
  <si>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</si>
  <si>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</si>
  <si>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</si>
  <si>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</si>
  <si>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</si>
  <si>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</si>
  <si>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</si>
  <si>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</si>
  <si>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</si>
  <si>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</si>
  <si>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</si>
  <si>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</si>
  <si>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</si>
  <si>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</si>
  <si>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</si>
  <si>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</si>
  <si>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</si>
  <si>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</si>
  <si>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</si>
  <si>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</si>
  <si>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</si>
  <si>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</si>
  <si>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</si>
  <si>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</si>
  <si>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</si>
  <si>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</si>
  <si>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</si>
  <si>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</si>
  <si>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</si>
  <si>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</si>
  <si>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</si>
  <si>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</si>
  <si>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</si>
  <si>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</si>
  <si>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</si>
  <si>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</si>
  <si>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</si>
  <si>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</si>
  <si>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</si>
  <si>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</si>
  <si>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</si>
  <si>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</si>
  <si>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</si>
  <si>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</si>
  <si>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</si>
  <si>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</si>
  <si>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</si>
  <si>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</si>
  <si>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</si>
  <si>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</si>
  <si>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</si>
  <si>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</si>
  <si>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</si>
  <si>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</si>
  <si>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</si>
  <si>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</si>
  <si>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</si>
  <si>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</si>
  <si>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</si>
  <si>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</si>
  <si>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</si>
  <si>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</si>
  <si>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</si>
  <si>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</si>
  <si>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</si>
  <si>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</si>
  <si>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</si>
  <si>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</si>
  <si>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</si>
  <si>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</si>
  <si>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</si>
  <si>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</si>
  <si>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</si>
  <si>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</si>
  <si>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</si>
  <si>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</si>
  <si>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</si>
  <si>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</si>
  <si>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</si>
  <si>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</si>
  <si>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</si>
  <si>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</si>
  <si>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</si>
  <si>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</si>
  <si>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</si>
  <si>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</si>
  <si>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</si>
  <si>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</si>
  <si>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</si>
  <si>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</si>
  <si>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</si>
  <si>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</si>
  <si>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</si>
  <si>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</si>
  <si>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</si>
  <si>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</si>
  <si>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</si>
  <si>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</si>
  <si>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</si>
  <si>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</si>
  <si>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</si>
  <si>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</si>
  <si>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</si>
  <si>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</si>
  <si>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</si>
  <si>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</si>
  <si>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</si>
  <si>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</si>
  <si>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</si>
  <si>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</si>
  <si>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</si>
  <si>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</si>
  <si>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</si>
  <si>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</si>
  <si>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</si>
  <si>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</si>
  <si>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</si>
  <si>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</si>
  <si>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</si>
  <si>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</si>
  <si>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</si>
  <si>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</si>
  <si>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</si>
  <si>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</si>
  <si>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</si>
  <si>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</si>
  <si>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</si>
  <si>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</si>
  <si>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</si>
  <si>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</si>
  <si>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</si>
  <si>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</si>
  <si>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</si>
  <si>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</si>
  <si>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</si>
  <si>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</si>
  <si>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</si>
  <si>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</si>
  <si>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</si>
  <si>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</si>
  <si>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</si>
  <si>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</si>
  <si>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</si>
  <si>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</si>
  <si>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</si>
  <si>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</si>
  <si>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</si>
  <si>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</si>
  <si>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</si>
  <si>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</si>
  <si>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</si>
  <si>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</si>
  <si>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</si>
  <si>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</si>
  <si>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</si>
  <si>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</si>
  <si>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</si>
  <si>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</si>
  <si>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</si>
  <si>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</si>
  <si>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</si>
  <si>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</si>
  <si>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</si>
  <si>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</si>
  <si>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</si>
  <si>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</si>
  <si>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</si>
  <si>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</si>
  <si>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</si>
  <si>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</si>
  <si>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</si>
  <si>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</si>
  <si>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</si>
  <si>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</si>
  <si>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</si>
  <si>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</si>
  <si>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</si>
  <si>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</si>
  <si>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</si>
  <si>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</si>
  <si>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</si>
  <si>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</si>
  <si>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</si>
  <si>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</si>
  <si>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</si>
  <si>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</si>
  <si>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</si>
  <si>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</si>
  <si>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</si>
  <si>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</si>
  <si>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</si>
  <si>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</si>
  <si>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</si>
  <si>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</si>
  <si>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</si>
  <si>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</si>
  <si>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</si>
  <si>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</si>
  <si>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</si>
  <si>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</si>
  <si>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</si>
  <si>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</si>
  <si>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</si>
  <si>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</si>
  <si>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</si>
  <si>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</si>
  <si>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</si>
  <si>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</si>
  <si>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</si>
  <si>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</si>
  <si>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</si>
  <si>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</si>
  <si>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</si>
  <si>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</si>
  <si>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</si>
  <si>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</si>
  <si>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</si>
  <si>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난방배관공사</t>
    <phoneticPr fontId="2" type="noConversion"/>
  </si>
  <si>
    <t>환기덕트설치공사</t>
  </si>
  <si>
    <t>지정공사,철제칸막이공사,잡공사및외벽패널공사,철거공사,골재비,운반비,정화조공사</t>
    <phoneticPr fontId="2" type="noConversion"/>
  </si>
  <si>
    <t>토목 배수공, 상수공, 시설물공, 철거공,자재공</t>
    <phoneticPr fontId="2" type="noConversion"/>
  </si>
  <si>
    <t>도급자설치관급</t>
  </si>
  <si>
    <t>수목이식공사, 조경구조물공사</t>
    <phoneticPr fontId="2" type="noConversion"/>
  </si>
  <si>
    <t>공조배관공사,위생배관공사,지열히트펌프설치공사,주방기구설치공사</t>
    <phoneticPr fontId="2" type="noConversion"/>
  </si>
  <si>
    <t>피뢰침설비공사</t>
  </si>
  <si>
    <t>케이블트레이설비공사</t>
  </si>
  <si>
    <t>인터폰설비</t>
  </si>
  <si>
    <t>전기소방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</si>
  <si>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</si>
  <si>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</si>
  <si>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</si>
  <si>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</si>
  <si>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</si>
  <si>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</si>
  <si>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</si>
  <si>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</si>
  <si>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</si>
  <si>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</si>
  <si>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</si>
  <si>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00국가유공자 노인요양시설 신축공사</t>
  </si>
  <si>
    <t>기타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</si>
  <si>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</si>
  <si>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</si>
  <si>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</si>
  <si>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</si>
  <si>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경기도</t>
  </si>
  <si>
    <t>도급자설치, 관급자설치</t>
    <phoneticPr fontId="2" type="noConversion"/>
  </si>
  <si>
    <t>옥외보안등공사</t>
  </si>
  <si>
    <t>도급자설치관급, 관급자설치관급</t>
    <phoneticPr fontId="2" type="noConversion"/>
  </si>
  <si>
    <t>관급자 설치관급</t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</si>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</sst>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258</v>
      </c>
    </row>
    <row r="7" spans="1:4" ht="17.25" thickBot="1" x14ac:dyDescent="0.35">
      <c r="C7" s="37">
        <v>7934</v>
      </c>
      <c r="D7" s="36">
        <f>+C7/3.3058</f>
        <v>2400.0241998911006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271</v>
      </c>
    </row>
    <row r="19" spans="1:5" x14ac:dyDescent="0.3">
      <c r="A19" s="2">
        <v>9</v>
      </c>
      <c r="B19" s="2" t="s">
        <v>272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259</v>
      </c>
      <c r="E23" s="35" t="s">
        <v>267</v>
      </c>
    </row>
    <row r="24" spans="1:5" x14ac:dyDescent="0.3">
      <c r="B24" s="2">
        <v>1</v>
      </c>
      <c r="C24" s="35" t="s">
        <v>110</v>
      </c>
      <c r="D24" s="41">
        <f>D37</f>
        <v>4500</v>
      </c>
      <c r="E24" s="59">
        <f t="shared" ref="E24:E33" si="0">TRUNC(+D24*3.3058,-1)</f>
        <v>14870</v>
      </c>
    </row>
    <row r="25" spans="1:5" x14ac:dyDescent="0.3">
      <c r="B25" s="2">
        <v>2</v>
      </c>
      <c r="C25" s="35" t="s">
        <v>111</v>
      </c>
      <c r="D25" s="45">
        <f>+D60</f>
        <v>691300</v>
      </c>
      <c r="E25" s="60">
        <f t="shared" si="0"/>
        <v>2285290</v>
      </c>
    </row>
    <row r="26" spans="1:5" x14ac:dyDescent="0.3">
      <c r="B26" s="2">
        <v>3</v>
      </c>
      <c r="C26" s="35" t="s">
        <v>95</v>
      </c>
      <c r="D26" s="45">
        <f>+D66</f>
        <v>7270</v>
      </c>
      <c r="E26" s="60">
        <f t="shared" si="0"/>
        <v>24030</v>
      </c>
    </row>
    <row r="27" spans="1:5" x14ac:dyDescent="0.3">
      <c r="B27" s="2">
        <v>4</v>
      </c>
      <c r="C27" s="35" t="s">
        <v>96</v>
      </c>
      <c r="D27" s="45">
        <f>+D95</f>
        <v>364730</v>
      </c>
      <c r="E27" s="60">
        <f t="shared" si="0"/>
        <v>1205720</v>
      </c>
    </row>
    <row r="28" spans="1:5" x14ac:dyDescent="0.3">
      <c r="B28" s="2">
        <v>5</v>
      </c>
      <c r="C28" s="35" t="s">
        <v>97</v>
      </c>
      <c r="D28" s="45">
        <f>+D119</f>
        <v>104190</v>
      </c>
      <c r="E28" s="60">
        <f t="shared" si="0"/>
        <v>344430</v>
      </c>
    </row>
    <row r="29" spans="1:5" x14ac:dyDescent="0.3">
      <c r="B29" s="2">
        <v>6</v>
      </c>
      <c r="C29" s="35" t="s">
        <v>98</v>
      </c>
      <c r="D29" s="45">
        <f>+D133</f>
        <v>79120</v>
      </c>
      <c r="E29" s="60">
        <f t="shared" si="0"/>
        <v>261550</v>
      </c>
    </row>
    <row r="30" spans="1:5" x14ac:dyDescent="0.3">
      <c r="B30" s="2">
        <v>7</v>
      </c>
      <c r="C30" s="35" t="s">
        <v>99</v>
      </c>
      <c r="D30" s="45">
        <f>+D146</f>
        <v>45190</v>
      </c>
      <c r="E30" s="60">
        <f t="shared" si="0"/>
        <v>149380</v>
      </c>
    </row>
    <row r="31" spans="1:5" x14ac:dyDescent="0.3">
      <c r="B31" s="2">
        <v>8</v>
      </c>
      <c r="C31" s="35" t="s">
        <v>100</v>
      </c>
      <c r="D31" s="45">
        <f>+D154</f>
        <v>25650</v>
      </c>
      <c r="E31" s="60">
        <f t="shared" si="0"/>
        <v>84790</v>
      </c>
    </row>
    <row r="32" spans="1:5" x14ac:dyDescent="0.3">
      <c r="B32" s="2">
        <v>9</v>
      </c>
      <c r="C32" s="35" t="s">
        <v>101</v>
      </c>
      <c r="D32" s="45">
        <f>+D161</f>
        <v>37920</v>
      </c>
      <c r="E32" s="60">
        <f t="shared" si="0"/>
        <v>125350</v>
      </c>
    </row>
    <row r="33" spans="1:7" x14ac:dyDescent="0.3">
      <c r="B33" s="2">
        <v>10</v>
      </c>
      <c r="C33" s="35" t="s">
        <v>153</v>
      </c>
      <c r="D33" s="53">
        <f>TRUNC(SUM(D24:D32)*0.275,-1)</f>
        <v>373960</v>
      </c>
      <c r="E33" s="61">
        <f t="shared" si="0"/>
        <v>1236230</v>
      </c>
    </row>
    <row r="34" spans="1:7" x14ac:dyDescent="0.3">
      <c r="C34" s="35" t="s">
        <v>112</v>
      </c>
      <c r="D34" s="44">
        <f>SUM(D24:D33)</f>
        <v>1733830</v>
      </c>
      <c r="E34" s="44">
        <f>SUM(E24:E33)</f>
        <v>5731640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246</v>
      </c>
      <c r="D36" s="57" t="s">
        <v>260</v>
      </c>
      <c r="E36" s="57" t="s">
        <v>267</v>
      </c>
      <c r="G36" s="55"/>
    </row>
    <row r="37" spans="1:7" ht="17.25" thickBot="1" x14ac:dyDescent="0.35">
      <c r="C37" s="38" t="s">
        <v>143</v>
      </c>
      <c r="D37" s="52">
        <f>TRUNC(4504.26,-1)</f>
        <v>4500</v>
      </c>
      <c r="E37" s="62">
        <f>TRUNC(+D37*3.3058,-1)</f>
        <v>14870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250</v>
      </c>
      <c r="D39" s="67" t="s">
        <v>268</v>
      </c>
      <c r="E39" s="67" t="s">
        <v>269</v>
      </c>
      <c r="G39" s="68"/>
    </row>
    <row r="40" spans="1:7" x14ac:dyDescent="0.3">
      <c r="A40" s="2">
        <v>1</v>
      </c>
      <c r="C40" s="38" t="s">
        <v>15</v>
      </c>
      <c r="D40" s="40">
        <f>TRUNC(26860.81,-1)</f>
        <v>26860</v>
      </c>
      <c r="E40" s="63">
        <f t="shared" ref="E40:E59" si="1">TRUNC(+D40*3.3058,-1)</f>
        <v>88790</v>
      </c>
    </row>
    <row r="41" spans="1:7" x14ac:dyDescent="0.3">
      <c r="A41" s="2">
        <v>2</v>
      </c>
      <c r="C41" s="38" t="s">
        <v>13</v>
      </c>
      <c r="D41" s="42">
        <f>TRUNC(131928.52,-1)</f>
        <v>131920</v>
      </c>
      <c r="E41" s="64">
        <f t="shared" si="1"/>
        <v>436100</v>
      </c>
    </row>
    <row r="42" spans="1:7" x14ac:dyDescent="0.3">
      <c r="A42" s="2">
        <v>3</v>
      </c>
      <c r="C42" s="38" t="s">
        <v>14</v>
      </c>
      <c r="D42" s="42">
        <f>TRUNC(987.28,-1)</f>
        <v>980</v>
      </c>
      <c r="E42" s="64">
        <f t="shared" si="1"/>
        <v>3230</v>
      </c>
    </row>
    <row r="43" spans="1:7" x14ac:dyDescent="0.3">
      <c r="A43" s="2">
        <v>4</v>
      </c>
      <c r="C43" s="38" t="s">
        <v>16</v>
      </c>
      <c r="D43" s="42">
        <f>TRUNC(49863.55,-1)</f>
        <v>49860</v>
      </c>
      <c r="E43" s="64">
        <f t="shared" si="1"/>
        <v>164820</v>
      </c>
    </row>
    <row r="44" spans="1:7" x14ac:dyDescent="0.3">
      <c r="A44" s="2">
        <v>5</v>
      </c>
      <c r="C44" s="38" t="s">
        <v>17</v>
      </c>
      <c r="D44" s="42">
        <f>TRUNC(30776.11,-1)</f>
        <v>30770</v>
      </c>
      <c r="E44" s="64">
        <f t="shared" si="1"/>
        <v>101710</v>
      </c>
    </row>
    <row r="45" spans="1:7" x14ac:dyDescent="0.3">
      <c r="A45" s="2">
        <v>6</v>
      </c>
      <c r="C45" s="38" t="s">
        <v>18</v>
      </c>
      <c r="D45" s="42">
        <f>TRUNC(9420.07,-1)</f>
        <v>9420</v>
      </c>
      <c r="E45" s="64">
        <f t="shared" si="1"/>
        <v>31140</v>
      </c>
    </row>
    <row r="46" spans="1:7" x14ac:dyDescent="0.3">
      <c r="A46" s="2">
        <v>7</v>
      </c>
      <c r="C46" s="38" t="s">
        <v>19</v>
      </c>
      <c r="D46" s="42">
        <f>TRUNC(23594.32,-1)</f>
        <v>23590</v>
      </c>
      <c r="E46" s="64">
        <f t="shared" si="1"/>
        <v>77980</v>
      </c>
    </row>
    <row r="47" spans="1:7" x14ac:dyDescent="0.3">
      <c r="A47" s="2">
        <v>8</v>
      </c>
      <c r="C47" s="38" t="s">
        <v>20</v>
      </c>
      <c r="D47" s="42">
        <f>TRUNC(30895.15,-1)</f>
        <v>30890</v>
      </c>
      <c r="E47" s="64">
        <f t="shared" si="1"/>
        <v>102110</v>
      </c>
    </row>
    <row r="48" spans="1:7" x14ac:dyDescent="0.3">
      <c r="A48" s="2">
        <v>9</v>
      </c>
      <c r="C48" s="38" t="s">
        <v>21</v>
      </c>
      <c r="D48" s="42">
        <f>TRUNC(33450.18,-1)</f>
        <v>33450</v>
      </c>
      <c r="E48" s="64">
        <f t="shared" si="1"/>
        <v>110570</v>
      </c>
    </row>
    <row r="49" spans="1:7" x14ac:dyDescent="0.3">
      <c r="A49" s="2">
        <v>10</v>
      </c>
      <c r="C49" s="38" t="s">
        <v>22</v>
      </c>
      <c r="D49" s="42">
        <f>TRUNC(16079.97,-1)</f>
        <v>16070</v>
      </c>
      <c r="E49" s="64">
        <f t="shared" si="1"/>
        <v>53120</v>
      </c>
    </row>
    <row r="50" spans="1:7" x14ac:dyDescent="0.3">
      <c r="A50" s="2">
        <v>11</v>
      </c>
      <c r="C50" s="38" t="s">
        <v>154</v>
      </c>
      <c r="D50" s="42">
        <f>TRUNC(68867.14,-1)</f>
        <v>68860</v>
      </c>
      <c r="E50" s="64">
        <f t="shared" si="1"/>
        <v>227630</v>
      </c>
    </row>
    <row r="51" spans="1:7" x14ac:dyDescent="0.3">
      <c r="A51" s="2">
        <v>12</v>
      </c>
      <c r="C51" s="38" t="s">
        <v>23</v>
      </c>
      <c r="D51" s="42">
        <f>TRUNC(9464.19,-1)</f>
        <v>9460</v>
      </c>
      <c r="E51" s="64">
        <f t="shared" si="1"/>
        <v>31270</v>
      </c>
    </row>
    <row r="52" spans="1:7" x14ac:dyDescent="0.3">
      <c r="A52" s="2">
        <v>13</v>
      </c>
      <c r="C52" s="38" t="s">
        <v>24</v>
      </c>
      <c r="D52" s="42">
        <f>TRUNC(6297.11,-1)</f>
        <v>6290</v>
      </c>
      <c r="E52" s="64">
        <f t="shared" si="1"/>
        <v>20790</v>
      </c>
    </row>
    <row r="53" spans="1:7" x14ac:dyDescent="0.3">
      <c r="A53" s="2">
        <v>14</v>
      </c>
      <c r="C53" s="38" t="s">
        <v>25</v>
      </c>
      <c r="D53" s="42">
        <f>TRUNC(53731.32,-1)</f>
        <v>53730</v>
      </c>
      <c r="E53" s="64">
        <f t="shared" si="1"/>
        <v>177620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TRUNC(2507.53,-1)</f>
        <v>2500</v>
      </c>
      <c r="E55" s="64">
        <f t="shared" si="1"/>
        <v>8260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TRUNC(14375.53+17442.78+29171.16+3013.61+2047.63-635.24,-1)</f>
        <v>65410</v>
      </c>
      <c r="E58" s="64">
        <f t="shared" si="1"/>
        <v>216230</v>
      </c>
      <c r="F58" s="2" t="s">
        <v>236</v>
      </c>
    </row>
    <row r="59" spans="1:7" ht="17.25" thickBot="1" x14ac:dyDescent="0.35">
      <c r="A59" s="2">
        <v>20</v>
      </c>
      <c r="C59" s="38" t="s">
        <v>148</v>
      </c>
      <c r="D59" s="43">
        <f>TRUNC(131248.25,-1)</f>
        <v>131240</v>
      </c>
      <c r="E59" s="65">
        <f t="shared" si="1"/>
        <v>433850</v>
      </c>
      <c r="F59" s="2" t="s">
        <v>238</v>
      </c>
    </row>
    <row r="60" spans="1:7" x14ac:dyDescent="0.3">
      <c r="A60" s="2">
        <v>21</v>
      </c>
      <c r="C60" s="27" t="s">
        <v>112</v>
      </c>
      <c r="D60" s="39">
        <f>SUM(D40:D59)</f>
        <v>691300</v>
      </c>
      <c r="E60" s="39">
        <f>SUM(E40:E59)</f>
        <v>2285220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247</v>
      </c>
      <c r="C62" s="56" t="s">
        <v>248</v>
      </c>
      <c r="D62" s="57" t="s">
        <v>245</v>
      </c>
      <c r="E62" s="57" t="s">
        <v>267</v>
      </c>
      <c r="G62" s="55"/>
    </row>
    <row r="63" spans="1:7" x14ac:dyDescent="0.3">
      <c r="A63" s="2">
        <v>1</v>
      </c>
      <c r="C63" s="38" t="s">
        <v>27</v>
      </c>
      <c r="D63" s="40">
        <f>TRUNC(7274.47,-1)</f>
        <v>7270</v>
      </c>
      <c r="E63" s="63">
        <f>TRUNC(+D63*3.3058,-1)</f>
        <v>24030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7270</v>
      </c>
      <c r="E66" s="58">
        <f>SUM(E63:E65)</f>
        <v>24030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249</v>
      </c>
      <c r="C68" s="56" t="s">
        <v>250</v>
      </c>
      <c r="D68" s="57" t="s">
        <v>245</v>
      </c>
      <c r="E68" s="57" t="s">
        <v>267</v>
      </c>
      <c r="G68" s="55"/>
    </row>
    <row r="69" spans="1:7" x14ac:dyDescent="0.3">
      <c r="A69" s="2">
        <v>1</v>
      </c>
      <c r="C69" s="38" t="s">
        <v>30</v>
      </c>
      <c r="D69" s="40">
        <f>TRUNC(14295.81,-1)</f>
        <v>14290</v>
      </c>
      <c r="E69" s="63">
        <f>TRUNC(+D69*3.3058,-1)</f>
        <v>47230</v>
      </c>
    </row>
    <row r="70" spans="1:7" ht="16.5" customHeight="1" x14ac:dyDescent="0.3">
      <c r="A70" s="2">
        <v>2</v>
      </c>
      <c r="C70" s="38" t="s">
        <v>31</v>
      </c>
      <c r="D70" s="42">
        <f>TRUNC(1175.34,-1)</f>
        <v>1170</v>
      </c>
      <c r="E70" s="64">
        <f>TRUNC(+D70*3.3058,-1)</f>
        <v>3860</v>
      </c>
    </row>
    <row r="71" spans="1:7" x14ac:dyDescent="0.3">
      <c r="A71" s="2">
        <v>3</v>
      </c>
      <c r="C71" s="38" t="s">
        <v>32</v>
      </c>
      <c r="D71" s="42">
        <f>TRUNC(21025.62,-1)</f>
        <v>21020</v>
      </c>
      <c r="E71" s="64">
        <f t="shared" ref="E71:E73" si="2">TRUNC(+D71*3.3058,-1)</f>
        <v>69480</v>
      </c>
    </row>
    <row r="72" spans="1:7" x14ac:dyDescent="0.3">
      <c r="A72" s="2">
        <v>4</v>
      </c>
      <c r="C72" s="38" t="s">
        <v>33</v>
      </c>
      <c r="D72" s="42">
        <f>TRUNC(6664.07,-1)</f>
        <v>6660</v>
      </c>
      <c r="E72" s="64">
        <f t="shared" si="2"/>
        <v>22010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TRUNC(2998.93,-1)</f>
        <v>2990</v>
      </c>
      <c r="E75" s="64">
        <f>TRUNC(+D75*3.3058,-1)</f>
        <v>9880</v>
      </c>
    </row>
    <row r="76" spans="1:7" x14ac:dyDescent="0.3">
      <c r="A76" s="2">
        <v>8</v>
      </c>
      <c r="C76" s="38" t="s">
        <v>119</v>
      </c>
      <c r="D76" s="42">
        <f>TRUNC(37093.14,-1)</f>
        <v>37090</v>
      </c>
      <c r="E76" s="64">
        <f t="shared" ref="E76:E89" si="3">TRUNC(+D76*3.3058,-1)</f>
        <v>122610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TRUNC(41660.58,-1)</f>
        <v>41660</v>
      </c>
      <c r="E78" s="64">
        <f t="shared" si="3"/>
        <v>137710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  <c r="F79" s="2" t="s">
        <v>235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TRUNC(19726.62,-1)</f>
        <v>19720</v>
      </c>
      <c r="E81" s="64">
        <f t="shared" si="3"/>
        <v>65190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  <c r="F84" s="2" t="s">
        <v>234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TRUNC(1342.62,-1)</f>
        <v>1340</v>
      </c>
      <c r="E90" s="64">
        <f>TRUNC(+D90*3.3058,-1)</f>
        <v>4420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TRUNC(4239.15490294933+135345.719309302,-1)</f>
        <v>139580</v>
      </c>
      <c r="E93" s="64">
        <f>TRUNC(+D93*3.3058,-1)</f>
        <v>461420</v>
      </c>
      <c r="F93" s="2" t="s">
        <v>263</v>
      </c>
    </row>
    <row r="94" spans="1:7" ht="17.25" thickBot="1" x14ac:dyDescent="0.35">
      <c r="A94" s="2">
        <v>26</v>
      </c>
      <c r="C94" s="38" t="s">
        <v>47</v>
      </c>
      <c r="D94" s="43">
        <f>TRUNC(29282.09+47466.79+2466.31,-1)</f>
        <v>79210</v>
      </c>
      <c r="E94" s="65">
        <f>TRUNC(+D94*3.3058,-1)</f>
        <v>261850</v>
      </c>
      <c r="F94" s="2" t="s">
        <v>240</v>
      </c>
    </row>
    <row r="95" spans="1:7" x14ac:dyDescent="0.3">
      <c r="A95" s="2">
        <v>27</v>
      </c>
      <c r="C95" s="27" t="s">
        <v>112</v>
      </c>
      <c r="D95" s="39">
        <f>SUM(D69:D94)</f>
        <v>364730</v>
      </c>
      <c r="E95" s="39">
        <f>SUM(E69:E94)</f>
        <v>1205660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251</v>
      </c>
      <c r="C97" s="56" t="s">
        <v>250</v>
      </c>
      <c r="D97" s="57" t="s">
        <v>261</v>
      </c>
      <c r="E97" s="57" t="s">
        <v>267</v>
      </c>
      <c r="G97" s="55"/>
    </row>
    <row r="98" spans="1:7" x14ac:dyDescent="0.3">
      <c r="A98" s="2">
        <v>1</v>
      </c>
      <c r="C98" s="38" t="s">
        <v>39</v>
      </c>
      <c r="D98" s="40">
        <f>TRUNC(12756.37,-1)</f>
        <v>12750</v>
      </c>
      <c r="E98" s="63">
        <f t="shared" ref="E98:E118" si="4">TRUNC(+D98*3.3058,-1)</f>
        <v>42140</v>
      </c>
    </row>
    <row r="99" spans="1:7" x14ac:dyDescent="0.3">
      <c r="A99" s="2">
        <v>2</v>
      </c>
      <c r="C99" s="38" t="s">
        <v>40</v>
      </c>
      <c r="D99" s="42">
        <f>TRUNC(5859.24,-1)</f>
        <v>5850</v>
      </c>
      <c r="E99" s="64">
        <f t="shared" si="4"/>
        <v>19330</v>
      </c>
    </row>
    <row r="100" spans="1:7" x14ac:dyDescent="0.3">
      <c r="A100" s="2">
        <v>3</v>
      </c>
      <c r="C100" s="38" t="s">
        <v>41</v>
      </c>
      <c r="D100" s="42">
        <f>TRUNC(20218.81,-1)</f>
        <v>20210</v>
      </c>
      <c r="E100" s="64">
        <f t="shared" si="4"/>
        <v>66810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TRUNC(6109.99,-1)</f>
        <v>6100</v>
      </c>
      <c r="E102" s="64">
        <f t="shared" si="4"/>
        <v>20160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TRUNC(1260.55,-1)</f>
        <v>1260</v>
      </c>
      <c r="E104" s="64">
        <f t="shared" si="4"/>
        <v>4160</v>
      </c>
      <c r="F104" s="2" t="s">
        <v>241</v>
      </c>
    </row>
    <row r="105" spans="1:7" x14ac:dyDescent="0.3">
      <c r="A105" s="2">
        <v>8</v>
      </c>
      <c r="C105" s="38" t="s">
        <v>46</v>
      </c>
      <c r="D105" s="42">
        <f>TRUNC(4594.29,-1)</f>
        <v>4590</v>
      </c>
      <c r="E105" s="64">
        <f t="shared" si="4"/>
        <v>15170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TRUNC(5764.19,-1)</f>
        <v>5760</v>
      </c>
      <c r="E108" s="64">
        <f t="shared" si="4"/>
        <v>19040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TRUNC(1603.76,-1)</f>
        <v>1600</v>
      </c>
      <c r="E114" s="64">
        <f t="shared" si="4"/>
        <v>5280</v>
      </c>
      <c r="F114" s="2" t="s">
        <v>264</v>
      </c>
    </row>
    <row r="115" spans="1:7" x14ac:dyDescent="0.3">
      <c r="A115" s="2">
        <v>18</v>
      </c>
      <c r="C115" s="38" t="s">
        <v>116</v>
      </c>
      <c r="D115" s="42">
        <f>TRUNC(4695.95,-1)</f>
        <v>4690</v>
      </c>
      <c r="E115" s="64">
        <f t="shared" si="4"/>
        <v>15500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TRUNC(15313.902193093+26067.8077892614,-1)</f>
        <v>41380</v>
      </c>
      <c r="E117" s="64">
        <f t="shared" si="4"/>
        <v>136790</v>
      </c>
      <c r="F117" s="2" t="s">
        <v>265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104190</v>
      </c>
      <c r="E119" s="39">
        <f>SUM(E98:E118)</f>
        <v>344380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252</v>
      </c>
      <c r="C121" s="56" t="s">
        <v>250</v>
      </c>
      <c r="D121" s="57" t="s">
        <v>261</v>
      </c>
      <c r="E121" s="57" t="s">
        <v>267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f>TRUNC(9074.51,-1)</f>
        <v>9070</v>
      </c>
      <c r="E123" s="64">
        <f t="shared" si="5"/>
        <v>29980</v>
      </c>
    </row>
    <row r="124" spans="1:7" x14ac:dyDescent="0.3">
      <c r="A124" s="2">
        <v>3</v>
      </c>
      <c r="C124" s="38" t="s">
        <v>151</v>
      </c>
      <c r="D124" s="42">
        <f>TRUNC(661.85,-1)</f>
        <v>660</v>
      </c>
      <c r="E124" s="64">
        <f t="shared" si="5"/>
        <v>2180</v>
      </c>
    </row>
    <row r="125" spans="1:7" x14ac:dyDescent="0.3">
      <c r="A125" s="2">
        <v>4</v>
      </c>
      <c r="C125" s="38" t="s">
        <v>138</v>
      </c>
      <c r="D125" s="42">
        <f>TRUNC(3953.74,-1)</f>
        <v>3950</v>
      </c>
      <c r="E125" s="64">
        <f t="shared" si="5"/>
        <v>13050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TRUNC(5805.43,-1)</f>
        <v>5800</v>
      </c>
      <c r="E128" s="64">
        <f t="shared" si="5"/>
        <v>19170</v>
      </c>
      <c r="F128" s="2" t="s">
        <v>242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TRUNC(15777.47,-1)</f>
        <v>15770</v>
      </c>
      <c r="E130" s="64">
        <f t="shared" si="5"/>
        <v>52130</v>
      </c>
    </row>
    <row r="131" spans="1:7" x14ac:dyDescent="0.3">
      <c r="A131" s="2">
        <v>10</v>
      </c>
      <c r="C131" s="38" t="s">
        <v>148</v>
      </c>
      <c r="D131" s="42">
        <f>TRUNC(20219.04,-1)</f>
        <v>20210</v>
      </c>
      <c r="E131" s="64">
        <f t="shared" si="5"/>
        <v>66810</v>
      </c>
      <c r="F131" s="2" t="s">
        <v>266</v>
      </c>
    </row>
    <row r="132" spans="1:7" ht="18" thickBot="1" x14ac:dyDescent="0.35">
      <c r="A132" s="2">
        <v>11</v>
      </c>
      <c r="C132" s="38" t="s">
        <v>47</v>
      </c>
      <c r="D132" s="43">
        <f>TRUNC(9973.78+13269.23+420.8,-1)</f>
        <v>23660</v>
      </c>
      <c r="E132" s="65">
        <f t="shared" si="5"/>
        <v>78210</v>
      </c>
      <c r="F132" s="54" t="s">
        <v>243</v>
      </c>
    </row>
    <row r="133" spans="1:7" x14ac:dyDescent="0.3">
      <c r="A133" s="2">
        <v>12</v>
      </c>
      <c r="C133" s="27" t="s">
        <v>112</v>
      </c>
      <c r="D133" s="39">
        <f>SUM(D122:D132)</f>
        <v>79120</v>
      </c>
      <c r="E133" s="39">
        <f>SUM(E122:E132)</f>
        <v>261530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253</v>
      </c>
      <c r="C135" s="56" t="s">
        <v>250</v>
      </c>
      <c r="D135" s="57" t="s">
        <v>260</v>
      </c>
      <c r="E135" s="57" t="s">
        <v>267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">
        <f>TRUNC(7986.2+389.38+1876.44,-1)</f>
        <v>10250</v>
      </c>
      <c r="E137" s="64">
        <f t="shared" si="6"/>
        <v>33880</v>
      </c>
      <c r="F137" s="2" t="s">
        <v>244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f>TRUNC(3690.73,-1)</f>
        <v>3690</v>
      </c>
      <c r="E140" s="64">
        <f t="shared" si="6"/>
        <v>12190</v>
      </c>
    </row>
    <row r="141" spans="1:7" x14ac:dyDescent="0.3">
      <c r="A141" s="2">
        <v>6</v>
      </c>
      <c r="C141" s="38" t="s">
        <v>59</v>
      </c>
      <c r="D141" s="42">
        <f>TRUNC(24744.85,-1)</f>
        <v>24740</v>
      </c>
      <c r="E141" s="64">
        <f t="shared" si="6"/>
        <v>81780</v>
      </c>
    </row>
    <row r="142" spans="1:7" x14ac:dyDescent="0.3">
      <c r="A142" s="2">
        <v>7</v>
      </c>
      <c r="C142" s="38" t="s">
        <v>58</v>
      </c>
      <c r="D142" s="42">
        <f>TRUNC(3533.5,-1)</f>
        <v>3530</v>
      </c>
      <c r="E142" s="64">
        <f t="shared" si="6"/>
        <v>11660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TRUNC(1759.91038568188+1227.01,-1)</f>
        <v>2980</v>
      </c>
      <c r="E145" s="65">
        <f t="shared" si="6"/>
        <v>9850</v>
      </c>
      <c r="F145" s="2" t="s">
        <v>238</v>
      </c>
    </row>
    <row r="146" spans="1:7" x14ac:dyDescent="0.3">
      <c r="A146" s="2">
        <v>11</v>
      </c>
      <c r="C146" s="27" t="s">
        <v>112</v>
      </c>
      <c r="D146" s="39">
        <f>SUM(D136:D145)</f>
        <v>45190</v>
      </c>
      <c r="E146" s="39">
        <f>SUM(E136:E145)</f>
        <v>149360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254</v>
      </c>
      <c r="C148" s="56" t="s">
        <v>250</v>
      </c>
      <c r="D148" s="57" t="s">
        <v>260</v>
      </c>
      <c r="E148" s="57" t="s">
        <v>267</v>
      </c>
      <c r="G148" s="55"/>
    </row>
    <row r="149" spans="1:7" x14ac:dyDescent="0.3">
      <c r="A149" s="2">
        <v>1</v>
      </c>
      <c r="C149" s="38" t="s">
        <v>48</v>
      </c>
      <c r="D149" s="40">
        <f>TRUNC(8276.59,-1)</f>
        <v>8270</v>
      </c>
      <c r="E149" s="63">
        <f>TRUNC(+D149*3.3058,-1)</f>
        <v>27330</v>
      </c>
    </row>
    <row r="150" spans="1:7" x14ac:dyDescent="0.3">
      <c r="A150" s="2">
        <v>2</v>
      </c>
      <c r="C150" s="38" t="s">
        <v>49</v>
      </c>
      <c r="D150" s="42">
        <f>TRUNC(2727.53,-1)</f>
        <v>2720</v>
      </c>
      <c r="E150" s="64">
        <f>TRUNC(+D150*3.3058,-1)</f>
        <v>8990</v>
      </c>
    </row>
    <row r="151" spans="1:7" x14ac:dyDescent="0.3">
      <c r="A151" s="2">
        <v>3</v>
      </c>
      <c r="C151" s="38" t="s">
        <v>50</v>
      </c>
      <c r="D151" s="42">
        <f>TRUNC(3955.02,-1)</f>
        <v>3950</v>
      </c>
      <c r="E151" s="64">
        <f>TRUNC(+D151*3.3058,-1)</f>
        <v>13050</v>
      </c>
    </row>
    <row r="152" spans="1:7" x14ac:dyDescent="0.3">
      <c r="A152" s="2">
        <v>4</v>
      </c>
      <c r="C152" s="38" t="s">
        <v>47</v>
      </c>
      <c r="D152" s="42">
        <f>TRUNC(1598.28+4186.6,-1)</f>
        <v>5780</v>
      </c>
      <c r="E152" s="64">
        <f>TRUNC(+D152*3.3058,-1)</f>
        <v>19100</v>
      </c>
      <c r="F152" s="2" t="s">
        <v>237</v>
      </c>
    </row>
    <row r="153" spans="1:7" ht="17.25" thickBot="1" x14ac:dyDescent="0.35">
      <c r="A153" s="2">
        <v>5</v>
      </c>
      <c r="C153" s="38" t="s">
        <v>148</v>
      </c>
      <c r="D153" s="43">
        <f>TRUNC(4935.97,-1)</f>
        <v>4930</v>
      </c>
      <c r="E153" s="65">
        <f>TRUNC(+D153*3.3058,-1)</f>
        <v>16290</v>
      </c>
      <c r="F153" s="2" t="s">
        <v>238</v>
      </c>
    </row>
    <row r="154" spans="1:7" x14ac:dyDescent="0.3">
      <c r="A154" s="2">
        <v>6</v>
      </c>
      <c r="C154" s="27" t="s">
        <v>112</v>
      </c>
      <c r="D154" s="39">
        <f>SUM(D149:D153)</f>
        <v>25650</v>
      </c>
      <c r="E154" s="39">
        <f>SUM(E149:E153)</f>
        <v>84760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255</v>
      </c>
      <c r="C156" s="56" t="s">
        <v>250</v>
      </c>
      <c r="D156" s="57" t="s">
        <v>260</v>
      </c>
      <c r="E156" s="57" t="s">
        <v>267</v>
      </c>
      <c r="G156" s="55"/>
    </row>
    <row r="157" spans="1:7" x14ac:dyDescent="0.3">
      <c r="A157" s="2">
        <v>1</v>
      </c>
      <c r="C157" s="38" t="s">
        <v>51</v>
      </c>
      <c r="D157" s="40">
        <f>TRUNC(22027.35,-1)</f>
        <v>22020</v>
      </c>
      <c r="E157" s="63">
        <f>TRUNC(+D157*3.3058,-1)</f>
        <v>72790</v>
      </c>
    </row>
    <row r="158" spans="1:7" x14ac:dyDescent="0.3">
      <c r="A158" s="2">
        <v>2</v>
      </c>
      <c r="C158" s="38" t="s">
        <v>52</v>
      </c>
      <c r="D158" s="42">
        <f>TRUNC(11574.68,-1)</f>
        <v>11570</v>
      </c>
      <c r="E158" s="64">
        <f>TRUNC(+D158*3.3058,-1)</f>
        <v>38240</v>
      </c>
    </row>
    <row r="159" spans="1:7" x14ac:dyDescent="0.3">
      <c r="A159" s="2">
        <v>3</v>
      </c>
      <c r="C159" s="38" t="s">
        <v>47</v>
      </c>
      <c r="D159" s="42">
        <f>TRUNC(4122.07,-1)</f>
        <v>4120</v>
      </c>
      <c r="E159" s="64">
        <f>TRUNC(+D159*3.3058,-1)</f>
        <v>13610</v>
      </c>
      <c r="F159" s="2" t="s">
        <v>239</v>
      </c>
    </row>
    <row r="160" spans="1:7" ht="17.25" thickBot="1" x14ac:dyDescent="0.35">
      <c r="A160" s="2">
        <v>4</v>
      </c>
      <c r="C160" s="38" t="s">
        <v>148</v>
      </c>
      <c r="D160" s="43">
        <f>TRUNC(218.66,-1)</f>
        <v>210</v>
      </c>
      <c r="E160" s="65">
        <f>TRUNC(+D160*3.3058,-1)</f>
        <v>690</v>
      </c>
      <c r="F160" s="2" t="s">
        <v>238</v>
      </c>
    </row>
    <row r="161" spans="1:5" x14ac:dyDescent="0.3">
      <c r="A161" s="2">
        <v>5</v>
      </c>
      <c r="C161" s="27" t="s">
        <v>112</v>
      </c>
      <c r="D161" s="39">
        <f>SUM(D157:D160)</f>
        <v>37920</v>
      </c>
      <c r="E161" s="39">
        <f>SUM(E157:E160)</f>
        <v>125330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2020-12-07T09:10:38Z</dcterms:modified>
</cp:coreProperties>
</file>