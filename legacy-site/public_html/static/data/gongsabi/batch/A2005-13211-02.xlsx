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46" i="4"/>
  <c r="D59" i="4"/>
  <c r="E59" i="4" s="1"/>
  <c r="D161" i="4" l="1"/>
  <c r="D152" i="4"/>
  <c r="D146" i="4"/>
  <c r="D132" i="4"/>
  <c r="D117" i="4"/>
  <c r="E117" i="4" s="1"/>
  <c r="E119" i="4" s="1"/>
  <c r="D94" i="4"/>
  <c r="E94" i="4" s="1"/>
  <c r="D84" i="4"/>
  <c r="D66" i="4"/>
  <c r="D58" i="4"/>
  <c r="D32" i="4"/>
  <c r="E32" i="4" s="1"/>
  <c r="D30" i="4"/>
  <c r="E30" i="4" s="1"/>
  <c r="D26" i="4"/>
  <c r="E26" i="4" s="1"/>
  <c r="D24" i="4"/>
  <c r="D7" i="4"/>
  <c r="E24" i="4" l="1"/>
  <c r="D60" i="4"/>
  <c r="D25" i="4" s="1"/>
  <c r="E25" i="4" s="1"/>
  <c r="E58" i="4"/>
  <c r="E60" i="4" s="1"/>
  <c r="D154" i="4"/>
  <c r="D31" i="4" s="1"/>
  <c r="E31" i="4" s="1"/>
  <c r="E152" i="4"/>
  <c r="E154" i="4" s="1"/>
  <c r="D95" i="4"/>
  <c r="D27" i="4" s="1"/>
  <c r="E27" i="4" s="1"/>
  <c r="E84" i="4"/>
  <c r="E95" i="4" s="1"/>
  <c r="D133" i="4"/>
  <c r="D29" i="4" s="1"/>
  <c r="E29" i="4" s="1"/>
  <c r="E132" i="4"/>
  <c r="E133" i="4" s="1"/>
  <c r="D119" i="4"/>
  <c r="D28" i="4" s="1"/>
  <c r="E28" i="4" s="1"/>
  <c r="D34" i="4" l="1"/>
  <c r="D33" i="4"/>
  <c r="E33" i="4" s="1"/>
  <c r="E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<sst xmlns="http://schemas.openxmlformats.org/spreadsheetml/2006/main" count="395" uniqueCount="269">
  <si>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</si>
  <si>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</si>
  <si>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</si>
  <si>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</si>
  <si>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</si>
  <si>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</si>
  <si>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</si>
  <si>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</si>
  <si>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</si>
  <si>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</si>
  <si>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</si>
  <si>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</si>
  <si>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</si>
  <si>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</si>
  <si>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</si>
  <si>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</si>
  <si>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</si>
  <si>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</si>
  <si>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</si>
  <si>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</si>
  <si>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</si>
  <si>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</si>
  <si>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</si>
  <si>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</si>
  <si>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</si>
  <si>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</si>
  <si>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</si>
  <si>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</si>
  <si>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</si>
  <si>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</si>
  <si>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</si>
  <si>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</si>
  <si>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</si>
  <si>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</si>
  <si>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</si>
  <si>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</si>
  <si>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</si>
  <si>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</si>
  <si>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</si>
  <si>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</si>
  <si>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</si>
  <si>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</si>
  <si>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</si>
  <si>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</si>
  <si>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</si>
  <si>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</si>
  <si>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</si>
  <si>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</si>
  <si>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</si>
  <si>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</si>
  <si>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</si>
  <si>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</si>
  <si>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</si>
  <si>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</si>
  <si>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</si>
  <si>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</si>
  <si>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</si>
  <si>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</si>
  <si>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</si>
  <si>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</si>
  <si>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</si>
  <si>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</si>
  <si>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</si>
  <si>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</si>
  <si>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</si>
  <si>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</si>
  <si>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</si>
  <si>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</si>
  <si>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</si>
  <si>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</si>
  <si>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</si>
  <si>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</si>
  <si>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</si>
  <si>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</si>
  <si>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</si>
  <si>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</si>
  <si>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</si>
  <si>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</si>
  <si>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</si>
  <si>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</si>
  <si>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</si>
  <si>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</si>
  <si>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</si>
  <si>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</si>
  <si>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</si>
  <si>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</si>
  <si>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</si>
  <si>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</si>
  <si>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</si>
  <si>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</si>
  <si>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</si>
  <si>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</si>
  <si>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</si>
  <si>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</si>
  <si>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</si>
  <si>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</si>
  <si>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</si>
  <si>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</si>
  <si>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</si>
  <si>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</si>
  <si>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</si>
  <si>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</si>
  <si>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</si>
  <si>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</si>
  <si>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</si>
  <si>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</si>
  <si>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</si>
  <si>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</si>
  <si>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</si>
  <si>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</si>
  <si>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</si>
  <si>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</si>
  <si>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</si>
  <si>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</si>
  <si>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</si>
  <si>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</si>
  <si>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</si>
  <si>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</si>
  <si>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</si>
  <si>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</si>
  <si>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</si>
  <si>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</si>
  <si>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</si>
  <si>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</si>
  <si>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</si>
  <si>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</si>
  <si>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</si>
  <si>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</si>
  <si>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</si>
  <si>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</si>
  <si>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</si>
  <si>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</si>
  <si>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</si>
  <si>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</si>
  <si>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</si>
  <si>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</si>
  <si>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</si>
  <si>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</si>
  <si>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</si>
  <si>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</si>
  <si>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</si>
  <si>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</si>
  <si>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</si>
  <si>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</si>
  <si>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</si>
  <si>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</si>
  <si>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</si>
  <si>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</si>
  <si>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</si>
  <si>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</si>
  <si>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</si>
  <si>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</si>
  <si>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</si>
  <si>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</si>
  <si>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</si>
  <si>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</si>
  <si>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</si>
  <si>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</si>
  <si>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</si>
  <si>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</si>
  <si>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</si>
  <si>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</si>
  <si>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</si>
  <si>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</si>
  <si>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</si>
  <si>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</si>
  <si>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</si>
  <si>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</si>
  <si>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</si>
  <si>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</si>
  <si>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</si>
  <si>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</si>
  <si>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</si>
  <si>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</si>
  <si>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</si>
  <si>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</si>
  <si>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</si>
  <si>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</si>
  <si>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</si>
  <si>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</si>
  <si>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</si>
  <si>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</si>
  <si>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</si>
  <si>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</si>
  <si>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</si>
  <si>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</si>
  <si>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</si>
  <si>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</si>
  <si>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</si>
  <si>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</si>
  <si>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</si>
  <si>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</si>
  <si>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</si>
  <si>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</si>
  <si>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</si>
  <si>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</si>
  <si>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</si>
  <si>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</si>
  <si>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</si>
  <si>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</si>
  <si>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</si>
  <si>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</si>
  <si>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</si>
  <si>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</si>
  <si>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</si>
  <si>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</si>
  <si>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</si>
  <si>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</si>
  <si>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</si>
  <si>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</si>
  <si>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</si>
  <si>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</si>
  <si>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</si>
  <si>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</si>
  <si>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</si>
  <si>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</si>
  <si>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</si>
  <si>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</si>
  <si>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</si>
  <si>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</si>
  <si>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</si>
  <si>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</si>
  <si>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</si>
  <si>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</si>
  <si>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</si>
  <si>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</si>
  <si>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</si>
  <si>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</si>
  <si>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</si>
  <si>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</si>
  <si>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</si>
  <si>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</si>
  <si>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</si>
  <si>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</si>
  <si>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</si>
  <si>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</si>
  <si>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</si>
  <si>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</si>
  <si>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</si>
  <si>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</si>
  <si>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</si>
  <si>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</si>
  <si>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</si>
  <si>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</si>
  <si>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</si>
  <si>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00경찰서신축공사</t>
  </si>
  <si>
    <t>업무</t>
  </si>
  <si>
    <t>평</t>
    <phoneticPr fontId="2" type="noConversion"/>
  </si>
  <si>
    <t>원/ m2</t>
    <phoneticPr fontId="2" type="noConversion"/>
  </si>
  <si>
    <t>충청도</t>
  </si>
  <si>
    <t>지붕및기타공사</t>
  </si>
  <si>
    <t>골재대,골재비,국기게양대설치공사,기초및토공사,송신탑설치공사,폐기물처리비,C사격시설,운반공사,작업부산물</t>
    <phoneticPr fontId="2" type="noConversion"/>
  </si>
  <si>
    <t>환기닥트설치공사</t>
  </si>
  <si>
    <t>냉난방배관공사,냉난방기설치공사</t>
    <phoneticPr fontId="2" type="noConversion"/>
  </si>
  <si>
    <t>위생배관공사</t>
    <phoneticPr fontId="2" type="noConversion"/>
  </si>
  <si>
    <t>옥외보안등공사</t>
  </si>
  <si>
    <t>도급자설치,관급자설치</t>
    <phoneticPr fontId="2" type="noConversion"/>
  </si>
  <si>
    <t>공청TV공사</t>
  </si>
  <si>
    <t>CCTV설비공사,비상벨및무전기공사</t>
    <phoneticPr fontId="2" type="noConversion"/>
  </si>
  <si>
    <t>기계 소방설비공사</t>
    <phoneticPr fontId="2" type="noConversion"/>
  </si>
  <si>
    <t>배수공,부대공,운반비,사급자재비</t>
    <phoneticPr fontId="2" type="noConversion"/>
  </si>
  <si>
    <t>수목대, 식재대</t>
  </si>
  <si>
    <t>도급자설치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</si>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</sst>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4936</v>
      </c>
      <c r="D7" s="36">
        <f>+C7/3.3058</f>
        <v>1493.1332809002358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564800</v>
      </c>
      <c r="E25" s="60">
        <f t="shared" si="0"/>
        <v>1867110</v>
      </c>
    </row>
    <row r="26" spans="1:5" x14ac:dyDescent="0.3">
      <c r="B26" s="2">
        <v>3</v>
      </c>
      <c r="C26" s="35" t="s">
        <v>95</v>
      </c>
      <c r="D26" s="45">
        <f>+D66</f>
        <v>26990</v>
      </c>
      <c r="E26" s="60">
        <f t="shared" si="0"/>
        <v>89220</v>
      </c>
    </row>
    <row r="27" spans="1:5" x14ac:dyDescent="0.3">
      <c r="B27" s="2">
        <v>4</v>
      </c>
      <c r="C27" s="35" t="s">
        <v>96</v>
      </c>
      <c r="D27" s="45">
        <f>+D95</f>
        <v>156040</v>
      </c>
      <c r="E27" s="60">
        <f t="shared" si="0"/>
        <v>515830</v>
      </c>
    </row>
    <row r="28" spans="1:5" x14ac:dyDescent="0.3">
      <c r="B28" s="2">
        <v>5</v>
      </c>
      <c r="C28" s="35" t="s">
        <v>97</v>
      </c>
      <c r="D28" s="45">
        <f>+D119</f>
        <v>93200</v>
      </c>
      <c r="E28" s="60">
        <f t="shared" si="0"/>
        <v>308100</v>
      </c>
    </row>
    <row r="29" spans="1:5" x14ac:dyDescent="0.3">
      <c r="B29" s="2">
        <v>6</v>
      </c>
      <c r="C29" s="35" t="s">
        <v>98</v>
      </c>
      <c r="D29" s="45">
        <f>+D133</f>
        <v>44500</v>
      </c>
      <c r="E29" s="60">
        <f t="shared" si="0"/>
        <v>147100</v>
      </c>
    </row>
    <row r="30" spans="1:5" x14ac:dyDescent="0.3">
      <c r="B30" s="2">
        <v>7</v>
      </c>
      <c r="C30" s="35" t="s">
        <v>99</v>
      </c>
      <c r="D30" s="45">
        <f>+D146</f>
        <v>15160</v>
      </c>
      <c r="E30" s="60">
        <f t="shared" si="0"/>
        <v>50110</v>
      </c>
    </row>
    <row r="31" spans="1:5" x14ac:dyDescent="0.3">
      <c r="B31" s="2">
        <v>8</v>
      </c>
      <c r="C31" s="35" t="s">
        <v>100</v>
      </c>
      <c r="D31" s="45">
        <f>+D154</f>
        <v>43520</v>
      </c>
      <c r="E31" s="60">
        <f t="shared" si="0"/>
        <v>143860</v>
      </c>
    </row>
    <row r="32" spans="1:5" x14ac:dyDescent="0.3">
      <c r="B32" s="2">
        <v>9</v>
      </c>
      <c r="C32" s="35" t="s">
        <v>101</v>
      </c>
      <c r="D32" s="45">
        <f>+D161</f>
        <v>33810</v>
      </c>
      <c r="E32" s="60">
        <f t="shared" si="0"/>
        <v>111760</v>
      </c>
    </row>
    <row r="33" spans="1:7" x14ac:dyDescent="0.3">
      <c r="B33" s="2">
        <v>10</v>
      </c>
      <c r="C33" s="35" t="s">
        <v>154</v>
      </c>
      <c r="D33" s="53">
        <f>TRUNC(SUM(D24:D32)*0.275,-1)</f>
        <v>268950</v>
      </c>
      <c r="E33" s="61">
        <f t="shared" si="0"/>
        <v>889090</v>
      </c>
    </row>
    <row r="34" spans="1:7" x14ac:dyDescent="0.3">
      <c r="C34" s="35" t="s">
        <v>112</v>
      </c>
      <c r="D34" s="44">
        <f>SUM(D24:D33)</f>
        <v>1246970</v>
      </c>
      <c r="E34" s="44">
        <f>SUM(E24:E33)</f>
        <v>4122180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248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v>29060</v>
      </c>
      <c r="E40" s="63">
        <f t="shared" ref="E40:E59" si="1">TRUNC(+D40*3.3058,-1)</f>
        <v>96060</v>
      </c>
    </row>
    <row r="41" spans="1:7" x14ac:dyDescent="0.3">
      <c r="A41" s="2">
        <v>2</v>
      </c>
      <c r="C41" s="38" t="s">
        <v>13</v>
      </c>
      <c r="D41" s="42">
        <v>107130</v>
      </c>
      <c r="E41" s="64">
        <f t="shared" si="1"/>
        <v>354150</v>
      </c>
    </row>
    <row r="42" spans="1:7" x14ac:dyDescent="0.3">
      <c r="A42" s="2">
        <v>3</v>
      </c>
      <c r="C42" s="38" t="s">
        <v>14</v>
      </c>
      <c r="D42" s="42">
        <v>9440</v>
      </c>
      <c r="E42" s="64">
        <f t="shared" si="1"/>
        <v>31200</v>
      </c>
    </row>
    <row r="43" spans="1:7" x14ac:dyDescent="0.3">
      <c r="A43" s="2">
        <v>4</v>
      </c>
      <c r="C43" s="38" t="s">
        <v>16</v>
      </c>
      <c r="D43" s="42">
        <v>17760</v>
      </c>
      <c r="E43" s="64">
        <f t="shared" si="1"/>
        <v>58710</v>
      </c>
    </row>
    <row r="44" spans="1:7" x14ac:dyDescent="0.3">
      <c r="A44" s="2">
        <v>5</v>
      </c>
      <c r="C44" s="38" t="s">
        <v>17</v>
      </c>
      <c r="D44" s="42">
        <v>9540</v>
      </c>
      <c r="E44" s="64">
        <f t="shared" si="1"/>
        <v>31530</v>
      </c>
    </row>
    <row r="45" spans="1:7" x14ac:dyDescent="0.3">
      <c r="A45" s="2">
        <v>6</v>
      </c>
      <c r="C45" s="38" t="s">
        <v>18</v>
      </c>
      <c r="D45" s="42">
        <v>5610</v>
      </c>
      <c r="E45" s="64">
        <f t="shared" si="1"/>
        <v>18540</v>
      </c>
    </row>
    <row r="46" spans="1:7" x14ac:dyDescent="0.3">
      <c r="A46" s="2">
        <v>7</v>
      </c>
      <c r="C46" s="38" t="s">
        <v>19</v>
      </c>
      <c r="D46" s="42">
        <v>78010</v>
      </c>
      <c r="E46" s="64">
        <f t="shared" si="1"/>
        <v>257880</v>
      </c>
    </row>
    <row r="47" spans="1:7" x14ac:dyDescent="0.3">
      <c r="A47" s="2">
        <v>8</v>
      </c>
      <c r="C47" s="38" t="s">
        <v>20</v>
      </c>
      <c r="D47" s="42">
        <v>2030</v>
      </c>
      <c r="E47" s="64">
        <f t="shared" si="1"/>
        <v>6710</v>
      </c>
    </row>
    <row r="48" spans="1:7" x14ac:dyDescent="0.3">
      <c r="A48" s="2">
        <v>9</v>
      </c>
      <c r="C48" s="38" t="s">
        <v>21</v>
      </c>
      <c r="D48" s="42">
        <v>52480</v>
      </c>
      <c r="E48" s="64">
        <f t="shared" si="1"/>
        <v>173480</v>
      </c>
    </row>
    <row r="49" spans="1:7" x14ac:dyDescent="0.3">
      <c r="A49" s="2">
        <v>10</v>
      </c>
      <c r="C49" s="38" t="s">
        <v>22</v>
      </c>
      <c r="D49" s="42">
        <v>18810</v>
      </c>
      <c r="E49" s="64">
        <f t="shared" si="1"/>
        <v>62180</v>
      </c>
    </row>
    <row r="50" spans="1:7" x14ac:dyDescent="0.3">
      <c r="A50" s="2">
        <v>11</v>
      </c>
      <c r="C50" s="38" t="s">
        <v>155</v>
      </c>
      <c r="D50" s="42">
        <v>33990</v>
      </c>
      <c r="E50" s="64">
        <f t="shared" si="1"/>
        <v>112360</v>
      </c>
    </row>
    <row r="51" spans="1:7" x14ac:dyDescent="0.3">
      <c r="A51" s="2">
        <v>12</v>
      </c>
      <c r="C51" s="38" t="s">
        <v>23</v>
      </c>
      <c r="D51" s="42">
        <v>9930</v>
      </c>
      <c r="E51" s="64">
        <f t="shared" si="1"/>
        <v>32820</v>
      </c>
    </row>
    <row r="52" spans="1:7" x14ac:dyDescent="0.3">
      <c r="A52" s="2">
        <v>13</v>
      </c>
      <c r="C52" s="38" t="s">
        <v>24</v>
      </c>
      <c r="D52" s="42">
        <v>5650</v>
      </c>
      <c r="E52" s="64">
        <f t="shared" si="1"/>
        <v>18670</v>
      </c>
    </row>
    <row r="53" spans="1:7" x14ac:dyDescent="0.3">
      <c r="A53" s="2">
        <v>14</v>
      </c>
      <c r="C53" s="38" t="s">
        <v>25</v>
      </c>
      <c r="D53" s="42">
        <v>29370</v>
      </c>
      <c r="E53" s="64">
        <f t="shared" si="1"/>
        <v>97090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12650</v>
      </c>
      <c r="E55" s="64">
        <f t="shared" si="1"/>
        <v>41810</v>
      </c>
      <c r="F55" s="2" t="s">
        <v>250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80+2290+370+5640+3800+980+34700+2200-320</f>
        <v>49740</v>
      </c>
      <c r="E58" s="64">
        <f t="shared" si="1"/>
        <v>164430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TRUNC(93606.7666126418,-1)</f>
        <v>93600</v>
      </c>
      <c r="E59" s="65">
        <f t="shared" si="1"/>
        <v>309420</v>
      </c>
      <c r="F59" s="2" t="s">
        <v>262</v>
      </c>
    </row>
    <row r="60" spans="1:7" x14ac:dyDescent="0.3">
      <c r="A60" s="2">
        <v>21</v>
      </c>
      <c r="C60" s="27" t="s">
        <v>112</v>
      </c>
      <c r="D60" s="39">
        <f>SUM(D40:D59)</f>
        <v>564800</v>
      </c>
      <c r="E60" s="39">
        <f>SUM(E40:E59)</f>
        <v>1867040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248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26990</v>
      </c>
      <c r="E63" s="63">
        <f>TRUNC(+D63*3.3058,-1)</f>
        <v>89220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26990</v>
      </c>
      <c r="E66" s="57">
        <f>SUM(E63:E65)</f>
        <v>89220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248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12840</v>
      </c>
      <c r="E69" s="63">
        <f>TRUNC(+D69*3.3058,-1)</f>
        <v>42440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v>8510</v>
      </c>
      <c r="E71" s="64">
        <f t="shared" ref="E71:E73" si="2">TRUNC(+D71*3.3058,-1)</f>
        <v>28130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1720</v>
      </c>
      <c r="E74" s="64">
        <f>TRUNC(+D74*3.3058,-1)</f>
        <v>5680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5980</v>
      </c>
      <c r="E79" s="64">
        <f t="shared" si="3"/>
        <v>19760</v>
      </c>
      <c r="F79" s="2" t="s">
        <v>252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13680+16600</f>
        <v>30280</v>
      </c>
      <c r="E84" s="64">
        <f>TRUNC(+D84*3.3058,-1)</f>
        <v>100090</v>
      </c>
      <c r="F84" s="2" t="s">
        <v>253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340</v>
      </c>
      <c r="E90" s="64">
        <f>TRUNC(+D90*3.3058,-1)</f>
        <v>1120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79920</v>
      </c>
      <c r="E93" s="64">
        <f>TRUNC(+D93*3.3058,-1)</f>
        <v>264190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16450</f>
        <v>16450</v>
      </c>
      <c r="E94" s="65">
        <f>TRUNC(+D94*3.3058,-1)</f>
        <v>54380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156040</v>
      </c>
      <c r="E95" s="39">
        <f>SUM(E69:E94)</f>
        <v>515790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248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7870</v>
      </c>
      <c r="E98" s="63">
        <f t="shared" ref="E98:E118" si="4">TRUNC(+D98*3.3058,-1)</f>
        <v>26010</v>
      </c>
    </row>
    <row r="99" spans="1:7" x14ac:dyDescent="0.3">
      <c r="A99" s="2">
        <v>2</v>
      </c>
      <c r="C99" s="38" t="s">
        <v>40</v>
      </c>
      <c r="D99" s="42">
        <v>2230</v>
      </c>
      <c r="E99" s="64">
        <f t="shared" si="4"/>
        <v>7370</v>
      </c>
    </row>
    <row r="100" spans="1:7" x14ac:dyDescent="0.3">
      <c r="A100" s="2">
        <v>3</v>
      </c>
      <c r="C100" s="38" t="s">
        <v>41</v>
      </c>
      <c r="D100" s="42">
        <v>13070</v>
      </c>
      <c r="E100" s="64">
        <f t="shared" si="4"/>
        <v>43200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5470</v>
      </c>
      <c r="E102" s="64">
        <f t="shared" si="4"/>
        <v>18080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1370</v>
      </c>
      <c r="E104" s="64">
        <f t="shared" si="4"/>
        <v>4520</v>
      </c>
    </row>
    <row r="105" spans="1:7" x14ac:dyDescent="0.3">
      <c r="A105" s="2">
        <v>8</v>
      </c>
      <c r="C105" s="38" t="s">
        <v>46</v>
      </c>
      <c r="D105" s="42">
        <v>1650</v>
      </c>
      <c r="E105" s="64">
        <f t="shared" si="4"/>
        <v>5450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6560</v>
      </c>
      <c r="E108" s="64">
        <f t="shared" si="4"/>
        <v>21680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2880</v>
      </c>
      <c r="E114" s="64">
        <f t="shared" si="4"/>
        <v>9520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9790</v>
      </c>
      <c r="E115" s="64">
        <f t="shared" si="4"/>
        <v>32360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17260+25050</f>
        <v>42310</v>
      </c>
      <c r="E117" s="64">
        <f t="shared" si="4"/>
        <v>139860</v>
      </c>
      <c r="F117" s="2" t="s">
        <v>256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93200</v>
      </c>
      <c r="E119" s="39">
        <f>SUM(E98:E118)</f>
        <v>308050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248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2710</v>
      </c>
      <c r="E122" s="63">
        <f t="shared" ref="E122:E132" si="5">TRUNC(+D122*3.3058,-1)</f>
        <v>8950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1200</v>
      </c>
      <c r="E124" s="64">
        <f t="shared" si="5"/>
        <v>3960</v>
      </c>
    </row>
    <row r="125" spans="1:7" x14ac:dyDescent="0.3">
      <c r="A125" s="2">
        <v>4</v>
      </c>
      <c r="C125" s="38" t="s">
        <v>138</v>
      </c>
      <c r="D125" s="42">
        <v>4800</v>
      </c>
      <c r="E125" s="64">
        <f t="shared" si="5"/>
        <v>15860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3270</v>
      </c>
      <c r="E128" s="64">
        <f t="shared" si="5"/>
        <v>10800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24200</v>
      </c>
      <c r="E130" s="64">
        <f t="shared" si="5"/>
        <v>80000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f>2390+5930</f>
        <v>8320</v>
      </c>
      <c r="E132" s="65">
        <f t="shared" si="5"/>
        <v>27500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44500</v>
      </c>
      <c r="E133" s="39">
        <f>SUM(E122:E132)</f>
        <v>147070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248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15160</v>
      </c>
      <c r="E137" s="64">
        <f t="shared" si="6"/>
        <v>50110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15160</v>
      </c>
      <c r="E146" s="39">
        <f>SUM(E136:E145)</f>
        <v>50110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248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4290</v>
      </c>
      <c r="E150" s="64">
        <f>TRUNC(+D150*3.3058,-1)</f>
        <v>14180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9850+1230+440+27710</f>
        <v>39230</v>
      </c>
      <c r="E152" s="64">
        <f>TRUNC(+D152*3.3058,-1)</f>
        <v>129680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43520</v>
      </c>
      <c r="E154" s="39">
        <f>SUM(E149:E153)</f>
        <v>143860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248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33810</v>
      </c>
      <c r="E157" s="63">
        <f>TRUNC(+D157*3.3058,-1)</f>
        <v>111760</v>
      </c>
      <c r="F157" s="2" t="s">
        <v>261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33810</v>
      </c>
      <c r="E161" s="39">
        <f>SUM(E157:E160)</f>
        <v>111760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2020-12-07T09:05:33Z</dcterms:modified>
</cp:coreProperties>
</file>