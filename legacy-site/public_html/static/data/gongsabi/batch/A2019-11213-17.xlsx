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37" i="4"/>
  <c r="D144" i="4"/>
  <c r="D139" i="4"/>
  <c r="D142" i="4"/>
  <c r="D140" i="4"/>
  <c r="D122" i="4"/>
  <c r="D128" i="4"/>
  <c r="D124" i="4"/>
  <c r="D125" i="4"/>
  <c r="D130" i="4"/>
  <c r="D126" i="4"/>
  <c r="D118" i="4"/>
  <c r="D105" i="4"/>
  <c r="D103" i="4"/>
  <c r="D102" i="4"/>
  <c r="D100" i="4"/>
  <c r="D99" i="4"/>
  <c r="D114" i="4"/>
  <c r="D98" i="4"/>
  <c r="D92" i="4"/>
  <c r="D89" i="4"/>
  <c r="D73" i="4"/>
  <c r="D72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<sst xmlns="http://schemas.openxmlformats.org/spreadsheetml/2006/main" count="393" uniqueCount="266">
  <si>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</si>
  <si>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</si>
  <si>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</si>
  <si>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</si>
  <si>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</si>
  <si>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</si>
  <si>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</si>
  <si>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</si>
  <si>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</si>
  <si>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</si>
  <si>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</si>
  <si>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</si>
  <si>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</si>
  <si>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</si>
  <si>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</si>
  <si>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</si>
  <si>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</si>
  <si>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</si>
  <si>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</si>
  <si>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</si>
  <si>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</si>
  <si>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</si>
  <si>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</si>
  <si>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</si>
  <si>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</si>
  <si>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</si>
  <si>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</si>
  <si>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</si>
  <si>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</si>
  <si>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</si>
  <si>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</si>
  <si>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</si>
  <si>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</si>
  <si>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</si>
  <si>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</si>
  <si>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</si>
  <si>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</si>
  <si>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</si>
  <si>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</si>
  <si>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</si>
  <si>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</si>
  <si>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</si>
  <si>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</si>
  <si>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</si>
  <si>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</si>
  <si>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</si>
  <si>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</si>
  <si>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</si>
  <si>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</si>
  <si>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</si>
  <si>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</si>
  <si>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</si>
  <si>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</si>
  <si>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</si>
  <si>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</si>
  <si>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</si>
  <si>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</si>
  <si>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</si>
  <si>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</si>
  <si>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</si>
  <si>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</si>
  <si>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</si>
  <si>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</si>
  <si>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</si>
  <si>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</si>
  <si>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</si>
  <si>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</si>
  <si>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</si>
  <si>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</si>
  <si>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</si>
  <si>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</si>
  <si>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</si>
  <si>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</si>
  <si>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</si>
  <si>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</si>
  <si>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</si>
  <si>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</si>
  <si>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</si>
  <si>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</si>
  <si>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</si>
  <si>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</si>
  <si>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</si>
  <si>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</si>
  <si>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</si>
  <si>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</si>
  <si>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</si>
  <si>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</si>
  <si>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</si>
  <si>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</si>
  <si>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</si>
  <si>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</si>
  <si>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</si>
  <si>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</si>
  <si>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</si>
  <si>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</si>
  <si>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</si>
  <si>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</si>
  <si>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</si>
  <si>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</si>
  <si>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</si>
  <si>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</si>
  <si>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</si>
  <si>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</si>
  <si>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</si>
  <si>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</si>
  <si>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</si>
  <si>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</si>
  <si>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</si>
  <si>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</si>
  <si>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</si>
  <si>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</si>
  <si>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</si>
  <si>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</si>
  <si>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</si>
  <si>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</si>
  <si>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</si>
  <si>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</si>
  <si>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</si>
  <si>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</si>
  <si>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</si>
  <si>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</si>
  <si>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</si>
  <si>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</si>
  <si>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</si>
  <si>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</si>
  <si>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</si>
  <si>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</si>
  <si>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</si>
  <si>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</si>
  <si>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</si>
  <si>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</si>
  <si>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</si>
  <si>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</si>
  <si>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</si>
  <si>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</si>
  <si>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</si>
  <si>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</si>
  <si>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</si>
  <si>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</si>
  <si>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</si>
  <si>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</si>
  <si>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</si>
  <si>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</si>
  <si>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</si>
  <si>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</si>
  <si>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</si>
  <si>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</si>
  <si>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</si>
  <si>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</si>
  <si>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</si>
  <si>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</si>
  <si>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</si>
  <si>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</si>
  <si>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</si>
  <si>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</si>
  <si>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</si>
  <si>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</si>
  <si>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</si>
  <si>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</si>
  <si>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</si>
  <si>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</si>
  <si>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</si>
  <si>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</si>
  <si>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</si>
  <si>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</si>
  <si>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</si>
  <si>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</si>
  <si>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</si>
  <si>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</si>
  <si>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</si>
  <si>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</si>
  <si>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</si>
  <si>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</si>
  <si>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</si>
  <si>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</si>
  <si>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</si>
  <si>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</si>
  <si>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</si>
  <si>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</si>
  <si>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</si>
  <si>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</si>
  <si>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</si>
  <si>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</si>
  <si>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</si>
  <si>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</si>
  <si>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</si>
  <si>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</si>
  <si>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</si>
  <si>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</si>
  <si>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</si>
  <si>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</si>
  <si>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</si>
  <si>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</si>
  <si>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</si>
  <si>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</si>
  <si>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</si>
  <si>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</si>
  <si>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</si>
  <si>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</si>
  <si>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</si>
  <si>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</si>
  <si>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</si>
  <si>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</si>
  <si>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</si>
  <si>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</si>
  <si>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</si>
  <si>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</si>
  <si>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</si>
  <si>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</si>
  <si>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</si>
  <si>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</si>
  <si>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</si>
  <si>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</si>
  <si>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</si>
  <si>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</si>
  <si>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</si>
  <si>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</si>
  <si>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</si>
  <si>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</si>
  <si>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</si>
  <si>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</si>
  <si>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</si>
  <si>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</si>
  <si>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</si>
  <si>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</si>
  <si>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</si>
  <si>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</si>
  <si>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</si>
  <si>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</si>
  <si>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</si>
  <si>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</si>
  <si>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</si>
  <si>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</si>
  <si>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</si>
  <si>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</si>
  <si>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</si>
  <si>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</si>
  <si>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</si>
  <si>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</si>
  <si>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</si>
  <si>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</si>
  <si>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</si>
  <si>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</si>
  <si>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</si>
  <si>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</si>
  <si>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</si>
  <si>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</si>
  <si>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</si>
  <si>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(가칭)전주세내유치원 신축공사</t>
    <phoneticPr fontId="2" type="noConversion"/>
  </si>
  <si>
    <t>교육연구</t>
  </si>
  <si>
    <t>전라도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</si>
  <si>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</si>
  <si>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</si>
  <si>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</si>
  <si>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</si>
  <si>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</si>
  <si>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</si>
  <si>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</si>
  <si>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</si>
  <si>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</si>
  <si>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</si>
  <si>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</si>
  <si>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공조배관공사,난방배관공사,바닥난방공사,기타공사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</si>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</sst>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2959.16</v>
      </c>
      <c r="D7" s="36">
        <f>+C7/3.3058</f>
        <v>895.14187186157653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1124390</v>
      </c>
      <c r="E25" s="59">
        <f t="shared" si="0"/>
        <v>3717000</v>
      </c>
    </row>
    <row r="26" spans="1:5" x14ac:dyDescent="0.3">
      <c r="B26" s="2">
        <v>3</v>
      </c>
      <c r="C26" s="35" t="s">
        <v>95</v>
      </c>
      <c r="D26" s="45">
        <f>+D66</f>
        <v>9790</v>
      </c>
      <c r="E26" s="59">
        <f t="shared" si="0"/>
        <v>32360</v>
      </c>
    </row>
    <row r="27" spans="1:5" x14ac:dyDescent="0.3">
      <c r="B27" s="2">
        <v>4</v>
      </c>
      <c r="C27" s="35" t="s">
        <v>96</v>
      </c>
      <c r="D27" s="45">
        <f>+D95</f>
        <v>282670</v>
      </c>
      <c r="E27" s="59">
        <f t="shared" si="0"/>
        <v>934450</v>
      </c>
    </row>
    <row r="28" spans="1:5" x14ac:dyDescent="0.3">
      <c r="B28" s="2">
        <v>5</v>
      </c>
      <c r="C28" s="35" t="s">
        <v>97</v>
      </c>
      <c r="D28" s="45">
        <f>+D119</f>
        <v>179520</v>
      </c>
      <c r="E28" s="59">
        <f t="shared" si="0"/>
        <v>593450</v>
      </c>
    </row>
    <row r="29" spans="1:5" x14ac:dyDescent="0.3">
      <c r="B29" s="2">
        <v>6</v>
      </c>
      <c r="C29" s="35" t="s">
        <v>98</v>
      </c>
      <c r="D29" s="45">
        <f>+D133</f>
        <v>59910</v>
      </c>
      <c r="E29" s="59">
        <f t="shared" si="0"/>
        <v>198050</v>
      </c>
    </row>
    <row r="30" spans="1:5" x14ac:dyDescent="0.3">
      <c r="B30" s="2">
        <v>7</v>
      </c>
      <c r="C30" s="35" t="s">
        <v>99</v>
      </c>
      <c r="D30" s="45">
        <f>+D146</f>
        <v>92370</v>
      </c>
      <c r="E30" s="59">
        <f t="shared" si="0"/>
        <v>305350</v>
      </c>
    </row>
    <row r="31" spans="1:5" x14ac:dyDescent="0.3">
      <c r="B31" s="2">
        <v>8</v>
      </c>
      <c r="C31" s="35" t="s">
        <v>100</v>
      </c>
      <c r="D31" s="45">
        <f>+D154</f>
        <v>51850</v>
      </c>
      <c r="E31" s="59">
        <f t="shared" si="0"/>
        <v>171400</v>
      </c>
    </row>
    <row r="32" spans="1:5" x14ac:dyDescent="0.3">
      <c r="B32" s="2">
        <v>9</v>
      </c>
      <c r="C32" s="35" t="s">
        <v>101</v>
      </c>
      <c r="D32" s="45">
        <f>+D161</f>
        <v>95390</v>
      </c>
      <c r="E32" s="59">
        <f t="shared" si="0"/>
        <v>315340</v>
      </c>
    </row>
    <row r="33" spans="1:7" x14ac:dyDescent="0.3">
      <c r="B33" s="2">
        <v>10</v>
      </c>
      <c r="C33" s="35" t="s">
        <v>154</v>
      </c>
      <c r="D33" s="53">
        <f>TRUNC(SUM(D24:D32)*0.275,-1)</f>
        <v>521360</v>
      </c>
      <c r="E33" s="60">
        <f t="shared" si="0"/>
        <v>1723510</v>
      </c>
    </row>
    <row r="34" spans="1:7" x14ac:dyDescent="0.3">
      <c r="C34" s="35" t="s">
        <v>112</v>
      </c>
      <c r="D34" s="44">
        <f>SUM(D24:D33)</f>
        <v>2417250</v>
      </c>
      <c r="E34" s="44">
        <f>SUM(E24:E33)</f>
        <v>7990910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TRUNC(69667,-1)</f>
        <v>69660</v>
      </c>
      <c r="E40" s="62">
        <f t="shared" ref="E40:E59" si="1">TRUNC(+D40*3.3058,-1)</f>
        <v>230280</v>
      </c>
    </row>
    <row r="41" spans="1:7" x14ac:dyDescent="0.3">
      <c r="A41" s="2">
        <v>2</v>
      </c>
      <c r="C41" s="38" t="s">
        <v>13</v>
      </c>
      <c r="D41" s="42">
        <f>TRUNC(218344,-1)</f>
        <v>218340</v>
      </c>
      <c r="E41" s="63">
        <f t="shared" si="1"/>
        <v>721780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TRUNC(60646,-1)</f>
        <v>60640</v>
      </c>
      <c r="E43" s="63">
        <f t="shared" si="1"/>
        <v>200460</v>
      </c>
    </row>
    <row r="44" spans="1:7" x14ac:dyDescent="0.3">
      <c r="A44" s="2">
        <v>5</v>
      </c>
      <c r="C44" s="38" t="s">
        <v>17</v>
      </c>
      <c r="D44" s="42">
        <f>TRUNC(23465,-1)</f>
        <v>23460</v>
      </c>
      <c r="E44" s="63">
        <f t="shared" si="1"/>
        <v>77550</v>
      </c>
    </row>
    <row r="45" spans="1:7" x14ac:dyDescent="0.3">
      <c r="A45" s="2">
        <v>6</v>
      </c>
      <c r="C45" s="38" t="s">
        <v>18</v>
      </c>
      <c r="D45" s="42">
        <f>TRUNC(18010,-1)</f>
        <v>18010</v>
      </c>
      <c r="E45" s="63">
        <f t="shared" si="1"/>
        <v>59530</v>
      </c>
    </row>
    <row r="46" spans="1:7" x14ac:dyDescent="0.3">
      <c r="A46" s="2">
        <v>7</v>
      </c>
      <c r="C46" s="38" t="s">
        <v>19</v>
      </c>
      <c r="D46" s="42">
        <f>-TRUNC(8100,-1)</f>
        <v>-8100</v>
      </c>
      <c r="E46" s="63">
        <f t="shared" si="1"/>
        <v>-26770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TRUNC(94958,-1)</f>
        <v>94950</v>
      </c>
      <c r="E48" s="63">
        <f t="shared" si="1"/>
        <v>313880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TRUNC(34476,-1)</f>
        <v>34470</v>
      </c>
      <c r="E49" s="63">
        <f t="shared" si="1"/>
        <v>113950</v>
      </c>
    </row>
    <row r="50" spans="1:7" x14ac:dyDescent="0.3">
      <c r="A50" s="2">
        <v>11</v>
      </c>
      <c r="C50" s="38" t="s">
        <v>155</v>
      </c>
      <c r="D50" s="42">
        <f>TRUNC(65148,-1)</f>
        <v>65140</v>
      </c>
      <c r="E50" s="63">
        <f t="shared" si="1"/>
        <v>215330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TRUNC(15395,-1)</f>
        <v>15390</v>
      </c>
      <c r="E52" s="63">
        <f t="shared" si="1"/>
        <v>50870</v>
      </c>
    </row>
    <row r="53" spans="1:7" x14ac:dyDescent="0.3">
      <c r="A53" s="2">
        <v>14</v>
      </c>
      <c r="C53" s="38" t="s">
        <v>25</v>
      </c>
      <c r="D53" s="42">
        <f>TRUNC(214097,-1)</f>
        <v>214090</v>
      </c>
      <c r="E53" s="63">
        <f t="shared" si="1"/>
        <v>707730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TRUNC(5992+1459+13822-947+1867+39787,-1)</f>
        <v>61980</v>
      </c>
      <c r="E58" s="63">
        <f t="shared" si="1"/>
        <v>204890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TRUNC(256364,-1)</f>
        <v>256360</v>
      </c>
      <c r="E59" s="64">
        <f t="shared" si="1"/>
        <v>847470</v>
      </c>
    </row>
    <row r="60" spans="1:7" x14ac:dyDescent="0.3">
      <c r="A60" s="2">
        <v>21</v>
      </c>
      <c r="C60" s="27" t="s">
        <v>112</v>
      </c>
      <c r="D60" s="39">
        <f>SUM(D40:D59)</f>
        <v>1124390</v>
      </c>
      <c r="E60" s="39">
        <f>SUM(E40:E59)</f>
        <v>3716950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TRUNC(9799,-1)</f>
        <v>9790</v>
      </c>
      <c r="E63" s="62">
        <f>TRUNC(+D63*3.3058,-1)</f>
        <v>32360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9790</v>
      </c>
      <c r="E66" s="65">
        <f>SUM(E63:E65)</f>
        <v>32360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TRUNC(15247,-1)</f>
        <v>15240</v>
      </c>
      <c r="E69" s="62">
        <f t="shared" ref="E69:E94" si="2">TRUNC(+D69*3.3058,-1)</f>
        <v>50380</v>
      </c>
    </row>
    <row r="70" spans="1:7" ht="16.5" customHeight="1" x14ac:dyDescent="0.3">
      <c r="A70" s="2">
        <v>2</v>
      </c>
      <c r="C70" s="38" t="s">
        <v>31</v>
      </c>
      <c r="D70" s="42">
        <f>TRUNC(557,-1)</f>
        <v>550</v>
      </c>
      <c r="E70" s="63">
        <f t="shared" si="2"/>
        <v>1810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TRUNC(8900,-1)</f>
        <v>8900</v>
      </c>
      <c r="E72" s="63">
        <f t="shared" si="2"/>
        <v>29420</v>
      </c>
    </row>
    <row r="73" spans="1:7" x14ac:dyDescent="0.3">
      <c r="A73" s="2">
        <v>5</v>
      </c>
      <c r="C73" s="38" t="s">
        <v>34</v>
      </c>
      <c r="D73" s="42">
        <f>TRUNC(21499,-1)</f>
        <v>21490</v>
      </c>
      <c r="E73" s="63">
        <f t="shared" si="2"/>
        <v>71040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TRUNC(6543,-1)</f>
        <v>6540</v>
      </c>
      <c r="E89" s="63">
        <f t="shared" si="2"/>
        <v>21610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TRUNC(10154,-1)</f>
        <v>10150</v>
      </c>
      <c r="E92" s="63">
        <f t="shared" si="2"/>
        <v>33550</v>
      </c>
    </row>
    <row r="93" spans="1:7" x14ac:dyDescent="0.3">
      <c r="A93" s="2">
        <v>25</v>
      </c>
      <c r="C93" s="38" t="s">
        <v>148</v>
      </c>
      <c r="D93" s="42">
        <f>TRUNC(116063,-1)</f>
        <v>116060</v>
      </c>
      <c r="E93" s="63">
        <f t="shared" si="2"/>
        <v>383670</v>
      </c>
    </row>
    <row r="94" spans="1:7" ht="17.25" thickBot="1" x14ac:dyDescent="0.35">
      <c r="A94" s="2">
        <v>26</v>
      </c>
      <c r="C94" s="38" t="s">
        <v>47</v>
      </c>
      <c r="D94" s="43">
        <f>TRUNC(7732+30032+65803+176,-1)</f>
        <v>103740</v>
      </c>
      <c r="E94" s="64">
        <f t="shared" si="2"/>
        <v>342940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282670</v>
      </c>
      <c r="E95" s="39">
        <f>SUM(E69:E94)</f>
        <v>934420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TRUNC(13668,-1)</f>
        <v>13660</v>
      </c>
      <c r="E98" s="62">
        <f t="shared" ref="E98:E118" si="3">TRUNC(+D98*3.3058,-1)</f>
        <v>45150</v>
      </c>
    </row>
    <row r="99" spans="1:7" x14ac:dyDescent="0.3">
      <c r="A99" s="2">
        <v>2</v>
      </c>
      <c r="C99" s="38" t="s">
        <v>40</v>
      </c>
      <c r="D99" s="42">
        <f>TRUNC(2078,-1)</f>
        <v>2070</v>
      </c>
      <c r="E99" s="63">
        <f t="shared" si="3"/>
        <v>6840</v>
      </c>
    </row>
    <row r="100" spans="1:7" x14ac:dyDescent="0.3">
      <c r="A100" s="2">
        <v>3</v>
      </c>
      <c r="C100" s="38" t="s">
        <v>41</v>
      </c>
      <c r="D100" s="42">
        <f>TRUNC(35498,-1)</f>
        <v>35490</v>
      </c>
      <c r="E100" s="63">
        <f t="shared" si="3"/>
        <v>117320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TRUNC(16491,-1)</f>
        <v>16490</v>
      </c>
      <c r="E102" s="63">
        <f t="shared" si="3"/>
        <v>54510</v>
      </c>
    </row>
    <row r="103" spans="1:7" x14ac:dyDescent="0.3">
      <c r="A103" s="2">
        <v>6</v>
      </c>
      <c r="C103" s="38" t="s">
        <v>44</v>
      </c>
      <c r="D103" s="42">
        <f>TRUNC(9921,-1)</f>
        <v>9920</v>
      </c>
      <c r="E103" s="63">
        <f t="shared" si="3"/>
        <v>32790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TRUNC(2325,-1)</f>
        <v>2320</v>
      </c>
      <c r="E105" s="63">
        <f t="shared" si="3"/>
        <v>7660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TRUNC(2237,-1)</f>
        <v>2230</v>
      </c>
      <c r="E114" s="63">
        <f t="shared" si="3"/>
        <v>7370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TRUNC(95635,-1)</f>
        <v>95630</v>
      </c>
      <c r="E117" s="63">
        <f t="shared" si="3"/>
        <v>316130</v>
      </c>
    </row>
    <row r="118" spans="1:7" ht="17.25" thickBot="1" x14ac:dyDescent="0.35">
      <c r="A118" s="2">
        <v>21</v>
      </c>
      <c r="C118" s="38" t="s">
        <v>47</v>
      </c>
      <c r="D118" s="43">
        <f>TRUNC(1711,-1)</f>
        <v>1710</v>
      </c>
      <c r="E118" s="64">
        <f t="shared" si="3"/>
        <v>5650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179520</v>
      </c>
      <c r="E119" s="39">
        <f>SUM(E98:E118)</f>
        <v>593420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TRUNC(4739,-1)</f>
        <v>4730</v>
      </c>
      <c r="E122" s="62">
        <f t="shared" ref="E122:E132" si="4">TRUNC(+D122*3.3058,-1)</f>
        <v>15630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TRUNC(1536,-1)</f>
        <v>1530</v>
      </c>
      <c r="E124" s="63">
        <f t="shared" si="4"/>
        <v>5050</v>
      </c>
    </row>
    <row r="125" spans="1:7" x14ac:dyDescent="0.3">
      <c r="A125" s="2">
        <v>4</v>
      </c>
      <c r="C125" s="38" t="s">
        <v>138</v>
      </c>
      <c r="D125" s="42">
        <f>TRUNC(8459,-1)</f>
        <v>8450</v>
      </c>
      <c r="E125" s="63">
        <f t="shared" si="4"/>
        <v>27930</v>
      </c>
    </row>
    <row r="126" spans="1:7" x14ac:dyDescent="0.3">
      <c r="A126" s="2">
        <v>5</v>
      </c>
      <c r="C126" s="38" t="s">
        <v>53</v>
      </c>
      <c r="D126" s="42">
        <f>TRUNC(1029,-1)</f>
        <v>1020</v>
      </c>
      <c r="E126" s="63">
        <f t="shared" si="4"/>
        <v>3370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TRUNC(1513,-1)</f>
        <v>1510</v>
      </c>
      <c r="E128" s="63">
        <f t="shared" si="4"/>
        <v>4990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TRUNC(21270,-1)</f>
        <v>21270</v>
      </c>
      <c r="E130" s="63">
        <f t="shared" si="4"/>
        <v>70310</v>
      </c>
    </row>
    <row r="131" spans="1:7" x14ac:dyDescent="0.3">
      <c r="A131" s="2">
        <v>10</v>
      </c>
      <c r="C131" s="38" t="s">
        <v>148</v>
      </c>
      <c r="D131" s="42">
        <f>TRUNC(21409,-1)</f>
        <v>21400</v>
      </c>
      <c r="E131" s="63">
        <f t="shared" si="4"/>
        <v>70740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59910</v>
      </c>
      <c r="E133" s="39">
        <f>SUM(E122:E132)</f>
        <v>198020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TRUNC(12376,-1)</f>
        <v>12370</v>
      </c>
      <c r="E137" s="63">
        <f t="shared" si="5"/>
        <v>40890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TRUNC(5037,-1)</f>
        <v>5030</v>
      </c>
      <c r="E139" s="63">
        <f t="shared" si="5"/>
        <v>16620</v>
      </c>
    </row>
    <row r="140" spans="1:7" x14ac:dyDescent="0.3">
      <c r="A140" s="2">
        <v>5</v>
      </c>
      <c r="C140" s="38" t="s">
        <v>57</v>
      </c>
      <c r="D140" s="42">
        <f>TRUNC(8933,-1)</f>
        <v>8930</v>
      </c>
      <c r="E140" s="63">
        <f t="shared" si="5"/>
        <v>29520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TRUNC(55480,-1)</f>
        <v>55480</v>
      </c>
      <c r="E142" s="63">
        <f t="shared" si="5"/>
        <v>183400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TRUNC(10569,-1)</f>
        <v>10560</v>
      </c>
      <c r="E144" s="63">
        <f t="shared" si="5"/>
        <v>34900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92370</v>
      </c>
      <c r="E146" s="39">
        <f>SUM(E136:E145)</f>
        <v>305330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TRUNC(9908+4107,-1)</f>
        <v>14010</v>
      </c>
      <c r="E149" s="62">
        <f>TRUNC(+D149*3.3058,-1)</f>
        <v>46310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TRUNC(9150,-1)</f>
        <v>9150</v>
      </c>
      <c r="E150" s="63">
        <f>TRUNC(+D150*3.3058,-1)</f>
        <v>30240</v>
      </c>
    </row>
    <row r="151" spans="1:7" x14ac:dyDescent="0.3">
      <c r="A151" s="2">
        <v>3</v>
      </c>
      <c r="C151" s="38" t="s">
        <v>50</v>
      </c>
      <c r="D151" s="42">
        <f>TRUNC(15363,-1)</f>
        <v>15360</v>
      </c>
      <c r="E151" s="63">
        <f>TRUNC(+D151*3.3058,-1)</f>
        <v>50770</v>
      </c>
    </row>
    <row r="152" spans="1:7" x14ac:dyDescent="0.3">
      <c r="A152" s="2">
        <v>4</v>
      </c>
      <c r="C152" s="38" t="s">
        <v>47</v>
      </c>
      <c r="D152" s="42">
        <f>TRUNC(342+176,-1)</f>
        <v>510</v>
      </c>
      <c r="E152" s="63">
        <f>TRUNC(+D152*3.3058,-1)</f>
        <v>1680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TRUNC(12826,-1)</f>
        <v>12820</v>
      </c>
      <c r="E153" s="64">
        <f>TRUNC(+D153*3.3058,-1)</f>
        <v>42380</v>
      </c>
    </row>
    <row r="154" spans="1:7" x14ac:dyDescent="0.3">
      <c r="A154" s="2">
        <v>6</v>
      </c>
      <c r="C154" s="27" t="s">
        <v>112</v>
      </c>
      <c r="D154" s="39">
        <f>SUM(D149:D153)</f>
        <v>51850</v>
      </c>
      <c r="E154" s="39">
        <f>SUM(E149:E153)</f>
        <v>171380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TRUNC(19052,-1)</f>
        <v>19050</v>
      </c>
      <c r="E157" s="62">
        <f>TRUNC(+D157*3.3058,-1)</f>
        <v>62970</v>
      </c>
    </row>
    <row r="158" spans="1:7" x14ac:dyDescent="0.3">
      <c r="A158" s="2">
        <v>2</v>
      </c>
      <c r="C158" s="38" t="s">
        <v>52</v>
      </c>
      <c r="D158" s="42">
        <f>TRUNC(37713,-1)</f>
        <v>37710</v>
      </c>
      <c r="E158" s="63">
        <f>TRUNC(+D158*3.3058,-1)</f>
        <v>124660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TRUNC(6083+305,-1)</f>
        <v>6380</v>
      </c>
      <c r="E159" s="63">
        <f>TRUNC(+D159*3.3058,-1)</f>
        <v>21090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TRUNC(32257,-1)</f>
        <v>32250</v>
      </c>
      <c r="E160" s="64">
        <f>TRUNC(+D160*3.3058,-1)</f>
        <v>106610</v>
      </c>
    </row>
    <row r="161" spans="1:5" x14ac:dyDescent="0.3">
      <c r="A161" s="2">
        <v>5</v>
      </c>
      <c r="C161" s="27" t="s">
        <v>112</v>
      </c>
      <c r="D161" s="39">
        <f>SUM(D157:D160)</f>
        <v>95390</v>
      </c>
      <c r="E161" s="39">
        <f>SUM(E157:E160)</f>
        <v>315330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2020-12-08T04:41:11Z</dcterms:modified>
</cp:coreProperties>
</file>