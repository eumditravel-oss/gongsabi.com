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31" i="4" l="1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2" i="4"/>
  <c r="D91" i="4"/>
  <c r="D89" i="4"/>
  <c r="D73" i="4"/>
  <c r="D72" i="4"/>
  <c r="D71" i="4"/>
  <c r="D70" i="4"/>
  <c r="D69" i="4"/>
  <c r="D104" i="4"/>
  <c r="D103" i="4"/>
  <c r="D102" i="4"/>
  <c r="D100" i="4"/>
  <c r="D99" i="4"/>
  <c r="D98" i="4"/>
  <c r="D116" i="4"/>
  <c r="D105" i="4"/>
  <c r="D118" i="4"/>
  <c r="D132" i="4"/>
  <c r="D128" i="4"/>
  <c r="D127" i="4"/>
  <c r="D124" i="4"/>
  <c r="D125" i="4"/>
  <c r="D122" i="4"/>
  <c r="D130" i="4"/>
  <c r="D126" i="4"/>
  <c r="D139" i="4"/>
  <c r="D144" i="4"/>
  <c r="D143" i="4"/>
  <c r="D141" i="4"/>
  <c r="D142" i="4"/>
  <c r="D137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154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<sst xmlns="http://schemas.openxmlformats.org/spreadsheetml/2006/main" count="395" uniqueCount="270">
  <si>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</si>
  <si>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</si>
  <si>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</si>
  <si>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</si>
  <si>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</si>
  <si>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</si>
  <si>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</si>
  <si>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</si>
  <si>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</si>
  <si>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</si>
  <si>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</si>
  <si>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</si>
  <si>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</si>
  <si>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</si>
  <si>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</si>
  <si>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</si>
  <si>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</si>
  <si>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</si>
  <si>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</si>
  <si>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</si>
  <si>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</si>
  <si>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</si>
  <si>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</si>
  <si>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</si>
  <si>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</si>
  <si>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</si>
  <si>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</si>
  <si>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</si>
  <si>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</si>
  <si>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</si>
  <si>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</si>
  <si>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</si>
  <si>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</si>
  <si>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</si>
  <si>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</si>
  <si>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</si>
  <si>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</si>
  <si>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</si>
  <si>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</si>
  <si>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</si>
  <si>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</si>
  <si>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</si>
  <si>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</si>
  <si>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</si>
  <si>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</si>
  <si>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</si>
  <si>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</si>
  <si>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</si>
  <si>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</si>
  <si>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</si>
  <si>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</si>
  <si>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</si>
  <si>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</si>
  <si>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</si>
  <si>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</si>
  <si>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</si>
  <si>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</si>
  <si>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</si>
  <si>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</si>
  <si>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</si>
  <si>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</si>
  <si>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</si>
  <si>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</si>
  <si>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</si>
  <si>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</si>
  <si>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</si>
  <si>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</si>
  <si>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</si>
  <si>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</si>
  <si>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</si>
  <si>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</si>
  <si>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</si>
  <si>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</si>
  <si>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</si>
  <si>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</si>
  <si>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</si>
  <si>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</si>
  <si>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</si>
  <si>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</si>
  <si>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</si>
  <si>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</si>
  <si>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</si>
  <si>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</si>
  <si>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</si>
  <si>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</si>
  <si>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</si>
  <si>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</si>
  <si>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</si>
  <si>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</si>
  <si>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</si>
  <si>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</si>
  <si>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</si>
  <si>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</si>
  <si>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</si>
  <si>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</si>
  <si>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</si>
  <si>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</si>
  <si>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</si>
  <si>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</si>
  <si>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</si>
  <si>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</si>
  <si>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</si>
  <si>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</si>
  <si>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</si>
  <si>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</si>
  <si>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</si>
  <si>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</si>
  <si>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</si>
  <si>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</si>
  <si>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</si>
  <si>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</si>
  <si>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</si>
  <si>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</si>
  <si>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</si>
  <si>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</si>
  <si>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</si>
  <si>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</si>
  <si>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</si>
  <si>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</si>
  <si>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</si>
  <si>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</si>
  <si>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</si>
  <si>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</si>
  <si>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</si>
  <si>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</si>
  <si>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</si>
  <si>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</si>
  <si>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</si>
  <si>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</si>
  <si>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</si>
  <si>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</si>
  <si>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</si>
  <si>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</si>
  <si>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</si>
  <si>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</si>
  <si>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</si>
  <si>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</si>
  <si>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</si>
  <si>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</si>
  <si>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</si>
  <si>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</si>
  <si>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</si>
  <si>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</si>
  <si>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</si>
  <si>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</si>
  <si>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</si>
  <si>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</si>
  <si>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</si>
  <si>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</si>
  <si>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</si>
  <si>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</si>
  <si>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</si>
  <si>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</si>
  <si>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</si>
  <si>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</si>
  <si>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</si>
  <si>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</si>
  <si>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</si>
  <si>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</si>
  <si>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</si>
  <si>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</si>
  <si>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</si>
  <si>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</si>
  <si>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</si>
  <si>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</si>
  <si>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</si>
  <si>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</si>
  <si>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</si>
  <si>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</si>
  <si>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</si>
  <si>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</si>
  <si>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</si>
  <si>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</si>
  <si>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</si>
  <si>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</si>
  <si>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</si>
  <si>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</si>
  <si>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</si>
  <si>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</si>
  <si>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</si>
  <si>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</si>
  <si>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</si>
  <si>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</si>
  <si>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</si>
  <si>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</si>
  <si>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</si>
  <si>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</si>
  <si>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</si>
  <si>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</si>
  <si>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</si>
  <si>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</si>
  <si>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</si>
  <si>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</si>
  <si>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</si>
  <si>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</si>
  <si>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</si>
  <si>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</si>
  <si>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</si>
  <si>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</si>
  <si>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</si>
  <si>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</si>
  <si>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</si>
  <si>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</si>
  <si>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</si>
  <si>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</si>
  <si>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</si>
  <si>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</si>
  <si>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</si>
  <si>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</si>
  <si>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</si>
  <si>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</si>
  <si>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</si>
  <si>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</si>
  <si>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</si>
  <si>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</si>
  <si>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</si>
  <si>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</si>
  <si>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</si>
  <si>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</si>
  <si>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</si>
  <si>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</si>
  <si>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</si>
  <si>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</si>
  <si>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</si>
  <si>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</si>
  <si>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</si>
  <si>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</si>
  <si>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</si>
  <si>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</si>
  <si>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</si>
  <si>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</si>
  <si>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</si>
  <si>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</si>
  <si>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</si>
  <si>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</si>
  <si>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</si>
  <si>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</si>
  <si>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</si>
  <si>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</si>
  <si>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</si>
  <si>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</si>
  <si>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</si>
  <si>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</si>
  <si>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</si>
  <si>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</si>
  <si>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</si>
  <si>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</si>
  <si>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</si>
  <si>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약학대학 재건축공사</t>
    <phoneticPr fontId="2" type="noConversion"/>
  </si>
  <si>
    <t>교육연구</t>
  </si>
  <si>
    <t>부산시</t>
  </si>
  <si>
    <t>해체및철거공사,폐기물처리비,골재비및운반비,기타공사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</si>
  <si>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</si>
  <si>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</si>
  <si>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</si>
  <si>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</si>
  <si>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</si>
  <si>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</si>
  <si>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</si>
  <si>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옥외소화배관공사,펌프실배관공사,제연덕트설치공사,기타공사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</si>
  <si>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</si>
  <si>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</si>
  <si>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</si>
  <si>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</si>
  <si>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</si>
  <si>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</si>
  <si>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바닥난방공사, 공조배관공사,난방배관공사,기타공사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</si>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</sst>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10496.63</v>
      </c>
      <c r="D7" s="36">
        <f>+C7/3.3058</f>
        <v>3175.2162865267105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951600</v>
      </c>
      <c r="E25" s="59">
        <f t="shared" si="0"/>
        <v>3145790</v>
      </c>
    </row>
    <row r="26" spans="1:5" x14ac:dyDescent="0.3">
      <c r="B26" s="2">
        <v>3</v>
      </c>
      <c r="C26" s="35" t="s">
        <v>95</v>
      </c>
      <c r="D26" s="45">
        <f>+D66</f>
        <v>114900</v>
      </c>
      <c r="E26" s="59">
        <f t="shared" si="0"/>
        <v>379830</v>
      </c>
    </row>
    <row r="27" spans="1:5" x14ac:dyDescent="0.3">
      <c r="B27" s="2">
        <v>4</v>
      </c>
      <c r="C27" s="35" t="s">
        <v>96</v>
      </c>
      <c r="D27" s="45">
        <f>+D95</f>
        <v>112540</v>
      </c>
      <c r="E27" s="59">
        <f t="shared" si="0"/>
        <v>372030</v>
      </c>
    </row>
    <row r="28" spans="1:5" x14ac:dyDescent="0.3">
      <c r="B28" s="2">
        <v>5</v>
      </c>
      <c r="C28" s="35" t="s">
        <v>97</v>
      </c>
      <c r="D28" s="45">
        <f>+D119</f>
        <v>213460</v>
      </c>
      <c r="E28" s="59">
        <f t="shared" si="0"/>
        <v>705650</v>
      </c>
    </row>
    <row r="29" spans="1:5" x14ac:dyDescent="0.3">
      <c r="B29" s="2">
        <v>6</v>
      </c>
      <c r="C29" s="35" t="s">
        <v>98</v>
      </c>
      <c r="D29" s="45">
        <f>+D133</f>
        <v>89130</v>
      </c>
      <c r="E29" s="59">
        <f t="shared" si="0"/>
        <v>294640</v>
      </c>
    </row>
    <row r="30" spans="1:5" x14ac:dyDescent="0.3">
      <c r="B30" s="2">
        <v>7</v>
      </c>
      <c r="C30" s="35" t="s">
        <v>99</v>
      </c>
      <c r="D30" s="45">
        <f>+D146</f>
        <v>50900</v>
      </c>
      <c r="E30" s="59">
        <f t="shared" si="0"/>
        <v>168260</v>
      </c>
    </row>
    <row r="31" spans="1:5" x14ac:dyDescent="0.3">
      <c r="B31" s="2">
        <v>8</v>
      </c>
      <c r="C31" s="35" t="s">
        <v>100</v>
      </c>
      <c r="D31" s="45">
        <f>+D154</f>
        <v>7740</v>
      </c>
      <c r="E31" s="59">
        <f t="shared" si="0"/>
        <v>25580</v>
      </c>
    </row>
    <row r="32" spans="1:5" x14ac:dyDescent="0.3">
      <c r="B32" s="2">
        <v>9</v>
      </c>
      <c r="C32" s="35" t="s">
        <v>101</v>
      </c>
      <c r="D32" s="45">
        <f>+D161</f>
        <v>5710</v>
      </c>
      <c r="E32" s="59">
        <f t="shared" si="0"/>
        <v>18870</v>
      </c>
    </row>
    <row r="33" spans="1:7" x14ac:dyDescent="0.3">
      <c r="B33" s="2">
        <v>10</v>
      </c>
      <c r="C33" s="35" t="s">
        <v>154</v>
      </c>
      <c r="D33" s="53">
        <f>TRUNC(SUM(D24:D32)*0.275,-1)</f>
        <v>425140</v>
      </c>
      <c r="E33" s="60">
        <f t="shared" si="0"/>
        <v>1405420</v>
      </c>
    </row>
    <row r="34" spans="1:7" x14ac:dyDescent="0.3">
      <c r="C34" s="35" t="s">
        <v>112</v>
      </c>
      <c r="D34" s="44">
        <f>SUM(D24:D33)</f>
        <v>1971120</v>
      </c>
      <c r="E34" s="44">
        <f>SUM(E24:E33)</f>
        <v>6516070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TRUNC(67791,-1)</f>
        <v>67790</v>
      </c>
      <c r="E40" s="62">
        <f t="shared" ref="E40:E59" si="1">TRUNC(+D40*3.3058,-1)</f>
        <v>224100</v>
      </c>
    </row>
    <row r="41" spans="1:7" x14ac:dyDescent="0.3">
      <c r="A41" s="2">
        <v>2</v>
      </c>
      <c r="C41" s="38" t="s">
        <v>13</v>
      </c>
      <c r="D41" s="42">
        <f>TRUNC(231313,-1)</f>
        <v>231310</v>
      </c>
      <c r="E41" s="63">
        <f t="shared" si="1"/>
        <v>764660</v>
      </c>
    </row>
    <row r="42" spans="1:7" x14ac:dyDescent="0.3">
      <c r="A42" s="2">
        <v>3</v>
      </c>
      <c r="C42" s="38" t="s">
        <v>14</v>
      </c>
      <c r="D42" s="42">
        <f>TRUNC(1518,-1)</f>
        <v>1510</v>
      </c>
      <c r="E42" s="63">
        <f t="shared" si="1"/>
        <v>4990</v>
      </c>
    </row>
    <row r="43" spans="1:7" x14ac:dyDescent="0.3">
      <c r="A43" s="2">
        <v>4</v>
      </c>
      <c r="C43" s="38" t="s">
        <v>16</v>
      </c>
      <c r="D43" s="42">
        <f>TRUNC(16836,-1)</f>
        <v>16830</v>
      </c>
      <c r="E43" s="63">
        <f t="shared" si="1"/>
        <v>55630</v>
      </c>
    </row>
    <row r="44" spans="1:7" x14ac:dyDescent="0.3">
      <c r="A44" s="2">
        <v>5</v>
      </c>
      <c r="C44" s="38" t="s">
        <v>17</v>
      </c>
      <c r="D44" s="42">
        <f>TRUNC(15856,-1)</f>
        <v>15850</v>
      </c>
      <c r="E44" s="63">
        <f t="shared" si="1"/>
        <v>52390</v>
      </c>
    </row>
    <row r="45" spans="1:7" x14ac:dyDescent="0.3">
      <c r="A45" s="2">
        <v>6</v>
      </c>
      <c r="C45" s="38" t="s">
        <v>18</v>
      </c>
      <c r="D45" s="42">
        <f>TRUNC(9864,-1)</f>
        <v>9860</v>
      </c>
      <c r="E45" s="63">
        <f t="shared" si="1"/>
        <v>32590</v>
      </c>
    </row>
    <row r="46" spans="1:7" x14ac:dyDescent="0.3">
      <c r="A46" s="2">
        <v>7</v>
      </c>
      <c r="C46" s="38" t="s">
        <v>19</v>
      </c>
      <c r="D46" s="42">
        <f>TRUNC(5174,-1)</f>
        <v>5170</v>
      </c>
      <c r="E46" s="63">
        <f t="shared" si="1"/>
        <v>17090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TRUNC(46570,-1)</f>
        <v>46570</v>
      </c>
      <c r="E48" s="63">
        <f t="shared" si="1"/>
        <v>153950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TRUNC(26661,-1)</f>
        <v>26660</v>
      </c>
      <c r="E49" s="63">
        <f t="shared" si="1"/>
        <v>88130</v>
      </c>
    </row>
    <row r="50" spans="1:7" x14ac:dyDescent="0.3">
      <c r="A50" s="2">
        <v>11</v>
      </c>
      <c r="C50" s="38" t="s">
        <v>155</v>
      </c>
      <c r="D50" s="42">
        <f>TRUNC(38210,-1)</f>
        <v>38210</v>
      </c>
      <c r="E50" s="63">
        <f t="shared" si="1"/>
        <v>126310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TRUNC(11656,-1)</f>
        <v>11650</v>
      </c>
      <c r="E52" s="63">
        <f t="shared" si="1"/>
        <v>38510</v>
      </c>
    </row>
    <row r="53" spans="1:7" x14ac:dyDescent="0.3">
      <c r="A53" s="2">
        <v>14</v>
      </c>
      <c r="C53" s="38" t="s">
        <v>25</v>
      </c>
      <c r="D53" s="42">
        <f>TRUNC(67477,-1)</f>
        <v>67470</v>
      </c>
      <c r="E53" s="63">
        <f t="shared" si="1"/>
        <v>223040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TRUNC(4833+1029+6531+6346,-1)</f>
        <v>18730</v>
      </c>
      <c r="E58" s="63">
        <f t="shared" si="1"/>
        <v>61910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TRUNC(393998,-1)</f>
        <v>393990</v>
      </c>
      <c r="E59" s="64">
        <f t="shared" si="1"/>
        <v>1302450</v>
      </c>
    </row>
    <row r="60" spans="1:7" x14ac:dyDescent="0.3">
      <c r="A60" s="2">
        <v>21</v>
      </c>
      <c r="C60" s="27" t="s">
        <v>112</v>
      </c>
      <c r="D60" s="39">
        <f>SUM(D40:D59)</f>
        <v>951600</v>
      </c>
      <c r="E60" s="39">
        <f>SUM(E40:E59)</f>
        <v>3145750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TRUNC(2119,-1)</f>
        <v>2110</v>
      </c>
      <c r="E63" s="62">
        <f>TRUNC(+D63*3.3058,-1)</f>
        <v>6970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TRUNC(112790,-1)</f>
        <v>112790</v>
      </c>
      <c r="E65" s="64">
        <f>TRUNC(+D65*3.3058,-1)</f>
        <v>372860</v>
      </c>
    </row>
    <row r="66" spans="1:7" x14ac:dyDescent="0.3">
      <c r="A66" s="2">
        <v>4</v>
      </c>
      <c r="C66" s="27" t="s">
        <v>112</v>
      </c>
      <c r="D66" s="39">
        <f>SUM(D63:D65)</f>
        <v>114900</v>
      </c>
      <c r="E66" s="65">
        <f>SUM(E63:E65)</f>
        <v>379830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TRUNC(4596,-1)</f>
        <v>4590</v>
      </c>
      <c r="E69" s="62">
        <f t="shared" ref="E69:E94" si="2">TRUNC(+D69*3.3058,-1)</f>
        <v>15170</v>
      </c>
    </row>
    <row r="70" spans="1:7" ht="16.5" customHeight="1" x14ac:dyDescent="0.3">
      <c r="A70" s="2">
        <v>2</v>
      </c>
      <c r="C70" s="38" t="s">
        <v>31</v>
      </c>
      <c r="D70" s="42">
        <f>TRUNC(1847,-1)</f>
        <v>1840</v>
      </c>
      <c r="E70" s="63">
        <f t="shared" si="2"/>
        <v>6080</v>
      </c>
    </row>
    <row r="71" spans="1:7" x14ac:dyDescent="0.3">
      <c r="A71" s="2">
        <v>3</v>
      </c>
      <c r="C71" s="38" t="s">
        <v>32</v>
      </c>
      <c r="D71" s="42">
        <f>TRUNC(4803,-1)</f>
        <v>4800</v>
      </c>
      <c r="E71" s="63">
        <f t="shared" si="2"/>
        <v>15860</v>
      </c>
    </row>
    <row r="72" spans="1:7" x14ac:dyDescent="0.3">
      <c r="A72" s="2">
        <v>4</v>
      </c>
      <c r="C72" s="38" t="s">
        <v>33</v>
      </c>
      <c r="D72" s="42">
        <f>TRUNC(2660,-1)</f>
        <v>2660</v>
      </c>
      <c r="E72" s="63">
        <f t="shared" si="2"/>
        <v>8790</v>
      </c>
    </row>
    <row r="73" spans="1:7" x14ac:dyDescent="0.3">
      <c r="A73" s="2">
        <v>5</v>
      </c>
      <c r="C73" s="38" t="s">
        <v>34</v>
      </c>
      <c r="D73" s="42">
        <f>TRUNC(25773,-1)</f>
        <v>25770</v>
      </c>
      <c r="E73" s="63">
        <f t="shared" si="2"/>
        <v>85190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TRUNC(21672,-1)</f>
        <v>21670</v>
      </c>
      <c r="E89" s="63">
        <f t="shared" si="2"/>
        <v>71630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TRUNC(14246,-1)</f>
        <v>14240</v>
      </c>
      <c r="E91" s="63">
        <f t="shared" si="2"/>
        <v>47070</v>
      </c>
    </row>
    <row r="92" spans="1:7" x14ac:dyDescent="0.3">
      <c r="A92" s="2">
        <v>24</v>
      </c>
      <c r="C92" s="38" t="s">
        <v>38</v>
      </c>
      <c r="D92" s="42">
        <f>TRUNC(9514,-1)</f>
        <v>9510</v>
      </c>
      <c r="E92" s="63">
        <f t="shared" si="2"/>
        <v>31430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TRUNC(40+24687+864+1875,-1)</f>
        <v>27460</v>
      </c>
      <c r="E94" s="64">
        <f t="shared" si="2"/>
        <v>90770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112540</v>
      </c>
      <c r="E95" s="39">
        <f>SUM(E69:E94)</f>
        <v>371990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TRUNC(34593,-1)</f>
        <v>34590</v>
      </c>
      <c r="E98" s="62">
        <f t="shared" ref="E98:E118" si="3">TRUNC(+D98*3.3058,-1)</f>
        <v>114340</v>
      </c>
    </row>
    <row r="99" spans="1:7" x14ac:dyDescent="0.3">
      <c r="A99" s="2">
        <v>2</v>
      </c>
      <c r="C99" s="38" t="s">
        <v>40</v>
      </c>
      <c r="D99" s="42">
        <f>TRUNC(3000,-1)</f>
        <v>3000</v>
      </c>
      <c r="E99" s="63">
        <f t="shared" si="3"/>
        <v>9910</v>
      </c>
    </row>
    <row r="100" spans="1:7" x14ac:dyDescent="0.3">
      <c r="A100" s="2">
        <v>3</v>
      </c>
      <c r="C100" s="38" t="s">
        <v>41</v>
      </c>
      <c r="D100" s="42">
        <f>TRUNC(29599,-1)</f>
        <v>29590</v>
      </c>
      <c r="E100" s="63">
        <f t="shared" si="3"/>
        <v>97810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TRUNC(19117,-1)</f>
        <v>19110</v>
      </c>
      <c r="E102" s="63">
        <f t="shared" si="3"/>
        <v>63170</v>
      </c>
    </row>
    <row r="103" spans="1:7" x14ac:dyDescent="0.3">
      <c r="A103" s="2">
        <v>6</v>
      </c>
      <c r="C103" s="38" t="s">
        <v>44</v>
      </c>
      <c r="D103" s="42">
        <f>TRUNC(4882,-1)</f>
        <v>4880</v>
      </c>
      <c r="E103" s="63">
        <f t="shared" si="3"/>
        <v>16130</v>
      </c>
    </row>
    <row r="104" spans="1:7" x14ac:dyDescent="0.3">
      <c r="A104" s="2">
        <v>7</v>
      </c>
      <c r="C104" s="38" t="s">
        <v>45</v>
      </c>
      <c r="D104" s="42">
        <f>TRUNC(2367,-1)</f>
        <v>2360</v>
      </c>
      <c r="E104" s="63">
        <f t="shared" si="3"/>
        <v>7800</v>
      </c>
    </row>
    <row r="105" spans="1:7" x14ac:dyDescent="0.3">
      <c r="A105" s="2">
        <v>8</v>
      </c>
      <c r="C105" s="38" t="s">
        <v>46</v>
      </c>
      <c r="D105" s="42">
        <f>TRUNC(8701,-1)</f>
        <v>8700</v>
      </c>
      <c r="E105" s="63">
        <f t="shared" si="3"/>
        <v>28760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TRUNC(4298,-1)</f>
        <v>4290</v>
      </c>
      <c r="E116" s="63">
        <f t="shared" si="3"/>
        <v>14180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TRUNC(106382,-1)</f>
        <v>106380</v>
      </c>
      <c r="E117" s="63">
        <f t="shared" si="3"/>
        <v>351670</v>
      </c>
    </row>
    <row r="118" spans="1:7" ht="17.25" thickBot="1" x14ac:dyDescent="0.35">
      <c r="A118" s="2">
        <v>21</v>
      </c>
      <c r="C118" s="38" t="s">
        <v>47</v>
      </c>
      <c r="D118" s="43">
        <f>TRUNC(567,-1)</f>
        <v>560</v>
      </c>
      <c r="E118" s="64">
        <f t="shared" si="3"/>
        <v>1850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213460</v>
      </c>
      <c r="E119" s="39">
        <f>SUM(E98:E118)</f>
        <v>705620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TRUNC(4036,-1)</f>
        <v>4030</v>
      </c>
      <c r="E122" s="62">
        <f t="shared" ref="E122:E132" si="4">TRUNC(+D122*3.3058,-1)</f>
        <v>13320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TRUNC(1132,-1)</f>
        <v>1130</v>
      </c>
      <c r="E124" s="63">
        <f t="shared" si="4"/>
        <v>3730</v>
      </c>
    </row>
    <row r="125" spans="1:7" x14ac:dyDescent="0.3">
      <c r="A125" s="2">
        <v>4</v>
      </c>
      <c r="C125" s="38" t="s">
        <v>138</v>
      </c>
      <c r="D125" s="42">
        <f>TRUNC(6101,-1)</f>
        <v>6100</v>
      </c>
      <c r="E125" s="63">
        <f t="shared" si="4"/>
        <v>20160</v>
      </c>
    </row>
    <row r="126" spans="1:7" x14ac:dyDescent="0.3">
      <c r="A126" s="2">
        <v>5</v>
      </c>
      <c r="C126" s="38" t="s">
        <v>53</v>
      </c>
      <c r="D126" s="42">
        <f>TRUNC(6463,-1)</f>
        <v>6460</v>
      </c>
      <c r="E126" s="63">
        <f t="shared" si="4"/>
        <v>21350</v>
      </c>
    </row>
    <row r="127" spans="1:7" x14ac:dyDescent="0.3">
      <c r="A127" s="2">
        <v>6</v>
      </c>
      <c r="C127" s="38" t="s">
        <v>56</v>
      </c>
      <c r="D127" s="42">
        <f>TRUNC(6582,-1)</f>
        <v>6580</v>
      </c>
      <c r="E127" s="63">
        <f t="shared" si="4"/>
        <v>21750</v>
      </c>
    </row>
    <row r="128" spans="1:7" x14ac:dyDescent="0.3">
      <c r="A128" s="2">
        <v>7</v>
      </c>
      <c r="C128" s="38" t="s">
        <v>46</v>
      </c>
      <c r="D128" s="42">
        <f>TRUNC(5736,-1)</f>
        <v>5730</v>
      </c>
      <c r="E128" s="63">
        <f t="shared" si="4"/>
        <v>18940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TRUNC(17950,-1)</f>
        <v>17950</v>
      </c>
      <c r="E130" s="63">
        <f t="shared" si="4"/>
        <v>59330</v>
      </c>
    </row>
    <row r="131" spans="1:7" x14ac:dyDescent="0.3">
      <c r="A131" s="2">
        <v>10</v>
      </c>
      <c r="C131" s="38" t="s">
        <v>148</v>
      </c>
      <c r="D131" s="42">
        <f>TRUNC(39701,-1)</f>
        <v>39700</v>
      </c>
      <c r="E131" s="63">
        <f t="shared" si="4"/>
        <v>131240</v>
      </c>
    </row>
    <row r="132" spans="1:7" ht="18" thickBot="1" x14ac:dyDescent="0.35">
      <c r="A132" s="2">
        <v>11</v>
      </c>
      <c r="C132" s="38" t="s">
        <v>47</v>
      </c>
      <c r="D132" s="43">
        <f>TRUNC(1459,-1)</f>
        <v>1450</v>
      </c>
      <c r="E132" s="64">
        <f t="shared" si="4"/>
        <v>4790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89130</v>
      </c>
      <c r="E133" s="39">
        <f>SUM(E122:E132)</f>
        <v>294610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TRUNC(132+2902+3226+6432,-1)</f>
        <v>12690</v>
      </c>
      <c r="E137" s="63">
        <f t="shared" si="5"/>
        <v>41950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TRUNC(1729,-1)</f>
        <v>1720</v>
      </c>
      <c r="E139" s="63">
        <f t="shared" si="5"/>
        <v>5680</v>
      </c>
    </row>
    <row r="140" spans="1:7" x14ac:dyDescent="0.3">
      <c r="A140" s="2">
        <v>5</v>
      </c>
      <c r="C140" s="38" t="s">
        <v>57</v>
      </c>
      <c r="D140" s="42">
        <f>TRUNC(4450,-1)</f>
        <v>4450</v>
      </c>
      <c r="E140" s="63">
        <f t="shared" si="5"/>
        <v>14710</v>
      </c>
    </row>
    <row r="141" spans="1:7" x14ac:dyDescent="0.3">
      <c r="A141" s="2">
        <v>6</v>
      </c>
      <c r="C141" s="38" t="s">
        <v>59</v>
      </c>
      <c r="D141" s="42">
        <f>TRUNC(6666,-1)</f>
        <v>6660</v>
      </c>
      <c r="E141" s="63">
        <f t="shared" si="5"/>
        <v>22010</v>
      </c>
    </row>
    <row r="142" spans="1:7" x14ac:dyDescent="0.3">
      <c r="A142" s="2">
        <v>7</v>
      </c>
      <c r="C142" s="38" t="s">
        <v>58</v>
      </c>
      <c r="D142" s="42">
        <f>TRUNC(5896,-1)</f>
        <v>5890</v>
      </c>
      <c r="E142" s="63">
        <f t="shared" si="5"/>
        <v>19470</v>
      </c>
    </row>
    <row r="143" spans="1:7" x14ac:dyDescent="0.3">
      <c r="A143" s="2">
        <v>8</v>
      </c>
      <c r="C143" s="38" t="s">
        <v>62</v>
      </c>
      <c r="D143" s="42">
        <f>TRUNC(13777,-1)</f>
        <v>13770</v>
      </c>
      <c r="E143" s="63">
        <f t="shared" si="5"/>
        <v>45520</v>
      </c>
    </row>
    <row r="144" spans="1:7" x14ac:dyDescent="0.3">
      <c r="A144" s="2">
        <v>9</v>
      </c>
      <c r="C144" s="38" t="s">
        <v>63</v>
      </c>
      <c r="D144" s="42">
        <f>TRUNC(5725,-1)</f>
        <v>5720</v>
      </c>
      <c r="E144" s="63">
        <f t="shared" si="5"/>
        <v>18900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50900</v>
      </c>
      <c r="E146" s="39">
        <f>SUM(E136:E145)</f>
        <v>168240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TRUNC(1745+2214,-1)</f>
        <v>3950</v>
      </c>
      <c r="E149" s="62">
        <f>TRUNC(+D149*3.3058,-1)</f>
        <v>13050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TRUNC(1705,-1)</f>
        <v>1700</v>
      </c>
      <c r="E150" s="63">
        <f>TRUNC(+D150*3.3058,-1)</f>
        <v>5610</v>
      </c>
    </row>
    <row r="151" spans="1:7" x14ac:dyDescent="0.3">
      <c r="A151" s="2">
        <v>3</v>
      </c>
      <c r="C151" s="38" t="s">
        <v>50</v>
      </c>
      <c r="D151" s="42">
        <f>TRUNC(1566,-1)</f>
        <v>1560</v>
      </c>
      <c r="E151" s="63">
        <f>TRUNC(+D151*3.3058,-1)</f>
        <v>5150</v>
      </c>
    </row>
    <row r="152" spans="1:7" x14ac:dyDescent="0.3">
      <c r="A152" s="2">
        <v>4</v>
      </c>
      <c r="C152" s="38" t="s">
        <v>47</v>
      </c>
      <c r="D152" s="42">
        <f>TRUNC(87+451,-1)</f>
        <v>530</v>
      </c>
      <c r="E152" s="63">
        <f>TRUNC(+D152*3.3058,-1)</f>
        <v>1750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7740</v>
      </c>
      <c r="E154" s="39">
        <f>SUM(E149:E153)</f>
        <v>25560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TRUNC(1439,-1)</f>
        <v>1430</v>
      </c>
      <c r="E157" s="62">
        <f>TRUNC(+D157*3.3058,-1)</f>
        <v>4720</v>
      </c>
    </row>
    <row r="158" spans="1:7" x14ac:dyDescent="0.3">
      <c r="A158" s="2">
        <v>2</v>
      </c>
      <c r="C158" s="38" t="s">
        <v>52</v>
      </c>
      <c r="D158" s="42">
        <f>TRUNC(1879,-1)</f>
        <v>1870</v>
      </c>
      <c r="E158" s="63">
        <f>TRUNC(+D158*3.3058,-1)</f>
        <v>6180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TRUNC(2039+377,-1)</f>
        <v>2410</v>
      </c>
      <c r="E159" s="63">
        <f>TRUNC(+D159*3.3058,-1)</f>
        <v>7960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5710</v>
      </c>
      <c r="E161" s="39">
        <f>SUM(E157:E160)</f>
        <v>18860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2020-12-08T02:15:14Z</dcterms:modified>
</cp:coreProperties>
</file>