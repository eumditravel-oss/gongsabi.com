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46" i="4" l="1"/>
  <c r="D40" i="4"/>
  <c r="E40" i="4" s="1"/>
  <c r="D24" i="4"/>
  <c r="E24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<sst xmlns="http://schemas.openxmlformats.org/spreadsheetml/2006/main" count="384" uniqueCount="259">
  <si>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</si>
  <si>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</si>
  <si>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</si>
  <si>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</si>
  <si>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</si>
  <si>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</si>
  <si>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</si>
  <si>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</si>
  <si>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</si>
  <si>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</si>
  <si>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</si>
  <si>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</si>
  <si>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</si>
  <si>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</si>
  <si>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</si>
  <si>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</si>
  <si>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</si>
  <si>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</si>
  <si>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</si>
  <si>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</si>
  <si>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</si>
  <si>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</si>
  <si>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</si>
  <si>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</si>
  <si>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</si>
  <si>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</si>
  <si>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</si>
  <si>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</si>
  <si>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</si>
  <si>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</si>
  <si>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</si>
  <si>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</si>
  <si>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</si>
  <si>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</si>
  <si>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</si>
  <si>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</si>
  <si>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</si>
  <si>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</si>
  <si>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</si>
  <si>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</si>
  <si>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</si>
  <si>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</si>
  <si>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</si>
  <si>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</si>
  <si>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</si>
  <si>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</si>
  <si>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</si>
  <si>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</si>
  <si>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</si>
  <si>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</si>
  <si>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</si>
  <si>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</si>
  <si>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</si>
  <si>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</si>
  <si>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</si>
  <si>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</si>
  <si>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</si>
  <si>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</si>
  <si>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</si>
  <si>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</si>
  <si>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</si>
  <si>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</si>
  <si>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</si>
  <si>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</si>
  <si>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</si>
  <si>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</si>
  <si>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</si>
  <si>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</si>
  <si>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</si>
  <si>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</si>
  <si>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</si>
  <si>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</si>
  <si>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</si>
  <si>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</si>
  <si>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</si>
  <si>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</si>
  <si>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</si>
  <si>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</si>
  <si>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</si>
  <si>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</si>
  <si>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</si>
  <si>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</si>
  <si>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</si>
  <si>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</si>
  <si>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</si>
  <si>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</si>
  <si>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</si>
  <si>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</si>
  <si>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</si>
  <si>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</si>
  <si>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</si>
  <si>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</si>
  <si>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</si>
  <si>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</si>
  <si>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</si>
  <si>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</si>
  <si>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</si>
  <si>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</si>
  <si>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</si>
  <si>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</si>
  <si>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</si>
  <si>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</si>
  <si>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</si>
  <si>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</si>
  <si>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</si>
  <si>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</si>
  <si>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</si>
  <si>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</si>
  <si>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</si>
  <si>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</si>
  <si>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</si>
  <si>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</si>
  <si>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</si>
  <si>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</si>
  <si>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</si>
  <si>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</si>
  <si>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</si>
  <si>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</si>
  <si>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</si>
  <si>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</si>
  <si>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</si>
  <si>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</si>
  <si>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</si>
  <si>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</si>
  <si>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</si>
  <si>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</si>
  <si>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</si>
  <si>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</si>
  <si>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</si>
  <si>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</si>
  <si>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</si>
  <si>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</si>
  <si>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</si>
  <si>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</si>
  <si>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</si>
  <si>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</si>
  <si>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</si>
  <si>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</si>
  <si>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</si>
  <si>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</si>
  <si>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</si>
  <si>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</si>
  <si>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</si>
  <si>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</si>
  <si>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</si>
  <si>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</si>
  <si>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</si>
  <si>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</si>
  <si>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</si>
  <si>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</si>
  <si>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</si>
  <si>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</si>
  <si>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</si>
  <si>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</si>
  <si>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</si>
  <si>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</si>
  <si>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</si>
  <si>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</si>
  <si>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</si>
  <si>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</si>
  <si>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</si>
  <si>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</si>
  <si>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</si>
  <si>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</si>
  <si>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</si>
  <si>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</si>
  <si>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</si>
  <si>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</si>
  <si>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</si>
  <si>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</si>
  <si>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</si>
  <si>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</si>
  <si>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</si>
  <si>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</si>
  <si>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</si>
  <si>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</si>
  <si>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</si>
  <si>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</si>
  <si>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</si>
  <si>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</si>
  <si>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</si>
  <si>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</si>
  <si>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</si>
  <si>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</si>
  <si>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</si>
  <si>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</si>
  <si>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</si>
  <si>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</si>
  <si>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</si>
  <si>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</si>
  <si>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</si>
  <si>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</si>
  <si>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</si>
  <si>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</si>
  <si>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</si>
  <si>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</si>
  <si>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</si>
  <si>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</si>
  <si>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</si>
  <si>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</si>
  <si>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</si>
  <si>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</si>
  <si>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</si>
  <si>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</si>
  <si>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</si>
  <si>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</si>
  <si>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</si>
  <si>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</si>
  <si>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</si>
  <si>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</si>
  <si>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</si>
  <si>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</si>
  <si>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</si>
  <si>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</si>
  <si>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</si>
  <si>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</si>
  <si>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</si>
  <si>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</si>
  <si>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</si>
  <si>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</si>
  <si>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</si>
  <si>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</si>
  <si>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</si>
  <si>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</si>
  <si>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</si>
  <si>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</si>
  <si>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</si>
  <si>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</si>
  <si>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</si>
  <si>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</si>
  <si>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</si>
  <si>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</si>
  <si>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</si>
  <si>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</si>
  <si>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</si>
  <si>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</si>
  <si>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</si>
  <si>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</si>
  <si>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</si>
  <si>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</si>
  <si>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</si>
  <si>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</si>
  <si>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</si>
  <si>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</si>
  <si>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</si>
  <si>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</si>
  <si>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양청고 교사 신축공사</t>
  </si>
  <si>
    <t>교육연구</t>
  </si>
  <si>
    <t>충청도</t>
  </si>
  <si>
    <t>기타공사,골재대 및 운반비</t>
  </si>
  <si>
    <t>토공사 및 지정공사</t>
  </si>
  <si>
    <t>작업부산물,부대시설공사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</si>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</sst>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3" sqref="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12832</v>
      </c>
      <c r="D7" s="36">
        <f>+C7/3.3058</f>
        <v>3881.6625325186037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193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722550</v>
      </c>
      <c r="E25" s="60">
        <f t="shared" si="0"/>
        <v>2388600</v>
      </c>
    </row>
    <row r="26" spans="1:5" x14ac:dyDescent="0.3">
      <c r="B26" s="2">
        <v>3</v>
      </c>
      <c r="C26" s="35" t="s">
        <v>95</v>
      </c>
      <c r="D26" s="45">
        <f>+D66</f>
        <v>5740</v>
      </c>
      <c r="E26" s="60">
        <f t="shared" si="0"/>
        <v>18970</v>
      </c>
    </row>
    <row r="27" spans="1:5" x14ac:dyDescent="0.3">
      <c r="B27" s="2">
        <v>4</v>
      </c>
      <c r="C27" s="35" t="s">
        <v>96</v>
      </c>
      <c r="D27" s="45">
        <f>+D95</f>
        <v>194880</v>
      </c>
      <c r="E27" s="60">
        <f t="shared" si="0"/>
        <v>644230</v>
      </c>
    </row>
    <row r="28" spans="1:5" x14ac:dyDescent="0.3">
      <c r="B28" s="2">
        <v>5</v>
      </c>
      <c r="C28" s="35" t="s">
        <v>97</v>
      </c>
      <c r="D28" s="45">
        <f>+D119</f>
        <v>192460</v>
      </c>
      <c r="E28" s="60">
        <f t="shared" si="0"/>
        <v>636230</v>
      </c>
    </row>
    <row r="29" spans="1:5" x14ac:dyDescent="0.3">
      <c r="B29" s="2">
        <v>6</v>
      </c>
      <c r="C29" s="35" t="s">
        <v>98</v>
      </c>
      <c r="D29" s="45">
        <f>+D133</f>
        <v>52120</v>
      </c>
      <c r="E29" s="60">
        <f t="shared" si="0"/>
        <v>172290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111320</v>
      </c>
      <c r="E31" s="60">
        <f t="shared" si="0"/>
        <v>368000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351740</v>
      </c>
      <c r="E33" s="61">
        <f t="shared" si="0"/>
        <v>1162780</v>
      </c>
    </row>
    <row r="34" spans="1:7" x14ac:dyDescent="0.3">
      <c r="C34" s="35" t="s">
        <v>112</v>
      </c>
      <c r="D34" s="44">
        <f>SUM(D24:D33)</f>
        <v>1630810</v>
      </c>
      <c r="E34" s="44">
        <f>SUM(E24:E33)</f>
        <v>5391100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236</v>
      </c>
      <c r="D36" s="57" t="s">
        <v>234</v>
      </c>
      <c r="E36" s="57" t="s">
        <v>253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TRUNC(20226,-1)</f>
        <v>20220</v>
      </c>
      <c r="E40" s="63">
        <f t="shared" ref="E40:E59" si="1">TRUNC(+D40*3.3058,-1)</f>
        <v>66840</v>
      </c>
    </row>
    <row r="41" spans="1:7" x14ac:dyDescent="0.3">
      <c r="A41" s="2">
        <v>2</v>
      </c>
      <c r="C41" s="38" t="s">
        <v>13</v>
      </c>
      <c r="D41" s="42">
        <f>TRUNC(171928,-1)</f>
        <v>171920</v>
      </c>
      <c r="E41" s="64">
        <f t="shared" si="1"/>
        <v>568330</v>
      </c>
    </row>
    <row r="42" spans="1:7" x14ac:dyDescent="0.3">
      <c r="A42" s="2">
        <v>3</v>
      </c>
      <c r="C42" s="38" t="s">
        <v>14</v>
      </c>
      <c r="D42" s="42">
        <f>TRUNC(30741,-1)</f>
        <v>30740</v>
      </c>
      <c r="E42" s="64">
        <f t="shared" si="1"/>
        <v>101620</v>
      </c>
    </row>
    <row r="43" spans="1:7" x14ac:dyDescent="0.3">
      <c r="A43" s="2">
        <v>4</v>
      </c>
      <c r="C43" s="38" t="s">
        <v>16</v>
      </c>
      <c r="D43" s="42">
        <f>TRUNC(24156,-1)</f>
        <v>24150</v>
      </c>
      <c r="E43" s="64">
        <f t="shared" si="1"/>
        <v>79830</v>
      </c>
    </row>
    <row r="44" spans="1:7" x14ac:dyDescent="0.3">
      <c r="A44" s="2">
        <v>5</v>
      </c>
      <c r="C44" s="38" t="s">
        <v>17</v>
      </c>
      <c r="D44" s="42">
        <f>TRUNC(11832,-1)</f>
        <v>11830</v>
      </c>
      <c r="E44" s="64">
        <f t="shared" si="1"/>
        <v>39100</v>
      </c>
    </row>
    <row r="45" spans="1:7" x14ac:dyDescent="0.3">
      <c r="A45" s="2">
        <v>6</v>
      </c>
      <c r="C45" s="38" t="s">
        <v>18</v>
      </c>
      <c r="D45" s="42">
        <f>TRUNC(9452,-1)</f>
        <v>9450</v>
      </c>
      <c r="E45" s="64">
        <f t="shared" si="1"/>
        <v>31230</v>
      </c>
    </row>
    <row r="46" spans="1:7" x14ac:dyDescent="0.3">
      <c r="A46" s="2">
        <v>7</v>
      </c>
      <c r="C46" s="38" t="s">
        <v>19</v>
      </c>
      <c r="D46" s="42">
        <f>TRUNC(48129,-1)</f>
        <v>48120</v>
      </c>
      <c r="E46" s="64">
        <f t="shared" si="1"/>
        <v>159070</v>
      </c>
    </row>
    <row r="47" spans="1:7" x14ac:dyDescent="0.3">
      <c r="A47" s="2">
        <v>8</v>
      </c>
      <c r="C47" s="38" t="s">
        <v>20</v>
      </c>
      <c r="D47" s="42">
        <f>TRUNC(27314,-1)</f>
        <v>27310</v>
      </c>
      <c r="E47" s="64">
        <f t="shared" si="1"/>
        <v>90280</v>
      </c>
    </row>
    <row r="48" spans="1:7" x14ac:dyDescent="0.3">
      <c r="A48" s="2">
        <v>9</v>
      </c>
      <c r="C48" s="38" t="s">
        <v>21</v>
      </c>
      <c r="D48" s="42">
        <f>TRUNC(60948,-1)</f>
        <v>60940</v>
      </c>
      <c r="E48" s="64">
        <f t="shared" si="1"/>
        <v>201450</v>
      </c>
    </row>
    <row r="49" spans="1:7" x14ac:dyDescent="0.3">
      <c r="A49" s="2">
        <v>10</v>
      </c>
      <c r="C49" s="38" t="s">
        <v>22</v>
      </c>
      <c r="D49" s="42">
        <f>TRUNC(21239,-1)</f>
        <v>21230</v>
      </c>
      <c r="E49" s="64">
        <f t="shared" si="1"/>
        <v>70180</v>
      </c>
    </row>
    <row r="50" spans="1:7" x14ac:dyDescent="0.3">
      <c r="A50" s="2">
        <v>11</v>
      </c>
      <c r="C50" s="38" t="s">
        <v>154</v>
      </c>
      <c r="D50" s="42">
        <f>TRUNC(63465,-1)</f>
        <v>63460</v>
      </c>
      <c r="E50" s="64">
        <f t="shared" si="1"/>
        <v>209780</v>
      </c>
    </row>
    <row r="51" spans="1:7" x14ac:dyDescent="0.3">
      <c r="A51" s="2">
        <v>12</v>
      </c>
      <c r="C51" s="38" t="s">
        <v>23</v>
      </c>
      <c r="D51" s="42">
        <f>TRUNC(14099,-1)</f>
        <v>14090</v>
      </c>
      <c r="E51" s="64">
        <f t="shared" si="1"/>
        <v>46570</v>
      </c>
    </row>
    <row r="52" spans="1:7" x14ac:dyDescent="0.3">
      <c r="A52" s="2">
        <v>13</v>
      </c>
      <c r="C52" s="38" t="s">
        <v>24</v>
      </c>
      <c r="D52" s="42">
        <f>TRUNC(6486,-1)</f>
        <v>6480</v>
      </c>
      <c r="E52" s="64">
        <f t="shared" si="1"/>
        <v>21420</v>
      </c>
    </row>
    <row r="53" spans="1:7" x14ac:dyDescent="0.3">
      <c r="A53" s="2">
        <v>14</v>
      </c>
      <c r="C53" s="38" t="s">
        <v>25</v>
      </c>
      <c r="D53" s="42">
        <f>TRUNC(36172,-1)</f>
        <v>36170</v>
      </c>
      <c r="E53" s="64">
        <f t="shared" si="1"/>
        <v>119570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TRUNC(5573,-1)</f>
        <v>5570</v>
      </c>
      <c r="E55" s="64">
        <f t="shared" si="1"/>
        <v>18410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TRUNC(33381+977,-1)</f>
        <v>34350</v>
      </c>
      <c r="E58" s="64">
        <f t="shared" si="1"/>
        <v>113550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TRUNC(136524.93765586,-1)</f>
        <v>136520</v>
      </c>
      <c r="E59" s="65">
        <f t="shared" si="1"/>
        <v>451300</v>
      </c>
    </row>
    <row r="60" spans="1:7" x14ac:dyDescent="0.3">
      <c r="A60" s="2">
        <v>21</v>
      </c>
      <c r="C60" s="27" t="s">
        <v>112</v>
      </c>
      <c r="D60" s="39">
        <f>SUM(D40:D59)</f>
        <v>722550</v>
      </c>
      <c r="E60" s="39">
        <f>SUM(E40:E59)</f>
        <v>2388530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237</v>
      </c>
      <c r="C62" s="56" t="s">
        <v>238</v>
      </c>
      <c r="D62" s="57" t="s">
        <v>234</v>
      </c>
      <c r="E62" s="57" t="s">
        <v>252</v>
      </c>
      <c r="G62" s="55"/>
    </row>
    <row r="63" spans="1:7" x14ac:dyDescent="0.3">
      <c r="A63" s="2">
        <v>1</v>
      </c>
      <c r="C63" s="38" t="s">
        <v>27</v>
      </c>
      <c r="D63" s="40">
        <f>TRUNC(5745,-1)</f>
        <v>5740</v>
      </c>
      <c r="E63" s="63">
        <f>TRUNC(+D63*3.3058,-1)</f>
        <v>18970</v>
      </c>
      <c r="F63" s="2" t="s">
        <v>250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5740</v>
      </c>
      <c r="E66" s="58">
        <f>SUM(E63:E65)</f>
        <v>18970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239</v>
      </c>
      <c r="C68" s="56" t="s">
        <v>240</v>
      </c>
      <c r="D68" s="57" t="s">
        <v>234</v>
      </c>
      <c r="E68" s="57" t="s">
        <v>252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TRUNC(69630.1433915212,-1)</f>
        <v>69630</v>
      </c>
      <c r="E93" s="64">
        <f t="shared" si="2"/>
        <v>230180</v>
      </c>
    </row>
    <row r="94" spans="1:7" ht="17.25" thickBot="1" x14ac:dyDescent="0.35">
      <c r="A94" s="2">
        <v>26</v>
      </c>
      <c r="C94" s="38" t="s">
        <v>47</v>
      </c>
      <c r="D94" s="43">
        <f>TRUNC(125251,-1)</f>
        <v>125250</v>
      </c>
      <c r="E94" s="65">
        <f t="shared" si="2"/>
        <v>414050</v>
      </c>
    </row>
    <row r="95" spans="1:7" x14ac:dyDescent="0.3">
      <c r="A95" s="2">
        <v>27</v>
      </c>
      <c r="C95" s="27" t="s">
        <v>112</v>
      </c>
      <c r="D95" s="39">
        <f>SUM(D69:D94)</f>
        <v>194880</v>
      </c>
      <c r="E95" s="39">
        <f>SUM(E69:E94)</f>
        <v>644230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241</v>
      </c>
      <c r="C97" s="56" t="s">
        <v>240</v>
      </c>
      <c r="D97" s="57" t="s">
        <v>234</v>
      </c>
      <c r="E97" s="57" t="s">
        <v>252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TRUNC(73328.8653366584,-1)</f>
        <v>73320</v>
      </c>
      <c r="E117" s="64">
        <f t="shared" si="3"/>
        <v>242380</v>
      </c>
    </row>
    <row r="118" spans="1:7" ht="17.25" thickBot="1" x14ac:dyDescent="0.35">
      <c r="A118" s="2">
        <v>21</v>
      </c>
      <c r="C118" s="38" t="s">
        <v>47</v>
      </c>
      <c r="D118" s="43">
        <f>TRUNC(119144,-1)</f>
        <v>119140</v>
      </c>
      <c r="E118" s="65">
        <f t="shared" si="3"/>
        <v>393850</v>
      </c>
    </row>
    <row r="119" spans="1:7" x14ac:dyDescent="0.3">
      <c r="A119" s="2">
        <v>22</v>
      </c>
      <c r="C119" s="27" t="s">
        <v>112</v>
      </c>
      <c r="D119" s="39">
        <f>SUM(D98:D118)</f>
        <v>192460</v>
      </c>
      <c r="E119" s="39">
        <f>SUM(E98:E118)</f>
        <v>636230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242</v>
      </c>
      <c r="C121" s="56" t="s">
        <v>240</v>
      </c>
      <c r="D121" s="57" t="s">
        <v>234</v>
      </c>
      <c r="E121" s="57" t="s">
        <v>252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TRUNC(14177.3690773067,-1)</f>
        <v>14170</v>
      </c>
      <c r="E131" s="64">
        <f t="shared" si="4"/>
        <v>46840</v>
      </c>
    </row>
    <row r="132" spans="1:7" ht="18" thickBot="1" x14ac:dyDescent="0.35">
      <c r="A132" s="2">
        <v>11</v>
      </c>
      <c r="C132" s="38" t="s">
        <v>47</v>
      </c>
      <c r="D132" s="43">
        <f>TRUNC(37958,-1)</f>
        <v>37950</v>
      </c>
      <c r="E132" s="65">
        <f t="shared" si="4"/>
        <v>125450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52120</v>
      </c>
      <c r="E133" s="39">
        <f>SUM(E122:E132)</f>
        <v>172290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243</v>
      </c>
      <c r="C135" s="56" t="s">
        <v>240</v>
      </c>
      <c r="D135" s="57" t="s">
        <v>234</v>
      </c>
      <c r="E135" s="57" t="s">
        <v>252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244</v>
      </c>
      <c r="C148" s="56" t="s">
        <v>240</v>
      </c>
      <c r="D148" s="57" t="s">
        <v>234</v>
      </c>
      <c r="E148" s="57" t="s">
        <v>252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TRUNC(-963+82329,-1)</f>
        <v>81360</v>
      </c>
      <c r="E152" s="64">
        <f>TRUNC(+D152*3.3058,-1)</f>
        <v>268950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f>TRUNC(29967.6589775561,-1)</f>
        <v>29960</v>
      </c>
      <c r="E153" s="65">
        <f>TRUNC(+D153*3.3058,-1)</f>
        <v>99040</v>
      </c>
    </row>
    <row r="154" spans="1:7" x14ac:dyDescent="0.3">
      <c r="A154" s="2">
        <v>6</v>
      </c>
      <c r="C154" s="27" t="s">
        <v>112</v>
      </c>
      <c r="D154" s="39">
        <f>SUM(D149:D153)</f>
        <v>111320</v>
      </c>
      <c r="E154" s="39">
        <f>SUM(E149:E153)</f>
        <v>367990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245</v>
      </c>
      <c r="C156" s="56" t="s">
        <v>240</v>
      </c>
      <c r="D156" s="57" t="s">
        <v>234</v>
      </c>
      <c r="E156" s="57" t="s">
        <v>252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2020-12-07T09:29:07Z</dcterms:modified>
</cp:coreProperties>
</file>