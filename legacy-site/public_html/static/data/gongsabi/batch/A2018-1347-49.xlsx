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45" i="4" l="1"/>
  <c r="D131" i="4"/>
  <c r="D117" i="4"/>
  <c r="D59" i="4"/>
  <c r="D58" i="4"/>
  <c r="D53" i="4"/>
  <c r="D52" i="4"/>
  <c r="D50" i="4"/>
  <c r="D49" i="4"/>
  <c r="D48" i="4"/>
  <c r="D46" i="4"/>
  <c r="D45" i="4"/>
  <c r="D44" i="4"/>
  <c r="D43" i="4"/>
  <c r="D41" i="4"/>
  <c r="D40" i="4"/>
  <c r="D94" i="4"/>
  <c r="D76" i="4"/>
  <c r="D92" i="4"/>
  <c r="D91" i="4"/>
  <c r="D90" i="4"/>
  <c r="D89" i="4"/>
  <c r="D73" i="4"/>
  <c r="D72" i="4"/>
  <c r="D71" i="4"/>
  <c r="D70" i="4"/>
  <c r="D69" i="4"/>
  <c r="D102" i="4"/>
  <c r="D101" i="4"/>
  <c r="D100" i="4"/>
  <c r="D99" i="4"/>
  <c r="D98" i="4"/>
  <c r="D114" i="4"/>
  <c r="D116" i="4"/>
  <c r="D105" i="4"/>
  <c r="D104" i="4"/>
  <c r="D103" i="4"/>
  <c r="D118" i="4"/>
  <c r="D132" i="4"/>
  <c r="D128" i="4"/>
  <c r="D127" i="4"/>
  <c r="D124" i="4"/>
  <c r="D125" i="4"/>
  <c r="D122" i="4"/>
  <c r="D130" i="4"/>
  <c r="D126" i="4"/>
  <c r="D137" i="4"/>
  <c r="D144" i="4"/>
  <c r="D143" i="4"/>
  <c r="D139" i="4"/>
  <c r="D141" i="4"/>
  <c r="D142" i="4"/>
  <c r="D140" i="4"/>
  <c r="D63" i="4"/>
  <c r="D152" i="4"/>
  <c r="D151" i="4"/>
  <c r="D150" i="4"/>
  <c r="D149" i="4"/>
  <c r="D159" i="4"/>
  <c r="D158" i="4"/>
  <c r="D157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60" i="4"/>
  <c r="E95" i="4"/>
  <c r="E119" i="4"/>
  <c r="E133" i="4"/>
  <c r="E146" i="4"/>
  <c r="E154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<sst xmlns="http://schemas.openxmlformats.org/spreadsheetml/2006/main" count="395" uniqueCount="270">
  <si>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</si>
  <si>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</si>
  <si>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</si>
  <si>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</si>
  <si>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</si>
  <si>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</si>
  <si>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</si>
  <si>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</si>
  <si>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</si>
  <si>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</si>
  <si>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</si>
  <si>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</si>
  <si>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</si>
  <si>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</si>
  <si>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</si>
  <si>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</si>
  <si>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</si>
  <si>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</si>
  <si>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</si>
  <si>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</si>
  <si>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</si>
  <si>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</si>
  <si>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</si>
  <si>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</si>
  <si>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</si>
  <si>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</si>
  <si>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</si>
  <si>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</si>
  <si>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</si>
  <si>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</si>
  <si>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</si>
  <si>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</si>
  <si>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</si>
  <si>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</si>
  <si>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</si>
  <si>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</si>
  <si>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</si>
  <si>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</si>
  <si>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</si>
  <si>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</si>
  <si>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</si>
  <si>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</si>
  <si>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</si>
  <si>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</si>
  <si>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</si>
  <si>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</si>
  <si>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</si>
  <si>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</si>
  <si>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</si>
  <si>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</si>
  <si>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</si>
  <si>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</si>
  <si>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</si>
  <si>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</si>
  <si>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</si>
  <si>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</si>
  <si>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</si>
  <si>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</si>
  <si>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</si>
  <si>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</si>
  <si>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</si>
  <si>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</si>
  <si>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</si>
  <si>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</si>
  <si>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</si>
  <si>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</si>
  <si>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</si>
  <si>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</si>
  <si>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</si>
  <si>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</si>
  <si>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</si>
  <si>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</si>
  <si>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</si>
  <si>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</si>
  <si>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</si>
  <si>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</si>
  <si>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</si>
  <si>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</si>
  <si>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</si>
  <si>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</si>
  <si>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</si>
  <si>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</si>
  <si>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</si>
  <si>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</si>
  <si>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</si>
  <si>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</si>
  <si>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</si>
  <si>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</si>
  <si>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</si>
  <si>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</si>
  <si>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</si>
  <si>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</si>
  <si>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</si>
  <si>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</si>
  <si>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</si>
  <si>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</si>
  <si>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</si>
  <si>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</si>
  <si>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</si>
  <si>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</si>
  <si>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</si>
  <si>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</si>
  <si>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</si>
  <si>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</si>
  <si>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</si>
  <si>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</si>
  <si>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</si>
  <si>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</si>
  <si>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</si>
  <si>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</si>
  <si>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</si>
  <si>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</si>
  <si>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</si>
  <si>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</si>
  <si>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</si>
  <si>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</si>
  <si>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</si>
  <si>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</si>
  <si>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</si>
  <si>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</si>
  <si>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</si>
  <si>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</si>
  <si>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</si>
  <si>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</si>
  <si>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</si>
  <si>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</si>
  <si>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</si>
  <si>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</si>
  <si>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</si>
  <si>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</si>
  <si>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</si>
  <si>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</si>
  <si>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</si>
  <si>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</si>
  <si>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</si>
  <si>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</si>
  <si>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</si>
  <si>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</si>
  <si>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</si>
  <si>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</si>
  <si>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</si>
  <si>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</si>
  <si>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</si>
  <si>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</si>
  <si>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</si>
  <si>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</si>
  <si>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</si>
  <si>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</si>
  <si>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</si>
  <si>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</si>
  <si>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</si>
  <si>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</si>
  <si>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</si>
  <si>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</si>
  <si>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</si>
  <si>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</si>
  <si>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</si>
  <si>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</si>
  <si>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</si>
  <si>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</si>
  <si>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</si>
  <si>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</si>
  <si>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</si>
  <si>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</si>
  <si>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</si>
  <si>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</si>
  <si>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</si>
  <si>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</si>
  <si>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</si>
  <si>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</si>
  <si>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</si>
  <si>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</si>
  <si>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</si>
  <si>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</si>
  <si>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</si>
  <si>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</si>
  <si>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</si>
  <si>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</si>
  <si>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</si>
  <si>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</si>
  <si>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</si>
  <si>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</si>
  <si>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</si>
  <si>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</si>
  <si>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</si>
  <si>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</si>
  <si>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</si>
  <si>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</si>
  <si>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</si>
  <si>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</si>
  <si>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</si>
  <si>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</si>
  <si>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</si>
  <si>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</si>
  <si>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</si>
  <si>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</si>
  <si>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</si>
  <si>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</si>
  <si>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</si>
  <si>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</si>
  <si>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</si>
  <si>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</si>
  <si>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</si>
  <si>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</si>
  <si>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</si>
  <si>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</si>
  <si>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</si>
  <si>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</si>
  <si>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</si>
  <si>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</si>
  <si>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</si>
  <si>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</si>
  <si>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</si>
  <si>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</si>
  <si>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</si>
  <si>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</si>
  <si>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</si>
  <si>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</si>
  <si>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</si>
  <si>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</si>
  <si>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</si>
  <si>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</si>
  <si>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</si>
  <si>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</si>
  <si>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</si>
  <si>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</si>
  <si>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</si>
  <si>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</si>
  <si>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</si>
  <si>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</si>
  <si>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</si>
  <si>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</si>
  <si>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</si>
  <si>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</si>
  <si>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</si>
  <si>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</si>
  <si>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</si>
  <si>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</si>
  <si>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</si>
  <si>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</si>
  <si>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</si>
  <si>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</si>
  <si>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</si>
  <si>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</si>
  <si>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</si>
  <si>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</si>
  <si>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</si>
  <si>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</si>
  <si>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울산북부경찰서 청사 신축공사</t>
    <phoneticPr fontId="2" type="noConversion"/>
  </si>
  <si>
    <t>업무</t>
  </si>
  <si>
    <t>울산시</t>
  </si>
  <si>
    <t>지붕및홈통공사 포함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</si>
  <si>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</si>
  <si>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</si>
  <si>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난방배관공사,우수처리시설공사,기타공사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</si>
  <si>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</si>
  <si>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</si>
  <si>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</si>
  <si>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</si>
  <si>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옥외소화배관공사,펌프실배관공사,기타공사</t>
    <phoneticPr fontId="2" type="noConversion"/>
  </si>
  <si>
    <t>우수공사,오수공사</t>
    <phoneticPr fontId="2" type="noConversion"/>
  </si>
  <si>
    <t>상수도공사,사급자재비,운반비</t>
    <phoneticPr fontId="2" type="noConversion"/>
  </si>
  <si>
    <t>포장공사</t>
    <phoneticPr fontId="2" type="noConversion"/>
  </si>
  <si>
    <t>조경시설물</t>
    <phoneticPr fontId="2" type="noConversion"/>
  </si>
  <si>
    <t>기초공사,골재비및운반비,작업부산물,품질시험비,기타공사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</si>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</sst>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10687.87</v>
      </c>
      <c r="D7" s="36">
        <f>+C7/3.3058</f>
        <v>3233.0661262024323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993770</v>
      </c>
      <c r="E25" s="59">
        <f t="shared" si="0"/>
        <v>3285200</v>
      </c>
    </row>
    <row r="26" spans="1:5" x14ac:dyDescent="0.3">
      <c r="B26" s="2">
        <v>3</v>
      </c>
      <c r="C26" s="35" t="s">
        <v>95</v>
      </c>
      <c r="D26" s="45">
        <f>+D66</f>
        <v>11180</v>
      </c>
      <c r="E26" s="59">
        <f t="shared" si="0"/>
        <v>36950</v>
      </c>
    </row>
    <row r="27" spans="1:5" x14ac:dyDescent="0.3">
      <c r="B27" s="2">
        <v>4</v>
      </c>
      <c r="C27" s="35" t="s">
        <v>96</v>
      </c>
      <c r="D27" s="45">
        <f>+D95</f>
        <v>105200</v>
      </c>
      <c r="E27" s="59">
        <f t="shared" si="0"/>
        <v>347770</v>
      </c>
    </row>
    <row r="28" spans="1:5" x14ac:dyDescent="0.3">
      <c r="B28" s="2">
        <v>5</v>
      </c>
      <c r="C28" s="35" t="s">
        <v>97</v>
      </c>
      <c r="D28" s="45">
        <f>+D119</f>
        <v>157780</v>
      </c>
      <c r="E28" s="59">
        <f t="shared" si="0"/>
        <v>521580</v>
      </c>
    </row>
    <row r="29" spans="1:5" x14ac:dyDescent="0.3">
      <c r="B29" s="2">
        <v>6</v>
      </c>
      <c r="C29" s="35" t="s">
        <v>98</v>
      </c>
      <c r="D29" s="45">
        <f>+D133</f>
        <v>109110</v>
      </c>
      <c r="E29" s="59">
        <f t="shared" si="0"/>
        <v>360690</v>
      </c>
    </row>
    <row r="30" spans="1:5" x14ac:dyDescent="0.3">
      <c r="B30" s="2">
        <v>7</v>
      </c>
      <c r="C30" s="35" t="s">
        <v>99</v>
      </c>
      <c r="D30" s="45">
        <f>+D146</f>
        <v>52090</v>
      </c>
      <c r="E30" s="59">
        <f t="shared" si="0"/>
        <v>172190</v>
      </c>
    </row>
    <row r="31" spans="1:5" x14ac:dyDescent="0.3">
      <c r="B31" s="2">
        <v>8</v>
      </c>
      <c r="C31" s="35" t="s">
        <v>100</v>
      </c>
      <c r="D31" s="45">
        <f>+D154</f>
        <v>21780</v>
      </c>
      <c r="E31" s="59">
        <f t="shared" si="0"/>
        <v>72000</v>
      </c>
    </row>
    <row r="32" spans="1:5" x14ac:dyDescent="0.3">
      <c r="B32" s="2">
        <v>9</v>
      </c>
      <c r="C32" s="35" t="s">
        <v>101</v>
      </c>
      <c r="D32" s="45">
        <f>+D161</f>
        <v>27520</v>
      </c>
      <c r="E32" s="59">
        <f t="shared" si="0"/>
        <v>90970</v>
      </c>
    </row>
    <row r="33" spans="1:7" x14ac:dyDescent="0.3">
      <c r="B33" s="2">
        <v>10</v>
      </c>
      <c r="C33" s="35" t="s">
        <v>154</v>
      </c>
      <c r="D33" s="53">
        <f>TRUNC(SUM(D24:D32)*0.275,-1)</f>
        <v>406560</v>
      </c>
      <c r="E33" s="60">
        <f t="shared" si="0"/>
        <v>1344000</v>
      </c>
    </row>
    <row r="34" spans="1:7" x14ac:dyDescent="0.3">
      <c r="C34" s="35" t="s">
        <v>112</v>
      </c>
      <c r="D34" s="44">
        <f>SUM(D24:D33)</f>
        <v>1884990</v>
      </c>
      <c r="E34" s="44">
        <f>SUM(E24:E33)</f>
        <v>6231350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TRUNC(67215,-1)</f>
        <v>67210</v>
      </c>
      <c r="E40" s="62">
        <f t="shared" ref="E40:E59" si="1">TRUNC(+D40*3.3058,-1)</f>
        <v>222180</v>
      </c>
    </row>
    <row r="41" spans="1:7" x14ac:dyDescent="0.3">
      <c r="A41" s="2">
        <v>2</v>
      </c>
      <c r="C41" s="38" t="s">
        <v>13</v>
      </c>
      <c r="D41" s="42">
        <f>TRUNC(148928,-1)</f>
        <v>148920</v>
      </c>
      <c r="E41" s="63">
        <f t="shared" si="1"/>
        <v>492290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TRUNC(23452,-1)</f>
        <v>23450</v>
      </c>
      <c r="E43" s="63">
        <f t="shared" si="1"/>
        <v>77520</v>
      </c>
    </row>
    <row r="44" spans="1:7" x14ac:dyDescent="0.3">
      <c r="A44" s="2">
        <v>5</v>
      </c>
      <c r="C44" s="38" t="s">
        <v>17</v>
      </c>
      <c r="D44" s="42">
        <f>TRUNC(19760,-1)</f>
        <v>19760</v>
      </c>
      <c r="E44" s="63">
        <f t="shared" si="1"/>
        <v>65320</v>
      </c>
    </row>
    <row r="45" spans="1:7" x14ac:dyDescent="0.3">
      <c r="A45" s="2">
        <v>6</v>
      </c>
      <c r="C45" s="38" t="s">
        <v>18</v>
      </c>
      <c r="D45" s="42">
        <f>TRUNC(10012,-1)</f>
        <v>10010</v>
      </c>
      <c r="E45" s="63">
        <f t="shared" si="1"/>
        <v>33090</v>
      </c>
    </row>
    <row r="46" spans="1:7" x14ac:dyDescent="0.3">
      <c r="A46" s="2">
        <v>7</v>
      </c>
      <c r="C46" s="38" t="s">
        <v>19</v>
      </c>
      <c r="D46" s="42">
        <f>TRUNC(18465,-1)</f>
        <v>18460</v>
      </c>
      <c r="E46" s="63">
        <f t="shared" si="1"/>
        <v>61020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TRUNC(34207,-1)</f>
        <v>34200</v>
      </c>
      <c r="E48" s="63">
        <f t="shared" si="1"/>
        <v>113050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TRUNC(19351,-1)</f>
        <v>19350</v>
      </c>
      <c r="E49" s="63">
        <f t="shared" si="1"/>
        <v>63960</v>
      </c>
    </row>
    <row r="50" spans="1:7" x14ac:dyDescent="0.3">
      <c r="A50" s="2">
        <v>11</v>
      </c>
      <c r="C50" s="38" t="s">
        <v>155</v>
      </c>
      <c r="D50" s="42">
        <f>TRUNC(31459,-1)</f>
        <v>31450</v>
      </c>
      <c r="E50" s="63">
        <f t="shared" si="1"/>
        <v>103960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TRUNC(13238,-1)</f>
        <v>13230</v>
      </c>
      <c r="E52" s="63">
        <f t="shared" si="1"/>
        <v>43730</v>
      </c>
    </row>
    <row r="53" spans="1:7" x14ac:dyDescent="0.3">
      <c r="A53" s="2">
        <v>14</v>
      </c>
      <c r="C53" s="38" t="s">
        <v>25</v>
      </c>
      <c r="D53" s="42">
        <f>TRUNC(120832,-1)</f>
        <v>120830</v>
      </c>
      <c r="E53" s="63">
        <f t="shared" si="1"/>
        <v>399430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TRUNC(29357+5880-613+857+45409,-1)</f>
        <v>80890</v>
      </c>
      <c r="E58" s="63">
        <f t="shared" si="1"/>
        <v>267400</v>
      </c>
      <c r="F58" s="2" t="s">
        <v>264</v>
      </c>
    </row>
    <row r="59" spans="1:7" ht="17.25" thickBot="1" x14ac:dyDescent="0.35">
      <c r="A59" s="2">
        <v>20</v>
      </c>
      <c r="C59" s="38" t="s">
        <v>148</v>
      </c>
      <c r="D59" s="43">
        <f>TRUNC(406013,-1)</f>
        <v>406010</v>
      </c>
      <c r="E59" s="64">
        <f t="shared" si="1"/>
        <v>1342180</v>
      </c>
    </row>
    <row r="60" spans="1:7" x14ac:dyDescent="0.3">
      <c r="A60" s="2">
        <v>21</v>
      </c>
      <c r="C60" s="27" t="s">
        <v>112</v>
      </c>
      <c r="D60" s="39">
        <f>SUM(D40:D59)</f>
        <v>993770</v>
      </c>
      <c r="E60" s="39">
        <f>SUM(E40:E59)</f>
        <v>3285130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TRUNC(11181,-1)</f>
        <v>11180</v>
      </c>
      <c r="E63" s="62">
        <f>TRUNC(+D63*3.3058,-1)</f>
        <v>36950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11180</v>
      </c>
      <c r="E66" s="65">
        <f>SUM(E63:E65)</f>
        <v>36950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TRUNC(7552,-1)</f>
        <v>7550</v>
      </c>
      <c r="E69" s="62">
        <f t="shared" ref="E69:E94" si="2">TRUNC(+D69*3.3058,-1)</f>
        <v>24950</v>
      </c>
    </row>
    <row r="70" spans="1:7" ht="16.5" customHeight="1" x14ac:dyDescent="0.3">
      <c r="A70" s="2">
        <v>2</v>
      </c>
      <c r="C70" s="38" t="s">
        <v>31</v>
      </c>
      <c r="D70" s="42">
        <f>TRUNC(878,-1)</f>
        <v>870</v>
      </c>
      <c r="E70" s="63">
        <f t="shared" si="2"/>
        <v>2870</v>
      </c>
    </row>
    <row r="71" spans="1:7" x14ac:dyDescent="0.3">
      <c r="A71" s="2">
        <v>3</v>
      </c>
      <c r="C71" s="38" t="s">
        <v>32</v>
      </c>
      <c r="D71" s="42">
        <f>TRUNC(6839,-1)</f>
        <v>6830</v>
      </c>
      <c r="E71" s="63">
        <f t="shared" si="2"/>
        <v>22570</v>
      </c>
    </row>
    <row r="72" spans="1:7" x14ac:dyDescent="0.3">
      <c r="A72" s="2">
        <v>4</v>
      </c>
      <c r="C72" s="38" t="s">
        <v>33</v>
      </c>
      <c r="D72" s="42">
        <f>TRUNC(1498,-1)</f>
        <v>1490</v>
      </c>
      <c r="E72" s="63">
        <f t="shared" si="2"/>
        <v>4920</v>
      </c>
    </row>
    <row r="73" spans="1:7" x14ac:dyDescent="0.3">
      <c r="A73" s="2">
        <v>5</v>
      </c>
      <c r="C73" s="38" t="s">
        <v>34</v>
      </c>
      <c r="D73" s="42">
        <f>TRUNC(9065,-1)</f>
        <v>9060</v>
      </c>
      <c r="E73" s="63">
        <f t="shared" si="2"/>
        <v>29950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TRUNC(26469,-1)</f>
        <v>26460</v>
      </c>
      <c r="E76" s="63">
        <f t="shared" si="2"/>
        <v>87470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TRUNC(13903,-1)</f>
        <v>13900</v>
      </c>
      <c r="E89" s="63">
        <f t="shared" si="2"/>
        <v>45950</v>
      </c>
    </row>
    <row r="90" spans="1:7" x14ac:dyDescent="0.3">
      <c r="A90" s="2">
        <v>22</v>
      </c>
      <c r="C90" s="38" t="s">
        <v>36</v>
      </c>
      <c r="D90" s="42">
        <f>TRUNC(2892,-1)</f>
        <v>2890</v>
      </c>
      <c r="E90" s="63">
        <f t="shared" si="2"/>
        <v>9550</v>
      </c>
    </row>
    <row r="91" spans="1:7" x14ac:dyDescent="0.3">
      <c r="A91" s="2">
        <v>23</v>
      </c>
      <c r="C91" s="38" t="s">
        <v>37</v>
      </c>
      <c r="D91" s="42">
        <f>TRUNC(12225,-1)</f>
        <v>12220</v>
      </c>
      <c r="E91" s="63">
        <f t="shared" si="2"/>
        <v>40390</v>
      </c>
    </row>
    <row r="92" spans="1:7" x14ac:dyDescent="0.3">
      <c r="A92" s="2">
        <v>24</v>
      </c>
      <c r="C92" s="38" t="s">
        <v>38</v>
      </c>
      <c r="D92" s="42">
        <f>TRUNC(8814,-1)</f>
        <v>8810</v>
      </c>
      <c r="E92" s="63">
        <f t="shared" si="2"/>
        <v>29120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TRUNC(2088+5478+7559,-1)</f>
        <v>15120</v>
      </c>
      <c r="E94" s="64">
        <f t="shared" si="2"/>
        <v>49980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105200</v>
      </c>
      <c r="E95" s="39">
        <f>SUM(E69:E94)</f>
        <v>347720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TRUNC(10432,-1)</f>
        <v>10430</v>
      </c>
      <c r="E98" s="62">
        <f t="shared" ref="E98:E118" si="3">TRUNC(+D98*3.3058,-1)</f>
        <v>34470</v>
      </c>
    </row>
    <row r="99" spans="1:7" x14ac:dyDescent="0.3">
      <c r="A99" s="2">
        <v>2</v>
      </c>
      <c r="C99" s="38" t="s">
        <v>40</v>
      </c>
      <c r="D99" s="42">
        <f>TRUNC(12199,-1)</f>
        <v>12190</v>
      </c>
      <c r="E99" s="63">
        <f t="shared" si="3"/>
        <v>40290</v>
      </c>
    </row>
    <row r="100" spans="1:7" x14ac:dyDescent="0.3">
      <c r="A100" s="2">
        <v>3</v>
      </c>
      <c r="C100" s="38" t="s">
        <v>41</v>
      </c>
      <c r="D100" s="42">
        <f>TRUNC(34991,-1)</f>
        <v>34990</v>
      </c>
      <c r="E100" s="63">
        <f t="shared" si="3"/>
        <v>115660</v>
      </c>
    </row>
    <row r="101" spans="1:7" x14ac:dyDescent="0.3">
      <c r="A101" s="2">
        <v>4</v>
      </c>
      <c r="C101" s="38" t="s">
        <v>42</v>
      </c>
      <c r="D101" s="42">
        <f>TRUNC(1599,-1)</f>
        <v>1590</v>
      </c>
      <c r="E101" s="63">
        <f t="shared" si="3"/>
        <v>5250</v>
      </c>
    </row>
    <row r="102" spans="1:7" x14ac:dyDescent="0.3">
      <c r="A102" s="2">
        <v>5</v>
      </c>
      <c r="C102" s="38" t="s">
        <v>43</v>
      </c>
      <c r="D102" s="42">
        <f>TRUNC(18873,-1)</f>
        <v>18870</v>
      </c>
      <c r="E102" s="63">
        <f t="shared" si="3"/>
        <v>62380</v>
      </c>
    </row>
    <row r="103" spans="1:7" x14ac:dyDescent="0.3">
      <c r="A103" s="2">
        <v>6</v>
      </c>
      <c r="C103" s="38" t="s">
        <v>44</v>
      </c>
      <c r="D103" s="42">
        <f>TRUNC(8723,-1)</f>
        <v>8720</v>
      </c>
      <c r="E103" s="63">
        <f t="shared" si="3"/>
        <v>28820</v>
      </c>
    </row>
    <row r="104" spans="1:7" x14ac:dyDescent="0.3">
      <c r="A104" s="2">
        <v>7</v>
      </c>
      <c r="C104" s="38" t="s">
        <v>45</v>
      </c>
      <c r="D104" s="42">
        <f>TRUNC(2252,-1)</f>
        <v>2250</v>
      </c>
      <c r="E104" s="63">
        <f t="shared" si="3"/>
        <v>7430</v>
      </c>
    </row>
    <row r="105" spans="1:7" x14ac:dyDescent="0.3">
      <c r="A105" s="2">
        <v>8</v>
      </c>
      <c r="C105" s="38" t="s">
        <v>46</v>
      </c>
      <c r="D105" s="42">
        <f>TRUNC(4637,-1)</f>
        <v>4630</v>
      </c>
      <c r="E105" s="63">
        <f t="shared" si="3"/>
        <v>15300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TRUNC(3417,-1)</f>
        <v>3410</v>
      </c>
      <c r="E114" s="63">
        <f t="shared" si="3"/>
        <v>11270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TRUNC(2979,-1)</f>
        <v>2970</v>
      </c>
      <c r="E116" s="63">
        <f t="shared" si="3"/>
        <v>9810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TRUNC(57625,-1)</f>
        <v>57620</v>
      </c>
      <c r="E117" s="63">
        <f t="shared" si="3"/>
        <v>190480</v>
      </c>
    </row>
    <row r="118" spans="1:7" ht="17.25" thickBot="1" x14ac:dyDescent="0.35">
      <c r="A118" s="2">
        <v>21</v>
      </c>
      <c r="C118" s="38" t="s">
        <v>47</v>
      </c>
      <c r="D118" s="43">
        <f>TRUNC(116,-1)</f>
        <v>110</v>
      </c>
      <c r="E118" s="64">
        <f t="shared" si="3"/>
        <v>360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157780</v>
      </c>
      <c r="E119" s="39">
        <f>SUM(E98:E118)</f>
        <v>521520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TRUNC(4772,-1)</f>
        <v>4770</v>
      </c>
      <c r="E122" s="62">
        <f t="shared" ref="E122:E132" si="4">TRUNC(+D122*3.3058,-1)</f>
        <v>15760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TRUNC(191,-1)</f>
        <v>190</v>
      </c>
      <c r="E124" s="63">
        <f t="shared" si="4"/>
        <v>620</v>
      </c>
    </row>
    <row r="125" spans="1:7" x14ac:dyDescent="0.3">
      <c r="A125" s="2">
        <v>4</v>
      </c>
      <c r="C125" s="38" t="s">
        <v>138</v>
      </c>
      <c r="D125" s="42">
        <f>TRUNC(6901,-1)</f>
        <v>6900</v>
      </c>
      <c r="E125" s="63">
        <f t="shared" si="4"/>
        <v>22810</v>
      </c>
    </row>
    <row r="126" spans="1:7" x14ac:dyDescent="0.3">
      <c r="A126" s="2">
        <v>5</v>
      </c>
      <c r="C126" s="38" t="s">
        <v>53</v>
      </c>
      <c r="D126" s="42">
        <f>TRUNC(2607,-1)</f>
        <v>2600</v>
      </c>
      <c r="E126" s="63">
        <f t="shared" si="4"/>
        <v>8590</v>
      </c>
    </row>
    <row r="127" spans="1:7" x14ac:dyDescent="0.3">
      <c r="A127" s="2">
        <v>6</v>
      </c>
      <c r="C127" s="38" t="s">
        <v>56</v>
      </c>
      <c r="D127" s="42">
        <f>TRUNC(124,-1)</f>
        <v>120</v>
      </c>
      <c r="E127" s="63">
        <f t="shared" si="4"/>
        <v>390</v>
      </c>
    </row>
    <row r="128" spans="1:7" x14ac:dyDescent="0.3">
      <c r="A128" s="2">
        <v>7</v>
      </c>
      <c r="C128" s="38" t="s">
        <v>46</v>
      </c>
      <c r="D128" s="42">
        <f>TRUNC(4334,-1)</f>
        <v>4330</v>
      </c>
      <c r="E128" s="63">
        <f t="shared" si="4"/>
        <v>14310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TRUNC(53144,-1)</f>
        <v>53140</v>
      </c>
      <c r="E130" s="63">
        <f t="shared" si="4"/>
        <v>175670</v>
      </c>
    </row>
    <row r="131" spans="1:7" x14ac:dyDescent="0.3">
      <c r="A131" s="2">
        <v>10</v>
      </c>
      <c r="C131" s="38" t="s">
        <v>148</v>
      </c>
      <c r="D131" s="42">
        <f>TRUNC(28079,-1)</f>
        <v>28070</v>
      </c>
      <c r="E131" s="63">
        <f t="shared" si="4"/>
        <v>92790</v>
      </c>
    </row>
    <row r="132" spans="1:7" ht="18" thickBot="1" x14ac:dyDescent="0.35">
      <c r="A132" s="2">
        <v>11</v>
      </c>
      <c r="C132" s="38" t="s">
        <v>47</v>
      </c>
      <c r="D132" s="43">
        <f>TRUNC(2625+6370,-1)</f>
        <v>8990</v>
      </c>
      <c r="E132" s="64">
        <f t="shared" si="4"/>
        <v>29710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109110</v>
      </c>
      <c r="E133" s="39">
        <f>SUM(E122:E132)</f>
        <v>360650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TRUNC(187+2064+75,-1)</f>
        <v>2320</v>
      </c>
      <c r="E137" s="63">
        <f t="shared" si="5"/>
        <v>7660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TRUNC(1531,-1)</f>
        <v>1530</v>
      </c>
      <c r="E139" s="63">
        <f t="shared" si="5"/>
        <v>5050</v>
      </c>
    </row>
    <row r="140" spans="1:7" x14ac:dyDescent="0.3">
      <c r="A140" s="2">
        <v>5</v>
      </c>
      <c r="C140" s="38" t="s">
        <v>57</v>
      </c>
      <c r="D140" s="42">
        <f>TRUNC(2033,-1)</f>
        <v>2030</v>
      </c>
      <c r="E140" s="63">
        <f t="shared" si="5"/>
        <v>6710</v>
      </c>
    </row>
    <row r="141" spans="1:7" x14ac:dyDescent="0.3">
      <c r="A141" s="2">
        <v>6</v>
      </c>
      <c r="C141" s="38" t="s">
        <v>59</v>
      </c>
      <c r="D141" s="42">
        <f>TRUNC(17854,-1)</f>
        <v>17850</v>
      </c>
      <c r="E141" s="63">
        <f t="shared" si="5"/>
        <v>59000</v>
      </c>
    </row>
    <row r="142" spans="1:7" x14ac:dyDescent="0.3">
      <c r="A142" s="2">
        <v>7</v>
      </c>
      <c r="C142" s="38" t="s">
        <v>58</v>
      </c>
      <c r="D142" s="42">
        <f>TRUNC(4935,-1)</f>
        <v>4930</v>
      </c>
      <c r="E142" s="63">
        <f t="shared" si="5"/>
        <v>16290</v>
      </c>
    </row>
    <row r="143" spans="1:7" x14ac:dyDescent="0.3">
      <c r="A143" s="2">
        <v>8</v>
      </c>
      <c r="C143" s="38" t="s">
        <v>62</v>
      </c>
      <c r="D143" s="42">
        <f>TRUNC(7365,-1)</f>
        <v>7360</v>
      </c>
      <c r="E143" s="63">
        <f t="shared" si="5"/>
        <v>24330</v>
      </c>
    </row>
    <row r="144" spans="1:7" x14ac:dyDescent="0.3">
      <c r="A144" s="2">
        <v>9</v>
      </c>
      <c r="C144" s="38" t="s">
        <v>63</v>
      </c>
      <c r="D144" s="42">
        <f>TRUNC(13071,-1)</f>
        <v>13070</v>
      </c>
      <c r="E144" s="63">
        <f t="shared" si="5"/>
        <v>43200</v>
      </c>
    </row>
    <row r="145" spans="1:7" ht="17.25" thickBot="1" x14ac:dyDescent="0.35">
      <c r="A145" s="2">
        <v>10</v>
      </c>
      <c r="C145" s="38" t="s">
        <v>148</v>
      </c>
      <c r="D145" s="43">
        <f>TRUNC(3002,-1)</f>
        <v>3000</v>
      </c>
      <c r="E145" s="64">
        <f t="shared" si="5"/>
        <v>9910</v>
      </c>
    </row>
    <row r="146" spans="1:7" x14ac:dyDescent="0.3">
      <c r="A146" s="2">
        <v>11</v>
      </c>
      <c r="C146" s="27" t="s">
        <v>112</v>
      </c>
      <c r="D146" s="39">
        <f>SUM(D136:D145)</f>
        <v>52090</v>
      </c>
      <c r="E146" s="39">
        <f>SUM(E136:E145)</f>
        <v>172150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TRUNC(7793+1274,-1)</f>
        <v>9060</v>
      </c>
      <c r="E149" s="62">
        <f>TRUNC(+D149*3.3058,-1)</f>
        <v>29950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TRUNC(4141,-1)</f>
        <v>4140</v>
      </c>
      <c r="E150" s="63">
        <f>TRUNC(+D150*3.3058,-1)</f>
        <v>13680</v>
      </c>
    </row>
    <row r="151" spans="1:7" x14ac:dyDescent="0.3">
      <c r="A151" s="2">
        <v>3</v>
      </c>
      <c r="C151" s="38" t="s">
        <v>50</v>
      </c>
      <c r="D151" s="42">
        <f>TRUNC(4502,-1)</f>
        <v>4500</v>
      </c>
      <c r="E151" s="63">
        <f>TRUNC(+D151*3.3058,-1)</f>
        <v>14870</v>
      </c>
    </row>
    <row r="152" spans="1:7" x14ac:dyDescent="0.3">
      <c r="A152" s="2">
        <v>4</v>
      </c>
      <c r="C152" s="38" t="s">
        <v>47</v>
      </c>
      <c r="D152" s="42">
        <f>TRUNC(271+3607+209,-1)</f>
        <v>4080</v>
      </c>
      <c r="E152" s="63">
        <f>TRUNC(+D152*3.3058,-1)</f>
        <v>13480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21780</v>
      </c>
      <c r="E154" s="39">
        <f>SUM(E149:E153)</f>
        <v>71980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TRUNC(19236,-1)</f>
        <v>19230</v>
      </c>
      <c r="E157" s="62">
        <f>TRUNC(+D157*3.3058,-1)</f>
        <v>63570</v>
      </c>
    </row>
    <row r="158" spans="1:7" x14ac:dyDescent="0.3">
      <c r="A158" s="2">
        <v>2</v>
      </c>
      <c r="C158" s="38" t="s">
        <v>52</v>
      </c>
      <c r="D158" s="42">
        <f>TRUNC(2199,-1)</f>
        <v>2190</v>
      </c>
      <c r="E158" s="63">
        <f>TRUNC(+D158*3.3058,-1)</f>
        <v>7230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TRUNC(6107,-1)</f>
        <v>6100</v>
      </c>
      <c r="E159" s="63">
        <f>TRUNC(+D159*3.3058,-1)</f>
        <v>20160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27520</v>
      </c>
      <c r="E161" s="39">
        <f>SUM(E157:E160)</f>
        <v>90960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2020-12-08T02:21:39Z</dcterms:modified>
</cp:coreProperties>
</file>