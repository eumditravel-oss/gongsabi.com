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2" i="4" l="1"/>
  <c r="D125" i="4"/>
  <c r="D122" i="4"/>
  <c r="D123" i="4"/>
  <c r="D99" i="4"/>
  <c r="D102" i="4"/>
  <c r="D100" i="4"/>
  <c r="D98" i="4"/>
  <c r="D104" i="4"/>
  <c r="D94" i="4"/>
  <c r="D81" i="4"/>
  <c r="D72" i="4"/>
  <c r="D92" i="4"/>
  <c r="D79" i="4"/>
  <c r="D70" i="4"/>
  <c r="D69" i="4"/>
  <c r="D58" i="4"/>
  <c r="D50" i="4"/>
  <c r="D55" i="4"/>
  <c r="D43" i="4"/>
  <c r="D51" i="4"/>
  <c r="D53" i="4"/>
  <c r="D46" i="4"/>
  <c r="D44" i="4"/>
  <c r="D49" i="4"/>
  <c r="D47" i="4"/>
  <c r="D52" i="4"/>
  <c r="D48" i="4"/>
  <c r="D40" i="4"/>
  <c r="D56" i="4"/>
  <c r="D137" i="4"/>
  <c r="D136" i="4"/>
  <c r="D152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46" i="4" s="1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33" i="4"/>
  <c r="E119" i="4"/>
  <c r="E95" i="4"/>
  <c r="E60" i="4"/>
  <c r="D161" i="4"/>
  <c r="D154" i="4"/>
  <c r="D31" i="4" s="1"/>
  <c r="D146" i="4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0" i="4"/>
  <c r="E30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31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<sst xmlns="http://schemas.openxmlformats.org/spreadsheetml/2006/main" count="388" uniqueCount="263">
  <si>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</si>
  <si>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</si>
  <si>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</si>
  <si>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</si>
  <si>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</si>
  <si>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</si>
  <si>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</si>
  <si>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</si>
  <si>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</si>
  <si>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</si>
  <si>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</si>
  <si>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</si>
  <si>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</si>
  <si>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</si>
  <si>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</si>
  <si>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</si>
  <si>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</si>
  <si>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</si>
  <si>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</si>
  <si>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</si>
  <si>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</si>
  <si>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</si>
  <si>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</si>
  <si>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</si>
  <si>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</si>
  <si>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</si>
  <si>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</si>
  <si>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</si>
  <si>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</si>
  <si>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</si>
  <si>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</si>
  <si>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</si>
  <si>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</si>
  <si>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</si>
  <si>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</si>
  <si>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</si>
  <si>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</si>
  <si>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</si>
  <si>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</si>
  <si>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</si>
  <si>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</si>
  <si>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</si>
  <si>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</si>
  <si>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</si>
  <si>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</si>
  <si>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</si>
  <si>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</si>
  <si>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</si>
  <si>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</si>
  <si>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</si>
  <si>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</si>
  <si>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</si>
  <si>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</si>
  <si>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</si>
  <si>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</si>
  <si>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</si>
  <si>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</si>
  <si>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</si>
  <si>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</si>
  <si>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</si>
  <si>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</si>
  <si>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</si>
  <si>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</si>
  <si>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</si>
  <si>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</si>
  <si>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</si>
  <si>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</si>
  <si>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</si>
  <si>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</si>
  <si>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</si>
  <si>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</si>
  <si>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</si>
  <si>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</si>
  <si>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</si>
  <si>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</si>
  <si>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</si>
  <si>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</si>
  <si>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</si>
  <si>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</si>
  <si>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</si>
  <si>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</si>
  <si>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</si>
  <si>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</si>
  <si>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</si>
  <si>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</si>
  <si>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</si>
  <si>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</si>
  <si>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</si>
  <si>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</si>
  <si>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</si>
  <si>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</si>
  <si>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</si>
  <si>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</si>
  <si>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</si>
  <si>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</si>
  <si>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</si>
  <si>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</si>
  <si>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</si>
  <si>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</si>
  <si>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</si>
  <si>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</si>
  <si>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</si>
  <si>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</si>
  <si>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</si>
  <si>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</si>
  <si>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</si>
  <si>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</si>
  <si>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</si>
  <si>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</si>
  <si>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</si>
  <si>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</si>
  <si>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</si>
  <si>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</si>
  <si>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</si>
  <si>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</si>
  <si>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</si>
  <si>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</si>
  <si>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</si>
  <si>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</si>
  <si>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</si>
  <si>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</si>
  <si>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</si>
  <si>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</si>
  <si>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</si>
  <si>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</si>
  <si>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</si>
  <si>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</si>
  <si>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</si>
  <si>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</si>
  <si>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</si>
  <si>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</si>
  <si>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</si>
  <si>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</si>
  <si>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</si>
  <si>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</si>
  <si>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</si>
  <si>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</si>
  <si>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</si>
  <si>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</si>
  <si>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</si>
  <si>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</si>
  <si>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</si>
  <si>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</si>
  <si>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</si>
  <si>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</si>
  <si>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</si>
  <si>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</si>
  <si>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</si>
  <si>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</si>
  <si>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</si>
  <si>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</si>
  <si>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</si>
  <si>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</si>
  <si>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</si>
  <si>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</si>
  <si>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</si>
  <si>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</si>
  <si>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</si>
  <si>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</si>
  <si>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</si>
  <si>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</si>
  <si>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</si>
  <si>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</si>
  <si>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</si>
  <si>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</si>
  <si>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</si>
  <si>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</si>
  <si>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</si>
  <si>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</si>
  <si>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</si>
  <si>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</si>
  <si>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</si>
  <si>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</si>
  <si>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</si>
  <si>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</si>
  <si>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</si>
  <si>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</si>
  <si>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</si>
  <si>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</si>
  <si>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</si>
  <si>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</si>
  <si>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</si>
  <si>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</si>
  <si>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</si>
  <si>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</si>
  <si>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</si>
  <si>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</si>
  <si>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</si>
  <si>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</si>
  <si>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</si>
  <si>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</si>
  <si>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</si>
  <si>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</si>
  <si>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</si>
  <si>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</si>
  <si>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</si>
  <si>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</si>
  <si>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</si>
  <si>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</si>
  <si>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</si>
  <si>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</si>
  <si>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</si>
  <si>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</si>
  <si>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</si>
  <si>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</si>
  <si>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</si>
  <si>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</si>
  <si>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</si>
  <si>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</si>
  <si>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</si>
  <si>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</si>
  <si>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</si>
  <si>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</si>
  <si>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</si>
  <si>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</si>
  <si>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</si>
  <si>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</si>
  <si>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</si>
  <si>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</si>
  <si>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</si>
  <si>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</si>
  <si>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</si>
  <si>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</si>
  <si>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</si>
  <si>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</si>
  <si>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</si>
  <si>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</si>
  <si>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</si>
  <si>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</si>
  <si>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</si>
  <si>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</si>
  <si>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</si>
  <si>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</si>
  <si>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</si>
  <si>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</si>
  <si>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</si>
  <si>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</si>
  <si>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</si>
  <si>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</si>
  <si>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</si>
  <si>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</si>
  <si>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</si>
  <si>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</si>
  <si>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</si>
  <si>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</si>
  <si>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</si>
  <si>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</si>
  <si>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</si>
  <si>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구립00어린이집 신축공사</t>
    <phoneticPr fontId="2" type="noConversion"/>
  </si>
  <si>
    <t>기타</t>
  </si>
  <si>
    <t>서울</t>
  </si>
  <si>
    <t>부대토목공사(흙막이공사 포함)</t>
    <phoneticPr fontId="2" type="noConversion"/>
  </si>
  <si>
    <t>기계 소화설비공사</t>
    <phoneticPr fontId="2" type="noConversion"/>
  </si>
  <si>
    <t>전기 소방공사</t>
    <phoneticPr fontId="2" type="noConversion"/>
  </si>
  <si>
    <t>골재비,기타공사,놀이시설물,부대공사,운반비,작업부산물,잡철물공사,정화조내부시설,조경공사,철거공사</t>
    <phoneticPr fontId="2" type="noConversion"/>
  </si>
  <si>
    <t>위생설비공사</t>
    <phoneticPr fontId="2" type="noConversion"/>
  </si>
  <si>
    <t>난방배관공사,건식판넬공사</t>
    <phoneticPr fontId="2" type="noConversion"/>
  </si>
  <si>
    <t>CCTV설비공사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</si>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</sst>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260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999</v>
      </c>
      <c r="D7" s="36">
        <f>+C7/3.3058</f>
        <v>302.19614011736945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261</v>
      </c>
    </row>
    <row r="19" spans="1:5" x14ac:dyDescent="0.3">
      <c r="A19" s="2">
        <v>9</v>
      </c>
      <c r="B19" s="2" t="s">
        <v>262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1012990</v>
      </c>
      <c r="E25" s="59">
        <f t="shared" si="0"/>
        <v>3348740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174630</v>
      </c>
      <c r="E27" s="59">
        <f t="shared" si="0"/>
        <v>577290</v>
      </c>
    </row>
    <row r="28" spans="1:5" x14ac:dyDescent="0.3">
      <c r="B28" s="2">
        <v>5</v>
      </c>
      <c r="C28" s="35" t="s">
        <v>97</v>
      </c>
      <c r="D28" s="45">
        <f>+D119</f>
        <v>109190</v>
      </c>
      <c r="E28" s="59">
        <f t="shared" si="0"/>
        <v>360960</v>
      </c>
    </row>
    <row r="29" spans="1:5" x14ac:dyDescent="0.3">
      <c r="B29" s="2">
        <v>6</v>
      </c>
      <c r="C29" s="35" t="s">
        <v>98</v>
      </c>
      <c r="D29" s="45">
        <f>+D133</f>
        <v>33500</v>
      </c>
      <c r="E29" s="59">
        <f t="shared" si="0"/>
        <v>110740</v>
      </c>
    </row>
    <row r="30" spans="1:5" x14ac:dyDescent="0.3">
      <c r="B30" s="2">
        <v>7</v>
      </c>
      <c r="C30" s="35" t="s">
        <v>99</v>
      </c>
      <c r="D30" s="45">
        <f>+D146</f>
        <v>100710</v>
      </c>
      <c r="E30" s="59">
        <f t="shared" si="0"/>
        <v>332920</v>
      </c>
    </row>
    <row r="31" spans="1:5" x14ac:dyDescent="0.3">
      <c r="B31" s="2">
        <v>8</v>
      </c>
      <c r="C31" s="35" t="s">
        <v>100</v>
      </c>
      <c r="D31" s="45">
        <f>+D154</f>
        <v>170230</v>
      </c>
      <c r="E31" s="59">
        <f t="shared" si="0"/>
        <v>562740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440340</v>
      </c>
      <c r="E33" s="60">
        <f t="shared" si="0"/>
        <v>1455670</v>
      </c>
    </row>
    <row r="34" spans="1:7" x14ac:dyDescent="0.3">
      <c r="C34" s="35" t="s">
        <v>112</v>
      </c>
      <c r="D34" s="44">
        <f>SUM(D24:D33)</f>
        <v>2041590</v>
      </c>
      <c r="E34" s="44">
        <f>SUM(E24:E33)</f>
        <v>6749060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258</v>
      </c>
      <c r="E39" s="67" t="s">
        <v>259</v>
      </c>
      <c r="G39" s="68"/>
    </row>
    <row r="40" spans="1:7" x14ac:dyDescent="0.3">
      <c r="A40" s="2">
        <v>1</v>
      </c>
      <c r="C40" s="38" t="s">
        <v>15</v>
      </c>
      <c r="D40" s="40">
        <f>TRUNC(62964,-1)</f>
        <v>62960</v>
      </c>
      <c r="E40" s="62">
        <f t="shared" ref="E40:E59" si="1">TRUNC(+D40*3.3058,-1)</f>
        <v>208130</v>
      </c>
    </row>
    <row r="41" spans="1:7" x14ac:dyDescent="0.3">
      <c r="A41" s="2">
        <v>2</v>
      </c>
      <c r="C41" s="38" t="s">
        <v>13</v>
      </c>
      <c r="D41" s="42">
        <v>0</v>
      </c>
      <c r="E41" s="63">
        <f t="shared" si="1"/>
        <v>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TRUNC(190058,-1)</f>
        <v>190050</v>
      </c>
      <c r="E43" s="63">
        <f t="shared" si="1"/>
        <v>628260</v>
      </c>
    </row>
    <row r="44" spans="1:7" x14ac:dyDescent="0.3">
      <c r="A44" s="2">
        <v>5</v>
      </c>
      <c r="C44" s="38" t="s">
        <v>17</v>
      </c>
      <c r="D44" s="42">
        <f>TRUNC(58212,-1)</f>
        <v>58210</v>
      </c>
      <c r="E44" s="63">
        <f t="shared" si="1"/>
        <v>192430</v>
      </c>
    </row>
    <row r="45" spans="1:7" x14ac:dyDescent="0.3">
      <c r="A45" s="2">
        <v>6</v>
      </c>
      <c r="C45" s="38" t="s">
        <v>18</v>
      </c>
      <c r="D45" s="42">
        <v>0</v>
      </c>
      <c r="E45" s="63">
        <f t="shared" si="1"/>
        <v>0</v>
      </c>
    </row>
    <row r="46" spans="1:7" x14ac:dyDescent="0.3">
      <c r="A46" s="2">
        <v>7</v>
      </c>
      <c r="C46" s="38" t="s">
        <v>19</v>
      </c>
      <c r="D46" s="42">
        <f>TRUNC(8932,-1)</f>
        <v>8930</v>
      </c>
      <c r="E46" s="63">
        <f t="shared" si="1"/>
        <v>29520</v>
      </c>
    </row>
    <row r="47" spans="1:7" x14ac:dyDescent="0.3">
      <c r="A47" s="2">
        <v>8</v>
      </c>
      <c r="C47" s="38" t="s">
        <v>20</v>
      </c>
      <c r="D47" s="42">
        <f>TRUNC(107859,-1)</f>
        <v>107850</v>
      </c>
      <c r="E47" s="63">
        <f t="shared" si="1"/>
        <v>356530</v>
      </c>
    </row>
    <row r="48" spans="1:7" x14ac:dyDescent="0.3">
      <c r="A48" s="2">
        <v>9</v>
      </c>
      <c r="C48" s="38" t="s">
        <v>21</v>
      </c>
      <c r="D48" s="42">
        <f>TRUNC(71673,-1)</f>
        <v>71670</v>
      </c>
      <c r="E48" s="63">
        <f t="shared" si="1"/>
        <v>236920</v>
      </c>
    </row>
    <row r="49" spans="1:7" x14ac:dyDescent="0.3">
      <c r="A49" s="2">
        <v>10</v>
      </c>
      <c r="C49" s="38" t="s">
        <v>22</v>
      </c>
      <c r="D49" s="42">
        <f>TRUNC(108273,-1)</f>
        <v>108270</v>
      </c>
      <c r="E49" s="63">
        <f t="shared" si="1"/>
        <v>357910</v>
      </c>
    </row>
    <row r="50" spans="1:7" x14ac:dyDescent="0.3">
      <c r="A50" s="2">
        <v>11</v>
      </c>
      <c r="C50" s="38" t="s">
        <v>155</v>
      </c>
      <c r="D50" s="42">
        <f>TRUNC(46100,-1)</f>
        <v>46100</v>
      </c>
      <c r="E50" s="63">
        <f t="shared" si="1"/>
        <v>152390</v>
      </c>
    </row>
    <row r="51" spans="1:7" x14ac:dyDescent="0.3">
      <c r="A51" s="2">
        <v>12</v>
      </c>
      <c r="C51" s="38" t="s">
        <v>23</v>
      </c>
      <c r="D51" s="42">
        <f>TRUNC(21440,-1)</f>
        <v>21440</v>
      </c>
      <c r="E51" s="63">
        <f t="shared" si="1"/>
        <v>70870</v>
      </c>
    </row>
    <row r="52" spans="1:7" x14ac:dyDescent="0.3">
      <c r="A52" s="2">
        <v>13</v>
      </c>
      <c r="C52" s="38" t="s">
        <v>24</v>
      </c>
      <c r="D52" s="42">
        <f>TRUNC(37851,-1)</f>
        <v>37850</v>
      </c>
      <c r="E52" s="63">
        <f t="shared" si="1"/>
        <v>125120</v>
      </c>
    </row>
    <row r="53" spans="1:7" x14ac:dyDescent="0.3">
      <c r="A53" s="2">
        <v>14</v>
      </c>
      <c r="C53" s="38" t="s">
        <v>25</v>
      </c>
      <c r="D53" s="42">
        <f>TRUNC(162392,-1)</f>
        <v>162390</v>
      </c>
      <c r="E53" s="63">
        <f t="shared" si="1"/>
        <v>536820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TRUNC(4707,-1)</f>
        <v>4700</v>
      </c>
      <c r="E55" s="63">
        <f t="shared" si="1"/>
        <v>15530</v>
      </c>
    </row>
    <row r="56" spans="1:7" x14ac:dyDescent="0.3">
      <c r="A56" s="2">
        <v>17</v>
      </c>
      <c r="C56" s="38" t="s">
        <v>145</v>
      </c>
      <c r="D56" s="42">
        <f>TRUNC(5023,-1)</f>
        <v>5020</v>
      </c>
      <c r="E56" s="63">
        <f t="shared" si="1"/>
        <v>16590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TRUNC(4195+25838+31120+10113+3544-1413+2020+2602+19231+30302,-1)</f>
        <v>127550</v>
      </c>
      <c r="E58" s="63">
        <f t="shared" si="1"/>
        <v>421650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1012990</v>
      </c>
      <c r="E60" s="39">
        <f>SUM(E40:E59)</f>
        <v>3348670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TRUNC(10865,-1)</f>
        <v>10860</v>
      </c>
      <c r="E69" s="62">
        <f t="shared" ref="E69:E94" si="2">TRUNC(+D69*3.3058,-1)</f>
        <v>35900</v>
      </c>
    </row>
    <row r="70" spans="1:7" ht="16.5" customHeight="1" x14ac:dyDescent="0.3">
      <c r="A70" s="2">
        <v>2</v>
      </c>
      <c r="C70" s="38" t="s">
        <v>31</v>
      </c>
      <c r="D70" s="42">
        <f>TRUNC(1008,-1)</f>
        <v>1000</v>
      </c>
      <c r="E70" s="63">
        <f t="shared" si="2"/>
        <v>3300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TRUNC(9982,-1)</f>
        <v>9980</v>
      </c>
      <c r="E72" s="63">
        <f t="shared" si="2"/>
        <v>32990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f>TRUNC(13437,-1)</f>
        <v>13430</v>
      </c>
      <c r="E79" s="63">
        <f t="shared" si="2"/>
        <v>44390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f>TRUNC(6093,-1)</f>
        <v>6090</v>
      </c>
      <c r="E81" s="63">
        <f t="shared" si="2"/>
        <v>20130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TRUNC(53116,-1)</f>
        <v>53110</v>
      </c>
      <c r="E92" s="63">
        <f t="shared" si="2"/>
        <v>175570</v>
      </c>
      <c r="F92" s="2" t="s">
        <v>255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TRUNC(15643+64518,-1)</f>
        <v>80160</v>
      </c>
      <c r="E94" s="64">
        <f t="shared" si="2"/>
        <v>264990</v>
      </c>
      <c r="F94" s="2" t="s">
        <v>256</v>
      </c>
    </row>
    <row r="95" spans="1:7" x14ac:dyDescent="0.3">
      <c r="A95" s="2">
        <v>27</v>
      </c>
      <c r="C95" s="27" t="s">
        <v>112</v>
      </c>
      <c r="D95" s="39">
        <f>SUM(D69:D94)</f>
        <v>174630</v>
      </c>
      <c r="E95" s="39">
        <f>SUM(E69:E94)</f>
        <v>577270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TRUNC(29593,-1)</f>
        <v>29590</v>
      </c>
      <c r="E98" s="62">
        <f t="shared" ref="E98:E118" si="3">TRUNC(+D98*3.3058,-1)</f>
        <v>97810</v>
      </c>
    </row>
    <row r="99" spans="1:7" x14ac:dyDescent="0.3">
      <c r="A99" s="2">
        <v>2</v>
      </c>
      <c r="C99" s="38" t="s">
        <v>40</v>
      </c>
      <c r="D99" s="42">
        <f>TRUNC(4086+5697,-1)</f>
        <v>9780</v>
      </c>
      <c r="E99" s="63">
        <f t="shared" si="3"/>
        <v>32330</v>
      </c>
    </row>
    <row r="100" spans="1:7" x14ac:dyDescent="0.3">
      <c r="A100" s="2">
        <v>3</v>
      </c>
      <c r="C100" s="38" t="s">
        <v>41</v>
      </c>
      <c r="D100" s="42">
        <f>TRUNC(19552+30286,-1)</f>
        <v>49830</v>
      </c>
      <c r="E100" s="63">
        <f t="shared" si="3"/>
        <v>164720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TRUNC(9879+8709,-1)</f>
        <v>18580</v>
      </c>
      <c r="E102" s="63">
        <f t="shared" si="3"/>
        <v>61420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TRUNC(1413,-1)</f>
        <v>1410</v>
      </c>
      <c r="E104" s="63">
        <f t="shared" si="3"/>
        <v>4660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109190</v>
      </c>
      <c r="E119" s="39">
        <f>SUM(E98:E118)</f>
        <v>360940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TRUNC(5230,-1)</f>
        <v>5230</v>
      </c>
      <c r="E122" s="62">
        <f t="shared" ref="E122:E132" si="4">TRUNC(+D122*3.3058,-1)</f>
        <v>17280</v>
      </c>
    </row>
    <row r="123" spans="1:7" x14ac:dyDescent="0.3">
      <c r="A123" s="2">
        <v>2</v>
      </c>
      <c r="C123" s="38" t="s">
        <v>124</v>
      </c>
      <c r="D123" s="42">
        <f>TRUNC(5230,-1)</f>
        <v>5230</v>
      </c>
      <c r="E123" s="63">
        <f t="shared" si="4"/>
        <v>17280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TRUNC(8252,-1)</f>
        <v>8250</v>
      </c>
      <c r="E125" s="63">
        <f t="shared" si="4"/>
        <v>27270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TRUNC(14799,-1)</f>
        <v>14790</v>
      </c>
      <c r="E132" s="64">
        <f t="shared" si="4"/>
        <v>48890</v>
      </c>
      <c r="F132" s="54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33500</v>
      </c>
      <c r="E133" s="39">
        <f>SUM(E122:E132)</f>
        <v>110720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f>TRUNC(75616,-1)</f>
        <v>75610</v>
      </c>
      <c r="E136" s="62">
        <f t="shared" ref="E136:E145" si="5">TRUNC(+D136*3.3058,-1)</f>
        <v>249950</v>
      </c>
      <c r="F136" s="2" t="s">
        <v>252</v>
      </c>
    </row>
    <row r="137" spans="1:7" x14ac:dyDescent="0.3">
      <c r="A137" s="2">
        <v>2</v>
      </c>
      <c r="C137" s="38" t="s">
        <v>47</v>
      </c>
      <c r="D137" s="42">
        <f>TRUNC(25105,-1)</f>
        <v>25100</v>
      </c>
      <c r="E137" s="63">
        <f t="shared" si="5"/>
        <v>82970</v>
      </c>
      <c r="F137" s="2" t="s">
        <v>253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100710</v>
      </c>
      <c r="E146" s="39">
        <f>SUM(E136:E145)</f>
        <v>332920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TRUNC(170237,-1)</f>
        <v>170230</v>
      </c>
      <c r="E152" s="63">
        <f>TRUNC(+D152*3.3058,-1)</f>
        <v>562740</v>
      </c>
      <c r="F152" s="2" t="s">
        <v>251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170230</v>
      </c>
      <c r="E154" s="39">
        <f>SUM(E149:E153)</f>
        <v>562740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2020-12-07T09:43:52Z</dcterms:modified>
</cp:coreProperties>
</file>