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2" i="4" l="1"/>
  <c r="D151" i="4"/>
  <c r="D150" i="4"/>
  <c r="D149" i="4"/>
  <c r="D144" i="4"/>
  <c r="D143" i="4"/>
  <c r="D139" i="4"/>
  <c r="D138" i="4"/>
  <c r="D137" i="4"/>
  <c r="D142" i="4"/>
  <c r="D140" i="4"/>
  <c r="D132" i="4"/>
  <c r="D130" i="4"/>
  <c r="D126" i="4"/>
  <c r="D118" i="4"/>
  <c r="D103" i="4"/>
  <c r="D102" i="4"/>
  <c r="D101" i="4"/>
  <c r="D114" i="4"/>
  <c r="D98" i="4"/>
  <c r="D116" i="4"/>
  <c r="D92" i="4"/>
  <c r="D91" i="4"/>
  <c r="D90" i="4"/>
  <c r="D73" i="4"/>
  <c r="D72" i="4"/>
  <c r="D71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3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19" i="4"/>
  <c r="E95" i="4"/>
  <c r="E60" i="4"/>
  <c r="E133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<sst xmlns="http://schemas.openxmlformats.org/spreadsheetml/2006/main" count="392" uniqueCount="267">
  <si>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</si>
  <si>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</si>
  <si>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</si>
  <si>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</si>
  <si>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</si>
  <si>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</si>
  <si>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</si>
  <si>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</si>
  <si>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</si>
  <si>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</si>
  <si>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</si>
  <si>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</si>
  <si>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</si>
  <si>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</si>
  <si>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</si>
  <si>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</si>
  <si>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</si>
  <si>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</si>
  <si>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</si>
  <si>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</si>
  <si>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</si>
  <si>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</si>
  <si>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</si>
  <si>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</si>
  <si>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</si>
  <si>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</si>
  <si>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</si>
  <si>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</si>
  <si>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</si>
  <si>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</si>
  <si>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</si>
  <si>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</si>
  <si>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</si>
  <si>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</si>
  <si>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</si>
  <si>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</si>
  <si>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</si>
  <si>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</si>
  <si>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</si>
  <si>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</si>
  <si>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</si>
  <si>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</si>
  <si>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</si>
  <si>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</si>
  <si>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</si>
  <si>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</si>
  <si>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</si>
  <si>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</si>
  <si>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</si>
  <si>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</si>
  <si>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</si>
  <si>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</si>
  <si>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</si>
  <si>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</si>
  <si>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</si>
  <si>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</si>
  <si>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</si>
  <si>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</si>
  <si>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</si>
  <si>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</si>
  <si>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</si>
  <si>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</si>
  <si>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</si>
  <si>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</si>
  <si>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</si>
  <si>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</si>
  <si>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</si>
  <si>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</si>
  <si>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</si>
  <si>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</si>
  <si>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</si>
  <si>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</si>
  <si>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</si>
  <si>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</si>
  <si>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</si>
  <si>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</si>
  <si>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</si>
  <si>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</si>
  <si>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</si>
  <si>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</si>
  <si>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</si>
  <si>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</si>
  <si>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</si>
  <si>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</si>
  <si>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</si>
  <si>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</si>
  <si>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</si>
  <si>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</si>
  <si>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</si>
  <si>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</si>
  <si>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</si>
  <si>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</si>
  <si>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</si>
  <si>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</si>
  <si>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</si>
  <si>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</si>
  <si>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</si>
  <si>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</si>
  <si>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</si>
  <si>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</si>
  <si>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</si>
  <si>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</si>
  <si>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</si>
  <si>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</si>
  <si>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</si>
  <si>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</si>
  <si>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</si>
  <si>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</si>
  <si>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</si>
  <si>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</si>
  <si>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</si>
  <si>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</si>
  <si>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</si>
  <si>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</si>
  <si>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</si>
  <si>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</si>
  <si>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</si>
  <si>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</si>
  <si>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</si>
  <si>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</si>
  <si>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</si>
  <si>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</si>
  <si>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</si>
  <si>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</si>
  <si>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</si>
  <si>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</si>
  <si>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</si>
  <si>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</si>
  <si>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</si>
  <si>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</si>
  <si>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</si>
  <si>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</si>
  <si>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</si>
  <si>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</si>
  <si>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</si>
  <si>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</si>
  <si>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</si>
  <si>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</si>
  <si>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</si>
  <si>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</si>
  <si>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</si>
  <si>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</si>
  <si>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</si>
  <si>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</si>
  <si>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</si>
  <si>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</si>
  <si>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</si>
  <si>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</si>
  <si>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</si>
  <si>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</si>
  <si>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</si>
  <si>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</si>
  <si>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</si>
  <si>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</si>
  <si>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</si>
  <si>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</si>
  <si>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</si>
  <si>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</si>
  <si>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</si>
  <si>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</si>
  <si>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</si>
  <si>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</si>
  <si>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</si>
  <si>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</si>
  <si>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</si>
  <si>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</si>
  <si>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</si>
  <si>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</si>
  <si>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</si>
  <si>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</si>
  <si>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</si>
  <si>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</si>
  <si>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</si>
  <si>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</si>
  <si>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</si>
  <si>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</si>
  <si>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</si>
  <si>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</si>
  <si>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</si>
  <si>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</si>
  <si>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</si>
  <si>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</si>
  <si>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</si>
  <si>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</si>
  <si>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</si>
  <si>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</si>
  <si>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</si>
  <si>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</si>
  <si>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</si>
  <si>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</si>
  <si>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</si>
  <si>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</si>
  <si>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</si>
  <si>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</si>
  <si>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</si>
  <si>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</si>
  <si>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</si>
  <si>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</si>
  <si>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</si>
  <si>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</si>
  <si>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</si>
  <si>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</si>
  <si>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</si>
  <si>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</si>
  <si>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</si>
  <si>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</si>
  <si>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</si>
  <si>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</si>
  <si>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</si>
  <si>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</si>
  <si>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</si>
  <si>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</si>
  <si>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</si>
  <si>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</si>
  <si>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</si>
  <si>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</si>
  <si>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</si>
  <si>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</si>
  <si>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</si>
  <si>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</si>
  <si>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</si>
  <si>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</si>
  <si>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</si>
  <si>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</si>
  <si>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</si>
  <si>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</si>
  <si>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</si>
  <si>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</si>
  <si>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</si>
  <si>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</si>
  <si>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</si>
  <si>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</si>
  <si>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</si>
  <si>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</si>
  <si>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</si>
  <si>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</si>
  <si>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</si>
  <si>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</si>
  <si>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</si>
  <si>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</si>
  <si>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</si>
  <si>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</si>
  <si>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</si>
  <si>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</si>
  <si>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</si>
  <si>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</si>
  <si>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</si>
  <si>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</si>
  <si>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울진 스포츠센터 조성사업</t>
    <phoneticPr fontId="2" type="noConversion"/>
  </si>
  <si>
    <t>운동</t>
  </si>
  <si>
    <t>경상도</t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</si>
  <si>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</si>
  <si>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</si>
  <si>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</si>
  <si>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</si>
  <si>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</si>
  <si>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</si>
  <si>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CCTV설비공사,기타공사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</si>
  <si>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</si>
  <si>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</si>
  <si>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</si>
  <si>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공조배관공사,난방배관공사,우수처리시설공사,기타공사,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</si>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</sst>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5103</v>
      </c>
      <c r="D7" s="36">
        <f>+C7/3.3058</f>
        <v>1543.6505535725089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1967730</v>
      </c>
      <c r="E25" s="59">
        <f t="shared" si="0"/>
        <v>6504920</v>
      </c>
    </row>
    <row r="26" spans="1:5" x14ac:dyDescent="0.3">
      <c r="B26" s="2">
        <v>3</v>
      </c>
      <c r="C26" s="35" t="s">
        <v>95</v>
      </c>
      <c r="D26" s="45">
        <f>+D66</f>
        <v>382940</v>
      </c>
      <c r="E26" s="59">
        <f t="shared" si="0"/>
        <v>1265920</v>
      </c>
    </row>
    <row r="27" spans="1:5" x14ac:dyDescent="0.3">
      <c r="B27" s="2">
        <v>4</v>
      </c>
      <c r="C27" s="35" t="s">
        <v>96</v>
      </c>
      <c r="D27" s="45">
        <f>+D95</f>
        <v>189260</v>
      </c>
      <c r="E27" s="59">
        <f t="shared" si="0"/>
        <v>625650</v>
      </c>
    </row>
    <row r="28" spans="1:5" x14ac:dyDescent="0.3">
      <c r="B28" s="2">
        <v>5</v>
      </c>
      <c r="C28" s="35" t="s">
        <v>97</v>
      </c>
      <c r="D28" s="45">
        <f>+D119</f>
        <v>605650</v>
      </c>
      <c r="E28" s="59">
        <f t="shared" si="0"/>
        <v>2002150</v>
      </c>
    </row>
    <row r="29" spans="1:5" x14ac:dyDescent="0.3">
      <c r="B29" s="2">
        <v>6</v>
      </c>
      <c r="C29" s="35" t="s">
        <v>98</v>
      </c>
      <c r="D29" s="45">
        <f>+D133</f>
        <v>84490</v>
      </c>
      <c r="E29" s="59">
        <f t="shared" si="0"/>
        <v>279300</v>
      </c>
    </row>
    <row r="30" spans="1:5" x14ac:dyDescent="0.3">
      <c r="B30" s="2">
        <v>7</v>
      </c>
      <c r="C30" s="35" t="s">
        <v>99</v>
      </c>
      <c r="D30" s="45">
        <f>+D146</f>
        <v>88350</v>
      </c>
      <c r="E30" s="59">
        <f t="shared" si="0"/>
        <v>292060</v>
      </c>
    </row>
    <row r="31" spans="1:5" x14ac:dyDescent="0.3">
      <c r="B31" s="2">
        <v>8</v>
      </c>
      <c r="C31" s="35" t="s">
        <v>100</v>
      </c>
      <c r="D31" s="45">
        <f>+D154</f>
        <v>1188790</v>
      </c>
      <c r="E31" s="59">
        <f t="shared" si="0"/>
        <v>3929900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1239480</v>
      </c>
      <c r="E33" s="60">
        <f t="shared" si="0"/>
        <v>4097470</v>
      </c>
    </row>
    <row r="34" spans="1:7" x14ac:dyDescent="0.3">
      <c r="C34" s="35" t="s">
        <v>112</v>
      </c>
      <c r="D34" s="44">
        <f>SUM(D24:D33)</f>
        <v>5746690</v>
      </c>
      <c r="E34" s="44">
        <f>SUM(E24:E33)</f>
        <v>18997370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TRUNC(63289,-1)</f>
        <v>63280</v>
      </c>
      <c r="E40" s="62">
        <f t="shared" ref="E40:E59" si="1">TRUNC(+D40*3.3058,-1)</f>
        <v>209190</v>
      </c>
    </row>
    <row r="41" spans="1:7" x14ac:dyDescent="0.3">
      <c r="A41" s="2">
        <v>2</v>
      </c>
      <c r="C41" s="38" t="s">
        <v>13</v>
      </c>
      <c r="D41" s="42">
        <f>TRUNC(248615,-1)</f>
        <v>248610</v>
      </c>
      <c r="E41" s="63">
        <f t="shared" si="1"/>
        <v>821850</v>
      </c>
    </row>
    <row r="42" spans="1:7" x14ac:dyDescent="0.3">
      <c r="A42" s="2">
        <v>3</v>
      </c>
      <c r="C42" s="38" t="s">
        <v>14</v>
      </c>
      <c r="D42" s="42">
        <f>TRUNC(118133,-1)</f>
        <v>118130</v>
      </c>
      <c r="E42" s="63">
        <f t="shared" si="1"/>
        <v>390510</v>
      </c>
    </row>
    <row r="43" spans="1:7" x14ac:dyDescent="0.3">
      <c r="A43" s="2">
        <v>4</v>
      </c>
      <c r="C43" s="38" t="s">
        <v>16</v>
      </c>
      <c r="D43" s="42">
        <f>TRUNC(17662,-1)</f>
        <v>17660</v>
      </c>
      <c r="E43" s="63">
        <f t="shared" si="1"/>
        <v>58380</v>
      </c>
    </row>
    <row r="44" spans="1:7" x14ac:dyDescent="0.3">
      <c r="A44" s="2">
        <v>5</v>
      </c>
      <c r="C44" s="38" t="s">
        <v>17</v>
      </c>
      <c r="D44" s="42">
        <f>TRUNC(35935,-1)</f>
        <v>35930</v>
      </c>
      <c r="E44" s="63">
        <f t="shared" si="1"/>
        <v>118770</v>
      </c>
    </row>
    <row r="45" spans="1:7" x14ac:dyDescent="0.3">
      <c r="A45" s="2">
        <v>6</v>
      </c>
      <c r="C45" s="38" t="s">
        <v>18</v>
      </c>
      <c r="D45" s="42">
        <f>TRUNC(82686,-1)</f>
        <v>82680</v>
      </c>
      <c r="E45" s="63">
        <f t="shared" si="1"/>
        <v>273320</v>
      </c>
    </row>
    <row r="46" spans="1:7" x14ac:dyDescent="0.3">
      <c r="A46" s="2">
        <v>7</v>
      </c>
      <c r="C46" s="38" t="s">
        <v>19</v>
      </c>
      <c r="D46" s="42">
        <f>TRUNC(5241,-1)</f>
        <v>5240</v>
      </c>
      <c r="E46" s="63">
        <f t="shared" si="1"/>
        <v>17320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TRUNC(36581,-1)</f>
        <v>36580</v>
      </c>
      <c r="E48" s="63">
        <f t="shared" si="1"/>
        <v>120920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TRUNC(28580,-1)</f>
        <v>28580</v>
      </c>
      <c r="E49" s="63">
        <f t="shared" si="1"/>
        <v>94470</v>
      </c>
    </row>
    <row r="50" spans="1:7" x14ac:dyDescent="0.3">
      <c r="A50" s="2">
        <v>11</v>
      </c>
      <c r="C50" s="38" t="s">
        <v>155</v>
      </c>
      <c r="D50" s="42">
        <f>TRUNC(46237,-1)</f>
        <v>46230</v>
      </c>
      <c r="E50" s="63">
        <f t="shared" si="1"/>
        <v>152820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TRUNC(18529,-1)</f>
        <v>18520</v>
      </c>
      <c r="E52" s="63">
        <f t="shared" si="1"/>
        <v>61220</v>
      </c>
    </row>
    <row r="53" spans="1:7" x14ac:dyDescent="0.3">
      <c r="A53" s="2">
        <v>14</v>
      </c>
      <c r="C53" s="38" t="s">
        <v>25</v>
      </c>
      <c r="D53" s="42">
        <f>TRUNC(131543,-1)</f>
        <v>131540</v>
      </c>
      <c r="E53" s="63">
        <f t="shared" si="1"/>
        <v>434840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TRUNC(34039+6960+221132,-1)</f>
        <v>262130</v>
      </c>
      <c r="E58" s="63">
        <f t="shared" si="1"/>
        <v>866540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TRUNC(872626,-1)</f>
        <v>872620</v>
      </c>
      <c r="E59" s="64">
        <f t="shared" si="1"/>
        <v>2884700</v>
      </c>
    </row>
    <row r="60" spans="1:7" x14ac:dyDescent="0.3">
      <c r="A60" s="2">
        <v>21</v>
      </c>
      <c r="C60" s="27" t="s">
        <v>112</v>
      </c>
      <c r="D60" s="39">
        <f>SUM(D40:D59)</f>
        <v>1967730</v>
      </c>
      <c r="E60" s="39">
        <f>SUM(E40:E59)</f>
        <v>6504850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TRUNC(382941,-1)</f>
        <v>382940</v>
      </c>
      <c r="E63" s="62">
        <f>TRUNC(+D63*3.3058,-1)</f>
        <v>1265920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382940</v>
      </c>
      <c r="E66" s="65">
        <f>SUM(E63:E65)</f>
        <v>1265920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TRUNC(15667,-1)</f>
        <v>15660</v>
      </c>
      <c r="E69" s="62">
        <f t="shared" ref="E69:E94" si="2">TRUNC(+D69*3.3058,-1)</f>
        <v>51760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TRUNC(23173,-1)</f>
        <v>23170</v>
      </c>
      <c r="E71" s="63">
        <f t="shared" si="2"/>
        <v>76590</v>
      </c>
    </row>
    <row r="72" spans="1:7" x14ac:dyDescent="0.3">
      <c r="A72" s="2">
        <v>4</v>
      </c>
      <c r="C72" s="38" t="s">
        <v>33</v>
      </c>
      <c r="D72" s="42">
        <f>TRUNC(10773,-1)</f>
        <v>10770</v>
      </c>
      <c r="E72" s="63">
        <f t="shared" si="2"/>
        <v>35600</v>
      </c>
    </row>
    <row r="73" spans="1:7" x14ac:dyDescent="0.3">
      <c r="A73" s="2">
        <v>5</v>
      </c>
      <c r="C73" s="38" t="s">
        <v>34</v>
      </c>
      <c r="D73" s="42">
        <f>TRUNC(12872,-1)</f>
        <v>12870</v>
      </c>
      <c r="E73" s="63">
        <f t="shared" si="2"/>
        <v>42540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TRUNC(7349,-1)</f>
        <v>7340</v>
      </c>
      <c r="E90" s="63">
        <f t="shared" si="2"/>
        <v>24260</v>
      </c>
    </row>
    <row r="91" spans="1:7" x14ac:dyDescent="0.3">
      <c r="A91" s="2">
        <v>23</v>
      </c>
      <c r="C91" s="38" t="s">
        <v>37</v>
      </c>
      <c r="D91" s="42">
        <f>TRUNC(21313,-1)</f>
        <v>21310</v>
      </c>
      <c r="E91" s="63">
        <f t="shared" si="2"/>
        <v>70440</v>
      </c>
    </row>
    <row r="92" spans="1:7" x14ac:dyDescent="0.3">
      <c r="A92" s="2">
        <v>24</v>
      </c>
      <c r="C92" s="38" t="s">
        <v>38</v>
      </c>
      <c r="D92" s="42">
        <f>TRUNC(13250,-1)</f>
        <v>13250</v>
      </c>
      <c r="E92" s="63">
        <f t="shared" si="2"/>
        <v>43800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TRUNC(625+3927+13296+65666+1381,-1)</f>
        <v>84890</v>
      </c>
      <c r="E94" s="64">
        <f t="shared" si="2"/>
        <v>280620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189260</v>
      </c>
      <c r="E95" s="39">
        <f>SUM(E69:E94)</f>
        <v>625610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TRUNC(17380,-1)</f>
        <v>17380</v>
      </c>
      <c r="E98" s="62">
        <f t="shared" ref="E98:E118" si="3">TRUNC(+D98*3.3058,-1)</f>
        <v>57450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TRUNC(3596,-1)</f>
        <v>3590</v>
      </c>
      <c r="E101" s="63">
        <f t="shared" si="3"/>
        <v>11860</v>
      </c>
    </row>
    <row r="102" spans="1:7" x14ac:dyDescent="0.3">
      <c r="A102" s="2">
        <v>5</v>
      </c>
      <c r="C102" s="38" t="s">
        <v>43</v>
      </c>
      <c r="D102" s="42">
        <f>TRUNC(41390,-1)</f>
        <v>41390</v>
      </c>
      <c r="E102" s="63">
        <f t="shared" si="3"/>
        <v>136820</v>
      </c>
    </row>
    <row r="103" spans="1:7" x14ac:dyDescent="0.3">
      <c r="A103" s="2">
        <v>6</v>
      </c>
      <c r="C103" s="38" t="s">
        <v>44</v>
      </c>
      <c r="D103" s="42">
        <f>TRUNC(10792,-1)</f>
        <v>10790</v>
      </c>
      <c r="E103" s="63">
        <f t="shared" si="3"/>
        <v>35660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TRUNC(37920,-1)</f>
        <v>37920</v>
      </c>
      <c r="E114" s="63">
        <f t="shared" si="3"/>
        <v>125350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TRUNC(20915,-1)</f>
        <v>20910</v>
      </c>
      <c r="E116" s="63">
        <f t="shared" si="3"/>
        <v>69120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TRUNC(470408,-1)</f>
        <v>470400</v>
      </c>
      <c r="E117" s="63">
        <f t="shared" si="3"/>
        <v>1555040</v>
      </c>
    </row>
    <row r="118" spans="1:7" ht="17.25" thickBot="1" x14ac:dyDescent="0.35">
      <c r="A118" s="2">
        <v>21</v>
      </c>
      <c r="C118" s="38" t="s">
        <v>47</v>
      </c>
      <c r="D118" s="43">
        <f>TRUNC(3273,-1)</f>
        <v>3270</v>
      </c>
      <c r="E118" s="64">
        <f t="shared" si="3"/>
        <v>10800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605650</v>
      </c>
      <c r="E119" s="39">
        <f>SUM(E98:E118)</f>
        <v>2002100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TRUNC(11767,-1)</f>
        <v>11760</v>
      </c>
      <c r="E126" s="63">
        <f t="shared" si="4"/>
        <v>38870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TRUNC(11166,-1)</f>
        <v>11160</v>
      </c>
      <c r="E130" s="63">
        <f t="shared" si="4"/>
        <v>36890</v>
      </c>
    </row>
    <row r="131" spans="1:7" x14ac:dyDescent="0.3">
      <c r="A131" s="2">
        <v>10</v>
      </c>
      <c r="C131" s="38" t="s">
        <v>148</v>
      </c>
      <c r="D131" s="42">
        <f>TRUNC(47020,-1)</f>
        <v>47020</v>
      </c>
      <c r="E131" s="63">
        <f t="shared" si="4"/>
        <v>155430</v>
      </c>
    </row>
    <row r="132" spans="1:7" ht="18" thickBot="1" x14ac:dyDescent="0.35">
      <c r="A132" s="2">
        <v>11</v>
      </c>
      <c r="C132" s="38" t="s">
        <v>47</v>
      </c>
      <c r="D132" s="43">
        <f>TRUNC(4293+10260,-1)</f>
        <v>14550</v>
      </c>
      <c r="E132" s="64">
        <f t="shared" si="4"/>
        <v>48090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84490</v>
      </c>
      <c r="E133" s="39">
        <f>SUM(E122:E132)</f>
        <v>279280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TRUNC(3861+5937,-1)</f>
        <v>9790</v>
      </c>
      <c r="E137" s="63">
        <f t="shared" si="5"/>
        <v>32360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TRUNC(325,-1)</f>
        <v>320</v>
      </c>
      <c r="E138" s="63">
        <f t="shared" si="5"/>
        <v>1050</v>
      </c>
    </row>
    <row r="139" spans="1:7" x14ac:dyDescent="0.3">
      <c r="A139" s="2">
        <v>4</v>
      </c>
      <c r="C139" s="38" t="s">
        <v>61</v>
      </c>
      <c r="D139" s="42">
        <f>TRUNC(6611,-1)</f>
        <v>6610</v>
      </c>
      <c r="E139" s="63">
        <f t="shared" si="5"/>
        <v>21850</v>
      </c>
    </row>
    <row r="140" spans="1:7" x14ac:dyDescent="0.3">
      <c r="A140" s="2">
        <v>5</v>
      </c>
      <c r="C140" s="38" t="s">
        <v>57</v>
      </c>
      <c r="D140" s="42">
        <f>TRUNC(4259,-1)</f>
        <v>4250</v>
      </c>
      <c r="E140" s="63">
        <f t="shared" si="5"/>
        <v>14040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TRUNC(40930,-1)</f>
        <v>40930</v>
      </c>
      <c r="E142" s="63">
        <f t="shared" si="5"/>
        <v>135300</v>
      </c>
    </row>
    <row r="143" spans="1:7" x14ac:dyDescent="0.3">
      <c r="A143" s="2">
        <v>8</v>
      </c>
      <c r="C143" s="38" t="s">
        <v>62</v>
      </c>
      <c r="D143" s="42">
        <f>TRUNC(4608,-1)</f>
        <v>4600</v>
      </c>
      <c r="E143" s="63">
        <f t="shared" si="5"/>
        <v>15200</v>
      </c>
    </row>
    <row r="144" spans="1:7" x14ac:dyDescent="0.3">
      <c r="A144" s="2">
        <v>9</v>
      </c>
      <c r="C144" s="38" t="s">
        <v>63</v>
      </c>
      <c r="D144" s="42">
        <f>TRUNC(21855,-1)</f>
        <v>21850</v>
      </c>
      <c r="E144" s="63">
        <f t="shared" si="5"/>
        <v>72230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88350</v>
      </c>
      <c r="E146" s="39">
        <f>SUM(E136:E145)</f>
        <v>292030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TRUNC(92130+6612,-1)</f>
        <v>98740</v>
      </c>
      <c r="E149" s="62">
        <f>TRUNC(+D149*3.3058,-1)</f>
        <v>326410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TRUNC(77908,-1)</f>
        <v>77900</v>
      </c>
      <c r="E150" s="63">
        <f>TRUNC(+D150*3.3058,-1)</f>
        <v>257520</v>
      </c>
    </row>
    <row r="151" spans="1:7" x14ac:dyDescent="0.3">
      <c r="A151" s="2">
        <v>3</v>
      </c>
      <c r="C151" s="38" t="s">
        <v>50</v>
      </c>
      <c r="D151" s="42">
        <f>TRUNC(49440,-1)</f>
        <v>49440</v>
      </c>
      <c r="E151" s="63">
        <f>TRUNC(+D151*3.3058,-1)</f>
        <v>163430</v>
      </c>
    </row>
    <row r="152" spans="1:7" x14ac:dyDescent="0.3">
      <c r="A152" s="2">
        <v>4</v>
      </c>
      <c r="C152" s="38" t="s">
        <v>47</v>
      </c>
      <c r="D152" s="42">
        <f>TRUNC(6561+92596+118356,-1)</f>
        <v>217510</v>
      </c>
      <c r="E152" s="63">
        <f>TRUNC(+D152*3.3058,-1)</f>
        <v>719040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TRUNC(745201,-1)</f>
        <v>745200</v>
      </c>
      <c r="E153" s="64">
        <f>TRUNC(+D153*3.3058,-1)</f>
        <v>2463480</v>
      </c>
    </row>
    <row r="154" spans="1:7" x14ac:dyDescent="0.3">
      <c r="A154" s="2">
        <v>6</v>
      </c>
      <c r="C154" s="27" t="s">
        <v>112</v>
      </c>
      <c r="D154" s="39">
        <f>SUM(D149:D153)</f>
        <v>1188790</v>
      </c>
      <c r="E154" s="39">
        <f>SUM(E149:E153)</f>
        <v>3929880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2020-12-08T04:03:01Z</dcterms:modified>
</cp:coreProperties>
</file>