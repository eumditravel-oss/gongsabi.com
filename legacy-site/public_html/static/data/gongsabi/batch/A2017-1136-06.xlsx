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45" i="4"/>
  <c r="D131" i="4"/>
  <c r="D153" i="4"/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5" i="4"/>
  <c r="D122" i="4"/>
  <c r="D116" i="4"/>
  <c r="D105" i="4"/>
  <c r="D102" i="4"/>
  <c r="D100" i="4"/>
  <c r="D99" i="4"/>
  <c r="D98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<sst xmlns="http://schemas.openxmlformats.org/spreadsheetml/2006/main" count="393" uniqueCount="267">
  <si>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</si>
  <si>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</si>
  <si>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</si>
  <si>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</si>
  <si>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</si>
  <si>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</si>
  <si>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</si>
  <si>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</si>
  <si>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</si>
  <si>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</si>
  <si>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</si>
  <si>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</si>
  <si>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</si>
  <si>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</si>
  <si>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</si>
  <si>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</si>
  <si>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</si>
  <si>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</si>
  <si>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</si>
  <si>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</si>
  <si>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</si>
  <si>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</si>
  <si>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</si>
  <si>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</si>
  <si>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</si>
  <si>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</si>
  <si>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</si>
  <si>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</si>
  <si>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</si>
  <si>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</si>
  <si>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</si>
  <si>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</si>
  <si>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</si>
  <si>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</si>
  <si>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</si>
  <si>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</si>
  <si>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</si>
  <si>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</si>
  <si>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</si>
  <si>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</si>
  <si>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</si>
  <si>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</si>
  <si>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</si>
  <si>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</si>
  <si>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</si>
  <si>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</si>
  <si>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</si>
  <si>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</si>
  <si>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</si>
  <si>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</si>
  <si>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</si>
  <si>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</si>
  <si>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</si>
  <si>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</si>
  <si>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</si>
  <si>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</si>
  <si>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</si>
  <si>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</si>
  <si>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</si>
  <si>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</si>
  <si>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</si>
  <si>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</si>
  <si>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</si>
  <si>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</si>
  <si>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</si>
  <si>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</si>
  <si>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</si>
  <si>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</si>
  <si>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</si>
  <si>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</si>
  <si>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</si>
  <si>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</si>
  <si>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</si>
  <si>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</si>
  <si>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</si>
  <si>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</si>
  <si>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</si>
  <si>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</si>
  <si>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</si>
  <si>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</si>
  <si>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</si>
  <si>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</si>
  <si>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</si>
  <si>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</si>
  <si>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</si>
  <si>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</si>
  <si>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</si>
  <si>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</si>
  <si>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</si>
  <si>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</si>
  <si>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</si>
  <si>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</si>
  <si>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</si>
  <si>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</si>
  <si>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</si>
  <si>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</si>
  <si>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</si>
  <si>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</si>
  <si>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</si>
  <si>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</si>
  <si>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</si>
  <si>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</si>
  <si>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</si>
  <si>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</si>
  <si>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</si>
  <si>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</si>
  <si>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</si>
  <si>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</si>
  <si>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</si>
  <si>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</si>
  <si>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</si>
  <si>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</si>
  <si>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</si>
  <si>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</si>
  <si>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</si>
  <si>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</si>
  <si>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</si>
  <si>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</si>
  <si>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</si>
  <si>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</si>
  <si>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</si>
  <si>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</si>
  <si>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</si>
  <si>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</si>
  <si>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</si>
  <si>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</si>
  <si>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</si>
  <si>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</si>
  <si>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</si>
  <si>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</si>
  <si>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</si>
  <si>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</si>
  <si>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</si>
  <si>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</si>
  <si>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</si>
  <si>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</si>
  <si>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</si>
  <si>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</si>
  <si>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</si>
  <si>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</si>
  <si>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</si>
  <si>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</si>
  <si>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</si>
  <si>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</si>
  <si>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</si>
  <si>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</si>
  <si>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</si>
  <si>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</si>
  <si>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</si>
  <si>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</si>
  <si>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</si>
  <si>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</si>
  <si>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</si>
  <si>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</si>
  <si>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</si>
  <si>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</si>
  <si>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</si>
  <si>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</si>
  <si>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</si>
  <si>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</si>
  <si>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</si>
  <si>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</si>
  <si>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</si>
  <si>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</si>
  <si>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</si>
  <si>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</si>
  <si>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</si>
  <si>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</si>
  <si>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</si>
  <si>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</si>
  <si>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</si>
  <si>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</si>
  <si>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</si>
  <si>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</si>
  <si>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</si>
  <si>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</si>
  <si>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</si>
  <si>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</si>
  <si>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</si>
  <si>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</si>
  <si>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</si>
  <si>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</si>
  <si>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</si>
  <si>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</si>
  <si>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</si>
  <si>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</si>
  <si>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</si>
  <si>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</si>
  <si>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</si>
  <si>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</si>
  <si>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</si>
  <si>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</si>
  <si>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</si>
  <si>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</si>
  <si>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</si>
  <si>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</si>
  <si>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</si>
  <si>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</si>
  <si>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</si>
  <si>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</si>
  <si>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</si>
  <si>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</si>
  <si>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</si>
  <si>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</si>
  <si>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</si>
  <si>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</si>
  <si>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</si>
  <si>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</si>
  <si>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</si>
  <si>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</si>
  <si>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</si>
  <si>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</si>
  <si>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</si>
  <si>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</si>
  <si>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</si>
  <si>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</si>
  <si>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</si>
  <si>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</si>
  <si>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</si>
  <si>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</si>
  <si>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</si>
  <si>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</si>
  <si>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</si>
  <si>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</si>
  <si>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</si>
  <si>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</si>
  <si>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</si>
  <si>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</si>
  <si>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</si>
  <si>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</si>
  <si>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</si>
  <si>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</si>
  <si>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</si>
  <si>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</si>
  <si>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</si>
  <si>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</si>
  <si>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</si>
  <si>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</si>
  <si>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</si>
  <si>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</si>
  <si>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</si>
  <si>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</si>
  <si>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</si>
  <si>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</si>
  <si>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</si>
  <si>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</si>
  <si>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</si>
  <si>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</si>
  <si>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</si>
  <si>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중앙교육연수원 기숙사증축 공사</t>
    <phoneticPr fontId="2" type="noConversion"/>
  </si>
  <si>
    <t>교육연구</t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</si>
  <si>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</si>
  <si>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</si>
  <si>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</si>
  <si>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</si>
  <si>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골재비및운반비,작업부산물,기타공사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</si>
  <si>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</si>
  <si>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</si>
  <si>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</si>
  <si>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</si>
  <si>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</si>
  <si>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운반비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</si>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</sst>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5912.31</v>
      </c>
      <c r="D7" s="36">
        <f>+C7/3.3058</f>
        <v>1788.4657269042291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735630</v>
      </c>
      <c r="E25" s="59">
        <f t="shared" si="0"/>
        <v>2431840</v>
      </c>
    </row>
    <row r="26" spans="1:5" x14ac:dyDescent="0.3">
      <c r="B26" s="2">
        <v>3</v>
      </c>
      <c r="C26" s="35" t="s">
        <v>95</v>
      </c>
      <c r="D26" s="45">
        <f>+D66</f>
        <v>18160</v>
      </c>
      <c r="E26" s="59">
        <f t="shared" si="0"/>
        <v>60030</v>
      </c>
    </row>
    <row r="27" spans="1:5" x14ac:dyDescent="0.3">
      <c r="B27" s="2">
        <v>4</v>
      </c>
      <c r="C27" s="35" t="s">
        <v>96</v>
      </c>
      <c r="D27" s="45">
        <f>+D95</f>
        <v>279420</v>
      </c>
      <c r="E27" s="59">
        <f t="shared" si="0"/>
        <v>923700</v>
      </c>
    </row>
    <row r="28" spans="1:5" x14ac:dyDescent="0.3">
      <c r="B28" s="2">
        <v>5</v>
      </c>
      <c r="C28" s="35" t="s">
        <v>97</v>
      </c>
      <c r="D28" s="45">
        <f>+D119</f>
        <v>137550</v>
      </c>
      <c r="E28" s="59">
        <f t="shared" si="0"/>
        <v>454710</v>
      </c>
    </row>
    <row r="29" spans="1:5" x14ac:dyDescent="0.3">
      <c r="B29" s="2">
        <v>6</v>
      </c>
      <c r="C29" s="35" t="s">
        <v>98</v>
      </c>
      <c r="D29" s="45">
        <f>+D133</f>
        <v>105330</v>
      </c>
      <c r="E29" s="59">
        <f t="shared" si="0"/>
        <v>348190</v>
      </c>
    </row>
    <row r="30" spans="1:5" x14ac:dyDescent="0.3">
      <c r="B30" s="2">
        <v>7</v>
      </c>
      <c r="C30" s="35" t="s">
        <v>99</v>
      </c>
      <c r="D30" s="45">
        <f>+D146</f>
        <v>68530</v>
      </c>
      <c r="E30" s="59">
        <f t="shared" si="0"/>
        <v>226540</v>
      </c>
    </row>
    <row r="31" spans="1:5" x14ac:dyDescent="0.3">
      <c r="B31" s="2">
        <v>8</v>
      </c>
      <c r="C31" s="35" t="s">
        <v>100</v>
      </c>
      <c r="D31" s="45">
        <f>+D154</f>
        <v>32530</v>
      </c>
      <c r="E31" s="59">
        <f t="shared" si="0"/>
        <v>107530</v>
      </c>
    </row>
    <row r="32" spans="1:5" x14ac:dyDescent="0.3">
      <c r="B32" s="2">
        <v>9</v>
      </c>
      <c r="C32" s="35" t="s">
        <v>101</v>
      </c>
      <c r="D32" s="45">
        <f>+D161</f>
        <v>24030</v>
      </c>
      <c r="E32" s="59">
        <f t="shared" si="0"/>
        <v>79430</v>
      </c>
    </row>
    <row r="33" spans="1:7" x14ac:dyDescent="0.3">
      <c r="B33" s="2">
        <v>10</v>
      </c>
      <c r="C33" s="35" t="s">
        <v>155</v>
      </c>
      <c r="D33" s="53">
        <f>TRUNC(SUM(D24:D32)*0.275,-1)</f>
        <v>385320</v>
      </c>
      <c r="E33" s="60">
        <f t="shared" si="0"/>
        <v>1273790</v>
      </c>
    </row>
    <row r="34" spans="1:7" x14ac:dyDescent="0.3">
      <c r="C34" s="35" t="s">
        <v>112</v>
      </c>
      <c r="D34" s="44">
        <f>SUM(D24:D33)</f>
        <v>1786500</v>
      </c>
      <c r="E34" s="44">
        <f>SUM(E24:E33)</f>
        <v>5905760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TRUNC(58119,-1)</f>
        <v>58110</v>
      </c>
      <c r="E40" s="62">
        <f t="shared" ref="E40:E59" si="1">TRUNC(+D40*3.3058,-1)</f>
        <v>192100</v>
      </c>
    </row>
    <row r="41" spans="1:7" x14ac:dyDescent="0.3">
      <c r="A41" s="2">
        <v>2</v>
      </c>
      <c r="C41" s="38" t="s">
        <v>13</v>
      </c>
      <c r="D41" s="42">
        <f>TRUNC(161717,-1)</f>
        <v>161710</v>
      </c>
      <c r="E41" s="63">
        <f t="shared" si="1"/>
        <v>534580</v>
      </c>
    </row>
    <row r="42" spans="1:7" x14ac:dyDescent="0.3">
      <c r="A42" s="2">
        <v>3</v>
      </c>
      <c r="C42" s="38" t="s">
        <v>14</v>
      </c>
      <c r="D42" s="42">
        <f>TRUNC(4871,-1)</f>
        <v>4870</v>
      </c>
      <c r="E42" s="63">
        <f t="shared" si="1"/>
        <v>16090</v>
      </c>
    </row>
    <row r="43" spans="1:7" x14ac:dyDescent="0.3">
      <c r="A43" s="2">
        <v>4</v>
      </c>
      <c r="C43" s="38" t="s">
        <v>16</v>
      </c>
      <c r="D43" s="42">
        <f>TRUNC(43900,-1)</f>
        <v>43900</v>
      </c>
      <c r="E43" s="63">
        <f t="shared" si="1"/>
        <v>145120</v>
      </c>
    </row>
    <row r="44" spans="1:7" x14ac:dyDescent="0.3">
      <c r="A44" s="2">
        <v>5</v>
      </c>
      <c r="C44" s="38" t="s">
        <v>17</v>
      </c>
      <c r="D44" s="42">
        <f>TRUNC(22994,-1)</f>
        <v>22990</v>
      </c>
      <c r="E44" s="63">
        <f t="shared" si="1"/>
        <v>76000</v>
      </c>
    </row>
    <row r="45" spans="1:7" x14ac:dyDescent="0.3">
      <c r="A45" s="2">
        <v>6</v>
      </c>
      <c r="C45" s="38" t="s">
        <v>18</v>
      </c>
      <c r="D45" s="42">
        <f>TRUNC(931,-1)</f>
        <v>930</v>
      </c>
      <c r="E45" s="63">
        <f t="shared" si="1"/>
        <v>3070</v>
      </c>
    </row>
    <row r="46" spans="1:7" x14ac:dyDescent="0.3">
      <c r="A46" s="2">
        <v>7</v>
      </c>
      <c r="C46" s="38" t="s">
        <v>19</v>
      </c>
      <c r="D46" s="42">
        <f>TRUNC(9038,-1)</f>
        <v>9030</v>
      </c>
      <c r="E46" s="63">
        <f t="shared" si="1"/>
        <v>29850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TRUNC(39816,-1)</f>
        <v>39810</v>
      </c>
      <c r="E48" s="63">
        <f t="shared" si="1"/>
        <v>131600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TRUNC(22383,-1)</f>
        <v>22380</v>
      </c>
      <c r="E49" s="63">
        <f t="shared" si="1"/>
        <v>73980</v>
      </c>
    </row>
    <row r="50" spans="1:7" x14ac:dyDescent="0.3">
      <c r="A50" s="2">
        <v>11</v>
      </c>
      <c r="C50" s="38" t="s">
        <v>156</v>
      </c>
      <c r="D50" s="42">
        <f>TRUNC(71833,-1)</f>
        <v>71830</v>
      </c>
      <c r="E50" s="63">
        <f t="shared" si="1"/>
        <v>237450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TRUNC(8287,-1)</f>
        <v>8280</v>
      </c>
      <c r="E52" s="63">
        <f t="shared" si="1"/>
        <v>27370</v>
      </c>
    </row>
    <row r="53" spans="1:7" x14ac:dyDescent="0.3">
      <c r="A53" s="2">
        <v>14</v>
      </c>
      <c r="C53" s="38" t="s">
        <v>25</v>
      </c>
      <c r="D53" s="42">
        <f>TRUNC(63514,-1)</f>
        <v>63510</v>
      </c>
      <c r="E53" s="63">
        <f t="shared" si="1"/>
        <v>209950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TRUNC(1747-341+82179,-1)</f>
        <v>83580</v>
      </c>
      <c r="E58" s="63">
        <f t="shared" si="1"/>
        <v>276290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TRUNC(144702,-1)</f>
        <v>144700</v>
      </c>
      <c r="E59" s="64">
        <f t="shared" si="1"/>
        <v>478340</v>
      </c>
    </row>
    <row r="60" spans="1:7" x14ac:dyDescent="0.3">
      <c r="A60" s="2">
        <v>21</v>
      </c>
      <c r="C60" s="27" t="s">
        <v>112</v>
      </c>
      <c r="D60" s="39">
        <f>SUM(D40:D59)</f>
        <v>735630</v>
      </c>
      <c r="E60" s="39">
        <f>SUM(E40:E59)</f>
        <v>2431790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TRUNC(18163,-1)</f>
        <v>18160</v>
      </c>
      <c r="E63" s="62">
        <f>TRUNC(+D63*3.3058,-1)</f>
        <v>60030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18160</v>
      </c>
      <c r="E66" s="65">
        <f>SUM(E63:E65)</f>
        <v>60030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TRUNC(2421,-1)</f>
        <v>2420</v>
      </c>
      <c r="E69" s="62">
        <f t="shared" ref="E69:E94" si="2">TRUNC(+D69*3.3058,-1)</f>
        <v>8000</v>
      </c>
    </row>
    <row r="70" spans="1:7" ht="16.5" customHeight="1" x14ac:dyDescent="0.3">
      <c r="A70" s="2">
        <v>2</v>
      </c>
      <c r="C70" s="38" t="s">
        <v>31</v>
      </c>
      <c r="D70" s="42">
        <f>TRUNC(4880,-1)</f>
        <v>4880</v>
      </c>
      <c r="E70" s="63">
        <f t="shared" si="2"/>
        <v>16130</v>
      </c>
    </row>
    <row r="71" spans="1:7" x14ac:dyDescent="0.3">
      <c r="A71" s="2">
        <v>3</v>
      </c>
      <c r="C71" s="38" t="s">
        <v>32</v>
      </c>
      <c r="D71" s="42">
        <f>TRUNC(4247,-1)</f>
        <v>4240</v>
      </c>
      <c r="E71" s="63">
        <f t="shared" si="2"/>
        <v>14010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TRUNC(27063,-1)</f>
        <v>27060</v>
      </c>
      <c r="E73" s="63">
        <f t="shared" si="2"/>
        <v>89450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TRUNC(15435,-1)</f>
        <v>15430</v>
      </c>
      <c r="E89" s="63">
        <f t="shared" si="2"/>
        <v>51000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TRUNC(8557,-1)</f>
        <v>8550</v>
      </c>
      <c r="E91" s="63">
        <f t="shared" si="2"/>
        <v>28260</v>
      </c>
    </row>
    <row r="92" spans="1:7" x14ac:dyDescent="0.3">
      <c r="A92" s="2">
        <v>24</v>
      </c>
      <c r="C92" s="38" t="s">
        <v>38</v>
      </c>
      <c r="D92" s="42">
        <f>TRUNC(383,-1)</f>
        <v>380</v>
      </c>
      <c r="E92" s="63">
        <f t="shared" si="2"/>
        <v>1250</v>
      </c>
    </row>
    <row r="93" spans="1:7" x14ac:dyDescent="0.3">
      <c r="A93" s="2">
        <v>25</v>
      </c>
      <c r="C93" s="38" t="s">
        <v>149</v>
      </c>
      <c r="D93" s="42">
        <f>TRUNC(216463,-1)</f>
        <v>216460</v>
      </c>
      <c r="E93" s="63">
        <f t="shared" si="2"/>
        <v>715570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279420</v>
      </c>
      <c r="E95" s="39">
        <f>SUM(E69:E94)</f>
        <v>923670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TRUNC(33302,-1)</f>
        <v>33300</v>
      </c>
      <c r="E98" s="62">
        <f t="shared" ref="E98:E118" si="3">TRUNC(+D98*3.3058,-1)</f>
        <v>110080</v>
      </c>
    </row>
    <row r="99" spans="1:7" x14ac:dyDescent="0.3">
      <c r="A99" s="2">
        <v>2</v>
      </c>
      <c r="C99" s="38" t="s">
        <v>40</v>
      </c>
      <c r="D99" s="42">
        <f>TRUNC(7103,-1)</f>
        <v>7100</v>
      </c>
      <c r="E99" s="63">
        <f t="shared" si="3"/>
        <v>23470</v>
      </c>
    </row>
    <row r="100" spans="1:7" x14ac:dyDescent="0.3">
      <c r="A100" s="2">
        <v>3</v>
      </c>
      <c r="C100" s="38" t="s">
        <v>41</v>
      </c>
      <c r="D100" s="42">
        <f>TRUNC(50990,-1)</f>
        <v>50990</v>
      </c>
      <c r="E100" s="63">
        <f t="shared" si="3"/>
        <v>168560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TRUNC(2517,-1)</f>
        <v>2510</v>
      </c>
      <c r="E102" s="63">
        <f t="shared" si="3"/>
        <v>8290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TRUNC(11133,-1)</f>
        <v>11130</v>
      </c>
      <c r="E105" s="63">
        <f t="shared" si="3"/>
        <v>36790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TRUNC(18,-1)</f>
        <v>10</v>
      </c>
      <c r="E116" s="63">
        <f t="shared" si="3"/>
        <v>30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TRUNC(32519,-1)</f>
        <v>32510</v>
      </c>
      <c r="E117" s="63">
        <f t="shared" si="3"/>
        <v>107470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137550</v>
      </c>
      <c r="E119" s="39">
        <f>SUM(E98:E118)</f>
        <v>454690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TRUNC(8828,-1)</f>
        <v>8820</v>
      </c>
      <c r="E122" s="62">
        <f t="shared" ref="E122:E132" si="4">TRUNC(+D122*3.3058,-1)</f>
        <v>29150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TRUNC(8675,-1)</f>
        <v>8670</v>
      </c>
      <c r="E125" s="63">
        <f t="shared" si="4"/>
        <v>28660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TRUNC(2786,-1)</f>
        <v>2780</v>
      </c>
      <c r="E127" s="63">
        <f t="shared" si="4"/>
        <v>9190</v>
      </c>
    </row>
    <row r="128" spans="1:7" x14ac:dyDescent="0.3">
      <c r="A128" s="2">
        <v>7</v>
      </c>
      <c r="C128" s="38" t="s">
        <v>46</v>
      </c>
      <c r="D128" s="42">
        <f>TRUNC(11653,-1)</f>
        <v>11650</v>
      </c>
      <c r="E128" s="63">
        <f t="shared" si="4"/>
        <v>38510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TRUNC(21141,-1)</f>
        <v>21140</v>
      </c>
      <c r="E130" s="63">
        <f t="shared" si="4"/>
        <v>69880</v>
      </c>
    </row>
    <row r="131" spans="1:7" x14ac:dyDescent="0.3">
      <c r="A131" s="2">
        <v>10</v>
      </c>
      <c r="C131" s="38" t="s">
        <v>149</v>
      </c>
      <c r="D131" s="42">
        <f>TRUNC(50230,-1)</f>
        <v>50230</v>
      </c>
      <c r="E131" s="63">
        <f t="shared" si="4"/>
        <v>166050</v>
      </c>
    </row>
    <row r="132" spans="1:7" ht="18" thickBot="1" x14ac:dyDescent="0.35">
      <c r="A132" s="2">
        <v>11</v>
      </c>
      <c r="C132" s="38" t="s">
        <v>47</v>
      </c>
      <c r="D132" s="43">
        <f>TRUNC(2043,-1)</f>
        <v>2040</v>
      </c>
      <c r="E132" s="64">
        <f t="shared" si="4"/>
        <v>6740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105330</v>
      </c>
      <c r="E133" s="39">
        <f>SUM(E122:E132)</f>
        <v>348180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TRUNC(909+154,-1)</f>
        <v>1060</v>
      </c>
      <c r="E137" s="63">
        <f t="shared" si="5"/>
        <v>3500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TRUNC(3437,-1)</f>
        <v>3430</v>
      </c>
      <c r="E139" s="63">
        <f t="shared" si="5"/>
        <v>11330</v>
      </c>
    </row>
    <row r="140" spans="1:7" x14ac:dyDescent="0.3">
      <c r="A140" s="2">
        <v>5</v>
      </c>
      <c r="C140" s="38" t="s">
        <v>57</v>
      </c>
      <c r="D140" s="42">
        <f>TRUNC(1295,-1)</f>
        <v>1290</v>
      </c>
      <c r="E140" s="63">
        <f t="shared" si="5"/>
        <v>4260</v>
      </c>
    </row>
    <row r="141" spans="1:7" x14ac:dyDescent="0.3">
      <c r="A141" s="2">
        <v>6</v>
      </c>
      <c r="C141" s="38" t="s">
        <v>59</v>
      </c>
      <c r="D141" s="42">
        <f>TRUNC(27842,-1)</f>
        <v>27840</v>
      </c>
      <c r="E141" s="63">
        <f t="shared" si="5"/>
        <v>92030</v>
      </c>
    </row>
    <row r="142" spans="1:7" x14ac:dyDescent="0.3">
      <c r="A142" s="2">
        <v>7</v>
      </c>
      <c r="C142" s="38" t="s">
        <v>58</v>
      </c>
      <c r="D142" s="42">
        <f>TRUNC(8592,-1)</f>
        <v>8590</v>
      </c>
      <c r="E142" s="63">
        <f t="shared" si="5"/>
        <v>28390</v>
      </c>
    </row>
    <row r="143" spans="1:7" x14ac:dyDescent="0.3">
      <c r="A143" s="2">
        <v>8</v>
      </c>
      <c r="C143" s="38" t="s">
        <v>62</v>
      </c>
      <c r="D143" s="42">
        <f>TRUNC(3699,-1)</f>
        <v>3690</v>
      </c>
      <c r="E143" s="63">
        <f t="shared" si="5"/>
        <v>12190</v>
      </c>
    </row>
    <row r="144" spans="1:7" x14ac:dyDescent="0.3">
      <c r="A144" s="2">
        <v>9</v>
      </c>
      <c r="C144" s="38" t="s">
        <v>63</v>
      </c>
      <c r="D144" s="42">
        <f>TRUNC(16725,-1)</f>
        <v>16720</v>
      </c>
      <c r="E144" s="63">
        <f t="shared" si="5"/>
        <v>55270</v>
      </c>
    </row>
    <row r="145" spans="1:7" ht="17.25" thickBot="1" x14ac:dyDescent="0.35">
      <c r="A145" s="2">
        <v>10</v>
      </c>
      <c r="C145" s="38" t="s">
        <v>149</v>
      </c>
      <c r="D145" s="43">
        <f>TRUNC(5917,-1)</f>
        <v>5910</v>
      </c>
      <c r="E145" s="64">
        <f t="shared" si="5"/>
        <v>19530</v>
      </c>
    </row>
    <row r="146" spans="1:7" x14ac:dyDescent="0.3">
      <c r="A146" s="2">
        <v>11</v>
      </c>
      <c r="C146" s="27" t="s">
        <v>112</v>
      </c>
      <c r="D146" s="39">
        <f>SUM(D136:D145)</f>
        <v>68530</v>
      </c>
      <c r="E146" s="39">
        <f>SUM(E136:E145)</f>
        <v>226500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TRUNC(8520+1080,-1)</f>
        <v>9600</v>
      </c>
      <c r="E149" s="62">
        <f>TRUNC(+D149*3.3058,-1)</f>
        <v>31730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TRUNC(5394,-1)</f>
        <v>5390</v>
      </c>
      <c r="E150" s="63">
        <f>TRUNC(+D150*3.3058,-1)</f>
        <v>17810</v>
      </c>
    </row>
    <row r="151" spans="1:7" x14ac:dyDescent="0.3">
      <c r="A151" s="2">
        <v>3</v>
      </c>
      <c r="C151" s="38" t="s">
        <v>50</v>
      </c>
      <c r="D151" s="42">
        <f>TRUNC(1862,-1)</f>
        <v>1860</v>
      </c>
      <c r="E151" s="63">
        <f>TRUNC(+D151*3.3058,-1)</f>
        <v>6140</v>
      </c>
    </row>
    <row r="152" spans="1:7" x14ac:dyDescent="0.3">
      <c r="A152" s="2">
        <v>4</v>
      </c>
      <c r="C152" s="38" t="s">
        <v>47</v>
      </c>
      <c r="D152" s="42">
        <f>TRUNC(103,-1)</f>
        <v>100</v>
      </c>
      <c r="E152" s="63">
        <f>TRUNC(+D152*3.3058,-1)</f>
        <v>330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TRUNC(15588,-1)</f>
        <v>15580</v>
      </c>
      <c r="E153" s="64">
        <f>TRUNC(+D153*3.3058,-1)</f>
        <v>51500</v>
      </c>
    </row>
    <row r="154" spans="1:7" x14ac:dyDescent="0.3">
      <c r="A154" s="2">
        <v>6</v>
      </c>
      <c r="C154" s="27" t="s">
        <v>112</v>
      </c>
      <c r="D154" s="39">
        <f>SUM(D149:D153)</f>
        <v>32530</v>
      </c>
      <c r="E154" s="39">
        <f>SUM(E149:E153)</f>
        <v>107510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TRUNC(15722,-1)</f>
        <v>15720</v>
      </c>
      <c r="E157" s="62">
        <f>TRUNC(+D157*3.3058,-1)</f>
        <v>51960</v>
      </c>
    </row>
    <row r="158" spans="1:7" x14ac:dyDescent="0.3">
      <c r="A158" s="2">
        <v>2</v>
      </c>
      <c r="C158" s="38" t="s">
        <v>52</v>
      </c>
      <c r="D158" s="42">
        <f>TRUNC(1019,-1)</f>
        <v>1010</v>
      </c>
      <c r="E158" s="63">
        <f>TRUNC(+D158*3.3058,-1)</f>
        <v>3330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TRUNC(7302,-1)</f>
        <v>7300</v>
      </c>
      <c r="E159" s="63">
        <f>TRUNC(+D159*3.3058,-1)</f>
        <v>24130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24030</v>
      </c>
      <c r="E161" s="39">
        <f>SUM(E157:E160)</f>
        <v>79420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2020-12-08T01:39:19Z</dcterms:modified>
</cp:coreProperties>
</file>