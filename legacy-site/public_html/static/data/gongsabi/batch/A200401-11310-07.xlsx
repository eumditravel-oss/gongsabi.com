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4" i="4"/>
  <c r="E94" i="4" s="1"/>
  <c r="E95" i="4" s="1"/>
  <c r="D66" i="4"/>
  <c r="D60" i="4"/>
  <c r="D25" i="4" s="1"/>
  <c r="E25" i="4" s="1"/>
  <c r="D30" i="4"/>
  <c r="E30" i="4" s="1"/>
  <c r="D26" i="4"/>
  <c r="E26" i="4" s="1"/>
  <c r="D24" i="4"/>
  <c r="E24" i="4" s="1"/>
  <c r="D7" i="4"/>
  <c r="D95" i="4" l="1"/>
  <c r="D27" i="4" s="1"/>
  <c r="E27" i="4" s="1"/>
  <c r="E34" i="4" s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<sst xmlns="http://schemas.openxmlformats.org/spreadsheetml/2006/main" count="386" uniqueCount="261">
  <si>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</si>
  <si>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</si>
  <si>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</si>
  <si>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</si>
  <si>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</si>
  <si>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</si>
  <si>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</si>
  <si>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</si>
  <si>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</si>
  <si>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</si>
  <si>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</si>
  <si>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</si>
  <si>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</si>
  <si>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</si>
  <si>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</si>
  <si>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</si>
  <si>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</si>
  <si>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</si>
  <si>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</si>
  <si>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</si>
  <si>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</si>
  <si>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</si>
  <si>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</si>
  <si>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</si>
  <si>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</si>
  <si>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</si>
  <si>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</si>
  <si>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</si>
  <si>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</si>
  <si>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</si>
  <si>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</si>
  <si>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</si>
  <si>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</si>
  <si>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</si>
  <si>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</si>
  <si>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</si>
  <si>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</si>
  <si>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</si>
  <si>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</si>
  <si>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</si>
  <si>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</si>
  <si>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</si>
  <si>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</si>
  <si>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</si>
  <si>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</si>
  <si>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</si>
  <si>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</si>
  <si>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</si>
  <si>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</si>
  <si>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</si>
  <si>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</si>
  <si>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</si>
  <si>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</si>
  <si>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</si>
  <si>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</si>
  <si>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</si>
  <si>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</si>
  <si>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</si>
  <si>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</si>
  <si>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</si>
  <si>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</si>
  <si>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</si>
  <si>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</si>
  <si>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</si>
  <si>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</si>
  <si>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</si>
  <si>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</si>
  <si>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</si>
  <si>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</si>
  <si>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</si>
  <si>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</si>
  <si>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</si>
  <si>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</si>
  <si>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</si>
  <si>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</si>
  <si>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</si>
  <si>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</si>
  <si>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</si>
  <si>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</si>
  <si>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</si>
  <si>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</si>
  <si>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</si>
  <si>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</si>
  <si>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</si>
  <si>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</si>
  <si>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</si>
  <si>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</si>
  <si>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</si>
  <si>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</si>
  <si>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</si>
  <si>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</si>
  <si>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</si>
  <si>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</si>
  <si>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</si>
  <si>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</si>
  <si>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</si>
  <si>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</si>
  <si>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</si>
  <si>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</si>
  <si>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</si>
  <si>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</si>
  <si>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</si>
  <si>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</si>
  <si>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</si>
  <si>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</si>
  <si>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</si>
  <si>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</si>
  <si>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</si>
  <si>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</si>
  <si>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</si>
  <si>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</si>
  <si>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</si>
  <si>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</si>
  <si>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</si>
  <si>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</si>
  <si>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</si>
  <si>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</si>
  <si>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</si>
  <si>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</si>
  <si>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</si>
  <si>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</si>
  <si>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</si>
  <si>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</si>
  <si>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</si>
  <si>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</si>
  <si>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</si>
  <si>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</si>
  <si>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</si>
  <si>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</si>
  <si>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</si>
  <si>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</si>
  <si>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</si>
  <si>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</si>
  <si>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</si>
  <si>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</si>
  <si>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</si>
  <si>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</si>
  <si>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</si>
  <si>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</si>
  <si>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</si>
  <si>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</si>
  <si>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</si>
  <si>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</si>
  <si>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</si>
  <si>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</si>
  <si>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</si>
  <si>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</si>
  <si>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</si>
  <si>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</si>
  <si>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</si>
  <si>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</si>
  <si>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</si>
  <si>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</si>
  <si>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</si>
  <si>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</si>
  <si>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</si>
  <si>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</si>
  <si>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</si>
  <si>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</si>
  <si>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</si>
  <si>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</si>
  <si>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</si>
  <si>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</si>
  <si>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</si>
  <si>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</si>
  <si>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</si>
  <si>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</si>
  <si>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</si>
  <si>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</si>
  <si>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</si>
  <si>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</si>
  <si>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</si>
  <si>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</si>
  <si>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</si>
  <si>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</si>
  <si>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</si>
  <si>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</si>
  <si>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</si>
  <si>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</si>
  <si>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</si>
  <si>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</si>
  <si>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</si>
  <si>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</si>
  <si>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</si>
  <si>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</si>
  <si>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</si>
  <si>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</si>
  <si>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</si>
  <si>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</si>
  <si>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</si>
  <si>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</si>
  <si>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</si>
  <si>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</si>
  <si>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</si>
  <si>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</si>
  <si>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</si>
  <si>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</si>
  <si>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</si>
  <si>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</si>
  <si>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</si>
  <si>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</si>
  <si>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</si>
  <si>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</si>
  <si>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</si>
  <si>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</si>
  <si>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</si>
  <si>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</si>
  <si>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</si>
  <si>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</si>
  <si>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</si>
  <si>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</si>
  <si>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</si>
  <si>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</si>
  <si>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</si>
  <si>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</si>
  <si>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</si>
  <si>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</si>
  <si>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</si>
  <si>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</si>
  <si>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</si>
  <si>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</si>
  <si>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</si>
  <si>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</si>
  <si>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</si>
  <si>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</si>
  <si>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</si>
  <si>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</si>
  <si>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</si>
  <si>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</si>
  <si>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</si>
  <si>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</si>
  <si>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</si>
  <si>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</si>
  <si>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</si>
  <si>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</si>
  <si>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</si>
  <si>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</si>
  <si>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</si>
  <si>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</si>
  <si>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</si>
  <si>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</si>
  <si>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</si>
  <si>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</si>
  <si>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</si>
  <si>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</si>
  <si>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</si>
  <si>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</si>
  <si>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강원도</t>
  </si>
  <si>
    <t>평</t>
    <phoneticPr fontId="2" type="noConversion"/>
  </si>
  <si>
    <t>마감공사</t>
    <phoneticPr fontId="2" type="noConversion"/>
  </si>
  <si>
    <t>가스설비, 기타설비</t>
    <phoneticPr fontId="2" type="noConversion"/>
  </si>
  <si>
    <t>전등전열설비</t>
    <phoneticPr fontId="2" type="noConversion"/>
  </si>
  <si>
    <t>옥외인입공사</t>
    <phoneticPr fontId="2" type="noConversion"/>
  </si>
  <si>
    <t>전기소방</t>
  </si>
  <si>
    <t>강원도 소재 00 대학교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</si>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</sst>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9834</v>
      </c>
      <c r="D7" s="36">
        <f>+C7/3.3058</f>
        <v>2974.7716135277392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603690</v>
      </c>
      <c r="E25" s="59">
        <f t="shared" si="0"/>
        <v>1995670</v>
      </c>
    </row>
    <row r="26" spans="1:5" x14ac:dyDescent="0.3">
      <c r="B26" s="2">
        <v>3</v>
      </c>
      <c r="C26" s="35" t="s">
        <v>95</v>
      </c>
      <c r="D26" s="45">
        <f>+D66</f>
        <v>8330</v>
      </c>
      <c r="E26" s="59">
        <f t="shared" si="0"/>
        <v>27530</v>
      </c>
    </row>
    <row r="27" spans="1:5" x14ac:dyDescent="0.3">
      <c r="B27" s="2">
        <v>4</v>
      </c>
      <c r="C27" s="35" t="s">
        <v>96</v>
      </c>
      <c r="D27" s="45">
        <f>+D95</f>
        <v>37910</v>
      </c>
      <c r="E27" s="59">
        <f t="shared" si="0"/>
        <v>125320</v>
      </c>
    </row>
    <row r="28" spans="1:5" x14ac:dyDescent="0.3">
      <c r="B28" s="2">
        <v>5</v>
      </c>
      <c r="C28" s="35" t="s">
        <v>97</v>
      </c>
      <c r="D28" s="45">
        <f>+D119</f>
        <v>50020</v>
      </c>
      <c r="E28" s="59">
        <f t="shared" si="0"/>
        <v>165350</v>
      </c>
    </row>
    <row r="29" spans="1:5" x14ac:dyDescent="0.3">
      <c r="B29" s="2">
        <v>6</v>
      </c>
      <c r="C29" s="35" t="s">
        <v>98</v>
      </c>
      <c r="D29" s="45">
        <f>+D133</f>
        <v>19420</v>
      </c>
      <c r="E29" s="59">
        <f t="shared" si="0"/>
        <v>64190</v>
      </c>
    </row>
    <row r="30" spans="1:5" x14ac:dyDescent="0.3">
      <c r="B30" s="2">
        <v>7</v>
      </c>
      <c r="C30" s="35" t="s">
        <v>99</v>
      </c>
      <c r="D30" s="45">
        <f>+D146</f>
        <v>11060</v>
      </c>
      <c r="E30" s="59">
        <f t="shared" si="0"/>
        <v>36560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218330</v>
      </c>
      <c r="E33" s="60">
        <f t="shared" si="0"/>
        <v>721750</v>
      </c>
    </row>
    <row r="34" spans="1:7" x14ac:dyDescent="0.3">
      <c r="C34" s="35" t="s">
        <v>112</v>
      </c>
      <c r="D34" s="44">
        <f>SUM(D24:D33)</f>
        <v>948760</v>
      </c>
      <c r="E34" s="44">
        <f>SUM(E24:E33)</f>
        <v>3136370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44180</v>
      </c>
      <c r="E40" s="62">
        <f t="shared" ref="E40:E59" si="1">TRUNC(+D40*3.3058,-1)</f>
        <v>146050</v>
      </c>
    </row>
    <row r="41" spans="1:7" x14ac:dyDescent="0.3">
      <c r="A41" s="2">
        <v>2</v>
      </c>
      <c r="C41" s="38" t="s">
        <v>13</v>
      </c>
      <c r="D41" s="42">
        <v>248370</v>
      </c>
      <c r="E41" s="63">
        <f t="shared" si="1"/>
        <v>821060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311140</v>
      </c>
      <c r="E58" s="63">
        <f t="shared" si="1"/>
        <v>1028560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603690</v>
      </c>
      <c r="E60" s="39">
        <f>SUM(E40:E59)</f>
        <v>1995670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8330</v>
      </c>
      <c r="E63" s="62">
        <f>TRUNC(+D63*3.3058,-1)</f>
        <v>27530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8330</v>
      </c>
      <c r="E66" s="57">
        <f>SUM(E63:E65)</f>
        <v>27530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5820</v>
      </c>
      <c r="E91" s="63">
        <f>TRUNC(+D91*3.3058,-1)</f>
        <v>19230</v>
      </c>
    </row>
    <row r="92" spans="1:7" x14ac:dyDescent="0.3">
      <c r="A92" s="2">
        <v>24</v>
      </c>
      <c r="C92" s="38" t="s">
        <v>38</v>
      </c>
      <c r="D92" s="42">
        <v>17030</v>
      </c>
      <c r="E92" s="63">
        <f>TRUNC(+D92*3.3058,-1)</f>
        <v>56290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3580+11480</f>
        <v>15060</v>
      </c>
      <c r="E94" s="64">
        <f>TRUNC(+D94*3.3058,-1)</f>
        <v>49780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37910</v>
      </c>
      <c r="E95" s="39">
        <f>SUM(E69:E94)</f>
        <v>125300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32050</v>
      </c>
      <c r="E100" s="63">
        <f t="shared" si="4"/>
        <v>105950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8870</v>
      </c>
      <c r="E116" s="63">
        <f t="shared" si="4"/>
        <v>29320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9100</v>
      </c>
      <c r="E118" s="64">
        <f t="shared" si="4"/>
        <v>30080</v>
      </c>
    </row>
    <row r="119" spans="1:7" x14ac:dyDescent="0.3">
      <c r="A119" s="2">
        <v>22</v>
      </c>
      <c r="C119" s="27" t="s">
        <v>112</v>
      </c>
      <c r="D119" s="39">
        <f>SUM(D98:D118)</f>
        <v>50020</v>
      </c>
      <c r="E119" s="39">
        <f>SUM(E98:E118)</f>
        <v>165350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8000</v>
      </c>
      <c r="E125" s="63">
        <f t="shared" si="5"/>
        <v>26440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10740</v>
      </c>
      <c r="E130" s="63">
        <f t="shared" si="5"/>
        <v>35500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680</v>
      </c>
      <c r="E132" s="64">
        <f t="shared" si="5"/>
        <v>2240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19420</v>
      </c>
      <c r="E133" s="39">
        <f>SUM(E122:E132)</f>
        <v>64180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5590</v>
      </c>
      <c r="E136" s="62">
        <f t="shared" ref="E136:E145" si="6">TRUNC(+D136*3.3058,-1)</f>
        <v>18470</v>
      </c>
    </row>
    <row r="137" spans="1:7" x14ac:dyDescent="0.3">
      <c r="A137" s="2">
        <v>2</v>
      </c>
      <c r="C137" s="38" t="s">
        <v>47</v>
      </c>
      <c r="D137" s="42">
        <v>5470</v>
      </c>
      <c r="E137" s="63">
        <f t="shared" si="6"/>
        <v>18080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11060</v>
      </c>
      <c r="E146" s="39">
        <f>SUM(E136:E145)</f>
        <v>36550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2020-12-07T08:50:52Z</dcterms:modified>
</cp:coreProperties>
</file>