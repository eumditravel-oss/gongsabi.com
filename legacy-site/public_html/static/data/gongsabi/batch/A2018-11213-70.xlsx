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8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94" i="4" l="1"/>
  <c r="D59" i="4" l="1"/>
  <c r="D93" i="4"/>
  <c r="D117" i="4"/>
  <c r="D131" i="4"/>
  <c r="D153" i="4"/>
  <c r="D152" i="4"/>
  <c r="D151" i="4"/>
  <c r="D150" i="4"/>
  <c r="D149" i="4"/>
  <c r="D137" i="4"/>
  <c r="D144" i="4"/>
  <c r="D143" i="4"/>
  <c r="D142" i="4"/>
  <c r="D132" i="4"/>
  <c r="D125" i="4"/>
  <c r="D122" i="4"/>
  <c r="D130" i="4"/>
  <c r="D126" i="4"/>
  <c r="D105" i="4"/>
  <c r="D103" i="4"/>
  <c r="D102" i="4"/>
  <c r="D100" i="4"/>
  <c r="D99" i="4"/>
  <c r="D114" i="4"/>
  <c r="D98" i="4"/>
  <c r="D75" i="4"/>
  <c r="D92" i="4"/>
  <c r="D91" i="4"/>
  <c r="D90" i="4"/>
  <c r="D89" i="4"/>
  <c r="D73" i="4"/>
  <c r="D72" i="4"/>
  <c r="D71" i="4"/>
  <c r="D70" i="4"/>
  <c r="D69" i="4"/>
  <c r="D63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33" i="4" l="1"/>
  <c r="E154" i="4"/>
  <c r="E146" i="4"/>
  <c r="E119" i="4"/>
  <c r="E95" i="4"/>
  <c r="E60" i="4"/>
  <c r="D161" i="4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60" i="4"/>
  <c r="D24" i="4"/>
  <c r="E24" i="4" s="1"/>
  <c r="D25" i="4"/>
  <c r="E25" i="4" s="1"/>
  <c r="D26" i="4"/>
  <c r="E26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E34" i="4" l="1"/>
  <c r="D34" i="4"/>
</calcChain>
</file>

<file path=xl/sharedStrings.xml><?xml version="1.0" encoding="utf-8"?>
<sst xmlns="http://schemas.openxmlformats.org/spreadsheetml/2006/main" count="391" uniqueCount="266">
  <si>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</si>
  <si>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</si>
  <si>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</si>
  <si>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</si>
  <si>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</si>
  <si>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</si>
  <si>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</si>
  <si>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</si>
  <si>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</si>
  <si>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</si>
  <si>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</si>
  <si>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</si>
  <si>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</si>
  <si>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</si>
  <si>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</si>
  <si>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</si>
  <si>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</si>
  <si>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</si>
  <si>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</si>
  <si>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</si>
  <si>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</si>
  <si>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</si>
  <si>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</si>
  <si>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</si>
  <si>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</si>
  <si>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</si>
  <si>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</si>
  <si>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</si>
  <si>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</si>
  <si>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</si>
  <si>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</si>
  <si>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</si>
  <si>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</si>
  <si>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</si>
  <si>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</si>
  <si>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</si>
  <si>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</si>
  <si>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</si>
  <si>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</si>
  <si>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</si>
  <si>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</si>
  <si>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</si>
  <si>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</si>
  <si>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</si>
  <si>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</si>
  <si>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</si>
  <si>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</si>
  <si>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</si>
  <si>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</si>
  <si>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</si>
  <si>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</si>
  <si>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</si>
  <si>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</si>
  <si>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</si>
  <si>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</si>
  <si>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</si>
  <si>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</si>
  <si>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</si>
  <si>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</si>
  <si>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</si>
  <si>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</si>
  <si>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</si>
  <si>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</si>
  <si>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</si>
  <si>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</si>
  <si>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</si>
  <si>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</si>
  <si>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</si>
  <si>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</si>
  <si>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</si>
  <si>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</si>
  <si>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</si>
  <si>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</si>
  <si>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</si>
  <si>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</si>
  <si>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</si>
  <si>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</si>
  <si>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</si>
  <si>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</si>
  <si>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</si>
  <si>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</si>
  <si>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</si>
  <si>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</si>
  <si>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</si>
  <si>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</si>
  <si>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</si>
  <si>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</si>
  <si>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</si>
  <si>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</si>
  <si>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</si>
  <si>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</si>
  <si>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</si>
  <si>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</si>
  <si>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</si>
  <si>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</si>
  <si>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</si>
  <si>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</si>
  <si>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</si>
  <si>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</si>
  <si>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</si>
  <si>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</si>
  <si>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</si>
  <si>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</si>
  <si>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</si>
  <si>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</si>
  <si>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</si>
  <si>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</si>
  <si>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</si>
  <si>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</si>
  <si>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</si>
  <si>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</si>
  <si>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</si>
  <si>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</si>
  <si>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</si>
  <si>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</si>
  <si>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</si>
  <si>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</si>
  <si>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</si>
  <si>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</si>
  <si>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</si>
  <si>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</si>
  <si>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</si>
  <si>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</si>
  <si>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</si>
  <si>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</si>
  <si>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</si>
  <si>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</si>
  <si>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</si>
  <si>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</si>
  <si>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</si>
  <si>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</si>
  <si>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</si>
  <si>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</si>
  <si>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</si>
  <si>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</si>
  <si>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</si>
  <si>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</si>
  <si>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</si>
  <si>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</si>
  <si>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</si>
  <si>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</si>
  <si>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</si>
  <si>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</si>
  <si>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</si>
  <si>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</si>
  <si>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</si>
  <si>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</si>
  <si>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</si>
  <si>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</si>
  <si>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</si>
  <si>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</si>
  <si>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</si>
  <si>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</si>
  <si>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</si>
  <si>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</si>
  <si>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</si>
  <si>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</si>
  <si>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</si>
  <si>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</si>
  <si>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</si>
  <si>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</si>
  <si>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</si>
  <si>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</si>
  <si>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</si>
  <si>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</si>
  <si>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</si>
  <si>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</si>
  <si>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</si>
  <si>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</si>
  <si>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</si>
  <si>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</si>
  <si>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</si>
  <si>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</si>
  <si>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</si>
  <si>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</si>
  <si>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</si>
  <si>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</si>
  <si>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</si>
  <si>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</si>
  <si>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</si>
  <si>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</si>
  <si>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</si>
  <si>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</si>
  <si>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</si>
  <si>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</si>
  <si>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</si>
  <si>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</si>
  <si>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</si>
  <si>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</si>
  <si>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</si>
  <si>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</si>
  <si>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</si>
  <si>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</si>
  <si>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</si>
  <si>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</si>
  <si>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</si>
  <si>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</si>
  <si>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</si>
  <si>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</si>
  <si>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</si>
  <si>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</si>
  <si>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</si>
  <si>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</si>
  <si>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</si>
  <si>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</si>
  <si>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</si>
  <si>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</si>
  <si>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</si>
  <si>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</si>
  <si>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</si>
  <si>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</si>
  <si>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</si>
  <si>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</si>
  <si>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</si>
  <si>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</si>
  <si>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</si>
  <si>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</si>
  <si>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</si>
  <si>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</si>
  <si>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</si>
  <si>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</si>
  <si>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</si>
  <si>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</si>
  <si>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</si>
  <si>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</si>
  <si>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</si>
  <si>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</si>
  <si>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</si>
  <si>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</si>
  <si>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</si>
  <si>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</si>
  <si>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</si>
  <si>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</si>
  <si>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</si>
  <si>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</si>
  <si>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</si>
  <si>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</si>
  <si>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</si>
  <si>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</si>
  <si>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</si>
  <si>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</si>
  <si>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</si>
  <si>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</si>
  <si>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</si>
  <si>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</si>
  <si>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</si>
  <si>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</si>
  <si>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</si>
  <si>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한약 비임상시험연구센터(GLP) 구축공사［건축/토목/기계］</t>
    <phoneticPr fontId="2" type="noConversion"/>
  </si>
  <si>
    <t>교육연구</t>
  </si>
  <si>
    <t>전라도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</si>
  <si>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</si>
  <si>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</si>
  <si>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</si>
  <si>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기초공사,폐기물처리비,골재비및운반비,작업부산물,기타공사</t>
    <phoneticPr fontId="2" type="noConversion"/>
  </si>
  <si>
    <t>CATV 및 TV 설비공사</t>
    <phoneticPr fontId="2" type="noConversion"/>
  </si>
  <si>
    <t>CCTV설비공사</t>
    <phoneticPr fontId="2" type="noConversion"/>
  </si>
  <si>
    <t>기타공사</t>
    <phoneticPr fontId="2" type="noConversion"/>
  </si>
  <si>
    <t>우수공사,오수공사</t>
    <phoneticPr fontId="2" type="noConversion"/>
  </si>
  <si>
    <t>상수도공사,사급자재비,기타공사</t>
    <phoneticPr fontId="2" type="noConversion"/>
  </si>
  <si>
    <t>공조배관공사,기타공사, 바닥난방공사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</si>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</sst>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263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2537</v>
      </c>
      <c r="D7" s="36">
        <f>+C7/3.3058</f>
        <v>767.43904652429057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264</v>
      </c>
    </row>
    <row r="19" spans="1:5" x14ac:dyDescent="0.3">
      <c r="A19" s="2">
        <v>9</v>
      </c>
      <c r="B19" s="2" t="s">
        <v>265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787300</v>
      </c>
      <c r="E25" s="59">
        <f t="shared" si="0"/>
        <v>2602650</v>
      </c>
    </row>
    <row r="26" spans="1:5" x14ac:dyDescent="0.3">
      <c r="B26" s="2">
        <v>3</v>
      </c>
      <c r="C26" s="35" t="s">
        <v>95</v>
      </c>
      <c r="D26" s="45">
        <f>+D66</f>
        <v>5180</v>
      </c>
      <c r="E26" s="59">
        <f t="shared" si="0"/>
        <v>17120</v>
      </c>
    </row>
    <row r="27" spans="1:5" x14ac:dyDescent="0.3">
      <c r="B27" s="2">
        <v>4</v>
      </c>
      <c r="C27" s="35" t="s">
        <v>96</v>
      </c>
      <c r="D27" s="45">
        <f>+D95</f>
        <v>521810</v>
      </c>
      <c r="E27" s="59">
        <f t="shared" si="0"/>
        <v>1724990</v>
      </c>
    </row>
    <row r="28" spans="1:5" x14ac:dyDescent="0.3">
      <c r="B28" s="2">
        <v>5</v>
      </c>
      <c r="C28" s="35" t="s">
        <v>97</v>
      </c>
      <c r="D28" s="45">
        <f>+D119</f>
        <v>480680</v>
      </c>
      <c r="E28" s="59">
        <f t="shared" si="0"/>
        <v>1589030</v>
      </c>
    </row>
    <row r="29" spans="1:5" x14ac:dyDescent="0.3">
      <c r="B29" s="2">
        <v>6</v>
      </c>
      <c r="C29" s="35" t="s">
        <v>98</v>
      </c>
      <c r="D29" s="45">
        <f>+D133</f>
        <v>39950</v>
      </c>
      <c r="E29" s="59">
        <f t="shared" si="0"/>
        <v>132060</v>
      </c>
    </row>
    <row r="30" spans="1:5" x14ac:dyDescent="0.3">
      <c r="B30" s="2">
        <v>7</v>
      </c>
      <c r="C30" s="35" t="s">
        <v>99</v>
      </c>
      <c r="D30" s="45">
        <f>+D146</f>
        <v>106170</v>
      </c>
      <c r="E30" s="59">
        <f t="shared" si="0"/>
        <v>350970</v>
      </c>
    </row>
    <row r="31" spans="1:5" x14ac:dyDescent="0.3">
      <c r="B31" s="2">
        <v>8</v>
      </c>
      <c r="C31" s="35" t="s">
        <v>100</v>
      </c>
      <c r="D31" s="45">
        <f>+D154</f>
        <v>93930</v>
      </c>
      <c r="E31" s="59">
        <f t="shared" si="0"/>
        <v>310510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154</v>
      </c>
      <c r="D33" s="53">
        <f>TRUNC(SUM(D24:D32)*0.275,-1)</f>
        <v>559630</v>
      </c>
      <c r="E33" s="60">
        <f t="shared" si="0"/>
        <v>1850020</v>
      </c>
    </row>
    <row r="34" spans="1:7" x14ac:dyDescent="0.3">
      <c r="C34" s="35" t="s">
        <v>112</v>
      </c>
      <c r="D34" s="44">
        <f>SUM(D24:D33)</f>
        <v>2594650</v>
      </c>
      <c r="E34" s="44">
        <f>SUM(E24:E33)</f>
        <v>8577350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261</v>
      </c>
      <c r="E39" s="67" t="s">
        <v>262</v>
      </c>
      <c r="G39" s="68"/>
    </row>
    <row r="40" spans="1:7" x14ac:dyDescent="0.3">
      <c r="A40" s="2">
        <v>1</v>
      </c>
      <c r="C40" s="38" t="s">
        <v>15</v>
      </c>
      <c r="D40" s="40">
        <f>TRUNC(58280,-1)</f>
        <v>58280</v>
      </c>
      <c r="E40" s="62">
        <f t="shared" ref="E40:E59" si="1">TRUNC(+D40*3.3058,-1)</f>
        <v>192660</v>
      </c>
    </row>
    <row r="41" spans="1:7" x14ac:dyDescent="0.3">
      <c r="A41" s="2">
        <v>2</v>
      </c>
      <c r="C41" s="38" t="s">
        <v>13</v>
      </c>
      <c r="D41" s="42">
        <f>TRUNC(198983,-1)</f>
        <v>198980</v>
      </c>
      <c r="E41" s="63">
        <f t="shared" si="1"/>
        <v>657780</v>
      </c>
    </row>
    <row r="42" spans="1:7" x14ac:dyDescent="0.3">
      <c r="A42" s="2">
        <v>3</v>
      </c>
      <c r="C42" s="38" t="s">
        <v>14</v>
      </c>
      <c r="D42" s="42">
        <f>TRUNC(33279,-1)</f>
        <v>33270</v>
      </c>
      <c r="E42" s="63">
        <f t="shared" si="1"/>
        <v>109980</v>
      </c>
    </row>
    <row r="43" spans="1:7" x14ac:dyDescent="0.3">
      <c r="A43" s="2">
        <v>4</v>
      </c>
      <c r="C43" s="38" t="s">
        <v>16</v>
      </c>
      <c r="D43" s="42">
        <f>TRUNC(5693,-1)</f>
        <v>5690</v>
      </c>
      <c r="E43" s="63">
        <f t="shared" si="1"/>
        <v>18810</v>
      </c>
    </row>
    <row r="44" spans="1:7" x14ac:dyDescent="0.3">
      <c r="A44" s="2">
        <v>5</v>
      </c>
      <c r="C44" s="38" t="s">
        <v>17</v>
      </c>
      <c r="D44" s="42">
        <f>TRUNC(36019,-1)</f>
        <v>36010</v>
      </c>
      <c r="E44" s="63">
        <f t="shared" si="1"/>
        <v>119040</v>
      </c>
    </row>
    <row r="45" spans="1:7" x14ac:dyDescent="0.3">
      <c r="A45" s="2">
        <v>6</v>
      </c>
      <c r="C45" s="38" t="s">
        <v>18</v>
      </c>
      <c r="D45" s="42">
        <f>TRUNC(2966,-1)</f>
        <v>2960</v>
      </c>
      <c r="E45" s="63">
        <f t="shared" si="1"/>
        <v>9780</v>
      </c>
    </row>
    <row r="46" spans="1:7" x14ac:dyDescent="0.3">
      <c r="A46" s="2">
        <v>7</v>
      </c>
      <c r="C46" s="38" t="s">
        <v>19</v>
      </c>
      <c r="D46" s="42">
        <f>TRUNC(36752,-1)</f>
        <v>36750</v>
      </c>
      <c r="E46" s="63">
        <f t="shared" si="1"/>
        <v>121480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TRUNC(64024,-1)</f>
        <v>64020</v>
      </c>
      <c r="E48" s="63">
        <f t="shared" si="1"/>
        <v>211630</v>
      </c>
      <c r="F48" s="2" t="s">
        <v>251</v>
      </c>
    </row>
    <row r="49" spans="1:7" x14ac:dyDescent="0.3">
      <c r="A49" s="2">
        <v>10</v>
      </c>
      <c r="C49" s="38" t="s">
        <v>22</v>
      </c>
      <c r="D49" s="42">
        <f>TRUNC(19950,-1)</f>
        <v>19950</v>
      </c>
      <c r="E49" s="63">
        <f t="shared" si="1"/>
        <v>65950</v>
      </c>
    </row>
    <row r="50" spans="1:7" x14ac:dyDescent="0.3">
      <c r="A50" s="2">
        <v>11</v>
      </c>
      <c r="C50" s="38" t="s">
        <v>155</v>
      </c>
      <c r="D50" s="42">
        <f>TRUNC(16968,-1)</f>
        <v>16960</v>
      </c>
      <c r="E50" s="63">
        <f t="shared" si="1"/>
        <v>56060</v>
      </c>
      <c r="F50" s="2" t="s">
        <v>252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TRUNC(5724,-1)</f>
        <v>5720</v>
      </c>
      <c r="E52" s="63">
        <f t="shared" si="1"/>
        <v>18900</v>
      </c>
    </row>
    <row r="53" spans="1:7" x14ac:dyDescent="0.3">
      <c r="A53" s="2">
        <v>14</v>
      </c>
      <c r="C53" s="38" t="s">
        <v>25</v>
      </c>
      <c r="D53" s="42">
        <f>TRUNC(50388,-1)</f>
        <v>50380</v>
      </c>
      <c r="E53" s="63">
        <f t="shared" si="1"/>
        <v>166540</v>
      </c>
      <c r="F53" s="2" t="s">
        <v>253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TRUNC(21263+1648+8010-1456+1686,-1)</f>
        <v>31150</v>
      </c>
      <c r="E58" s="63">
        <f t="shared" si="1"/>
        <v>102970</v>
      </c>
      <c r="F58" s="2" t="s">
        <v>254</v>
      </c>
    </row>
    <row r="59" spans="1:7" ht="17.25" thickBot="1" x14ac:dyDescent="0.35">
      <c r="A59" s="2">
        <v>20</v>
      </c>
      <c r="C59" s="38" t="s">
        <v>148</v>
      </c>
      <c r="D59" s="43">
        <f>TRUNC(227189,-1)</f>
        <v>227180</v>
      </c>
      <c r="E59" s="64">
        <f t="shared" si="1"/>
        <v>751010</v>
      </c>
    </row>
    <row r="60" spans="1:7" x14ac:dyDescent="0.3">
      <c r="A60" s="2">
        <v>21</v>
      </c>
      <c r="C60" s="27" t="s">
        <v>112</v>
      </c>
      <c r="D60" s="39">
        <f>SUM(D40:D59)</f>
        <v>787300</v>
      </c>
      <c r="E60" s="39">
        <f>SUM(E40:E59)</f>
        <v>2602590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TRUNC(5182,-1)</f>
        <v>5180</v>
      </c>
      <c r="E63" s="62">
        <f>TRUNC(+D63*3.3058,-1)</f>
        <v>17120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5180</v>
      </c>
      <c r="E66" s="65">
        <f>SUM(E63:E65)</f>
        <v>17120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TRUNC(34365,-1)</f>
        <v>34360</v>
      </c>
      <c r="E69" s="62">
        <f t="shared" ref="E69:E94" si="2">TRUNC(+D69*3.3058,-1)</f>
        <v>113580</v>
      </c>
    </row>
    <row r="70" spans="1:7" ht="16.5" customHeight="1" x14ac:dyDescent="0.3">
      <c r="A70" s="2">
        <v>2</v>
      </c>
      <c r="C70" s="38" t="s">
        <v>31</v>
      </c>
      <c r="D70" s="42">
        <f>TRUNC(658,-1)</f>
        <v>650</v>
      </c>
      <c r="E70" s="63">
        <f t="shared" si="2"/>
        <v>2140</v>
      </c>
    </row>
    <row r="71" spans="1:7" x14ac:dyDescent="0.3">
      <c r="A71" s="2">
        <v>3</v>
      </c>
      <c r="C71" s="38" t="s">
        <v>32</v>
      </c>
      <c r="D71" s="42">
        <f>TRUNC(5610,-1)</f>
        <v>5610</v>
      </c>
      <c r="E71" s="63">
        <f t="shared" si="2"/>
        <v>18540</v>
      </c>
    </row>
    <row r="72" spans="1:7" x14ac:dyDescent="0.3">
      <c r="A72" s="2">
        <v>4</v>
      </c>
      <c r="C72" s="38" t="s">
        <v>33</v>
      </c>
      <c r="D72" s="42">
        <f>TRUNC(26704,-1)</f>
        <v>26700</v>
      </c>
      <c r="E72" s="63">
        <f t="shared" si="2"/>
        <v>88260</v>
      </c>
    </row>
    <row r="73" spans="1:7" x14ac:dyDescent="0.3">
      <c r="A73" s="2">
        <v>5</v>
      </c>
      <c r="C73" s="38" t="s">
        <v>34</v>
      </c>
      <c r="D73" s="42">
        <f>TRUNC(27018,-1)</f>
        <v>27010</v>
      </c>
      <c r="E73" s="63">
        <f t="shared" si="2"/>
        <v>89280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TRUNC(8066,-1)</f>
        <v>8060</v>
      </c>
      <c r="E75" s="63">
        <f t="shared" si="2"/>
        <v>26640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TRUNC(5474,-1)</f>
        <v>5470</v>
      </c>
      <c r="E89" s="63">
        <f t="shared" si="2"/>
        <v>18080</v>
      </c>
    </row>
    <row r="90" spans="1:7" x14ac:dyDescent="0.3">
      <c r="A90" s="2">
        <v>22</v>
      </c>
      <c r="C90" s="38" t="s">
        <v>36</v>
      </c>
      <c r="D90" s="42">
        <f>TRUNC(4694,-1)</f>
        <v>4690</v>
      </c>
      <c r="E90" s="63">
        <f t="shared" si="2"/>
        <v>15500</v>
      </c>
    </row>
    <row r="91" spans="1:7" x14ac:dyDescent="0.3">
      <c r="A91" s="2">
        <v>23</v>
      </c>
      <c r="C91" s="38" t="s">
        <v>37</v>
      </c>
      <c r="D91" s="42">
        <f>TRUNC(54540,-1)</f>
        <v>54540</v>
      </c>
      <c r="E91" s="63">
        <f t="shared" si="2"/>
        <v>180290</v>
      </c>
    </row>
    <row r="92" spans="1:7" x14ac:dyDescent="0.3">
      <c r="A92" s="2">
        <v>24</v>
      </c>
      <c r="C92" s="38" t="s">
        <v>38</v>
      </c>
      <c r="D92" s="42">
        <f>TRUNC(12861,-1)</f>
        <v>12860</v>
      </c>
      <c r="E92" s="63">
        <f t="shared" si="2"/>
        <v>42510</v>
      </c>
    </row>
    <row r="93" spans="1:7" x14ac:dyDescent="0.3">
      <c r="A93" s="2">
        <v>25</v>
      </c>
      <c r="C93" s="38" t="s">
        <v>148</v>
      </c>
      <c r="D93" s="42">
        <f>TRUNC(118892,-1)</f>
        <v>118890</v>
      </c>
      <c r="E93" s="63">
        <f t="shared" si="2"/>
        <v>393020</v>
      </c>
    </row>
    <row r="94" spans="1:7" ht="17.25" thickBot="1" x14ac:dyDescent="0.35">
      <c r="A94" s="2">
        <v>26</v>
      </c>
      <c r="C94" s="38" t="s">
        <v>47</v>
      </c>
      <c r="D94" s="43">
        <f>TRUNC(145931+62945+14096,-1)</f>
        <v>222970</v>
      </c>
      <c r="E94" s="64">
        <f t="shared" si="2"/>
        <v>737090</v>
      </c>
      <c r="F94" s="2" t="s">
        <v>260</v>
      </c>
    </row>
    <row r="95" spans="1:7" x14ac:dyDescent="0.3">
      <c r="A95" s="2">
        <v>27</v>
      </c>
      <c r="C95" s="27" t="s">
        <v>112</v>
      </c>
      <c r="D95" s="39">
        <f>SUM(D69:D94)</f>
        <v>521810</v>
      </c>
      <c r="E95" s="39">
        <f>SUM(E69:E94)</f>
        <v>1724930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TRUNC(89759,-1)</f>
        <v>89750</v>
      </c>
      <c r="E98" s="62">
        <f t="shared" ref="E98:E118" si="3">TRUNC(+D98*3.3058,-1)</f>
        <v>296690</v>
      </c>
    </row>
    <row r="99" spans="1:7" x14ac:dyDescent="0.3">
      <c r="A99" s="2">
        <v>2</v>
      </c>
      <c r="C99" s="38" t="s">
        <v>40</v>
      </c>
      <c r="D99" s="42">
        <f>TRUNC(17586,-1)</f>
        <v>17580</v>
      </c>
      <c r="E99" s="63">
        <f t="shared" si="3"/>
        <v>58110</v>
      </c>
    </row>
    <row r="100" spans="1:7" x14ac:dyDescent="0.3">
      <c r="A100" s="2">
        <v>3</v>
      </c>
      <c r="C100" s="38" t="s">
        <v>41</v>
      </c>
      <c r="D100" s="42">
        <f>TRUNC(43405,-1)</f>
        <v>43400</v>
      </c>
      <c r="E100" s="63">
        <f t="shared" si="3"/>
        <v>143470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TRUNC(19638,-1)</f>
        <v>19630</v>
      </c>
      <c r="E102" s="63">
        <f t="shared" si="3"/>
        <v>64890</v>
      </c>
    </row>
    <row r="103" spans="1:7" x14ac:dyDescent="0.3">
      <c r="A103" s="2">
        <v>6</v>
      </c>
      <c r="C103" s="38" t="s">
        <v>44</v>
      </c>
      <c r="D103" s="42">
        <f>TRUNC(3800,-1)</f>
        <v>3800</v>
      </c>
      <c r="E103" s="63">
        <f t="shared" si="3"/>
        <v>12560</v>
      </c>
    </row>
    <row r="104" spans="1:7" x14ac:dyDescent="0.3">
      <c r="A104" s="2">
        <v>7</v>
      </c>
      <c r="C104" s="38" t="s">
        <v>45</v>
      </c>
      <c r="D104" s="42">
        <v>0</v>
      </c>
      <c r="E104" s="63">
        <f t="shared" si="3"/>
        <v>0</v>
      </c>
    </row>
    <row r="105" spans="1:7" x14ac:dyDescent="0.3">
      <c r="A105" s="2">
        <v>8</v>
      </c>
      <c r="C105" s="38" t="s">
        <v>46</v>
      </c>
      <c r="D105" s="42">
        <f>TRUNC(9268,-1)</f>
        <v>9260</v>
      </c>
      <c r="E105" s="63">
        <f t="shared" si="3"/>
        <v>30610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TRUNC(22225,-1)</f>
        <v>22220</v>
      </c>
      <c r="E114" s="63">
        <f t="shared" si="3"/>
        <v>73450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f>TRUNC(275049,-1)</f>
        <v>275040</v>
      </c>
      <c r="E117" s="63">
        <f t="shared" si="3"/>
        <v>909220</v>
      </c>
    </row>
    <row r="118" spans="1:7" ht="17.25" thickBot="1" x14ac:dyDescent="0.35">
      <c r="A118" s="2">
        <v>21</v>
      </c>
      <c r="C118" s="38" t="s">
        <v>47</v>
      </c>
      <c r="D118" s="43">
        <v>0</v>
      </c>
      <c r="E118" s="64">
        <f t="shared" si="3"/>
        <v>0</v>
      </c>
    </row>
    <row r="119" spans="1:7" x14ac:dyDescent="0.3">
      <c r="A119" s="2">
        <v>22</v>
      </c>
      <c r="C119" s="27" t="s">
        <v>112</v>
      </c>
      <c r="D119" s="39">
        <f>SUM(D98:D118)</f>
        <v>480680</v>
      </c>
      <c r="E119" s="39">
        <f>SUM(E98:E118)</f>
        <v>1589000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TRUNC(614,-1)</f>
        <v>610</v>
      </c>
      <c r="E122" s="62">
        <f t="shared" ref="E122:E132" si="4">TRUNC(+D122*3.3058,-1)</f>
        <v>2010</v>
      </c>
      <c r="F122" s="2" t="s">
        <v>255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TRUNC(1789,-1)</f>
        <v>1780</v>
      </c>
      <c r="E125" s="63">
        <f t="shared" si="4"/>
        <v>5880</v>
      </c>
    </row>
    <row r="126" spans="1:7" x14ac:dyDescent="0.3">
      <c r="A126" s="2">
        <v>5</v>
      </c>
      <c r="C126" s="38" t="s">
        <v>53</v>
      </c>
      <c r="D126" s="42">
        <f>TRUNC(4572,-1)</f>
        <v>4570</v>
      </c>
      <c r="E126" s="63">
        <f t="shared" si="4"/>
        <v>15100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4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TRUNC(15830,-1)</f>
        <v>15830</v>
      </c>
      <c r="E130" s="63">
        <f t="shared" si="4"/>
        <v>52330</v>
      </c>
    </row>
    <row r="131" spans="1:7" x14ac:dyDescent="0.3">
      <c r="A131" s="2">
        <v>10</v>
      </c>
      <c r="C131" s="38" t="s">
        <v>148</v>
      </c>
      <c r="D131" s="42">
        <f>TRUNC(14430,-1)</f>
        <v>14430</v>
      </c>
      <c r="E131" s="63">
        <f t="shared" si="4"/>
        <v>47700</v>
      </c>
    </row>
    <row r="132" spans="1:7" ht="18" thickBot="1" x14ac:dyDescent="0.35">
      <c r="A132" s="2">
        <v>11</v>
      </c>
      <c r="C132" s="38" t="s">
        <v>47</v>
      </c>
      <c r="D132" s="43">
        <f>TRUNC(2731,-1)</f>
        <v>2730</v>
      </c>
      <c r="E132" s="64">
        <f t="shared" si="4"/>
        <v>9020</v>
      </c>
      <c r="F132" s="54" t="s">
        <v>256</v>
      </c>
    </row>
    <row r="133" spans="1:7" x14ac:dyDescent="0.3">
      <c r="A133" s="2">
        <v>12</v>
      </c>
      <c r="C133" s="27" t="s">
        <v>112</v>
      </c>
      <c r="D133" s="39">
        <f>SUM(D122:D132)</f>
        <v>39950</v>
      </c>
      <c r="E133" s="39">
        <f>SUM(E122:E132)</f>
        <v>132040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TRUNC(1289,-1)</f>
        <v>1280</v>
      </c>
      <c r="E137" s="63">
        <f t="shared" si="5"/>
        <v>4230</v>
      </c>
      <c r="F137" s="2" t="s">
        <v>257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f>TRUNC(58226,-1)</f>
        <v>58220</v>
      </c>
      <c r="E142" s="63">
        <f t="shared" si="5"/>
        <v>192460</v>
      </c>
    </row>
    <row r="143" spans="1:7" x14ac:dyDescent="0.3">
      <c r="A143" s="2">
        <v>8</v>
      </c>
      <c r="C143" s="38" t="s">
        <v>62</v>
      </c>
      <c r="D143" s="42">
        <f>TRUNC(13559,-1)</f>
        <v>13550</v>
      </c>
      <c r="E143" s="63">
        <f t="shared" si="5"/>
        <v>44790</v>
      </c>
    </row>
    <row r="144" spans="1:7" x14ac:dyDescent="0.3">
      <c r="A144" s="2">
        <v>9</v>
      </c>
      <c r="C144" s="38" t="s">
        <v>63</v>
      </c>
      <c r="D144" s="42">
        <f>TRUNC(33126,-1)</f>
        <v>33120</v>
      </c>
      <c r="E144" s="63">
        <f t="shared" si="5"/>
        <v>109480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106170</v>
      </c>
      <c r="E146" s="39">
        <f>SUM(E136:E145)</f>
        <v>350960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TRUNC(7331+3567,-1)</f>
        <v>10890</v>
      </c>
      <c r="E149" s="62">
        <f>TRUNC(+D149*3.3058,-1)</f>
        <v>36000</v>
      </c>
      <c r="F149" s="2" t="s">
        <v>258</v>
      </c>
    </row>
    <row r="150" spans="1:7" x14ac:dyDescent="0.3">
      <c r="A150" s="2">
        <v>2</v>
      </c>
      <c r="C150" s="38" t="s">
        <v>49</v>
      </c>
      <c r="D150" s="42">
        <f>TRUNC(11486,-1)</f>
        <v>11480</v>
      </c>
      <c r="E150" s="63">
        <f>TRUNC(+D150*3.3058,-1)</f>
        <v>37950</v>
      </c>
    </row>
    <row r="151" spans="1:7" x14ac:dyDescent="0.3">
      <c r="A151" s="2">
        <v>3</v>
      </c>
      <c r="C151" s="38" t="s">
        <v>50</v>
      </c>
      <c r="D151" s="42">
        <f>TRUNC(10004,-1)</f>
        <v>10000</v>
      </c>
      <c r="E151" s="63">
        <f>TRUNC(+D151*3.3058,-1)</f>
        <v>33050</v>
      </c>
    </row>
    <row r="152" spans="1:7" x14ac:dyDescent="0.3">
      <c r="A152" s="2">
        <v>4</v>
      </c>
      <c r="C152" s="38" t="s">
        <v>47</v>
      </c>
      <c r="D152" s="42">
        <f>TRUNC(395+32003+1860,-1)</f>
        <v>34250</v>
      </c>
      <c r="E152" s="63">
        <f>TRUNC(+D152*3.3058,-1)</f>
        <v>113220</v>
      </c>
      <c r="F152" s="2" t="s">
        <v>259</v>
      </c>
    </row>
    <row r="153" spans="1:7" ht="17.25" thickBot="1" x14ac:dyDescent="0.35">
      <c r="A153" s="2">
        <v>5</v>
      </c>
      <c r="C153" s="38" t="s">
        <v>148</v>
      </c>
      <c r="D153" s="43">
        <f>TRUNC(27316,-1)</f>
        <v>27310</v>
      </c>
      <c r="E153" s="64">
        <f>TRUNC(+D153*3.3058,-1)</f>
        <v>90280</v>
      </c>
    </row>
    <row r="154" spans="1:7" x14ac:dyDescent="0.3">
      <c r="A154" s="2">
        <v>6</v>
      </c>
      <c r="C154" s="27" t="s">
        <v>112</v>
      </c>
      <c r="D154" s="39">
        <f>SUM(D149:D153)</f>
        <v>93930</v>
      </c>
      <c r="E154" s="39">
        <f>SUM(E149:E153)</f>
        <v>310500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2020-12-08T02:46:26Z</dcterms:modified>
</cp:coreProperties>
</file>