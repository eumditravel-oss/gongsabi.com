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1" i="4"/>
  <c r="D150" i="4"/>
  <c r="D149" i="4"/>
  <c r="D144" i="4"/>
  <c r="D143" i="4"/>
  <c r="D142" i="4"/>
  <c r="D141" i="4"/>
  <c r="D139" i="4"/>
  <c r="D137" i="4"/>
  <c r="D132" i="4"/>
  <c r="D131" i="4"/>
  <c r="D130" i="4"/>
  <c r="D128" i="4"/>
  <c r="D125" i="4"/>
  <c r="D124" i="4"/>
  <c r="D122" i="4"/>
  <c r="D118" i="4"/>
  <c r="D116" i="4"/>
  <c r="D114" i="4"/>
  <c r="D105" i="4"/>
  <c r="D104" i="4"/>
  <c r="D102" i="4"/>
  <c r="D100" i="4"/>
  <c r="D98" i="4"/>
  <c r="D94" i="4"/>
  <c r="D92" i="4"/>
  <c r="D91" i="4"/>
  <c r="D89" i="4"/>
  <c r="D75" i="4"/>
  <c r="D73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<sst xmlns="http://schemas.openxmlformats.org/spreadsheetml/2006/main" count="392" uniqueCount="266">
  <si>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</si>
  <si>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</si>
  <si>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</si>
  <si>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</si>
  <si>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</si>
  <si>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</si>
  <si>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</si>
  <si>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</si>
  <si>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</si>
  <si>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</si>
  <si>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</si>
  <si>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</si>
  <si>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</si>
  <si>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</si>
  <si>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</si>
  <si>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</si>
  <si>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</si>
  <si>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</si>
  <si>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</si>
  <si>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</si>
  <si>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</si>
  <si>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</si>
  <si>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</si>
  <si>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</si>
  <si>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</si>
  <si>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</si>
  <si>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</si>
  <si>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</si>
  <si>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</si>
  <si>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</si>
  <si>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</si>
  <si>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</si>
  <si>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</si>
  <si>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</si>
  <si>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</si>
  <si>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</si>
  <si>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</si>
  <si>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</si>
  <si>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</si>
  <si>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</si>
  <si>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</si>
  <si>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</si>
  <si>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</si>
  <si>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</si>
  <si>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</si>
  <si>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</si>
  <si>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</si>
  <si>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</si>
  <si>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</si>
  <si>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</si>
  <si>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</si>
  <si>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</si>
  <si>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</si>
  <si>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</si>
  <si>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</si>
  <si>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</si>
  <si>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</si>
  <si>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</si>
  <si>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</si>
  <si>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</si>
  <si>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</si>
  <si>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</si>
  <si>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</si>
  <si>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</si>
  <si>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</si>
  <si>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</si>
  <si>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</si>
  <si>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</si>
  <si>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</si>
  <si>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</si>
  <si>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</si>
  <si>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</si>
  <si>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</si>
  <si>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</si>
  <si>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</si>
  <si>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</si>
  <si>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</si>
  <si>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</si>
  <si>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</si>
  <si>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</si>
  <si>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</si>
  <si>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</si>
  <si>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</si>
  <si>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</si>
  <si>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</si>
  <si>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</si>
  <si>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</si>
  <si>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</si>
  <si>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</si>
  <si>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</si>
  <si>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</si>
  <si>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</si>
  <si>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</si>
  <si>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</si>
  <si>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</si>
  <si>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</si>
  <si>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</si>
  <si>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</si>
  <si>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</si>
  <si>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</si>
  <si>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</si>
  <si>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</si>
  <si>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</si>
  <si>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</si>
  <si>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</si>
  <si>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</si>
  <si>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</si>
  <si>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</si>
  <si>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</si>
  <si>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</si>
  <si>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</si>
  <si>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</si>
  <si>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</si>
  <si>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</si>
  <si>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</si>
  <si>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</si>
  <si>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</si>
  <si>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</si>
  <si>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</si>
  <si>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</si>
  <si>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</si>
  <si>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</si>
  <si>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</si>
  <si>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</si>
  <si>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</si>
  <si>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</si>
  <si>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</si>
  <si>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</si>
  <si>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</si>
  <si>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</si>
  <si>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</si>
  <si>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</si>
  <si>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</si>
  <si>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</si>
  <si>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</si>
  <si>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</si>
  <si>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</si>
  <si>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</si>
  <si>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</si>
  <si>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</si>
  <si>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</si>
  <si>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</si>
  <si>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</si>
  <si>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</si>
  <si>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</si>
  <si>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</si>
  <si>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</si>
  <si>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</si>
  <si>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</si>
  <si>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</si>
  <si>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</si>
  <si>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</si>
  <si>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</si>
  <si>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</si>
  <si>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</si>
  <si>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</si>
  <si>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</si>
  <si>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</si>
  <si>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</si>
  <si>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</si>
  <si>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</si>
  <si>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</si>
  <si>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</si>
  <si>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</si>
  <si>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</si>
  <si>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</si>
  <si>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</si>
  <si>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</si>
  <si>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</si>
  <si>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</si>
  <si>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</si>
  <si>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</si>
  <si>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</si>
  <si>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</si>
  <si>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</si>
  <si>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</si>
  <si>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</si>
  <si>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</si>
  <si>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</si>
  <si>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</si>
  <si>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</si>
  <si>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</si>
  <si>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</si>
  <si>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</si>
  <si>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</si>
  <si>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</si>
  <si>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</si>
  <si>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</si>
  <si>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</si>
  <si>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</si>
  <si>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</si>
  <si>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</si>
  <si>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</si>
  <si>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</si>
  <si>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</si>
  <si>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</si>
  <si>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</si>
  <si>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</si>
  <si>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</si>
  <si>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</si>
  <si>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</si>
  <si>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</si>
  <si>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</si>
  <si>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</si>
  <si>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</si>
  <si>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</si>
  <si>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</si>
  <si>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</si>
  <si>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</si>
  <si>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</si>
  <si>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</si>
  <si>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</si>
  <si>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</si>
  <si>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</si>
  <si>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</si>
  <si>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</si>
  <si>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</si>
  <si>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</si>
  <si>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</si>
  <si>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</si>
  <si>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</si>
  <si>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</si>
  <si>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</si>
  <si>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</si>
  <si>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</si>
  <si>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</si>
  <si>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</si>
  <si>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</si>
  <si>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</si>
  <si>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</si>
  <si>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</si>
  <si>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</si>
  <si>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</si>
  <si>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</si>
  <si>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</si>
  <si>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</si>
  <si>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</si>
  <si>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</si>
  <si>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</si>
  <si>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</si>
  <si>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</si>
  <si>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</si>
  <si>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</si>
  <si>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</si>
  <si>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</si>
  <si>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</si>
  <si>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</si>
  <si>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</si>
  <si>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</si>
  <si>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</si>
  <si>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</si>
  <si>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</si>
  <si>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</si>
  <si>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</si>
  <si>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</si>
  <si>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</si>
  <si>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친환경전지융합 실증화단지 건립공사</t>
    <phoneticPr fontId="2" type="noConversion"/>
  </si>
  <si>
    <t>울산시</t>
  </si>
  <si>
    <t>기초공사, 골재비및운반비, 품질시험비,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</si>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</sst>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3799.96</v>
      </c>
      <c r="D7" s="36">
        <f>+C7/3.3058</f>
        <v>1149.4827273277269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823260</v>
      </c>
      <c r="E25" s="59">
        <f t="shared" si="0"/>
        <v>2721530</v>
      </c>
    </row>
    <row r="26" spans="1:5" x14ac:dyDescent="0.3">
      <c r="B26" s="2">
        <v>3</v>
      </c>
      <c r="C26" s="35" t="s">
        <v>95</v>
      </c>
      <c r="D26" s="45">
        <f>+D66</f>
        <v>25120</v>
      </c>
      <c r="E26" s="59">
        <f t="shared" si="0"/>
        <v>83040</v>
      </c>
    </row>
    <row r="27" spans="1:5" x14ac:dyDescent="0.3">
      <c r="B27" s="2">
        <v>4</v>
      </c>
      <c r="C27" s="35" t="s">
        <v>96</v>
      </c>
      <c r="D27" s="45">
        <f>+D95</f>
        <v>214020</v>
      </c>
      <c r="E27" s="59">
        <f t="shared" si="0"/>
        <v>707500</v>
      </c>
    </row>
    <row r="28" spans="1:5" x14ac:dyDescent="0.3">
      <c r="B28" s="2">
        <v>5</v>
      </c>
      <c r="C28" s="35" t="s">
        <v>97</v>
      </c>
      <c r="D28" s="45">
        <f>+D119</f>
        <v>337060</v>
      </c>
      <c r="E28" s="59">
        <f t="shared" si="0"/>
        <v>1114250</v>
      </c>
    </row>
    <row r="29" spans="1:5" x14ac:dyDescent="0.3">
      <c r="B29" s="2">
        <v>6</v>
      </c>
      <c r="C29" s="35" t="s">
        <v>98</v>
      </c>
      <c r="D29" s="45">
        <f>+D133</f>
        <v>94490</v>
      </c>
      <c r="E29" s="59">
        <f t="shared" si="0"/>
        <v>312360</v>
      </c>
    </row>
    <row r="30" spans="1:5" x14ac:dyDescent="0.3">
      <c r="B30" s="2">
        <v>7</v>
      </c>
      <c r="C30" s="35" t="s">
        <v>99</v>
      </c>
      <c r="D30" s="45">
        <f>+D146</f>
        <v>29750</v>
      </c>
      <c r="E30" s="59">
        <f t="shared" si="0"/>
        <v>98340</v>
      </c>
    </row>
    <row r="31" spans="1:5" x14ac:dyDescent="0.3">
      <c r="B31" s="2">
        <v>8</v>
      </c>
      <c r="C31" s="35" t="s">
        <v>100</v>
      </c>
      <c r="D31" s="45">
        <f>+D154</f>
        <v>37250</v>
      </c>
      <c r="E31" s="59">
        <f t="shared" si="0"/>
        <v>123140</v>
      </c>
    </row>
    <row r="32" spans="1:5" x14ac:dyDescent="0.3">
      <c r="B32" s="2">
        <v>9</v>
      </c>
      <c r="C32" s="35" t="s">
        <v>101</v>
      </c>
      <c r="D32" s="45">
        <f>+D161</f>
        <v>36110</v>
      </c>
      <c r="E32" s="59">
        <f t="shared" si="0"/>
        <v>119370</v>
      </c>
    </row>
    <row r="33" spans="1:7" x14ac:dyDescent="0.3">
      <c r="B33" s="2">
        <v>10</v>
      </c>
      <c r="C33" s="35" t="s">
        <v>155</v>
      </c>
      <c r="D33" s="53">
        <f>TRUNC(SUM(D24:D32)*0.275,-1)</f>
        <v>439190</v>
      </c>
      <c r="E33" s="60">
        <f t="shared" si="0"/>
        <v>1451870</v>
      </c>
    </row>
    <row r="34" spans="1:7" x14ac:dyDescent="0.3">
      <c r="C34" s="35" t="s">
        <v>112</v>
      </c>
      <c r="D34" s="44">
        <f>SUM(D24:D33)</f>
        <v>2036250</v>
      </c>
      <c r="E34" s="44">
        <f>SUM(E24:E33)</f>
        <v>6731400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TRUNC(67379,-1)</f>
        <v>67370</v>
      </c>
      <c r="E40" s="62">
        <f t="shared" ref="E40:E59" si="1">TRUNC(+D40*3.3058,-1)</f>
        <v>222710</v>
      </c>
    </row>
    <row r="41" spans="1:7" x14ac:dyDescent="0.3">
      <c r="A41" s="2">
        <v>2</v>
      </c>
      <c r="C41" s="38" t="s">
        <v>13</v>
      </c>
      <c r="D41" s="42">
        <f>TRUNC(107811,-1)</f>
        <v>107810</v>
      </c>
      <c r="E41" s="63">
        <f t="shared" si="1"/>
        <v>356390</v>
      </c>
    </row>
    <row r="42" spans="1:7" x14ac:dyDescent="0.3">
      <c r="A42" s="2">
        <v>3</v>
      </c>
      <c r="C42" s="38" t="s">
        <v>14</v>
      </c>
      <c r="D42" s="42">
        <f>TRUNC(25978,-1)</f>
        <v>25970</v>
      </c>
      <c r="E42" s="63">
        <f t="shared" si="1"/>
        <v>85850</v>
      </c>
    </row>
    <row r="43" spans="1:7" x14ac:dyDescent="0.3">
      <c r="A43" s="2">
        <v>4</v>
      </c>
      <c r="C43" s="38" t="s">
        <v>16</v>
      </c>
      <c r="D43" s="42">
        <f>TRUNC(20158,-1)</f>
        <v>20150</v>
      </c>
      <c r="E43" s="63">
        <f t="shared" si="1"/>
        <v>66610</v>
      </c>
    </row>
    <row r="44" spans="1:7" x14ac:dyDescent="0.3">
      <c r="A44" s="2">
        <v>5</v>
      </c>
      <c r="C44" s="38" t="s">
        <v>17</v>
      </c>
      <c r="D44" s="42">
        <f>TRUNC(28196,-1)</f>
        <v>28190</v>
      </c>
      <c r="E44" s="63">
        <f t="shared" si="1"/>
        <v>93190</v>
      </c>
    </row>
    <row r="45" spans="1:7" x14ac:dyDescent="0.3">
      <c r="A45" s="2">
        <v>6</v>
      </c>
      <c r="C45" s="38" t="s">
        <v>18</v>
      </c>
      <c r="D45" s="42">
        <f>TRUNC(3964,-1)</f>
        <v>3960</v>
      </c>
      <c r="E45" s="63">
        <f t="shared" si="1"/>
        <v>13090</v>
      </c>
    </row>
    <row r="46" spans="1:7" x14ac:dyDescent="0.3">
      <c r="A46" s="2">
        <v>7</v>
      </c>
      <c r="C46" s="38" t="s">
        <v>19</v>
      </c>
      <c r="D46" s="42">
        <f>TRUNC(18069,-1)</f>
        <v>18060</v>
      </c>
      <c r="E46" s="63">
        <f t="shared" si="1"/>
        <v>59700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TRUNC(119208,-1)</f>
        <v>119200</v>
      </c>
      <c r="E48" s="63">
        <f t="shared" si="1"/>
        <v>394050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TRUNC(14745,-1)</f>
        <v>14740</v>
      </c>
      <c r="E49" s="63">
        <f t="shared" si="1"/>
        <v>48720</v>
      </c>
    </row>
    <row r="50" spans="1:7" x14ac:dyDescent="0.3">
      <c r="A50" s="2">
        <v>11</v>
      </c>
      <c r="C50" s="38" t="s">
        <v>156</v>
      </c>
      <c r="D50" s="42">
        <f>TRUNC(43692,-1)</f>
        <v>43690</v>
      </c>
      <c r="E50" s="63">
        <f t="shared" si="1"/>
        <v>144430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TRUNC(19792,-1)</f>
        <v>19790</v>
      </c>
      <c r="E52" s="63">
        <f t="shared" si="1"/>
        <v>65420</v>
      </c>
    </row>
    <row r="53" spans="1:7" x14ac:dyDescent="0.3">
      <c r="A53" s="2">
        <v>14</v>
      </c>
      <c r="C53" s="38" t="s">
        <v>25</v>
      </c>
      <c r="D53" s="42">
        <f>TRUNC(74056,-1)</f>
        <v>74050</v>
      </c>
      <c r="E53" s="63">
        <f t="shared" si="1"/>
        <v>244790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TRUNC(2484+6583+943+14091,-1)</f>
        <v>24100</v>
      </c>
      <c r="E58" s="63">
        <f t="shared" si="1"/>
        <v>79660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TRUNC(256185,-1)</f>
        <v>256180</v>
      </c>
      <c r="E59" s="64">
        <f t="shared" si="1"/>
        <v>846870</v>
      </c>
    </row>
    <row r="60" spans="1:7" x14ac:dyDescent="0.3">
      <c r="A60" s="2">
        <v>21</v>
      </c>
      <c r="C60" s="27" t="s">
        <v>112</v>
      </c>
      <c r="D60" s="39">
        <f>SUM(D40:D59)</f>
        <v>823260</v>
      </c>
      <c r="E60" s="39">
        <f>SUM(E40:E59)</f>
        <v>2721480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TRUNC(5241,-1)</f>
        <v>5240</v>
      </c>
      <c r="E63" s="62">
        <f>TRUNC(+D63*3.3058,-1)</f>
        <v>17320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TRUNC(19883,-1)</f>
        <v>19880</v>
      </c>
      <c r="E65" s="64">
        <f>TRUNC(+D65*3.3058,-1)</f>
        <v>65710</v>
      </c>
    </row>
    <row r="66" spans="1:7" x14ac:dyDescent="0.3">
      <c r="A66" s="2">
        <v>4</v>
      </c>
      <c r="C66" s="27" t="s">
        <v>112</v>
      </c>
      <c r="D66" s="39">
        <f>SUM(D63:D65)</f>
        <v>25120</v>
      </c>
      <c r="E66" s="65">
        <f>SUM(E63:E65)</f>
        <v>83030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TRUNC(15091,-1)</f>
        <v>15090</v>
      </c>
      <c r="E69" s="62">
        <f t="shared" ref="E69:E94" si="2">TRUNC(+D69*3.3058,-1)</f>
        <v>49880</v>
      </c>
    </row>
    <row r="70" spans="1:7" ht="16.5" customHeight="1" x14ac:dyDescent="0.3">
      <c r="A70" s="2">
        <v>2</v>
      </c>
      <c r="C70" s="38" t="s">
        <v>31</v>
      </c>
      <c r="D70" s="42">
        <f>TRUNC(1168,-1)</f>
        <v>1160</v>
      </c>
      <c r="E70" s="63">
        <f t="shared" si="2"/>
        <v>3830</v>
      </c>
    </row>
    <row r="71" spans="1:7" x14ac:dyDescent="0.3">
      <c r="A71" s="2">
        <v>3</v>
      </c>
      <c r="C71" s="38" t="s">
        <v>32</v>
      </c>
      <c r="D71" s="42">
        <f>TRUNC(15354,-1)</f>
        <v>15350</v>
      </c>
      <c r="E71" s="63">
        <f t="shared" si="2"/>
        <v>50740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TRUNC(9513,-1)</f>
        <v>9510</v>
      </c>
      <c r="E73" s="63">
        <f t="shared" si="2"/>
        <v>31430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TRUNC(575,-1)</f>
        <v>570</v>
      </c>
      <c r="E75" s="63">
        <f t="shared" si="2"/>
        <v>1880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TRUNC(3334,-1)</f>
        <v>3330</v>
      </c>
      <c r="E89" s="63">
        <f t="shared" si="2"/>
        <v>11000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TRUNC(36548,-1)</f>
        <v>36540</v>
      </c>
      <c r="E91" s="63">
        <f t="shared" si="2"/>
        <v>120790</v>
      </c>
    </row>
    <row r="92" spans="1:7" x14ac:dyDescent="0.3">
      <c r="A92" s="2">
        <v>24</v>
      </c>
      <c r="C92" s="38" t="s">
        <v>38</v>
      </c>
      <c r="D92" s="42">
        <f>TRUNC(2866,-1)</f>
        <v>2860</v>
      </c>
      <c r="E92" s="63">
        <f t="shared" si="2"/>
        <v>9450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TRUNC(129612,-1)</f>
        <v>129610</v>
      </c>
      <c r="E94" s="64">
        <f t="shared" si="2"/>
        <v>428460</v>
      </c>
    </row>
    <row r="95" spans="1:7" x14ac:dyDescent="0.3">
      <c r="A95" s="2">
        <v>27</v>
      </c>
      <c r="C95" s="27" t="s">
        <v>112</v>
      </c>
      <c r="D95" s="39">
        <f>SUM(D69:D94)</f>
        <v>214020</v>
      </c>
      <c r="E95" s="39">
        <f>SUM(E69:E94)</f>
        <v>707460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TRUNC(62613,-1)</f>
        <v>62610</v>
      </c>
      <c r="E98" s="62">
        <f t="shared" ref="E98:E118" si="3">TRUNC(+D98*3.3058,-1)</f>
        <v>206970</v>
      </c>
    </row>
    <row r="99" spans="1:7" x14ac:dyDescent="0.3">
      <c r="A99" s="2">
        <v>2</v>
      </c>
      <c r="C99" s="38" t="s">
        <v>40</v>
      </c>
      <c r="D99" s="42">
        <v>8060</v>
      </c>
      <c r="E99" s="63">
        <f t="shared" si="3"/>
        <v>26640</v>
      </c>
    </row>
    <row r="100" spans="1:7" x14ac:dyDescent="0.3">
      <c r="A100" s="2">
        <v>3</v>
      </c>
      <c r="C100" s="38" t="s">
        <v>41</v>
      </c>
      <c r="D100" s="42">
        <f>TRUNC(31686,-1)</f>
        <v>31680</v>
      </c>
      <c r="E100" s="63">
        <f t="shared" si="3"/>
        <v>104720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TRUNC(13093,-1)</f>
        <v>13090</v>
      </c>
      <c r="E102" s="63">
        <f t="shared" si="3"/>
        <v>43270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TRUNC(22447,-1)</f>
        <v>22440</v>
      </c>
      <c r="E104" s="63">
        <f t="shared" si="3"/>
        <v>74180</v>
      </c>
    </row>
    <row r="105" spans="1:7" x14ac:dyDescent="0.3">
      <c r="A105" s="2">
        <v>8</v>
      </c>
      <c r="C105" s="38" t="s">
        <v>46</v>
      </c>
      <c r="D105" s="42">
        <f>TRUNC(5927,-1)</f>
        <v>5920</v>
      </c>
      <c r="E105" s="63">
        <f t="shared" si="3"/>
        <v>19570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TRUNC(3591,-1)</f>
        <v>3590</v>
      </c>
      <c r="E114" s="63">
        <f t="shared" si="3"/>
        <v>11860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TRUNC(9166,-1)</f>
        <v>9160</v>
      </c>
      <c r="E116" s="63">
        <f t="shared" si="3"/>
        <v>30280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TRUNC(180517,-1)</f>
        <v>180510</v>
      </c>
      <c r="E118" s="64">
        <f t="shared" si="3"/>
        <v>596720</v>
      </c>
    </row>
    <row r="119" spans="1:7" x14ac:dyDescent="0.3">
      <c r="A119" s="2">
        <v>22</v>
      </c>
      <c r="C119" s="27" t="s">
        <v>112</v>
      </c>
      <c r="D119" s="39">
        <f>SUM(D98:D118)</f>
        <v>337060</v>
      </c>
      <c r="E119" s="39">
        <f>SUM(E98:E118)</f>
        <v>1114210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TRUNC(5791,-1)</f>
        <v>5790</v>
      </c>
      <c r="E122" s="62">
        <f t="shared" ref="E122:E132" si="4">TRUNC(+D122*3.3058,-1)</f>
        <v>19140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TRUNC(614,-1)</f>
        <v>610</v>
      </c>
      <c r="E124" s="63">
        <f t="shared" si="4"/>
        <v>2010</v>
      </c>
    </row>
    <row r="125" spans="1:7" x14ac:dyDescent="0.3">
      <c r="A125" s="2">
        <v>4</v>
      </c>
      <c r="C125" s="38" t="s">
        <v>138</v>
      </c>
      <c r="D125" s="42">
        <f>TRUNC(7344,-1)</f>
        <v>7340</v>
      </c>
      <c r="E125" s="63">
        <f t="shared" si="4"/>
        <v>24260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TRUNC(4033,-1)</f>
        <v>4030</v>
      </c>
      <c r="E128" s="63">
        <f t="shared" si="4"/>
        <v>13320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TRUNC(35077,-1)</f>
        <v>35070</v>
      </c>
      <c r="E130" s="63">
        <f t="shared" si="4"/>
        <v>115930</v>
      </c>
    </row>
    <row r="131" spans="1:7" x14ac:dyDescent="0.3">
      <c r="A131" s="2">
        <v>10</v>
      </c>
      <c r="C131" s="38" t="s">
        <v>149</v>
      </c>
      <c r="D131" s="42">
        <f>TRUNC(11062,-1)</f>
        <v>11060</v>
      </c>
      <c r="E131" s="63">
        <f t="shared" si="4"/>
        <v>36560</v>
      </c>
    </row>
    <row r="132" spans="1:7" ht="18" thickBot="1" x14ac:dyDescent="0.35">
      <c r="A132" s="2">
        <v>11</v>
      </c>
      <c r="C132" s="38" t="s">
        <v>47</v>
      </c>
      <c r="D132" s="43">
        <f>TRUNC(30595,-1)</f>
        <v>30590</v>
      </c>
      <c r="E132" s="64">
        <f t="shared" si="4"/>
        <v>101120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94490</v>
      </c>
      <c r="E133" s="39">
        <f>SUM(E122:E132)</f>
        <v>312340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TRUNC(2015+91,-1)</f>
        <v>2100</v>
      </c>
      <c r="E137" s="63">
        <f t="shared" si="5"/>
        <v>6940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TRUNC(2688,-1)</f>
        <v>2680</v>
      </c>
      <c r="E139" s="63">
        <f t="shared" si="5"/>
        <v>8850</v>
      </c>
    </row>
    <row r="140" spans="1:7" x14ac:dyDescent="0.3">
      <c r="A140" s="2">
        <v>5</v>
      </c>
      <c r="C140" s="38" t="s">
        <v>57</v>
      </c>
      <c r="D140" s="42">
        <v>1360</v>
      </c>
      <c r="E140" s="63">
        <f t="shared" si="5"/>
        <v>4490</v>
      </c>
    </row>
    <row r="141" spans="1:7" x14ac:dyDescent="0.3">
      <c r="A141" s="2">
        <v>6</v>
      </c>
      <c r="C141" s="38" t="s">
        <v>59</v>
      </c>
      <c r="D141" s="42">
        <f>TRUNC(1425,-1)</f>
        <v>1420</v>
      </c>
      <c r="E141" s="63">
        <f t="shared" si="5"/>
        <v>4690</v>
      </c>
    </row>
    <row r="142" spans="1:7" x14ac:dyDescent="0.3">
      <c r="A142" s="2">
        <v>7</v>
      </c>
      <c r="C142" s="38" t="s">
        <v>58</v>
      </c>
      <c r="D142" s="42">
        <f>TRUNC(3245,-1)</f>
        <v>3240</v>
      </c>
      <c r="E142" s="63">
        <f t="shared" si="5"/>
        <v>10710</v>
      </c>
    </row>
    <row r="143" spans="1:7" x14ac:dyDescent="0.3">
      <c r="A143" s="2">
        <v>8</v>
      </c>
      <c r="C143" s="38" t="s">
        <v>62</v>
      </c>
      <c r="D143" s="42">
        <f>TRUNC(3319,-1)</f>
        <v>3310</v>
      </c>
      <c r="E143" s="63">
        <f t="shared" si="5"/>
        <v>10940</v>
      </c>
    </row>
    <row r="144" spans="1:7" x14ac:dyDescent="0.3">
      <c r="A144" s="2">
        <v>9</v>
      </c>
      <c r="C144" s="38" t="s">
        <v>63</v>
      </c>
      <c r="D144" s="42">
        <f>TRUNC(15643,-1)</f>
        <v>15640</v>
      </c>
      <c r="E144" s="63">
        <f t="shared" si="5"/>
        <v>51700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29750</v>
      </c>
      <c r="E146" s="39">
        <f>SUM(E136:E145)</f>
        <v>98320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TRUNC(10068+2169,-1)</f>
        <v>12230</v>
      </c>
      <c r="E149" s="62">
        <f>TRUNC(+D149*3.3058,-1)</f>
        <v>40420</v>
      </c>
    </row>
    <row r="150" spans="1:7" x14ac:dyDescent="0.3">
      <c r="A150" s="2">
        <v>2</v>
      </c>
      <c r="C150" s="38" t="s">
        <v>49</v>
      </c>
      <c r="D150" s="42">
        <f>TRUNC(8292,-1)</f>
        <v>8290</v>
      </c>
      <c r="E150" s="63">
        <f>TRUNC(+D150*3.3058,-1)</f>
        <v>27400</v>
      </c>
    </row>
    <row r="151" spans="1:7" x14ac:dyDescent="0.3">
      <c r="A151" s="2">
        <v>3</v>
      </c>
      <c r="C151" s="38" t="s">
        <v>50</v>
      </c>
      <c r="D151" s="42">
        <f>TRUNC(10692,-1)</f>
        <v>10690</v>
      </c>
      <c r="E151" s="63">
        <f>TRUNC(+D151*3.3058,-1)</f>
        <v>35330</v>
      </c>
    </row>
    <row r="152" spans="1:7" x14ac:dyDescent="0.3">
      <c r="A152" s="2">
        <v>4</v>
      </c>
      <c r="C152" s="38" t="s">
        <v>47</v>
      </c>
      <c r="D152" s="42">
        <f>TRUNC(829+3001+2170+42,-1)</f>
        <v>6040</v>
      </c>
      <c r="E152" s="63">
        <f>TRUNC(+D152*3.3058,-1)</f>
        <v>19960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37250</v>
      </c>
      <c r="E154" s="39">
        <f>SUM(E149:E153)</f>
        <v>123110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TRUNC(19415,-1)</f>
        <v>19410</v>
      </c>
      <c r="E157" s="62">
        <f>TRUNC(+D157*3.3058,-1)</f>
        <v>64160</v>
      </c>
    </row>
    <row r="158" spans="1:7" x14ac:dyDescent="0.3">
      <c r="A158" s="2">
        <v>2</v>
      </c>
      <c r="C158" s="38" t="s">
        <v>52</v>
      </c>
      <c r="D158" s="42">
        <v>11780</v>
      </c>
      <c r="E158" s="63">
        <f>TRUNC(+D158*3.3058,-1)</f>
        <v>38940</v>
      </c>
    </row>
    <row r="159" spans="1:7" x14ac:dyDescent="0.3">
      <c r="A159" s="2">
        <v>3</v>
      </c>
      <c r="C159" s="38" t="s">
        <v>47</v>
      </c>
      <c r="D159" s="42">
        <f>TRUNC(4928,-1)</f>
        <v>4920</v>
      </c>
      <c r="E159" s="63">
        <f>TRUNC(+D159*3.3058,-1)</f>
        <v>16260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36110</v>
      </c>
      <c r="E161" s="39">
        <f>SUM(E157:E160)</f>
        <v>119360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2020-12-08T01:13:37Z</dcterms:modified>
</cp:coreProperties>
</file>