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53" i="4"/>
  <c r="E149" i="4"/>
  <c r="E144" i="4"/>
  <c r="E143" i="4"/>
  <c r="E142" i="4"/>
  <c r="E141" i="4"/>
  <c r="E139" i="4"/>
  <c r="E138" i="4"/>
  <c r="E132" i="4"/>
  <c r="E131" i="4"/>
  <c r="E130" i="4"/>
  <c r="E129" i="4"/>
  <c r="E127" i="4"/>
  <c r="E124" i="4"/>
  <c r="E117" i="4"/>
  <c r="E116" i="4"/>
  <c r="E113" i="4"/>
  <c r="E111" i="4"/>
  <c r="E110" i="4"/>
  <c r="E109" i="4"/>
  <c r="E107" i="4"/>
  <c r="E106" i="4"/>
  <c r="E104" i="4"/>
  <c r="E103" i="4"/>
  <c r="E101" i="4"/>
  <c r="E93" i="4"/>
  <c r="E91" i="4"/>
  <c r="E89" i="4"/>
  <c r="E88" i="4"/>
  <c r="E87" i="4"/>
  <c r="E86" i="4"/>
  <c r="E85" i="4"/>
  <c r="E84" i="4"/>
  <c r="E83" i="4"/>
  <c r="E81" i="4"/>
  <c r="E80" i="4"/>
  <c r="E79" i="4"/>
  <c r="E78" i="4"/>
  <c r="E77" i="4"/>
  <c r="E76" i="4"/>
  <c r="E75" i="4"/>
  <c r="E74" i="4"/>
  <c r="E73" i="4"/>
  <c r="E65" i="4"/>
  <c r="E64" i="4"/>
  <c r="E57" i="4"/>
  <c r="E56" i="4"/>
  <c r="E54" i="4"/>
  <c r="E37" i="4"/>
  <c r="E161" i="4" l="1"/>
  <c r="D145" i="4"/>
  <c r="E145" i="4" s="1"/>
  <c r="D118" i="4"/>
  <c r="E118" i="4" s="1"/>
  <c r="D152" i="4"/>
  <c r="E152" i="4" s="1"/>
  <c r="D151" i="4"/>
  <c r="E151" i="4" s="1"/>
  <c r="D150" i="4"/>
  <c r="E150" i="4" s="1"/>
  <c r="D140" i="4"/>
  <c r="E140" i="4" s="1"/>
  <c r="D137" i="4"/>
  <c r="E137" i="4" s="1"/>
  <c r="D136" i="4"/>
  <c r="E136" i="4" s="1"/>
  <c r="D128" i="4"/>
  <c r="E128" i="4" s="1"/>
  <c r="D126" i="4"/>
  <c r="E126" i="4" s="1"/>
  <c r="D125" i="4"/>
  <c r="E125" i="4" s="1"/>
  <c r="D123" i="4"/>
  <c r="E123" i="4" s="1"/>
  <c r="D122" i="4"/>
  <c r="E122" i="4" s="1"/>
  <c r="D115" i="4"/>
  <c r="E115" i="4" s="1"/>
  <c r="D114" i="4"/>
  <c r="E114" i="4" s="1"/>
  <c r="D112" i="4"/>
  <c r="E112" i="4" s="1"/>
  <c r="D108" i="4"/>
  <c r="E108" i="4" s="1"/>
  <c r="D105" i="4"/>
  <c r="E105" i="4" s="1"/>
  <c r="D102" i="4"/>
  <c r="E102" i="4" s="1"/>
  <c r="D100" i="4"/>
  <c r="E100" i="4" s="1"/>
  <c r="D99" i="4"/>
  <c r="E99" i="4" s="1"/>
  <c r="D98" i="4"/>
  <c r="E98" i="4" s="1"/>
  <c r="E119" i="4" s="1"/>
  <c r="D94" i="4"/>
  <c r="E94" i="4" s="1"/>
  <c r="D92" i="4"/>
  <c r="E92" i="4" s="1"/>
  <c r="D90" i="4"/>
  <c r="E90" i="4" s="1"/>
  <c r="D82" i="4"/>
  <c r="E82" i="4" s="1"/>
  <c r="D72" i="4"/>
  <c r="E72" i="4" s="1"/>
  <c r="D71" i="4"/>
  <c r="E71" i="4" s="1"/>
  <c r="D70" i="4"/>
  <c r="E70" i="4" s="1"/>
  <c r="D69" i="4"/>
  <c r="E69" i="4" s="1"/>
  <c r="E95" i="4" s="1"/>
  <c r="D63" i="4"/>
  <c r="E63" i="4" s="1"/>
  <c r="E66" i="4" s="1"/>
  <c r="D59" i="4"/>
  <c r="E59" i="4" s="1"/>
  <c r="D58" i="4"/>
  <c r="E58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E34" i="4" s="1"/>
  <c r="D33" i="4"/>
  <c r="E33" i="4" s="1"/>
  <c r="E133" i="4"/>
  <c r="E154" i="4"/>
  <c r="E60" i="4"/>
  <c r="E146" i="4"/>
  <c r="D34" i="4" l="1"/>
</calcChain>
</file>

<file path=xl/sharedStrings.xml><?xml version="1.0" encoding="utf-8"?>
<sst xmlns="http://schemas.openxmlformats.org/spreadsheetml/2006/main" count="395" uniqueCount="271">
  <si>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</si>
  <si>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</si>
  <si>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</si>
  <si>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</si>
  <si>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</si>
  <si>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</si>
  <si>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</si>
  <si>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</si>
  <si>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</si>
  <si>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</si>
  <si>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</si>
  <si>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</si>
  <si>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</si>
  <si>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</si>
  <si>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</si>
  <si>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</si>
  <si>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</si>
  <si>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</si>
  <si>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</si>
  <si>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</si>
  <si>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</si>
  <si>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</si>
  <si>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</si>
  <si>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</si>
  <si>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</si>
  <si>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</si>
  <si>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</si>
  <si>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</si>
  <si>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</si>
  <si>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</si>
  <si>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</si>
  <si>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</si>
  <si>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</si>
  <si>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</si>
  <si>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</si>
  <si>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</si>
  <si>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</si>
  <si>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</si>
  <si>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</si>
  <si>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</si>
  <si>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</si>
  <si>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</si>
  <si>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</si>
  <si>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</si>
  <si>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</si>
  <si>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</si>
  <si>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</si>
  <si>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</si>
  <si>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</si>
  <si>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</si>
  <si>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</si>
  <si>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</si>
  <si>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</si>
  <si>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</si>
  <si>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</si>
  <si>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</si>
  <si>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</si>
  <si>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</si>
  <si>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</si>
  <si>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</si>
  <si>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</si>
  <si>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</si>
  <si>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</si>
  <si>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</si>
  <si>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</si>
  <si>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</si>
  <si>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</si>
  <si>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</si>
  <si>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</si>
  <si>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</si>
  <si>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</si>
  <si>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</si>
  <si>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</si>
  <si>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</si>
  <si>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</si>
  <si>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</si>
  <si>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</si>
  <si>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</si>
  <si>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</si>
  <si>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</si>
  <si>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</si>
  <si>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</si>
  <si>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</si>
  <si>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</si>
  <si>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</si>
  <si>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</si>
  <si>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</si>
  <si>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</si>
  <si>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</si>
  <si>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</si>
  <si>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</si>
  <si>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</si>
  <si>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</si>
  <si>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</si>
  <si>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</si>
  <si>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</si>
  <si>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</si>
  <si>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</si>
  <si>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</si>
  <si>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</si>
  <si>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</si>
  <si>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</si>
  <si>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</si>
  <si>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</si>
  <si>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</si>
  <si>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</si>
  <si>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</si>
  <si>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</si>
  <si>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</si>
  <si>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</si>
  <si>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</si>
  <si>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</si>
  <si>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</si>
  <si>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</si>
  <si>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</si>
  <si>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</si>
  <si>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</si>
  <si>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</si>
  <si>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</si>
  <si>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</si>
  <si>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</si>
  <si>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</si>
  <si>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</si>
  <si>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</si>
  <si>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</si>
  <si>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</si>
  <si>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</si>
  <si>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</si>
  <si>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</si>
  <si>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</si>
  <si>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</si>
  <si>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</si>
  <si>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</si>
  <si>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</si>
  <si>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</si>
  <si>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</si>
  <si>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</si>
  <si>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</si>
  <si>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</si>
  <si>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</si>
  <si>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</si>
  <si>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</si>
  <si>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</si>
  <si>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</si>
  <si>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</si>
  <si>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</si>
  <si>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</si>
  <si>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</si>
  <si>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</si>
  <si>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</si>
  <si>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</si>
  <si>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</si>
  <si>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</si>
  <si>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</si>
  <si>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</si>
  <si>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</si>
  <si>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</si>
  <si>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</si>
  <si>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</si>
  <si>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</si>
  <si>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</si>
  <si>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</si>
  <si>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</si>
  <si>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</si>
  <si>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</si>
  <si>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</si>
  <si>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</si>
  <si>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</si>
  <si>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</si>
  <si>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</si>
  <si>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</si>
  <si>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</si>
  <si>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</si>
  <si>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</si>
  <si>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</si>
  <si>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</si>
  <si>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</si>
  <si>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</si>
  <si>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</si>
  <si>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</si>
  <si>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</si>
  <si>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</si>
  <si>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</si>
  <si>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</si>
  <si>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</si>
  <si>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</si>
  <si>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</si>
  <si>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</si>
  <si>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</si>
  <si>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</si>
  <si>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</si>
  <si>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</si>
  <si>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</si>
  <si>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</si>
  <si>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</si>
  <si>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</si>
  <si>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</si>
  <si>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</si>
  <si>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</si>
  <si>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</si>
  <si>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</si>
  <si>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</si>
  <si>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</si>
  <si>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</si>
  <si>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</si>
  <si>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</si>
  <si>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</si>
  <si>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</si>
  <si>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</si>
  <si>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</si>
  <si>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</si>
  <si>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</si>
  <si>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</si>
  <si>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</si>
  <si>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</si>
  <si>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</si>
  <si>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</si>
  <si>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</si>
  <si>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</si>
  <si>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</si>
  <si>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</si>
  <si>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</si>
  <si>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</si>
  <si>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</si>
  <si>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</si>
  <si>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</si>
  <si>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</si>
  <si>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</si>
  <si>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</si>
  <si>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</si>
  <si>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</si>
  <si>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</si>
  <si>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</si>
  <si>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</si>
  <si>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</si>
  <si>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</si>
  <si>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</si>
  <si>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</si>
  <si>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</si>
  <si>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</si>
  <si>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</si>
  <si>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</si>
  <si>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</si>
  <si>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</si>
  <si>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</si>
  <si>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</si>
  <si>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</si>
  <si>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</si>
  <si>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</si>
  <si>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00여자중학교 신축공사</t>
  </si>
  <si>
    <t>토공사, 문주공사, 기타공사, 골재대, 운반공사, 폐기물처리비</t>
    <phoneticPr fontId="2" type="noConversion"/>
  </si>
  <si>
    <t>도급자설치관급, 관급자설치관급</t>
    <phoneticPr fontId="2" type="noConversion"/>
  </si>
  <si>
    <t>배수공,옹벽공, 철거공, 부대공, 건설폐기물</t>
    <phoneticPr fontId="2" type="noConversion"/>
  </si>
  <si>
    <t>배기덕트공사, 조리실배기덕트공사</t>
    <phoneticPr fontId="2" type="noConversion"/>
  </si>
  <si>
    <t>위생배관공사, 화장실배관공사, 조리실위생배관공사, 초절전온수관보일러설치공사</t>
    <phoneticPr fontId="2" type="noConversion"/>
  </si>
  <si>
    <t>소화장비설치공사</t>
  </si>
  <si>
    <t>옥외 전기 간선공사</t>
  </si>
  <si>
    <t>옥외전기인입 설비공사, 옥외 외등공사</t>
    <phoneticPr fontId="2" type="noConversion"/>
  </si>
  <si>
    <t>기계실 동력공사, 주방동력공사</t>
    <phoneticPr fontId="2" type="noConversion"/>
  </si>
  <si>
    <t>펌프실소화배관공사, 옥내소화배관공사, 전기소방</t>
    <phoneticPr fontId="2" type="noConversion"/>
  </si>
  <si>
    <t>전화공사, LAN 공사</t>
    <phoneticPr fontId="2" type="noConversion"/>
  </si>
  <si>
    <t>CATV 공사</t>
  </si>
  <si>
    <t>방송공사, 스튜디오,시청각실,특별실 방송, 다목적강당 방송공사</t>
    <phoneticPr fontId="2" type="noConversion"/>
  </si>
  <si>
    <t>경상도</t>
  </si>
  <si>
    <t>관급자설치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</si>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</sst>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268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10661</v>
      </c>
      <c r="D7" s="36">
        <f>+C7/3.3058</f>
        <v>3224.9379877790548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263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180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269</v>
      </c>
    </row>
    <row r="19" spans="1:5" x14ac:dyDescent="0.3">
      <c r="A19" s="2">
        <v>9</v>
      </c>
      <c r="B19" s="2" t="s">
        <v>270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265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629910</v>
      </c>
      <c r="E25" s="59">
        <f t="shared" si="0"/>
        <v>2082350</v>
      </c>
    </row>
    <row r="26" spans="1:5" x14ac:dyDescent="0.3">
      <c r="B26" s="2">
        <v>3</v>
      </c>
      <c r="C26" s="35" t="s">
        <v>95</v>
      </c>
      <c r="D26" s="45">
        <f>+D66</f>
        <v>8160</v>
      </c>
      <c r="E26" s="59">
        <f t="shared" si="0"/>
        <v>26970</v>
      </c>
    </row>
    <row r="27" spans="1:5" x14ac:dyDescent="0.3">
      <c r="B27" s="2">
        <v>4</v>
      </c>
      <c r="C27" s="35" t="s">
        <v>96</v>
      </c>
      <c r="D27" s="45">
        <f>+D95</f>
        <v>55110</v>
      </c>
      <c r="E27" s="59">
        <f t="shared" si="0"/>
        <v>182180</v>
      </c>
    </row>
    <row r="28" spans="1:5" x14ac:dyDescent="0.3">
      <c r="B28" s="2">
        <v>5</v>
      </c>
      <c r="C28" s="35" t="s">
        <v>97</v>
      </c>
      <c r="D28" s="45">
        <f>+D119</f>
        <v>35060</v>
      </c>
      <c r="E28" s="59">
        <f t="shared" si="0"/>
        <v>115900</v>
      </c>
    </row>
    <row r="29" spans="1:5" x14ac:dyDescent="0.3">
      <c r="B29" s="2">
        <v>6</v>
      </c>
      <c r="C29" s="35" t="s">
        <v>98</v>
      </c>
      <c r="D29" s="45">
        <f>+D133</f>
        <v>15390</v>
      </c>
      <c r="E29" s="59">
        <f t="shared" si="0"/>
        <v>50870</v>
      </c>
    </row>
    <row r="30" spans="1:5" x14ac:dyDescent="0.3">
      <c r="B30" s="2">
        <v>7</v>
      </c>
      <c r="C30" s="35" t="s">
        <v>99</v>
      </c>
      <c r="D30" s="45">
        <f>+D146</f>
        <v>29000</v>
      </c>
      <c r="E30" s="59">
        <f t="shared" si="0"/>
        <v>95860</v>
      </c>
    </row>
    <row r="31" spans="1:5" x14ac:dyDescent="0.3">
      <c r="B31" s="2">
        <v>8</v>
      </c>
      <c r="C31" s="35" t="s">
        <v>100</v>
      </c>
      <c r="D31" s="45">
        <f>+D154</f>
        <v>101410</v>
      </c>
      <c r="E31" s="59">
        <f t="shared" si="0"/>
        <v>335240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240360</v>
      </c>
      <c r="E33" s="60">
        <f t="shared" si="0"/>
        <v>794580</v>
      </c>
    </row>
    <row r="34" spans="1:7" x14ac:dyDescent="0.3">
      <c r="C34" s="35" t="s">
        <v>112</v>
      </c>
      <c r="D34" s="44">
        <f>SUM(D24:D33)</f>
        <v>1114400</v>
      </c>
      <c r="E34" s="44">
        <f>SUM(E24:E33)</f>
        <v>3683950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265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266</v>
      </c>
      <c r="E39" s="67" t="s">
        <v>267</v>
      </c>
      <c r="G39" s="68"/>
    </row>
    <row r="40" spans="1:7" x14ac:dyDescent="0.3">
      <c r="A40" s="2">
        <v>1</v>
      </c>
      <c r="C40" s="38" t="s">
        <v>15</v>
      </c>
      <c r="D40" s="40">
        <f>TRUNC(26894.3642247444,-1)</f>
        <v>26890</v>
      </c>
      <c r="E40" s="62">
        <f t="shared" ref="E40:E59" si="1">TRUNC(+D40*3.3058,-1)</f>
        <v>88890</v>
      </c>
    </row>
    <row r="41" spans="1:7" x14ac:dyDescent="0.3">
      <c r="A41" s="2">
        <v>2</v>
      </c>
      <c r="C41" s="38" t="s">
        <v>13</v>
      </c>
      <c r="D41" s="42">
        <f>TRUNC(110416.342275584,-1)</f>
        <v>110410</v>
      </c>
      <c r="E41" s="63">
        <f t="shared" si="1"/>
        <v>364990</v>
      </c>
    </row>
    <row r="42" spans="1:7" x14ac:dyDescent="0.3">
      <c r="A42" s="2">
        <v>3</v>
      </c>
      <c r="C42" s="38" t="s">
        <v>14</v>
      </c>
      <c r="D42" s="42">
        <f>TRUNC(16607.3986492824,-1)</f>
        <v>16600</v>
      </c>
      <c r="E42" s="63">
        <f t="shared" si="1"/>
        <v>54870</v>
      </c>
    </row>
    <row r="43" spans="1:7" x14ac:dyDescent="0.3">
      <c r="A43" s="2">
        <v>4</v>
      </c>
      <c r="C43" s="38" t="s">
        <v>16</v>
      </c>
      <c r="D43" s="42">
        <f>TRUNC(36214.7891379796,-1)</f>
        <v>36210</v>
      </c>
      <c r="E43" s="63">
        <f t="shared" si="1"/>
        <v>119700</v>
      </c>
    </row>
    <row r="44" spans="1:7" x14ac:dyDescent="0.3">
      <c r="A44" s="2">
        <v>5</v>
      </c>
      <c r="C44" s="38" t="s">
        <v>17</v>
      </c>
      <c r="D44" s="42">
        <f>TRUNC(19180.0067535878,-1)</f>
        <v>19180</v>
      </c>
      <c r="E44" s="63">
        <f t="shared" si="1"/>
        <v>63400</v>
      </c>
    </row>
    <row r="45" spans="1:7" x14ac:dyDescent="0.3">
      <c r="A45" s="2">
        <v>6</v>
      </c>
      <c r="C45" s="38" t="s">
        <v>18</v>
      </c>
      <c r="D45" s="42">
        <f>TRUNC(2092.35390676297,-1)</f>
        <v>2090</v>
      </c>
      <c r="E45" s="63">
        <f t="shared" si="1"/>
        <v>6900</v>
      </c>
    </row>
    <row r="46" spans="1:7" x14ac:dyDescent="0.3">
      <c r="A46" s="2">
        <v>7</v>
      </c>
      <c r="C46" s="38" t="s">
        <v>19</v>
      </c>
      <c r="D46" s="42">
        <f>TRUNC(19309.8829378107,-1)</f>
        <v>19300</v>
      </c>
      <c r="E46" s="63">
        <f t="shared" si="1"/>
        <v>63800</v>
      </c>
    </row>
    <row r="47" spans="1:7" x14ac:dyDescent="0.3">
      <c r="A47" s="2">
        <v>8</v>
      </c>
      <c r="C47" s="38" t="s">
        <v>20</v>
      </c>
      <c r="D47" s="42">
        <f>TRUNC(14550.3138542351,-1)</f>
        <v>14550</v>
      </c>
      <c r="E47" s="63">
        <f t="shared" si="1"/>
        <v>48090</v>
      </c>
    </row>
    <row r="48" spans="1:7" x14ac:dyDescent="0.3">
      <c r="A48" s="2">
        <v>9</v>
      </c>
      <c r="C48" s="38" t="s">
        <v>21</v>
      </c>
      <c r="D48" s="42">
        <f>TRUNC(18740.4091548635,-1)</f>
        <v>18740</v>
      </c>
      <c r="E48" s="63">
        <f t="shared" si="1"/>
        <v>61950</v>
      </c>
    </row>
    <row r="49" spans="1:7" x14ac:dyDescent="0.3">
      <c r="A49" s="2">
        <v>10</v>
      </c>
      <c r="C49" s="38" t="s">
        <v>22</v>
      </c>
      <c r="D49" s="42">
        <f>TRUNC(16443.8045211519,-1)</f>
        <v>16440</v>
      </c>
      <c r="E49" s="63">
        <f t="shared" si="1"/>
        <v>54340</v>
      </c>
    </row>
    <row r="50" spans="1:7" x14ac:dyDescent="0.3">
      <c r="A50" s="2">
        <v>11</v>
      </c>
      <c r="C50" s="38" t="s">
        <v>155</v>
      </c>
      <c r="D50" s="42">
        <f>TRUNC(11601.9599474721,-1)</f>
        <v>11600</v>
      </c>
      <c r="E50" s="63">
        <f t="shared" si="1"/>
        <v>38340</v>
      </c>
    </row>
    <row r="51" spans="1:7" x14ac:dyDescent="0.3">
      <c r="A51" s="2">
        <v>12</v>
      </c>
      <c r="C51" s="38" t="s">
        <v>23</v>
      </c>
      <c r="D51" s="42">
        <f>TRUNC(5565.16471250352,-1)</f>
        <v>5560</v>
      </c>
      <c r="E51" s="63">
        <f t="shared" si="1"/>
        <v>18380</v>
      </c>
    </row>
    <row r="52" spans="1:7" x14ac:dyDescent="0.3">
      <c r="A52" s="2">
        <v>13</v>
      </c>
      <c r="C52" s="38" t="s">
        <v>24</v>
      </c>
      <c r="D52" s="42">
        <f>TRUNC(17759.5872807429,-1)</f>
        <v>17750</v>
      </c>
      <c r="E52" s="63">
        <f t="shared" si="1"/>
        <v>58670</v>
      </c>
    </row>
    <row r="53" spans="1:7" x14ac:dyDescent="0.3">
      <c r="A53" s="2">
        <v>14</v>
      </c>
      <c r="C53" s="38" t="s">
        <v>25</v>
      </c>
      <c r="D53" s="42">
        <f>TRUNC(57198.8476690742,-1)</f>
        <v>57190</v>
      </c>
      <c r="E53" s="63">
        <f t="shared" si="1"/>
        <v>189050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TRUNC(23872.2970640653,-1)</f>
        <v>23870</v>
      </c>
      <c r="E55" s="63">
        <f t="shared" si="1"/>
        <v>78900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TRUNC(10027.5986305225+1681.21780320795+1058.32698621142+2450.05158990714+1504.539442829+1804.96191726855,-1)</f>
        <v>18520</v>
      </c>
      <c r="E58" s="63">
        <f t="shared" si="1"/>
        <v>61220</v>
      </c>
      <c r="F58" s="2" t="s">
        <v>250</v>
      </c>
    </row>
    <row r="59" spans="1:7" ht="17.25" thickBot="1" x14ac:dyDescent="0.35">
      <c r="A59" s="2">
        <v>20</v>
      </c>
      <c r="C59" s="38" t="s">
        <v>148</v>
      </c>
      <c r="D59" s="43">
        <f>TRUNC(141294.719069506+73722.1649001032,-1)</f>
        <v>215010</v>
      </c>
      <c r="E59" s="64">
        <f t="shared" si="1"/>
        <v>710780</v>
      </c>
      <c r="F59" s="2" t="s">
        <v>251</v>
      </c>
    </row>
    <row r="60" spans="1:7" x14ac:dyDescent="0.3">
      <c r="A60" s="2">
        <v>21</v>
      </c>
      <c r="C60" s="27" t="s">
        <v>112</v>
      </c>
      <c r="D60" s="39">
        <f>SUM(D40:D59)</f>
        <v>629910</v>
      </c>
      <c r="E60" s="39">
        <f>SUM(E40:E59)</f>
        <v>2082270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265</v>
      </c>
      <c r="G62" s="55"/>
    </row>
    <row r="63" spans="1:7" x14ac:dyDescent="0.3">
      <c r="A63" s="2">
        <v>1</v>
      </c>
      <c r="C63" s="38" t="s">
        <v>27</v>
      </c>
      <c r="D63" s="40">
        <f>TRUNC(8167.74992965013,-1)</f>
        <v>8160</v>
      </c>
      <c r="E63" s="62">
        <f>TRUNC(+D63*3.3058,-1)</f>
        <v>26970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8160</v>
      </c>
      <c r="E66" s="65">
        <f>SUM(E63:E65)</f>
        <v>26970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265</v>
      </c>
      <c r="G68" s="55"/>
    </row>
    <row r="69" spans="1:7" x14ac:dyDescent="0.3">
      <c r="A69" s="2">
        <v>1</v>
      </c>
      <c r="C69" s="38" t="s">
        <v>30</v>
      </c>
      <c r="D69" s="40">
        <f>TRUNC(6902.66410280462,-1)</f>
        <v>6900</v>
      </c>
      <c r="E69" s="62">
        <f>TRUNC(+D69*3.3058,-1)</f>
        <v>22810</v>
      </c>
    </row>
    <row r="70" spans="1:7" ht="16.5" customHeight="1" x14ac:dyDescent="0.3">
      <c r="A70" s="2">
        <v>2</v>
      </c>
      <c r="C70" s="38" t="s">
        <v>31</v>
      </c>
      <c r="D70" s="42">
        <f>TRUNC(3939.40343307382,-1)</f>
        <v>3930</v>
      </c>
      <c r="E70" s="63">
        <f>TRUNC(+D70*3.3058,-1)</f>
        <v>12990</v>
      </c>
    </row>
    <row r="71" spans="1:7" x14ac:dyDescent="0.3">
      <c r="A71" s="2">
        <v>3</v>
      </c>
      <c r="C71" s="38" t="s">
        <v>32</v>
      </c>
      <c r="D71" s="42">
        <f>TRUNC(2776.3293312072,-1)</f>
        <v>2770</v>
      </c>
      <c r="E71" s="63">
        <f t="shared" ref="E71:E73" si="2">TRUNC(+D71*3.3058,-1)</f>
        <v>9150</v>
      </c>
    </row>
    <row r="72" spans="1:7" x14ac:dyDescent="0.3">
      <c r="A72" s="2">
        <v>4</v>
      </c>
      <c r="C72" s="38" t="s">
        <v>33</v>
      </c>
      <c r="D72" s="42">
        <f>TRUNC(5411.41806584748,-1)</f>
        <v>5410</v>
      </c>
      <c r="E72" s="63">
        <f t="shared" si="2"/>
        <v>17880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f>TRUNC(1540.5295000469+1611.24575555764,-1)</f>
        <v>3150</v>
      </c>
      <c r="E82" s="63">
        <f t="shared" si="3"/>
        <v>10410</v>
      </c>
      <c r="F82" s="2" t="s">
        <v>253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f>TRUNC(568.488415720852,-1)</f>
        <v>560</v>
      </c>
      <c r="E90" s="63">
        <f>TRUNC(+D90*3.3058,-1)</f>
        <v>1850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>TRUNC(+D91*3.3058,-1)</f>
        <v>0</v>
      </c>
    </row>
    <row r="92" spans="1:7" x14ac:dyDescent="0.3">
      <c r="A92" s="2">
        <v>24</v>
      </c>
      <c r="C92" s="38" t="s">
        <v>38</v>
      </c>
      <c r="D92" s="42">
        <f>TRUNC(6574.65978801238,-1)</f>
        <v>6570</v>
      </c>
      <c r="E92" s="63">
        <f>TRUNC(+D92*3.3058,-1)</f>
        <v>21710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>TRUNC(+D93*3.3058,-1)</f>
        <v>0</v>
      </c>
    </row>
    <row r="94" spans="1:7" ht="17.25" thickBot="1" x14ac:dyDescent="0.35">
      <c r="A94" s="2">
        <v>26</v>
      </c>
      <c r="C94" s="38" t="s">
        <v>47</v>
      </c>
      <c r="D94" s="43">
        <f>TRUNC(7384.61157489917+16838.3787637182+1096.86070725073+502.267517118469,-1)</f>
        <v>25820</v>
      </c>
      <c r="E94" s="64">
        <f>TRUNC(+D94*3.3058,-1)</f>
        <v>85350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55110</v>
      </c>
      <c r="E95" s="39">
        <f>SUM(E69:E94)</f>
        <v>182150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265</v>
      </c>
      <c r="G97" s="55"/>
    </row>
    <row r="98" spans="1:7" x14ac:dyDescent="0.3">
      <c r="A98" s="2">
        <v>1</v>
      </c>
      <c r="C98" s="38" t="s">
        <v>39</v>
      </c>
      <c r="D98" s="40">
        <f>TRUNC(5787.5078322859,-1)</f>
        <v>5780</v>
      </c>
      <c r="E98" s="62">
        <f t="shared" ref="E98:E118" si="4">TRUNC(+D98*3.3058,-1)</f>
        <v>19100</v>
      </c>
    </row>
    <row r="99" spans="1:7" x14ac:dyDescent="0.3">
      <c r="A99" s="2">
        <v>2</v>
      </c>
      <c r="C99" s="38" t="s">
        <v>40</v>
      </c>
      <c r="D99" s="42">
        <f>TRUNC(522.293405871869+611.011912578557,-1)</f>
        <v>1130</v>
      </c>
      <c r="E99" s="63">
        <f t="shared" si="4"/>
        <v>3730</v>
      </c>
      <c r="F99" s="2" t="s">
        <v>258</v>
      </c>
    </row>
    <row r="100" spans="1:7" x14ac:dyDescent="0.3">
      <c r="A100" s="2">
        <v>3</v>
      </c>
      <c r="C100" s="38" t="s">
        <v>41</v>
      </c>
      <c r="D100" s="42">
        <f>TRUNC(11904.6175780884,-1)</f>
        <v>11900</v>
      </c>
      <c r="E100" s="63">
        <f t="shared" si="4"/>
        <v>39330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f>TRUNC(5879.88331301004,-1)</f>
        <v>5870</v>
      </c>
      <c r="E102" s="63">
        <f t="shared" si="4"/>
        <v>19400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f>TRUNC(1628.15758371635,-1)</f>
        <v>1620</v>
      </c>
      <c r="E105" s="63">
        <f t="shared" si="4"/>
        <v>5350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f>TRUNC(4347.80602194916,-1)</f>
        <v>4340</v>
      </c>
      <c r="E108" s="63">
        <f t="shared" si="4"/>
        <v>14340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f>TRUNC(750.123440577807,-1)</f>
        <v>750</v>
      </c>
      <c r="E112" s="63">
        <f t="shared" si="4"/>
        <v>2470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f>TRUNC(586.387111903199,-1)</f>
        <v>580</v>
      </c>
      <c r="E114" s="63">
        <f t="shared" si="4"/>
        <v>1910</v>
      </c>
      <c r="F114" s="2" t="s">
        <v>256</v>
      </c>
    </row>
    <row r="115" spans="1:7" x14ac:dyDescent="0.3">
      <c r="A115" s="2">
        <v>18</v>
      </c>
      <c r="C115" s="38" t="s">
        <v>116</v>
      </c>
      <c r="D115" s="42">
        <f>TRUNC(208.978895037989,-1)</f>
        <v>200</v>
      </c>
      <c r="E115" s="63">
        <f t="shared" si="4"/>
        <v>660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4"/>
        <v>0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4"/>
        <v>0</v>
      </c>
    </row>
    <row r="118" spans="1:7" ht="17.25" thickBot="1" x14ac:dyDescent="0.35">
      <c r="A118" s="2">
        <v>21</v>
      </c>
      <c r="C118" s="38" t="s">
        <v>47</v>
      </c>
      <c r="D118" s="43">
        <f>TRUNC(1522.96341806585+1376.64646843636,-1)</f>
        <v>2890</v>
      </c>
      <c r="E118" s="64">
        <f t="shared" si="4"/>
        <v>9550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35060</v>
      </c>
      <c r="E119" s="39">
        <f>SUM(E98:E118)</f>
        <v>115840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265</v>
      </c>
      <c r="G121" s="55"/>
    </row>
    <row r="122" spans="1:7" x14ac:dyDescent="0.3">
      <c r="A122" s="2">
        <v>1</v>
      </c>
      <c r="C122" s="38" t="s">
        <v>55</v>
      </c>
      <c r="D122" s="40">
        <f>TRUNC(1251.33101960416,-1)</f>
        <v>1250</v>
      </c>
      <c r="E122" s="62">
        <f t="shared" ref="E122:E132" si="5">TRUNC(+D122*3.3058,-1)</f>
        <v>4130</v>
      </c>
      <c r="F122" s="2" t="s">
        <v>261</v>
      </c>
    </row>
    <row r="123" spans="1:7" x14ac:dyDescent="0.3">
      <c r="A123" s="2">
        <v>2</v>
      </c>
      <c r="C123" s="38" t="s">
        <v>124</v>
      </c>
      <c r="D123" s="42">
        <f>TRUNC(3090.41525185255+3928.47359534753,-1)</f>
        <v>7010</v>
      </c>
      <c r="E123" s="63">
        <f t="shared" si="5"/>
        <v>23170</v>
      </c>
      <c r="F123" s="2" t="s">
        <v>260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f>TRUNC(4196.27464590564+261.151486727324+124.512709877122,-1)</f>
        <v>4580</v>
      </c>
      <c r="E125" s="63">
        <f t="shared" si="5"/>
        <v>15140</v>
      </c>
      <c r="F125" s="2" t="s">
        <v>262</v>
      </c>
    </row>
    <row r="126" spans="1:7" x14ac:dyDescent="0.3">
      <c r="A126" s="2">
        <v>5</v>
      </c>
      <c r="C126" s="38" t="s">
        <v>53</v>
      </c>
      <c r="D126" s="42">
        <f>TRUNC(1294.0704436732,-1)</f>
        <v>1290</v>
      </c>
      <c r="E126" s="63">
        <f t="shared" si="5"/>
        <v>4260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f>TRUNC(1267.02335615796,-1)</f>
        <v>1260</v>
      </c>
      <c r="E128" s="63">
        <f t="shared" si="5"/>
        <v>4160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5"/>
        <v>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5"/>
        <v>0</v>
      </c>
    </row>
    <row r="132" spans="1:7" ht="18" thickBot="1" x14ac:dyDescent="0.35">
      <c r="A132" s="2">
        <v>11</v>
      </c>
      <c r="C132" s="38" t="s">
        <v>47</v>
      </c>
      <c r="D132" s="43">
        <v>0</v>
      </c>
      <c r="E132" s="64">
        <f t="shared" si="5"/>
        <v>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15390</v>
      </c>
      <c r="E133" s="39">
        <f>SUM(E122:E132)</f>
        <v>50860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265</v>
      </c>
      <c r="G135" s="55"/>
    </row>
    <row r="136" spans="1:7" x14ac:dyDescent="0.3">
      <c r="A136" s="2">
        <v>1</v>
      </c>
      <c r="C136" s="38" t="s">
        <v>131</v>
      </c>
      <c r="D136" s="40">
        <f>TRUNC(5332.03789513179,-1)</f>
        <v>5330</v>
      </c>
      <c r="E136" s="62">
        <f t="shared" ref="E136:E145" si="6">TRUNC(+D136*3.3058,-1)</f>
        <v>17610</v>
      </c>
    </row>
    <row r="137" spans="1:7" x14ac:dyDescent="0.3">
      <c r="A137" s="2">
        <v>2</v>
      </c>
      <c r="C137" s="38" t="s">
        <v>47</v>
      </c>
      <c r="D137" s="42">
        <f>TRUNC(903.384297908264+4180.1050558109+5973.93180752275,-1)</f>
        <v>11050</v>
      </c>
      <c r="E137" s="63">
        <f t="shared" si="6"/>
        <v>36520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f>TRUNC(248.548541412625,-1)</f>
        <v>240</v>
      </c>
      <c r="E140" s="63">
        <f t="shared" si="6"/>
        <v>790</v>
      </c>
      <c r="F140" s="2" t="s">
        <v>255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f>TRUNC(12382.1658381015,-1)</f>
        <v>12380</v>
      </c>
      <c r="E145" s="64">
        <f t="shared" si="6"/>
        <v>40920</v>
      </c>
      <c r="F145" s="2" t="s">
        <v>264</v>
      </c>
    </row>
    <row r="146" spans="1:7" x14ac:dyDescent="0.3">
      <c r="A146" s="2">
        <v>11</v>
      </c>
      <c r="C146" s="27" t="s">
        <v>112</v>
      </c>
      <c r="D146" s="39">
        <f>SUM(D136:D145)</f>
        <v>29000</v>
      </c>
      <c r="E146" s="39">
        <f>SUM(E136:E145)</f>
        <v>95840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f>TRUNC(39052.4358878154,-1)</f>
        <v>39050</v>
      </c>
      <c r="E150" s="63">
        <f>TRUNC(+D150*3.3058,-1)</f>
        <v>129090</v>
      </c>
    </row>
    <row r="151" spans="1:7" x14ac:dyDescent="0.3">
      <c r="A151" s="2">
        <v>3</v>
      </c>
      <c r="C151" s="38" t="s">
        <v>50</v>
      </c>
      <c r="D151" s="42">
        <f>TRUNC(19364.1658381015,-1)</f>
        <v>19360</v>
      </c>
      <c r="E151" s="63">
        <f>TRUNC(+D151*3.3058,-1)</f>
        <v>64000</v>
      </c>
    </row>
    <row r="152" spans="1:7" x14ac:dyDescent="0.3">
      <c r="A152" s="2">
        <v>4</v>
      </c>
      <c r="C152" s="38" t="s">
        <v>47</v>
      </c>
      <c r="D152" s="42">
        <f>TRUNC(16027.9111715599+24631.3492167714+272.006565988181+1949.69524434856+122.157396116687,-1)</f>
        <v>43000</v>
      </c>
      <c r="E152" s="63">
        <f>TRUNC(+D152*3.3058,-1)</f>
        <v>142140</v>
      </c>
      <c r="F152" s="2" t="s">
        <v>252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101410</v>
      </c>
      <c r="E154" s="39">
        <f>SUM(E149:E153)</f>
        <v>335230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2020-12-07T09:13:02Z</dcterms:modified>
</cp:coreProperties>
</file>