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0" i="4"/>
  <c r="D125" i="4"/>
  <c r="D122" i="4"/>
  <c r="D118" i="4"/>
  <c r="D116" i="4"/>
  <c r="D105" i="4"/>
  <c r="D104" i="4"/>
  <c r="D103" i="4"/>
  <c r="D102" i="4"/>
  <c r="D100" i="4"/>
  <c r="D99" i="4"/>
  <c r="D98" i="4"/>
  <c r="D94" i="4"/>
  <c r="D92" i="4"/>
  <c r="D91" i="4"/>
  <c r="D76" i="4"/>
  <c r="D75" i="4"/>
  <c r="D72" i="4"/>
  <c r="D73" i="4"/>
  <c r="D71" i="4"/>
  <c r="D70" i="4"/>
  <c r="D69" i="4"/>
  <c r="D63" i="4"/>
  <c r="D58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<sst xmlns="http://schemas.openxmlformats.org/spreadsheetml/2006/main" count="392" uniqueCount="268">
  <si>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</si>
  <si>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</si>
  <si>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</si>
  <si>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</si>
  <si>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</si>
  <si>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</si>
  <si>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</si>
  <si>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</si>
  <si>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</si>
  <si>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</si>
  <si>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</si>
  <si>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</si>
  <si>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</si>
  <si>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</si>
  <si>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</si>
  <si>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</si>
  <si>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</si>
  <si>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</si>
  <si>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</si>
  <si>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</si>
  <si>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</si>
  <si>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</si>
  <si>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</si>
  <si>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</si>
  <si>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</si>
  <si>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</si>
  <si>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</si>
  <si>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</si>
  <si>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</si>
  <si>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</si>
  <si>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</si>
  <si>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</si>
  <si>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</si>
  <si>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</si>
  <si>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</si>
  <si>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</si>
  <si>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</si>
  <si>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</si>
  <si>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</si>
  <si>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</si>
  <si>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</si>
  <si>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</si>
  <si>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</si>
  <si>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</si>
  <si>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</si>
  <si>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</si>
  <si>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</si>
  <si>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</si>
  <si>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</si>
  <si>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</si>
  <si>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</si>
  <si>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</si>
  <si>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</si>
  <si>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</si>
  <si>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</si>
  <si>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</si>
  <si>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</si>
  <si>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</si>
  <si>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</si>
  <si>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</si>
  <si>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</si>
  <si>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</si>
  <si>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</si>
  <si>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</si>
  <si>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</si>
  <si>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</si>
  <si>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</si>
  <si>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</si>
  <si>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</si>
  <si>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</si>
  <si>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</si>
  <si>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</si>
  <si>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</si>
  <si>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</si>
  <si>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</si>
  <si>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</si>
  <si>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</si>
  <si>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</si>
  <si>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</si>
  <si>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</si>
  <si>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</si>
  <si>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</si>
  <si>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</si>
  <si>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</si>
  <si>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</si>
  <si>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</si>
  <si>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</si>
  <si>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</si>
  <si>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</si>
  <si>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</si>
  <si>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</si>
  <si>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</si>
  <si>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</si>
  <si>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</si>
  <si>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</si>
  <si>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</si>
  <si>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</si>
  <si>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</si>
  <si>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</si>
  <si>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</si>
  <si>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</si>
  <si>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</si>
  <si>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</si>
  <si>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</si>
  <si>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</si>
  <si>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</si>
  <si>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</si>
  <si>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</si>
  <si>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</si>
  <si>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</si>
  <si>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</si>
  <si>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</si>
  <si>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</si>
  <si>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</si>
  <si>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</si>
  <si>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</si>
  <si>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</si>
  <si>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</si>
  <si>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</si>
  <si>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</si>
  <si>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</si>
  <si>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</si>
  <si>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</si>
  <si>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</si>
  <si>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</si>
  <si>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</si>
  <si>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</si>
  <si>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</si>
  <si>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</si>
  <si>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</si>
  <si>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</si>
  <si>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</si>
  <si>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</si>
  <si>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</si>
  <si>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</si>
  <si>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</si>
  <si>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</si>
  <si>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</si>
  <si>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</si>
  <si>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</si>
  <si>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</si>
  <si>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</si>
  <si>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</si>
  <si>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</si>
  <si>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</si>
  <si>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</si>
  <si>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</si>
  <si>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</si>
  <si>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</si>
  <si>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</si>
  <si>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</si>
  <si>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</si>
  <si>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</si>
  <si>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</si>
  <si>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</si>
  <si>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</si>
  <si>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</si>
  <si>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</si>
  <si>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</si>
  <si>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</si>
  <si>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</si>
  <si>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</si>
  <si>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</si>
  <si>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</si>
  <si>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</si>
  <si>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</si>
  <si>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</si>
  <si>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</si>
  <si>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</si>
  <si>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</si>
  <si>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</si>
  <si>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</si>
  <si>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</si>
  <si>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</si>
  <si>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</si>
  <si>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</si>
  <si>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</si>
  <si>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</si>
  <si>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</si>
  <si>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</si>
  <si>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</si>
  <si>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</si>
  <si>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</si>
  <si>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</si>
  <si>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</si>
  <si>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</si>
  <si>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</si>
  <si>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</si>
  <si>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</si>
  <si>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</si>
  <si>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</si>
  <si>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</si>
  <si>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</si>
  <si>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</si>
  <si>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</si>
  <si>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</si>
  <si>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</si>
  <si>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</si>
  <si>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</si>
  <si>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</si>
  <si>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</si>
  <si>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</si>
  <si>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</si>
  <si>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</si>
  <si>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</si>
  <si>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</si>
  <si>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</si>
  <si>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</si>
  <si>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</si>
  <si>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</si>
  <si>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</si>
  <si>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</si>
  <si>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</si>
  <si>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</si>
  <si>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</si>
  <si>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</si>
  <si>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</si>
  <si>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</si>
  <si>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</si>
  <si>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</si>
  <si>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</si>
  <si>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</si>
  <si>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</si>
  <si>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</si>
  <si>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</si>
  <si>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</si>
  <si>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</si>
  <si>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</si>
  <si>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</si>
  <si>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</si>
  <si>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</si>
  <si>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</si>
  <si>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</si>
  <si>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</si>
  <si>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</si>
  <si>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</si>
  <si>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</si>
  <si>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</si>
  <si>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</si>
  <si>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</si>
  <si>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</si>
  <si>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</si>
  <si>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</si>
  <si>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</si>
  <si>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</si>
  <si>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</si>
  <si>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</si>
  <si>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</si>
  <si>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</si>
  <si>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</si>
  <si>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</si>
  <si>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</si>
  <si>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</si>
  <si>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</si>
  <si>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</si>
  <si>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</si>
  <si>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</si>
  <si>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</si>
  <si>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</si>
  <si>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소담유초등학교 신축공사</t>
    <phoneticPr fontId="2" type="noConversion"/>
  </si>
  <si>
    <t>세종시</t>
  </si>
  <si>
    <t>기초공사, 골재비및운반비,작업부산물, 기타공사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</si>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</sst>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22210.12</v>
      </c>
      <c r="D7" s="36">
        <f>+C7/3.3058</f>
        <v>6718.5310666101996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419040</v>
      </c>
      <c r="E25" s="59">
        <f t="shared" si="0"/>
        <v>1385260</v>
      </c>
    </row>
    <row r="26" spans="1:5" x14ac:dyDescent="0.3">
      <c r="B26" s="2">
        <v>3</v>
      </c>
      <c r="C26" s="35" t="s">
        <v>95</v>
      </c>
      <c r="D26" s="45">
        <f>+D66</f>
        <v>7590</v>
      </c>
      <c r="E26" s="59">
        <f t="shared" si="0"/>
        <v>25090</v>
      </c>
    </row>
    <row r="27" spans="1:5" x14ac:dyDescent="0.3">
      <c r="B27" s="2">
        <v>4</v>
      </c>
      <c r="C27" s="35" t="s">
        <v>96</v>
      </c>
      <c r="D27" s="45">
        <f>+D95</f>
        <v>95810</v>
      </c>
      <c r="E27" s="59">
        <f t="shared" si="0"/>
        <v>316720</v>
      </c>
    </row>
    <row r="28" spans="1:5" x14ac:dyDescent="0.3">
      <c r="B28" s="2">
        <v>5</v>
      </c>
      <c r="C28" s="35" t="s">
        <v>97</v>
      </c>
      <c r="D28" s="45">
        <f>+D119</f>
        <v>64030</v>
      </c>
      <c r="E28" s="59">
        <f t="shared" si="0"/>
        <v>211670</v>
      </c>
    </row>
    <row r="29" spans="1:5" x14ac:dyDescent="0.3">
      <c r="B29" s="2">
        <v>6</v>
      </c>
      <c r="C29" s="35" t="s">
        <v>98</v>
      </c>
      <c r="D29" s="45">
        <f>+D133</f>
        <v>27620</v>
      </c>
      <c r="E29" s="59">
        <f t="shared" si="0"/>
        <v>91300</v>
      </c>
    </row>
    <row r="30" spans="1:5" x14ac:dyDescent="0.3">
      <c r="B30" s="2">
        <v>7</v>
      </c>
      <c r="C30" s="35" t="s">
        <v>99</v>
      </c>
      <c r="D30" s="45">
        <f>+D146</f>
        <v>47060</v>
      </c>
      <c r="E30" s="59">
        <f t="shared" si="0"/>
        <v>155570</v>
      </c>
    </row>
    <row r="31" spans="1:5" x14ac:dyDescent="0.3">
      <c r="B31" s="2">
        <v>8</v>
      </c>
      <c r="C31" s="35" t="s">
        <v>100</v>
      </c>
      <c r="D31" s="45">
        <f>+D154</f>
        <v>26230</v>
      </c>
      <c r="E31" s="59">
        <f t="shared" si="0"/>
        <v>86710</v>
      </c>
    </row>
    <row r="32" spans="1:5" x14ac:dyDescent="0.3">
      <c r="B32" s="2">
        <v>9</v>
      </c>
      <c r="C32" s="35" t="s">
        <v>101</v>
      </c>
      <c r="D32" s="45">
        <f>+D161</f>
        <v>21250</v>
      </c>
      <c r="E32" s="59">
        <f t="shared" si="0"/>
        <v>70240</v>
      </c>
    </row>
    <row r="33" spans="1:7" x14ac:dyDescent="0.3">
      <c r="B33" s="2">
        <v>10</v>
      </c>
      <c r="C33" s="35" t="s">
        <v>154</v>
      </c>
      <c r="D33" s="53">
        <f>TRUNC(SUM(D24:D32)*0.275,-1)</f>
        <v>194870</v>
      </c>
      <c r="E33" s="60">
        <f t="shared" si="0"/>
        <v>644200</v>
      </c>
    </row>
    <row r="34" spans="1:7" x14ac:dyDescent="0.3">
      <c r="C34" s="35" t="s">
        <v>112</v>
      </c>
      <c r="D34" s="44">
        <f>SUM(D24:D33)</f>
        <v>903500</v>
      </c>
      <c r="E34" s="44">
        <f>SUM(E24:E33)</f>
        <v>2986760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TRUNC(41512,-1)</f>
        <v>41510</v>
      </c>
      <c r="E40" s="62">
        <f t="shared" ref="E40:E59" si="1">TRUNC(+D40*3.3058,-1)</f>
        <v>137220</v>
      </c>
    </row>
    <row r="41" spans="1:7" x14ac:dyDescent="0.3">
      <c r="A41" s="2">
        <v>2</v>
      </c>
      <c r="C41" s="38" t="s">
        <v>13</v>
      </c>
      <c r="D41" s="42">
        <f>TRUNC(105036,-1)</f>
        <v>105030</v>
      </c>
      <c r="E41" s="63">
        <f t="shared" si="1"/>
        <v>347200</v>
      </c>
    </row>
    <row r="42" spans="1:7" x14ac:dyDescent="0.3">
      <c r="A42" s="2">
        <v>3</v>
      </c>
      <c r="C42" s="38" t="s">
        <v>14</v>
      </c>
      <c r="D42" s="42">
        <f>TRUNC(3265,-1)</f>
        <v>3260</v>
      </c>
      <c r="E42" s="63">
        <f t="shared" si="1"/>
        <v>10770</v>
      </c>
    </row>
    <row r="43" spans="1:7" x14ac:dyDescent="0.3">
      <c r="A43" s="2">
        <v>4</v>
      </c>
      <c r="C43" s="38" t="s">
        <v>16</v>
      </c>
      <c r="D43" s="42">
        <f>TRUNC(23437,-1)</f>
        <v>23430</v>
      </c>
      <c r="E43" s="63">
        <f t="shared" si="1"/>
        <v>77450</v>
      </c>
    </row>
    <row r="44" spans="1:7" x14ac:dyDescent="0.3">
      <c r="A44" s="2">
        <v>5</v>
      </c>
      <c r="C44" s="38" t="s">
        <v>17</v>
      </c>
      <c r="D44" s="42">
        <f>TRUNC(24918,-1)</f>
        <v>24910</v>
      </c>
      <c r="E44" s="63">
        <f t="shared" si="1"/>
        <v>82340</v>
      </c>
    </row>
    <row r="45" spans="1:7" x14ac:dyDescent="0.3">
      <c r="A45" s="2">
        <v>6</v>
      </c>
      <c r="C45" s="38" t="s">
        <v>18</v>
      </c>
      <c r="D45" s="42">
        <f>TRUNC(5487,-1)</f>
        <v>5480</v>
      </c>
      <c r="E45" s="63">
        <f t="shared" si="1"/>
        <v>18110</v>
      </c>
    </row>
    <row r="46" spans="1:7" x14ac:dyDescent="0.3">
      <c r="A46" s="2">
        <v>7</v>
      </c>
      <c r="C46" s="38" t="s">
        <v>19</v>
      </c>
      <c r="D46" s="42">
        <f>TRUNC(9794,-1)</f>
        <v>9790</v>
      </c>
      <c r="E46" s="63">
        <f t="shared" si="1"/>
        <v>32360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TRUNC(57079,-1)</f>
        <v>57070</v>
      </c>
      <c r="E48" s="63">
        <f t="shared" si="1"/>
        <v>188660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TRUNC(15933,-1)</f>
        <v>15930</v>
      </c>
      <c r="E49" s="63">
        <f t="shared" si="1"/>
        <v>52660</v>
      </c>
    </row>
    <row r="50" spans="1:7" x14ac:dyDescent="0.3">
      <c r="A50" s="2">
        <v>11</v>
      </c>
      <c r="C50" s="38" t="s">
        <v>155</v>
      </c>
      <c r="D50" s="42">
        <f>TRUNC(34215,-1)</f>
        <v>34210</v>
      </c>
      <c r="E50" s="63">
        <f t="shared" si="1"/>
        <v>113090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9250</v>
      </c>
      <c r="E52" s="63">
        <f t="shared" si="1"/>
        <v>30570</v>
      </c>
    </row>
    <row r="53" spans="1:7" x14ac:dyDescent="0.3">
      <c r="A53" s="2">
        <v>14</v>
      </c>
      <c r="C53" s="38" t="s">
        <v>25</v>
      </c>
      <c r="D53" s="42">
        <f>TRUNC(65642,-1)</f>
        <v>65640</v>
      </c>
      <c r="E53" s="63">
        <f t="shared" si="1"/>
        <v>216990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TRUNC(12728+4923-493+6373,-1)</f>
        <v>23530</v>
      </c>
      <c r="E58" s="63">
        <f t="shared" si="1"/>
        <v>77780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419040</v>
      </c>
      <c r="E60" s="39">
        <f>SUM(E40:E59)</f>
        <v>1385200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TRUNC(7598,-1)</f>
        <v>7590</v>
      </c>
      <c r="E63" s="62">
        <f>TRUNC(+D63*3.3058,-1)</f>
        <v>25090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7590</v>
      </c>
      <c r="E66" s="65">
        <f>SUM(E63:E65)</f>
        <v>25090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TRUNC(4962,-1)</f>
        <v>4960</v>
      </c>
      <c r="E69" s="62">
        <f t="shared" ref="E69:E94" si="2">TRUNC(+D69*3.3058,-1)</f>
        <v>16390</v>
      </c>
    </row>
    <row r="70" spans="1:7" ht="16.5" customHeight="1" x14ac:dyDescent="0.3">
      <c r="A70" s="2">
        <v>2</v>
      </c>
      <c r="C70" s="38" t="s">
        <v>31</v>
      </c>
      <c r="D70" s="42">
        <f>TRUNC(3922,-1)</f>
        <v>3920</v>
      </c>
      <c r="E70" s="63">
        <f t="shared" si="2"/>
        <v>12950</v>
      </c>
    </row>
    <row r="71" spans="1:7" x14ac:dyDescent="0.3">
      <c r="A71" s="2">
        <v>3</v>
      </c>
      <c r="C71" s="38" t="s">
        <v>32</v>
      </c>
      <c r="D71" s="42">
        <f>TRUNC(4714,-1)</f>
        <v>4710</v>
      </c>
      <c r="E71" s="63">
        <f t="shared" si="2"/>
        <v>15570</v>
      </c>
    </row>
    <row r="72" spans="1:7" x14ac:dyDescent="0.3">
      <c r="A72" s="2">
        <v>4</v>
      </c>
      <c r="C72" s="38" t="s">
        <v>33</v>
      </c>
      <c r="D72" s="42">
        <f>TRUNC(2989,-1)</f>
        <v>2980</v>
      </c>
      <c r="E72" s="63">
        <f t="shared" si="2"/>
        <v>9850</v>
      </c>
    </row>
    <row r="73" spans="1:7" x14ac:dyDescent="0.3">
      <c r="A73" s="2">
        <v>5</v>
      </c>
      <c r="C73" s="38" t="s">
        <v>34</v>
      </c>
      <c r="D73" s="42">
        <f>TRUNC(12068,-1)</f>
        <v>12060</v>
      </c>
      <c r="E73" s="63">
        <f t="shared" si="2"/>
        <v>39860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TRUNC(413,-1)</f>
        <v>410</v>
      </c>
      <c r="E75" s="63">
        <f t="shared" si="2"/>
        <v>1350</v>
      </c>
    </row>
    <row r="76" spans="1:7" x14ac:dyDescent="0.3">
      <c r="A76" s="2">
        <v>8</v>
      </c>
      <c r="C76" s="38" t="s">
        <v>119</v>
      </c>
      <c r="D76" s="42">
        <f>TRUNC(34286,-1)</f>
        <v>34280</v>
      </c>
      <c r="E76" s="63">
        <f t="shared" si="2"/>
        <v>113320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5110</v>
      </c>
      <c r="E89" s="63">
        <f t="shared" si="2"/>
        <v>16890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TRUNC(6152,-1)</f>
        <v>6150</v>
      </c>
      <c r="E91" s="63">
        <f t="shared" si="2"/>
        <v>20330</v>
      </c>
    </row>
    <row r="92" spans="1:7" x14ac:dyDescent="0.3">
      <c r="A92" s="2">
        <v>24</v>
      </c>
      <c r="C92" s="38" t="s">
        <v>38</v>
      </c>
      <c r="D92" s="42">
        <f>TRUNC(7656,-1)</f>
        <v>7650</v>
      </c>
      <c r="E92" s="63">
        <f t="shared" si="2"/>
        <v>25280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TRUNC(13585,-1)</f>
        <v>13580</v>
      </c>
      <c r="E94" s="64">
        <f t="shared" si="2"/>
        <v>44890</v>
      </c>
    </row>
    <row r="95" spans="1:7" x14ac:dyDescent="0.3">
      <c r="A95" s="2">
        <v>27</v>
      </c>
      <c r="C95" s="27" t="s">
        <v>112</v>
      </c>
      <c r="D95" s="39">
        <f>SUM(D69:D94)</f>
        <v>95810</v>
      </c>
      <c r="E95" s="39">
        <f>SUM(E69:E94)</f>
        <v>316680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TRUNC(5876,-1)</f>
        <v>5870</v>
      </c>
      <c r="E98" s="62">
        <f t="shared" ref="E98:E118" si="3">TRUNC(+D98*3.3058,-1)</f>
        <v>19400</v>
      </c>
    </row>
    <row r="99" spans="1:7" x14ac:dyDescent="0.3">
      <c r="A99" s="2">
        <v>2</v>
      </c>
      <c r="C99" s="38" t="s">
        <v>40</v>
      </c>
      <c r="D99" s="42">
        <f>TRUNC(2993,-1)</f>
        <v>2990</v>
      </c>
      <c r="E99" s="63">
        <f t="shared" si="3"/>
        <v>9880</v>
      </c>
    </row>
    <row r="100" spans="1:7" x14ac:dyDescent="0.3">
      <c r="A100" s="2">
        <v>3</v>
      </c>
      <c r="C100" s="38" t="s">
        <v>41</v>
      </c>
      <c r="D100" s="42">
        <f>TRUNC(20844,-1)</f>
        <v>20840</v>
      </c>
      <c r="E100" s="63">
        <f t="shared" si="3"/>
        <v>68890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TRUNC(12831,-1)</f>
        <v>12830</v>
      </c>
      <c r="E102" s="63">
        <f t="shared" si="3"/>
        <v>42410</v>
      </c>
    </row>
    <row r="103" spans="1:7" x14ac:dyDescent="0.3">
      <c r="A103" s="2">
        <v>6</v>
      </c>
      <c r="C103" s="38" t="s">
        <v>44</v>
      </c>
      <c r="D103" s="42">
        <f>TRUNC(6844,-1)</f>
        <v>6840</v>
      </c>
      <c r="E103" s="63">
        <f t="shared" si="3"/>
        <v>22610</v>
      </c>
    </row>
    <row r="104" spans="1:7" x14ac:dyDescent="0.3">
      <c r="A104" s="2">
        <v>7</v>
      </c>
      <c r="C104" s="38" t="s">
        <v>45</v>
      </c>
      <c r="D104" s="42">
        <f>TRUNC(1189,-1)</f>
        <v>1180</v>
      </c>
      <c r="E104" s="63">
        <f t="shared" si="3"/>
        <v>3900</v>
      </c>
    </row>
    <row r="105" spans="1:7" x14ac:dyDescent="0.3">
      <c r="A105" s="2">
        <v>8</v>
      </c>
      <c r="C105" s="38" t="s">
        <v>46</v>
      </c>
      <c r="D105" s="42">
        <f>TRUNC(9535,-1)</f>
        <v>9530</v>
      </c>
      <c r="E105" s="63">
        <f t="shared" si="3"/>
        <v>31500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TRUNC(3632,-1)</f>
        <v>3630</v>
      </c>
      <c r="E116" s="63">
        <f t="shared" si="3"/>
        <v>12000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TRUNC(324,-1)</f>
        <v>320</v>
      </c>
      <c r="E118" s="64">
        <f t="shared" si="3"/>
        <v>1050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64030</v>
      </c>
      <c r="E119" s="39">
        <f>SUM(E98:E118)</f>
        <v>211640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TRUNC(2212,-1)</f>
        <v>2210</v>
      </c>
      <c r="E122" s="62">
        <f t="shared" ref="E122:E132" si="4">TRUNC(+D122*3.3058,-1)</f>
        <v>7300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TRUNC(4934,-1)</f>
        <v>4930</v>
      </c>
      <c r="E125" s="63">
        <f t="shared" si="4"/>
        <v>16290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9080</v>
      </c>
      <c r="E128" s="63">
        <f t="shared" si="4"/>
        <v>30010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TRUNC(9691,-1)</f>
        <v>9690</v>
      </c>
      <c r="E130" s="63">
        <f t="shared" si="4"/>
        <v>32030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TRUNC(1718,-1)</f>
        <v>1710</v>
      </c>
      <c r="E132" s="64">
        <f t="shared" si="4"/>
        <v>5650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27620</v>
      </c>
      <c r="E133" s="39">
        <f>SUM(E122:E132)</f>
        <v>91280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TRUNC(1994+4771,-1)</f>
        <v>6760</v>
      </c>
      <c r="E137" s="63">
        <f t="shared" si="5"/>
        <v>22340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TRUNC(2152,-1)</f>
        <v>2150</v>
      </c>
      <c r="E140" s="63">
        <f t="shared" si="5"/>
        <v>7100</v>
      </c>
    </row>
    <row r="141" spans="1:7" x14ac:dyDescent="0.3">
      <c r="A141" s="2">
        <v>6</v>
      </c>
      <c r="C141" s="38" t="s">
        <v>59</v>
      </c>
      <c r="D141" s="42">
        <f>TRUNC(18744,-1)</f>
        <v>18740</v>
      </c>
      <c r="E141" s="63">
        <f t="shared" si="5"/>
        <v>61950</v>
      </c>
    </row>
    <row r="142" spans="1:7" x14ac:dyDescent="0.3">
      <c r="A142" s="2">
        <v>7</v>
      </c>
      <c r="C142" s="38" t="s">
        <v>58</v>
      </c>
      <c r="D142" s="42">
        <f>TRUNC(8606,-1)</f>
        <v>8600</v>
      </c>
      <c r="E142" s="63">
        <f t="shared" si="5"/>
        <v>28420</v>
      </c>
    </row>
    <row r="143" spans="1:7" x14ac:dyDescent="0.3">
      <c r="A143" s="2">
        <v>8</v>
      </c>
      <c r="C143" s="38" t="s">
        <v>62</v>
      </c>
      <c r="D143" s="42">
        <f>TRUNC(2688,-1)</f>
        <v>2680</v>
      </c>
      <c r="E143" s="63">
        <f t="shared" si="5"/>
        <v>8850</v>
      </c>
    </row>
    <row r="144" spans="1:7" x14ac:dyDescent="0.3">
      <c r="A144" s="2">
        <v>9</v>
      </c>
      <c r="C144" s="38" t="s">
        <v>63</v>
      </c>
      <c r="D144" s="42">
        <f>TRUNC(8132,-1)</f>
        <v>8130</v>
      </c>
      <c r="E144" s="63">
        <f t="shared" si="5"/>
        <v>26870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47060</v>
      </c>
      <c r="E146" s="39">
        <f>SUM(E136:E145)</f>
        <v>155530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TRUNC(13275+994,-1)</f>
        <v>14260</v>
      </c>
      <c r="E149" s="62">
        <f>TRUNC(+D149*3.3058,-1)</f>
        <v>47140</v>
      </c>
    </row>
    <row r="150" spans="1:7" x14ac:dyDescent="0.3">
      <c r="A150" s="2">
        <v>2</v>
      </c>
      <c r="C150" s="38" t="s">
        <v>49</v>
      </c>
      <c r="D150" s="42">
        <f>TRUNC(4124,-1)</f>
        <v>4120</v>
      </c>
      <c r="E150" s="63">
        <f>TRUNC(+D150*3.3058,-1)</f>
        <v>13610</v>
      </c>
    </row>
    <row r="151" spans="1:7" x14ac:dyDescent="0.3">
      <c r="A151" s="2">
        <v>3</v>
      </c>
      <c r="C151" s="38" t="s">
        <v>50</v>
      </c>
      <c r="D151" s="42">
        <f>TRUNC(533,-1)</f>
        <v>530</v>
      </c>
      <c r="E151" s="63">
        <f>TRUNC(+D151*3.3058,-1)</f>
        <v>1750</v>
      </c>
    </row>
    <row r="152" spans="1:7" x14ac:dyDescent="0.3">
      <c r="A152" s="2">
        <v>4</v>
      </c>
      <c r="C152" s="38" t="s">
        <v>47</v>
      </c>
      <c r="D152" s="42">
        <f>TRUNC(5611+1712,-1)</f>
        <v>7320</v>
      </c>
      <c r="E152" s="63">
        <f>TRUNC(+D152*3.3058,-1)</f>
        <v>24190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26230</v>
      </c>
      <c r="E154" s="39">
        <f>SUM(E149:E153)</f>
        <v>86690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TRUNC(13677,-1)</f>
        <v>13670</v>
      </c>
      <c r="E157" s="62">
        <f>TRUNC(+D157*3.3058,-1)</f>
        <v>45190</v>
      </c>
    </row>
    <row r="158" spans="1:7" x14ac:dyDescent="0.3">
      <c r="A158" s="2">
        <v>2</v>
      </c>
      <c r="C158" s="38" t="s">
        <v>52</v>
      </c>
      <c r="D158" s="42">
        <f>TRUNC(4714,-1)</f>
        <v>4710</v>
      </c>
      <c r="E158" s="63">
        <f>TRUNC(+D158*3.3058,-1)</f>
        <v>15570</v>
      </c>
    </row>
    <row r="159" spans="1:7" x14ac:dyDescent="0.3">
      <c r="A159" s="2">
        <v>3</v>
      </c>
      <c r="C159" s="38" t="s">
        <v>47</v>
      </c>
      <c r="D159" s="42">
        <f>TRUNC(1215+1662,-1)</f>
        <v>2870</v>
      </c>
      <c r="E159" s="63">
        <f>TRUNC(+D159*3.3058,-1)</f>
        <v>9480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21250</v>
      </c>
      <c r="E161" s="39">
        <f>SUM(E157:E160)</f>
        <v>70240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2020-12-07T10:01:44Z</dcterms:modified>
</cp:coreProperties>
</file>