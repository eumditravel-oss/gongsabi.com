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5" i="4"/>
  <c r="D143" i="4"/>
  <c r="D142" i="4"/>
  <c r="D141" i="4"/>
  <c r="D140" i="4"/>
  <c r="D139" i="4"/>
  <c r="D137" i="4"/>
  <c r="D132" i="4"/>
  <c r="D131" i="4"/>
  <c r="D128" i="4"/>
  <c r="D127" i="4"/>
  <c r="D125" i="4"/>
  <c r="D124" i="4"/>
  <c r="D122" i="4"/>
  <c r="D118" i="4"/>
  <c r="D117" i="4"/>
  <c r="D116" i="4"/>
  <c r="D114" i="4"/>
  <c r="D105" i="4"/>
  <c r="D104" i="4"/>
  <c r="D103" i="4"/>
  <c r="D101" i="4"/>
  <c r="D100" i="4"/>
  <c r="D99" i="4"/>
  <c r="D98" i="4"/>
  <c r="D94" i="4"/>
  <c r="D93" i="4"/>
  <c r="D91" i="4"/>
  <c r="D72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<sst xmlns="http://schemas.openxmlformats.org/spreadsheetml/2006/main" count="393" uniqueCount="270">
  <si>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</si>
  <si>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</si>
  <si>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</si>
  <si>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</si>
  <si>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</si>
  <si>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</si>
  <si>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</si>
  <si>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</si>
  <si>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</si>
  <si>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</si>
  <si>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</si>
  <si>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</si>
  <si>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</si>
  <si>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</si>
  <si>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</si>
  <si>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</si>
  <si>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</si>
  <si>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</si>
  <si>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</si>
  <si>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</si>
  <si>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</si>
  <si>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</si>
  <si>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</si>
  <si>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</si>
  <si>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</si>
  <si>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</si>
  <si>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</si>
  <si>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</si>
  <si>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</si>
  <si>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</si>
  <si>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</si>
  <si>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</si>
  <si>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</si>
  <si>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</si>
  <si>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</si>
  <si>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</si>
  <si>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</si>
  <si>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</si>
  <si>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</si>
  <si>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</si>
  <si>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</si>
  <si>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</si>
  <si>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</si>
  <si>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</si>
  <si>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</si>
  <si>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</si>
  <si>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</si>
  <si>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</si>
  <si>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</si>
  <si>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</si>
  <si>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</si>
  <si>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</si>
  <si>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</si>
  <si>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</si>
  <si>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</si>
  <si>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</si>
  <si>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</si>
  <si>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</si>
  <si>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</si>
  <si>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</si>
  <si>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</si>
  <si>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</si>
  <si>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</si>
  <si>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</si>
  <si>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</si>
  <si>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</si>
  <si>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</si>
  <si>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</si>
  <si>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</si>
  <si>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</si>
  <si>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</si>
  <si>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</si>
  <si>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</si>
  <si>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</si>
  <si>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</si>
  <si>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</si>
  <si>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</si>
  <si>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</si>
  <si>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</si>
  <si>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</si>
  <si>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</si>
  <si>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</si>
  <si>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</si>
  <si>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</si>
  <si>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</si>
  <si>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</si>
  <si>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</si>
  <si>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</si>
  <si>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</si>
  <si>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</si>
  <si>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</si>
  <si>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</si>
  <si>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</si>
  <si>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</si>
  <si>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</si>
  <si>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</si>
  <si>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</si>
  <si>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</si>
  <si>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</si>
  <si>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</si>
  <si>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</si>
  <si>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</si>
  <si>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</si>
  <si>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</si>
  <si>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</si>
  <si>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</si>
  <si>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</si>
  <si>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</si>
  <si>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</si>
  <si>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</si>
  <si>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</si>
  <si>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</si>
  <si>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</si>
  <si>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</si>
  <si>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</si>
  <si>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</si>
  <si>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</si>
  <si>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</si>
  <si>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</si>
  <si>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</si>
  <si>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</si>
  <si>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</si>
  <si>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</si>
  <si>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</si>
  <si>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</si>
  <si>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</si>
  <si>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</si>
  <si>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</si>
  <si>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</si>
  <si>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</si>
  <si>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</si>
  <si>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</si>
  <si>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</si>
  <si>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</si>
  <si>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</si>
  <si>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</si>
  <si>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</si>
  <si>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</si>
  <si>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</si>
  <si>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</si>
  <si>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</si>
  <si>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</si>
  <si>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</si>
  <si>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</si>
  <si>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</si>
  <si>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</si>
  <si>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</si>
  <si>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</si>
  <si>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</si>
  <si>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</si>
  <si>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</si>
  <si>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</si>
  <si>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</si>
  <si>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</si>
  <si>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</si>
  <si>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</si>
  <si>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</si>
  <si>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</si>
  <si>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</si>
  <si>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</si>
  <si>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</si>
  <si>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</si>
  <si>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</si>
  <si>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</si>
  <si>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</si>
  <si>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</si>
  <si>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</si>
  <si>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</si>
  <si>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</si>
  <si>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</si>
  <si>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</si>
  <si>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</si>
  <si>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</si>
  <si>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</si>
  <si>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</si>
  <si>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</si>
  <si>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</si>
  <si>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</si>
  <si>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</si>
  <si>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</si>
  <si>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</si>
  <si>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</si>
  <si>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</si>
  <si>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</si>
  <si>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</si>
  <si>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</si>
  <si>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</si>
  <si>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</si>
  <si>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</si>
  <si>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</si>
  <si>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</si>
  <si>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</si>
  <si>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</si>
  <si>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</si>
  <si>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</si>
  <si>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</si>
  <si>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</si>
  <si>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</si>
  <si>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</si>
  <si>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</si>
  <si>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</si>
  <si>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</si>
  <si>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</si>
  <si>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</si>
  <si>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</si>
  <si>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</si>
  <si>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</si>
  <si>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</si>
  <si>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</si>
  <si>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</si>
  <si>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</si>
  <si>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</si>
  <si>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</si>
  <si>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</si>
  <si>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</si>
  <si>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</si>
  <si>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</si>
  <si>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</si>
  <si>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</si>
  <si>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</si>
  <si>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</si>
  <si>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</si>
  <si>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</si>
  <si>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</si>
  <si>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</si>
  <si>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</si>
  <si>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</si>
  <si>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</si>
  <si>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</si>
  <si>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</si>
  <si>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</si>
  <si>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</si>
  <si>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</si>
  <si>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</si>
  <si>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</si>
  <si>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</si>
  <si>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</si>
  <si>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</si>
  <si>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</si>
  <si>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</si>
  <si>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</si>
  <si>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</si>
  <si>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</si>
  <si>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</si>
  <si>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</si>
  <si>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</si>
  <si>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</si>
  <si>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</si>
  <si>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</si>
  <si>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</si>
  <si>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</si>
  <si>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해체및철거공사, 골재비및운반비, 작업부산물, 품질시험비,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</si>
  <si>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</si>
  <si>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</si>
  <si>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</si>
  <si>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</si>
  <si>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</si>
  <si>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서부경찰서 청사 신축공사</t>
    <phoneticPr fontId="2" type="noConversion"/>
  </si>
  <si>
    <t>서울</t>
  </si>
  <si>
    <t>공조배관공사, 기타공사</t>
    <phoneticPr fontId="2" type="noConversion"/>
  </si>
  <si>
    <t>CCTV설비공사, 주차관제설비공사, 기타공사</t>
    <phoneticPr fontId="2" type="noConversion"/>
  </si>
  <si>
    <t>옥외소화배관공사, 펌프실배관공사, 제연덕트설치공사, 무선통신보조설비공사, 기타공사</t>
    <phoneticPr fontId="2" type="noConversion"/>
  </si>
  <si>
    <t>상수도공사, 사급자재비, 운반비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</si>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</sst>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14715.67</v>
      </c>
      <c r="D7" s="36">
        <f>+C7/3.3058</f>
        <v>4451.4701433843547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723760</v>
      </c>
      <c r="E25" s="59">
        <f t="shared" si="0"/>
        <v>2392600</v>
      </c>
    </row>
    <row r="26" spans="1:5" x14ac:dyDescent="0.3">
      <c r="B26" s="2">
        <v>3</v>
      </c>
      <c r="C26" s="35" t="s">
        <v>95</v>
      </c>
      <c r="D26" s="45">
        <f>+D66</f>
        <v>138840</v>
      </c>
      <c r="E26" s="59">
        <f t="shared" si="0"/>
        <v>458970</v>
      </c>
    </row>
    <row r="27" spans="1:5" x14ac:dyDescent="0.3">
      <c r="B27" s="2">
        <v>4</v>
      </c>
      <c r="C27" s="35" t="s">
        <v>96</v>
      </c>
      <c r="D27" s="45">
        <f>+D95</f>
        <v>271630</v>
      </c>
      <c r="E27" s="59">
        <f t="shared" si="0"/>
        <v>897950</v>
      </c>
    </row>
    <row r="28" spans="1:5" x14ac:dyDescent="0.3">
      <c r="B28" s="2">
        <v>5</v>
      </c>
      <c r="C28" s="35" t="s">
        <v>97</v>
      </c>
      <c r="D28" s="45">
        <f>+D119</f>
        <v>153950</v>
      </c>
      <c r="E28" s="59">
        <f t="shared" si="0"/>
        <v>508920</v>
      </c>
    </row>
    <row r="29" spans="1:5" x14ac:dyDescent="0.3">
      <c r="B29" s="2">
        <v>6</v>
      </c>
      <c r="C29" s="35" t="s">
        <v>98</v>
      </c>
      <c r="D29" s="45">
        <f>+D133</f>
        <v>156300</v>
      </c>
      <c r="E29" s="59">
        <f t="shared" si="0"/>
        <v>516690</v>
      </c>
    </row>
    <row r="30" spans="1:5" x14ac:dyDescent="0.3">
      <c r="B30" s="2">
        <v>7</v>
      </c>
      <c r="C30" s="35" t="s">
        <v>99</v>
      </c>
      <c r="D30" s="45">
        <f>+D146</f>
        <v>66630</v>
      </c>
      <c r="E30" s="59">
        <f t="shared" si="0"/>
        <v>220260</v>
      </c>
    </row>
    <row r="31" spans="1:5" x14ac:dyDescent="0.3">
      <c r="B31" s="2">
        <v>8</v>
      </c>
      <c r="C31" s="35" t="s">
        <v>100</v>
      </c>
      <c r="D31" s="45">
        <f>+D154</f>
        <v>58840</v>
      </c>
      <c r="E31" s="59">
        <f t="shared" si="0"/>
        <v>194510</v>
      </c>
    </row>
    <row r="32" spans="1:5" x14ac:dyDescent="0.3">
      <c r="B32" s="2">
        <v>9</v>
      </c>
      <c r="C32" s="35" t="s">
        <v>101</v>
      </c>
      <c r="D32" s="45">
        <f>+D161</f>
        <v>20990</v>
      </c>
      <c r="E32" s="59">
        <f t="shared" si="0"/>
        <v>69380</v>
      </c>
    </row>
    <row r="33" spans="1:7" x14ac:dyDescent="0.3">
      <c r="B33" s="2">
        <v>10</v>
      </c>
      <c r="C33" s="35" t="s">
        <v>154</v>
      </c>
      <c r="D33" s="53">
        <f>TRUNC(SUM(D24:D32)*0.275,-1)</f>
        <v>437500</v>
      </c>
      <c r="E33" s="60">
        <f t="shared" si="0"/>
        <v>1446280</v>
      </c>
    </row>
    <row r="34" spans="1:7" x14ac:dyDescent="0.3">
      <c r="C34" s="35" t="s">
        <v>112</v>
      </c>
      <c r="D34" s="44">
        <f>SUM(D24:D33)</f>
        <v>2028440</v>
      </c>
      <c r="E34" s="44">
        <f>SUM(E24:E33)</f>
        <v>6705560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263</v>
      </c>
      <c r="C39" s="56" t="s">
        <v>264</v>
      </c>
      <c r="D39" s="57" t="s">
        <v>265</v>
      </c>
      <c r="E39" s="57" t="s">
        <v>266</v>
      </c>
      <c r="G39" s="55"/>
    </row>
    <row r="40" spans="1:7" x14ac:dyDescent="0.3">
      <c r="A40" s="2">
        <v>1</v>
      </c>
      <c r="C40" s="38" t="s">
        <v>15</v>
      </c>
      <c r="D40" s="40">
        <f>TRUNC(47833,-1)</f>
        <v>47830</v>
      </c>
      <c r="E40" s="62">
        <f t="shared" ref="E40:E59" si="1">TRUNC(+D40*3.3058,-1)</f>
        <v>158110</v>
      </c>
    </row>
    <row r="41" spans="1:7" x14ac:dyDescent="0.3">
      <c r="A41" s="2">
        <v>2</v>
      </c>
      <c r="C41" s="38" t="s">
        <v>13</v>
      </c>
      <c r="D41" s="42">
        <f>TRUNC(133681,-1)</f>
        <v>133680</v>
      </c>
      <c r="E41" s="63">
        <f t="shared" si="1"/>
        <v>441910</v>
      </c>
    </row>
    <row r="42" spans="1:7" x14ac:dyDescent="0.3">
      <c r="A42" s="2">
        <v>3</v>
      </c>
      <c r="C42" s="38" t="s">
        <v>14</v>
      </c>
      <c r="D42" s="42">
        <f>TRUNC(5095,-1)</f>
        <v>5090</v>
      </c>
      <c r="E42" s="63">
        <f t="shared" si="1"/>
        <v>16820</v>
      </c>
    </row>
    <row r="43" spans="1:7" x14ac:dyDescent="0.3">
      <c r="A43" s="2">
        <v>4</v>
      </c>
      <c r="C43" s="38" t="s">
        <v>16</v>
      </c>
      <c r="D43" s="42">
        <f>TRUNC(21233,-1)</f>
        <v>21230</v>
      </c>
      <c r="E43" s="63">
        <f t="shared" si="1"/>
        <v>70180</v>
      </c>
    </row>
    <row r="44" spans="1:7" x14ac:dyDescent="0.3">
      <c r="A44" s="2">
        <v>5</v>
      </c>
      <c r="C44" s="38" t="s">
        <v>17</v>
      </c>
      <c r="D44" s="42">
        <f>TRUNC(19157,-1)</f>
        <v>19150</v>
      </c>
      <c r="E44" s="63">
        <f t="shared" si="1"/>
        <v>63300</v>
      </c>
    </row>
    <row r="45" spans="1:7" x14ac:dyDescent="0.3">
      <c r="A45" s="2">
        <v>6</v>
      </c>
      <c r="C45" s="38" t="s">
        <v>18</v>
      </c>
      <c r="D45" s="42">
        <f>TRUNC(5002,-1)</f>
        <v>5000</v>
      </c>
      <c r="E45" s="63">
        <f t="shared" si="1"/>
        <v>16520</v>
      </c>
    </row>
    <row r="46" spans="1:7" x14ac:dyDescent="0.3">
      <c r="A46" s="2">
        <v>7</v>
      </c>
      <c r="C46" s="38" t="s">
        <v>19</v>
      </c>
      <c r="D46" s="42">
        <f>TRUNC(20378,-1)</f>
        <v>20370</v>
      </c>
      <c r="E46" s="63">
        <f t="shared" si="1"/>
        <v>67330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TRUNC(36285,-1)</f>
        <v>36280</v>
      </c>
      <c r="E48" s="63">
        <f t="shared" si="1"/>
        <v>119930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TRUNC(11782,-1)</f>
        <v>11780</v>
      </c>
      <c r="E49" s="63">
        <f t="shared" si="1"/>
        <v>38940</v>
      </c>
    </row>
    <row r="50" spans="1:7" x14ac:dyDescent="0.3">
      <c r="A50" s="2">
        <v>11</v>
      </c>
      <c r="C50" s="38" t="s">
        <v>155</v>
      </c>
      <c r="D50" s="42">
        <f>TRUNC(46497,-1)</f>
        <v>46490</v>
      </c>
      <c r="E50" s="63">
        <f t="shared" si="1"/>
        <v>153680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TRUNC(9699,-1)</f>
        <v>9690</v>
      </c>
      <c r="E52" s="63">
        <f t="shared" si="1"/>
        <v>32030</v>
      </c>
    </row>
    <row r="53" spans="1:7" x14ac:dyDescent="0.3">
      <c r="A53" s="2">
        <v>14</v>
      </c>
      <c r="C53" s="38" t="s">
        <v>25</v>
      </c>
      <c r="D53" s="42">
        <f>TRUNC(56214,-1)</f>
        <v>56210</v>
      </c>
      <c r="E53" s="63">
        <f t="shared" si="1"/>
        <v>185810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TRUNC(2578+15156+3479-4009+291+19749,-1)</f>
        <v>37240</v>
      </c>
      <c r="E58" s="63">
        <f t="shared" si="1"/>
        <v>123100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TRUNC(273721,-1)</f>
        <v>273720</v>
      </c>
      <c r="E59" s="64">
        <f t="shared" si="1"/>
        <v>904860</v>
      </c>
    </row>
    <row r="60" spans="1:7" x14ac:dyDescent="0.3">
      <c r="A60" s="2">
        <v>21</v>
      </c>
      <c r="C60" s="27" t="s">
        <v>112</v>
      </c>
      <c r="D60" s="39">
        <f>SUM(D40:D59)</f>
        <v>723760</v>
      </c>
      <c r="E60" s="39">
        <f>SUM(E40:E59)</f>
        <v>2392520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TRUNC(37979,-1)</f>
        <v>37970</v>
      </c>
      <c r="E63" s="62">
        <f>TRUNC(+D63*3.3058,-1)</f>
        <v>125520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TRUNC(100871,-1)</f>
        <v>100870</v>
      </c>
      <c r="E65" s="64">
        <f>TRUNC(+D65*3.3058,-1)</f>
        <v>333450</v>
      </c>
    </row>
    <row r="66" spans="1:7" x14ac:dyDescent="0.3">
      <c r="A66" s="2">
        <v>4</v>
      </c>
      <c r="C66" s="27" t="s">
        <v>112</v>
      </c>
      <c r="D66" s="39">
        <f>SUM(D63:D65)</f>
        <v>138840</v>
      </c>
      <c r="E66" s="65">
        <f>SUM(E63:E65)</f>
        <v>458970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6290</v>
      </c>
      <c r="E69" s="62">
        <f t="shared" ref="E69:E94" si="2">TRUNC(+D69*3.3058,-1)</f>
        <v>20790</v>
      </c>
    </row>
    <row r="70" spans="1:7" ht="16.5" customHeight="1" x14ac:dyDescent="0.3">
      <c r="A70" s="2">
        <v>2</v>
      </c>
      <c r="C70" s="38" t="s">
        <v>31</v>
      </c>
      <c r="D70" s="42">
        <v>90</v>
      </c>
      <c r="E70" s="63">
        <f t="shared" si="2"/>
        <v>290</v>
      </c>
    </row>
    <row r="71" spans="1:7" x14ac:dyDescent="0.3">
      <c r="A71" s="2">
        <v>3</v>
      </c>
      <c r="C71" s="38" t="s">
        <v>32</v>
      </c>
      <c r="D71" s="42">
        <v>9580</v>
      </c>
      <c r="E71" s="63">
        <f t="shared" si="2"/>
        <v>31660</v>
      </c>
    </row>
    <row r="72" spans="1:7" x14ac:dyDescent="0.3">
      <c r="A72" s="2">
        <v>4</v>
      </c>
      <c r="C72" s="38" t="s">
        <v>33</v>
      </c>
      <c r="D72" s="42">
        <f>TRUNC(2486,-1)</f>
        <v>2480</v>
      </c>
      <c r="E72" s="63">
        <f t="shared" si="2"/>
        <v>8190</v>
      </c>
    </row>
    <row r="73" spans="1:7" x14ac:dyDescent="0.3">
      <c r="A73" s="2">
        <v>5</v>
      </c>
      <c r="C73" s="38" t="s">
        <v>34</v>
      </c>
      <c r="D73" s="42">
        <v>31730</v>
      </c>
      <c r="E73" s="63">
        <f t="shared" si="2"/>
        <v>104890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1960</v>
      </c>
      <c r="E90" s="63">
        <f t="shared" si="2"/>
        <v>6470</v>
      </c>
    </row>
    <row r="91" spans="1:7" x14ac:dyDescent="0.3">
      <c r="A91" s="2">
        <v>23</v>
      </c>
      <c r="C91" s="38" t="s">
        <v>37</v>
      </c>
      <c r="D91" s="42">
        <f>TRUNC(17417,-1)</f>
        <v>17410</v>
      </c>
      <c r="E91" s="63">
        <f t="shared" si="2"/>
        <v>57550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TRUNC(180575,-1)</f>
        <v>180570</v>
      </c>
      <c r="E93" s="63">
        <f t="shared" si="2"/>
        <v>596920</v>
      </c>
    </row>
    <row r="94" spans="1:7" ht="17.25" thickBot="1" x14ac:dyDescent="0.35">
      <c r="A94" s="2">
        <v>26</v>
      </c>
      <c r="C94" s="38" t="s">
        <v>47</v>
      </c>
      <c r="D94" s="43">
        <f>TRUNC(13274+8253,-1)</f>
        <v>21520</v>
      </c>
      <c r="E94" s="64">
        <f t="shared" si="2"/>
        <v>71140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271630</v>
      </c>
      <c r="E95" s="39">
        <f>SUM(E69:E94)</f>
        <v>897900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TRUNC(12099,-1)</f>
        <v>12090</v>
      </c>
      <c r="E98" s="62">
        <f t="shared" ref="E98:E118" si="3">TRUNC(+D98*3.3058,-1)</f>
        <v>39960</v>
      </c>
    </row>
    <row r="99" spans="1:7" x14ac:dyDescent="0.3">
      <c r="A99" s="2">
        <v>2</v>
      </c>
      <c r="C99" s="38" t="s">
        <v>40</v>
      </c>
      <c r="D99" s="42">
        <f>TRUNC(7315,-1)</f>
        <v>7310</v>
      </c>
      <c r="E99" s="63">
        <f t="shared" si="3"/>
        <v>24160</v>
      </c>
    </row>
    <row r="100" spans="1:7" x14ac:dyDescent="0.3">
      <c r="A100" s="2">
        <v>3</v>
      </c>
      <c r="C100" s="38" t="s">
        <v>41</v>
      </c>
      <c r="D100" s="42">
        <f>TRUNC(28862,-1)</f>
        <v>28860</v>
      </c>
      <c r="E100" s="63">
        <f t="shared" si="3"/>
        <v>95400</v>
      </c>
    </row>
    <row r="101" spans="1:7" x14ac:dyDescent="0.3">
      <c r="A101" s="2">
        <v>4</v>
      </c>
      <c r="C101" s="38" t="s">
        <v>42</v>
      </c>
      <c r="D101" s="42">
        <f>TRUNC(1055,-1)</f>
        <v>1050</v>
      </c>
      <c r="E101" s="63">
        <f t="shared" si="3"/>
        <v>3470</v>
      </c>
    </row>
    <row r="102" spans="1:7" x14ac:dyDescent="0.3">
      <c r="A102" s="2">
        <v>5</v>
      </c>
      <c r="C102" s="38" t="s">
        <v>43</v>
      </c>
      <c r="D102" s="42">
        <v>11310</v>
      </c>
      <c r="E102" s="63">
        <f t="shared" si="3"/>
        <v>37380</v>
      </c>
    </row>
    <row r="103" spans="1:7" x14ac:dyDescent="0.3">
      <c r="A103" s="2">
        <v>6</v>
      </c>
      <c r="C103" s="38" t="s">
        <v>44</v>
      </c>
      <c r="D103" s="42">
        <f>TRUNC(5486,-1)</f>
        <v>5480</v>
      </c>
      <c r="E103" s="63">
        <f t="shared" si="3"/>
        <v>18110</v>
      </c>
    </row>
    <row r="104" spans="1:7" x14ac:dyDescent="0.3">
      <c r="A104" s="2">
        <v>7</v>
      </c>
      <c r="C104" s="38" t="s">
        <v>45</v>
      </c>
      <c r="D104" s="42">
        <f>TRUNC(1599,-1)</f>
        <v>1590</v>
      </c>
      <c r="E104" s="63">
        <f t="shared" si="3"/>
        <v>5250</v>
      </c>
    </row>
    <row r="105" spans="1:7" x14ac:dyDescent="0.3">
      <c r="A105" s="2">
        <v>8</v>
      </c>
      <c r="C105" s="38" t="s">
        <v>46</v>
      </c>
      <c r="D105" s="42">
        <f>TRUNC(2504,-1)</f>
        <v>2500</v>
      </c>
      <c r="E105" s="63">
        <f t="shared" si="3"/>
        <v>8260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TRUNC(3433,-1)</f>
        <v>3430</v>
      </c>
      <c r="E114" s="63">
        <f t="shared" si="3"/>
        <v>11330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TRUNC(2993,-1)</f>
        <v>2990</v>
      </c>
      <c r="E116" s="63">
        <f t="shared" si="3"/>
        <v>9880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TRUNC(77235,-1)</f>
        <v>77230</v>
      </c>
      <c r="E117" s="63">
        <f t="shared" si="3"/>
        <v>255300</v>
      </c>
    </row>
    <row r="118" spans="1:7" ht="17.25" thickBot="1" x14ac:dyDescent="0.35">
      <c r="A118" s="2">
        <v>21</v>
      </c>
      <c r="C118" s="38" t="s">
        <v>47</v>
      </c>
      <c r="D118" s="43">
        <f>TRUNC(119,-1)</f>
        <v>110</v>
      </c>
      <c r="E118" s="64">
        <f t="shared" si="3"/>
        <v>360</v>
      </c>
    </row>
    <row r="119" spans="1:7" x14ac:dyDescent="0.3">
      <c r="A119" s="2">
        <v>22</v>
      </c>
      <c r="C119" s="27" t="s">
        <v>112</v>
      </c>
      <c r="D119" s="39">
        <f>SUM(D98:D118)</f>
        <v>153950</v>
      </c>
      <c r="E119" s="39">
        <f>SUM(E98:E118)</f>
        <v>508860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TRUNC(12678,-1)</f>
        <v>12670</v>
      </c>
      <c r="E122" s="62">
        <f t="shared" ref="E122:E132" si="4">TRUNC(+D122*3.3058,-1)</f>
        <v>41880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TRUNC(837,-1)</f>
        <v>830</v>
      </c>
      <c r="E124" s="63">
        <f t="shared" si="4"/>
        <v>2740</v>
      </c>
    </row>
    <row r="125" spans="1:7" x14ac:dyDescent="0.3">
      <c r="A125" s="2">
        <v>4</v>
      </c>
      <c r="C125" s="38" t="s">
        <v>138</v>
      </c>
      <c r="D125" s="42">
        <f>TRUNC(6233,-1)</f>
        <v>6230</v>
      </c>
      <c r="E125" s="63">
        <f t="shared" si="4"/>
        <v>20590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TRUNC(4116,-1)</f>
        <v>4110</v>
      </c>
      <c r="E127" s="63">
        <f t="shared" si="4"/>
        <v>13580</v>
      </c>
    </row>
    <row r="128" spans="1:7" x14ac:dyDescent="0.3">
      <c r="A128" s="2">
        <v>7</v>
      </c>
      <c r="C128" s="38" t="s">
        <v>46</v>
      </c>
      <c r="D128" s="42">
        <f>TRUNC(2306,-1)</f>
        <v>2300</v>
      </c>
      <c r="E128" s="63">
        <f t="shared" si="4"/>
        <v>7600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51670</v>
      </c>
      <c r="E130" s="63">
        <f t="shared" si="4"/>
        <v>170810</v>
      </c>
    </row>
    <row r="131" spans="1:7" x14ac:dyDescent="0.3">
      <c r="A131" s="2">
        <v>10</v>
      </c>
      <c r="C131" s="38" t="s">
        <v>148</v>
      </c>
      <c r="D131" s="42">
        <f>TRUNC(71402,-1)</f>
        <v>71400</v>
      </c>
      <c r="E131" s="63">
        <f t="shared" si="4"/>
        <v>236030</v>
      </c>
    </row>
    <row r="132" spans="1:7" ht="18" thickBot="1" x14ac:dyDescent="0.35">
      <c r="A132" s="2">
        <v>11</v>
      </c>
      <c r="C132" s="38" t="s">
        <v>47</v>
      </c>
      <c r="D132" s="43">
        <f>TRUNC(4904+964+1225,-1)</f>
        <v>7090</v>
      </c>
      <c r="E132" s="64">
        <f t="shared" si="4"/>
        <v>23430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156300</v>
      </c>
      <c r="E133" s="39">
        <f>SUM(E122:E132)</f>
        <v>516660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TRUNC(100+1813+3623+1286+13197,-1)</f>
        <v>20010</v>
      </c>
      <c r="E137" s="63">
        <f t="shared" si="5"/>
        <v>66140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TRUNC(5522,-1)</f>
        <v>5520</v>
      </c>
      <c r="E139" s="63">
        <f t="shared" si="5"/>
        <v>18240</v>
      </c>
    </row>
    <row r="140" spans="1:7" x14ac:dyDescent="0.3">
      <c r="A140" s="2">
        <v>5</v>
      </c>
      <c r="C140" s="38" t="s">
        <v>57</v>
      </c>
      <c r="D140" s="42">
        <f>TRUNC(2252,-1)</f>
        <v>2250</v>
      </c>
      <c r="E140" s="63">
        <f t="shared" si="5"/>
        <v>7430</v>
      </c>
    </row>
    <row r="141" spans="1:7" x14ac:dyDescent="0.3">
      <c r="A141" s="2">
        <v>6</v>
      </c>
      <c r="C141" s="38" t="s">
        <v>59</v>
      </c>
      <c r="D141" s="42">
        <f>TRUNC(18177,-1)</f>
        <v>18170</v>
      </c>
      <c r="E141" s="63">
        <f t="shared" si="5"/>
        <v>60060</v>
      </c>
    </row>
    <row r="142" spans="1:7" x14ac:dyDescent="0.3">
      <c r="A142" s="2">
        <v>7</v>
      </c>
      <c r="C142" s="38" t="s">
        <v>58</v>
      </c>
      <c r="D142" s="42">
        <f>TRUNC(4418,-1)</f>
        <v>4410</v>
      </c>
      <c r="E142" s="63">
        <f t="shared" si="5"/>
        <v>14570</v>
      </c>
    </row>
    <row r="143" spans="1:7" x14ac:dyDescent="0.3">
      <c r="A143" s="2">
        <v>8</v>
      </c>
      <c r="C143" s="38" t="s">
        <v>62</v>
      </c>
      <c r="D143" s="42">
        <f>TRUNC(4851,-1)</f>
        <v>4850</v>
      </c>
      <c r="E143" s="63">
        <f t="shared" si="5"/>
        <v>16030</v>
      </c>
    </row>
    <row r="144" spans="1:7" x14ac:dyDescent="0.3">
      <c r="A144" s="2">
        <v>9</v>
      </c>
      <c r="C144" s="38" t="s">
        <v>63</v>
      </c>
      <c r="D144" s="42">
        <v>10330</v>
      </c>
      <c r="E144" s="63">
        <f t="shared" si="5"/>
        <v>34140</v>
      </c>
    </row>
    <row r="145" spans="1:7" ht="17.25" thickBot="1" x14ac:dyDescent="0.35">
      <c r="A145" s="2">
        <v>10</v>
      </c>
      <c r="C145" s="38" t="s">
        <v>148</v>
      </c>
      <c r="D145" s="43">
        <f>TRUNC(1092,-1)</f>
        <v>1090</v>
      </c>
      <c r="E145" s="64">
        <f t="shared" si="5"/>
        <v>3600</v>
      </c>
    </row>
    <row r="146" spans="1:7" x14ac:dyDescent="0.3">
      <c r="A146" s="2">
        <v>11</v>
      </c>
      <c r="C146" s="27" t="s">
        <v>112</v>
      </c>
      <c r="D146" s="39">
        <f>SUM(D136:D145)</f>
        <v>66630</v>
      </c>
      <c r="E146" s="39">
        <f>SUM(E136:E145)</f>
        <v>220210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TRUNC(2477+360,-1)</f>
        <v>2830</v>
      </c>
      <c r="E149" s="62">
        <f>TRUNC(+D149*3.3058,-1)</f>
        <v>9350</v>
      </c>
    </row>
    <row r="150" spans="1:7" x14ac:dyDescent="0.3">
      <c r="A150" s="2">
        <v>2</v>
      </c>
      <c r="C150" s="38" t="s">
        <v>49</v>
      </c>
      <c r="D150" s="42">
        <f>TRUNC(1388,-1)</f>
        <v>1380</v>
      </c>
      <c r="E150" s="63">
        <f>TRUNC(+D150*3.3058,-1)</f>
        <v>4560</v>
      </c>
    </row>
    <row r="151" spans="1:7" x14ac:dyDescent="0.3">
      <c r="A151" s="2">
        <v>3</v>
      </c>
      <c r="C151" s="38" t="s">
        <v>50</v>
      </c>
      <c r="D151" s="42">
        <f>TRUNC(3426,-1)</f>
        <v>3420</v>
      </c>
      <c r="E151" s="63">
        <f>TRUNC(+D151*3.3058,-1)</f>
        <v>11300</v>
      </c>
    </row>
    <row r="152" spans="1:7" x14ac:dyDescent="0.3">
      <c r="A152" s="2">
        <v>4</v>
      </c>
      <c r="C152" s="38" t="s">
        <v>47</v>
      </c>
      <c r="D152" s="42">
        <f>TRUNC(42+35174+509,-1)</f>
        <v>35720</v>
      </c>
      <c r="E152" s="63">
        <f>TRUNC(+D152*3.3058,-1)</f>
        <v>118080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TRUNC(15495,-1)</f>
        <v>15490</v>
      </c>
      <c r="E153" s="64">
        <f>TRUNC(+D153*3.3058,-1)</f>
        <v>51200</v>
      </c>
    </row>
    <row r="154" spans="1:7" x14ac:dyDescent="0.3">
      <c r="A154" s="2">
        <v>6</v>
      </c>
      <c r="C154" s="27" t="s">
        <v>112</v>
      </c>
      <c r="D154" s="39">
        <f>SUM(D149:D153)</f>
        <v>58840</v>
      </c>
      <c r="E154" s="39">
        <f>SUM(E149:E153)</f>
        <v>194490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TRUNC(8569,-1)</f>
        <v>8560</v>
      </c>
      <c r="E157" s="62">
        <f>TRUNC(+D157*3.3058,-1)</f>
        <v>28290</v>
      </c>
    </row>
    <row r="158" spans="1:7" x14ac:dyDescent="0.3">
      <c r="A158" s="2">
        <v>2</v>
      </c>
      <c r="C158" s="38" t="s">
        <v>52</v>
      </c>
      <c r="D158" s="42">
        <f>TRUNC(2589,-1)</f>
        <v>2580</v>
      </c>
      <c r="E158" s="63">
        <f>TRUNC(+D158*3.3058,-1)</f>
        <v>8520</v>
      </c>
    </row>
    <row r="159" spans="1:7" x14ac:dyDescent="0.3">
      <c r="A159" s="2">
        <v>3</v>
      </c>
      <c r="C159" s="38" t="s">
        <v>47</v>
      </c>
      <c r="D159" s="42">
        <f>TRUNC(3284+6573,-1)</f>
        <v>9850</v>
      </c>
      <c r="E159" s="63">
        <f>TRUNC(+D159*3.3058,-1)</f>
        <v>32560</v>
      </c>
      <c r="F159" s="2" t="s">
        <v>255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20990</v>
      </c>
      <c r="E161" s="39">
        <f>SUM(E156:E160)</f>
        <v>69370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2020-12-08T01:43:20Z</dcterms:modified>
</cp:coreProperties>
</file>