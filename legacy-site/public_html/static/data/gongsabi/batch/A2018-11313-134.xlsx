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1" i="4"/>
  <c r="D150" i="4"/>
  <c r="D149" i="4"/>
  <c r="D137" i="4"/>
  <c r="D132" i="4"/>
  <c r="D128" i="4"/>
  <c r="D125" i="4"/>
  <c r="D122" i="4"/>
  <c r="D130" i="4"/>
  <c r="D126" i="4"/>
  <c r="D118" i="4"/>
  <c r="D104" i="4"/>
  <c r="D103" i="4"/>
  <c r="D102" i="4"/>
  <c r="D100" i="4"/>
  <c r="D98" i="4"/>
  <c r="D93" i="4"/>
  <c r="D92" i="4"/>
  <c r="D91" i="4"/>
  <c r="D89" i="4"/>
  <c r="D75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60" i="4"/>
  <c r="D15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33" i="4"/>
  <c r="E119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<sst xmlns="http://schemas.openxmlformats.org/spreadsheetml/2006/main" count="394" uniqueCount="268">
  <si>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</si>
  <si>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</si>
  <si>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</si>
  <si>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</si>
  <si>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</si>
  <si>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</si>
  <si>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</si>
  <si>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</si>
  <si>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</si>
  <si>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</si>
  <si>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</si>
  <si>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</si>
  <si>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</si>
  <si>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</si>
  <si>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</si>
  <si>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</si>
  <si>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</si>
  <si>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</si>
  <si>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</si>
  <si>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</si>
  <si>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</si>
  <si>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</si>
  <si>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</si>
  <si>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</si>
  <si>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</si>
  <si>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</si>
  <si>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</si>
  <si>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</si>
  <si>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</si>
  <si>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</si>
  <si>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</si>
  <si>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</si>
  <si>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</si>
  <si>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</si>
  <si>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</si>
  <si>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</si>
  <si>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</si>
  <si>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</si>
  <si>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</si>
  <si>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</si>
  <si>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</si>
  <si>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</si>
  <si>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</si>
  <si>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</si>
  <si>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</si>
  <si>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</si>
  <si>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</si>
  <si>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</si>
  <si>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</si>
  <si>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</si>
  <si>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</si>
  <si>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</si>
  <si>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</si>
  <si>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</si>
  <si>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</si>
  <si>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</si>
  <si>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</si>
  <si>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</si>
  <si>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</si>
  <si>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</si>
  <si>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</si>
  <si>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</si>
  <si>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</si>
  <si>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</si>
  <si>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</si>
  <si>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</si>
  <si>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</si>
  <si>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</si>
  <si>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</si>
  <si>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</si>
  <si>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</si>
  <si>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</si>
  <si>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</si>
  <si>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</si>
  <si>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</si>
  <si>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</si>
  <si>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</si>
  <si>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</si>
  <si>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</si>
  <si>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</si>
  <si>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</si>
  <si>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</si>
  <si>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</si>
  <si>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</si>
  <si>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</si>
  <si>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</si>
  <si>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</si>
  <si>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</si>
  <si>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</si>
  <si>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</si>
  <si>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</si>
  <si>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</si>
  <si>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</si>
  <si>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</si>
  <si>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</si>
  <si>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</si>
  <si>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</si>
  <si>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</si>
  <si>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</si>
  <si>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</si>
  <si>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</si>
  <si>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</si>
  <si>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</si>
  <si>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</si>
  <si>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</si>
  <si>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</si>
  <si>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</si>
  <si>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</si>
  <si>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</si>
  <si>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</si>
  <si>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</si>
  <si>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</si>
  <si>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</si>
  <si>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</si>
  <si>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</si>
  <si>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</si>
  <si>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</si>
  <si>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</si>
  <si>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</si>
  <si>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</si>
  <si>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</si>
  <si>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</si>
  <si>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</si>
  <si>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</si>
  <si>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</si>
  <si>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</si>
  <si>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</si>
  <si>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</si>
  <si>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</si>
  <si>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</si>
  <si>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</si>
  <si>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</si>
  <si>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</si>
  <si>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</si>
  <si>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</si>
  <si>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</si>
  <si>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</si>
  <si>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</si>
  <si>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</si>
  <si>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</si>
  <si>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</si>
  <si>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</si>
  <si>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</si>
  <si>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</si>
  <si>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</si>
  <si>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</si>
  <si>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</si>
  <si>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</si>
  <si>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</si>
  <si>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</si>
  <si>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</si>
  <si>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</si>
  <si>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</si>
  <si>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</si>
  <si>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</si>
  <si>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</si>
  <si>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</si>
  <si>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</si>
  <si>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</si>
  <si>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</si>
  <si>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</si>
  <si>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</si>
  <si>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</si>
  <si>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</si>
  <si>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</si>
  <si>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</si>
  <si>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</si>
  <si>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</si>
  <si>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</si>
  <si>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</si>
  <si>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</si>
  <si>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</si>
  <si>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</si>
  <si>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</si>
  <si>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</si>
  <si>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</si>
  <si>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</si>
  <si>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</si>
  <si>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</si>
  <si>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</si>
  <si>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</si>
  <si>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</si>
  <si>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</si>
  <si>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</si>
  <si>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</si>
  <si>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</si>
  <si>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</si>
  <si>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</si>
  <si>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</si>
  <si>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</si>
  <si>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</si>
  <si>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</si>
  <si>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</si>
  <si>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</si>
  <si>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</si>
  <si>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</si>
  <si>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</si>
  <si>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</si>
  <si>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</si>
  <si>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</si>
  <si>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</si>
  <si>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</si>
  <si>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</si>
  <si>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</si>
  <si>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</si>
  <si>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</si>
  <si>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</si>
  <si>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</si>
  <si>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</si>
  <si>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</si>
  <si>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</si>
  <si>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</si>
  <si>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</si>
  <si>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</si>
  <si>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</si>
  <si>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</si>
  <si>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</si>
  <si>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</si>
  <si>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</si>
  <si>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</si>
  <si>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</si>
  <si>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</si>
  <si>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</si>
  <si>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</si>
  <si>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</si>
  <si>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</si>
  <si>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</si>
  <si>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</si>
  <si>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</si>
  <si>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</si>
  <si>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</si>
  <si>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</si>
  <si>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</si>
  <si>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</si>
  <si>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</si>
  <si>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</si>
  <si>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</si>
  <si>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</si>
  <si>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</si>
  <si>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</si>
  <si>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</si>
  <si>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</si>
  <si>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</si>
  <si>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</si>
  <si>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</si>
  <si>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</si>
  <si>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</si>
  <si>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</si>
  <si>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(가칭)전주만성중학교 신축공사</t>
    <phoneticPr fontId="2" type="noConversion"/>
  </si>
  <si>
    <t>교육연구</t>
  </si>
  <si>
    <t>전라도</t>
  </si>
  <si>
    <t>조경시설물</t>
    <phoneticPr fontId="2" type="noConversion"/>
  </si>
  <si>
    <t>포장공사</t>
    <phoneticPr fontId="2" type="noConversion"/>
  </si>
  <si>
    <t>우수공사,오수공사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</si>
  <si>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</si>
  <si>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</si>
  <si>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</t>
    <phoneticPr fontId="2" type="noConversion"/>
  </si>
  <si>
    <t xml:space="preserve">기타공사 </t>
    <phoneticPr fontId="2" type="noConversion"/>
  </si>
  <si>
    <t>기초공사,골재비및운반비,품질시험비,기타공사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</si>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</sst>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9180.65</v>
      </c>
      <c r="D7" s="36">
        <f>+C7/3.3058</f>
        <v>2777.1341278964242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987280</v>
      </c>
      <c r="E25" s="59">
        <f t="shared" si="0"/>
        <v>3263750</v>
      </c>
    </row>
    <row r="26" spans="1:5" x14ac:dyDescent="0.3">
      <c r="B26" s="2">
        <v>3</v>
      </c>
      <c r="C26" s="35" t="s">
        <v>95</v>
      </c>
      <c r="D26" s="45">
        <f>+D66</f>
        <v>4160</v>
      </c>
      <c r="E26" s="59">
        <f t="shared" si="0"/>
        <v>13750</v>
      </c>
    </row>
    <row r="27" spans="1:5" x14ac:dyDescent="0.3">
      <c r="B27" s="2">
        <v>4</v>
      </c>
      <c r="C27" s="35" t="s">
        <v>96</v>
      </c>
      <c r="D27" s="45">
        <f>+D95</f>
        <v>156390</v>
      </c>
      <c r="E27" s="59">
        <f t="shared" si="0"/>
        <v>516990</v>
      </c>
    </row>
    <row r="28" spans="1:5" x14ac:dyDescent="0.3">
      <c r="B28" s="2">
        <v>5</v>
      </c>
      <c r="C28" s="35" t="s">
        <v>97</v>
      </c>
      <c r="D28" s="45">
        <f>+D119</f>
        <v>85630</v>
      </c>
      <c r="E28" s="59">
        <f t="shared" si="0"/>
        <v>283070</v>
      </c>
    </row>
    <row r="29" spans="1:5" x14ac:dyDescent="0.3">
      <c r="B29" s="2">
        <v>6</v>
      </c>
      <c r="C29" s="35" t="s">
        <v>98</v>
      </c>
      <c r="D29" s="45">
        <f>+D133</f>
        <v>30980</v>
      </c>
      <c r="E29" s="59">
        <f t="shared" si="0"/>
        <v>102410</v>
      </c>
    </row>
    <row r="30" spans="1:5" x14ac:dyDescent="0.3">
      <c r="B30" s="2">
        <v>7</v>
      </c>
      <c r="C30" s="35" t="s">
        <v>99</v>
      </c>
      <c r="D30" s="45">
        <f>+D146</f>
        <v>18200</v>
      </c>
      <c r="E30" s="59">
        <f t="shared" si="0"/>
        <v>60160</v>
      </c>
    </row>
    <row r="31" spans="1:5" x14ac:dyDescent="0.3">
      <c r="B31" s="2">
        <v>8</v>
      </c>
      <c r="C31" s="35" t="s">
        <v>100</v>
      </c>
      <c r="D31" s="45">
        <f>+D154</f>
        <v>76420</v>
      </c>
      <c r="E31" s="59">
        <f t="shared" si="0"/>
        <v>252620</v>
      </c>
    </row>
    <row r="32" spans="1:5" x14ac:dyDescent="0.3">
      <c r="B32" s="2">
        <v>9</v>
      </c>
      <c r="C32" s="35" t="s">
        <v>101</v>
      </c>
      <c r="D32" s="45">
        <f>+D161</f>
        <v>72210</v>
      </c>
      <c r="E32" s="59">
        <f t="shared" si="0"/>
        <v>238710</v>
      </c>
    </row>
    <row r="33" spans="1:7" x14ac:dyDescent="0.3">
      <c r="B33" s="2">
        <v>10</v>
      </c>
      <c r="C33" s="35" t="s">
        <v>154</v>
      </c>
      <c r="D33" s="53">
        <f>TRUNC(SUM(D24:D32)*0.275,-1)</f>
        <v>393590</v>
      </c>
      <c r="E33" s="60">
        <f t="shared" si="0"/>
        <v>1301120</v>
      </c>
    </row>
    <row r="34" spans="1:7" x14ac:dyDescent="0.3">
      <c r="C34" s="35" t="s">
        <v>112</v>
      </c>
      <c r="D34" s="44">
        <f>SUM(D24:D33)</f>
        <v>1824860</v>
      </c>
      <c r="E34" s="44">
        <f>SUM(E24:E33)</f>
        <v>6032580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TRUNC(47041,-1)</f>
        <v>47040</v>
      </c>
      <c r="E40" s="62">
        <f t="shared" ref="E40:E59" si="1">TRUNC(+D40*3.3058,-1)</f>
        <v>155500</v>
      </c>
    </row>
    <row r="41" spans="1:7" x14ac:dyDescent="0.3">
      <c r="A41" s="2">
        <v>2</v>
      </c>
      <c r="C41" s="38" t="s">
        <v>13</v>
      </c>
      <c r="D41" s="42">
        <f>TRUNC(161390,-1)</f>
        <v>161390</v>
      </c>
      <c r="E41" s="63">
        <f t="shared" si="1"/>
        <v>533520</v>
      </c>
    </row>
    <row r="42" spans="1:7" x14ac:dyDescent="0.3">
      <c r="A42" s="2">
        <v>3</v>
      </c>
      <c r="C42" s="38" t="s">
        <v>14</v>
      </c>
      <c r="D42" s="42">
        <f>TRUNC(16649,-1)</f>
        <v>16640</v>
      </c>
      <c r="E42" s="63">
        <f t="shared" si="1"/>
        <v>55000</v>
      </c>
    </row>
    <row r="43" spans="1:7" x14ac:dyDescent="0.3">
      <c r="A43" s="2">
        <v>4</v>
      </c>
      <c r="C43" s="38" t="s">
        <v>16</v>
      </c>
      <c r="D43" s="42">
        <f>TRUNC(46559,-1)</f>
        <v>46550</v>
      </c>
      <c r="E43" s="63">
        <f t="shared" si="1"/>
        <v>153880</v>
      </c>
    </row>
    <row r="44" spans="1:7" x14ac:dyDescent="0.3">
      <c r="A44" s="2">
        <v>5</v>
      </c>
      <c r="C44" s="38" t="s">
        <v>17</v>
      </c>
      <c r="D44" s="42">
        <f>TRUNC(14980,-1)</f>
        <v>14980</v>
      </c>
      <c r="E44" s="63">
        <f t="shared" si="1"/>
        <v>49520</v>
      </c>
    </row>
    <row r="45" spans="1:7" x14ac:dyDescent="0.3">
      <c r="A45" s="2">
        <v>6</v>
      </c>
      <c r="C45" s="38" t="s">
        <v>18</v>
      </c>
      <c r="D45" s="42">
        <f>TRUNC(16605,-1)</f>
        <v>16600</v>
      </c>
      <c r="E45" s="63">
        <f t="shared" si="1"/>
        <v>54870</v>
      </c>
    </row>
    <row r="46" spans="1:7" x14ac:dyDescent="0.3">
      <c r="A46" s="2">
        <v>7</v>
      </c>
      <c r="C46" s="38" t="s">
        <v>19</v>
      </c>
      <c r="D46" s="42">
        <f>TRUNC(30126,-1)</f>
        <v>30120</v>
      </c>
      <c r="E46" s="63">
        <f t="shared" si="1"/>
        <v>99570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TRUNC(25690,-1)</f>
        <v>25690</v>
      </c>
      <c r="E48" s="63">
        <f t="shared" si="1"/>
        <v>84920</v>
      </c>
      <c r="F48" s="2" t="s">
        <v>259</v>
      </c>
    </row>
    <row r="49" spans="1:7" x14ac:dyDescent="0.3">
      <c r="A49" s="2">
        <v>10</v>
      </c>
      <c r="C49" s="38" t="s">
        <v>22</v>
      </c>
      <c r="D49" s="42">
        <f>TRUNC(22612,-1)</f>
        <v>22610</v>
      </c>
      <c r="E49" s="63">
        <f t="shared" si="1"/>
        <v>74740</v>
      </c>
    </row>
    <row r="50" spans="1:7" x14ac:dyDescent="0.3">
      <c r="A50" s="2">
        <v>11</v>
      </c>
      <c r="C50" s="38" t="s">
        <v>155</v>
      </c>
      <c r="D50" s="42">
        <f>TRUNC(52281,-1)</f>
        <v>52280</v>
      </c>
      <c r="E50" s="63">
        <f t="shared" si="1"/>
        <v>172820</v>
      </c>
      <c r="F50" s="2" t="s">
        <v>260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TRUNC(9019,-1)</f>
        <v>9010</v>
      </c>
      <c r="E52" s="63">
        <f t="shared" si="1"/>
        <v>29780</v>
      </c>
    </row>
    <row r="53" spans="1:7" x14ac:dyDescent="0.3">
      <c r="A53" s="2">
        <v>14</v>
      </c>
      <c r="C53" s="38" t="s">
        <v>25</v>
      </c>
      <c r="D53" s="42">
        <f>TRUNC(181117,-1)</f>
        <v>181110</v>
      </c>
      <c r="E53" s="63">
        <f t="shared" si="1"/>
        <v>598710</v>
      </c>
      <c r="F53" s="2" t="s">
        <v>261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TRUNC(20608+10177+469+33767,-1)</f>
        <v>65020</v>
      </c>
      <c r="E58" s="63">
        <f t="shared" si="1"/>
        <v>214940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TRUNC(298247,-1)</f>
        <v>298240</v>
      </c>
      <c r="E59" s="64">
        <f t="shared" si="1"/>
        <v>985920</v>
      </c>
    </row>
    <row r="60" spans="1:7" x14ac:dyDescent="0.3">
      <c r="A60" s="2">
        <v>21</v>
      </c>
      <c r="C60" s="27" t="s">
        <v>112</v>
      </c>
      <c r="D60" s="39">
        <f>SUM(D40:D59)</f>
        <v>987280</v>
      </c>
      <c r="E60" s="39">
        <f>SUM(E40:E59)</f>
        <v>3263690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TRUNC(4167,-1)</f>
        <v>4160</v>
      </c>
      <c r="E63" s="62">
        <f>TRUNC(+D63*3.3058,-1)</f>
        <v>13750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4160</v>
      </c>
      <c r="E66" s="65">
        <f>SUM(E63:E65)</f>
        <v>13750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TRUNC(9477,-1)</f>
        <v>9470</v>
      </c>
      <c r="E69" s="62">
        <f t="shared" ref="E69:E94" si="2">TRUNC(+D69*3.3058,-1)</f>
        <v>31300</v>
      </c>
    </row>
    <row r="70" spans="1:7" ht="16.5" customHeight="1" x14ac:dyDescent="0.3">
      <c r="A70" s="2">
        <v>2</v>
      </c>
      <c r="C70" s="38" t="s">
        <v>31</v>
      </c>
      <c r="D70" s="42">
        <f>TRUNC(3367,-1)</f>
        <v>3360</v>
      </c>
      <c r="E70" s="63">
        <f t="shared" si="2"/>
        <v>11100</v>
      </c>
    </row>
    <row r="71" spans="1:7" x14ac:dyDescent="0.3">
      <c r="A71" s="2">
        <v>3</v>
      </c>
      <c r="C71" s="38" t="s">
        <v>32</v>
      </c>
      <c r="D71" s="42">
        <f>TRUNC(8054,-1)</f>
        <v>8050</v>
      </c>
      <c r="E71" s="63">
        <f t="shared" si="2"/>
        <v>26610</v>
      </c>
    </row>
    <row r="72" spans="1:7" x14ac:dyDescent="0.3">
      <c r="A72" s="2">
        <v>4</v>
      </c>
      <c r="C72" s="38" t="s">
        <v>33</v>
      </c>
      <c r="D72" s="42">
        <f>TRUNC(6001,-1)</f>
        <v>6000</v>
      </c>
      <c r="E72" s="63">
        <f t="shared" si="2"/>
        <v>19830</v>
      </c>
    </row>
    <row r="73" spans="1:7" x14ac:dyDescent="0.3">
      <c r="A73" s="2">
        <v>5</v>
      </c>
      <c r="C73" s="38" t="s">
        <v>34</v>
      </c>
      <c r="D73" s="42">
        <f>TRUNC(16328,-1)</f>
        <v>16320</v>
      </c>
      <c r="E73" s="63">
        <f t="shared" si="2"/>
        <v>53950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TRUNC(1841,-1)</f>
        <v>1840</v>
      </c>
      <c r="E75" s="63">
        <f t="shared" si="2"/>
        <v>6080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TRUNC(4886,-1)</f>
        <v>4880</v>
      </c>
      <c r="E89" s="63">
        <f t="shared" si="2"/>
        <v>16130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TRUNC(5103,-1)</f>
        <v>5100</v>
      </c>
      <c r="E91" s="63">
        <f t="shared" si="2"/>
        <v>16850</v>
      </c>
    </row>
    <row r="92" spans="1:7" x14ac:dyDescent="0.3">
      <c r="A92" s="2">
        <v>24</v>
      </c>
      <c r="C92" s="38" t="s">
        <v>38</v>
      </c>
      <c r="D92" s="42">
        <f>TRUNC(11941,-1)</f>
        <v>11940</v>
      </c>
      <c r="E92" s="63">
        <f t="shared" si="2"/>
        <v>39470</v>
      </c>
    </row>
    <row r="93" spans="1:7" x14ac:dyDescent="0.3">
      <c r="A93" s="2">
        <v>25</v>
      </c>
      <c r="C93" s="38" t="s">
        <v>148</v>
      </c>
      <c r="D93" s="42">
        <f>TRUNC(87360,-1)</f>
        <v>87360</v>
      </c>
      <c r="E93" s="63">
        <f t="shared" si="2"/>
        <v>288790</v>
      </c>
    </row>
    <row r="94" spans="1:7" ht="17.25" thickBot="1" x14ac:dyDescent="0.35">
      <c r="A94" s="2">
        <v>26</v>
      </c>
      <c r="C94" s="38" t="s">
        <v>47</v>
      </c>
      <c r="D94" s="43">
        <f>TRUNC(1881+198,-1)</f>
        <v>2070</v>
      </c>
      <c r="E94" s="64">
        <f t="shared" si="2"/>
        <v>6840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156390</v>
      </c>
      <c r="E95" s="39">
        <f>SUM(E69:E94)</f>
        <v>516950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TRUNC(26711,-1)</f>
        <v>26710</v>
      </c>
      <c r="E98" s="62">
        <f t="shared" ref="E98:E118" si="3">TRUNC(+D98*3.3058,-1)</f>
        <v>88290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TRUNC(28294,-1)</f>
        <v>28290</v>
      </c>
      <c r="E100" s="63">
        <f t="shared" si="3"/>
        <v>93520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TRUNC(17394,-1)</f>
        <v>17390</v>
      </c>
      <c r="E102" s="63">
        <f t="shared" si="3"/>
        <v>57480</v>
      </c>
    </row>
    <row r="103" spans="1:7" x14ac:dyDescent="0.3">
      <c r="A103" s="2">
        <v>6</v>
      </c>
      <c r="C103" s="38" t="s">
        <v>44</v>
      </c>
      <c r="D103" s="42">
        <f>TRUNC(7097,-1)</f>
        <v>7090</v>
      </c>
      <c r="E103" s="63">
        <f t="shared" si="3"/>
        <v>23430</v>
      </c>
    </row>
    <row r="104" spans="1:7" x14ac:dyDescent="0.3">
      <c r="A104" s="2">
        <v>7</v>
      </c>
      <c r="C104" s="38" t="s">
        <v>45</v>
      </c>
      <c r="D104" s="42">
        <f>TRUNC(4029,-1)</f>
        <v>4020</v>
      </c>
      <c r="E104" s="63">
        <f t="shared" si="3"/>
        <v>13280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TRUNC(2138,-1)</f>
        <v>2130</v>
      </c>
      <c r="E118" s="64">
        <f t="shared" si="3"/>
        <v>7040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85630</v>
      </c>
      <c r="E119" s="39">
        <f>SUM(E98:E118)</f>
        <v>283040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TRUNC(4317,-1)</f>
        <v>4310</v>
      </c>
      <c r="E122" s="62">
        <f t="shared" ref="E122:E132" si="4">TRUNC(+D122*3.3058,-1)</f>
        <v>14240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TRUNC(6568,-1)</f>
        <v>6560</v>
      </c>
      <c r="E125" s="63">
        <f t="shared" si="4"/>
        <v>21680</v>
      </c>
    </row>
    <row r="126" spans="1:7" x14ac:dyDescent="0.3">
      <c r="A126" s="2">
        <v>5</v>
      </c>
      <c r="C126" s="38" t="s">
        <v>53</v>
      </c>
      <c r="D126" s="42">
        <f>TRUNC(2074,-1)</f>
        <v>2070</v>
      </c>
      <c r="E126" s="63">
        <f t="shared" si="4"/>
        <v>6840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TRUNC(7428,-1)</f>
        <v>7420</v>
      </c>
      <c r="E128" s="63">
        <f t="shared" si="4"/>
        <v>24520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TRUNC(10265,-1)</f>
        <v>10260</v>
      </c>
      <c r="E130" s="63">
        <f t="shared" si="4"/>
        <v>33910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TRUNC(365,-1)</f>
        <v>360</v>
      </c>
      <c r="E132" s="64">
        <f t="shared" si="4"/>
        <v>1190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30980</v>
      </c>
      <c r="E133" s="39">
        <f>SUM(E122:E132)</f>
        <v>102380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TRUNC(18209,-1)</f>
        <v>18200</v>
      </c>
      <c r="E137" s="63">
        <f t="shared" si="5"/>
        <v>60160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18200</v>
      </c>
      <c r="E146" s="39">
        <f>SUM(E136:E145)</f>
        <v>60160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TRUNC(11326+2254,-1)</f>
        <v>13580</v>
      </c>
      <c r="E149" s="62">
        <f>TRUNC(+D149*3.3058,-1)</f>
        <v>44890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TRUNC(25258,-1)</f>
        <v>25250</v>
      </c>
      <c r="E150" s="63">
        <f>TRUNC(+D150*3.3058,-1)</f>
        <v>83470</v>
      </c>
    </row>
    <row r="151" spans="1:7" x14ac:dyDescent="0.3">
      <c r="A151" s="2">
        <v>3</v>
      </c>
      <c r="C151" s="38" t="s">
        <v>50</v>
      </c>
      <c r="D151" s="42">
        <f>TRUNC(2460,-1)</f>
        <v>2460</v>
      </c>
      <c r="E151" s="63">
        <f>TRUNC(+D151*3.3058,-1)</f>
        <v>8130</v>
      </c>
    </row>
    <row r="152" spans="1:7" x14ac:dyDescent="0.3">
      <c r="A152" s="2">
        <v>4</v>
      </c>
      <c r="C152" s="38" t="s">
        <v>47</v>
      </c>
      <c r="D152" s="42">
        <f>TRUNC(4143,-1)</f>
        <v>4140</v>
      </c>
      <c r="E152" s="63">
        <f>TRUNC(+D152*3.3058,-1)</f>
        <v>13680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f>TRUNC(30994,-1)</f>
        <v>30990</v>
      </c>
      <c r="E153" s="64">
        <f>TRUNC(+D153*3.3058,-1)</f>
        <v>102440</v>
      </c>
    </row>
    <row r="154" spans="1:7" x14ac:dyDescent="0.3">
      <c r="A154" s="2">
        <v>6</v>
      </c>
      <c r="C154" s="27" t="s">
        <v>112</v>
      </c>
      <c r="D154" s="39">
        <f>SUM(D149:D153)</f>
        <v>76420</v>
      </c>
      <c r="E154" s="39">
        <f>SUM(E149:E153)</f>
        <v>252610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TRUNC(39567,-1)</f>
        <v>39560</v>
      </c>
      <c r="E157" s="62">
        <f>TRUNC(+D157*3.3058,-1)</f>
        <v>130770</v>
      </c>
    </row>
    <row r="158" spans="1:7" x14ac:dyDescent="0.3">
      <c r="A158" s="2">
        <v>2</v>
      </c>
      <c r="C158" s="38" t="s">
        <v>52</v>
      </c>
      <c r="D158" s="42">
        <f>TRUNC(15440,-1)</f>
        <v>15440</v>
      </c>
      <c r="E158" s="63">
        <f>TRUNC(+D158*3.3058,-1)</f>
        <v>51040</v>
      </c>
      <c r="F158" s="2" t="s">
        <v>251</v>
      </c>
    </row>
    <row r="159" spans="1:7" x14ac:dyDescent="0.3">
      <c r="A159" s="2">
        <v>3</v>
      </c>
      <c r="C159" s="38" t="s">
        <v>47</v>
      </c>
      <c r="D159" s="42">
        <f>TRUNC(2649,-1)</f>
        <v>2640</v>
      </c>
      <c r="E159" s="63">
        <f>TRUNC(+D159*3.3058,-1)</f>
        <v>8720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f>TRUNC(14575,-1)</f>
        <v>14570</v>
      </c>
      <c r="E160" s="64">
        <f>TRUNC(+D160*3.3058,-1)</f>
        <v>48160</v>
      </c>
    </row>
    <row r="161" spans="1:5" x14ac:dyDescent="0.3">
      <c r="A161" s="2">
        <v>5</v>
      </c>
      <c r="C161" s="27" t="s">
        <v>112</v>
      </c>
      <c r="D161" s="39">
        <f>SUM(D157:D160)</f>
        <v>72210</v>
      </c>
      <c r="E161" s="39">
        <f>SUM(E157:E160)</f>
        <v>238690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2020-12-08T02:52:52Z</dcterms:modified>
</cp:coreProperties>
</file>