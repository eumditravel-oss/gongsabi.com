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37" i="4"/>
  <c r="D144" i="4"/>
  <c r="D143" i="4"/>
  <c r="D139" i="4"/>
  <c r="D142" i="4"/>
  <c r="D140" i="4"/>
  <c r="D131" i="4"/>
  <c r="D132" i="4"/>
  <c r="D124" i="4"/>
  <c r="D125" i="4"/>
  <c r="D122" i="4"/>
  <c r="D126" i="4"/>
  <c r="D105" i="4"/>
  <c r="D104" i="4"/>
  <c r="D103" i="4"/>
  <c r="D102" i="4"/>
  <c r="D100" i="4"/>
  <c r="D99" i="4"/>
  <c r="D98" i="4"/>
  <c r="D114" i="4"/>
  <c r="D116" i="4"/>
  <c r="D92" i="4"/>
  <c r="D91" i="4"/>
  <c r="D89" i="4"/>
  <c r="D73" i="4"/>
  <c r="D70" i="4"/>
  <c r="D69" i="4"/>
  <c r="D63" i="4"/>
  <c r="D58" i="4"/>
  <c r="D53" i="4"/>
  <c r="D52" i="4"/>
  <c r="D50" i="4"/>
  <c r="D49" i="4"/>
  <c r="D48" i="4"/>
  <c r="D46" i="4"/>
  <c r="D44" i="4"/>
  <c r="D43" i="4"/>
  <c r="D42" i="4"/>
  <c r="D41" i="4"/>
  <c r="D40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95" i="4"/>
  <c r="E60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<sst xmlns="http://schemas.openxmlformats.org/spreadsheetml/2006/main" count="394" uniqueCount="269">
  <si>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</si>
  <si>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</si>
  <si>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</si>
  <si>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</si>
  <si>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</si>
  <si>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</si>
  <si>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</si>
  <si>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</si>
  <si>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</si>
  <si>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</si>
  <si>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</si>
  <si>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</si>
  <si>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</si>
  <si>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</si>
  <si>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</si>
  <si>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</si>
  <si>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</si>
  <si>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</si>
  <si>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</si>
  <si>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</si>
  <si>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</si>
  <si>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</si>
  <si>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</si>
  <si>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</si>
  <si>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</si>
  <si>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</si>
  <si>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</si>
  <si>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</si>
  <si>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</si>
  <si>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</si>
  <si>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</si>
  <si>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</si>
  <si>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</si>
  <si>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</si>
  <si>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</si>
  <si>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</si>
  <si>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</si>
  <si>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</si>
  <si>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</si>
  <si>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</si>
  <si>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</si>
  <si>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</si>
  <si>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</si>
  <si>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</si>
  <si>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</si>
  <si>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</si>
  <si>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</si>
  <si>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</si>
  <si>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</si>
  <si>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</si>
  <si>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</si>
  <si>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</si>
  <si>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</si>
  <si>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</si>
  <si>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</si>
  <si>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</si>
  <si>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</si>
  <si>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</si>
  <si>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</si>
  <si>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</si>
  <si>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</si>
  <si>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</si>
  <si>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</si>
  <si>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</si>
  <si>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</si>
  <si>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</si>
  <si>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</si>
  <si>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</si>
  <si>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</si>
  <si>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</si>
  <si>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</si>
  <si>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</si>
  <si>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</si>
  <si>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</si>
  <si>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</si>
  <si>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</si>
  <si>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</si>
  <si>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</si>
  <si>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</si>
  <si>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</si>
  <si>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</si>
  <si>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</si>
  <si>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</si>
  <si>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</si>
  <si>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</si>
  <si>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</si>
  <si>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</si>
  <si>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</si>
  <si>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</si>
  <si>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</si>
  <si>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</si>
  <si>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</si>
  <si>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</si>
  <si>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</si>
  <si>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</si>
  <si>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</si>
  <si>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</si>
  <si>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</si>
  <si>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</si>
  <si>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</si>
  <si>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</si>
  <si>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</si>
  <si>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</si>
  <si>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</si>
  <si>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</si>
  <si>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</si>
  <si>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</si>
  <si>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</si>
  <si>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</si>
  <si>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</si>
  <si>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</si>
  <si>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</si>
  <si>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</si>
  <si>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</si>
  <si>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</si>
  <si>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</si>
  <si>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</si>
  <si>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</si>
  <si>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</si>
  <si>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</si>
  <si>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</si>
  <si>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</si>
  <si>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</si>
  <si>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</si>
  <si>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</si>
  <si>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</si>
  <si>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</si>
  <si>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</si>
  <si>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</si>
  <si>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</si>
  <si>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</si>
  <si>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</si>
  <si>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</si>
  <si>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</si>
  <si>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</si>
  <si>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</si>
  <si>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</si>
  <si>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</si>
  <si>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</si>
  <si>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</si>
  <si>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</si>
  <si>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</si>
  <si>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</si>
  <si>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</si>
  <si>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</si>
  <si>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</si>
  <si>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</si>
  <si>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</si>
  <si>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</si>
  <si>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</si>
  <si>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</si>
  <si>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</si>
  <si>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</si>
  <si>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</si>
  <si>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</si>
  <si>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</si>
  <si>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</si>
  <si>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</si>
  <si>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</si>
  <si>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</si>
  <si>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</si>
  <si>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</si>
  <si>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</si>
  <si>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</si>
  <si>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</si>
  <si>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</si>
  <si>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</si>
  <si>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</si>
  <si>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</si>
  <si>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</si>
  <si>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</si>
  <si>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</si>
  <si>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</si>
  <si>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</si>
  <si>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</si>
  <si>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</si>
  <si>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</si>
  <si>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</si>
  <si>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</si>
  <si>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</si>
  <si>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</si>
  <si>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</si>
  <si>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</si>
  <si>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</si>
  <si>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</si>
  <si>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</si>
  <si>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</si>
  <si>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</si>
  <si>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</si>
  <si>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</si>
  <si>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</si>
  <si>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</si>
  <si>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</si>
  <si>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</si>
  <si>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</si>
  <si>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</si>
  <si>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</si>
  <si>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</si>
  <si>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</si>
  <si>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</si>
  <si>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</si>
  <si>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</si>
  <si>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</si>
  <si>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</si>
  <si>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</si>
  <si>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</si>
  <si>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</si>
  <si>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</si>
  <si>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</si>
  <si>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</si>
  <si>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</si>
  <si>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</si>
  <si>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</si>
  <si>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</si>
  <si>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</si>
  <si>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</si>
  <si>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</si>
  <si>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</si>
  <si>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</si>
  <si>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</si>
  <si>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</si>
  <si>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</si>
  <si>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</si>
  <si>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</si>
  <si>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</si>
  <si>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</si>
  <si>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</si>
  <si>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</si>
  <si>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</si>
  <si>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</si>
  <si>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</si>
  <si>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</si>
  <si>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</si>
  <si>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</si>
  <si>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</si>
  <si>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</si>
  <si>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</si>
  <si>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</si>
  <si>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</si>
  <si>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</si>
  <si>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</si>
  <si>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</si>
  <si>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</si>
  <si>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</si>
  <si>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</si>
  <si>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</si>
  <si>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</si>
  <si>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</si>
  <si>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안동농협 경북생강출하조절센터 건립공사</t>
    <phoneticPr fontId="2" type="noConversion"/>
  </si>
  <si>
    <t>창고</t>
  </si>
  <si>
    <t>경상도</t>
  </si>
  <si>
    <t>기초공사,골재비및운반비,기타공사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</si>
  <si>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</si>
  <si>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</si>
  <si>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</si>
  <si>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 xml:space="preserve">전기인입 및 수변전 설비공사  </t>
    <phoneticPr fontId="2" type="noConversion"/>
  </si>
  <si>
    <t>CATV 및 TV 설비공사</t>
    <phoneticPr fontId="2" type="noConversion"/>
  </si>
  <si>
    <t>CCTV설비공사</t>
    <phoneticPr fontId="2" type="noConversion"/>
  </si>
  <si>
    <t>기타공사</t>
    <phoneticPr fontId="2" type="noConversion"/>
  </si>
  <si>
    <t>우수공사</t>
    <phoneticPr fontId="2" type="noConversion"/>
  </si>
  <si>
    <t>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</si>
  <si>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</si>
  <si>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</si>
  <si>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</si>
  <si>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</si>
  <si>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공조배관공사., 바닥난방공사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</si>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</sst>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6752.1</v>
      </c>
      <c r="D7" s="36">
        <f>+C7/3.3058</f>
        <v>2042.5010587452357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780800</v>
      </c>
      <c r="E25" s="59">
        <f t="shared" si="0"/>
        <v>2581160</v>
      </c>
    </row>
    <row r="26" spans="1:5" x14ac:dyDescent="0.3">
      <c r="B26" s="2">
        <v>3</v>
      </c>
      <c r="C26" s="35" t="s">
        <v>95</v>
      </c>
      <c r="D26" s="45">
        <f>+D66</f>
        <v>164090</v>
      </c>
      <c r="E26" s="59">
        <f t="shared" si="0"/>
        <v>542440</v>
      </c>
    </row>
    <row r="27" spans="1:5" x14ac:dyDescent="0.3">
      <c r="B27" s="2">
        <v>4</v>
      </c>
      <c r="C27" s="35" t="s">
        <v>96</v>
      </c>
      <c r="D27" s="45">
        <f>+D95</f>
        <v>16370</v>
      </c>
      <c r="E27" s="59">
        <f t="shared" si="0"/>
        <v>54110</v>
      </c>
    </row>
    <row r="28" spans="1:5" x14ac:dyDescent="0.3">
      <c r="B28" s="2">
        <v>5</v>
      </c>
      <c r="C28" s="35" t="s">
        <v>97</v>
      </c>
      <c r="D28" s="45">
        <f>+D119</f>
        <v>112240</v>
      </c>
      <c r="E28" s="59">
        <f t="shared" si="0"/>
        <v>371040</v>
      </c>
    </row>
    <row r="29" spans="1:5" x14ac:dyDescent="0.3">
      <c r="B29" s="2">
        <v>6</v>
      </c>
      <c r="C29" s="35" t="s">
        <v>98</v>
      </c>
      <c r="D29" s="45">
        <f>+D133</f>
        <v>26570</v>
      </c>
      <c r="E29" s="59">
        <f t="shared" si="0"/>
        <v>87830</v>
      </c>
    </row>
    <row r="30" spans="1:5" x14ac:dyDescent="0.3">
      <c r="B30" s="2">
        <v>7</v>
      </c>
      <c r="C30" s="35" t="s">
        <v>99</v>
      </c>
      <c r="D30" s="45">
        <f>+D146</f>
        <v>72590</v>
      </c>
      <c r="E30" s="59">
        <f t="shared" si="0"/>
        <v>239960</v>
      </c>
    </row>
    <row r="31" spans="1:5" x14ac:dyDescent="0.3">
      <c r="B31" s="2">
        <v>8</v>
      </c>
      <c r="C31" s="35" t="s">
        <v>100</v>
      </c>
      <c r="D31" s="45">
        <f>+D154</f>
        <v>250240</v>
      </c>
      <c r="E31" s="59">
        <f t="shared" si="0"/>
        <v>827240</v>
      </c>
    </row>
    <row r="32" spans="1:5" x14ac:dyDescent="0.3">
      <c r="B32" s="2">
        <v>9</v>
      </c>
      <c r="C32" s="35" t="s">
        <v>101</v>
      </c>
      <c r="D32" s="45">
        <f>+D161</f>
        <v>21950</v>
      </c>
      <c r="E32" s="59">
        <f t="shared" si="0"/>
        <v>72560</v>
      </c>
    </row>
    <row r="33" spans="1:7" x14ac:dyDescent="0.3">
      <c r="B33" s="2">
        <v>10</v>
      </c>
      <c r="C33" s="35" t="s">
        <v>154</v>
      </c>
      <c r="D33" s="53">
        <f>TRUNC(SUM(D24:D32)*0.275,-1)</f>
        <v>397330</v>
      </c>
      <c r="E33" s="60">
        <f t="shared" si="0"/>
        <v>1313490</v>
      </c>
    </row>
    <row r="34" spans="1:7" x14ac:dyDescent="0.3">
      <c r="C34" s="35" t="s">
        <v>112</v>
      </c>
      <c r="D34" s="44">
        <f>SUM(D24:D33)</f>
        <v>1842180</v>
      </c>
      <c r="E34" s="44">
        <f>SUM(E24:E33)</f>
        <v>6089830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TRUNC(15089,-1)</f>
        <v>15080</v>
      </c>
      <c r="E40" s="62">
        <f t="shared" ref="E40:E59" si="1">TRUNC(+D40*3.3058,-1)</f>
        <v>49850</v>
      </c>
    </row>
    <row r="41" spans="1:7" x14ac:dyDescent="0.3">
      <c r="A41" s="2">
        <v>2</v>
      </c>
      <c r="C41" s="38" t="s">
        <v>13</v>
      </c>
      <c r="D41" s="42">
        <f>TRUNC(43188,-1)</f>
        <v>43180</v>
      </c>
      <c r="E41" s="63">
        <f t="shared" si="1"/>
        <v>142740</v>
      </c>
    </row>
    <row r="42" spans="1:7" x14ac:dyDescent="0.3">
      <c r="A42" s="2">
        <v>3</v>
      </c>
      <c r="C42" s="38" t="s">
        <v>14</v>
      </c>
      <c r="D42" s="42">
        <f>TRUNC(193300,-1)</f>
        <v>193300</v>
      </c>
      <c r="E42" s="63">
        <f t="shared" si="1"/>
        <v>639010</v>
      </c>
    </row>
    <row r="43" spans="1:7" x14ac:dyDescent="0.3">
      <c r="A43" s="2">
        <v>4</v>
      </c>
      <c r="C43" s="38" t="s">
        <v>16</v>
      </c>
      <c r="D43" s="42">
        <f>TRUNC(2507,-1)</f>
        <v>2500</v>
      </c>
      <c r="E43" s="63">
        <f t="shared" si="1"/>
        <v>8260</v>
      </c>
    </row>
    <row r="44" spans="1:7" x14ac:dyDescent="0.3">
      <c r="A44" s="2">
        <v>5</v>
      </c>
      <c r="C44" s="38" t="s">
        <v>17</v>
      </c>
      <c r="D44" s="42">
        <f>TRUNC(4757,-1)</f>
        <v>4750</v>
      </c>
      <c r="E44" s="63">
        <f t="shared" si="1"/>
        <v>15700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TRUNC(5245,-1)</f>
        <v>5240</v>
      </c>
      <c r="E46" s="63">
        <f t="shared" si="1"/>
        <v>17320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TRUNC(179074,-1)</f>
        <v>179070</v>
      </c>
      <c r="E48" s="63">
        <f t="shared" si="1"/>
        <v>591960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TRUNC(4406,-1)</f>
        <v>4400</v>
      </c>
      <c r="E49" s="63">
        <f t="shared" si="1"/>
        <v>14540</v>
      </c>
    </row>
    <row r="50" spans="1:7" x14ac:dyDescent="0.3">
      <c r="A50" s="2">
        <v>11</v>
      </c>
      <c r="C50" s="38" t="s">
        <v>155</v>
      </c>
      <c r="D50" s="42">
        <f>TRUNC(23069,-1)</f>
        <v>23060</v>
      </c>
      <c r="E50" s="63">
        <f t="shared" si="1"/>
        <v>76230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TRUNC(35926,-1)</f>
        <v>35920</v>
      </c>
      <c r="E52" s="63">
        <f t="shared" si="1"/>
        <v>118740</v>
      </c>
    </row>
    <row r="53" spans="1:7" x14ac:dyDescent="0.3">
      <c r="A53" s="2">
        <v>14</v>
      </c>
      <c r="C53" s="38" t="s">
        <v>25</v>
      </c>
      <c r="D53" s="42">
        <f>TRUNC(35347,-1)</f>
        <v>35340</v>
      </c>
      <c r="E53" s="63">
        <f t="shared" si="1"/>
        <v>116820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TRUNC(5264+3654+6133,-1)</f>
        <v>15050</v>
      </c>
      <c r="E58" s="63">
        <f t="shared" si="1"/>
        <v>49750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TRUNC(223910,-1)</f>
        <v>223910</v>
      </c>
      <c r="E59" s="64">
        <f t="shared" si="1"/>
        <v>740200</v>
      </c>
    </row>
    <row r="60" spans="1:7" x14ac:dyDescent="0.3">
      <c r="A60" s="2">
        <v>21</v>
      </c>
      <c r="C60" s="27" t="s">
        <v>112</v>
      </c>
      <c r="D60" s="39">
        <f>SUM(D40:D59)</f>
        <v>780800</v>
      </c>
      <c r="E60" s="39">
        <f>SUM(E40:E59)</f>
        <v>2581120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TRUNC(164096,-1)</f>
        <v>164090</v>
      </c>
      <c r="E63" s="62">
        <f>TRUNC(+D63*3.3058,-1)</f>
        <v>542440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164090</v>
      </c>
      <c r="E66" s="65">
        <f>SUM(E63:E65)</f>
        <v>542440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TRUNC(4634,-1)</f>
        <v>4630</v>
      </c>
      <c r="E69" s="62">
        <f t="shared" ref="E69:E94" si="2">TRUNC(+D69*3.3058,-1)</f>
        <v>15300</v>
      </c>
    </row>
    <row r="70" spans="1:7" ht="16.5" customHeight="1" x14ac:dyDescent="0.3">
      <c r="A70" s="2">
        <v>2</v>
      </c>
      <c r="C70" s="38" t="s">
        <v>31</v>
      </c>
      <c r="D70" s="42">
        <f>TRUNC(746,-1)</f>
        <v>740</v>
      </c>
      <c r="E70" s="63">
        <f t="shared" si="2"/>
        <v>2440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TRUNC(3443,-1)</f>
        <v>3440</v>
      </c>
      <c r="E73" s="63">
        <f t="shared" si="2"/>
        <v>11370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TRUNC(4626,-1)</f>
        <v>4620</v>
      </c>
      <c r="E89" s="63">
        <f t="shared" si="2"/>
        <v>15270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TRUNC(972,-1)</f>
        <v>970</v>
      </c>
      <c r="E91" s="63">
        <f t="shared" si="2"/>
        <v>3200</v>
      </c>
    </row>
    <row r="92" spans="1:7" x14ac:dyDescent="0.3">
      <c r="A92" s="2">
        <v>24</v>
      </c>
      <c r="C92" s="38" t="s">
        <v>38</v>
      </c>
      <c r="D92" s="42">
        <f>TRUNC(1458,-1)</f>
        <v>1450</v>
      </c>
      <c r="E92" s="63">
        <f t="shared" si="2"/>
        <v>4790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TRUNC(291+231,-1)</f>
        <v>520</v>
      </c>
      <c r="E94" s="64">
        <f t="shared" si="2"/>
        <v>1710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16370</v>
      </c>
      <c r="E95" s="39">
        <f>SUM(E69:E94)</f>
        <v>54080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TRUNC(14615,-1)</f>
        <v>14610</v>
      </c>
      <c r="E98" s="62">
        <f t="shared" ref="E98:E118" si="3">TRUNC(+D98*3.3058,-1)</f>
        <v>48290</v>
      </c>
    </row>
    <row r="99" spans="1:7" x14ac:dyDescent="0.3">
      <c r="A99" s="2">
        <v>2</v>
      </c>
      <c r="C99" s="38" t="s">
        <v>40</v>
      </c>
      <c r="D99" s="42">
        <f>TRUNC(8263,-1)</f>
        <v>8260</v>
      </c>
      <c r="E99" s="63">
        <f t="shared" si="3"/>
        <v>27300</v>
      </c>
    </row>
    <row r="100" spans="1:7" x14ac:dyDescent="0.3">
      <c r="A100" s="2">
        <v>3</v>
      </c>
      <c r="C100" s="38" t="s">
        <v>41</v>
      </c>
      <c r="D100" s="42">
        <f>TRUNC(23060,-1)</f>
        <v>23060</v>
      </c>
      <c r="E100" s="63">
        <f t="shared" si="3"/>
        <v>76230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TRUNC(2908,-1)</f>
        <v>2900</v>
      </c>
      <c r="E102" s="63">
        <f t="shared" si="3"/>
        <v>9580</v>
      </c>
    </row>
    <row r="103" spans="1:7" x14ac:dyDescent="0.3">
      <c r="A103" s="2">
        <v>6</v>
      </c>
      <c r="C103" s="38" t="s">
        <v>44</v>
      </c>
      <c r="D103" s="42">
        <f>TRUNC(1263,-1)</f>
        <v>1260</v>
      </c>
      <c r="E103" s="63">
        <f t="shared" si="3"/>
        <v>4160</v>
      </c>
    </row>
    <row r="104" spans="1:7" x14ac:dyDescent="0.3">
      <c r="A104" s="2">
        <v>7</v>
      </c>
      <c r="C104" s="38" t="s">
        <v>45</v>
      </c>
      <c r="D104" s="42">
        <f>TRUNC(6074,-1)</f>
        <v>6070</v>
      </c>
      <c r="E104" s="63">
        <f t="shared" si="3"/>
        <v>20060</v>
      </c>
    </row>
    <row r="105" spans="1:7" x14ac:dyDescent="0.3">
      <c r="A105" s="2">
        <v>8</v>
      </c>
      <c r="C105" s="38" t="s">
        <v>46</v>
      </c>
      <c r="D105" s="42">
        <f>TRUNC(3963,-1)</f>
        <v>3960</v>
      </c>
      <c r="E105" s="63">
        <f t="shared" si="3"/>
        <v>13090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TRUNC(2391,-1)</f>
        <v>2390</v>
      </c>
      <c r="E114" s="63">
        <f t="shared" si="3"/>
        <v>7900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TRUNC(2010,-1)</f>
        <v>2010</v>
      </c>
      <c r="E116" s="63">
        <f t="shared" si="3"/>
        <v>6640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TRUNC(47729,-1)</f>
        <v>47720</v>
      </c>
      <c r="E117" s="63">
        <f t="shared" si="3"/>
        <v>157750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112240</v>
      </c>
      <c r="E119" s="39">
        <f>SUM(E98:E118)</f>
        <v>371000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TRUNC(1149,-1)</f>
        <v>1140</v>
      </c>
      <c r="E122" s="62">
        <f t="shared" ref="E122:E132" si="4">TRUNC(+D122*3.3058,-1)</f>
        <v>3760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TRUNC(1306,-1)</f>
        <v>1300</v>
      </c>
      <c r="E124" s="63">
        <f t="shared" si="4"/>
        <v>4290</v>
      </c>
    </row>
    <row r="125" spans="1:7" x14ac:dyDescent="0.3">
      <c r="A125" s="2">
        <v>4</v>
      </c>
      <c r="C125" s="38" t="s">
        <v>138</v>
      </c>
      <c r="D125" s="42">
        <f>TRUNC(3097,-1)</f>
        <v>3090</v>
      </c>
      <c r="E125" s="63">
        <f t="shared" si="4"/>
        <v>10210</v>
      </c>
    </row>
    <row r="126" spans="1:7" x14ac:dyDescent="0.3">
      <c r="A126" s="2">
        <v>5</v>
      </c>
      <c r="C126" s="38" t="s">
        <v>53</v>
      </c>
      <c r="D126" s="42">
        <f>TRUNC(3622,-1)</f>
        <v>3620</v>
      </c>
      <c r="E126" s="63">
        <f t="shared" si="4"/>
        <v>11960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TRUNC(13884,-1)</f>
        <v>13880</v>
      </c>
      <c r="E131" s="63">
        <f t="shared" si="4"/>
        <v>45880</v>
      </c>
    </row>
    <row r="132" spans="1:7" ht="18" thickBot="1" x14ac:dyDescent="0.35">
      <c r="A132" s="2">
        <v>11</v>
      </c>
      <c r="C132" s="38" t="s">
        <v>47</v>
      </c>
      <c r="D132" s="43">
        <f>TRUNC(3545,-1)</f>
        <v>3540</v>
      </c>
      <c r="E132" s="64">
        <f t="shared" si="4"/>
        <v>11700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26570</v>
      </c>
      <c r="E133" s="39">
        <f>SUM(E122:E132)</f>
        <v>87800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TRUNC(149,-1)</f>
        <v>140</v>
      </c>
      <c r="E137" s="63">
        <f t="shared" si="5"/>
        <v>460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TRUNC(8092,-1)</f>
        <v>8090</v>
      </c>
      <c r="E139" s="63">
        <f t="shared" si="5"/>
        <v>26740</v>
      </c>
    </row>
    <row r="140" spans="1:7" x14ac:dyDescent="0.3">
      <c r="A140" s="2">
        <v>5</v>
      </c>
      <c r="C140" s="38" t="s">
        <v>57</v>
      </c>
      <c r="D140" s="42">
        <f>TRUNC(2953,-1)</f>
        <v>2950</v>
      </c>
      <c r="E140" s="63">
        <f t="shared" si="5"/>
        <v>9750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TRUNC(39247,-1)</f>
        <v>39240</v>
      </c>
      <c r="E142" s="63">
        <f t="shared" si="5"/>
        <v>129710</v>
      </c>
    </row>
    <row r="143" spans="1:7" x14ac:dyDescent="0.3">
      <c r="A143" s="2">
        <v>8</v>
      </c>
      <c r="C143" s="38" t="s">
        <v>62</v>
      </c>
      <c r="D143" s="42">
        <f>TRUNC(3648,-1)</f>
        <v>3640</v>
      </c>
      <c r="E143" s="63">
        <f t="shared" si="5"/>
        <v>12030</v>
      </c>
    </row>
    <row r="144" spans="1:7" x14ac:dyDescent="0.3">
      <c r="A144" s="2">
        <v>9</v>
      </c>
      <c r="C144" s="38" t="s">
        <v>63</v>
      </c>
      <c r="D144" s="42">
        <f>TRUNC(18534,-1)</f>
        <v>18530</v>
      </c>
      <c r="E144" s="63">
        <f t="shared" si="5"/>
        <v>61250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72590</v>
      </c>
      <c r="E146" s="39">
        <f>SUM(E136:E145)</f>
        <v>239940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TRUNC(15590,-1)</f>
        <v>15590</v>
      </c>
      <c r="E149" s="62">
        <f>TRUNC(+D149*3.3058,-1)</f>
        <v>51530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TRUNC(5810,-1)</f>
        <v>5810</v>
      </c>
      <c r="E150" s="63">
        <f>TRUNC(+D150*3.3058,-1)</f>
        <v>19200</v>
      </c>
    </row>
    <row r="151" spans="1:7" x14ac:dyDescent="0.3">
      <c r="A151" s="2">
        <v>3</v>
      </c>
      <c r="C151" s="38" t="s">
        <v>50</v>
      </c>
      <c r="D151" s="42">
        <f>TRUNC(158856,-1)</f>
        <v>158850</v>
      </c>
      <c r="E151" s="63">
        <f>TRUNC(+D151*3.3058,-1)</f>
        <v>525120</v>
      </c>
    </row>
    <row r="152" spans="1:7" x14ac:dyDescent="0.3">
      <c r="A152" s="2">
        <v>4</v>
      </c>
      <c r="C152" s="38" t="s">
        <v>47</v>
      </c>
      <c r="D152" s="42">
        <f>TRUNC(51281+1590+17128,-1)</f>
        <v>69990</v>
      </c>
      <c r="E152" s="63">
        <f>TRUNC(+D152*3.3058,-1)</f>
        <v>231370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250240</v>
      </c>
      <c r="E154" s="39">
        <f>SUM(E149:E153)</f>
        <v>827220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TRUNC(15688,-1)</f>
        <v>15680</v>
      </c>
      <c r="E157" s="62">
        <f>TRUNC(+D157*3.3058,-1)</f>
        <v>51830</v>
      </c>
    </row>
    <row r="158" spans="1:7" x14ac:dyDescent="0.3">
      <c r="A158" s="2">
        <v>2</v>
      </c>
      <c r="C158" s="38" t="s">
        <v>52</v>
      </c>
      <c r="D158" s="42">
        <f>TRUNC(4190,-1)</f>
        <v>4190</v>
      </c>
      <c r="E158" s="63">
        <f>TRUNC(+D158*3.3058,-1)</f>
        <v>13850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TRUNC(1268+821,-1)</f>
        <v>2080</v>
      </c>
      <c r="E159" s="63">
        <f>TRUNC(+D159*3.3058,-1)</f>
        <v>6870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21950</v>
      </c>
      <c r="E161" s="39">
        <f>SUM(E157:E160)</f>
        <v>72550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2020-12-08T04:00:54Z</dcterms:modified>
</cp:coreProperties>
</file>