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7" i="4" l="1"/>
  <c r="D152" i="4"/>
  <c r="D151" i="4"/>
  <c r="D150" i="4"/>
  <c r="D149" i="4"/>
  <c r="D144" i="4"/>
  <c r="D143" i="4"/>
  <c r="D139" i="4"/>
  <c r="D142" i="4"/>
  <c r="D140" i="4"/>
  <c r="D132" i="4"/>
  <c r="D128" i="4"/>
  <c r="D124" i="4"/>
  <c r="D125" i="4"/>
  <c r="D122" i="4"/>
  <c r="D130" i="4"/>
  <c r="D126" i="4"/>
  <c r="D105" i="4"/>
  <c r="D104" i="4"/>
  <c r="D103" i="4"/>
  <c r="D102" i="4"/>
  <c r="D100" i="4"/>
  <c r="D99" i="4"/>
  <c r="D114" i="4"/>
  <c r="D98" i="4"/>
  <c r="D116" i="4"/>
  <c r="D58" i="4"/>
  <c r="D94" i="4"/>
  <c r="D92" i="4"/>
  <c r="D91" i="4"/>
  <c r="D89" i="4"/>
  <c r="D73" i="4"/>
  <c r="D72" i="4"/>
  <c r="D71" i="4"/>
  <c r="D70" i="4"/>
  <c r="D69" i="4"/>
  <c r="D63" i="4"/>
  <c r="D53" i="4"/>
  <c r="D52" i="4"/>
  <c r="D50" i="4"/>
  <c r="D49" i="4"/>
  <c r="D48" i="4"/>
  <c r="D46" i="4"/>
  <c r="D45" i="4"/>
  <c r="D44" i="4"/>
  <c r="D43" i="4"/>
  <c r="D41" i="4"/>
  <c r="D40" i="4"/>
  <c r="D131" i="4"/>
  <c r="D117" i="4"/>
  <c r="D93" i="4"/>
  <c r="D5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95" i="4"/>
  <c r="E119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D66" i="4"/>
  <c r="D60" i="4"/>
  <c r="D25" i="4" s="1"/>
  <c r="E25" i="4" s="1"/>
  <c r="D24" i="4"/>
  <c r="E24" i="4" s="1"/>
  <c r="D26" i="4"/>
  <c r="E26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7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<sst xmlns="http://schemas.openxmlformats.org/spreadsheetml/2006/main" count="390" uniqueCount="264">
  <si>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</si>
  <si>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</si>
  <si>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</si>
  <si>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</si>
  <si>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</si>
  <si>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</si>
  <si>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</si>
  <si>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</si>
  <si>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</si>
  <si>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</si>
  <si>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</si>
  <si>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</si>
  <si>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</si>
  <si>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</si>
  <si>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</si>
  <si>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</si>
  <si>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</si>
  <si>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</si>
  <si>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</si>
  <si>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</si>
  <si>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</si>
  <si>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</si>
  <si>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</si>
  <si>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</si>
  <si>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</si>
  <si>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</si>
  <si>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</si>
  <si>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</si>
  <si>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</si>
  <si>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</si>
  <si>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</si>
  <si>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</si>
  <si>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</si>
  <si>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</si>
  <si>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</si>
  <si>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</si>
  <si>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</si>
  <si>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</si>
  <si>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</si>
  <si>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</si>
  <si>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</si>
  <si>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</si>
  <si>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</si>
  <si>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</si>
  <si>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</si>
  <si>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</si>
  <si>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</si>
  <si>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</si>
  <si>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</si>
  <si>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</si>
  <si>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</si>
  <si>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</si>
  <si>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</si>
  <si>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</si>
  <si>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</si>
  <si>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</si>
  <si>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</si>
  <si>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</si>
  <si>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</si>
  <si>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</si>
  <si>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</si>
  <si>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</si>
  <si>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</si>
  <si>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</si>
  <si>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</si>
  <si>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</si>
  <si>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</si>
  <si>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</si>
  <si>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</si>
  <si>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</si>
  <si>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</si>
  <si>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</si>
  <si>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</si>
  <si>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</si>
  <si>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</si>
  <si>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</si>
  <si>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</si>
  <si>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</si>
  <si>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</si>
  <si>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</si>
  <si>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</si>
  <si>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</si>
  <si>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</si>
  <si>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</si>
  <si>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</si>
  <si>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</si>
  <si>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</si>
  <si>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</si>
  <si>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</si>
  <si>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</si>
  <si>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</si>
  <si>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</si>
  <si>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</si>
  <si>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</si>
  <si>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</si>
  <si>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</si>
  <si>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</si>
  <si>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</si>
  <si>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</si>
  <si>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</si>
  <si>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</si>
  <si>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</si>
  <si>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</si>
  <si>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</si>
  <si>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</si>
  <si>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</si>
  <si>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</si>
  <si>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</si>
  <si>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</si>
  <si>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</si>
  <si>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</si>
  <si>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</si>
  <si>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</si>
  <si>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</si>
  <si>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</si>
  <si>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</si>
  <si>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</si>
  <si>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</si>
  <si>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</si>
  <si>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</si>
  <si>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</si>
  <si>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</si>
  <si>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</si>
  <si>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</si>
  <si>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</si>
  <si>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</si>
  <si>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</si>
  <si>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</si>
  <si>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</si>
  <si>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</si>
  <si>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</si>
  <si>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</si>
  <si>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</si>
  <si>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</si>
  <si>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</si>
  <si>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</si>
  <si>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</si>
  <si>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</si>
  <si>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</si>
  <si>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</si>
  <si>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</si>
  <si>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</si>
  <si>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</si>
  <si>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</si>
  <si>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</si>
  <si>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</si>
  <si>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</si>
  <si>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</si>
  <si>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</si>
  <si>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</si>
  <si>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</si>
  <si>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</si>
  <si>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</si>
  <si>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</si>
  <si>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</si>
  <si>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</si>
  <si>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</si>
  <si>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</si>
  <si>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</si>
  <si>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</si>
  <si>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</si>
  <si>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</si>
  <si>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</si>
  <si>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</si>
  <si>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</si>
  <si>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</si>
  <si>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</si>
  <si>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</si>
  <si>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</si>
  <si>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</si>
  <si>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</si>
  <si>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</si>
  <si>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</si>
  <si>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</si>
  <si>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</si>
  <si>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</si>
  <si>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</si>
  <si>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</si>
  <si>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</si>
  <si>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</si>
  <si>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</si>
  <si>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</si>
  <si>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</si>
  <si>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</si>
  <si>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</si>
  <si>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</si>
  <si>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</si>
  <si>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</si>
  <si>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</si>
  <si>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</si>
  <si>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</si>
  <si>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</si>
  <si>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</si>
  <si>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</si>
  <si>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</si>
  <si>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</si>
  <si>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</si>
  <si>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</si>
  <si>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</si>
  <si>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</si>
  <si>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</si>
  <si>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</si>
  <si>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</si>
  <si>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</si>
  <si>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</si>
  <si>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</si>
  <si>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</si>
  <si>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</si>
  <si>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</si>
  <si>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</si>
  <si>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</si>
  <si>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</si>
  <si>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</si>
  <si>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</si>
  <si>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</si>
  <si>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</si>
  <si>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</si>
  <si>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</si>
  <si>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</si>
  <si>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</si>
  <si>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</si>
  <si>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</si>
  <si>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</si>
  <si>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</si>
  <si>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</si>
  <si>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</si>
  <si>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</si>
  <si>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</si>
  <si>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</si>
  <si>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</si>
  <si>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</si>
  <si>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</si>
  <si>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</si>
  <si>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</si>
  <si>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</si>
  <si>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</si>
  <si>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</si>
  <si>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</si>
  <si>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</si>
  <si>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</si>
  <si>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</si>
  <si>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</si>
  <si>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</si>
  <si>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</si>
  <si>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</si>
  <si>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</si>
  <si>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</si>
  <si>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</si>
  <si>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</si>
  <si>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(가칭)강원도교직원수련원분원 신축공사</t>
    <phoneticPr fontId="2" type="noConversion"/>
  </si>
  <si>
    <t>교육연구</t>
  </si>
  <si>
    <t>강원도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</si>
  <si>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</si>
  <si>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</si>
  <si>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</si>
  <si>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난방배관공사</t>
    <phoneticPr fontId="2" type="noConversion"/>
  </si>
  <si>
    <t>기초공사,해체및철거공사,골재비및운반비,기타공사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</si>
  <si>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</si>
  <si>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</si>
  <si>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</si>
  <si>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사급자재비,기타공사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</si>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</sst>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2880.61</v>
      </c>
      <c r="D7" s="36">
        <f>+C7/3.3058</f>
        <v>871.38060378728301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1276320</v>
      </c>
      <c r="E25" s="59">
        <f t="shared" si="0"/>
        <v>4219250</v>
      </c>
    </row>
    <row r="26" spans="1:5" x14ac:dyDescent="0.3">
      <c r="B26" s="2">
        <v>3</v>
      </c>
      <c r="C26" s="35" t="s">
        <v>95</v>
      </c>
      <c r="D26" s="45">
        <f>+D66</f>
        <v>5680</v>
      </c>
      <c r="E26" s="59">
        <f t="shared" si="0"/>
        <v>18770</v>
      </c>
    </row>
    <row r="27" spans="1:5" x14ac:dyDescent="0.3">
      <c r="B27" s="2">
        <v>4</v>
      </c>
      <c r="C27" s="35" t="s">
        <v>96</v>
      </c>
      <c r="D27" s="45">
        <f>+D95</f>
        <v>277730</v>
      </c>
      <c r="E27" s="59">
        <f t="shared" si="0"/>
        <v>918110</v>
      </c>
    </row>
    <row r="28" spans="1:5" x14ac:dyDescent="0.3">
      <c r="B28" s="2">
        <v>5</v>
      </c>
      <c r="C28" s="35" t="s">
        <v>97</v>
      </c>
      <c r="D28" s="45">
        <f>+D119</f>
        <v>218050</v>
      </c>
      <c r="E28" s="59">
        <f t="shared" si="0"/>
        <v>720820</v>
      </c>
    </row>
    <row r="29" spans="1:5" x14ac:dyDescent="0.3">
      <c r="B29" s="2">
        <v>6</v>
      </c>
      <c r="C29" s="35" t="s">
        <v>98</v>
      </c>
      <c r="D29" s="45">
        <f>+D133</f>
        <v>93290</v>
      </c>
      <c r="E29" s="59">
        <f t="shared" si="0"/>
        <v>308390</v>
      </c>
    </row>
    <row r="30" spans="1:5" x14ac:dyDescent="0.3">
      <c r="B30" s="2">
        <v>7</v>
      </c>
      <c r="C30" s="35" t="s">
        <v>99</v>
      </c>
      <c r="D30" s="45">
        <f>+D146</f>
        <v>68770</v>
      </c>
      <c r="E30" s="59">
        <f t="shared" si="0"/>
        <v>227330</v>
      </c>
    </row>
    <row r="31" spans="1:5" x14ac:dyDescent="0.3">
      <c r="B31" s="2">
        <v>8</v>
      </c>
      <c r="C31" s="35" t="s">
        <v>100</v>
      </c>
      <c r="D31" s="45">
        <f>+D154</f>
        <v>117060</v>
      </c>
      <c r="E31" s="59">
        <f t="shared" si="0"/>
        <v>386970</v>
      </c>
    </row>
    <row r="32" spans="1:5" x14ac:dyDescent="0.3">
      <c r="B32" s="2">
        <v>9</v>
      </c>
      <c r="C32" s="35" t="s">
        <v>101</v>
      </c>
      <c r="D32" s="45">
        <f>+D161</f>
        <v>80680</v>
      </c>
      <c r="E32" s="59">
        <f t="shared" si="0"/>
        <v>266710</v>
      </c>
    </row>
    <row r="33" spans="1:7" x14ac:dyDescent="0.3">
      <c r="B33" s="2">
        <v>10</v>
      </c>
      <c r="C33" s="35" t="s">
        <v>155</v>
      </c>
      <c r="D33" s="53">
        <f>TRUNC(SUM(D24:D32)*0.275,-1)</f>
        <v>587830</v>
      </c>
      <c r="E33" s="60">
        <f t="shared" si="0"/>
        <v>1943240</v>
      </c>
    </row>
    <row r="34" spans="1:7" x14ac:dyDescent="0.3">
      <c r="C34" s="35" t="s">
        <v>112</v>
      </c>
      <c r="D34" s="44">
        <f>SUM(D24:D33)</f>
        <v>2725410</v>
      </c>
      <c r="E34" s="44">
        <f>SUM(E24:E33)</f>
        <v>9009590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6" t="s">
        <v>113</v>
      </c>
      <c r="D39" s="57" t="s">
        <v>236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TRUNC(46596,-1)</f>
        <v>46590</v>
      </c>
      <c r="E40" s="62">
        <f t="shared" ref="E40:E59" si="1">TRUNC(+D40*3.3058,-1)</f>
        <v>154010</v>
      </c>
    </row>
    <row r="41" spans="1:7" x14ac:dyDescent="0.3">
      <c r="A41" s="2">
        <v>2</v>
      </c>
      <c r="C41" s="38" t="s">
        <v>13</v>
      </c>
      <c r="D41" s="42">
        <f>TRUNC(227949,-1)</f>
        <v>227940</v>
      </c>
      <c r="E41" s="63">
        <f t="shared" si="1"/>
        <v>753520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TRUNC(39827,-1)</f>
        <v>39820</v>
      </c>
      <c r="E43" s="63">
        <f t="shared" si="1"/>
        <v>131630</v>
      </c>
    </row>
    <row r="44" spans="1:7" x14ac:dyDescent="0.3">
      <c r="A44" s="2">
        <v>5</v>
      </c>
      <c r="C44" s="38" t="s">
        <v>17</v>
      </c>
      <c r="D44" s="42">
        <f>TRUNC(11240,-1)</f>
        <v>11240</v>
      </c>
      <c r="E44" s="63">
        <f t="shared" si="1"/>
        <v>37150</v>
      </c>
    </row>
    <row r="45" spans="1:7" x14ac:dyDescent="0.3">
      <c r="A45" s="2">
        <v>6</v>
      </c>
      <c r="C45" s="38" t="s">
        <v>18</v>
      </c>
      <c r="D45" s="42">
        <f>TRUNC(22888,-1)</f>
        <v>22880</v>
      </c>
      <c r="E45" s="63">
        <f t="shared" si="1"/>
        <v>75630</v>
      </c>
    </row>
    <row r="46" spans="1:7" x14ac:dyDescent="0.3">
      <c r="A46" s="2">
        <v>7</v>
      </c>
      <c r="C46" s="38" t="s">
        <v>19</v>
      </c>
      <c r="D46" s="42">
        <f>TRUNC(47886,-1)</f>
        <v>47880</v>
      </c>
      <c r="E46" s="63">
        <f t="shared" si="1"/>
        <v>158280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TRUNC(29595,-1)</f>
        <v>29590</v>
      </c>
      <c r="E48" s="63">
        <f t="shared" si="1"/>
        <v>97810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TRUNC(35403,-1)</f>
        <v>35400</v>
      </c>
      <c r="E49" s="63">
        <f t="shared" si="1"/>
        <v>117020</v>
      </c>
    </row>
    <row r="50" spans="1:7" x14ac:dyDescent="0.3">
      <c r="A50" s="2">
        <v>11</v>
      </c>
      <c r="C50" s="38" t="s">
        <v>156</v>
      </c>
      <c r="D50" s="42">
        <f>TRUNC(72789,-1)</f>
        <v>72780</v>
      </c>
      <c r="E50" s="63">
        <f t="shared" si="1"/>
        <v>240590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TRUNC(11147,-1)</f>
        <v>11140</v>
      </c>
      <c r="E52" s="63">
        <f t="shared" si="1"/>
        <v>36820</v>
      </c>
    </row>
    <row r="53" spans="1:7" x14ac:dyDescent="0.3">
      <c r="A53" s="2">
        <v>14</v>
      </c>
      <c r="C53" s="38" t="s">
        <v>25</v>
      </c>
      <c r="D53" s="42">
        <f>TRUNC(103703,-1)</f>
        <v>103700</v>
      </c>
      <c r="E53" s="63">
        <f t="shared" si="1"/>
        <v>342810</v>
      </c>
      <c r="F53" s="2" t="s">
        <v>254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TRUNC(12094+5947+8132+53551,-1)</f>
        <v>79720</v>
      </c>
      <c r="E58" s="63">
        <f t="shared" si="1"/>
        <v>263530</v>
      </c>
      <c r="F58" s="2" t="s">
        <v>256</v>
      </c>
    </row>
    <row r="59" spans="1:7" ht="17.25" thickBot="1" x14ac:dyDescent="0.35">
      <c r="A59" s="2">
        <v>20</v>
      </c>
      <c r="C59" s="38" t="s">
        <v>149</v>
      </c>
      <c r="D59" s="43">
        <f>TRUNC(547640,-1)</f>
        <v>547640</v>
      </c>
      <c r="E59" s="64">
        <f t="shared" si="1"/>
        <v>1810380</v>
      </c>
    </row>
    <row r="60" spans="1:7" x14ac:dyDescent="0.3">
      <c r="A60" s="2">
        <v>21</v>
      </c>
      <c r="C60" s="27" t="s">
        <v>112</v>
      </c>
      <c r="D60" s="39">
        <f>SUM(D40:D59)</f>
        <v>1276320</v>
      </c>
      <c r="E60" s="39">
        <f>SUM(E40:E59)</f>
        <v>4219180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TRUNC(5682,-1)</f>
        <v>5680</v>
      </c>
      <c r="E63" s="62">
        <f>TRUNC(+D63*3.3058,-1)</f>
        <v>18770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5680</v>
      </c>
      <c r="E66" s="65">
        <f>SUM(E63:E65)</f>
        <v>18770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TRUNC(23696,-1)</f>
        <v>23690</v>
      </c>
      <c r="E69" s="62">
        <f t="shared" ref="E69:E94" si="2">TRUNC(+D69*3.3058,-1)</f>
        <v>78310</v>
      </c>
    </row>
    <row r="70" spans="1:7" ht="16.5" customHeight="1" x14ac:dyDescent="0.3">
      <c r="A70" s="2">
        <v>2</v>
      </c>
      <c r="C70" s="38" t="s">
        <v>31</v>
      </c>
      <c r="D70" s="42">
        <f>TRUNC(11543,-1)</f>
        <v>11540</v>
      </c>
      <c r="E70" s="63">
        <f t="shared" si="2"/>
        <v>38140</v>
      </c>
    </row>
    <row r="71" spans="1:7" x14ac:dyDescent="0.3">
      <c r="A71" s="2">
        <v>3</v>
      </c>
      <c r="C71" s="38" t="s">
        <v>32</v>
      </c>
      <c r="D71" s="42">
        <f>TRUNC(12050,-1)</f>
        <v>12050</v>
      </c>
      <c r="E71" s="63">
        <f t="shared" si="2"/>
        <v>39830</v>
      </c>
    </row>
    <row r="72" spans="1:7" x14ac:dyDescent="0.3">
      <c r="A72" s="2">
        <v>4</v>
      </c>
      <c r="C72" s="38" t="s">
        <v>33</v>
      </c>
      <c r="D72" s="42">
        <f>TRUNC(2134,-1)</f>
        <v>2130</v>
      </c>
      <c r="E72" s="63">
        <f t="shared" si="2"/>
        <v>7040</v>
      </c>
    </row>
    <row r="73" spans="1:7" x14ac:dyDescent="0.3">
      <c r="A73" s="2">
        <v>5</v>
      </c>
      <c r="C73" s="38" t="s">
        <v>34</v>
      </c>
      <c r="D73" s="42">
        <f>TRUNC(24839,-1)</f>
        <v>24830</v>
      </c>
      <c r="E73" s="63">
        <f t="shared" si="2"/>
        <v>82080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TRUNC(18388,-1)</f>
        <v>18380</v>
      </c>
      <c r="E89" s="63">
        <f t="shared" si="2"/>
        <v>60760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TRUNC(11289,-1)</f>
        <v>11280</v>
      </c>
      <c r="E91" s="63">
        <f t="shared" si="2"/>
        <v>37280</v>
      </c>
    </row>
    <row r="92" spans="1:7" x14ac:dyDescent="0.3">
      <c r="A92" s="2">
        <v>24</v>
      </c>
      <c r="C92" s="38" t="s">
        <v>38</v>
      </c>
      <c r="D92" s="42">
        <f>TRUNC(16965,-1)</f>
        <v>16960</v>
      </c>
      <c r="E92" s="63">
        <f t="shared" si="2"/>
        <v>56060</v>
      </c>
    </row>
    <row r="93" spans="1:7" x14ac:dyDescent="0.3">
      <c r="A93" s="2">
        <v>25</v>
      </c>
      <c r="C93" s="38" t="s">
        <v>149</v>
      </c>
      <c r="D93" s="42">
        <f>TRUNC(155250,-1)</f>
        <v>155250</v>
      </c>
      <c r="E93" s="63">
        <f t="shared" si="2"/>
        <v>513220</v>
      </c>
    </row>
    <row r="94" spans="1:7" ht="17.25" thickBot="1" x14ac:dyDescent="0.35">
      <c r="A94" s="2">
        <v>26</v>
      </c>
      <c r="C94" s="38" t="s">
        <v>47</v>
      </c>
      <c r="D94" s="43">
        <f>TRUNC(1625,-1)</f>
        <v>1620</v>
      </c>
      <c r="E94" s="64">
        <f t="shared" si="2"/>
        <v>5350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277730</v>
      </c>
      <c r="E95" s="39">
        <f>SUM(E69:E94)</f>
        <v>918070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TRUNC(15572,-1)</f>
        <v>15570</v>
      </c>
      <c r="E98" s="62">
        <f t="shared" ref="E98:E118" si="3">TRUNC(+D98*3.3058,-1)</f>
        <v>51470</v>
      </c>
    </row>
    <row r="99" spans="1:7" x14ac:dyDescent="0.3">
      <c r="A99" s="2">
        <v>2</v>
      </c>
      <c r="C99" s="38" t="s">
        <v>40</v>
      </c>
      <c r="D99" s="42">
        <f>TRUNC(5663,-1)</f>
        <v>5660</v>
      </c>
      <c r="E99" s="63">
        <f t="shared" si="3"/>
        <v>18710</v>
      </c>
    </row>
    <row r="100" spans="1:7" x14ac:dyDescent="0.3">
      <c r="A100" s="2">
        <v>3</v>
      </c>
      <c r="C100" s="38" t="s">
        <v>41</v>
      </c>
      <c r="D100" s="42">
        <f>TRUNC(22264,-1)</f>
        <v>22260</v>
      </c>
      <c r="E100" s="63">
        <f t="shared" si="3"/>
        <v>73580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TRUNC(14986,-1)</f>
        <v>14980</v>
      </c>
      <c r="E102" s="63">
        <f t="shared" si="3"/>
        <v>49520</v>
      </c>
    </row>
    <row r="103" spans="1:7" x14ac:dyDescent="0.3">
      <c r="A103" s="2">
        <v>6</v>
      </c>
      <c r="C103" s="38" t="s">
        <v>44</v>
      </c>
      <c r="D103" s="42">
        <f>TRUNC(10755,-1)</f>
        <v>10750</v>
      </c>
      <c r="E103" s="63">
        <f t="shared" si="3"/>
        <v>35530</v>
      </c>
    </row>
    <row r="104" spans="1:7" x14ac:dyDescent="0.3">
      <c r="A104" s="2">
        <v>7</v>
      </c>
      <c r="C104" s="38" t="s">
        <v>45</v>
      </c>
      <c r="D104" s="42">
        <f>TRUNC(7849,-1)</f>
        <v>7840</v>
      </c>
      <c r="E104" s="63">
        <f t="shared" si="3"/>
        <v>25910</v>
      </c>
    </row>
    <row r="105" spans="1:7" x14ac:dyDescent="0.3">
      <c r="A105" s="2">
        <v>8</v>
      </c>
      <c r="C105" s="38" t="s">
        <v>46</v>
      </c>
      <c r="D105" s="42">
        <f>TRUNC(6751,-1)</f>
        <v>6750</v>
      </c>
      <c r="E105" s="63">
        <f t="shared" si="3"/>
        <v>22310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TRUNC(5330,-1)</f>
        <v>5330</v>
      </c>
      <c r="E114" s="63">
        <f t="shared" si="3"/>
        <v>17610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TRUNC(5933,-1)</f>
        <v>5930</v>
      </c>
      <c r="E116" s="63">
        <f t="shared" si="3"/>
        <v>19600</v>
      </c>
      <c r="F116" s="2" t="s">
        <v>257</v>
      </c>
    </row>
    <row r="117" spans="1:7" x14ac:dyDescent="0.3">
      <c r="A117" s="2">
        <v>20</v>
      </c>
      <c r="C117" s="38" t="s">
        <v>149</v>
      </c>
      <c r="D117" s="42">
        <f>TRUNC(122985,-1)</f>
        <v>122980</v>
      </c>
      <c r="E117" s="63">
        <f t="shared" si="3"/>
        <v>406540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218050</v>
      </c>
      <c r="E119" s="39">
        <f>SUM(E98:E118)</f>
        <v>720780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TRUNC(7985,-1)</f>
        <v>7980</v>
      </c>
      <c r="E122" s="62">
        <f t="shared" ref="E122:E132" si="4">TRUNC(+D122*3.3058,-1)</f>
        <v>26380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TRUNC(2465,-1)</f>
        <v>2460</v>
      </c>
      <c r="E124" s="63">
        <f t="shared" si="4"/>
        <v>8130</v>
      </c>
    </row>
    <row r="125" spans="1:7" x14ac:dyDescent="0.3">
      <c r="A125" s="2">
        <v>4</v>
      </c>
      <c r="C125" s="38" t="s">
        <v>138</v>
      </c>
      <c r="D125" s="42">
        <f>TRUNC(10339,-1)</f>
        <v>10330</v>
      </c>
      <c r="E125" s="63">
        <f t="shared" si="4"/>
        <v>34140</v>
      </c>
    </row>
    <row r="126" spans="1:7" x14ac:dyDescent="0.3">
      <c r="A126" s="2">
        <v>5</v>
      </c>
      <c r="C126" s="38" t="s">
        <v>53</v>
      </c>
      <c r="D126" s="42">
        <f>TRUNC(4485,-1)</f>
        <v>4480</v>
      </c>
      <c r="E126" s="63">
        <f t="shared" si="4"/>
        <v>14800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TRUNC(5922,-1)</f>
        <v>5920</v>
      </c>
      <c r="E128" s="63">
        <f t="shared" si="4"/>
        <v>19570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TRUNC(21782,-1)</f>
        <v>21780</v>
      </c>
      <c r="E130" s="63">
        <f t="shared" si="4"/>
        <v>72000</v>
      </c>
    </row>
    <row r="131" spans="1:7" x14ac:dyDescent="0.3">
      <c r="A131" s="2">
        <v>10</v>
      </c>
      <c r="C131" s="38" t="s">
        <v>149</v>
      </c>
      <c r="D131" s="42">
        <f>TRUNC(23311,-1)</f>
        <v>23310</v>
      </c>
      <c r="E131" s="63">
        <f t="shared" si="4"/>
        <v>77050</v>
      </c>
    </row>
    <row r="132" spans="1:7" ht="18" thickBot="1" x14ac:dyDescent="0.35">
      <c r="A132" s="2">
        <v>11</v>
      </c>
      <c r="C132" s="38" t="s">
        <v>47</v>
      </c>
      <c r="D132" s="43">
        <f>TRUNC(6333+10699,-1)</f>
        <v>17030</v>
      </c>
      <c r="E132" s="64">
        <f t="shared" si="4"/>
        <v>56290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93290</v>
      </c>
      <c r="E133" s="39">
        <f>SUM(E122:E132)</f>
        <v>308360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TRUNC(1088,-1)</f>
        <v>1080</v>
      </c>
      <c r="E139" s="63">
        <f t="shared" si="5"/>
        <v>3570</v>
      </c>
    </row>
    <row r="140" spans="1:7" x14ac:dyDescent="0.3">
      <c r="A140" s="2">
        <v>5</v>
      </c>
      <c r="C140" s="38" t="s">
        <v>57</v>
      </c>
      <c r="D140" s="42">
        <f>TRUNC(3646,-1)</f>
        <v>3640</v>
      </c>
      <c r="E140" s="63">
        <f t="shared" si="5"/>
        <v>12030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TRUNC(38047,-1)</f>
        <v>38040</v>
      </c>
      <c r="E142" s="63">
        <f t="shared" si="5"/>
        <v>125750</v>
      </c>
    </row>
    <row r="143" spans="1:7" x14ac:dyDescent="0.3">
      <c r="A143" s="2">
        <v>8</v>
      </c>
      <c r="C143" s="38" t="s">
        <v>62</v>
      </c>
      <c r="D143" s="42">
        <f>TRUNC(4789,-1)</f>
        <v>4780</v>
      </c>
      <c r="E143" s="63">
        <f t="shared" si="5"/>
        <v>15800</v>
      </c>
    </row>
    <row r="144" spans="1:7" x14ac:dyDescent="0.3">
      <c r="A144" s="2">
        <v>9</v>
      </c>
      <c r="C144" s="38" t="s">
        <v>63</v>
      </c>
      <c r="D144" s="42">
        <f>TRUNC(21234,-1)</f>
        <v>21230</v>
      </c>
      <c r="E144" s="63">
        <f t="shared" si="5"/>
        <v>70180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68770</v>
      </c>
      <c r="E146" s="39">
        <f>SUM(E136:E145)</f>
        <v>227330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TRUNC(6374+11770,-1)</f>
        <v>18140</v>
      </c>
      <c r="E149" s="62">
        <f>TRUNC(+D149*3.3058,-1)</f>
        <v>59960</v>
      </c>
    </row>
    <row r="150" spans="1:7" x14ac:dyDescent="0.3">
      <c r="A150" s="2">
        <v>2</v>
      </c>
      <c r="C150" s="38" t="s">
        <v>49</v>
      </c>
      <c r="D150" s="42">
        <f>TRUNC(26167,-1)</f>
        <v>26160</v>
      </c>
      <c r="E150" s="63">
        <f>TRUNC(+D150*3.3058,-1)</f>
        <v>86470</v>
      </c>
    </row>
    <row r="151" spans="1:7" x14ac:dyDescent="0.3">
      <c r="A151" s="2">
        <v>3</v>
      </c>
      <c r="C151" s="38" t="s">
        <v>50</v>
      </c>
      <c r="D151" s="42">
        <f>TRUNC(7843,-1)</f>
        <v>7840</v>
      </c>
      <c r="E151" s="63">
        <f>TRUNC(+D151*3.3058,-1)</f>
        <v>25910</v>
      </c>
    </row>
    <row r="152" spans="1:7" x14ac:dyDescent="0.3">
      <c r="A152" s="2">
        <v>4</v>
      </c>
      <c r="C152" s="38" t="s">
        <v>47</v>
      </c>
      <c r="D152" s="42">
        <f>TRUNC(24211+40711,-1)</f>
        <v>64920</v>
      </c>
      <c r="E152" s="63">
        <f>TRUNC(+D152*3.3058,-1)</f>
        <v>214610</v>
      </c>
      <c r="F152" s="2" t="s">
        <v>260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117060</v>
      </c>
      <c r="E154" s="39">
        <f>SUM(E149:E153)</f>
        <v>386950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TRUNC(80687,-1)</f>
        <v>80680</v>
      </c>
      <c r="E157" s="62">
        <f>TRUNC(+D157*3.3058,-1)</f>
        <v>266710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80680</v>
      </c>
      <c r="E161" s="39">
        <f>SUM(E157:E160)</f>
        <v>266710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2020-12-08T01:52:24Z</dcterms:modified>
</cp:coreProperties>
</file>