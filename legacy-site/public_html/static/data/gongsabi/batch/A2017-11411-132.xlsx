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2" i="4"/>
  <c r="D140" i="4"/>
  <c r="D137" i="4"/>
  <c r="D132" i="4"/>
  <c r="D130" i="4"/>
  <c r="D128" i="4"/>
  <c r="D126" i="4"/>
  <c r="D125" i="4"/>
  <c r="D118" i="4"/>
  <c r="D117" i="4"/>
  <c r="D104" i="4"/>
  <c r="D103" i="4"/>
  <c r="D101" i="4"/>
  <c r="D100" i="4"/>
  <c r="D99" i="4"/>
  <c r="D98" i="4"/>
  <c r="D94" i="4"/>
  <c r="D93" i="4"/>
  <c r="D92" i="4"/>
  <c r="D91" i="4"/>
  <c r="D89" i="4"/>
  <c r="D73" i="4"/>
  <c r="D72" i="4"/>
  <c r="D70" i="4"/>
  <c r="D69" i="4"/>
  <c r="D63" i="4"/>
  <c r="D58" i="4"/>
  <c r="D53" i="4"/>
  <c r="D50" i="4"/>
  <c r="D49" i="4"/>
  <c r="D46" i="4"/>
  <c r="D45" i="4"/>
  <c r="D44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<sst xmlns="http://schemas.openxmlformats.org/spreadsheetml/2006/main" count="389" uniqueCount="266">
  <si>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</si>
  <si>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</si>
  <si>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</si>
  <si>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</si>
  <si>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</si>
  <si>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</si>
  <si>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</si>
  <si>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</si>
  <si>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</si>
  <si>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</si>
  <si>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</si>
  <si>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</si>
  <si>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</si>
  <si>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</si>
  <si>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</si>
  <si>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</si>
  <si>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</si>
  <si>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</si>
  <si>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</si>
  <si>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</si>
  <si>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</si>
  <si>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</si>
  <si>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</si>
  <si>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</si>
  <si>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</si>
  <si>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</si>
  <si>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</si>
  <si>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</si>
  <si>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</si>
  <si>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</si>
  <si>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</si>
  <si>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</si>
  <si>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</si>
  <si>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</si>
  <si>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</si>
  <si>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</si>
  <si>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</si>
  <si>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</si>
  <si>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</si>
  <si>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</si>
  <si>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</si>
  <si>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</si>
  <si>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</si>
  <si>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</si>
  <si>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</si>
  <si>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</si>
  <si>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</si>
  <si>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</si>
  <si>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</si>
  <si>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</si>
  <si>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</si>
  <si>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</si>
  <si>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</si>
  <si>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</si>
  <si>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</si>
  <si>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</si>
  <si>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</si>
  <si>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</si>
  <si>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</si>
  <si>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</si>
  <si>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</si>
  <si>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</si>
  <si>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</si>
  <si>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</si>
  <si>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</si>
  <si>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</si>
  <si>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</si>
  <si>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</si>
  <si>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</si>
  <si>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</si>
  <si>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</si>
  <si>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</si>
  <si>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</si>
  <si>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</si>
  <si>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</si>
  <si>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</si>
  <si>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</si>
  <si>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</si>
  <si>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</si>
  <si>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</si>
  <si>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</si>
  <si>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</si>
  <si>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</si>
  <si>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</si>
  <si>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</si>
  <si>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</si>
  <si>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</si>
  <si>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</si>
  <si>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</si>
  <si>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</si>
  <si>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</si>
  <si>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</si>
  <si>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</si>
  <si>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</si>
  <si>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</si>
  <si>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</si>
  <si>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</si>
  <si>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</si>
  <si>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</si>
  <si>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</si>
  <si>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</si>
  <si>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</si>
  <si>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</si>
  <si>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</si>
  <si>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</si>
  <si>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</si>
  <si>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</si>
  <si>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</si>
  <si>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</si>
  <si>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</si>
  <si>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</si>
  <si>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</si>
  <si>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</si>
  <si>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</si>
  <si>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</si>
  <si>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</si>
  <si>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</si>
  <si>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</si>
  <si>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</si>
  <si>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</si>
  <si>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</si>
  <si>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</si>
  <si>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</si>
  <si>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</si>
  <si>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</si>
  <si>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</si>
  <si>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</si>
  <si>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</si>
  <si>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</si>
  <si>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</si>
  <si>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</si>
  <si>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</si>
  <si>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</si>
  <si>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</si>
  <si>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</si>
  <si>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</si>
  <si>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</si>
  <si>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</si>
  <si>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</si>
  <si>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</si>
  <si>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</si>
  <si>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</si>
  <si>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</si>
  <si>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</si>
  <si>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</si>
  <si>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</si>
  <si>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</si>
  <si>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</si>
  <si>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</si>
  <si>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</si>
  <si>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</si>
  <si>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</si>
  <si>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</si>
  <si>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</si>
  <si>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</si>
  <si>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</si>
  <si>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</si>
  <si>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</si>
  <si>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</si>
  <si>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</si>
  <si>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</si>
  <si>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</si>
  <si>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</si>
  <si>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</si>
  <si>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</si>
  <si>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</si>
  <si>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</si>
  <si>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</si>
  <si>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</si>
  <si>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</si>
  <si>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</si>
  <si>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</si>
  <si>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</si>
  <si>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</si>
  <si>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</si>
  <si>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</si>
  <si>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</si>
  <si>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</si>
  <si>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</si>
  <si>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</si>
  <si>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</si>
  <si>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</si>
  <si>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</si>
  <si>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</si>
  <si>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</si>
  <si>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</si>
  <si>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</si>
  <si>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</si>
  <si>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</si>
  <si>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</si>
  <si>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</si>
  <si>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</si>
  <si>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</si>
  <si>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</si>
  <si>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</si>
  <si>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</si>
  <si>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</si>
  <si>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</si>
  <si>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</si>
  <si>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</si>
  <si>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</si>
  <si>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</si>
  <si>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</si>
  <si>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</si>
  <si>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</si>
  <si>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</si>
  <si>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</si>
  <si>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</si>
  <si>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</si>
  <si>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</si>
  <si>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</si>
  <si>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</si>
  <si>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</si>
  <si>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</si>
  <si>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</si>
  <si>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</si>
  <si>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</si>
  <si>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</si>
  <si>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</si>
  <si>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</si>
  <si>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</si>
  <si>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</si>
  <si>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</si>
  <si>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</si>
  <si>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</si>
  <si>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</si>
  <si>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</si>
  <si>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</si>
  <si>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</si>
  <si>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</si>
  <si>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</si>
  <si>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</si>
  <si>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</si>
  <si>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</si>
  <si>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</si>
  <si>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</si>
  <si>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</si>
  <si>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</si>
  <si>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</si>
  <si>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</si>
  <si>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</si>
  <si>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</si>
  <si>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</si>
  <si>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</si>
  <si>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</si>
  <si>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</si>
  <si>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</si>
  <si>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</si>
  <si>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</si>
  <si>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</si>
  <si>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</si>
  <si>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품질시험비, 기타공사</t>
    <phoneticPr fontId="2" type="noConversion"/>
  </si>
  <si>
    <t>옥외소화배관공사, 펌프실배관공사, 기타공사</t>
    <phoneticPr fontId="2" type="noConversion"/>
  </si>
  <si>
    <t>교육연구</t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</si>
  <si>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</si>
  <si>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</si>
  <si>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</si>
  <si>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</si>
  <si>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(가칭)영동기숙형중학교 신축공사(계속공사)</t>
    <phoneticPr fontId="2" type="noConversion"/>
  </si>
  <si>
    <t>충청도</t>
  </si>
  <si>
    <t>공조배관공사, 기타공사</t>
    <phoneticPr fontId="2" type="noConversion"/>
  </si>
  <si>
    <t>CCTV설비공사, 기타공사</t>
    <phoneticPr fontId="2" type="noConversion"/>
  </si>
  <si>
    <t>상수도공사, 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</si>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</sst>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12572.33</v>
      </c>
      <c r="D7" s="36">
        <f>+C7/3.3058</f>
        <v>3803.1127109928002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980480</v>
      </c>
      <c r="E25" s="59">
        <f t="shared" si="0"/>
        <v>3241270</v>
      </c>
    </row>
    <row r="26" spans="1:5" x14ac:dyDescent="0.3">
      <c r="B26" s="2">
        <v>3</v>
      </c>
      <c r="C26" s="35" t="s">
        <v>95</v>
      </c>
      <c r="D26" s="45">
        <f>+D66</f>
        <v>28320</v>
      </c>
      <c r="E26" s="59">
        <f t="shared" si="0"/>
        <v>93620</v>
      </c>
    </row>
    <row r="27" spans="1:5" x14ac:dyDescent="0.3">
      <c r="B27" s="2">
        <v>4</v>
      </c>
      <c r="C27" s="35" t="s">
        <v>96</v>
      </c>
      <c r="D27" s="45">
        <f>+D95</f>
        <v>126440</v>
      </c>
      <c r="E27" s="59">
        <f t="shared" si="0"/>
        <v>417980</v>
      </c>
    </row>
    <row r="28" spans="1:5" x14ac:dyDescent="0.3">
      <c r="B28" s="2">
        <v>5</v>
      </c>
      <c r="C28" s="35" t="s">
        <v>97</v>
      </c>
      <c r="D28" s="45">
        <f>+D119</f>
        <v>147580</v>
      </c>
      <c r="E28" s="59">
        <f t="shared" si="0"/>
        <v>487860</v>
      </c>
    </row>
    <row r="29" spans="1:5" x14ac:dyDescent="0.3">
      <c r="B29" s="2">
        <v>6</v>
      </c>
      <c r="C29" s="35" t="s">
        <v>98</v>
      </c>
      <c r="D29" s="45">
        <f>+D133</f>
        <v>41010</v>
      </c>
      <c r="E29" s="59">
        <f t="shared" si="0"/>
        <v>135570</v>
      </c>
    </row>
    <row r="30" spans="1:5" x14ac:dyDescent="0.3">
      <c r="B30" s="2">
        <v>7</v>
      </c>
      <c r="C30" s="35" t="s">
        <v>99</v>
      </c>
      <c r="D30" s="45">
        <f>+D146</f>
        <v>32890</v>
      </c>
      <c r="E30" s="59">
        <f t="shared" si="0"/>
        <v>108720</v>
      </c>
    </row>
    <row r="31" spans="1:5" x14ac:dyDescent="0.3">
      <c r="B31" s="2">
        <v>8</v>
      </c>
      <c r="C31" s="35" t="s">
        <v>100</v>
      </c>
      <c r="D31" s="45">
        <f>+D154</f>
        <v>55030</v>
      </c>
      <c r="E31" s="59">
        <f t="shared" si="0"/>
        <v>181910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388230</v>
      </c>
      <c r="E33" s="60">
        <f t="shared" si="0"/>
        <v>1283410</v>
      </c>
    </row>
    <row r="34" spans="1:7" x14ac:dyDescent="0.3">
      <c r="C34" s="35" t="s">
        <v>112</v>
      </c>
      <c r="D34" s="44">
        <f>SUM(D24:D33)</f>
        <v>1799980</v>
      </c>
      <c r="E34" s="44">
        <f>SUM(E24:E33)</f>
        <v>5950340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254</v>
      </c>
      <c r="C39" s="56" t="s">
        <v>255</v>
      </c>
      <c r="D39" s="57" t="s">
        <v>256</v>
      </c>
      <c r="E39" s="57" t="s">
        <v>257</v>
      </c>
      <c r="G39" s="55"/>
    </row>
    <row r="40" spans="1:7" x14ac:dyDescent="0.3">
      <c r="A40" s="2">
        <v>1</v>
      </c>
      <c r="C40" s="38" t="s">
        <v>15</v>
      </c>
      <c r="D40" s="40">
        <f>TRUNC(35079,-1)</f>
        <v>35070</v>
      </c>
      <c r="E40" s="62">
        <f t="shared" ref="E40:E59" si="1">TRUNC(+D40*3.3058,-1)</f>
        <v>115930</v>
      </c>
    </row>
    <row r="41" spans="1:7" x14ac:dyDescent="0.3">
      <c r="A41" s="2">
        <v>2</v>
      </c>
      <c r="C41" s="38" t="s">
        <v>13</v>
      </c>
      <c r="D41" s="42">
        <f>TRUNC(150575,-1)</f>
        <v>150570</v>
      </c>
      <c r="E41" s="63">
        <f t="shared" si="1"/>
        <v>497750</v>
      </c>
    </row>
    <row r="42" spans="1:7" x14ac:dyDescent="0.3">
      <c r="A42" s="2">
        <v>3</v>
      </c>
      <c r="C42" s="38" t="s">
        <v>14</v>
      </c>
      <c r="D42" s="42">
        <f>TRUNC(15586,-1)</f>
        <v>15580</v>
      </c>
      <c r="E42" s="63">
        <f t="shared" si="1"/>
        <v>51500</v>
      </c>
    </row>
    <row r="43" spans="1:7" x14ac:dyDescent="0.3">
      <c r="A43" s="2">
        <v>4</v>
      </c>
      <c r="C43" s="38" t="s">
        <v>16</v>
      </c>
      <c r="D43" s="42">
        <v>29000</v>
      </c>
      <c r="E43" s="63">
        <f t="shared" si="1"/>
        <v>95860</v>
      </c>
    </row>
    <row r="44" spans="1:7" x14ac:dyDescent="0.3">
      <c r="A44" s="2">
        <v>5</v>
      </c>
      <c r="C44" s="38" t="s">
        <v>17</v>
      </c>
      <c r="D44" s="42">
        <f>TRUNC(27273,-1)</f>
        <v>27270</v>
      </c>
      <c r="E44" s="63">
        <f t="shared" si="1"/>
        <v>90140</v>
      </c>
    </row>
    <row r="45" spans="1:7" x14ac:dyDescent="0.3">
      <c r="A45" s="2">
        <v>6</v>
      </c>
      <c r="C45" s="38" t="s">
        <v>18</v>
      </c>
      <c r="D45" s="42">
        <f>TRUNC(9046,-1)</f>
        <v>9040</v>
      </c>
      <c r="E45" s="63">
        <f t="shared" si="1"/>
        <v>29880</v>
      </c>
    </row>
    <row r="46" spans="1:7" x14ac:dyDescent="0.3">
      <c r="A46" s="2">
        <v>7</v>
      </c>
      <c r="C46" s="38" t="s">
        <v>19</v>
      </c>
      <c r="D46" s="42">
        <f>TRUNC(28951,-1)</f>
        <v>28950</v>
      </c>
      <c r="E46" s="63">
        <f t="shared" si="1"/>
        <v>95700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74080</v>
      </c>
      <c r="E48" s="63">
        <f t="shared" si="1"/>
        <v>244890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TRUNC(20726,-1)</f>
        <v>20720</v>
      </c>
      <c r="E49" s="63">
        <f t="shared" si="1"/>
        <v>68490</v>
      </c>
    </row>
    <row r="50" spans="1:7" x14ac:dyDescent="0.3">
      <c r="A50" s="2">
        <v>11</v>
      </c>
      <c r="C50" s="38" t="s">
        <v>155</v>
      </c>
      <c r="D50" s="42">
        <f>TRUNC(72118,-1)</f>
        <v>72110</v>
      </c>
      <c r="E50" s="63">
        <f t="shared" si="1"/>
        <v>238380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11340</v>
      </c>
      <c r="E52" s="63">
        <f t="shared" si="1"/>
        <v>37480</v>
      </c>
    </row>
    <row r="53" spans="1:7" x14ac:dyDescent="0.3">
      <c r="A53" s="2">
        <v>14</v>
      </c>
      <c r="C53" s="38" t="s">
        <v>25</v>
      </c>
      <c r="D53" s="42">
        <f>TRUNC(130064,-1)</f>
        <v>130060</v>
      </c>
      <c r="E53" s="63">
        <f t="shared" si="1"/>
        <v>429950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TRUNC(12368+933+4136-795+1253+8193,-1)</f>
        <v>26080</v>
      </c>
      <c r="E58" s="63">
        <f t="shared" si="1"/>
        <v>86210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350610</v>
      </c>
      <c r="E59" s="64">
        <f t="shared" si="1"/>
        <v>1159040</v>
      </c>
    </row>
    <row r="60" spans="1:7" x14ac:dyDescent="0.3">
      <c r="A60" s="2">
        <v>21</v>
      </c>
      <c r="C60" s="27" t="s">
        <v>112</v>
      </c>
      <c r="D60" s="39">
        <f>SUM(D40:D59)</f>
        <v>980480</v>
      </c>
      <c r="E60" s="39">
        <f>SUM(E40:E59)</f>
        <v>3241200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TRUNC(28321,-1)</f>
        <v>28320</v>
      </c>
      <c r="E63" s="62">
        <f>TRUNC(+D63*3.3058,-1)</f>
        <v>93620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28320</v>
      </c>
      <c r="E66" s="65">
        <f>SUM(E63:E65)</f>
        <v>93620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TRUNC(6941,-1)</f>
        <v>6940</v>
      </c>
      <c r="E69" s="62">
        <f t="shared" ref="E69:E94" si="2">TRUNC(+D69*3.3058,-1)</f>
        <v>22940</v>
      </c>
    </row>
    <row r="70" spans="1:7" ht="16.5" customHeight="1" x14ac:dyDescent="0.3">
      <c r="A70" s="2">
        <v>2</v>
      </c>
      <c r="C70" s="38" t="s">
        <v>31</v>
      </c>
      <c r="D70" s="42">
        <f>TRUNC(747,-1)</f>
        <v>740</v>
      </c>
      <c r="E70" s="63">
        <f t="shared" si="2"/>
        <v>2440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TRUNC(3361,-1)</f>
        <v>3360</v>
      </c>
      <c r="E72" s="63">
        <f t="shared" si="2"/>
        <v>11100</v>
      </c>
    </row>
    <row r="73" spans="1:7" x14ac:dyDescent="0.3">
      <c r="A73" s="2">
        <v>5</v>
      </c>
      <c r="C73" s="38" t="s">
        <v>34</v>
      </c>
      <c r="D73" s="42">
        <f>TRUNC(28968,-1)</f>
        <v>28960</v>
      </c>
      <c r="E73" s="63">
        <f t="shared" si="2"/>
        <v>95730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TRUNC(14425,-1)</f>
        <v>14420</v>
      </c>
      <c r="E89" s="63">
        <f t="shared" si="2"/>
        <v>47660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TRUNC(912,-1)</f>
        <v>910</v>
      </c>
      <c r="E91" s="63">
        <f t="shared" si="2"/>
        <v>3000</v>
      </c>
    </row>
    <row r="92" spans="1:7" x14ac:dyDescent="0.3">
      <c r="A92" s="2">
        <v>24</v>
      </c>
      <c r="C92" s="38" t="s">
        <v>38</v>
      </c>
      <c r="D92" s="42">
        <f>TRUNC(11569,-1)</f>
        <v>11560</v>
      </c>
      <c r="E92" s="63">
        <f t="shared" si="2"/>
        <v>38210</v>
      </c>
    </row>
    <row r="93" spans="1:7" x14ac:dyDescent="0.3">
      <c r="A93" s="2">
        <v>25</v>
      </c>
      <c r="C93" s="38" t="s">
        <v>148</v>
      </c>
      <c r="D93" s="42">
        <f>TRUNC(57329,-1)</f>
        <v>57320</v>
      </c>
      <c r="E93" s="63">
        <f t="shared" si="2"/>
        <v>189480</v>
      </c>
    </row>
    <row r="94" spans="1:7" ht="17.25" thickBot="1" x14ac:dyDescent="0.35">
      <c r="A94" s="2">
        <v>26</v>
      </c>
      <c r="C94" s="38" t="s">
        <v>47</v>
      </c>
      <c r="D94" s="43">
        <f>TRUNC(189+2044,-1)</f>
        <v>2230</v>
      </c>
      <c r="E94" s="64">
        <f t="shared" si="2"/>
        <v>7370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126440</v>
      </c>
      <c r="E95" s="39">
        <f>SUM(E69:E94)</f>
        <v>417930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TRUNC(13672,-1)</f>
        <v>13670</v>
      </c>
      <c r="E98" s="62">
        <f t="shared" ref="E98:E118" si="3">TRUNC(+D98*3.3058,-1)</f>
        <v>45190</v>
      </c>
    </row>
    <row r="99" spans="1:7" x14ac:dyDescent="0.3">
      <c r="A99" s="2">
        <v>2</v>
      </c>
      <c r="C99" s="38" t="s">
        <v>40</v>
      </c>
      <c r="D99" s="42">
        <f>TRUNC(3341,-1)</f>
        <v>3340</v>
      </c>
      <c r="E99" s="63">
        <f t="shared" si="3"/>
        <v>11040</v>
      </c>
    </row>
    <row r="100" spans="1:7" x14ac:dyDescent="0.3">
      <c r="A100" s="2">
        <v>3</v>
      </c>
      <c r="C100" s="38" t="s">
        <v>41</v>
      </c>
      <c r="D100" s="42">
        <f>TRUNC(24133,-1)</f>
        <v>24130</v>
      </c>
      <c r="E100" s="63">
        <f t="shared" si="3"/>
        <v>79760</v>
      </c>
    </row>
    <row r="101" spans="1:7" x14ac:dyDescent="0.3">
      <c r="A101" s="2">
        <v>4</v>
      </c>
      <c r="C101" s="38" t="s">
        <v>42</v>
      </c>
      <c r="D101" s="42">
        <f>TRUNC(2041,-1)</f>
        <v>2040</v>
      </c>
      <c r="E101" s="63">
        <f t="shared" si="3"/>
        <v>6740</v>
      </c>
    </row>
    <row r="102" spans="1:7" x14ac:dyDescent="0.3">
      <c r="A102" s="2">
        <v>5</v>
      </c>
      <c r="C102" s="38" t="s">
        <v>43</v>
      </c>
      <c r="D102" s="42">
        <v>9300</v>
      </c>
      <c r="E102" s="63">
        <f t="shared" si="3"/>
        <v>30740</v>
      </c>
    </row>
    <row r="103" spans="1:7" x14ac:dyDescent="0.3">
      <c r="A103" s="2">
        <v>6</v>
      </c>
      <c r="C103" s="38" t="s">
        <v>44</v>
      </c>
      <c r="D103" s="42">
        <f>TRUNC(5012,-1)</f>
        <v>5010</v>
      </c>
      <c r="E103" s="63">
        <f t="shared" si="3"/>
        <v>16560</v>
      </c>
    </row>
    <row r="104" spans="1:7" x14ac:dyDescent="0.3">
      <c r="A104" s="2">
        <v>7</v>
      </c>
      <c r="C104" s="38" t="s">
        <v>45</v>
      </c>
      <c r="D104" s="42">
        <f>TRUNC(1159,-1)</f>
        <v>1150</v>
      </c>
      <c r="E104" s="63">
        <f t="shared" si="3"/>
        <v>3800</v>
      </c>
    </row>
    <row r="105" spans="1:7" x14ac:dyDescent="0.3">
      <c r="A105" s="2">
        <v>8</v>
      </c>
      <c r="C105" s="38" t="s">
        <v>46</v>
      </c>
      <c r="D105" s="42">
        <v>9090</v>
      </c>
      <c r="E105" s="63">
        <f t="shared" si="3"/>
        <v>30040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TRUNC(75362,-1)</f>
        <v>75360</v>
      </c>
      <c r="E117" s="63">
        <f t="shared" si="3"/>
        <v>249120</v>
      </c>
    </row>
    <row r="118" spans="1:7" ht="17.25" thickBot="1" x14ac:dyDescent="0.35">
      <c r="A118" s="2">
        <v>21</v>
      </c>
      <c r="C118" s="38" t="s">
        <v>47</v>
      </c>
      <c r="D118" s="43">
        <f>TRUNC(4495,-1)</f>
        <v>4490</v>
      </c>
      <c r="E118" s="64">
        <f t="shared" si="3"/>
        <v>14840</v>
      </c>
    </row>
    <row r="119" spans="1:7" x14ac:dyDescent="0.3">
      <c r="A119" s="2">
        <v>22</v>
      </c>
      <c r="C119" s="27" t="s">
        <v>112</v>
      </c>
      <c r="D119" s="39">
        <f>SUM(D98:D118)</f>
        <v>147580</v>
      </c>
      <c r="E119" s="39">
        <f>SUM(E98:E118)</f>
        <v>487830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TRUNC(7769,-1)</f>
        <v>7760</v>
      </c>
      <c r="E125" s="63">
        <f t="shared" si="4"/>
        <v>25650</v>
      </c>
    </row>
    <row r="126" spans="1:7" x14ac:dyDescent="0.3">
      <c r="A126" s="2">
        <v>5</v>
      </c>
      <c r="C126" s="38" t="s">
        <v>53</v>
      </c>
      <c r="D126" s="42">
        <f>TRUNC(734,-1)</f>
        <v>730</v>
      </c>
      <c r="E126" s="63">
        <f t="shared" si="4"/>
        <v>2410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TRUNC(436,-1)</f>
        <v>430</v>
      </c>
      <c r="E128" s="63">
        <f t="shared" si="4"/>
        <v>1420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TRUNC(14381,-1)</f>
        <v>14380</v>
      </c>
      <c r="E130" s="63">
        <f t="shared" si="4"/>
        <v>47530</v>
      </c>
    </row>
    <row r="131" spans="1:7" x14ac:dyDescent="0.3">
      <c r="A131" s="2">
        <v>10</v>
      </c>
      <c r="C131" s="38" t="s">
        <v>148</v>
      </c>
      <c r="D131" s="42">
        <v>13110</v>
      </c>
      <c r="E131" s="63">
        <f t="shared" si="4"/>
        <v>43330</v>
      </c>
    </row>
    <row r="132" spans="1:7" ht="18" thickBot="1" x14ac:dyDescent="0.35">
      <c r="A132" s="2">
        <v>11</v>
      </c>
      <c r="C132" s="38" t="s">
        <v>47</v>
      </c>
      <c r="D132" s="43">
        <f>TRUNC(4551+58,-1)</f>
        <v>4600</v>
      </c>
      <c r="E132" s="64">
        <f t="shared" si="4"/>
        <v>15200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41010</v>
      </c>
      <c r="E133" s="39">
        <f>SUM(E122:E132)</f>
        <v>135540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TRUNC(1525+1095+10885,-1)</f>
        <v>13500</v>
      </c>
      <c r="E137" s="63">
        <f t="shared" si="5"/>
        <v>44620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TRUNC(865,-1)</f>
        <v>860</v>
      </c>
      <c r="E140" s="63">
        <f t="shared" si="5"/>
        <v>2840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TRUNC(5351,-1)</f>
        <v>5350</v>
      </c>
      <c r="E142" s="63">
        <f t="shared" si="5"/>
        <v>17680</v>
      </c>
    </row>
    <row r="143" spans="1:7" x14ac:dyDescent="0.3">
      <c r="A143" s="2">
        <v>8</v>
      </c>
      <c r="C143" s="38" t="s">
        <v>62</v>
      </c>
      <c r="D143" s="42">
        <f>TRUNC(3965,-1)</f>
        <v>3960</v>
      </c>
      <c r="E143" s="63">
        <f t="shared" si="5"/>
        <v>13090</v>
      </c>
    </row>
    <row r="144" spans="1:7" x14ac:dyDescent="0.3">
      <c r="A144" s="2">
        <v>9</v>
      </c>
      <c r="C144" s="38" t="s">
        <v>63</v>
      </c>
      <c r="D144" s="42">
        <f>TRUNC(9225,-1)</f>
        <v>9220</v>
      </c>
      <c r="E144" s="63">
        <f t="shared" si="5"/>
        <v>30470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32890</v>
      </c>
      <c r="E146" s="39">
        <f>SUM(E136:E145)</f>
        <v>108700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TRUNC(18259+963,-1)</f>
        <v>19220</v>
      </c>
      <c r="E149" s="62">
        <f>TRUNC(+D149*3.3058,-1)</f>
        <v>63530</v>
      </c>
    </row>
    <row r="150" spans="1:7" x14ac:dyDescent="0.3">
      <c r="A150" s="2">
        <v>2</v>
      </c>
      <c r="C150" s="38" t="s">
        <v>49</v>
      </c>
      <c r="D150" s="42">
        <f>TRUNC(8578,-1)</f>
        <v>8570</v>
      </c>
      <c r="E150" s="63">
        <f>TRUNC(+D150*3.3058,-1)</f>
        <v>28330</v>
      </c>
    </row>
    <row r="151" spans="1:7" x14ac:dyDescent="0.3">
      <c r="A151" s="2">
        <v>3</v>
      </c>
      <c r="C151" s="38" t="s">
        <v>50</v>
      </c>
      <c r="D151" s="42">
        <f>TRUNC(5933,-1)</f>
        <v>5930</v>
      </c>
      <c r="E151" s="63">
        <f>TRUNC(+D151*3.3058,-1)</f>
        <v>19600</v>
      </c>
    </row>
    <row r="152" spans="1:7" x14ac:dyDescent="0.3">
      <c r="A152" s="2">
        <v>4</v>
      </c>
      <c r="C152" s="38" t="s">
        <v>47</v>
      </c>
      <c r="D152" s="42">
        <f>TRUNC(4734+10254+223+6105,-1)</f>
        <v>21310</v>
      </c>
      <c r="E152" s="63">
        <f>TRUNC(+D152*3.3058,-1)</f>
        <v>70440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55030</v>
      </c>
      <c r="E154" s="39">
        <f>SUM(E149:E153)</f>
        <v>181900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2020-12-08T01:58:53Z</dcterms:modified>
</cp:coreProperties>
</file>