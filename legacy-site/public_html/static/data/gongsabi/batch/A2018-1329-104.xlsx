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1" i="4"/>
  <c r="D40" i="4"/>
  <c r="D92" i="4"/>
  <c r="D91" i="4"/>
  <c r="D89" i="4"/>
  <c r="D73" i="4"/>
  <c r="D71" i="4"/>
  <c r="D70" i="4"/>
  <c r="D69" i="4"/>
  <c r="D65" i="4"/>
  <c r="D63" i="4"/>
  <c r="D116" i="4"/>
  <c r="D114" i="4"/>
  <c r="D105" i="4"/>
  <c r="D104" i="4"/>
  <c r="D103" i="4"/>
  <c r="D102" i="4"/>
  <c r="D100" i="4"/>
  <c r="D99" i="4"/>
  <c r="D98" i="4"/>
  <c r="D130" i="4"/>
  <c r="D128" i="4"/>
  <c r="D125" i="4"/>
  <c r="D124" i="4"/>
  <c r="D122" i="4"/>
  <c r="D144" i="4"/>
  <c r="D143" i="4"/>
  <c r="D142" i="4"/>
  <c r="D141" i="4"/>
  <c r="D140" i="4"/>
  <c r="D139" i="4"/>
  <c r="D137" i="4"/>
  <c r="D152" i="4"/>
  <c r="D151" i="4"/>
  <c r="D150" i="4"/>
  <c r="D149" i="4"/>
  <c r="D159" i="4"/>
  <c r="D158" i="4"/>
  <c r="D157" i="4"/>
  <c r="D145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<sst xmlns="http://schemas.openxmlformats.org/spreadsheetml/2006/main" count="393" uniqueCount="268">
  <si>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</si>
  <si>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</si>
  <si>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</si>
  <si>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</si>
  <si>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</si>
  <si>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</si>
  <si>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</si>
  <si>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</si>
  <si>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</si>
  <si>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</si>
  <si>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</si>
  <si>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</si>
  <si>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</si>
  <si>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</si>
  <si>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</si>
  <si>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</si>
  <si>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</si>
  <si>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</si>
  <si>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</si>
  <si>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</si>
  <si>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</si>
  <si>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</si>
  <si>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</si>
  <si>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</si>
  <si>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</si>
  <si>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</si>
  <si>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</si>
  <si>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</si>
  <si>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</si>
  <si>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</si>
  <si>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</si>
  <si>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</si>
  <si>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</si>
  <si>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</si>
  <si>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</si>
  <si>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</si>
  <si>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</si>
  <si>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</si>
  <si>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</si>
  <si>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</si>
  <si>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</si>
  <si>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</si>
  <si>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</si>
  <si>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</si>
  <si>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</si>
  <si>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</si>
  <si>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</si>
  <si>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</si>
  <si>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</si>
  <si>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</si>
  <si>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</si>
  <si>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</si>
  <si>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</si>
  <si>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</si>
  <si>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</si>
  <si>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</si>
  <si>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</si>
  <si>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</si>
  <si>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</si>
  <si>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</si>
  <si>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</si>
  <si>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</si>
  <si>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</si>
  <si>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</si>
  <si>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</si>
  <si>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</si>
  <si>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</si>
  <si>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</si>
  <si>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</si>
  <si>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</si>
  <si>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</si>
  <si>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</si>
  <si>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</si>
  <si>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</si>
  <si>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</si>
  <si>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</si>
  <si>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</si>
  <si>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</si>
  <si>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</si>
  <si>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</si>
  <si>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</si>
  <si>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</si>
  <si>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</si>
  <si>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</si>
  <si>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</si>
  <si>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</si>
  <si>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</si>
  <si>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</si>
  <si>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</si>
  <si>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</si>
  <si>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</si>
  <si>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</si>
  <si>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</si>
  <si>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</si>
  <si>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</si>
  <si>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</si>
  <si>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</si>
  <si>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</si>
  <si>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</si>
  <si>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</si>
  <si>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</si>
  <si>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</si>
  <si>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</si>
  <si>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</si>
  <si>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</si>
  <si>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</si>
  <si>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</si>
  <si>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</si>
  <si>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</si>
  <si>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</si>
  <si>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</si>
  <si>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</si>
  <si>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</si>
  <si>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</si>
  <si>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</si>
  <si>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</si>
  <si>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</si>
  <si>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</si>
  <si>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</si>
  <si>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</si>
  <si>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</si>
  <si>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</si>
  <si>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</si>
  <si>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</si>
  <si>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</si>
  <si>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</si>
  <si>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</si>
  <si>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</si>
  <si>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</si>
  <si>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</si>
  <si>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</si>
  <si>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</si>
  <si>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</si>
  <si>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</si>
  <si>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</si>
  <si>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</si>
  <si>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</si>
  <si>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</si>
  <si>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</si>
  <si>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</si>
  <si>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</si>
  <si>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</si>
  <si>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</si>
  <si>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</si>
  <si>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</si>
  <si>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</si>
  <si>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</si>
  <si>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</si>
  <si>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</si>
  <si>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</si>
  <si>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</si>
  <si>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</si>
  <si>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</si>
  <si>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</si>
  <si>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</si>
  <si>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</si>
  <si>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</si>
  <si>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</si>
  <si>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</si>
  <si>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</si>
  <si>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</si>
  <si>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</si>
  <si>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</si>
  <si>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</si>
  <si>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</si>
  <si>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</si>
  <si>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</si>
  <si>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</si>
  <si>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</si>
  <si>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</si>
  <si>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</si>
  <si>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</si>
  <si>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</si>
  <si>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</si>
  <si>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</si>
  <si>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</si>
  <si>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</si>
  <si>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</si>
  <si>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</si>
  <si>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</si>
  <si>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</si>
  <si>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</si>
  <si>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</si>
  <si>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</si>
  <si>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</si>
  <si>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</si>
  <si>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</si>
  <si>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</si>
  <si>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</si>
  <si>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</si>
  <si>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</si>
  <si>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</si>
  <si>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</si>
  <si>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</si>
  <si>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</si>
  <si>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</si>
  <si>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</si>
  <si>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</si>
  <si>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</si>
  <si>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</si>
  <si>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</si>
  <si>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</si>
  <si>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</si>
  <si>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</si>
  <si>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</si>
  <si>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</si>
  <si>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</si>
  <si>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</si>
  <si>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</si>
  <si>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</si>
  <si>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</si>
  <si>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</si>
  <si>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</si>
  <si>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</si>
  <si>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</si>
  <si>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</si>
  <si>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</si>
  <si>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</si>
  <si>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</si>
  <si>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</si>
  <si>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</si>
  <si>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</si>
  <si>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</si>
  <si>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</si>
  <si>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</si>
  <si>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</si>
  <si>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</si>
  <si>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</si>
  <si>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</si>
  <si>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</si>
  <si>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</si>
  <si>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</si>
  <si>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</si>
  <si>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</si>
  <si>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</si>
  <si>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</si>
  <si>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</si>
  <si>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</si>
  <si>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</si>
  <si>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</si>
  <si>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</si>
  <si>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</si>
  <si>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</si>
  <si>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</si>
  <si>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</si>
  <si>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</si>
  <si>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</si>
  <si>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</si>
  <si>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국민건강보험공단 원주횡성지사 사옥 신축공사</t>
    <phoneticPr fontId="2" type="noConversion"/>
  </si>
  <si>
    <t>업무</t>
  </si>
  <si>
    <t>강원도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</si>
  <si>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</si>
  <si>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</si>
  <si>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</si>
  <si>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폐기물처리비,골재비및운반비,작업부산물,기타공사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</si>
  <si>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</si>
  <si>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</si>
  <si>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</si>
  <si>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</si>
  <si>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</si>
  <si>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</si>
  <si>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</si>
  <si>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공조배관공사,난방배관공사,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</si>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</sst>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3977.9</v>
      </c>
      <c r="D7" s="36">
        <f>+C7/3.3058</f>
        <v>1203.309335107992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895480</v>
      </c>
      <c r="E25" s="59">
        <f t="shared" si="0"/>
        <v>2960270</v>
      </c>
    </row>
    <row r="26" spans="1:5" x14ac:dyDescent="0.3">
      <c r="B26" s="2">
        <v>3</v>
      </c>
      <c r="C26" s="35" t="s">
        <v>95</v>
      </c>
      <c r="D26" s="45">
        <f>+D66</f>
        <v>142770</v>
      </c>
      <c r="E26" s="59">
        <f t="shared" si="0"/>
        <v>471960</v>
      </c>
    </row>
    <row r="27" spans="1:5" x14ac:dyDescent="0.3">
      <c r="B27" s="2">
        <v>4</v>
      </c>
      <c r="C27" s="35" t="s">
        <v>96</v>
      </c>
      <c r="D27" s="45">
        <f>+D95</f>
        <v>147410</v>
      </c>
      <c r="E27" s="59">
        <f t="shared" si="0"/>
        <v>487300</v>
      </c>
    </row>
    <row r="28" spans="1:5" x14ac:dyDescent="0.3">
      <c r="B28" s="2">
        <v>5</v>
      </c>
      <c r="C28" s="35" t="s">
        <v>97</v>
      </c>
      <c r="D28" s="45">
        <f>+D119</f>
        <v>182800</v>
      </c>
      <c r="E28" s="59">
        <f t="shared" si="0"/>
        <v>604300</v>
      </c>
    </row>
    <row r="29" spans="1:5" x14ac:dyDescent="0.3">
      <c r="B29" s="2">
        <v>6</v>
      </c>
      <c r="C29" s="35" t="s">
        <v>98</v>
      </c>
      <c r="D29" s="45">
        <f>+D133</f>
        <v>122840</v>
      </c>
      <c r="E29" s="59">
        <f t="shared" si="0"/>
        <v>406080</v>
      </c>
    </row>
    <row r="30" spans="1:5" x14ac:dyDescent="0.3">
      <c r="B30" s="2">
        <v>7</v>
      </c>
      <c r="C30" s="35" t="s">
        <v>99</v>
      </c>
      <c r="D30" s="45">
        <f>+D146</f>
        <v>56570</v>
      </c>
      <c r="E30" s="59">
        <f t="shared" si="0"/>
        <v>187000</v>
      </c>
    </row>
    <row r="31" spans="1:5" x14ac:dyDescent="0.3">
      <c r="B31" s="2">
        <v>8</v>
      </c>
      <c r="C31" s="35" t="s">
        <v>100</v>
      </c>
      <c r="D31" s="45">
        <f>+D154</f>
        <v>44760</v>
      </c>
      <c r="E31" s="59">
        <f t="shared" si="0"/>
        <v>147960</v>
      </c>
    </row>
    <row r="32" spans="1:5" x14ac:dyDescent="0.3">
      <c r="B32" s="2">
        <v>9</v>
      </c>
      <c r="C32" s="35" t="s">
        <v>101</v>
      </c>
      <c r="D32" s="45">
        <f>+D161</f>
        <v>30420</v>
      </c>
      <c r="E32" s="59">
        <f t="shared" si="0"/>
        <v>100560</v>
      </c>
    </row>
    <row r="33" spans="1:7" x14ac:dyDescent="0.3">
      <c r="B33" s="2">
        <v>10</v>
      </c>
      <c r="C33" s="35" t="s">
        <v>154</v>
      </c>
      <c r="D33" s="53">
        <f>TRUNC(SUM(D24:D32)*0.275,-1)</f>
        <v>446330</v>
      </c>
      <c r="E33" s="60">
        <f t="shared" si="0"/>
        <v>1475470</v>
      </c>
    </row>
    <row r="34" spans="1:7" x14ac:dyDescent="0.3">
      <c r="C34" s="35" t="s">
        <v>112</v>
      </c>
      <c r="D34" s="44">
        <f>SUM(D24:D33)</f>
        <v>2069380</v>
      </c>
      <c r="E34" s="44">
        <f>SUM(E24:E33)</f>
        <v>6840900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TRUNC(69457,-1)</f>
        <v>69450</v>
      </c>
      <c r="E40" s="62">
        <f t="shared" ref="E40:E59" si="1">TRUNC(+D40*3.3058,-1)</f>
        <v>229580</v>
      </c>
    </row>
    <row r="41" spans="1:7" x14ac:dyDescent="0.3">
      <c r="A41" s="2">
        <v>2</v>
      </c>
      <c r="C41" s="38" t="s">
        <v>13</v>
      </c>
      <c r="D41" s="42">
        <f>TRUNC(182491,-1)</f>
        <v>182490</v>
      </c>
      <c r="E41" s="63">
        <f t="shared" si="1"/>
        <v>603270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TRUNC(19469,-1)</f>
        <v>19460</v>
      </c>
      <c r="E43" s="63">
        <f t="shared" si="1"/>
        <v>64330</v>
      </c>
    </row>
    <row r="44" spans="1:7" x14ac:dyDescent="0.3">
      <c r="A44" s="2">
        <v>5</v>
      </c>
      <c r="C44" s="38" t="s">
        <v>17</v>
      </c>
      <c r="D44" s="42">
        <f>TRUNC(35941,-1)</f>
        <v>35940</v>
      </c>
      <c r="E44" s="63">
        <f t="shared" si="1"/>
        <v>118810</v>
      </c>
    </row>
    <row r="45" spans="1:7" x14ac:dyDescent="0.3">
      <c r="A45" s="2">
        <v>6</v>
      </c>
      <c r="C45" s="38" t="s">
        <v>18</v>
      </c>
      <c r="D45" s="42">
        <f>TRUNC(10766,-1)</f>
        <v>10760</v>
      </c>
      <c r="E45" s="63">
        <f t="shared" si="1"/>
        <v>35570</v>
      </c>
    </row>
    <row r="46" spans="1:7" x14ac:dyDescent="0.3">
      <c r="A46" s="2">
        <v>7</v>
      </c>
      <c r="C46" s="38" t="s">
        <v>19</v>
      </c>
      <c r="D46" s="42">
        <f>TRUNC(34410,-1)</f>
        <v>34410</v>
      </c>
      <c r="E46" s="63">
        <f t="shared" si="1"/>
        <v>113750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TRUNC(40144,-1)</f>
        <v>40140</v>
      </c>
      <c r="E48" s="63">
        <f t="shared" si="1"/>
        <v>132690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TRUNC(10758,-1)</f>
        <v>10750</v>
      </c>
      <c r="E49" s="63">
        <f t="shared" si="1"/>
        <v>35530</v>
      </c>
    </row>
    <row r="50" spans="1:7" x14ac:dyDescent="0.3">
      <c r="A50" s="2">
        <v>11</v>
      </c>
      <c r="C50" s="38" t="s">
        <v>155</v>
      </c>
      <c r="D50" s="42">
        <f>TRUNC(69796,-1)</f>
        <v>69790</v>
      </c>
      <c r="E50" s="63">
        <f t="shared" si="1"/>
        <v>230710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TRUNC(16893,-1)</f>
        <v>16890</v>
      </c>
      <c r="E52" s="63">
        <f t="shared" si="1"/>
        <v>55830</v>
      </c>
    </row>
    <row r="53" spans="1:7" x14ac:dyDescent="0.3">
      <c r="A53" s="2">
        <v>14</v>
      </c>
      <c r="C53" s="38" t="s">
        <v>25</v>
      </c>
      <c r="D53" s="42">
        <f>TRUNC(102431,-1)</f>
        <v>102430</v>
      </c>
      <c r="E53" s="63">
        <f t="shared" si="1"/>
        <v>338610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TRUNC(58+6112-820+6077,-1)</f>
        <v>11420</v>
      </c>
      <c r="E58" s="63">
        <f t="shared" si="1"/>
        <v>37750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TRUNC(291553,-1)</f>
        <v>291550</v>
      </c>
      <c r="E59" s="64">
        <f t="shared" si="1"/>
        <v>963800</v>
      </c>
    </row>
    <row r="60" spans="1:7" x14ac:dyDescent="0.3">
      <c r="A60" s="2">
        <v>21</v>
      </c>
      <c r="C60" s="27" t="s">
        <v>112</v>
      </c>
      <c r="D60" s="39">
        <f>SUM(D40:D59)</f>
        <v>895480</v>
      </c>
      <c r="E60" s="39">
        <f>SUM(E40:E59)</f>
        <v>2960230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TRUNC(51851,-1)</f>
        <v>51850</v>
      </c>
      <c r="E63" s="62">
        <f>TRUNC(+D63*3.3058,-1)</f>
        <v>171400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TRUNC(90927,-1)</f>
        <v>90920</v>
      </c>
      <c r="E65" s="64">
        <f>TRUNC(+D65*3.3058,-1)</f>
        <v>300560</v>
      </c>
    </row>
    <row r="66" spans="1:7" x14ac:dyDescent="0.3">
      <c r="A66" s="2">
        <v>4</v>
      </c>
      <c r="C66" s="27" t="s">
        <v>112</v>
      </c>
      <c r="D66" s="39">
        <f>SUM(D63:D65)</f>
        <v>142770</v>
      </c>
      <c r="E66" s="65">
        <f>SUM(E63:E65)</f>
        <v>471960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TRUNC(13772,-1)</f>
        <v>13770</v>
      </c>
      <c r="E69" s="62">
        <f t="shared" ref="E69:E94" si="2">TRUNC(+D69*3.3058,-1)</f>
        <v>45520</v>
      </c>
    </row>
    <row r="70" spans="1:7" ht="16.5" customHeight="1" x14ac:dyDescent="0.3">
      <c r="A70" s="2">
        <v>2</v>
      </c>
      <c r="C70" s="38" t="s">
        <v>31</v>
      </c>
      <c r="D70" s="42">
        <f>TRUNC(1057,-1)</f>
        <v>1050</v>
      </c>
      <c r="E70" s="63">
        <f t="shared" si="2"/>
        <v>3470</v>
      </c>
    </row>
    <row r="71" spans="1:7" x14ac:dyDescent="0.3">
      <c r="A71" s="2">
        <v>3</v>
      </c>
      <c r="C71" s="38" t="s">
        <v>32</v>
      </c>
      <c r="D71" s="42">
        <f>TRUNC(10790,-1)</f>
        <v>10790</v>
      </c>
      <c r="E71" s="63">
        <f t="shared" si="2"/>
        <v>35660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TRUNC(8936,-1)</f>
        <v>8930</v>
      </c>
      <c r="E73" s="63">
        <f t="shared" si="2"/>
        <v>29520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TRUNC(7498,-1)</f>
        <v>7490</v>
      </c>
      <c r="E89" s="63">
        <f t="shared" si="2"/>
        <v>24760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TRUNC(5282,-1)</f>
        <v>5280</v>
      </c>
      <c r="E91" s="63">
        <f t="shared" si="2"/>
        <v>17450</v>
      </c>
    </row>
    <row r="92" spans="1:7" x14ac:dyDescent="0.3">
      <c r="A92" s="2">
        <v>24</v>
      </c>
      <c r="C92" s="38" t="s">
        <v>38</v>
      </c>
      <c r="D92" s="42">
        <f>TRUNC(8906,-1)</f>
        <v>8900</v>
      </c>
      <c r="E92" s="63">
        <f t="shared" si="2"/>
        <v>29420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TRUNC(20296+70653+257,-1)</f>
        <v>91200</v>
      </c>
      <c r="E94" s="64">
        <f t="shared" si="2"/>
        <v>301480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147410</v>
      </c>
      <c r="E95" s="39">
        <f>SUM(E69:E94)</f>
        <v>487280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TRUNC(9167,-1)</f>
        <v>9160</v>
      </c>
      <c r="E98" s="62">
        <f t="shared" ref="E98:E118" si="3">TRUNC(+D98*3.3058,-1)</f>
        <v>30280</v>
      </c>
    </row>
    <row r="99" spans="1:7" x14ac:dyDescent="0.3">
      <c r="A99" s="2">
        <v>2</v>
      </c>
      <c r="C99" s="38" t="s">
        <v>40</v>
      </c>
      <c r="D99" s="42">
        <f>TRUNC(5891,-1)</f>
        <v>5890</v>
      </c>
      <c r="E99" s="63">
        <f t="shared" si="3"/>
        <v>19470</v>
      </c>
    </row>
    <row r="100" spans="1:7" x14ac:dyDescent="0.3">
      <c r="A100" s="2">
        <v>3</v>
      </c>
      <c r="C100" s="38" t="s">
        <v>41</v>
      </c>
      <c r="D100" s="42">
        <f>TRUNC(35609,-1)</f>
        <v>35600</v>
      </c>
      <c r="E100" s="63">
        <f t="shared" si="3"/>
        <v>117680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TRUNC(17864,-1)</f>
        <v>17860</v>
      </c>
      <c r="E102" s="63">
        <f t="shared" si="3"/>
        <v>59040</v>
      </c>
    </row>
    <row r="103" spans="1:7" x14ac:dyDescent="0.3">
      <c r="A103" s="2">
        <v>6</v>
      </c>
      <c r="C103" s="38" t="s">
        <v>44</v>
      </c>
      <c r="D103" s="42">
        <f>TRUNC(6740,-1)</f>
        <v>6740</v>
      </c>
      <c r="E103" s="63">
        <f t="shared" si="3"/>
        <v>22280</v>
      </c>
    </row>
    <row r="104" spans="1:7" x14ac:dyDescent="0.3">
      <c r="A104" s="2">
        <v>7</v>
      </c>
      <c r="C104" s="38" t="s">
        <v>45</v>
      </c>
      <c r="D104" s="42">
        <f>TRUNC(4646,-1)</f>
        <v>4640</v>
      </c>
      <c r="E104" s="63">
        <f t="shared" si="3"/>
        <v>15330</v>
      </c>
    </row>
    <row r="105" spans="1:7" x14ac:dyDescent="0.3">
      <c r="A105" s="2">
        <v>8</v>
      </c>
      <c r="C105" s="38" t="s">
        <v>46</v>
      </c>
      <c r="D105" s="42">
        <f>TRUNC(6767,-1)</f>
        <v>6760</v>
      </c>
      <c r="E105" s="63">
        <f t="shared" si="3"/>
        <v>22340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TRUNC(5540,-1)</f>
        <v>5540</v>
      </c>
      <c r="E114" s="63">
        <f t="shared" si="3"/>
        <v>18310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TRUNC(5349,-1)</f>
        <v>5340</v>
      </c>
      <c r="E116" s="63">
        <f t="shared" si="3"/>
        <v>17650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TRUNC(85277,-1)</f>
        <v>85270</v>
      </c>
      <c r="E117" s="63">
        <f t="shared" si="3"/>
        <v>281880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182800</v>
      </c>
      <c r="E119" s="39">
        <f>SUM(E98:E118)</f>
        <v>604260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TRUNC(4084,-1)</f>
        <v>4080</v>
      </c>
      <c r="E122" s="62">
        <f t="shared" ref="E122:E132" si="4">TRUNC(+D122*3.3058,-1)</f>
        <v>13480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TRUNC(2015,-1)</f>
        <v>2010</v>
      </c>
      <c r="E124" s="63">
        <f t="shared" si="4"/>
        <v>6640</v>
      </c>
    </row>
    <row r="125" spans="1:7" x14ac:dyDescent="0.3">
      <c r="A125" s="2">
        <v>4</v>
      </c>
      <c r="C125" s="38" t="s">
        <v>138</v>
      </c>
      <c r="D125" s="42">
        <f>TRUNC(10103,-1)</f>
        <v>10100</v>
      </c>
      <c r="E125" s="63">
        <f t="shared" si="4"/>
        <v>33380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TRUNC(6772,-1)</f>
        <v>6770</v>
      </c>
      <c r="E128" s="63">
        <f t="shared" si="4"/>
        <v>22380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TRUNC(25272,-1)</f>
        <v>25270</v>
      </c>
      <c r="E130" s="63">
        <f t="shared" si="4"/>
        <v>83530</v>
      </c>
    </row>
    <row r="131" spans="1:7" x14ac:dyDescent="0.3">
      <c r="A131" s="2">
        <v>10</v>
      </c>
      <c r="C131" s="38" t="s">
        <v>148</v>
      </c>
      <c r="D131" s="42">
        <f>TRUNC(74618,-1)</f>
        <v>74610</v>
      </c>
      <c r="E131" s="63">
        <f t="shared" si="4"/>
        <v>246640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122840</v>
      </c>
      <c r="E133" s="39">
        <f>SUM(E122:E132)</f>
        <v>406050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TRUNC(334+4138,-1)</f>
        <v>4470</v>
      </c>
      <c r="E137" s="63">
        <f t="shared" si="5"/>
        <v>14770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TRUNC(3195,-1)</f>
        <v>3190</v>
      </c>
      <c r="E139" s="63">
        <f t="shared" si="5"/>
        <v>10540</v>
      </c>
    </row>
    <row r="140" spans="1:7" x14ac:dyDescent="0.3">
      <c r="A140" s="2">
        <v>5</v>
      </c>
      <c r="C140" s="38" t="s">
        <v>57</v>
      </c>
      <c r="D140" s="42">
        <f>TRUNC(2949,-1)</f>
        <v>2940</v>
      </c>
      <c r="E140" s="63">
        <f t="shared" si="5"/>
        <v>9710</v>
      </c>
    </row>
    <row r="141" spans="1:7" x14ac:dyDescent="0.3">
      <c r="A141" s="2">
        <v>6</v>
      </c>
      <c r="C141" s="38" t="s">
        <v>59</v>
      </c>
      <c r="D141" s="42">
        <f>TRUNC(6781,-1)</f>
        <v>6780</v>
      </c>
      <c r="E141" s="63">
        <f t="shared" si="5"/>
        <v>22410</v>
      </c>
    </row>
    <row r="142" spans="1:7" x14ac:dyDescent="0.3">
      <c r="A142" s="2">
        <v>7</v>
      </c>
      <c r="C142" s="38" t="s">
        <v>58</v>
      </c>
      <c r="D142" s="42">
        <f>TRUNC(5116,-1)</f>
        <v>5110</v>
      </c>
      <c r="E142" s="63">
        <f t="shared" si="5"/>
        <v>16890</v>
      </c>
    </row>
    <row r="143" spans="1:7" x14ac:dyDescent="0.3">
      <c r="A143" s="2">
        <v>8</v>
      </c>
      <c r="C143" s="38" t="s">
        <v>62</v>
      </c>
      <c r="D143" s="42">
        <f>TRUNC(10975,-1)</f>
        <v>10970</v>
      </c>
      <c r="E143" s="63">
        <f t="shared" si="5"/>
        <v>36260</v>
      </c>
    </row>
    <row r="144" spans="1:7" x14ac:dyDescent="0.3">
      <c r="A144" s="2">
        <v>9</v>
      </c>
      <c r="C144" s="38" t="s">
        <v>63</v>
      </c>
      <c r="D144" s="42">
        <f>TRUNC(21935,-1)</f>
        <v>21930</v>
      </c>
      <c r="E144" s="63">
        <f t="shared" si="5"/>
        <v>72490</v>
      </c>
    </row>
    <row r="145" spans="1:7" ht="17.25" thickBot="1" x14ac:dyDescent="0.35">
      <c r="A145" s="2">
        <v>10</v>
      </c>
      <c r="C145" s="38" t="s">
        <v>148</v>
      </c>
      <c r="D145" s="43">
        <f>TRUNC(1189,-1)</f>
        <v>1180</v>
      </c>
      <c r="E145" s="64">
        <f t="shared" si="5"/>
        <v>3900</v>
      </c>
    </row>
    <row r="146" spans="1:7" x14ac:dyDescent="0.3">
      <c r="A146" s="2">
        <v>11</v>
      </c>
      <c r="C146" s="27" t="s">
        <v>112</v>
      </c>
      <c r="D146" s="39">
        <f>SUM(D136:D145)</f>
        <v>56570</v>
      </c>
      <c r="E146" s="39">
        <f>SUM(E136:E145)</f>
        <v>186970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TRUNC(9825+2494,-1)</f>
        <v>12310</v>
      </c>
      <c r="E149" s="62">
        <f>TRUNC(+D149*3.3058,-1)</f>
        <v>40690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TRUNC(16914,-1)</f>
        <v>16910</v>
      </c>
      <c r="E150" s="63">
        <f>TRUNC(+D150*3.3058,-1)</f>
        <v>55900</v>
      </c>
    </row>
    <row r="151" spans="1:7" x14ac:dyDescent="0.3">
      <c r="A151" s="2">
        <v>3</v>
      </c>
      <c r="C151" s="38" t="s">
        <v>50</v>
      </c>
      <c r="D151" s="42">
        <f>TRUNC(6151,-1)</f>
        <v>6150</v>
      </c>
      <c r="E151" s="63">
        <f>TRUNC(+D151*3.3058,-1)</f>
        <v>20330</v>
      </c>
    </row>
    <row r="152" spans="1:7" x14ac:dyDescent="0.3">
      <c r="A152" s="2">
        <v>4</v>
      </c>
      <c r="C152" s="38" t="s">
        <v>47</v>
      </c>
      <c r="D152" s="42">
        <f>TRUNC(1854+6523+1016,-1)</f>
        <v>9390</v>
      </c>
      <c r="E152" s="63">
        <f>TRUNC(+D152*3.3058,-1)</f>
        <v>31040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44760</v>
      </c>
      <c r="E154" s="39">
        <f>SUM(E149:E153)</f>
        <v>147960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TRUNC(18008,-1)</f>
        <v>18000</v>
      </c>
      <c r="E157" s="62">
        <f>TRUNC(+D157*3.3058,-1)</f>
        <v>59500</v>
      </c>
    </row>
    <row r="158" spans="1:7" x14ac:dyDescent="0.3">
      <c r="A158" s="2">
        <v>2</v>
      </c>
      <c r="C158" s="38" t="s">
        <v>52</v>
      </c>
      <c r="D158" s="42">
        <f>TRUNC(2811,-1)</f>
        <v>2810</v>
      </c>
      <c r="E158" s="63">
        <f>TRUNC(+D158*3.3058,-1)</f>
        <v>9280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TRUNC(9609+2,-1)</f>
        <v>9610</v>
      </c>
      <c r="E159" s="63">
        <f>TRUNC(+D159*3.3058,-1)</f>
        <v>31760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30420</v>
      </c>
      <c r="E161" s="39">
        <f>SUM(E157:E160)</f>
        <v>100540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2020-12-08T02:23:18Z</dcterms:modified>
</cp:coreProperties>
</file>