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5" i="4"/>
  <c r="D144" i="4"/>
  <c r="D143" i="4"/>
  <c r="D141" i="4"/>
  <c r="D137" i="4"/>
  <c r="D132" i="4"/>
  <c r="D131" i="4"/>
  <c r="D130" i="4"/>
  <c r="D128" i="4"/>
  <c r="D127" i="4"/>
  <c r="D125" i="4"/>
  <c r="D124" i="4"/>
  <c r="D122" i="4"/>
  <c r="D118" i="4"/>
  <c r="D116" i="4"/>
  <c r="D105" i="4"/>
  <c r="D104" i="4"/>
  <c r="D103" i="4"/>
  <c r="D102" i="4"/>
  <c r="D100" i="4"/>
  <c r="D99" i="4"/>
  <c r="D98" i="4"/>
  <c r="D93" i="4"/>
  <c r="D92" i="4"/>
  <c r="D91" i="4"/>
  <c r="D89" i="4"/>
  <c r="D73" i="4"/>
  <c r="D65" i="4"/>
  <c r="D63" i="4"/>
  <c r="D59" i="4"/>
  <c r="D58" i="4"/>
  <c r="D53" i="4"/>
  <c r="D52" i="4"/>
  <c r="D50" i="4"/>
  <c r="D49" i="4"/>
  <c r="D48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<sst xmlns="http://schemas.openxmlformats.org/spreadsheetml/2006/main" count="392" uniqueCount="266">
  <si>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</si>
  <si>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</si>
  <si>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</si>
  <si>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</si>
  <si>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</si>
  <si>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</si>
  <si>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</si>
  <si>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</si>
  <si>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</si>
  <si>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</si>
  <si>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</si>
  <si>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</si>
  <si>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</si>
  <si>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</si>
  <si>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</si>
  <si>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</si>
  <si>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</si>
  <si>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</si>
  <si>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</si>
  <si>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</si>
  <si>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</si>
  <si>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</si>
  <si>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</si>
  <si>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</si>
  <si>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</si>
  <si>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</si>
  <si>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</si>
  <si>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</si>
  <si>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</si>
  <si>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</si>
  <si>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</si>
  <si>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</si>
  <si>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</si>
  <si>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</si>
  <si>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</si>
  <si>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</si>
  <si>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</si>
  <si>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</si>
  <si>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</si>
  <si>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</si>
  <si>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</si>
  <si>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</si>
  <si>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</si>
  <si>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</si>
  <si>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</si>
  <si>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</si>
  <si>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</si>
  <si>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</si>
  <si>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</si>
  <si>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</si>
  <si>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</si>
  <si>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</si>
  <si>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</si>
  <si>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</si>
  <si>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</si>
  <si>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</si>
  <si>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</si>
  <si>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</si>
  <si>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</si>
  <si>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</si>
  <si>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</si>
  <si>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</si>
  <si>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</si>
  <si>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</si>
  <si>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</si>
  <si>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</si>
  <si>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</si>
  <si>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</si>
  <si>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</si>
  <si>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</si>
  <si>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</si>
  <si>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</si>
  <si>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</si>
  <si>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</si>
  <si>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</si>
  <si>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</si>
  <si>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</si>
  <si>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</si>
  <si>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</si>
  <si>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</si>
  <si>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</si>
  <si>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</si>
  <si>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</si>
  <si>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</si>
  <si>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</si>
  <si>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</si>
  <si>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</si>
  <si>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</si>
  <si>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</si>
  <si>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</si>
  <si>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</si>
  <si>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</si>
  <si>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</si>
  <si>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</si>
  <si>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</si>
  <si>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</si>
  <si>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</si>
  <si>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</si>
  <si>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</si>
  <si>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</si>
  <si>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</si>
  <si>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</si>
  <si>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</si>
  <si>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</si>
  <si>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</si>
  <si>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</si>
  <si>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</si>
  <si>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</si>
  <si>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</si>
  <si>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</si>
  <si>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</si>
  <si>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</si>
  <si>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</si>
  <si>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</si>
  <si>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</si>
  <si>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</si>
  <si>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</si>
  <si>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</si>
  <si>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</si>
  <si>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</si>
  <si>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</si>
  <si>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</si>
  <si>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</si>
  <si>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</si>
  <si>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</si>
  <si>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</si>
  <si>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</si>
  <si>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</si>
  <si>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</si>
  <si>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</si>
  <si>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</si>
  <si>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</si>
  <si>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</si>
  <si>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</si>
  <si>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</si>
  <si>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</si>
  <si>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</si>
  <si>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</si>
  <si>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</si>
  <si>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</si>
  <si>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</si>
  <si>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</si>
  <si>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</si>
  <si>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</si>
  <si>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</si>
  <si>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</si>
  <si>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</si>
  <si>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</si>
  <si>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</si>
  <si>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</si>
  <si>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</si>
  <si>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</si>
  <si>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</si>
  <si>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</si>
  <si>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</si>
  <si>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</si>
  <si>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</si>
  <si>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</si>
  <si>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</si>
  <si>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</si>
  <si>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</si>
  <si>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</si>
  <si>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</si>
  <si>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</si>
  <si>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</si>
  <si>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</si>
  <si>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</si>
  <si>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</si>
  <si>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</si>
  <si>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</si>
  <si>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</si>
  <si>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</si>
  <si>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</si>
  <si>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</si>
  <si>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</si>
  <si>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</si>
  <si>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</si>
  <si>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</si>
  <si>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</si>
  <si>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</si>
  <si>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</si>
  <si>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</si>
  <si>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</si>
  <si>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</si>
  <si>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</si>
  <si>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</si>
  <si>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</si>
  <si>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</si>
  <si>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</si>
  <si>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</si>
  <si>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</si>
  <si>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</si>
  <si>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</si>
  <si>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</si>
  <si>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</si>
  <si>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</si>
  <si>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</si>
  <si>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</si>
  <si>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</si>
  <si>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</si>
  <si>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</si>
  <si>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</si>
  <si>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</si>
  <si>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</si>
  <si>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</si>
  <si>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</si>
  <si>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</si>
  <si>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</si>
  <si>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</si>
  <si>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</si>
  <si>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</si>
  <si>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</si>
  <si>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</si>
  <si>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</si>
  <si>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</si>
  <si>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</si>
  <si>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</si>
  <si>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</si>
  <si>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</si>
  <si>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</si>
  <si>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</si>
  <si>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</si>
  <si>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</si>
  <si>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</si>
  <si>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</si>
  <si>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</si>
  <si>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</si>
  <si>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</si>
  <si>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</si>
  <si>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</si>
  <si>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</si>
  <si>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</si>
  <si>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</si>
  <si>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</si>
  <si>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</si>
  <si>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</si>
  <si>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</si>
  <si>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</si>
  <si>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</si>
  <si>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</si>
  <si>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</si>
  <si>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</si>
  <si>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</si>
  <si>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</si>
  <si>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</si>
  <si>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</si>
  <si>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</si>
  <si>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</si>
  <si>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</si>
  <si>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</si>
  <si>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</si>
  <si>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</si>
  <si>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</si>
  <si>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</si>
  <si>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</si>
  <si>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</si>
  <si>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</si>
  <si>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교육연구</t>
  </si>
  <si>
    <t>국가생명연구자원정보센터 건설공사</t>
    <phoneticPr fontId="2" type="noConversion"/>
  </si>
  <si>
    <t>대전시</t>
  </si>
  <si>
    <t>기초공사, 폐기물처리비, 골재비및운반비, 기타공사</t>
    <phoneticPr fontId="2" type="noConversion"/>
  </si>
  <si>
    <t>옥외소화배관공사, 펌프실배관공사</t>
    <phoneticPr fontId="2" type="noConversion"/>
  </si>
  <si>
    <t>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</si>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</sst>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6206.6</v>
      </c>
      <c r="D7" s="36">
        <f>+C7/3.3058</f>
        <v>1877.4880513037692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793060</v>
      </c>
      <c r="E25" s="59">
        <f t="shared" si="0"/>
        <v>2621690</v>
      </c>
    </row>
    <row r="26" spans="1:5" x14ac:dyDescent="0.3">
      <c r="B26" s="2">
        <v>3</v>
      </c>
      <c r="C26" s="35" t="s">
        <v>95</v>
      </c>
      <c r="D26" s="45">
        <f>+D66</f>
        <v>90770</v>
      </c>
      <c r="E26" s="59">
        <f t="shared" si="0"/>
        <v>300060</v>
      </c>
    </row>
    <row r="27" spans="1:5" x14ac:dyDescent="0.3">
      <c r="B27" s="2">
        <v>4</v>
      </c>
      <c r="C27" s="35" t="s">
        <v>96</v>
      </c>
      <c r="D27" s="45">
        <f>+D95</f>
        <v>479780</v>
      </c>
      <c r="E27" s="59">
        <f t="shared" si="0"/>
        <v>1586050</v>
      </c>
    </row>
    <row r="28" spans="1:5" x14ac:dyDescent="0.3">
      <c r="B28" s="2">
        <v>5</v>
      </c>
      <c r="C28" s="35" t="s">
        <v>97</v>
      </c>
      <c r="D28" s="45">
        <f>+D119</f>
        <v>265410</v>
      </c>
      <c r="E28" s="59">
        <f t="shared" si="0"/>
        <v>877390</v>
      </c>
    </row>
    <row r="29" spans="1:5" x14ac:dyDescent="0.3">
      <c r="B29" s="2">
        <v>6</v>
      </c>
      <c r="C29" s="35" t="s">
        <v>98</v>
      </c>
      <c r="D29" s="45">
        <f>+D133</f>
        <v>111770</v>
      </c>
      <c r="E29" s="59">
        <f t="shared" si="0"/>
        <v>369480</v>
      </c>
    </row>
    <row r="30" spans="1:5" x14ac:dyDescent="0.3">
      <c r="B30" s="2">
        <v>7</v>
      </c>
      <c r="C30" s="35" t="s">
        <v>99</v>
      </c>
      <c r="D30" s="45">
        <f>+D146</f>
        <v>67680</v>
      </c>
      <c r="E30" s="59">
        <f t="shared" si="0"/>
        <v>223730</v>
      </c>
    </row>
    <row r="31" spans="1:5" x14ac:dyDescent="0.3">
      <c r="B31" s="2">
        <v>8</v>
      </c>
      <c r="C31" s="35" t="s">
        <v>100</v>
      </c>
      <c r="D31" s="45">
        <f>+D154</f>
        <v>42450</v>
      </c>
      <c r="E31" s="59">
        <f t="shared" si="0"/>
        <v>140330</v>
      </c>
    </row>
    <row r="32" spans="1:5" x14ac:dyDescent="0.3">
      <c r="B32" s="2">
        <v>9</v>
      </c>
      <c r="C32" s="35" t="s">
        <v>101</v>
      </c>
      <c r="D32" s="45">
        <f>+D161</f>
        <v>23280</v>
      </c>
      <c r="E32" s="59">
        <f t="shared" si="0"/>
        <v>76950</v>
      </c>
    </row>
    <row r="33" spans="1:7" x14ac:dyDescent="0.3">
      <c r="B33" s="2">
        <v>10</v>
      </c>
      <c r="C33" s="35" t="s">
        <v>155</v>
      </c>
      <c r="D33" s="53">
        <f>TRUNC(SUM(D24:D32)*0.275,-1)</f>
        <v>515400</v>
      </c>
      <c r="E33" s="60">
        <f t="shared" si="0"/>
        <v>1703800</v>
      </c>
    </row>
    <row r="34" spans="1:7" x14ac:dyDescent="0.3">
      <c r="C34" s="35" t="s">
        <v>112</v>
      </c>
      <c r="D34" s="44">
        <f>SUM(D24:D33)</f>
        <v>2389600</v>
      </c>
      <c r="E34" s="44">
        <f>SUM(E24:E33)</f>
        <v>7899480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TRUNC(66211,-1)</f>
        <v>66210</v>
      </c>
      <c r="E40" s="62">
        <f t="shared" ref="E40:E59" si="1">TRUNC(+D40*3.3058,-1)</f>
        <v>218870</v>
      </c>
    </row>
    <row r="41" spans="1:7" x14ac:dyDescent="0.3">
      <c r="A41" s="2">
        <v>2</v>
      </c>
      <c r="C41" s="38" t="s">
        <v>13</v>
      </c>
      <c r="D41" s="42">
        <f>TRUNC(133986,-1)</f>
        <v>133980</v>
      </c>
      <c r="E41" s="63">
        <f t="shared" si="1"/>
        <v>442910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TRUNC(29937,-1)</f>
        <v>29930</v>
      </c>
      <c r="E43" s="63">
        <f t="shared" si="1"/>
        <v>98940</v>
      </c>
    </row>
    <row r="44" spans="1:7" x14ac:dyDescent="0.3">
      <c r="A44" s="2">
        <v>5</v>
      </c>
      <c r="C44" s="38" t="s">
        <v>17</v>
      </c>
      <c r="D44" s="42">
        <f>TRUNC(33542,-1)</f>
        <v>33540</v>
      </c>
      <c r="E44" s="63">
        <f t="shared" si="1"/>
        <v>110870</v>
      </c>
    </row>
    <row r="45" spans="1:7" x14ac:dyDescent="0.3">
      <c r="A45" s="2">
        <v>6</v>
      </c>
      <c r="C45" s="38" t="s">
        <v>18</v>
      </c>
      <c r="D45" s="42">
        <f>TRUNC(6632,-1)</f>
        <v>6630</v>
      </c>
      <c r="E45" s="63">
        <f t="shared" si="1"/>
        <v>21910</v>
      </c>
    </row>
    <row r="46" spans="1:7" x14ac:dyDescent="0.3">
      <c r="A46" s="2">
        <v>7</v>
      </c>
      <c r="C46" s="38" t="s">
        <v>19</v>
      </c>
      <c r="D46" s="42">
        <v>25540</v>
      </c>
      <c r="E46" s="63">
        <f t="shared" si="1"/>
        <v>84430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TRUNC(29129,-1)</f>
        <v>29120</v>
      </c>
      <c r="E48" s="63">
        <f t="shared" si="1"/>
        <v>96260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TRUNC(22721,-1)</f>
        <v>22720</v>
      </c>
      <c r="E49" s="63">
        <f t="shared" si="1"/>
        <v>75100</v>
      </c>
    </row>
    <row r="50" spans="1:7" x14ac:dyDescent="0.3">
      <c r="A50" s="2">
        <v>11</v>
      </c>
      <c r="C50" s="38" t="s">
        <v>156</v>
      </c>
      <c r="D50" s="42">
        <f>TRUNC(27278,-1)</f>
        <v>27270</v>
      </c>
      <c r="E50" s="63">
        <f t="shared" si="1"/>
        <v>90140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TRUNC(10353,-1)</f>
        <v>10350</v>
      </c>
      <c r="E52" s="63">
        <f t="shared" si="1"/>
        <v>34210</v>
      </c>
    </row>
    <row r="53" spans="1:7" x14ac:dyDescent="0.3">
      <c r="A53" s="2">
        <v>14</v>
      </c>
      <c r="C53" s="38" t="s">
        <v>25</v>
      </c>
      <c r="D53" s="42">
        <f>TRUNC(88962,-1)</f>
        <v>88960</v>
      </c>
      <c r="E53" s="63">
        <f t="shared" si="1"/>
        <v>294080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TRUNC(8435+54+5092+1098,-1)</f>
        <v>14670</v>
      </c>
      <c r="E58" s="63">
        <f t="shared" si="1"/>
        <v>48490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TRUNC(304142,-1)</f>
        <v>304140</v>
      </c>
      <c r="E59" s="64">
        <f t="shared" si="1"/>
        <v>1005420</v>
      </c>
    </row>
    <row r="60" spans="1:7" x14ac:dyDescent="0.3">
      <c r="A60" s="2">
        <v>21</v>
      </c>
      <c r="C60" s="27" t="s">
        <v>112</v>
      </c>
      <c r="D60" s="39">
        <f>SUM(D40:D59)</f>
        <v>793060</v>
      </c>
      <c r="E60" s="39">
        <f>SUM(E40:E59)</f>
        <v>2621630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TRUNC(47889,-1)</f>
        <v>47880</v>
      </c>
      <c r="E63" s="62">
        <f>TRUNC(+D63*3.3058,-1)</f>
        <v>158280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TRUNC(42895,-1)</f>
        <v>42890</v>
      </c>
      <c r="E65" s="64">
        <f>TRUNC(+D65*3.3058,-1)</f>
        <v>141780</v>
      </c>
    </row>
    <row r="66" spans="1:7" x14ac:dyDescent="0.3">
      <c r="A66" s="2">
        <v>4</v>
      </c>
      <c r="C66" s="27" t="s">
        <v>112</v>
      </c>
      <c r="D66" s="39">
        <f>SUM(D63:D65)</f>
        <v>90770</v>
      </c>
      <c r="E66" s="65">
        <f>SUM(E63:E65)</f>
        <v>300060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TRUNC(16856,-1)</f>
        <v>16850</v>
      </c>
      <c r="E73" s="63">
        <f t="shared" si="2"/>
        <v>55700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TRUNC(12863,-1)</f>
        <v>12860</v>
      </c>
      <c r="E89" s="63">
        <f t="shared" si="2"/>
        <v>42510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TRUNC(30859,-1)</f>
        <v>30850</v>
      </c>
      <c r="E91" s="63">
        <f t="shared" si="2"/>
        <v>101980</v>
      </c>
    </row>
    <row r="92" spans="1:7" x14ac:dyDescent="0.3">
      <c r="A92" s="2">
        <v>24</v>
      </c>
      <c r="C92" s="38" t="s">
        <v>38</v>
      </c>
      <c r="D92" s="42">
        <f>TRUNC(3733,-1)</f>
        <v>3730</v>
      </c>
      <c r="E92" s="63">
        <f t="shared" si="2"/>
        <v>12330</v>
      </c>
    </row>
    <row r="93" spans="1:7" x14ac:dyDescent="0.3">
      <c r="A93" s="2">
        <v>25</v>
      </c>
      <c r="C93" s="38" t="s">
        <v>149</v>
      </c>
      <c r="D93" s="42">
        <f>TRUNC(412902,-1)</f>
        <v>412900</v>
      </c>
      <c r="E93" s="63">
        <f t="shared" si="2"/>
        <v>1364960</v>
      </c>
    </row>
    <row r="94" spans="1:7" ht="17.25" thickBot="1" x14ac:dyDescent="0.35">
      <c r="A94" s="2">
        <v>26</v>
      </c>
      <c r="C94" s="38" t="s">
        <v>47</v>
      </c>
      <c r="D94" s="43">
        <v>2590</v>
      </c>
      <c r="E94" s="64">
        <f t="shared" si="2"/>
        <v>8560</v>
      </c>
    </row>
    <row r="95" spans="1:7" x14ac:dyDescent="0.3">
      <c r="A95" s="2">
        <v>27</v>
      </c>
      <c r="C95" s="27" t="s">
        <v>112</v>
      </c>
      <c r="D95" s="39">
        <f>SUM(D69:D94)</f>
        <v>479780</v>
      </c>
      <c r="E95" s="39">
        <f>SUM(E69:E94)</f>
        <v>1586040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TRUNC(18291,-1)</f>
        <v>18290</v>
      </c>
      <c r="E98" s="62">
        <f t="shared" ref="E98:E118" si="3">TRUNC(+D98*3.3058,-1)</f>
        <v>60460</v>
      </c>
    </row>
    <row r="99" spans="1:7" x14ac:dyDescent="0.3">
      <c r="A99" s="2">
        <v>2</v>
      </c>
      <c r="C99" s="38" t="s">
        <v>40</v>
      </c>
      <c r="D99" s="42">
        <f>TRUNC(9339,-1)</f>
        <v>9330</v>
      </c>
      <c r="E99" s="63">
        <f t="shared" si="3"/>
        <v>30840</v>
      </c>
    </row>
    <row r="100" spans="1:7" x14ac:dyDescent="0.3">
      <c r="A100" s="2">
        <v>3</v>
      </c>
      <c r="C100" s="38" t="s">
        <v>41</v>
      </c>
      <c r="D100" s="42">
        <f>TRUNC(31898,-1)</f>
        <v>31890</v>
      </c>
      <c r="E100" s="63">
        <f t="shared" si="3"/>
        <v>105420</v>
      </c>
    </row>
    <row r="101" spans="1:7" x14ac:dyDescent="0.3">
      <c r="A101" s="2">
        <v>4</v>
      </c>
      <c r="C101" s="38" t="s">
        <v>42</v>
      </c>
      <c r="D101" s="42">
        <v>520</v>
      </c>
      <c r="E101" s="63">
        <f t="shared" si="3"/>
        <v>1710</v>
      </c>
    </row>
    <row r="102" spans="1:7" x14ac:dyDescent="0.3">
      <c r="A102" s="2">
        <v>5</v>
      </c>
      <c r="C102" s="38" t="s">
        <v>43</v>
      </c>
      <c r="D102" s="42">
        <f>TRUNC(13014,-1)</f>
        <v>13010</v>
      </c>
      <c r="E102" s="63">
        <f t="shared" si="3"/>
        <v>43000</v>
      </c>
    </row>
    <row r="103" spans="1:7" x14ac:dyDescent="0.3">
      <c r="A103" s="2">
        <v>6</v>
      </c>
      <c r="C103" s="38" t="s">
        <v>44</v>
      </c>
      <c r="D103" s="42">
        <f>TRUNC(1329,-1)</f>
        <v>1320</v>
      </c>
      <c r="E103" s="63">
        <f t="shared" si="3"/>
        <v>4360</v>
      </c>
    </row>
    <row r="104" spans="1:7" x14ac:dyDescent="0.3">
      <c r="A104" s="2">
        <v>7</v>
      </c>
      <c r="C104" s="38" t="s">
        <v>45</v>
      </c>
      <c r="D104" s="42">
        <f>TRUNC(3825,-1)</f>
        <v>3820</v>
      </c>
      <c r="E104" s="63">
        <f t="shared" si="3"/>
        <v>12620</v>
      </c>
    </row>
    <row r="105" spans="1:7" x14ac:dyDescent="0.3">
      <c r="A105" s="2">
        <v>8</v>
      </c>
      <c r="C105" s="38" t="s">
        <v>46</v>
      </c>
      <c r="D105" s="42">
        <f>TRUNC(6402,-1)</f>
        <v>6400</v>
      </c>
      <c r="E105" s="63">
        <f t="shared" si="3"/>
        <v>21150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2580</v>
      </c>
      <c r="E114" s="63">
        <f t="shared" si="3"/>
        <v>8520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TRUNC(25003,-1)</f>
        <v>25000</v>
      </c>
      <c r="E116" s="63">
        <f t="shared" si="3"/>
        <v>82640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v>149190</v>
      </c>
      <c r="E117" s="63">
        <f t="shared" si="3"/>
        <v>493190</v>
      </c>
    </row>
    <row r="118" spans="1:7" ht="17.25" thickBot="1" x14ac:dyDescent="0.35">
      <c r="A118" s="2">
        <v>21</v>
      </c>
      <c r="C118" s="38" t="s">
        <v>47</v>
      </c>
      <c r="D118" s="43">
        <f>TRUNC(4064,-1)</f>
        <v>4060</v>
      </c>
      <c r="E118" s="64">
        <f t="shared" si="3"/>
        <v>13420</v>
      </c>
    </row>
    <row r="119" spans="1:7" x14ac:dyDescent="0.3">
      <c r="A119" s="2">
        <v>22</v>
      </c>
      <c r="C119" s="27" t="s">
        <v>112</v>
      </c>
      <c r="D119" s="39">
        <f>SUM(D98:D118)</f>
        <v>265410</v>
      </c>
      <c r="E119" s="39">
        <f>SUM(E98:E118)</f>
        <v>877330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TRUNC(1426,-1)</f>
        <v>1420</v>
      </c>
      <c r="E122" s="62">
        <f t="shared" ref="E122:E132" si="4">TRUNC(+D122*3.3058,-1)</f>
        <v>4690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TRUNC(1747,-1)</f>
        <v>1740</v>
      </c>
      <c r="E124" s="63">
        <f t="shared" si="4"/>
        <v>5750</v>
      </c>
    </row>
    <row r="125" spans="1:7" x14ac:dyDescent="0.3">
      <c r="A125" s="2">
        <v>4</v>
      </c>
      <c r="C125" s="38" t="s">
        <v>138</v>
      </c>
      <c r="D125" s="42">
        <f>TRUNC(5572,-1)</f>
        <v>5570</v>
      </c>
      <c r="E125" s="63">
        <f t="shared" si="4"/>
        <v>18410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TRUNC(3698,-1)</f>
        <v>3690</v>
      </c>
      <c r="E127" s="63">
        <f t="shared" si="4"/>
        <v>12190</v>
      </c>
    </row>
    <row r="128" spans="1:7" x14ac:dyDescent="0.3">
      <c r="A128" s="2">
        <v>7</v>
      </c>
      <c r="C128" s="38" t="s">
        <v>46</v>
      </c>
      <c r="D128" s="42">
        <f>TRUNC(5695,-1)</f>
        <v>5690</v>
      </c>
      <c r="E128" s="63">
        <f t="shared" si="4"/>
        <v>18810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TRUNC(43111,-1)</f>
        <v>43110</v>
      </c>
      <c r="E130" s="63">
        <f t="shared" si="4"/>
        <v>142510</v>
      </c>
    </row>
    <row r="131" spans="1:7" x14ac:dyDescent="0.3">
      <c r="A131" s="2">
        <v>10</v>
      </c>
      <c r="C131" s="38" t="s">
        <v>149</v>
      </c>
      <c r="D131" s="42">
        <f>TRUNC(43944,-1)</f>
        <v>43940</v>
      </c>
      <c r="E131" s="63">
        <f t="shared" si="4"/>
        <v>145250</v>
      </c>
    </row>
    <row r="132" spans="1:7" ht="18" thickBot="1" x14ac:dyDescent="0.35">
      <c r="A132" s="2">
        <v>11</v>
      </c>
      <c r="C132" s="38" t="s">
        <v>47</v>
      </c>
      <c r="D132" s="43">
        <f>TRUNC(1033+5585,-1)</f>
        <v>6610</v>
      </c>
      <c r="E132" s="64">
        <f t="shared" si="4"/>
        <v>21850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111770</v>
      </c>
      <c r="E133" s="39">
        <f>SUM(E122:E132)</f>
        <v>369460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TRUNC(1177+1060,-1)</f>
        <v>2230</v>
      </c>
      <c r="E137" s="63">
        <f t="shared" si="5"/>
        <v>7370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TRUNC(6144,-1)</f>
        <v>6140</v>
      </c>
      <c r="E141" s="63">
        <f t="shared" si="5"/>
        <v>20290</v>
      </c>
    </row>
    <row r="142" spans="1:7" x14ac:dyDescent="0.3">
      <c r="A142" s="2">
        <v>7</v>
      </c>
      <c r="C142" s="38" t="s">
        <v>58</v>
      </c>
      <c r="D142" s="42">
        <v>5560</v>
      </c>
      <c r="E142" s="63">
        <f t="shared" si="5"/>
        <v>18380</v>
      </c>
    </row>
    <row r="143" spans="1:7" x14ac:dyDescent="0.3">
      <c r="A143" s="2">
        <v>8</v>
      </c>
      <c r="C143" s="38" t="s">
        <v>62</v>
      </c>
      <c r="D143" s="42">
        <f>TRUNC(3706,-1)</f>
        <v>3700</v>
      </c>
      <c r="E143" s="63">
        <f t="shared" si="5"/>
        <v>12230</v>
      </c>
    </row>
    <row r="144" spans="1:7" x14ac:dyDescent="0.3">
      <c r="A144" s="2">
        <v>9</v>
      </c>
      <c r="C144" s="38" t="s">
        <v>63</v>
      </c>
      <c r="D144" s="42">
        <f>TRUNC(28596,-1)</f>
        <v>28590</v>
      </c>
      <c r="E144" s="63">
        <f t="shared" si="5"/>
        <v>94510</v>
      </c>
    </row>
    <row r="145" spans="1:7" ht="17.25" thickBot="1" x14ac:dyDescent="0.35">
      <c r="A145" s="2">
        <v>10</v>
      </c>
      <c r="C145" s="38" t="s">
        <v>149</v>
      </c>
      <c r="D145" s="43">
        <f>TRUNC(21461,-1)</f>
        <v>21460</v>
      </c>
      <c r="E145" s="64">
        <f t="shared" si="5"/>
        <v>70940</v>
      </c>
    </row>
    <row r="146" spans="1:7" x14ac:dyDescent="0.3">
      <c r="A146" s="2">
        <v>11</v>
      </c>
      <c r="C146" s="27" t="s">
        <v>112</v>
      </c>
      <c r="D146" s="39">
        <f>SUM(D136:D145)</f>
        <v>67680</v>
      </c>
      <c r="E146" s="39">
        <f>SUM(E136:E145)</f>
        <v>223720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TRUNC(4653+1092,-1)</f>
        <v>5740</v>
      </c>
      <c r="E149" s="62">
        <f>TRUNC(+D149*3.3058,-1)</f>
        <v>18970</v>
      </c>
    </row>
    <row r="150" spans="1:7" x14ac:dyDescent="0.3">
      <c r="A150" s="2">
        <v>2</v>
      </c>
      <c r="C150" s="38" t="s">
        <v>49</v>
      </c>
      <c r="D150" s="42">
        <f>TRUNC(9006,-1)</f>
        <v>9000</v>
      </c>
      <c r="E150" s="63">
        <f>TRUNC(+D150*3.3058,-1)</f>
        <v>29750</v>
      </c>
    </row>
    <row r="151" spans="1:7" x14ac:dyDescent="0.3">
      <c r="A151" s="2">
        <v>3</v>
      </c>
      <c r="C151" s="38" t="s">
        <v>50</v>
      </c>
      <c r="D151" s="42">
        <f>TRUNC(16345,-1)</f>
        <v>16340</v>
      </c>
      <c r="E151" s="63">
        <f>TRUNC(+D151*3.3058,-1)</f>
        <v>54010</v>
      </c>
    </row>
    <row r="152" spans="1:7" x14ac:dyDescent="0.3">
      <c r="A152" s="2">
        <v>4</v>
      </c>
      <c r="C152" s="38" t="s">
        <v>47</v>
      </c>
      <c r="D152" s="42">
        <f>TRUNC(1634+531+295,-1)</f>
        <v>2460</v>
      </c>
      <c r="E152" s="63">
        <f>TRUNC(+D152*3.3058,-1)</f>
        <v>8130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8910</v>
      </c>
      <c r="E153" s="64">
        <f>TRUNC(+D153*3.3058,-1)</f>
        <v>29450</v>
      </c>
    </row>
    <row r="154" spans="1:7" x14ac:dyDescent="0.3">
      <c r="A154" s="2">
        <v>6</v>
      </c>
      <c r="C154" s="27" t="s">
        <v>112</v>
      </c>
      <c r="D154" s="39">
        <f>SUM(D149:D153)</f>
        <v>42450</v>
      </c>
      <c r="E154" s="39">
        <f>SUM(E149:E153)</f>
        <v>140310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TRUNC(11025,-1)</f>
        <v>11020</v>
      </c>
      <c r="E157" s="62">
        <f>TRUNC(+D157*3.3058,-1)</f>
        <v>36420</v>
      </c>
    </row>
    <row r="158" spans="1:7" x14ac:dyDescent="0.3">
      <c r="A158" s="2">
        <v>2</v>
      </c>
      <c r="C158" s="38" t="s">
        <v>52</v>
      </c>
      <c r="D158" s="42">
        <f>TRUNC(3868,-1)</f>
        <v>3860</v>
      </c>
      <c r="E158" s="63">
        <f>TRUNC(+D158*3.3058,-1)</f>
        <v>12760</v>
      </c>
    </row>
    <row r="159" spans="1:7" x14ac:dyDescent="0.3">
      <c r="A159" s="2">
        <v>3</v>
      </c>
      <c r="C159" s="38" t="s">
        <v>47</v>
      </c>
      <c r="D159" s="42">
        <f>TRUNC(7813+596,-1)</f>
        <v>8400</v>
      </c>
      <c r="E159" s="63">
        <f>TRUNC(+D159*3.3058,-1)</f>
        <v>27760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23280</v>
      </c>
      <c r="E161" s="39">
        <f>SUM(E157:E160)</f>
        <v>76940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2020-12-08T01:12:34Z</dcterms:modified>
</cp:coreProperties>
</file>