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8" i="4" l="1"/>
  <c r="D125" i="4"/>
  <c r="D122" i="4"/>
  <c r="D132" i="4"/>
  <c r="D118" i="4"/>
  <c r="D101" i="4"/>
  <c r="D105" i="4"/>
  <c r="D104" i="4"/>
  <c r="D114" i="4"/>
  <c r="D108" i="4"/>
  <c r="D102" i="4"/>
  <c r="D100" i="4"/>
  <c r="D99" i="4"/>
  <c r="D98" i="4"/>
  <c r="D115" i="4"/>
  <c r="D116" i="4"/>
  <c r="D94" i="4"/>
  <c r="D76" i="4"/>
  <c r="D89" i="4"/>
  <c r="D73" i="4"/>
  <c r="D92" i="4"/>
  <c r="D79" i="4"/>
  <c r="D71" i="4"/>
  <c r="D70" i="4"/>
  <c r="D69" i="4"/>
  <c r="D58" i="4"/>
  <c r="D137" i="4"/>
  <c r="D136" i="4"/>
  <c r="D159" i="4"/>
  <c r="D152" i="4"/>
  <c r="D54" i="4"/>
  <c r="D53" i="4"/>
  <c r="D52" i="4"/>
  <c r="D51" i="4"/>
  <c r="D50" i="4"/>
  <c r="D49" i="4"/>
  <c r="D48" i="4"/>
  <c r="D46" i="4"/>
  <c r="D45" i="4"/>
  <c r="D44" i="4"/>
  <c r="D43" i="4"/>
  <c r="D41" i="4"/>
  <c r="D40" i="4"/>
  <c r="D3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19" i="4"/>
  <c r="E95" i="4"/>
  <c r="E146" i="4"/>
  <c r="E154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<sst xmlns="http://schemas.openxmlformats.org/spreadsheetml/2006/main" count="393" uniqueCount="268">
  <si>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</si>
  <si>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</si>
  <si>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</si>
  <si>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</si>
  <si>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</si>
  <si>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</si>
  <si>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</si>
  <si>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</si>
  <si>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</si>
  <si>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</si>
  <si>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</si>
  <si>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</si>
  <si>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</si>
  <si>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</si>
  <si>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</si>
  <si>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</si>
  <si>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</si>
  <si>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</si>
  <si>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</si>
  <si>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</si>
  <si>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</si>
  <si>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</si>
  <si>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</si>
  <si>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</si>
  <si>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</si>
  <si>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</si>
  <si>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</si>
  <si>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</si>
  <si>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</si>
  <si>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</si>
  <si>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</si>
  <si>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</si>
  <si>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</si>
  <si>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</si>
  <si>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</si>
  <si>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</si>
  <si>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</si>
  <si>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</si>
  <si>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</si>
  <si>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</si>
  <si>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</si>
  <si>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</si>
  <si>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</si>
  <si>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</si>
  <si>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</si>
  <si>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</si>
  <si>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</si>
  <si>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</si>
  <si>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</si>
  <si>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</si>
  <si>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</si>
  <si>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</si>
  <si>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</si>
  <si>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</si>
  <si>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</si>
  <si>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</si>
  <si>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</si>
  <si>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</si>
  <si>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</si>
  <si>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</si>
  <si>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</si>
  <si>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</si>
  <si>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</si>
  <si>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</si>
  <si>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</si>
  <si>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</si>
  <si>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</si>
  <si>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</si>
  <si>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</si>
  <si>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</si>
  <si>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</si>
  <si>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</si>
  <si>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</si>
  <si>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</si>
  <si>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</si>
  <si>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</si>
  <si>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</si>
  <si>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</si>
  <si>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</si>
  <si>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</si>
  <si>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</si>
  <si>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</si>
  <si>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</si>
  <si>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</si>
  <si>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</si>
  <si>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</si>
  <si>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</si>
  <si>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</si>
  <si>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</si>
  <si>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</si>
  <si>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</si>
  <si>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</si>
  <si>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</si>
  <si>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</si>
  <si>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</si>
  <si>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</si>
  <si>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</si>
  <si>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</si>
  <si>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</si>
  <si>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</si>
  <si>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</si>
  <si>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</si>
  <si>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</si>
  <si>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</si>
  <si>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</si>
  <si>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</si>
  <si>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</si>
  <si>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</si>
  <si>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</si>
  <si>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</si>
  <si>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</si>
  <si>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</si>
  <si>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</si>
  <si>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</si>
  <si>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</si>
  <si>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</si>
  <si>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</si>
  <si>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</si>
  <si>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</si>
  <si>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</si>
  <si>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</si>
  <si>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</si>
  <si>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</si>
  <si>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</si>
  <si>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</si>
  <si>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</si>
  <si>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</si>
  <si>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</si>
  <si>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</si>
  <si>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</si>
  <si>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</si>
  <si>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</si>
  <si>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</si>
  <si>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</si>
  <si>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</si>
  <si>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</si>
  <si>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</si>
  <si>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</si>
  <si>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</si>
  <si>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</si>
  <si>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</si>
  <si>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</si>
  <si>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</si>
  <si>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</si>
  <si>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</si>
  <si>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</si>
  <si>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</si>
  <si>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</si>
  <si>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</si>
  <si>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</si>
  <si>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</si>
  <si>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</si>
  <si>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</si>
  <si>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</si>
  <si>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</si>
  <si>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</si>
  <si>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</si>
  <si>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</si>
  <si>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</si>
  <si>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</si>
  <si>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</si>
  <si>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</si>
  <si>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</si>
  <si>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</si>
  <si>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</si>
  <si>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</si>
  <si>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</si>
  <si>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</si>
  <si>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</si>
  <si>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</si>
  <si>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</si>
  <si>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</si>
  <si>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</si>
  <si>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</si>
  <si>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</si>
  <si>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</si>
  <si>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</si>
  <si>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</si>
  <si>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</si>
  <si>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</si>
  <si>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</si>
  <si>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</si>
  <si>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</si>
  <si>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</si>
  <si>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</si>
  <si>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</si>
  <si>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</si>
  <si>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</si>
  <si>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</si>
  <si>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</si>
  <si>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</si>
  <si>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</si>
  <si>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</si>
  <si>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</si>
  <si>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</si>
  <si>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</si>
  <si>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</si>
  <si>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</si>
  <si>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</si>
  <si>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</si>
  <si>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</si>
  <si>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</si>
  <si>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</si>
  <si>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</si>
  <si>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</si>
  <si>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</si>
  <si>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</si>
  <si>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</si>
  <si>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</si>
  <si>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</si>
  <si>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</si>
  <si>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</si>
  <si>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</si>
  <si>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</si>
  <si>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</si>
  <si>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</si>
  <si>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</si>
  <si>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</si>
  <si>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</si>
  <si>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</si>
  <si>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</si>
  <si>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</si>
  <si>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</si>
  <si>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</si>
  <si>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</si>
  <si>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</si>
  <si>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</si>
  <si>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</si>
  <si>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</si>
  <si>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</si>
  <si>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</si>
  <si>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</si>
  <si>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</si>
  <si>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</si>
  <si>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</si>
  <si>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</si>
  <si>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</si>
  <si>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</si>
  <si>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</si>
  <si>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</si>
  <si>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</si>
  <si>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</si>
  <si>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</si>
  <si>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</si>
  <si>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</si>
  <si>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</si>
  <si>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</si>
  <si>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</si>
  <si>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0000대학교 사회통합교육지원센터 증축공사</t>
    <phoneticPr fontId="2" type="noConversion"/>
  </si>
  <si>
    <t>교육연구</t>
  </si>
  <si>
    <t>경기도</t>
  </si>
  <si>
    <t>기계 소화설비공사</t>
    <phoneticPr fontId="2" type="noConversion"/>
  </si>
  <si>
    <t>전기 소방공사</t>
    <phoneticPr fontId="2" type="noConversion"/>
  </si>
  <si>
    <t>부대토목공사</t>
    <phoneticPr fontId="2" type="noConversion"/>
  </si>
  <si>
    <t>부대조경공사</t>
    <phoneticPr fontId="2" type="noConversion"/>
  </si>
  <si>
    <t>토및지정공사,기타공사,골재비및운반비,작업부산물</t>
    <phoneticPr fontId="2" type="noConversion"/>
  </si>
  <si>
    <t>환기덕트설치공사</t>
    <phoneticPr fontId="2" type="noConversion"/>
  </si>
  <si>
    <t>지열설치공사(도급)</t>
    <phoneticPr fontId="2" type="noConversion"/>
  </si>
  <si>
    <t>옥외전력인입공사</t>
    <phoneticPr fontId="2" type="noConversion"/>
  </si>
  <si>
    <t>비상전등설비공사,철거공사</t>
    <phoneticPr fontId="2" type="noConversion"/>
  </si>
  <si>
    <t>정보통신설비공사,비상벨설비공사</t>
    <phoneticPr fontId="2" type="noConversion"/>
  </si>
  <si>
    <t>CATV설비공사</t>
    <phoneticPr fontId="2" type="noConversion"/>
  </si>
  <si>
    <t>난방배관공사,바닥판넬설치공사,빗물저류조설치공사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</si>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</sst>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6" sqref="G6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8815</v>
      </c>
      <c r="D7" s="36">
        <f>+C7/3.3058</f>
        <v>2666.5255006352472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15180</v>
      </c>
      <c r="E24" s="58">
        <f t="shared" ref="E24:E33" si="0">TRUNC(+D24*3.3058,-1)</f>
        <v>50180</v>
      </c>
    </row>
    <row r="25" spans="1:5" x14ac:dyDescent="0.3">
      <c r="B25" s="2">
        <v>2</v>
      </c>
      <c r="C25" s="35" t="s">
        <v>111</v>
      </c>
      <c r="D25" s="45">
        <f>+D60</f>
        <v>556510</v>
      </c>
      <c r="E25" s="59">
        <f t="shared" si="0"/>
        <v>1839710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127620</v>
      </c>
      <c r="E27" s="59">
        <f t="shared" si="0"/>
        <v>421880</v>
      </c>
    </row>
    <row r="28" spans="1:5" x14ac:dyDescent="0.3">
      <c r="B28" s="2">
        <v>5</v>
      </c>
      <c r="C28" s="35" t="s">
        <v>97</v>
      </c>
      <c r="D28" s="45">
        <f>+D119</f>
        <v>81950</v>
      </c>
      <c r="E28" s="59">
        <f t="shared" si="0"/>
        <v>270910</v>
      </c>
    </row>
    <row r="29" spans="1:5" x14ac:dyDescent="0.3">
      <c r="B29" s="2">
        <v>6</v>
      </c>
      <c r="C29" s="35" t="s">
        <v>98</v>
      </c>
      <c r="D29" s="45">
        <f>+D133</f>
        <v>39630</v>
      </c>
      <c r="E29" s="59">
        <f t="shared" si="0"/>
        <v>131000</v>
      </c>
    </row>
    <row r="30" spans="1:5" x14ac:dyDescent="0.3">
      <c r="B30" s="2">
        <v>7</v>
      </c>
      <c r="C30" s="35" t="s">
        <v>99</v>
      </c>
      <c r="D30" s="45">
        <f>+D146</f>
        <v>24820</v>
      </c>
      <c r="E30" s="59">
        <f t="shared" si="0"/>
        <v>82040</v>
      </c>
    </row>
    <row r="31" spans="1:5" x14ac:dyDescent="0.3">
      <c r="B31" s="2">
        <v>8</v>
      </c>
      <c r="C31" s="35" t="s">
        <v>100</v>
      </c>
      <c r="D31" s="45">
        <f>+D154</f>
        <v>26480</v>
      </c>
      <c r="E31" s="59">
        <f t="shared" si="0"/>
        <v>87530</v>
      </c>
    </row>
    <row r="32" spans="1:5" x14ac:dyDescent="0.3">
      <c r="B32" s="2">
        <v>9</v>
      </c>
      <c r="C32" s="35" t="s">
        <v>101</v>
      </c>
      <c r="D32" s="45">
        <f>+D161</f>
        <v>15870</v>
      </c>
      <c r="E32" s="59">
        <f t="shared" si="0"/>
        <v>52460</v>
      </c>
    </row>
    <row r="33" spans="1:7" x14ac:dyDescent="0.3">
      <c r="B33" s="2">
        <v>10</v>
      </c>
      <c r="C33" s="35" t="s">
        <v>154</v>
      </c>
      <c r="D33" s="53">
        <f>TRUNC(SUM(D24:D32)*0.275,-1)</f>
        <v>244210</v>
      </c>
      <c r="E33" s="60">
        <f t="shared" si="0"/>
        <v>807300</v>
      </c>
    </row>
    <row r="34" spans="1:7" x14ac:dyDescent="0.3">
      <c r="C34" s="35" t="s">
        <v>112</v>
      </c>
      <c r="D34" s="44">
        <f>SUM(D24:D33)</f>
        <v>1132270</v>
      </c>
      <c r="E34" s="44">
        <f>SUM(E24:E33)</f>
        <v>3743010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TRUNC(15184,-1)</f>
        <v>15180</v>
      </c>
      <c r="E37" s="61">
        <f>TRUNC(+D37*3.3058,-1)</f>
        <v>50180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TRUNC(32586,-1)</f>
        <v>32580</v>
      </c>
      <c r="E40" s="62">
        <f t="shared" ref="E40:E59" si="1">TRUNC(+D40*3.3058,-1)</f>
        <v>107700</v>
      </c>
    </row>
    <row r="41" spans="1:7" x14ac:dyDescent="0.3">
      <c r="A41" s="2">
        <v>2</v>
      </c>
      <c r="C41" s="38" t="s">
        <v>13</v>
      </c>
      <c r="D41" s="42">
        <f>TRUNC(115399,-1)</f>
        <v>115390</v>
      </c>
      <c r="E41" s="63">
        <f t="shared" si="1"/>
        <v>381450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TRUNC(20756,-1)</f>
        <v>20750</v>
      </c>
      <c r="E43" s="63">
        <f t="shared" si="1"/>
        <v>68590</v>
      </c>
    </row>
    <row r="44" spans="1:7" x14ac:dyDescent="0.3">
      <c r="A44" s="2">
        <v>5</v>
      </c>
      <c r="C44" s="38" t="s">
        <v>17</v>
      </c>
      <c r="D44" s="42">
        <f>TRUNC(17943,-1)</f>
        <v>17940</v>
      </c>
      <c r="E44" s="63">
        <f t="shared" si="1"/>
        <v>59300</v>
      </c>
    </row>
    <row r="45" spans="1:7" x14ac:dyDescent="0.3">
      <c r="A45" s="2">
        <v>6</v>
      </c>
      <c r="C45" s="38" t="s">
        <v>18</v>
      </c>
      <c r="D45" s="42">
        <f>TRUNC(15243,-1)</f>
        <v>15240</v>
      </c>
      <c r="E45" s="63">
        <f t="shared" si="1"/>
        <v>50380</v>
      </c>
    </row>
    <row r="46" spans="1:7" x14ac:dyDescent="0.3">
      <c r="A46" s="2">
        <v>7</v>
      </c>
      <c r="C46" s="38" t="s">
        <v>19</v>
      </c>
      <c r="D46" s="42">
        <f>TRUNC(51186,-1)</f>
        <v>51180</v>
      </c>
      <c r="E46" s="63">
        <f t="shared" si="1"/>
        <v>169190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TRUNC(57483,-1)</f>
        <v>57480</v>
      </c>
      <c r="E48" s="63">
        <f t="shared" si="1"/>
        <v>190010</v>
      </c>
    </row>
    <row r="49" spans="1:7" x14ac:dyDescent="0.3">
      <c r="A49" s="2">
        <v>10</v>
      </c>
      <c r="C49" s="38" t="s">
        <v>22</v>
      </c>
      <c r="D49" s="42">
        <f>TRUNC(27357,-1)</f>
        <v>27350</v>
      </c>
      <c r="E49" s="63">
        <f t="shared" si="1"/>
        <v>90410</v>
      </c>
    </row>
    <row r="50" spans="1:7" x14ac:dyDescent="0.3">
      <c r="A50" s="2">
        <v>11</v>
      </c>
      <c r="C50" s="38" t="s">
        <v>155</v>
      </c>
      <c r="D50" s="42">
        <f>TRUNC(33854,-1)</f>
        <v>33850</v>
      </c>
      <c r="E50" s="63">
        <f t="shared" si="1"/>
        <v>111900</v>
      </c>
    </row>
    <row r="51" spans="1:7" x14ac:dyDescent="0.3">
      <c r="A51" s="2">
        <v>12</v>
      </c>
      <c r="C51" s="38" t="s">
        <v>23</v>
      </c>
      <c r="D51" s="42">
        <f>TRUNC(27355,-1)</f>
        <v>27350</v>
      </c>
      <c r="E51" s="63">
        <f t="shared" si="1"/>
        <v>90410</v>
      </c>
    </row>
    <row r="52" spans="1:7" x14ac:dyDescent="0.3">
      <c r="A52" s="2">
        <v>13</v>
      </c>
      <c r="C52" s="38" t="s">
        <v>24</v>
      </c>
      <c r="D52" s="42">
        <f>TRUNC(11526,-1)</f>
        <v>11520</v>
      </c>
      <c r="E52" s="63">
        <f t="shared" si="1"/>
        <v>38080</v>
      </c>
    </row>
    <row r="53" spans="1:7" x14ac:dyDescent="0.3">
      <c r="A53" s="2">
        <v>14</v>
      </c>
      <c r="C53" s="38" t="s">
        <v>25</v>
      </c>
      <c r="D53" s="42">
        <f>TRUNC(71742,-1)</f>
        <v>71740</v>
      </c>
      <c r="E53" s="63">
        <f t="shared" si="1"/>
        <v>237150</v>
      </c>
    </row>
    <row r="54" spans="1:7" x14ac:dyDescent="0.3">
      <c r="A54" s="2">
        <v>15</v>
      </c>
      <c r="C54" s="38" t="s">
        <v>147</v>
      </c>
      <c r="D54" s="42">
        <f>TRUNC(35457,-1)</f>
        <v>35450</v>
      </c>
      <c r="E54" s="63">
        <f t="shared" si="1"/>
        <v>117190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TRUNC(13534+21140+4712-692,-1)</f>
        <v>38690</v>
      </c>
      <c r="E58" s="63">
        <f t="shared" si="1"/>
        <v>127900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556510</v>
      </c>
      <c r="E60" s="39">
        <f>SUM(E40:E59)</f>
        <v>1839660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TRUNC(2822,-1)</f>
        <v>2820</v>
      </c>
      <c r="E69" s="62">
        <f t="shared" ref="E69:E94" si="2">TRUNC(+D69*3.3058,-1)</f>
        <v>9320</v>
      </c>
    </row>
    <row r="70" spans="1:7" ht="16.5" customHeight="1" x14ac:dyDescent="0.3">
      <c r="A70" s="2">
        <v>2</v>
      </c>
      <c r="C70" s="38" t="s">
        <v>31</v>
      </c>
      <c r="D70" s="42">
        <f>TRUNC(969,-1)</f>
        <v>960</v>
      </c>
      <c r="E70" s="63">
        <f t="shared" si="2"/>
        <v>3170</v>
      </c>
    </row>
    <row r="71" spans="1:7" x14ac:dyDescent="0.3">
      <c r="A71" s="2">
        <v>3</v>
      </c>
      <c r="C71" s="38" t="s">
        <v>32</v>
      </c>
      <c r="D71" s="42">
        <f>TRUNC(6651,-1)</f>
        <v>6650</v>
      </c>
      <c r="E71" s="63">
        <f t="shared" si="2"/>
        <v>21980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TRUNC(8245,-1)</f>
        <v>8240</v>
      </c>
      <c r="E73" s="63">
        <f t="shared" si="2"/>
        <v>27230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TRUNC(94084,-1)</f>
        <v>94080</v>
      </c>
      <c r="E76" s="63">
        <f t="shared" si="2"/>
        <v>311000</v>
      </c>
      <c r="F76" s="2" t="s">
        <v>257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TRUNC(699,-1)</f>
        <v>690</v>
      </c>
      <c r="E79" s="63">
        <f t="shared" si="2"/>
        <v>2280</v>
      </c>
      <c r="F79" s="2" t="s">
        <v>256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TRUNC(1630,-1)</f>
        <v>1630</v>
      </c>
      <c r="E89" s="63">
        <f t="shared" si="2"/>
        <v>5380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TRUNC(6906,-1)</f>
        <v>6900</v>
      </c>
      <c r="E92" s="63">
        <f t="shared" si="2"/>
        <v>22810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TRUNC(1015+115+4523,-1)</f>
        <v>5650</v>
      </c>
      <c r="E94" s="64">
        <f t="shared" si="2"/>
        <v>18670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127620</v>
      </c>
      <c r="E95" s="39">
        <f>SUM(E69:E94)</f>
        <v>421840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TRUNC(9893,-1)</f>
        <v>9890</v>
      </c>
      <c r="E98" s="62">
        <f t="shared" ref="E98:E118" si="3">TRUNC(+D98*3.3058,-1)</f>
        <v>32690</v>
      </c>
    </row>
    <row r="99" spans="1:7" x14ac:dyDescent="0.3">
      <c r="A99" s="2">
        <v>2</v>
      </c>
      <c r="C99" s="38" t="s">
        <v>40</v>
      </c>
      <c r="D99" s="42">
        <f>TRUNC(4579,-1)</f>
        <v>4570</v>
      </c>
      <c r="E99" s="63">
        <f t="shared" si="3"/>
        <v>15100</v>
      </c>
    </row>
    <row r="100" spans="1:7" x14ac:dyDescent="0.3">
      <c r="A100" s="2">
        <v>3</v>
      </c>
      <c r="C100" s="38" t="s">
        <v>41</v>
      </c>
      <c r="D100" s="42">
        <f>TRUNC(30971,-1)</f>
        <v>30970</v>
      </c>
      <c r="E100" s="63">
        <f t="shared" si="3"/>
        <v>102380</v>
      </c>
    </row>
    <row r="101" spans="1:7" x14ac:dyDescent="0.3">
      <c r="A101" s="2">
        <v>4</v>
      </c>
      <c r="C101" s="38" t="s">
        <v>42</v>
      </c>
      <c r="D101" s="42">
        <f>TRUNC(476,-1)</f>
        <v>470</v>
      </c>
      <c r="E101" s="63">
        <f t="shared" si="3"/>
        <v>1550</v>
      </c>
    </row>
    <row r="102" spans="1:7" x14ac:dyDescent="0.3">
      <c r="A102" s="2">
        <v>5</v>
      </c>
      <c r="C102" s="38" t="s">
        <v>43</v>
      </c>
      <c r="D102" s="42">
        <f>TRUNC(13644,-1)</f>
        <v>13640</v>
      </c>
      <c r="E102" s="63">
        <f t="shared" si="3"/>
        <v>45090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TRUNC(2844,-1)</f>
        <v>2840</v>
      </c>
      <c r="E104" s="63">
        <f t="shared" si="3"/>
        <v>9380</v>
      </c>
    </row>
    <row r="105" spans="1:7" x14ac:dyDescent="0.3">
      <c r="A105" s="2">
        <v>8</v>
      </c>
      <c r="C105" s="38" t="s">
        <v>46</v>
      </c>
      <c r="D105" s="42">
        <f>TRUNC(3507,-1)</f>
        <v>3500</v>
      </c>
      <c r="E105" s="63">
        <f t="shared" si="3"/>
        <v>11570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TRUNC(2870,-1)</f>
        <v>2870</v>
      </c>
      <c r="E108" s="63">
        <f t="shared" si="3"/>
        <v>9480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TRUNC(961,-1)</f>
        <v>960</v>
      </c>
      <c r="E114" s="63">
        <f t="shared" si="3"/>
        <v>3170</v>
      </c>
    </row>
    <row r="115" spans="1:7" x14ac:dyDescent="0.3">
      <c r="A115" s="2">
        <v>18</v>
      </c>
      <c r="C115" s="38" t="s">
        <v>116</v>
      </c>
      <c r="D115" s="42">
        <f>TRUNC(2406,-1)</f>
        <v>2400</v>
      </c>
      <c r="E115" s="63">
        <f t="shared" si="3"/>
        <v>7930</v>
      </c>
    </row>
    <row r="116" spans="1:7" x14ac:dyDescent="0.3">
      <c r="A116" s="2">
        <v>19</v>
      </c>
      <c r="C116" s="38" t="s">
        <v>115</v>
      </c>
      <c r="D116" s="42">
        <f>TRUNC(5814,-1)</f>
        <v>5810</v>
      </c>
      <c r="E116" s="63">
        <f t="shared" si="3"/>
        <v>19200</v>
      </c>
      <c r="F116" s="2" t="s">
        <v>258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TRUNC(3623+407,-1)</f>
        <v>4030</v>
      </c>
      <c r="E118" s="64">
        <f t="shared" si="3"/>
        <v>13320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81950</v>
      </c>
      <c r="E119" s="39">
        <f>SUM(E98:E118)</f>
        <v>270860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TRUNC(4168,-1)</f>
        <v>4160</v>
      </c>
      <c r="E122" s="62">
        <f t="shared" ref="E122:E132" si="4">TRUNC(+D122*3.3058,-1)</f>
        <v>13750</v>
      </c>
      <c r="F122" s="2" t="s">
        <v>261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TRUNC(8072,-1)</f>
        <v>8070</v>
      </c>
      <c r="E125" s="63">
        <f t="shared" si="4"/>
        <v>26670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TRUNC(5454,-1)</f>
        <v>5450</v>
      </c>
      <c r="E128" s="63">
        <f t="shared" si="4"/>
        <v>18010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TRUNC(20528+1428,-1)</f>
        <v>21950</v>
      </c>
      <c r="E132" s="64">
        <f t="shared" si="4"/>
        <v>72560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39630</v>
      </c>
      <c r="E133" s="39">
        <f>SUM(E122:E132)</f>
        <v>130990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TRUNC(8886,-1)</f>
        <v>8880</v>
      </c>
      <c r="E136" s="62">
        <f t="shared" ref="E136:E145" si="5">TRUNC(+D136*3.3058,-1)</f>
        <v>29350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TRUNC(15945,-1)</f>
        <v>15940</v>
      </c>
      <c r="E137" s="63">
        <f t="shared" si="5"/>
        <v>52690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24820</v>
      </c>
      <c r="E146" s="39">
        <f>SUM(E136:E145)</f>
        <v>82040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TRUNC(26488,-1)</f>
        <v>26480</v>
      </c>
      <c r="E152" s="63">
        <f>TRUNC(+D152*3.3058,-1)</f>
        <v>87530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26480</v>
      </c>
      <c r="E154" s="39">
        <f>SUM(E149:E153)</f>
        <v>87530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TRUNC(15877,-1)</f>
        <v>15870</v>
      </c>
      <c r="E159" s="63">
        <f>TRUNC(+D159*3.3058,-1)</f>
        <v>52460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15870</v>
      </c>
      <c r="E161" s="39">
        <f>SUM(E157:E160)</f>
        <v>52460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2020-12-07T09:42:55Z</dcterms:modified>
</cp:coreProperties>
</file>