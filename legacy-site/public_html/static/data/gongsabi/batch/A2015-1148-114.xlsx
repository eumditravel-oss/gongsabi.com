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1" i="4"/>
  <c r="D140" i="4"/>
  <c r="D130" i="4"/>
  <c r="D128" i="4"/>
  <c r="D126" i="4"/>
  <c r="D125" i="4"/>
  <c r="D122" i="4"/>
  <c r="D132" i="4"/>
  <c r="D118" i="4"/>
  <c r="D116" i="4"/>
  <c r="D105" i="4"/>
  <c r="D103" i="4"/>
  <c r="D100" i="4"/>
  <c r="D99" i="4"/>
  <c r="D98" i="4"/>
  <c r="D94" i="4"/>
  <c r="D92" i="4"/>
  <c r="D91" i="4"/>
  <c r="D90" i="4"/>
  <c r="D89" i="4"/>
  <c r="D76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<sst xmlns="http://schemas.openxmlformats.org/spreadsheetml/2006/main" count="393" uniqueCount="269">
  <si>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</si>
  <si>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</si>
  <si>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</si>
  <si>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</si>
  <si>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</si>
  <si>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</si>
  <si>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</si>
  <si>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</si>
  <si>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</si>
  <si>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</si>
  <si>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</si>
  <si>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</si>
  <si>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</si>
  <si>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</si>
  <si>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</si>
  <si>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</si>
  <si>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</si>
  <si>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</si>
  <si>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</si>
  <si>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</si>
  <si>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</si>
  <si>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</si>
  <si>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</si>
  <si>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</si>
  <si>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</si>
  <si>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</si>
  <si>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</si>
  <si>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</si>
  <si>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</si>
  <si>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</si>
  <si>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</si>
  <si>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</si>
  <si>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</si>
  <si>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</si>
  <si>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</si>
  <si>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</si>
  <si>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</si>
  <si>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</si>
  <si>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</si>
  <si>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</si>
  <si>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</si>
  <si>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</si>
  <si>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</si>
  <si>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</si>
  <si>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</si>
  <si>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</si>
  <si>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</si>
  <si>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</si>
  <si>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</si>
  <si>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</si>
  <si>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</si>
  <si>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</si>
  <si>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</si>
  <si>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</si>
  <si>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</si>
  <si>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</si>
  <si>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</si>
  <si>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</si>
  <si>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</si>
  <si>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</si>
  <si>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</si>
  <si>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</si>
  <si>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</si>
  <si>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</si>
  <si>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</si>
  <si>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</si>
  <si>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</si>
  <si>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</si>
  <si>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</si>
  <si>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</si>
  <si>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</si>
  <si>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</si>
  <si>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</si>
  <si>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</si>
  <si>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</si>
  <si>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</si>
  <si>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</si>
  <si>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</si>
  <si>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</si>
  <si>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</si>
  <si>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</si>
  <si>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</si>
  <si>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</si>
  <si>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</si>
  <si>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</si>
  <si>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</si>
  <si>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</si>
  <si>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</si>
  <si>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</si>
  <si>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</si>
  <si>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</si>
  <si>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</si>
  <si>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</si>
  <si>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</si>
  <si>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</si>
  <si>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</si>
  <si>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</si>
  <si>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</si>
  <si>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</si>
  <si>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</si>
  <si>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</si>
  <si>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</si>
  <si>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</si>
  <si>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</si>
  <si>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</si>
  <si>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</si>
  <si>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</si>
  <si>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</si>
  <si>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</si>
  <si>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</si>
  <si>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</si>
  <si>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</si>
  <si>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</si>
  <si>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</si>
  <si>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</si>
  <si>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</si>
  <si>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</si>
  <si>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</si>
  <si>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</si>
  <si>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</si>
  <si>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</si>
  <si>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</si>
  <si>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</si>
  <si>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</si>
  <si>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</si>
  <si>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</si>
  <si>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</si>
  <si>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</si>
  <si>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</si>
  <si>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</si>
  <si>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</si>
  <si>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</si>
  <si>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</si>
  <si>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</si>
  <si>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</si>
  <si>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</si>
  <si>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</si>
  <si>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</si>
  <si>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</si>
  <si>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</si>
  <si>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</si>
  <si>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</si>
  <si>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</si>
  <si>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</si>
  <si>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</si>
  <si>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</si>
  <si>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</si>
  <si>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</si>
  <si>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</si>
  <si>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</si>
  <si>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</si>
  <si>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</si>
  <si>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</si>
  <si>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</si>
  <si>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</si>
  <si>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</si>
  <si>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</si>
  <si>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</si>
  <si>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</si>
  <si>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</si>
  <si>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</si>
  <si>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</si>
  <si>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</si>
  <si>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</si>
  <si>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</si>
  <si>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</si>
  <si>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</si>
  <si>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</si>
  <si>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</si>
  <si>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</si>
  <si>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</si>
  <si>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</si>
  <si>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</si>
  <si>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</si>
  <si>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</si>
  <si>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</si>
  <si>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</si>
  <si>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</si>
  <si>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</si>
  <si>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</si>
  <si>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</si>
  <si>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</si>
  <si>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</si>
  <si>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</si>
  <si>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</si>
  <si>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</si>
  <si>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</si>
  <si>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</si>
  <si>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</si>
  <si>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</si>
  <si>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</si>
  <si>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</si>
  <si>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</si>
  <si>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</si>
  <si>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</si>
  <si>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</si>
  <si>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</si>
  <si>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</si>
  <si>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</si>
  <si>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</si>
  <si>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</si>
  <si>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</si>
  <si>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</si>
  <si>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</si>
  <si>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</si>
  <si>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</si>
  <si>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</si>
  <si>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</si>
  <si>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</si>
  <si>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</si>
  <si>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</si>
  <si>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</si>
  <si>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</si>
  <si>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</si>
  <si>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</si>
  <si>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</si>
  <si>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</si>
  <si>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</si>
  <si>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</si>
  <si>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</si>
  <si>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</si>
  <si>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</si>
  <si>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</si>
  <si>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</si>
  <si>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</si>
  <si>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</si>
  <si>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</si>
  <si>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</si>
  <si>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</si>
  <si>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</si>
  <si>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</si>
  <si>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</si>
  <si>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</si>
  <si>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</si>
  <si>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</si>
  <si>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</si>
  <si>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</si>
  <si>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</si>
  <si>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</si>
  <si>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</si>
  <si>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</si>
  <si>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</si>
  <si>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</si>
  <si>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</si>
  <si>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</si>
  <si>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</si>
  <si>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</si>
  <si>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</si>
  <si>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</si>
  <si>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</si>
  <si>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</si>
  <si>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</si>
  <si>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</si>
  <si>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</si>
  <si>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</si>
  <si>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</si>
  <si>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</si>
  <si>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</si>
  <si>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</si>
  <si>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보람고등학교 신축공사</t>
    <phoneticPr fontId="2" type="noConversion"/>
  </si>
  <si>
    <t>세종시</t>
  </si>
  <si>
    <t>기초공사, 골재비및운반비, 작업부산물, 기타공사</t>
    <phoneticPr fontId="2" type="noConversion"/>
  </si>
  <si>
    <t>옥외보안등설비공사</t>
    <phoneticPr fontId="2" type="noConversion"/>
  </si>
  <si>
    <t>CCTV설비공사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</si>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</sst>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0" sqref="G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15781.52</v>
      </c>
      <c r="D7" s="36">
        <f>+C7/3.3058</f>
        <v>4773.8883175025712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853450</v>
      </c>
      <c r="E25" s="59">
        <f t="shared" si="0"/>
        <v>2821330</v>
      </c>
    </row>
    <row r="26" spans="1:5" x14ac:dyDescent="0.3">
      <c r="B26" s="2">
        <v>3</v>
      </c>
      <c r="C26" s="35" t="s">
        <v>95</v>
      </c>
      <c r="D26" s="45">
        <f>+D66</f>
        <v>11440</v>
      </c>
      <c r="E26" s="59">
        <f t="shared" si="0"/>
        <v>37810</v>
      </c>
    </row>
    <row r="27" spans="1:5" x14ac:dyDescent="0.3">
      <c r="B27" s="2">
        <v>4</v>
      </c>
      <c r="C27" s="35" t="s">
        <v>96</v>
      </c>
      <c r="D27" s="45">
        <f>+D95</f>
        <v>102320</v>
      </c>
      <c r="E27" s="59">
        <f t="shared" si="0"/>
        <v>338240</v>
      </c>
    </row>
    <row r="28" spans="1:5" x14ac:dyDescent="0.3">
      <c r="B28" s="2">
        <v>5</v>
      </c>
      <c r="C28" s="35" t="s">
        <v>97</v>
      </c>
      <c r="D28" s="45">
        <f>+D119</f>
        <v>69320</v>
      </c>
      <c r="E28" s="59">
        <f t="shared" si="0"/>
        <v>229150</v>
      </c>
    </row>
    <row r="29" spans="1:5" x14ac:dyDescent="0.3">
      <c r="B29" s="2">
        <v>6</v>
      </c>
      <c r="C29" s="35" t="s">
        <v>98</v>
      </c>
      <c r="D29" s="45">
        <f>+D133</f>
        <v>26140</v>
      </c>
      <c r="E29" s="59">
        <f t="shared" si="0"/>
        <v>86410</v>
      </c>
    </row>
    <row r="30" spans="1:5" x14ac:dyDescent="0.3">
      <c r="B30" s="2">
        <v>7</v>
      </c>
      <c r="C30" s="35" t="s">
        <v>99</v>
      </c>
      <c r="D30" s="45">
        <f>+D146</f>
        <v>30980</v>
      </c>
      <c r="E30" s="59">
        <f t="shared" si="0"/>
        <v>102410</v>
      </c>
    </row>
    <row r="31" spans="1:5" x14ac:dyDescent="0.3">
      <c r="B31" s="2">
        <v>8</v>
      </c>
      <c r="C31" s="35" t="s">
        <v>100</v>
      </c>
      <c r="D31" s="45">
        <f>+D154</f>
        <v>27660</v>
      </c>
      <c r="E31" s="59">
        <f t="shared" si="0"/>
        <v>91430</v>
      </c>
    </row>
    <row r="32" spans="1:5" x14ac:dyDescent="0.3">
      <c r="B32" s="2">
        <v>9</v>
      </c>
      <c r="C32" s="35" t="s">
        <v>101</v>
      </c>
      <c r="D32" s="45">
        <f>+D161</f>
        <v>23200</v>
      </c>
      <c r="E32" s="59">
        <f t="shared" si="0"/>
        <v>76690</v>
      </c>
    </row>
    <row r="33" spans="1:7" x14ac:dyDescent="0.3">
      <c r="B33" s="2">
        <v>10</v>
      </c>
      <c r="C33" s="35" t="s">
        <v>154</v>
      </c>
      <c r="D33" s="53">
        <f>TRUNC(SUM(D24:D32)*0.275,-1)</f>
        <v>314740</v>
      </c>
      <c r="E33" s="60">
        <f t="shared" si="0"/>
        <v>1040460</v>
      </c>
    </row>
    <row r="34" spans="1:7" x14ac:dyDescent="0.3">
      <c r="C34" s="35" t="s">
        <v>112</v>
      </c>
      <c r="D34" s="44">
        <f>SUM(D24:D33)</f>
        <v>1459250</v>
      </c>
      <c r="E34" s="44">
        <f>SUM(E24:E33)</f>
        <v>4823930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TRUNC(45662,-1)</f>
        <v>45660</v>
      </c>
      <c r="E40" s="62">
        <f t="shared" ref="E40:E59" si="1">TRUNC(+D40*3.3058,-1)</f>
        <v>150940</v>
      </c>
    </row>
    <row r="41" spans="1:7" x14ac:dyDescent="0.3">
      <c r="A41" s="2">
        <v>2</v>
      </c>
      <c r="C41" s="38" t="s">
        <v>13</v>
      </c>
      <c r="D41" s="42">
        <f>TRUNC(128631,-1)</f>
        <v>128630</v>
      </c>
      <c r="E41" s="63">
        <f t="shared" si="1"/>
        <v>425220</v>
      </c>
    </row>
    <row r="42" spans="1:7" x14ac:dyDescent="0.3">
      <c r="A42" s="2">
        <v>3</v>
      </c>
      <c r="C42" s="38" t="s">
        <v>14</v>
      </c>
      <c r="D42" s="42">
        <f>TRUNC(7372,-1)</f>
        <v>7370</v>
      </c>
      <c r="E42" s="63">
        <f t="shared" si="1"/>
        <v>24360</v>
      </c>
    </row>
    <row r="43" spans="1:7" x14ac:dyDescent="0.3">
      <c r="A43" s="2">
        <v>4</v>
      </c>
      <c r="C43" s="38" t="s">
        <v>16</v>
      </c>
      <c r="D43" s="42">
        <f>TRUNC(33681,-1)</f>
        <v>33680</v>
      </c>
      <c r="E43" s="63">
        <f t="shared" si="1"/>
        <v>111330</v>
      </c>
    </row>
    <row r="44" spans="1:7" x14ac:dyDescent="0.3">
      <c r="A44" s="2">
        <v>5</v>
      </c>
      <c r="C44" s="38" t="s">
        <v>17</v>
      </c>
      <c r="D44" s="42">
        <f>TRUNC(16866,-1)</f>
        <v>16860</v>
      </c>
      <c r="E44" s="63">
        <f t="shared" si="1"/>
        <v>55730</v>
      </c>
    </row>
    <row r="45" spans="1:7" x14ac:dyDescent="0.3">
      <c r="A45" s="2">
        <v>6</v>
      </c>
      <c r="C45" s="38" t="s">
        <v>18</v>
      </c>
      <c r="D45" s="42">
        <f>TRUNC(9404,-1)</f>
        <v>9400</v>
      </c>
      <c r="E45" s="63">
        <f t="shared" si="1"/>
        <v>31070</v>
      </c>
    </row>
    <row r="46" spans="1:7" x14ac:dyDescent="0.3">
      <c r="A46" s="2">
        <v>7</v>
      </c>
      <c r="C46" s="38" t="s">
        <v>19</v>
      </c>
      <c r="D46" s="42">
        <f>TRUNC(25925,-1)</f>
        <v>25920</v>
      </c>
      <c r="E46" s="63">
        <f t="shared" si="1"/>
        <v>85680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TRUNC(78241,-1)</f>
        <v>78240</v>
      </c>
      <c r="E48" s="63">
        <f t="shared" si="1"/>
        <v>258640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TRUNC(14395,-1)</f>
        <v>14390</v>
      </c>
      <c r="E49" s="63">
        <f t="shared" si="1"/>
        <v>47570</v>
      </c>
    </row>
    <row r="50" spans="1:7" x14ac:dyDescent="0.3">
      <c r="A50" s="2">
        <v>11</v>
      </c>
      <c r="C50" s="38" t="s">
        <v>155</v>
      </c>
      <c r="D50" s="42">
        <f>TRUNC(41366,-1)</f>
        <v>41360</v>
      </c>
      <c r="E50" s="63">
        <f t="shared" si="1"/>
        <v>136720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TRUNC(7171,-1)</f>
        <v>7170</v>
      </c>
      <c r="E52" s="63">
        <f t="shared" si="1"/>
        <v>23700</v>
      </c>
    </row>
    <row r="53" spans="1:7" x14ac:dyDescent="0.3">
      <c r="A53" s="2">
        <v>14</v>
      </c>
      <c r="C53" s="38" t="s">
        <v>25</v>
      </c>
      <c r="D53" s="42">
        <f>TRUNC(64908,-1)</f>
        <v>64900</v>
      </c>
      <c r="E53" s="63">
        <f t="shared" si="1"/>
        <v>214540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TRUNC(51242+8595-730+8765,-1)</f>
        <v>67870</v>
      </c>
      <c r="E58" s="63">
        <f t="shared" si="1"/>
        <v>224360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TRUNC(312002,-1)</f>
        <v>312000</v>
      </c>
      <c r="E59" s="64">
        <f t="shared" si="1"/>
        <v>1031400</v>
      </c>
    </row>
    <row r="60" spans="1:7" x14ac:dyDescent="0.3">
      <c r="A60" s="2">
        <v>21</v>
      </c>
      <c r="C60" s="27" t="s">
        <v>112</v>
      </c>
      <c r="D60" s="39">
        <f>SUM(D40:D59)</f>
        <v>853450</v>
      </c>
      <c r="E60" s="39">
        <f>SUM(E40:E59)</f>
        <v>2821260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TRUNC(11446,-1)</f>
        <v>11440</v>
      </c>
      <c r="E63" s="62">
        <f>TRUNC(+D63*3.3058,-1)</f>
        <v>37810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11440</v>
      </c>
      <c r="E66" s="65">
        <f>SUM(E63:E65)</f>
        <v>37810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TRUNC(5617,-1)</f>
        <v>5610</v>
      </c>
      <c r="E69" s="62">
        <f t="shared" ref="E69:E94" si="2">TRUNC(+D69*3.3058,-1)</f>
        <v>18540</v>
      </c>
    </row>
    <row r="70" spans="1:7" ht="16.5" customHeight="1" x14ac:dyDescent="0.3">
      <c r="A70" s="2">
        <v>2</v>
      </c>
      <c r="C70" s="38" t="s">
        <v>31</v>
      </c>
      <c r="D70" s="42">
        <f>TRUNC(2731,-1)</f>
        <v>2730</v>
      </c>
      <c r="E70" s="63">
        <f t="shared" si="2"/>
        <v>9020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TRUNC(1758,-1)</f>
        <v>1750</v>
      </c>
      <c r="E72" s="63">
        <f t="shared" si="2"/>
        <v>5780</v>
      </c>
    </row>
    <row r="73" spans="1:7" x14ac:dyDescent="0.3">
      <c r="A73" s="2">
        <v>5</v>
      </c>
      <c r="C73" s="38" t="s">
        <v>34</v>
      </c>
      <c r="D73" s="42">
        <f>TRUNC(14323,-1)</f>
        <v>14320</v>
      </c>
      <c r="E73" s="63">
        <f t="shared" si="2"/>
        <v>47330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TRUNC(44408,-1)</f>
        <v>44400</v>
      </c>
      <c r="E76" s="63">
        <f t="shared" si="2"/>
        <v>146770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TRUNC(5735,-1)</f>
        <v>5730</v>
      </c>
      <c r="E89" s="63">
        <f t="shared" si="2"/>
        <v>18940</v>
      </c>
    </row>
    <row r="90" spans="1:7" x14ac:dyDescent="0.3">
      <c r="A90" s="2">
        <v>22</v>
      </c>
      <c r="C90" s="38" t="s">
        <v>36</v>
      </c>
      <c r="D90" s="42">
        <f>TRUNC(462,-1)</f>
        <v>460</v>
      </c>
      <c r="E90" s="63">
        <f t="shared" si="2"/>
        <v>1520</v>
      </c>
    </row>
    <row r="91" spans="1:7" x14ac:dyDescent="0.3">
      <c r="A91" s="2">
        <v>23</v>
      </c>
      <c r="C91" s="38" t="s">
        <v>37</v>
      </c>
      <c r="D91" s="42">
        <f>TRUNC(3741,-1)</f>
        <v>3740</v>
      </c>
      <c r="E91" s="63">
        <f t="shared" si="2"/>
        <v>12360</v>
      </c>
    </row>
    <row r="92" spans="1:7" x14ac:dyDescent="0.3">
      <c r="A92" s="2">
        <v>24</v>
      </c>
      <c r="C92" s="38" t="s">
        <v>38</v>
      </c>
      <c r="D92" s="42">
        <f>TRUNC(8528,-1)</f>
        <v>8520</v>
      </c>
      <c r="E92" s="63">
        <f t="shared" si="2"/>
        <v>28160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TRUNC(639+715+13710,-1)</f>
        <v>15060</v>
      </c>
      <c r="E94" s="64">
        <f t="shared" si="2"/>
        <v>49780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102320</v>
      </c>
      <c r="E95" s="39">
        <f>SUM(E69:E94)</f>
        <v>338200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TRUNC(10019,-1)</f>
        <v>10010</v>
      </c>
      <c r="E98" s="62">
        <f t="shared" ref="E98:E118" si="3">TRUNC(+D98*3.3058,-1)</f>
        <v>33090</v>
      </c>
    </row>
    <row r="99" spans="1:7" x14ac:dyDescent="0.3">
      <c r="A99" s="2">
        <v>2</v>
      </c>
      <c r="C99" s="38" t="s">
        <v>40</v>
      </c>
      <c r="D99" s="42">
        <f>TRUNC(4409,-1)</f>
        <v>4400</v>
      </c>
      <c r="E99" s="63">
        <f t="shared" si="3"/>
        <v>14540</v>
      </c>
    </row>
    <row r="100" spans="1:7" x14ac:dyDescent="0.3">
      <c r="A100" s="2">
        <v>3</v>
      </c>
      <c r="C100" s="38" t="s">
        <v>41</v>
      </c>
      <c r="D100" s="42">
        <f>TRUNC(25134,-1)</f>
        <v>25130</v>
      </c>
      <c r="E100" s="63">
        <f t="shared" si="3"/>
        <v>83070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9650</v>
      </c>
      <c r="E102" s="63">
        <f t="shared" si="3"/>
        <v>31900</v>
      </c>
    </row>
    <row r="103" spans="1:7" x14ac:dyDescent="0.3">
      <c r="A103" s="2">
        <v>6</v>
      </c>
      <c r="C103" s="38" t="s">
        <v>44</v>
      </c>
      <c r="D103" s="42">
        <f>TRUNC(5497,-1)</f>
        <v>5490</v>
      </c>
      <c r="E103" s="63">
        <f t="shared" si="3"/>
        <v>18140</v>
      </c>
    </row>
    <row r="104" spans="1:7" x14ac:dyDescent="0.3">
      <c r="A104" s="2">
        <v>7</v>
      </c>
      <c r="C104" s="38" t="s">
        <v>45</v>
      </c>
      <c r="D104" s="42">
        <v>2290</v>
      </c>
      <c r="E104" s="63">
        <f t="shared" si="3"/>
        <v>7570</v>
      </c>
    </row>
    <row r="105" spans="1:7" x14ac:dyDescent="0.3">
      <c r="A105" s="2">
        <v>8</v>
      </c>
      <c r="C105" s="38" t="s">
        <v>46</v>
      </c>
      <c r="D105" s="42">
        <f>TRUNC(7034,-1)</f>
        <v>7030</v>
      </c>
      <c r="E105" s="63">
        <f t="shared" si="3"/>
        <v>23230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2010</v>
      </c>
      <c r="E114" s="63">
        <f t="shared" si="3"/>
        <v>6640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TRUNC(1207,-1)</f>
        <v>1200</v>
      </c>
      <c r="E116" s="63">
        <f t="shared" si="3"/>
        <v>3960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TRUNC(2117,-1)</f>
        <v>2110</v>
      </c>
      <c r="E118" s="64">
        <f t="shared" si="3"/>
        <v>6970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69320</v>
      </c>
      <c r="E119" s="39">
        <f>SUM(E98:E118)</f>
        <v>229110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TRUNC(2264,-1)</f>
        <v>2260</v>
      </c>
      <c r="E122" s="62">
        <f t="shared" ref="E122:E132" si="4">TRUNC(+D122*3.3058,-1)</f>
        <v>7470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700</v>
      </c>
      <c r="E124" s="63">
        <f t="shared" si="4"/>
        <v>2310</v>
      </c>
    </row>
    <row r="125" spans="1:7" x14ac:dyDescent="0.3">
      <c r="A125" s="2">
        <v>4</v>
      </c>
      <c r="C125" s="38" t="s">
        <v>138</v>
      </c>
      <c r="D125" s="42">
        <f>TRUNC(5645,-1)</f>
        <v>5640</v>
      </c>
      <c r="E125" s="63">
        <f t="shared" si="4"/>
        <v>18640</v>
      </c>
    </row>
    <row r="126" spans="1:7" x14ac:dyDescent="0.3">
      <c r="A126" s="2">
        <v>5</v>
      </c>
      <c r="C126" s="38" t="s">
        <v>53</v>
      </c>
      <c r="D126" s="42">
        <f>TRUNC(1152,-1)</f>
        <v>1150</v>
      </c>
      <c r="E126" s="63">
        <f t="shared" si="4"/>
        <v>3800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TRUNC(6827,-1)</f>
        <v>6820</v>
      </c>
      <c r="E128" s="63">
        <f t="shared" si="4"/>
        <v>22540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TRUNC(8288,-1)</f>
        <v>8280</v>
      </c>
      <c r="E130" s="63">
        <f t="shared" si="4"/>
        <v>27370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TRUNC(1293,-1)</f>
        <v>1290</v>
      </c>
      <c r="E132" s="64">
        <f t="shared" si="4"/>
        <v>4260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26140</v>
      </c>
      <c r="E133" s="39">
        <f>SUM(E122:E132)</f>
        <v>86390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5840</v>
      </c>
      <c r="E137" s="63">
        <f t="shared" si="5"/>
        <v>19300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TRUNC(1106,-1)</f>
        <v>1100</v>
      </c>
      <c r="E140" s="63">
        <f t="shared" si="5"/>
        <v>3630</v>
      </c>
    </row>
    <row r="141" spans="1:7" x14ac:dyDescent="0.3">
      <c r="A141" s="2">
        <v>6</v>
      </c>
      <c r="C141" s="38" t="s">
        <v>59</v>
      </c>
      <c r="D141" s="42">
        <f>TRUNC(5193,-1)</f>
        <v>5190</v>
      </c>
      <c r="E141" s="63">
        <f t="shared" si="5"/>
        <v>17150</v>
      </c>
    </row>
    <row r="142" spans="1:7" x14ac:dyDescent="0.3">
      <c r="A142" s="2">
        <v>7</v>
      </c>
      <c r="C142" s="38" t="s">
        <v>58</v>
      </c>
      <c r="D142" s="42">
        <f>TRUNC(13675,-1)</f>
        <v>13670</v>
      </c>
      <c r="E142" s="63">
        <f t="shared" si="5"/>
        <v>45190</v>
      </c>
    </row>
    <row r="143" spans="1:7" x14ac:dyDescent="0.3">
      <c r="A143" s="2">
        <v>8</v>
      </c>
      <c r="C143" s="38" t="s">
        <v>62</v>
      </c>
      <c r="D143" s="42">
        <f>TRUNC(5185,-1)</f>
        <v>5180</v>
      </c>
      <c r="E143" s="63">
        <f t="shared" si="5"/>
        <v>17120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30980</v>
      </c>
      <c r="E146" s="39">
        <f>SUM(E136:E145)</f>
        <v>102390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TRUNC(5142+1072,-1)</f>
        <v>6210</v>
      </c>
      <c r="E149" s="62">
        <f>TRUNC(+D149*3.3058,-1)</f>
        <v>20520</v>
      </c>
    </row>
    <row r="150" spans="1:7" x14ac:dyDescent="0.3">
      <c r="A150" s="2">
        <v>2</v>
      </c>
      <c r="C150" s="38" t="s">
        <v>49</v>
      </c>
      <c r="D150" s="42">
        <f>TRUNC(8065,-1)</f>
        <v>8060</v>
      </c>
      <c r="E150" s="63">
        <f>TRUNC(+D150*3.3058,-1)</f>
        <v>26640</v>
      </c>
    </row>
    <row r="151" spans="1:7" x14ac:dyDescent="0.3">
      <c r="A151" s="2">
        <v>3</v>
      </c>
      <c r="C151" s="38" t="s">
        <v>50</v>
      </c>
      <c r="D151" s="42">
        <f>TRUNC(12142,-1)</f>
        <v>12140</v>
      </c>
      <c r="E151" s="63">
        <f>TRUNC(+D151*3.3058,-1)</f>
        <v>40130</v>
      </c>
    </row>
    <row r="152" spans="1:7" x14ac:dyDescent="0.3">
      <c r="A152" s="2">
        <v>4</v>
      </c>
      <c r="C152" s="38" t="s">
        <v>47</v>
      </c>
      <c r="D152" s="42">
        <f>TRUNC(730+529,-1)</f>
        <v>1250</v>
      </c>
      <c r="E152" s="63">
        <f>TRUNC(+D152*3.3058,-1)</f>
        <v>4130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27660</v>
      </c>
      <c r="E154" s="39">
        <f>SUM(E149:E153)</f>
        <v>91420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TRUNC(19063,-1)</f>
        <v>19060</v>
      </c>
      <c r="E157" s="62">
        <f>TRUNC(+D157*3.3058,-1)</f>
        <v>63000</v>
      </c>
    </row>
    <row r="158" spans="1:7" x14ac:dyDescent="0.3">
      <c r="A158" s="2">
        <v>2</v>
      </c>
      <c r="C158" s="38" t="s">
        <v>52</v>
      </c>
      <c r="D158" s="42">
        <f>TRUNC(2774,-1)</f>
        <v>2770</v>
      </c>
      <c r="E158" s="63">
        <f>TRUNC(+D158*3.3058,-1)</f>
        <v>9150</v>
      </c>
    </row>
    <row r="159" spans="1:7" x14ac:dyDescent="0.3">
      <c r="A159" s="2">
        <v>3</v>
      </c>
      <c r="C159" s="38" t="s">
        <v>47</v>
      </c>
      <c r="D159" s="42">
        <f>TRUNC(1375,-1)</f>
        <v>1370</v>
      </c>
      <c r="E159" s="63">
        <f>TRUNC(+D159*3.3058,-1)</f>
        <v>4520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23200</v>
      </c>
      <c r="E161" s="39">
        <f>SUM(E157:E160)</f>
        <v>76670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2020-12-07T10:02:33Z</dcterms:modified>
</cp:coreProperties>
</file>