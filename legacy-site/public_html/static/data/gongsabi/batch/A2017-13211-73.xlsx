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0" i="4"/>
  <c r="D149" i="4"/>
  <c r="D144" i="4"/>
  <c r="D143" i="4"/>
  <c r="D140" i="4"/>
  <c r="D139" i="4"/>
  <c r="D137" i="4"/>
  <c r="D132" i="4"/>
  <c r="D130" i="4"/>
  <c r="D128" i="4"/>
  <c r="D127" i="4"/>
  <c r="D125" i="4"/>
  <c r="D122" i="4"/>
  <c r="D117" i="4"/>
  <c r="D116" i="4"/>
  <c r="D114" i="4"/>
  <c r="D105" i="4"/>
  <c r="D104" i="4"/>
  <c r="D103" i="4"/>
  <c r="D102" i="4"/>
  <c r="D100" i="4"/>
  <c r="D98" i="4"/>
  <c r="D94" i="4"/>
  <c r="D93" i="4"/>
  <c r="D92" i="4"/>
  <c r="D90" i="4"/>
  <c r="D89" i="4"/>
  <c r="D73" i="4"/>
  <c r="D71" i="4"/>
  <c r="D70" i="4"/>
  <c r="D69" i="4"/>
  <c r="D65" i="4"/>
  <c r="D63" i="4"/>
  <c r="D59" i="4"/>
  <c r="D58" i="4"/>
  <c r="D53" i="4"/>
  <c r="D50" i="4"/>
  <c r="D49" i="4"/>
  <c r="D48" i="4"/>
  <c r="D46" i="4"/>
  <c r="D45" i="4"/>
  <c r="D44" i="4"/>
  <c r="D43" i="4"/>
  <c r="D42" i="4"/>
  <c r="D41" i="4"/>
  <c r="D40" i="4"/>
  <c r="D152" i="4"/>
  <c r="D11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<sst xmlns="http://schemas.openxmlformats.org/spreadsheetml/2006/main" count="394" uniqueCount="271">
  <si>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</si>
  <si>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</si>
  <si>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</si>
  <si>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</si>
  <si>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</si>
  <si>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</si>
  <si>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</si>
  <si>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</si>
  <si>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</si>
  <si>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</si>
  <si>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</si>
  <si>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</si>
  <si>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</si>
  <si>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</si>
  <si>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</si>
  <si>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</si>
  <si>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</si>
  <si>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</si>
  <si>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</si>
  <si>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</si>
  <si>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</si>
  <si>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</si>
  <si>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</si>
  <si>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</si>
  <si>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</si>
  <si>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</si>
  <si>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</si>
  <si>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</si>
  <si>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</si>
  <si>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</si>
  <si>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</si>
  <si>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</si>
  <si>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</si>
  <si>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</si>
  <si>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</si>
  <si>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</si>
  <si>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</si>
  <si>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</si>
  <si>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</si>
  <si>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</si>
  <si>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</si>
  <si>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</si>
  <si>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</si>
  <si>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</si>
  <si>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</si>
  <si>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</si>
  <si>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</si>
  <si>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</si>
  <si>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</si>
  <si>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</si>
  <si>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</si>
  <si>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</si>
  <si>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</si>
  <si>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</si>
  <si>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</si>
  <si>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</si>
  <si>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</si>
  <si>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</si>
  <si>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</si>
  <si>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</si>
  <si>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</si>
  <si>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</si>
  <si>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</si>
  <si>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</si>
  <si>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</si>
  <si>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</si>
  <si>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</si>
  <si>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</si>
  <si>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</si>
  <si>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</si>
  <si>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</si>
  <si>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</si>
  <si>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</si>
  <si>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</si>
  <si>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</si>
  <si>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</si>
  <si>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</si>
  <si>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</si>
  <si>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</si>
  <si>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</si>
  <si>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</si>
  <si>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</si>
  <si>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</si>
  <si>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</si>
  <si>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</si>
  <si>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</si>
  <si>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</si>
  <si>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</si>
  <si>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</si>
  <si>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</si>
  <si>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</si>
  <si>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</si>
  <si>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</si>
  <si>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</si>
  <si>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</si>
  <si>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</si>
  <si>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</si>
  <si>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</si>
  <si>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</si>
  <si>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</si>
  <si>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</si>
  <si>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</si>
  <si>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</si>
  <si>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</si>
  <si>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</si>
  <si>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</si>
  <si>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</si>
  <si>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</si>
  <si>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</si>
  <si>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</si>
  <si>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</si>
  <si>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</si>
  <si>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</si>
  <si>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</si>
  <si>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</si>
  <si>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</si>
  <si>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</si>
  <si>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</si>
  <si>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</si>
  <si>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</si>
  <si>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</si>
  <si>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</si>
  <si>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</si>
  <si>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</si>
  <si>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</si>
  <si>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</si>
  <si>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</si>
  <si>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</si>
  <si>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</si>
  <si>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</si>
  <si>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</si>
  <si>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</si>
  <si>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</si>
  <si>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</si>
  <si>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</si>
  <si>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</si>
  <si>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</si>
  <si>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</si>
  <si>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</si>
  <si>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</si>
  <si>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</si>
  <si>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</si>
  <si>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</si>
  <si>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</si>
  <si>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</si>
  <si>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</si>
  <si>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</si>
  <si>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</si>
  <si>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</si>
  <si>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</si>
  <si>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</si>
  <si>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</si>
  <si>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</si>
  <si>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</si>
  <si>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</si>
  <si>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</si>
  <si>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</si>
  <si>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</si>
  <si>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</si>
  <si>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</si>
  <si>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</si>
  <si>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</si>
  <si>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</si>
  <si>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</si>
  <si>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</si>
  <si>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</si>
  <si>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</si>
  <si>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</si>
  <si>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</si>
  <si>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</si>
  <si>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</si>
  <si>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</si>
  <si>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</si>
  <si>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</si>
  <si>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</si>
  <si>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</si>
  <si>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</si>
  <si>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</si>
  <si>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</si>
  <si>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</si>
  <si>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</si>
  <si>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</si>
  <si>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</si>
  <si>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</si>
  <si>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</si>
  <si>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</si>
  <si>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</si>
  <si>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</si>
  <si>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</si>
  <si>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</si>
  <si>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</si>
  <si>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</si>
  <si>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</si>
  <si>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</si>
  <si>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</si>
  <si>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</si>
  <si>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</si>
  <si>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</si>
  <si>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</si>
  <si>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</si>
  <si>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</si>
  <si>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</si>
  <si>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</si>
  <si>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</si>
  <si>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</si>
  <si>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</si>
  <si>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</si>
  <si>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</si>
  <si>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</si>
  <si>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</si>
  <si>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</si>
  <si>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</si>
  <si>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</si>
  <si>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</si>
  <si>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</si>
  <si>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</si>
  <si>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</si>
  <si>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</si>
  <si>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</si>
  <si>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</si>
  <si>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</si>
  <si>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</si>
  <si>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</si>
  <si>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</si>
  <si>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</si>
  <si>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</si>
  <si>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</si>
  <si>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</si>
  <si>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</si>
  <si>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</si>
  <si>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</si>
  <si>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</si>
  <si>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</si>
  <si>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</si>
  <si>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</si>
  <si>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</si>
  <si>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</si>
  <si>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</si>
  <si>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</si>
  <si>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</si>
  <si>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</si>
  <si>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</si>
  <si>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</si>
  <si>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</si>
  <si>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</si>
  <si>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</si>
  <si>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</si>
  <si>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</si>
  <si>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</si>
  <si>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</si>
  <si>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</si>
  <si>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</si>
  <si>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</si>
  <si>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</si>
  <si>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</si>
  <si>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상수도공사, 사급자재비, 운반비, 기타공사</t>
    <phoneticPr fontId="2" type="noConversion"/>
  </si>
  <si>
    <t>한국국토정보공사 사옥신축공사</t>
    <phoneticPr fontId="2" type="noConversion"/>
  </si>
  <si>
    <t>업무</t>
  </si>
  <si>
    <t>충청도</t>
  </si>
  <si>
    <t>공조배관공사, 우수처리시설공사, 기타공사</t>
    <phoneticPr fontId="2" type="noConversion"/>
  </si>
  <si>
    <t>원격검침 설비공사, 기타공사</t>
    <phoneticPr fontId="2" type="noConversion"/>
  </si>
  <si>
    <t>CCTV설비공사, 주차관제설비공사</t>
    <phoneticPr fontId="2" type="noConversion"/>
  </si>
  <si>
    <t>옥외소화배관공사</t>
    <phoneticPr fontId="2" type="noConversion"/>
  </si>
  <si>
    <t>포장공사,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</si>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</sst>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4991.1099999999997</v>
      </c>
      <c r="D7" s="36">
        <f>+C7/3.3058</f>
        <v>1509.8039808820859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1031140</v>
      </c>
      <c r="E25" s="59">
        <f t="shared" si="0"/>
        <v>3408740</v>
      </c>
    </row>
    <row r="26" spans="1:5" x14ac:dyDescent="0.3">
      <c r="B26" s="2">
        <v>3</v>
      </c>
      <c r="C26" s="35" t="s">
        <v>95</v>
      </c>
      <c r="D26" s="45">
        <f>+D66</f>
        <v>59930</v>
      </c>
      <c r="E26" s="59">
        <f t="shared" si="0"/>
        <v>198110</v>
      </c>
    </row>
    <row r="27" spans="1:5" x14ac:dyDescent="0.3">
      <c r="B27" s="2">
        <v>4</v>
      </c>
      <c r="C27" s="35" t="s">
        <v>96</v>
      </c>
      <c r="D27" s="45">
        <f>+D95</f>
        <v>300580</v>
      </c>
      <c r="E27" s="59">
        <f t="shared" si="0"/>
        <v>993650</v>
      </c>
    </row>
    <row r="28" spans="1:5" x14ac:dyDescent="0.3">
      <c r="B28" s="2">
        <v>5</v>
      </c>
      <c r="C28" s="35" t="s">
        <v>97</v>
      </c>
      <c r="D28" s="45">
        <f>+D119</f>
        <v>222070</v>
      </c>
      <c r="E28" s="59">
        <f t="shared" si="0"/>
        <v>734110</v>
      </c>
    </row>
    <row r="29" spans="1:5" x14ac:dyDescent="0.3">
      <c r="B29" s="2">
        <v>6</v>
      </c>
      <c r="C29" s="35" t="s">
        <v>98</v>
      </c>
      <c r="D29" s="45">
        <f>+D133</f>
        <v>68860</v>
      </c>
      <c r="E29" s="59">
        <f t="shared" si="0"/>
        <v>227630</v>
      </c>
    </row>
    <row r="30" spans="1:5" x14ac:dyDescent="0.3">
      <c r="B30" s="2">
        <v>7</v>
      </c>
      <c r="C30" s="35" t="s">
        <v>99</v>
      </c>
      <c r="D30" s="45">
        <f>+D146</f>
        <v>47790</v>
      </c>
      <c r="E30" s="59">
        <f t="shared" si="0"/>
        <v>157980</v>
      </c>
    </row>
    <row r="31" spans="1:5" x14ac:dyDescent="0.3">
      <c r="B31" s="2">
        <v>8</v>
      </c>
      <c r="C31" s="35" t="s">
        <v>100</v>
      </c>
      <c r="D31" s="45">
        <f>+D154</f>
        <v>25480</v>
      </c>
      <c r="E31" s="59">
        <f t="shared" si="0"/>
        <v>84230</v>
      </c>
    </row>
    <row r="32" spans="1:5" x14ac:dyDescent="0.3">
      <c r="B32" s="2">
        <v>9</v>
      </c>
      <c r="C32" s="35" t="s">
        <v>101</v>
      </c>
      <c r="D32" s="45">
        <f>+D161</f>
        <v>25150</v>
      </c>
      <c r="E32" s="59">
        <f t="shared" si="0"/>
        <v>83140</v>
      </c>
    </row>
    <row r="33" spans="1:7" x14ac:dyDescent="0.3">
      <c r="B33" s="2">
        <v>10</v>
      </c>
      <c r="C33" s="35" t="s">
        <v>154</v>
      </c>
      <c r="D33" s="53">
        <f>TRUNC(SUM(D24:D32)*0.275,-1)</f>
        <v>489770</v>
      </c>
      <c r="E33" s="60">
        <f t="shared" si="0"/>
        <v>1619080</v>
      </c>
    </row>
    <row r="34" spans="1:7" x14ac:dyDescent="0.3">
      <c r="C34" s="35" t="s">
        <v>112</v>
      </c>
      <c r="D34" s="44">
        <f>SUM(D24:D33)</f>
        <v>2270770</v>
      </c>
      <c r="E34" s="44">
        <f>SUM(E24:E33)</f>
        <v>7506670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TRUNC(68688,-1)</f>
        <v>68680</v>
      </c>
      <c r="E40" s="62">
        <f t="shared" ref="E40:E59" si="1">TRUNC(+D40*3.3058,-1)</f>
        <v>227040</v>
      </c>
    </row>
    <row r="41" spans="1:7" x14ac:dyDescent="0.3">
      <c r="A41" s="2">
        <v>2</v>
      </c>
      <c r="C41" s="38" t="s">
        <v>13</v>
      </c>
      <c r="D41" s="42">
        <f>TRUNC(176512,-1)</f>
        <v>176510</v>
      </c>
      <c r="E41" s="63">
        <f t="shared" si="1"/>
        <v>583500</v>
      </c>
    </row>
    <row r="42" spans="1:7" x14ac:dyDescent="0.3">
      <c r="A42" s="2">
        <v>3</v>
      </c>
      <c r="C42" s="38" t="s">
        <v>14</v>
      </c>
      <c r="D42" s="42">
        <f>TRUNC(43098,-1)</f>
        <v>43090</v>
      </c>
      <c r="E42" s="63">
        <f t="shared" si="1"/>
        <v>142440</v>
      </c>
    </row>
    <row r="43" spans="1:7" x14ac:dyDescent="0.3">
      <c r="A43" s="2">
        <v>4</v>
      </c>
      <c r="C43" s="38" t="s">
        <v>16</v>
      </c>
      <c r="D43" s="42">
        <f>TRUNC(8206,-1)</f>
        <v>8200</v>
      </c>
      <c r="E43" s="63">
        <f t="shared" si="1"/>
        <v>27100</v>
      </c>
    </row>
    <row r="44" spans="1:7" x14ac:dyDescent="0.3">
      <c r="A44" s="2">
        <v>5</v>
      </c>
      <c r="C44" s="38" t="s">
        <v>17</v>
      </c>
      <c r="D44" s="42">
        <f>TRUNC(30964,-1)</f>
        <v>30960</v>
      </c>
      <c r="E44" s="63">
        <f t="shared" si="1"/>
        <v>102340</v>
      </c>
    </row>
    <row r="45" spans="1:7" x14ac:dyDescent="0.3">
      <c r="A45" s="2">
        <v>6</v>
      </c>
      <c r="C45" s="38" t="s">
        <v>18</v>
      </c>
      <c r="D45" s="42">
        <f>TRUNC(11287,-1)</f>
        <v>11280</v>
      </c>
      <c r="E45" s="63">
        <f t="shared" si="1"/>
        <v>37280</v>
      </c>
    </row>
    <row r="46" spans="1:7" x14ac:dyDescent="0.3">
      <c r="A46" s="2">
        <v>7</v>
      </c>
      <c r="C46" s="38" t="s">
        <v>19</v>
      </c>
      <c r="D46" s="42">
        <f>TRUNC(7657,-1)</f>
        <v>7650</v>
      </c>
      <c r="E46" s="63">
        <f t="shared" si="1"/>
        <v>25280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TRUNC(38227,-1)</f>
        <v>38220</v>
      </c>
      <c r="E48" s="63">
        <f t="shared" si="1"/>
        <v>126340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TRUNC(25738,-1)</f>
        <v>25730</v>
      </c>
      <c r="E49" s="63">
        <f t="shared" si="1"/>
        <v>85050</v>
      </c>
    </row>
    <row r="50" spans="1:7" x14ac:dyDescent="0.3">
      <c r="A50" s="2">
        <v>11</v>
      </c>
      <c r="C50" s="38" t="s">
        <v>155</v>
      </c>
      <c r="D50" s="42">
        <f>TRUNC(72308,-1)</f>
        <v>72300</v>
      </c>
      <c r="E50" s="63">
        <f t="shared" si="1"/>
        <v>239000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15520</v>
      </c>
      <c r="E52" s="63">
        <f t="shared" si="1"/>
        <v>51300</v>
      </c>
    </row>
    <row r="53" spans="1:7" x14ac:dyDescent="0.3">
      <c r="A53" s="2">
        <v>14</v>
      </c>
      <c r="C53" s="38" t="s">
        <v>25</v>
      </c>
      <c r="D53" s="42">
        <f>TRUNC(102517,-1)</f>
        <v>102510</v>
      </c>
      <c r="E53" s="63">
        <f t="shared" si="1"/>
        <v>338870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TRUNC(14928+4653-1342+5202,-1)</f>
        <v>23440</v>
      </c>
      <c r="E58" s="63">
        <f t="shared" si="1"/>
        <v>77480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TRUNC(407053,-1)</f>
        <v>407050</v>
      </c>
      <c r="E59" s="64">
        <f t="shared" si="1"/>
        <v>1345620</v>
      </c>
    </row>
    <row r="60" spans="1:7" x14ac:dyDescent="0.3">
      <c r="A60" s="2">
        <v>21</v>
      </c>
      <c r="C60" s="27" t="s">
        <v>112</v>
      </c>
      <c r="D60" s="39">
        <f>SUM(D40:D59)</f>
        <v>1031140</v>
      </c>
      <c r="E60" s="39">
        <f>SUM(E40:E59)</f>
        <v>3408640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TRUNC(12239,-1)</f>
        <v>12230</v>
      </c>
      <c r="E63" s="62">
        <f>TRUNC(+D63*3.3058,-1)</f>
        <v>40420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TRUNC(47702,-1)</f>
        <v>47700</v>
      </c>
      <c r="E65" s="64">
        <f>TRUNC(+D65*3.3058,-1)</f>
        <v>157680</v>
      </c>
    </row>
    <row r="66" spans="1:7" x14ac:dyDescent="0.3">
      <c r="A66" s="2">
        <v>4</v>
      </c>
      <c r="C66" s="27" t="s">
        <v>112</v>
      </c>
      <c r="D66" s="39">
        <f>SUM(D63:D65)</f>
        <v>59930</v>
      </c>
      <c r="E66" s="65">
        <f>SUM(E63:E65)</f>
        <v>198100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TRUNC(27915,-1)</f>
        <v>27910</v>
      </c>
      <c r="E69" s="62">
        <f t="shared" ref="E69:E94" si="2">TRUNC(+D69*3.3058,-1)</f>
        <v>92260</v>
      </c>
    </row>
    <row r="70" spans="1:7" ht="16.5" customHeight="1" x14ac:dyDescent="0.3">
      <c r="A70" s="2">
        <v>2</v>
      </c>
      <c r="C70" s="38" t="s">
        <v>31</v>
      </c>
      <c r="D70" s="42">
        <f>TRUNC(6861,-1)</f>
        <v>6860</v>
      </c>
      <c r="E70" s="63">
        <f t="shared" si="2"/>
        <v>22670</v>
      </c>
    </row>
    <row r="71" spans="1:7" x14ac:dyDescent="0.3">
      <c r="A71" s="2">
        <v>3</v>
      </c>
      <c r="C71" s="38" t="s">
        <v>32</v>
      </c>
      <c r="D71" s="42">
        <f>TRUNC(31214,-1)</f>
        <v>31210</v>
      </c>
      <c r="E71" s="63">
        <f t="shared" si="2"/>
        <v>103170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TRUNC(15218,-1)</f>
        <v>15210</v>
      </c>
      <c r="E73" s="63">
        <f t="shared" si="2"/>
        <v>50280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TRUNC(9787,-1)</f>
        <v>9780</v>
      </c>
      <c r="E89" s="63">
        <f t="shared" si="2"/>
        <v>32330</v>
      </c>
    </row>
    <row r="90" spans="1:7" x14ac:dyDescent="0.3">
      <c r="A90" s="2">
        <v>22</v>
      </c>
      <c r="C90" s="38" t="s">
        <v>36</v>
      </c>
      <c r="D90" s="42">
        <f>TRUNC(2012,-1)</f>
        <v>2010</v>
      </c>
      <c r="E90" s="63">
        <f t="shared" si="2"/>
        <v>6640</v>
      </c>
    </row>
    <row r="91" spans="1:7" x14ac:dyDescent="0.3">
      <c r="A91" s="2">
        <v>23</v>
      </c>
      <c r="C91" s="38" t="s">
        <v>37</v>
      </c>
      <c r="D91" s="42">
        <v>10680</v>
      </c>
      <c r="E91" s="63">
        <f t="shared" si="2"/>
        <v>35300</v>
      </c>
    </row>
    <row r="92" spans="1:7" x14ac:dyDescent="0.3">
      <c r="A92" s="2">
        <v>24</v>
      </c>
      <c r="C92" s="38" t="s">
        <v>38</v>
      </c>
      <c r="D92" s="42">
        <f>TRUNC(4667,-1)</f>
        <v>4660</v>
      </c>
      <c r="E92" s="63">
        <f t="shared" si="2"/>
        <v>15400</v>
      </c>
    </row>
    <row r="93" spans="1:7" x14ac:dyDescent="0.3">
      <c r="A93" s="2">
        <v>25</v>
      </c>
      <c r="C93" s="38" t="s">
        <v>148</v>
      </c>
      <c r="D93" s="42">
        <f>TRUNC(129623,-1)</f>
        <v>129620</v>
      </c>
      <c r="E93" s="63">
        <f t="shared" si="2"/>
        <v>428490</v>
      </c>
    </row>
    <row r="94" spans="1:7" ht="17.25" thickBot="1" x14ac:dyDescent="0.35">
      <c r="A94" s="2">
        <v>26</v>
      </c>
      <c r="C94" s="38" t="s">
        <v>47</v>
      </c>
      <c r="D94" s="43">
        <f>TRUNC(48253+6284+8108,-1)</f>
        <v>62640</v>
      </c>
      <c r="E94" s="64">
        <f t="shared" si="2"/>
        <v>207070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300580</v>
      </c>
      <c r="E95" s="39">
        <f>SUM(E69:E94)</f>
        <v>993610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TRUNC(9197,-1)</f>
        <v>9190</v>
      </c>
      <c r="E98" s="62">
        <f t="shared" ref="E98:E118" si="3">TRUNC(+D98*3.3058,-1)</f>
        <v>30380</v>
      </c>
    </row>
    <row r="99" spans="1:7" x14ac:dyDescent="0.3">
      <c r="A99" s="2">
        <v>2</v>
      </c>
      <c r="C99" s="38" t="s">
        <v>40</v>
      </c>
      <c r="D99" s="42">
        <v>11120</v>
      </c>
      <c r="E99" s="63">
        <f t="shared" si="3"/>
        <v>36760</v>
      </c>
    </row>
    <row r="100" spans="1:7" x14ac:dyDescent="0.3">
      <c r="A100" s="2">
        <v>3</v>
      </c>
      <c r="C100" s="38" t="s">
        <v>41</v>
      </c>
      <c r="D100" s="42">
        <f>TRUNC(29098,-1)</f>
        <v>29090</v>
      </c>
      <c r="E100" s="63">
        <f t="shared" si="3"/>
        <v>96160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TRUNC(16287,-1)</f>
        <v>16280</v>
      </c>
      <c r="E102" s="63">
        <f t="shared" si="3"/>
        <v>53810</v>
      </c>
    </row>
    <row r="103" spans="1:7" x14ac:dyDescent="0.3">
      <c r="A103" s="2">
        <v>6</v>
      </c>
      <c r="C103" s="38" t="s">
        <v>44</v>
      </c>
      <c r="D103" s="42">
        <f>TRUNC(8731,-1)</f>
        <v>8730</v>
      </c>
      <c r="E103" s="63">
        <f t="shared" si="3"/>
        <v>28850</v>
      </c>
    </row>
    <row r="104" spans="1:7" x14ac:dyDescent="0.3">
      <c r="A104" s="2">
        <v>7</v>
      </c>
      <c r="C104" s="38" t="s">
        <v>45</v>
      </c>
      <c r="D104" s="42">
        <f>TRUNC(3775,-1)</f>
        <v>3770</v>
      </c>
      <c r="E104" s="63">
        <f t="shared" si="3"/>
        <v>12460</v>
      </c>
    </row>
    <row r="105" spans="1:7" x14ac:dyDescent="0.3">
      <c r="A105" s="2">
        <v>8</v>
      </c>
      <c r="C105" s="38" t="s">
        <v>46</v>
      </c>
      <c r="D105" s="42">
        <f>TRUNC(3585,-1)</f>
        <v>3580</v>
      </c>
      <c r="E105" s="63">
        <f t="shared" si="3"/>
        <v>11830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TRUNC(4178,-1)</f>
        <v>4170</v>
      </c>
      <c r="E114" s="63">
        <f t="shared" si="3"/>
        <v>13780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TRUNC(5667,-1)</f>
        <v>5660</v>
      </c>
      <c r="E116" s="63">
        <f t="shared" si="3"/>
        <v>18710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TRUNC(125301,-1)</f>
        <v>125300</v>
      </c>
      <c r="E117" s="63">
        <f t="shared" si="3"/>
        <v>414210</v>
      </c>
    </row>
    <row r="118" spans="1:7" ht="17.25" thickBot="1" x14ac:dyDescent="0.35">
      <c r="A118" s="2">
        <v>21</v>
      </c>
      <c r="C118" s="38" t="s">
        <v>47</v>
      </c>
      <c r="D118" s="43">
        <f>3068+2112</f>
        <v>5180</v>
      </c>
      <c r="E118" s="64">
        <f t="shared" si="3"/>
        <v>17120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222070</v>
      </c>
      <c r="E119" s="39">
        <f>SUM(E98:E118)</f>
        <v>734070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TRUNC(3418,-1)</f>
        <v>3410</v>
      </c>
      <c r="E122" s="62">
        <f t="shared" ref="E122:E132" si="4">TRUNC(+D122*3.3058,-1)</f>
        <v>11270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1110</v>
      </c>
      <c r="E124" s="63">
        <f t="shared" si="4"/>
        <v>3660</v>
      </c>
    </row>
    <row r="125" spans="1:7" x14ac:dyDescent="0.3">
      <c r="A125" s="2">
        <v>4</v>
      </c>
      <c r="C125" s="38" t="s">
        <v>138</v>
      </c>
      <c r="D125" s="42">
        <f>TRUNC(6997,-1)</f>
        <v>6990</v>
      </c>
      <c r="E125" s="63">
        <f t="shared" si="4"/>
        <v>23100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TRUNC(2509,-1)</f>
        <v>2500</v>
      </c>
      <c r="E127" s="63">
        <f t="shared" si="4"/>
        <v>8260</v>
      </c>
    </row>
    <row r="128" spans="1:7" x14ac:dyDescent="0.3">
      <c r="A128" s="2">
        <v>7</v>
      </c>
      <c r="C128" s="38" t="s">
        <v>46</v>
      </c>
      <c r="D128" s="42">
        <f>TRUNC(6039,-1)</f>
        <v>6030</v>
      </c>
      <c r="E128" s="63">
        <f t="shared" si="4"/>
        <v>19930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TRUNC(46308,-1)</f>
        <v>46300</v>
      </c>
      <c r="E130" s="63">
        <f t="shared" si="4"/>
        <v>153050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TRUNC(1884+637,-1)</f>
        <v>2520</v>
      </c>
      <c r="E132" s="64">
        <f t="shared" si="4"/>
        <v>8330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68860</v>
      </c>
      <c r="E133" s="39">
        <f>SUM(E122:E132)</f>
        <v>227600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TRUNC(16103,-1)</f>
        <v>16100</v>
      </c>
      <c r="E137" s="63">
        <f t="shared" si="5"/>
        <v>53220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TRUNC(3503,-1)</f>
        <v>3500</v>
      </c>
      <c r="E139" s="63">
        <f t="shared" si="5"/>
        <v>11570</v>
      </c>
    </row>
    <row r="140" spans="1:7" x14ac:dyDescent="0.3">
      <c r="A140" s="2">
        <v>5</v>
      </c>
      <c r="C140" s="38" t="s">
        <v>57</v>
      </c>
      <c r="D140" s="42">
        <f>TRUNC(2623,-1)</f>
        <v>2620</v>
      </c>
      <c r="E140" s="63">
        <f t="shared" si="5"/>
        <v>8660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TRUNC(4393,-1)</f>
        <v>4390</v>
      </c>
      <c r="E143" s="63">
        <f t="shared" si="5"/>
        <v>14510</v>
      </c>
    </row>
    <row r="144" spans="1:7" x14ac:dyDescent="0.3">
      <c r="A144" s="2">
        <v>9</v>
      </c>
      <c r="C144" s="38" t="s">
        <v>63</v>
      </c>
      <c r="D144" s="42">
        <f>TRUNC(21188,-1)</f>
        <v>21180</v>
      </c>
      <c r="E144" s="63">
        <f t="shared" si="5"/>
        <v>70010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47790</v>
      </c>
      <c r="E146" s="39">
        <f>SUM(E136:E145)</f>
        <v>157970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TRUNC(2801+217,-1)</f>
        <v>3010</v>
      </c>
      <c r="E149" s="62">
        <f>TRUNC(+D149*3.3058,-1)</f>
        <v>9950</v>
      </c>
    </row>
    <row r="150" spans="1:7" x14ac:dyDescent="0.3">
      <c r="A150" s="2">
        <v>2</v>
      </c>
      <c r="C150" s="38" t="s">
        <v>49</v>
      </c>
      <c r="D150" s="42">
        <f>TRUNC(2574,-1)</f>
        <v>2570</v>
      </c>
      <c r="E150" s="63">
        <f>TRUNC(+D150*3.3058,-1)</f>
        <v>8490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194+2970+2+614</f>
        <v>3780</v>
      </c>
      <c r="E152" s="63">
        <f>TRUNC(+D152*3.3058,-1)</f>
        <v>12490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f>TRUNC(16126,-1)</f>
        <v>16120</v>
      </c>
      <c r="E153" s="64">
        <f>TRUNC(+D153*3.3058,-1)</f>
        <v>53280</v>
      </c>
    </row>
    <row r="154" spans="1:7" x14ac:dyDescent="0.3">
      <c r="A154" s="2">
        <v>6</v>
      </c>
      <c r="C154" s="27" t="s">
        <v>112</v>
      </c>
      <c r="D154" s="39">
        <f>SUM(D149:D153)</f>
        <v>25480</v>
      </c>
      <c r="E154" s="39">
        <f>SUM(E149:E153)</f>
        <v>84210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TRUNC(13591,-1)</f>
        <v>13590</v>
      </c>
      <c r="E157" s="62">
        <f>TRUNC(+D157*3.3058,-1)</f>
        <v>44920</v>
      </c>
    </row>
    <row r="158" spans="1:7" x14ac:dyDescent="0.3">
      <c r="A158" s="2">
        <v>2</v>
      </c>
      <c r="C158" s="38" t="s">
        <v>52</v>
      </c>
      <c r="D158" s="42">
        <f>TRUNC(427,-1)</f>
        <v>420</v>
      </c>
      <c r="E158" s="63">
        <f>TRUNC(+D158*3.3058,-1)</f>
        <v>1380</v>
      </c>
    </row>
    <row r="159" spans="1:7" x14ac:dyDescent="0.3">
      <c r="A159" s="2">
        <v>3</v>
      </c>
      <c r="C159" s="38" t="s">
        <v>47</v>
      </c>
      <c r="D159" s="42">
        <f>TRUNC(10621+527,-1)</f>
        <v>11140</v>
      </c>
      <c r="E159" s="63">
        <f>TRUNC(+D159*3.3058,-1)</f>
        <v>36820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25150</v>
      </c>
      <c r="E161" s="39">
        <f>SUM(E157:E160)</f>
        <v>83120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2020-12-08T02:09:26Z</dcterms:modified>
</cp:coreProperties>
</file>