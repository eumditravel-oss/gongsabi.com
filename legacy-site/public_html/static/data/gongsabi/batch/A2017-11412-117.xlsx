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0" i="4"/>
  <c r="D149" i="4"/>
  <c r="D144" i="4"/>
  <c r="D143" i="4"/>
  <c r="D142" i="4"/>
  <c r="D141" i="4"/>
  <c r="D140" i="4"/>
  <c r="D137" i="4"/>
  <c r="D132" i="4"/>
  <c r="D131" i="4"/>
  <c r="D130" i="4"/>
  <c r="D126" i="4"/>
  <c r="D124" i="4"/>
  <c r="D118" i="4"/>
  <c r="D117" i="4"/>
  <c r="D116" i="4"/>
  <c r="D104" i="4"/>
  <c r="D103" i="4"/>
  <c r="D102" i="4"/>
  <c r="D100" i="4"/>
  <c r="D99" i="4"/>
  <c r="D98" i="4"/>
  <c r="D94" i="4"/>
  <c r="D93" i="4"/>
  <c r="D92" i="4"/>
  <c r="D91" i="4"/>
  <c r="D89" i="4"/>
  <c r="D71" i="4"/>
  <c r="D70" i="4"/>
  <c r="D69" i="4"/>
  <c r="D63" i="4"/>
  <c r="D59" i="4"/>
  <c r="D58" i="4"/>
  <c r="D53" i="4"/>
  <c r="D52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<sst xmlns="http://schemas.openxmlformats.org/spreadsheetml/2006/main" count="390" uniqueCount="264">
  <si>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</si>
  <si>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</si>
  <si>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</si>
  <si>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</si>
  <si>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</si>
  <si>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</si>
  <si>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</si>
  <si>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</si>
  <si>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</si>
  <si>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</si>
  <si>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</si>
  <si>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</si>
  <si>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</si>
  <si>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</si>
  <si>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</si>
  <si>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</si>
  <si>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</si>
  <si>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</si>
  <si>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</si>
  <si>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</si>
  <si>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</si>
  <si>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</si>
  <si>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</si>
  <si>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</si>
  <si>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</si>
  <si>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</si>
  <si>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</si>
  <si>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</si>
  <si>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</si>
  <si>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</si>
  <si>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</si>
  <si>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</si>
  <si>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</si>
  <si>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</si>
  <si>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</si>
  <si>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</si>
  <si>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</si>
  <si>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</si>
  <si>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</si>
  <si>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</si>
  <si>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</si>
  <si>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</si>
  <si>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</si>
  <si>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</si>
  <si>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</si>
  <si>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</si>
  <si>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</si>
  <si>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</si>
  <si>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</si>
  <si>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</si>
  <si>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</si>
  <si>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</si>
  <si>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</si>
  <si>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</si>
  <si>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</si>
  <si>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</si>
  <si>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</si>
  <si>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</si>
  <si>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</si>
  <si>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</si>
  <si>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</si>
  <si>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</si>
  <si>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</si>
  <si>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</si>
  <si>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</si>
  <si>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</si>
  <si>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</si>
  <si>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</si>
  <si>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</si>
  <si>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</si>
  <si>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</si>
  <si>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</si>
  <si>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</si>
  <si>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</si>
  <si>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</si>
  <si>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</si>
  <si>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</si>
  <si>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</si>
  <si>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</si>
  <si>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</si>
  <si>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</si>
  <si>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</si>
  <si>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</si>
  <si>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</si>
  <si>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</si>
  <si>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</si>
  <si>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</si>
  <si>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</si>
  <si>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</si>
  <si>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</si>
  <si>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</si>
  <si>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</si>
  <si>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</si>
  <si>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</si>
  <si>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</si>
  <si>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</si>
  <si>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</si>
  <si>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</si>
  <si>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</si>
  <si>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</si>
  <si>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</si>
  <si>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</si>
  <si>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</si>
  <si>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</si>
  <si>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</si>
  <si>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</si>
  <si>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</si>
  <si>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</si>
  <si>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</si>
  <si>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</si>
  <si>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</si>
  <si>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</si>
  <si>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</si>
  <si>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</si>
  <si>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</si>
  <si>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</si>
  <si>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</si>
  <si>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</si>
  <si>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</si>
  <si>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</si>
  <si>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</si>
  <si>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</si>
  <si>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</si>
  <si>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</si>
  <si>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</si>
  <si>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</si>
  <si>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</si>
  <si>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</si>
  <si>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</si>
  <si>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</si>
  <si>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</si>
  <si>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</si>
  <si>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</si>
  <si>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</si>
  <si>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</si>
  <si>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</si>
  <si>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</si>
  <si>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</si>
  <si>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</si>
  <si>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</si>
  <si>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</si>
  <si>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</si>
  <si>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</si>
  <si>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</si>
  <si>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</si>
  <si>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</si>
  <si>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</si>
  <si>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</si>
  <si>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</si>
  <si>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</si>
  <si>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</si>
  <si>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</si>
  <si>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</si>
  <si>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</si>
  <si>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</si>
  <si>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</si>
  <si>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</si>
  <si>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</si>
  <si>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</si>
  <si>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</si>
  <si>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</si>
  <si>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</si>
  <si>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</si>
  <si>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</si>
  <si>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</si>
  <si>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</si>
  <si>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</si>
  <si>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</si>
  <si>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</si>
  <si>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</si>
  <si>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</si>
  <si>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</si>
  <si>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</si>
  <si>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</si>
  <si>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</si>
  <si>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</si>
  <si>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</si>
  <si>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</si>
  <si>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</si>
  <si>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</si>
  <si>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</si>
  <si>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</si>
  <si>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</si>
  <si>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</si>
  <si>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</si>
  <si>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</si>
  <si>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</si>
  <si>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</si>
  <si>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</si>
  <si>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</si>
  <si>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</si>
  <si>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</si>
  <si>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</si>
  <si>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</si>
  <si>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</si>
  <si>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</si>
  <si>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</si>
  <si>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</si>
  <si>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</si>
  <si>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</si>
  <si>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</si>
  <si>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</si>
  <si>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</si>
  <si>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</si>
  <si>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</si>
  <si>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</si>
  <si>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</si>
  <si>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</si>
  <si>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</si>
  <si>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</si>
  <si>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</si>
  <si>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</si>
  <si>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</si>
  <si>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</si>
  <si>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</si>
  <si>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</si>
  <si>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</si>
  <si>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</si>
  <si>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</si>
  <si>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</si>
  <si>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</si>
  <si>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</si>
  <si>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</si>
  <si>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</si>
  <si>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</si>
  <si>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</si>
  <si>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</si>
  <si>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</si>
  <si>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</si>
  <si>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</si>
  <si>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</si>
  <si>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</si>
  <si>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</si>
  <si>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</si>
  <si>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</si>
  <si>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</si>
  <si>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</si>
  <si>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</si>
  <si>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</si>
  <si>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</si>
  <si>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</si>
  <si>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</si>
  <si>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</si>
  <si>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</si>
  <si>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</si>
  <si>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</si>
  <si>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</si>
  <si>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</si>
  <si>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</si>
  <si>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</si>
  <si>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</si>
  <si>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</si>
  <si>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</si>
  <si>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</si>
  <si>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</si>
  <si>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</si>
  <si>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신항중 교사 신축공사</t>
    <phoneticPr fontId="2" type="noConversion"/>
  </si>
  <si>
    <t>경상도</t>
  </si>
  <si>
    <t>기초공사, 골재비및운반비, 품질시험비,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</si>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</sst>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11474.31</v>
      </c>
      <c r="D7" s="36">
        <f>+C7/3.3058</f>
        <v>3470.9631556657991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857860</v>
      </c>
      <c r="E25" s="59">
        <f t="shared" si="0"/>
        <v>2835910</v>
      </c>
    </row>
    <row r="26" spans="1:5" x14ac:dyDescent="0.3">
      <c r="B26" s="2">
        <v>3</v>
      </c>
      <c r="C26" s="35" t="s">
        <v>95</v>
      </c>
      <c r="D26" s="45">
        <f>+D66</f>
        <v>4150</v>
      </c>
      <c r="E26" s="59">
        <f t="shared" si="0"/>
        <v>13710</v>
      </c>
    </row>
    <row r="27" spans="1:5" x14ac:dyDescent="0.3">
      <c r="B27" s="2">
        <v>4</v>
      </c>
      <c r="C27" s="35" t="s">
        <v>96</v>
      </c>
      <c r="D27" s="45">
        <f>+D95</f>
        <v>119720</v>
      </c>
      <c r="E27" s="59">
        <f t="shared" si="0"/>
        <v>395770</v>
      </c>
    </row>
    <row r="28" spans="1:5" x14ac:dyDescent="0.3">
      <c r="B28" s="2">
        <v>5</v>
      </c>
      <c r="C28" s="35" t="s">
        <v>97</v>
      </c>
      <c r="D28" s="45">
        <f>+D119</f>
        <v>187300</v>
      </c>
      <c r="E28" s="59">
        <f t="shared" si="0"/>
        <v>619170</v>
      </c>
    </row>
    <row r="29" spans="1:5" x14ac:dyDescent="0.3">
      <c r="B29" s="2">
        <v>6</v>
      </c>
      <c r="C29" s="35" t="s">
        <v>98</v>
      </c>
      <c r="D29" s="45">
        <f>+D133</f>
        <v>78470</v>
      </c>
      <c r="E29" s="59">
        <f t="shared" si="0"/>
        <v>259400</v>
      </c>
    </row>
    <row r="30" spans="1:5" x14ac:dyDescent="0.3">
      <c r="B30" s="2">
        <v>7</v>
      </c>
      <c r="C30" s="35" t="s">
        <v>99</v>
      </c>
      <c r="D30" s="45">
        <f>+D146</f>
        <v>36470</v>
      </c>
      <c r="E30" s="59">
        <f t="shared" si="0"/>
        <v>120560</v>
      </c>
    </row>
    <row r="31" spans="1:5" x14ac:dyDescent="0.3">
      <c r="B31" s="2">
        <v>8</v>
      </c>
      <c r="C31" s="35" t="s">
        <v>100</v>
      </c>
      <c r="D31" s="45">
        <f>+D154</f>
        <v>66210</v>
      </c>
      <c r="E31" s="59">
        <f t="shared" si="0"/>
        <v>218870</v>
      </c>
    </row>
    <row r="32" spans="1:5" x14ac:dyDescent="0.3">
      <c r="B32" s="2">
        <v>9</v>
      </c>
      <c r="C32" s="35" t="s">
        <v>101</v>
      </c>
      <c r="D32" s="45">
        <f>+D161</f>
        <v>31620</v>
      </c>
      <c r="E32" s="59">
        <f t="shared" si="0"/>
        <v>104520</v>
      </c>
    </row>
    <row r="33" spans="1:7" x14ac:dyDescent="0.3">
      <c r="B33" s="2">
        <v>10</v>
      </c>
      <c r="C33" s="35" t="s">
        <v>154</v>
      </c>
      <c r="D33" s="53">
        <f>TRUNC(SUM(D24:D32)*0.275,-1)</f>
        <v>379990</v>
      </c>
      <c r="E33" s="60">
        <f t="shared" si="0"/>
        <v>1256170</v>
      </c>
    </row>
    <row r="34" spans="1:7" x14ac:dyDescent="0.3">
      <c r="C34" s="35" t="s">
        <v>112</v>
      </c>
      <c r="D34" s="44">
        <f>SUM(D24:D33)</f>
        <v>1761790</v>
      </c>
      <c r="E34" s="44">
        <f>SUM(E24:E33)</f>
        <v>5824080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239</v>
      </c>
      <c r="D39" s="57" t="s">
        <v>235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TRUNC(43201,-1)</f>
        <v>43200</v>
      </c>
      <c r="E40" s="62">
        <f t="shared" ref="E40:E59" si="1">TRUNC(+D40*3.3058,-1)</f>
        <v>142810</v>
      </c>
    </row>
    <row r="41" spans="1:7" x14ac:dyDescent="0.3">
      <c r="A41" s="2">
        <v>2</v>
      </c>
      <c r="C41" s="38" t="s">
        <v>13</v>
      </c>
      <c r="D41" s="42">
        <f>TRUNC(156344,-1)</f>
        <v>156340</v>
      </c>
      <c r="E41" s="63">
        <f t="shared" si="1"/>
        <v>516820</v>
      </c>
    </row>
    <row r="42" spans="1:7" x14ac:dyDescent="0.3">
      <c r="A42" s="2">
        <v>3</v>
      </c>
      <c r="C42" s="38" t="s">
        <v>14</v>
      </c>
      <c r="D42" s="42">
        <f>TRUNC(13451,-1)</f>
        <v>13450</v>
      </c>
      <c r="E42" s="63">
        <f t="shared" si="1"/>
        <v>44460</v>
      </c>
    </row>
    <row r="43" spans="1:7" x14ac:dyDescent="0.3">
      <c r="A43" s="2">
        <v>4</v>
      </c>
      <c r="C43" s="38" t="s">
        <v>16</v>
      </c>
      <c r="D43" s="42">
        <f>TRUNC(26544,-1)</f>
        <v>26540</v>
      </c>
      <c r="E43" s="63">
        <f t="shared" si="1"/>
        <v>87730</v>
      </c>
    </row>
    <row r="44" spans="1:7" x14ac:dyDescent="0.3">
      <c r="A44" s="2">
        <v>5</v>
      </c>
      <c r="C44" s="38" t="s">
        <v>17</v>
      </c>
      <c r="D44" s="42">
        <f>TRUNC(20136,-1)</f>
        <v>20130</v>
      </c>
      <c r="E44" s="63">
        <f t="shared" si="1"/>
        <v>66540</v>
      </c>
    </row>
    <row r="45" spans="1:7" x14ac:dyDescent="0.3">
      <c r="A45" s="2">
        <v>6</v>
      </c>
      <c r="C45" s="38" t="s">
        <v>18</v>
      </c>
      <c r="D45" s="42">
        <v>13570</v>
      </c>
      <c r="E45" s="63">
        <f t="shared" si="1"/>
        <v>44850</v>
      </c>
    </row>
    <row r="46" spans="1:7" x14ac:dyDescent="0.3">
      <c r="A46" s="2">
        <v>7</v>
      </c>
      <c r="C46" s="38" t="s">
        <v>19</v>
      </c>
      <c r="D46" s="42">
        <f>TRUNC(34092,-1)</f>
        <v>34090</v>
      </c>
      <c r="E46" s="63">
        <f t="shared" si="1"/>
        <v>112690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TRUNC(46025,-1)</f>
        <v>46020</v>
      </c>
      <c r="E48" s="63">
        <f t="shared" si="1"/>
        <v>152130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TRUNC(17063,-1)</f>
        <v>17060</v>
      </c>
      <c r="E49" s="63">
        <f t="shared" si="1"/>
        <v>56390</v>
      </c>
    </row>
    <row r="50" spans="1:7" x14ac:dyDescent="0.3">
      <c r="A50" s="2">
        <v>11</v>
      </c>
      <c r="C50" s="38" t="s">
        <v>155</v>
      </c>
      <c r="D50" s="42">
        <v>35460</v>
      </c>
      <c r="E50" s="63">
        <f t="shared" si="1"/>
        <v>117220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TRUNC(13009,-1)</f>
        <v>13000</v>
      </c>
      <c r="E52" s="63">
        <f t="shared" si="1"/>
        <v>42970</v>
      </c>
    </row>
    <row r="53" spans="1:7" x14ac:dyDescent="0.3">
      <c r="A53" s="2">
        <v>14</v>
      </c>
      <c r="C53" s="38" t="s">
        <v>25</v>
      </c>
      <c r="D53" s="42">
        <f>TRUNC(67799,-1)</f>
        <v>67790</v>
      </c>
      <c r="E53" s="63">
        <f t="shared" si="1"/>
        <v>224100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TRUNC(40702+12955+281+15800,-1)</f>
        <v>69730</v>
      </c>
      <c r="E58" s="63">
        <f t="shared" si="1"/>
        <v>230510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TRUNC(301487,-1)</f>
        <v>301480</v>
      </c>
      <c r="E59" s="64">
        <f t="shared" si="1"/>
        <v>996630</v>
      </c>
    </row>
    <row r="60" spans="1:7" x14ac:dyDescent="0.3">
      <c r="A60" s="2">
        <v>21</v>
      </c>
      <c r="C60" s="27" t="s">
        <v>112</v>
      </c>
      <c r="D60" s="39">
        <f>SUM(D40:D59)</f>
        <v>857860</v>
      </c>
      <c r="E60" s="39">
        <f>SUM(E40:E59)</f>
        <v>2835850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TRUNC(4153,-1)</f>
        <v>4150</v>
      </c>
      <c r="E63" s="62">
        <f>TRUNC(+D63*3.3058,-1)</f>
        <v>13710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4150</v>
      </c>
      <c r="E66" s="65">
        <f>SUM(E63:E65)</f>
        <v>13710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TRUNC(5806,-1)</f>
        <v>5800</v>
      </c>
      <c r="E69" s="62">
        <f t="shared" ref="E69:E94" si="2">TRUNC(+D69*3.3058,-1)</f>
        <v>19170</v>
      </c>
    </row>
    <row r="70" spans="1:7" ht="16.5" customHeight="1" x14ac:dyDescent="0.3">
      <c r="A70" s="2">
        <v>2</v>
      </c>
      <c r="C70" s="38" t="s">
        <v>31</v>
      </c>
      <c r="D70" s="42">
        <f>TRUNC(2947,-1)</f>
        <v>2940</v>
      </c>
      <c r="E70" s="63">
        <f t="shared" si="2"/>
        <v>9710</v>
      </c>
    </row>
    <row r="71" spans="1:7" x14ac:dyDescent="0.3">
      <c r="A71" s="2">
        <v>3</v>
      </c>
      <c r="C71" s="38" t="s">
        <v>32</v>
      </c>
      <c r="D71" s="42">
        <f>TRUNC(3171,-1)</f>
        <v>3170</v>
      </c>
      <c r="E71" s="63">
        <f t="shared" si="2"/>
        <v>10470</v>
      </c>
    </row>
    <row r="72" spans="1:7" x14ac:dyDescent="0.3">
      <c r="A72" s="2">
        <v>4</v>
      </c>
      <c r="C72" s="38" t="s">
        <v>33</v>
      </c>
      <c r="D72" s="42">
        <v>4110</v>
      </c>
      <c r="E72" s="63">
        <f t="shared" si="2"/>
        <v>13580</v>
      </c>
    </row>
    <row r="73" spans="1:7" x14ac:dyDescent="0.3">
      <c r="A73" s="2">
        <v>5</v>
      </c>
      <c r="C73" s="38" t="s">
        <v>34</v>
      </c>
      <c r="D73" s="42">
        <v>11780</v>
      </c>
      <c r="E73" s="63">
        <f t="shared" si="2"/>
        <v>38940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TRUNC(7467,-1)</f>
        <v>7460</v>
      </c>
      <c r="E89" s="63">
        <f t="shared" si="2"/>
        <v>24660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TRUNC(3319,-1)</f>
        <v>3310</v>
      </c>
      <c r="E91" s="63">
        <f t="shared" si="2"/>
        <v>10940</v>
      </c>
    </row>
    <row r="92" spans="1:7" x14ac:dyDescent="0.3">
      <c r="A92" s="2">
        <v>24</v>
      </c>
      <c r="C92" s="38" t="s">
        <v>38</v>
      </c>
      <c r="D92" s="42">
        <f>TRUNC(9353,-1)</f>
        <v>9350</v>
      </c>
      <c r="E92" s="63">
        <f t="shared" si="2"/>
        <v>30900</v>
      </c>
    </row>
    <row r="93" spans="1:7" x14ac:dyDescent="0.3">
      <c r="A93" s="2">
        <v>25</v>
      </c>
      <c r="C93" s="38" t="s">
        <v>148</v>
      </c>
      <c r="D93" s="42">
        <f>TRUNC(70579,-1)</f>
        <v>70570</v>
      </c>
      <c r="E93" s="63">
        <f t="shared" si="2"/>
        <v>233290</v>
      </c>
    </row>
    <row r="94" spans="1:7" ht="17.25" thickBot="1" x14ac:dyDescent="0.35">
      <c r="A94" s="2">
        <v>26</v>
      </c>
      <c r="C94" s="38" t="s">
        <v>47</v>
      </c>
      <c r="D94" s="43">
        <f>TRUNC(130+130+979,-1)</f>
        <v>1230</v>
      </c>
      <c r="E94" s="64">
        <f t="shared" si="2"/>
        <v>4060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119720</v>
      </c>
      <c r="E95" s="39">
        <f>SUM(E69:E94)</f>
        <v>395720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TRUNC(7438,-1)</f>
        <v>7430</v>
      </c>
      <c r="E98" s="62">
        <f t="shared" ref="E98:E118" si="3">TRUNC(+D98*3.3058,-1)</f>
        <v>24560</v>
      </c>
    </row>
    <row r="99" spans="1:7" x14ac:dyDescent="0.3">
      <c r="A99" s="2">
        <v>2</v>
      </c>
      <c r="C99" s="38" t="s">
        <v>40</v>
      </c>
      <c r="D99" s="42">
        <f>TRUNC(2868,-1)</f>
        <v>2860</v>
      </c>
      <c r="E99" s="63">
        <f t="shared" si="3"/>
        <v>9450</v>
      </c>
    </row>
    <row r="100" spans="1:7" x14ac:dyDescent="0.3">
      <c r="A100" s="2">
        <v>3</v>
      </c>
      <c r="C100" s="38" t="s">
        <v>41</v>
      </c>
      <c r="D100" s="42">
        <f>TRUNC(25329,-1)</f>
        <v>25320</v>
      </c>
      <c r="E100" s="63">
        <f t="shared" si="3"/>
        <v>83700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TRUNC(9488,-1)</f>
        <v>9480</v>
      </c>
      <c r="E102" s="63">
        <f t="shared" si="3"/>
        <v>31330</v>
      </c>
    </row>
    <row r="103" spans="1:7" x14ac:dyDescent="0.3">
      <c r="A103" s="2">
        <v>6</v>
      </c>
      <c r="C103" s="38" t="s">
        <v>44</v>
      </c>
      <c r="D103" s="42">
        <f>TRUNC(3471,-1)</f>
        <v>3470</v>
      </c>
      <c r="E103" s="63">
        <f t="shared" si="3"/>
        <v>11470</v>
      </c>
    </row>
    <row r="104" spans="1:7" x14ac:dyDescent="0.3">
      <c r="A104" s="2">
        <v>7</v>
      </c>
      <c r="C104" s="38" t="s">
        <v>45</v>
      </c>
      <c r="D104" s="42">
        <f>TRUNC(3321,-1)</f>
        <v>3320</v>
      </c>
      <c r="E104" s="63">
        <f t="shared" si="3"/>
        <v>10970</v>
      </c>
    </row>
    <row r="105" spans="1:7" x14ac:dyDescent="0.3">
      <c r="A105" s="2">
        <v>8</v>
      </c>
      <c r="C105" s="38" t="s">
        <v>46</v>
      </c>
      <c r="D105" s="42">
        <v>1550</v>
      </c>
      <c r="E105" s="63">
        <f t="shared" si="3"/>
        <v>5120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TRUNC(71,-1)</f>
        <v>70</v>
      </c>
      <c r="E116" s="63">
        <f t="shared" si="3"/>
        <v>230</v>
      </c>
    </row>
    <row r="117" spans="1:7" x14ac:dyDescent="0.3">
      <c r="A117" s="2">
        <v>20</v>
      </c>
      <c r="C117" s="38" t="s">
        <v>148</v>
      </c>
      <c r="D117" s="42">
        <f>TRUNC(131301,-1)</f>
        <v>131300</v>
      </c>
      <c r="E117" s="63">
        <f t="shared" si="3"/>
        <v>434050</v>
      </c>
    </row>
    <row r="118" spans="1:7" ht="17.25" thickBot="1" x14ac:dyDescent="0.35">
      <c r="A118" s="2">
        <v>21</v>
      </c>
      <c r="C118" s="38" t="s">
        <v>47</v>
      </c>
      <c r="D118" s="43">
        <f>TRUNC(2503,-1)</f>
        <v>2500</v>
      </c>
      <c r="E118" s="64">
        <f t="shared" si="3"/>
        <v>8260</v>
      </c>
    </row>
    <row r="119" spans="1:7" x14ac:dyDescent="0.3">
      <c r="A119" s="2">
        <v>22</v>
      </c>
      <c r="C119" s="27" t="s">
        <v>112</v>
      </c>
      <c r="D119" s="39">
        <f>SUM(D98:D118)</f>
        <v>187300</v>
      </c>
      <c r="E119" s="39">
        <f>SUM(E98:E118)</f>
        <v>619140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4750</v>
      </c>
      <c r="E122" s="62">
        <f t="shared" ref="E122:E132" si="4">TRUNC(+D122*3.3058,-1)</f>
        <v>15700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TRUNC(912,-1)</f>
        <v>910</v>
      </c>
      <c r="E124" s="63">
        <f t="shared" si="4"/>
        <v>3000</v>
      </c>
    </row>
    <row r="125" spans="1:7" x14ac:dyDescent="0.3">
      <c r="A125" s="2">
        <v>4</v>
      </c>
      <c r="C125" s="38" t="s">
        <v>138</v>
      </c>
      <c r="D125" s="42">
        <v>8670</v>
      </c>
      <c r="E125" s="63">
        <f t="shared" si="4"/>
        <v>28660</v>
      </c>
    </row>
    <row r="126" spans="1:7" x14ac:dyDescent="0.3">
      <c r="A126" s="2">
        <v>5</v>
      </c>
      <c r="C126" s="38" t="s">
        <v>53</v>
      </c>
      <c r="D126" s="42">
        <f>TRUNC(3036,-1)</f>
        <v>3030</v>
      </c>
      <c r="E126" s="63">
        <f t="shared" si="4"/>
        <v>10010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4470</v>
      </c>
      <c r="E128" s="63">
        <f t="shared" si="4"/>
        <v>14770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TRUNC(10408,-1)</f>
        <v>10400</v>
      </c>
      <c r="E130" s="63">
        <f t="shared" si="4"/>
        <v>34380</v>
      </c>
    </row>
    <row r="131" spans="1:7" x14ac:dyDescent="0.3">
      <c r="A131" s="2">
        <v>10</v>
      </c>
      <c r="C131" s="38" t="s">
        <v>148</v>
      </c>
      <c r="D131" s="42">
        <f>TRUNC(44211,-1)</f>
        <v>44210</v>
      </c>
      <c r="E131" s="63">
        <f t="shared" si="4"/>
        <v>146140</v>
      </c>
    </row>
    <row r="132" spans="1:7" ht="18" thickBot="1" x14ac:dyDescent="0.35">
      <c r="A132" s="2">
        <v>11</v>
      </c>
      <c r="C132" s="38" t="s">
        <v>47</v>
      </c>
      <c r="D132" s="43">
        <f>TRUNC(2034,-1)</f>
        <v>2030</v>
      </c>
      <c r="E132" s="64">
        <f t="shared" si="4"/>
        <v>6710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78470</v>
      </c>
      <c r="E133" s="39">
        <f>SUM(E122:E132)</f>
        <v>259370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TRUNC(1902+1409,-1)</f>
        <v>3310</v>
      </c>
      <c r="E137" s="63">
        <f t="shared" si="5"/>
        <v>10940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1910</v>
      </c>
      <c r="E139" s="63">
        <f t="shared" si="5"/>
        <v>6310</v>
      </c>
    </row>
    <row r="140" spans="1:7" x14ac:dyDescent="0.3">
      <c r="A140" s="2">
        <v>5</v>
      </c>
      <c r="C140" s="38" t="s">
        <v>57</v>
      </c>
      <c r="D140" s="42">
        <f>TRUNC(1201,-1)</f>
        <v>1200</v>
      </c>
      <c r="E140" s="63">
        <f t="shared" si="5"/>
        <v>3960</v>
      </c>
    </row>
    <row r="141" spans="1:7" x14ac:dyDescent="0.3">
      <c r="A141" s="2">
        <v>6</v>
      </c>
      <c r="C141" s="38" t="s">
        <v>59</v>
      </c>
      <c r="D141" s="42">
        <f>TRUNC(9067,-1)</f>
        <v>9060</v>
      </c>
      <c r="E141" s="63">
        <f t="shared" si="5"/>
        <v>29950</v>
      </c>
    </row>
    <row r="142" spans="1:7" x14ac:dyDescent="0.3">
      <c r="A142" s="2">
        <v>7</v>
      </c>
      <c r="C142" s="38" t="s">
        <v>58</v>
      </c>
      <c r="D142" s="42">
        <f>TRUNC(6375,-1)</f>
        <v>6370</v>
      </c>
      <c r="E142" s="63">
        <f t="shared" si="5"/>
        <v>21050</v>
      </c>
    </row>
    <row r="143" spans="1:7" x14ac:dyDescent="0.3">
      <c r="A143" s="2">
        <v>8</v>
      </c>
      <c r="C143" s="38" t="s">
        <v>62</v>
      </c>
      <c r="D143" s="42">
        <f>TRUNC(2249,-1)</f>
        <v>2240</v>
      </c>
      <c r="E143" s="63">
        <f t="shared" si="5"/>
        <v>7400</v>
      </c>
    </row>
    <row r="144" spans="1:7" x14ac:dyDescent="0.3">
      <c r="A144" s="2">
        <v>9</v>
      </c>
      <c r="C144" s="38" t="s">
        <v>63</v>
      </c>
      <c r="D144" s="42">
        <f>TRUNC(12386,-1)</f>
        <v>12380</v>
      </c>
      <c r="E144" s="63">
        <f t="shared" si="5"/>
        <v>40920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36470</v>
      </c>
      <c r="E146" s="39">
        <f>SUM(E136:E145)</f>
        <v>120530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TRUNC(8317+2958,-1)</f>
        <v>11270</v>
      </c>
      <c r="E149" s="62">
        <f>TRUNC(+D149*3.3058,-1)</f>
        <v>37250</v>
      </c>
    </row>
    <row r="150" spans="1:7" x14ac:dyDescent="0.3">
      <c r="A150" s="2">
        <v>2</v>
      </c>
      <c r="C150" s="38" t="s">
        <v>49</v>
      </c>
      <c r="D150" s="42">
        <f>TRUNC(14368,-1)</f>
        <v>14360</v>
      </c>
      <c r="E150" s="63">
        <f>TRUNC(+D150*3.3058,-1)</f>
        <v>47470</v>
      </c>
    </row>
    <row r="151" spans="1:7" x14ac:dyDescent="0.3">
      <c r="A151" s="2">
        <v>3</v>
      </c>
      <c r="C151" s="38" t="s">
        <v>50</v>
      </c>
      <c r="D151" s="42">
        <v>6090</v>
      </c>
      <c r="E151" s="63">
        <f>TRUNC(+D151*3.3058,-1)</f>
        <v>20130</v>
      </c>
    </row>
    <row r="152" spans="1:7" x14ac:dyDescent="0.3">
      <c r="A152" s="2">
        <v>4</v>
      </c>
      <c r="C152" s="38" t="s">
        <v>47</v>
      </c>
      <c r="D152" s="42">
        <f>TRUNC(8178,-1)</f>
        <v>8170</v>
      </c>
      <c r="E152" s="63">
        <f>TRUNC(+D152*3.3058,-1)</f>
        <v>27000</v>
      </c>
    </row>
    <row r="153" spans="1:7" ht="17.25" thickBot="1" x14ac:dyDescent="0.35">
      <c r="A153" s="2">
        <v>5</v>
      </c>
      <c r="C153" s="38" t="s">
        <v>148</v>
      </c>
      <c r="D153" s="43">
        <f>TRUNC(26323,-1)</f>
        <v>26320</v>
      </c>
      <c r="E153" s="64">
        <f>TRUNC(+D153*3.3058,-1)</f>
        <v>87000</v>
      </c>
    </row>
    <row r="154" spans="1:7" x14ac:dyDescent="0.3">
      <c r="A154" s="2">
        <v>6</v>
      </c>
      <c r="C154" s="27" t="s">
        <v>112</v>
      </c>
      <c r="D154" s="39">
        <f>SUM(D149:D153)</f>
        <v>66210</v>
      </c>
      <c r="E154" s="39">
        <f>SUM(E149:E153)</f>
        <v>218850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TRUNC(29314,-1)</f>
        <v>29310</v>
      </c>
      <c r="E157" s="62">
        <f>TRUNC(+D157*3.3058,-1)</f>
        <v>96890</v>
      </c>
    </row>
    <row r="158" spans="1:7" x14ac:dyDescent="0.3">
      <c r="A158" s="2">
        <v>2</v>
      </c>
      <c r="C158" s="38" t="s">
        <v>52</v>
      </c>
      <c r="D158" s="42">
        <f>TRUNC(2312,-1)</f>
        <v>2310</v>
      </c>
      <c r="E158" s="63">
        <f>TRUNC(+D158*3.3058,-1)</f>
        <v>7630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31620</v>
      </c>
      <c r="E161" s="39">
        <f>SUM(E157:E160)</f>
        <v>104520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2020-12-08T01:57:33Z</dcterms:modified>
</cp:coreProperties>
</file>