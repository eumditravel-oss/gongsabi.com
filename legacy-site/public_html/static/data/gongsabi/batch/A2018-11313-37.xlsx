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5" i="4" l="1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94" i="4"/>
  <c r="D92" i="4"/>
  <c r="D91" i="4"/>
  <c r="D89" i="4"/>
  <c r="D73" i="4"/>
  <c r="D72" i="4"/>
  <c r="D71" i="4"/>
  <c r="D70" i="4"/>
  <c r="D69" i="4"/>
  <c r="D105" i="4"/>
  <c r="D104" i="4"/>
  <c r="D103" i="4"/>
  <c r="D102" i="4"/>
  <c r="D101" i="4"/>
  <c r="D100" i="4"/>
  <c r="D99" i="4"/>
  <c r="D114" i="4"/>
  <c r="D98" i="4"/>
  <c r="D116" i="4"/>
  <c r="D128" i="4"/>
  <c r="D127" i="4"/>
  <c r="D132" i="4"/>
  <c r="D125" i="4"/>
  <c r="D122" i="4"/>
  <c r="D130" i="4"/>
  <c r="D137" i="4"/>
  <c r="D144" i="4"/>
  <c r="D143" i="4"/>
  <c r="D139" i="4"/>
  <c r="D142" i="4"/>
  <c r="D65" i="4"/>
  <c r="D63" i="4"/>
  <c r="D152" i="4"/>
  <c r="D151" i="4"/>
  <c r="D150" i="4"/>
  <c r="D14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95" i="4"/>
  <c r="E119" i="4"/>
  <c r="E133" i="4"/>
  <c r="E146" i="4"/>
  <c r="E66" i="4"/>
  <c r="E154" i="4"/>
  <c r="D161" i="4"/>
  <c r="D154" i="4"/>
  <c r="D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<sst xmlns="http://schemas.openxmlformats.org/spreadsheetml/2006/main" count="392" uniqueCount="267">
  <si>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</si>
  <si>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</si>
  <si>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</si>
  <si>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</si>
  <si>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</si>
  <si>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</si>
  <si>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</si>
  <si>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</si>
  <si>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</si>
  <si>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</si>
  <si>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</si>
  <si>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</si>
  <si>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</si>
  <si>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</si>
  <si>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</si>
  <si>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</si>
  <si>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</si>
  <si>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</si>
  <si>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</si>
  <si>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</si>
  <si>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</si>
  <si>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</si>
  <si>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</si>
  <si>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</si>
  <si>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</si>
  <si>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</si>
  <si>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</si>
  <si>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</si>
  <si>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</si>
  <si>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</si>
  <si>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</si>
  <si>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</si>
  <si>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</si>
  <si>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</si>
  <si>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</si>
  <si>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</si>
  <si>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</si>
  <si>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</si>
  <si>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</si>
  <si>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</si>
  <si>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</si>
  <si>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</si>
  <si>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</si>
  <si>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</si>
  <si>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</si>
  <si>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</si>
  <si>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</si>
  <si>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</si>
  <si>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</si>
  <si>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</si>
  <si>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</si>
  <si>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</si>
  <si>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</si>
  <si>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</si>
  <si>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</si>
  <si>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</si>
  <si>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</si>
  <si>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</si>
  <si>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</si>
  <si>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</si>
  <si>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</si>
  <si>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</si>
  <si>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</si>
  <si>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</si>
  <si>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</si>
  <si>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</si>
  <si>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</si>
  <si>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</si>
  <si>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</si>
  <si>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</si>
  <si>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</si>
  <si>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</si>
  <si>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</si>
  <si>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</si>
  <si>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</si>
  <si>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</si>
  <si>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</si>
  <si>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</si>
  <si>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</si>
  <si>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</si>
  <si>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</si>
  <si>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</si>
  <si>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</si>
  <si>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</si>
  <si>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</si>
  <si>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</si>
  <si>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</si>
  <si>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</si>
  <si>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</si>
  <si>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</si>
  <si>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</si>
  <si>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</si>
  <si>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</si>
  <si>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</si>
  <si>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</si>
  <si>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</si>
  <si>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</si>
  <si>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</si>
  <si>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</si>
  <si>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</si>
  <si>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</si>
  <si>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</si>
  <si>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</si>
  <si>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</si>
  <si>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</si>
  <si>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</si>
  <si>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</si>
  <si>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</si>
  <si>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</si>
  <si>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</si>
  <si>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</si>
  <si>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</si>
  <si>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</si>
  <si>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</si>
  <si>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</si>
  <si>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</si>
  <si>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</si>
  <si>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</si>
  <si>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</si>
  <si>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</si>
  <si>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</si>
  <si>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</si>
  <si>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</si>
  <si>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</si>
  <si>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</si>
  <si>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</si>
  <si>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</si>
  <si>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</si>
  <si>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</si>
  <si>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</si>
  <si>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</si>
  <si>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</si>
  <si>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</si>
  <si>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</si>
  <si>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</si>
  <si>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</si>
  <si>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</si>
  <si>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</si>
  <si>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</si>
  <si>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</si>
  <si>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</si>
  <si>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</si>
  <si>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</si>
  <si>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</si>
  <si>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</si>
  <si>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</si>
  <si>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</si>
  <si>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</si>
  <si>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</si>
  <si>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</si>
  <si>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</si>
  <si>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</si>
  <si>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</si>
  <si>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</si>
  <si>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</si>
  <si>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</si>
  <si>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</si>
  <si>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</si>
  <si>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</si>
  <si>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</si>
  <si>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</si>
  <si>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</si>
  <si>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</si>
  <si>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</si>
  <si>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</si>
  <si>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</si>
  <si>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</si>
  <si>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</si>
  <si>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</si>
  <si>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</si>
  <si>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</si>
  <si>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</si>
  <si>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</si>
  <si>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</si>
  <si>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</si>
  <si>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</si>
  <si>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</si>
  <si>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</si>
  <si>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</si>
  <si>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</si>
  <si>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</si>
  <si>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</si>
  <si>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</si>
  <si>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</si>
  <si>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</si>
  <si>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</si>
  <si>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</si>
  <si>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</si>
  <si>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</si>
  <si>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</si>
  <si>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</si>
  <si>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</si>
  <si>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</si>
  <si>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</si>
  <si>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</si>
  <si>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</si>
  <si>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</si>
  <si>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</si>
  <si>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</si>
  <si>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</si>
  <si>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</si>
  <si>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</si>
  <si>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</si>
  <si>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</si>
  <si>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</si>
  <si>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</si>
  <si>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</si>
  <si>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</si>
  <si>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</si>
  <si>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</si>
  <si>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</si>
  <si>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</si>
  <si>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</si>
  <si>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</si>
  <si>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</si>
  <si>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</si>
  <si>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</si>
  <si>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</si>
  <si>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</si>
  <si>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</si>
  <si>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</si>
  <si>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</si>
  <si>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</si>
  <si>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</si>
  <si>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</si>
  <si>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</si>
  <si>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</si>
  <si>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</si>
  <si>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</si>
  <si>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</si>
  <si>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</si>
  <si>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</si>
  <si>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</si>
  <si>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</si>
  <si>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</si>
  <si>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</si>
  <si>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</si>
  <si>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</si>
  <si>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</si>
  <si>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</si>
  <si>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</si>
  <si>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</si>
  <si>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</si>
  <si>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</si>
  <si>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</si>
  <si>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</si>
  <si>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</si>
  <si>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</si>
  <si>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전북대학교 국제컨벤션센터 신축공사</t>
    <phoneticPr fontId="2" type="noConversion"/>
  </si>
  <si>
    <t>교육연구</t>
  </si>
  <si>
    <t>전라도</t>
  </si>
  <si>
    <t>기초공사,해체및철거공사,골재비및운반비,작업부산물,품질시험비,기타공사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</si>
  <si>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</si>
  <si>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</si>
  <si>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</si>
  <si>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공조배관공사,기타공사</t>
    <phoneticPr fontId="2" type="noConversion"/>
  </si>
  <si>
    <t xml:space="preserve">전기인입 및 수변전 설비공사  </t>
    <phoneticPr fontId="2" type="noConversion"/>
  </si>
  <si>
    <t>CATV 및 TV 설비공사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</si>
  <si>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</si>
  <si>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</si>
  <si>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무선통신보조설비공사</t>
    <phoneticPr fontId="2" type="noConversion"/>
  </si>
  <si>
    <t>CCTV설비공사,기타공사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</si>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</sst>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6008.46</v>
      </c>
      <c r="D7" s="36">
        <f>+C7/3.3058</f>
        <v>1817.5509710206304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1322000</v>
      </c>
      <c r="E25" s="59">
        <f t="shared" si="0"/>
        <v>4370260</v>
      </c>
    </row>
    <row r="26" spans="1:5" x14ac:dyDescent="0.3">
      <c r="B26" s="2">
        <v>3</v>
      </c>
      <c r="C26" s="35" t="s">
        <v>95</v>
      </c>
      <c r="D26" s="45">
        <f>+D66</f>
        <v>320460</v>
      </c>
      <c r="E26" s="59">
        <f t="shared" si="0"/>
        <v>1059370</v>
      </c>
    </row>
    <row r="27" spans="1:5" x14ac:dyDescent="0.3">
      <c r="B27" s="2">
        <v>4</v>
      </c>
      <c r="C27" s="35" t="s">
        <v>96</v>
      </c>
      <c r="D27" s="45">
        <f>+D95</f>
        <v>121540</v>
      </c>
      <c r="E27" s="59">
        <f t="shared" si="0"/>
        <v>401780</v>
      </c>
    </row>
    <row r="28" spans="1:5" x14ac:dyDescent="0.3">
      <c r="B28" s="2">
        <v>5</v>
      </c>
      <c r="C28" s="35" t="s">
        <v>97</v>
      </c>
      <c r="D28" s="45">
        <f>+D119</f>
        <v>89760</v>
      </c>
      <c r="E28" s="59">
        <f t="shared" si="0"/>
        <v>296720</v>
      </c>
    </row>
    <row r="29" spans="1:5" x14ac:dyDescent="0.3">
      <c r="B29" s="2">
        <v>6</v>
      </c>
      <c r="C29" s="35" t="s">
        <v>98</v>
      </c>
      <c r="D29" s="45">
        <f>+D133</f>
        <v>20490</v>
      </c>
      <c r="E29" s="59">
        <f t="shared" si="0"/>
        <v>67730</v>
      </c>
    </row>
    <row r="30" spans="1:5" x14ac:dyDescent="0.3">
      <c r="B30" s="2">
        <v>7</v>
      </c>
      <c r="C30" s="35" t="s">
        <v>99</v>
      </c>
      <c r="D30" s="45">
        <f>+D146</f>
        <v>73520</v>
      </c>
      <c r="E30" s="59">
        <f t="shared" si="0"/>
        <v>243040</v>
      </c>
    </row>
    <row r="31" spans="1:5" x14ac:dyDescent="0.3">
      <c r="B31" s="2">
        <v>8</v>
      </c>
      <c r="C31" s="35" t="s">
        <v>100</v>
      </c>
      <c r="D31" s="45">
        <f>+D154</f>
        <v>57880</v>
      </c>
      <c r="E31" s="59">
        <f t="shared" si="0"/>
        <v>191330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551550</v>
      </c>
      <c r="E33" s="60">
        <f t="shared" si="0"/>
        <v>1823310</v>
      </c>
    </row>
    <row r="34" spans="1:7" x14ac:dyDescent="0.3">
      <c r="C34" s="35" t="s">
        <v>112</v>
      </c>
      <c r="D34" s="44">
        <f>SUM(D24:D33)</f>
        <v>2557200</v>
      </c>
      <c r="E34" s="44">
        <f>SUM(E24:E33)</f>
        <v>8453540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TRUNC(56218,-1)</f>
        <v>56210</v>
      </c>
      <c r="E40" s="62">
        <f t="shared" ref="E40:E59" si="1">TRUNC(+D40*3.3058,-1)</f>
        <v>185810</v>
      </c>
    </row>
    <row r="41" spans="1:7" x14ac:dyDescent="0.3">
      <c r="A41" s="2">
        <v>2</v>
      </c>
      <c r="C41" s="38" t="s">
        <v>13</v>
      </c>
      <c r="D41" s="42">
        <f>TRUNC(158823,-1)</f>
        <v>158820</v>
      </c>
      <c r="E41" s="63">
        <f t="shared" si="1"/>
        <v>525020</v>
      </c>
    </row>
    <row r="42" spans="1:7" x14ac:dyDescent="0.3">
      <c r="A42" s="2">
        <v>3</v>
      </c>
      <c r="C42" s="38" t="s">
        <v>14</v>
      </c>
      <c r="D42" s="42">
        <f>TRUNC(110711,-1)</f>
        <v>110710</v>
      </c>
      <c r="E42" s="63">
        <f t="shared" si="1"/>
        <v>365980</v>
      </c>
    </row>
    <row r="43" spans="1:7" x14ac:dyDescent="0.3">
      <c r="A43" s="2">
        <v>4</v>
      </c>
      <c r="C43" s="38" t="s">
        <v>16</v>
      </c>
      <c r="D43" s="42">
        <f>TRUNC(47969,-1)</f>
        <v>47960</v>
      </c>
      <c r="E43" s="63">
        <f t="shared" si="1"/>
        <v>158540</v>
      </c>
    </row>
    <row r="44" spans="1:7" x14ac:dyDescent="0.3">
      <c r="A44" s="2">
        <v>5</v>
      </c>
      <c r="C44" s="38" t="s">
        <v>17</v>
      </c>
      <c r="D44" s="42">
        <f>TRUNC(55979,-1)</f>
        <v>55970</v>
      </c>
      <c r="E44" s="63">
        <f t="shared" si="1"/>
        <v>185020</v>
      </c>
    </row>
    <row r="45" spans="1:7" x14ac:dyDescent="0.3">
      <c r="A45" s="2">
        <v>6</v>
      </c>
      <c r="C45" s="38" t="s">
        <v>18</v>
      </c>
      <c r="D45" s="42">
        <f>TRUNC(1458,-1)</f>
        <v>1450</v>
      </c>
      <c r="E45" s="63">
        <f t="shared" si="1"/>
        <v>4790</v>
      </c>
    </row>
    <row r="46" spans="1:7" x14ac:dyDescent="0.3">
      <c r="A46" s="2">
        <v>7</v>
      </c>
      <c r="C46" s="38" t="s">
        <v>19</v>
      </c>
      <c r="D46" s="42">
        <f>TRUNC(26948,-1)</f>
        <v>26940</v>
      </c>
      <c r="E46" s="63">
        <f t="shared" si="1"/>
        <v>89050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TRUNC(58340,-1)</f>
        <v>58340</v>
      </c>
      <c r="E48" s="63">
        <f t="shared" si="1"/>
        <v>192860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TRUNC(34634,-1)</f>
        <v>34630</v>
      </c>
      <c r="E49" s="63">
        <f t="shared" si="1"/>
        <v>114470</v>
      </c>
    </row>
    <row r="50" spans="1:7" x14ac:dyDescent="0.3">
      <c r="A50" s="2">
        <v>11</v>
      </c>
      <c r="C50" s="38" t="s">
        <v>155</v>
      </c>
      <c r="D50" s="42">
        <f>TRUNC(23180,-1)</f>
        <v>23180</v>
      </c>
      <c r="E50" s="63">
        <f t="shared" si="1"/>
        <v>76620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TRUNC(77,-1)</f>
        <v>70</v>
      </c>
      <c r="E52" s="63">
        <f t="shared" si="1"/>
        <v>230</v>
      </c>
    </row>
    <row r="53" spans="1:7" x14ac:dyDescent="0.3">
      <c r="A53" s="2">
        <v>14</v>
      </c>
      <c r="C53" s="38" t="s">
        <v>25</v>
      </c>
      <c r="D53" s="42">
        <f>TRUNC(167573,-1)</f>
        <v>167570</v>
      </c>
      <c r="E53" s="63">
        <f t="shared" si="1"/>
        <v>553950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TRUNC(77+10644+9819-9554+595+1970,-1)</f>
        <v>13550</v>
      </c>
      <c r="E58" s="63">
        <f t="shared" si="1"/>
        <v>44790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TRUNC(566605,-1)</f>
        <v>566600</v>
      </c>
      <c r="E59" s="64">
        <f t="shared" si="1"/>
        <v>1873060</v>
      </c>
    </row>
    <row r="60" spans="1:7" x14ac:dyDescent="0.3">
      <c r="A60" s="2">
        <v>21</v>
      </c>
      <c r="C60" s="27" t="s">
        <v>112</v>
      </c>
      <c r="D60" s="39">
        <f>SUM(D40:D59)</f>
        <v>1322000</v>
      </c>
      <c r="E60" s="39">
        <f>SUM(E40:E59)</f>
        <v>4370190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TRUNC(288099,-1)</f>
        <v>288090</v>
      </c>
      <c r="E63" s="62">
        <f>TRUNC(+D63*3.3058,-1)</f>
        <v>952360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TRUNC(32373,-1)</f>
        <v>32370</v>
      </c>
      <c r="E65" s="64">
        <f>TRUNC(+D65*3.3058,-1)</f>
        <v>107000</v>
      </c>
    </row>
    <row r="66" spans="1:7" x14ac:dyDescent="0.3">
      <c r="A66" s="2">
        <v>4</v>
      </c>
      <c r="C66" s="27" t="s">
        <v>112</v>
      </c>
      <c r="D66" s="39">
        <f>SUM(D63:D65)</f>
        <v>320460</v>
      </c>
      <c r="E66" s="65">
        <f>SUM(E63:E65)</f>
        <v>1059360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TRUNC(2500,-1)</f>
        <v>2500</v>
      </c>
      <c r="E69" s="62">
        <f t="shared" ref="E69:E94" si="2">TRUNC(+D69*3.3058,-1)</f>
        <v>8260</v>
      </c>
    </row>
    <row r="70" spans="1:7" ht="16.5" customHeight="1" x14ac:dyDescent="0.3">
      <c r="A70" s="2">
        <v>2</v>
      </c>
      <c r="C70" s="38" t="s">
        <v>31</v>
      </c>
      <c r="D70" s="42">
        <f>TRUNC(5308,-1)</f>
        <v>5300</v>
      </c>
      <c r="E70" s="63">
        <f t="shared" si="2"/>
        <v>17520</v>
      </c>
    </row>
    <row r="71" spans="1:7" x14ac:dyDescent="0.3">
      <c r="A71" s="2">
        <v>3</v>
      </c>
      <c r="C71" s="38" t="s">
        <v>32</v>
      </c>
      <c r="D71" s="42">
        <f>TRUNC(3564,-10)</f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TRUNC(9318,-1)</f>
        <v>9310</v>
      </c>
      <c r="E72" s="63">
        <f t="shared" si="2"/>
        <v>30770</v>
      </c>
    </row>
    <row r="73" spans="1:7" x14ac:dyDescent="0.3">
      <c r="A73" s="2">
        <v>5</v>
      </c>
      <c r="C73" s="38" t="s">
        <v>34</v>
      </c>
      <c r="D73" s="42">
        <f>TRUNC(3785,-1)</f>
        <v>3780</v>
      </c>
      <c r="E73" s="63">
        <f t="shared" si="2"/>
        <v>12490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TRUNC(1851,-1)</f>
        <v>1850</v>
      </c>
      <c r="E89" s="63">
        <f t="shared" si="2"/>
        <v>6110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TRUNC(3812,-1)</f>
        <v>3810</v>
      </c>
      <c r="E91" s="63">
        <f t="shared" si="2"/>
        <v>12590</v>
      </c>
    </row>
    <row r="92" spans="1:7" x14ac:dyDescent="0.3">
      <c r="A92" s="2">
        <v>24</v>
      </c>
      <c r="C92" s="38" t="s">
        <v>38</v>
      </c>
      <c r="D92" s="42">
        <f>TRUNC(1453,-1)</f>
        <v>1450</v>
      </c>
      <c r="E92" s="63">
        <f t="shared" si="2"/>
        <v>4790</v>
      </c>
    </row>
    <row r="93" spans="1:7" x14ac:dyDescent="0.3">
      <c r="A93" s="2">
        <v>25</v>
      </c>
      <c r="C93" s="38" t="s">
        <v>148</v>
      </c>
      <c r="D93" s="42">
        <f>TRUNC(84156,-1)</f>
        <v>84150</v>
      </c>
      <c r="E93" s="63">
        <f t="shared" si="2"/>
        <v>278180</v>
      </c>
    </row>
    <row r="94" spans="1:7" ht="17.25" thickBot="1" x14ac:dyDescent="0.35">
      <c r="A94" s="2">
        <v>26</v>
      </c>
      <c r="C94" s="38" t="s">
        <v>47</v>
      </c>
      <c r="D94" s="43">
        <f>TRUNC(170+9225,-1)</f>
        <v>9390</v>
      </c>
      <c r="E94" s="64">
        <f t="shared" si="2"/>
        <v>31040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121540</v>
      </c>
      <c r="E95" s="39">
        <f>SUM(E69:E94)</f>
        <v>401750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TRUNC(12575,-1)</f>
        <v>12570</v>
      </c>
      <c r="E98" s="62">
        <f t="shared" ref="E98:E118" si="3">TRUNC(+D98*3.3058,-1)</f>
        <v>41550</v>
      </c>
    </row>
    <row r="99" spans="1:7" x14ac:dyDescent="0.3">
      <c r="A99" s="2">
        <v>2</v>
      </c>
      <c r="C99" s="38" t="s">
        <v>40</v>
      </c>
      <c r="D99" s="42">
        <f>TRUNC(9823,-1)</f>
        <v>9820</v>
      </c>
      <c r="E99" s="63">
        <f t="shared" si="3"/>
        <v>32460</v>
      </c>
    </row>
    <row r="100" spans="1:7" x14ac:dyDescent="0.3">
      <c r="A100" s="2">
        <v>3</v>
      </c>
      <c r="C100" s="38" t="s">
        <v>41</v>
      </c>
      <c r="D100" s="42">
        <f>TRUNC(19528,-1)</f>
        <v>19520</v>
      </c>
      <c r="E100" s="63">
        <f t="shared" si="3"/>
        <v>64520</v>
      </c>
    </row>
    <row r="101" spans="1:7" x14ac:dyDescent="0.3">
      <c r="A101" s="2">
        <v>4</v>
      </c>
      <c r="C101" s="38" t="s">
        <v>42</v>
      </c>
      <c r="D101" s="42">
        <f>TRUNC(1013,-1)</f>
        <v>1010</v>
      </c>
      <c r="E101" s="63">
        <f t="shared" si="3"/>
        <v>3330</v>
      </c>
    </row>
    <row r="102" spans="1:7" x14ac:dyDescent="0.3">
      <c r="A102" s="2">
        <v>5</v>
      </c>
      <c r="C102" s="38" t="s">
        <v>43</v>
      </c>
      <c r="D102" s="42">
        <f>TRUNC(5936,-1)</f>
        <v>5930</v>
      </c>
      <c r="E102" s="63">
        <f t="shared" si="3"/>
        <v>19600</v>
      </c>
    </row>
    <row r="103" spans="1:7" x14ac:dyDescent="0.3">
      <c r="A103" s="2">
        <v>6</v>
      </c>
      <c r="C103" s="38" t="s">
        <v>44</v>
      </c>
      <c r="D103" s="42">
        <f>TRUNC(5645,-1)</f>
        <v>5640</v>
      </c>
      <c r="E103" s="63">
        <f t="shared" si="3"/>
        <v>18640</v>
      </c>
    </row>
    <row r="104" spans="1:7" x14ac:dyDescent="0.3">
      <c r="A104" s="2">
        <v>7</v>
      </c>
      <c r="C104" s="38" t="s">
        <v>45</v>
      </c>
      <c r="D104" s="42">
        <f>TRUNC(2255,-1)</f>
        <v>2250</v>
      </c>
      <c r="E104" s="63">
        <f t="shared" si="3"/>
        <v>7430</v>
      </c>
    </row>
    <row r="105" spans="1:7" x14ac:dyDescent="0.3">
      <c r="A105" s="2">
        <v>8</v>
      </c>
      <c r="C105" s="38" t="s">
        <v>46</v>
      </c>
      <c r="D105" s="42">
        <f>TRUNC(6526,-1)</f>
        <v>6520</v>
      </c>
      <c r="E105" s="63">
        <f t="shared" si="3"/>
        <v>21550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TRUNC(2162,-1)</f>
        <v>2160</v>
      </c>
      <c r="E114" s="63">
        <f t="shared" si="3"/>
        <v>7140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TRUNC(9657,-1)</f>
        <v>9650</v>
      </c>
      <c r="E116" s="63">
        <f t="shared" si="3"/>
        <v>31900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TRUNC(14699,-1)</f>
        <v>14690</v>
      </c>
      <c r="E117" s="63">
        <f t="shared" si="3"/>
        <v>48560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89760</v>
      </c>
      <c r="E119" s="39">
        <f>SUM(E98:E118)</f>
        <v>296680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TRUNC(2795,-1)</f>
        <v>2790</v>
      </c>
      <c r="E122" s="62">
        <f t="shared" ref="E122:E132" si="4">TRUNC(+D122*3.3058,-1)</f>
        <v>9220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TRUNC(3193,-1)</f>
        <v>3190</v>
      </c>
      <c r="E125" s="63">
        <f t="shared" si="4"/>
        <v>10540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TRUNC(1050,-1)</f>
        <v>1050</v>
      </c>
      <c r="E127" s="63">
        <f t="shared" si="4"/>
        <v>3470</v>
      </c>
    </row>
    <row r="128" spans="1:7" x14ac:dyDescent="0.3">
      <c r="A128" s="2">
        <v>7</v>
      </c>
      <c r="C128" s="38" t="s">
        <v>46</v>
      </c>
      <c r="D128" s="42">
        <f>TRUNC(2795,-1)</f>
        <v>2790</v>
      </c>
      <c r="E128" s="63">
        <f t="shared" si="4"/>
        <v>9220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TRUNC(9614,-1)</f>
        <v>9610</v>
      </c>
      <c r="E130" s="63">
        <f t="shared" si="4"/>
        <v>31760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TRUNC(919+146,-1)</f>
        <v>1060</v>
      </c>
      <c r="E132" s="64">
        <f t="shared" si="4"/>
        <v>3500</v>
      </c>
      <c r="F132" s="54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20490</v>
      </c>
      <c r="E133" s="39">
        <f>SUM(E122:E132)</f>
        <v>67710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TRUNC(1911,-1)</f>
        <v>1910</v>
      </c>
      <c r="E137" s="63">
        <f t="shared" si="5"/>
        <v>6310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TRUNC(2925,-1)</f>
        <v>2920</v>
      </c>
      <c r="E139" s="63">
        <f t="shared" si="5"/>
        <v>9650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TRUNC(36849,-1)</f>
        <v>36840</v>
      </c>
      <c r="E142" s="63">
        <f t="shared" si="5"/>
        <v>121780</v>
      </c>
    </row>
    <row r="143" spans="1:7" x14ac:dyDescent="0.3">
      <c r="A143" s="2">
        <v>8</v>
      </c>
      <c r="C143" s="38" t="s">
        <v>62</v>
      </c>
      <c r="D143" s="42">
        <f>TRUNC(3944,-1)</f>
        <v>3940</v>
      </c>
      <c r="E143" s="63">
        <f t="shared" si="5"/>
        <v>13020</v>
      </c>
    </row>
    <row r="144" spans="1:7" x14ac:dyDescent="0.3">
      <c r="A144" s="2">
        <v>9</v>
      </c>
      <c r="C144" s="38" t="s">
        <v>63</v>
      </c>
      <c r="D144" s="42">
        <f>TRUNC(18378,-1)</f>
        <v>18370</v>
      </c>
      <c r="E144" s="63">
        <f t="shared" si="5"/>
        <v>60720</v>
      </c>
    </row>
    <row r="145" spans="1:7" ht="17.25" thickBot="1" x14ac:dyDescent="0.35">
      <c r="A145" s="2">
        <v>10</v>
      </c>
      <c r="C145" s="38" t="s">
        <v>148</v>
      </c>
      <c r="D145" s="43">
        <f>TRUNC(9546,-1)</f>
        <v>9540</v>
      </c>
      <c r="E145" s="64">
        <f t="shared" si="5"/>
        <v>31530</v>
      </c>
    </row>
    <row r="146" spans="1:7" x14ac:dyDescent="0.3">
      <c r="A146" s="2">
        <v>11</v>
      </c>
      <c r="C146" s="27" t="s">
        <v>112</v>
      </c>
      <c r="D146" s="39">
        <f>SUM(D136:D145)</f>
        <v>73520</v>
      </c>
      <c r="E146" s="39">
        <f>SUM(E136:E145)</f>
        <v>243010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TRUNC(4745+1840,-1)</f>
        <v>6580</v>
      </c>
      <c r="E149" s="62">
        <f>TRUNC(+D149*3.3058,-1)</f>
        <v>21750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TRUNC(14563,-1)</f>
        <v>14560</v>
      </c>
      <c r="E150" s="63">
        <f>TRUNC(+D150*3.3058,-1)</f>
        <v>48130</v>
      </c>
    </row>
    <row r="151" spans="1:7" x14ac:dyDescent="0.3">
      <c r="A151" s="2">
        <v>3</v>
      </c>
      <c r="C151" s="38" t="s">
        <v>50</v>
      </c>
      <c r="D151" s="42">
        <f>TRUNC(35959,-1)</f>
        <v>35950</v>
      </c>
      <c r="E151" s="63">
        <f>TRUNC(+D151*3.3058,-1)</f>
        <v>118840</v>
      </c>
    </row>
    <row r="152" spans="1:7" x14ac:dyDescent="0.3">
      <c r="A152" s="2">
        <v>4</v>
      </c>
      <c r="C152" s="38" t="s">
        <v>47</v>
      </c>
      <c r="D152" s="42">
        <f>TRUNC(225+573,-1)</f>
        <v>790</v>
      </c>
      <c r="E152" s="63">
        <f>TRUNC(+D152*3.3058,-1)</f>
        <v>2610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57880</v>
      </c>
      <c r="E154" s="39">
        <f>SUM(E149:E153)</f>
        <v>191330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2020-12-08T02:52:41Z</dcterms:modified>
</cp:coreProperties>
</file>