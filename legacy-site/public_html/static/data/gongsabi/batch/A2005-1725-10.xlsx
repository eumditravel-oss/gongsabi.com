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7" i="4" l="1"/>
  <c r="D99" i="4"/>
  <c r="E160" i="4" l="1"/>
  <c r="E159" i="4"/>
  <c r="E158" i="4"/>
  <c r="E157" i="4"/>
  <c r="E161" i="4" s="1"/>
  <c r="E153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4" i="4"/>
  <c r="E122" i="4"/>
  <c r="E118" i="4"/>
  <c r="E117" i="4"/>
  <c r="E116" i="4"/>
  <c r="E113" i="4"/>
  <c r="E112" i="4"/>
  <c r="E111" i="4"/>
  <c r="E110" i="4"/>
  <c r="E109" i="4"/>
  <c r="E107" i="4"/>
  <c r="E106" i="4"/>
  <c r="E105" i="4"/>
  <c r="E104" i="4"/>
  <c r="E103" i="4"/>
  <c r="E101" i="4"/>
  <c r="E99" i="4"/>
  <c r="E94" i="4"/>
  <c r="E93" i="4"/>
  <c r="E92" i="4"/>
  <c r="E91" i="4"/>
  <c r="E90" i="4"/>
  <c r="E88" i="4"/>
  <c r="E87" i="4"/>
  <c r="E86" i="4"/>
  <c r="E85" i="4"/>
  <c r="E83" i="4"/>
  <c r="E82" i="4"/>
  <c r="E81" i="4"/>
  <c r="E80" i="4"/>
  <c r="E78" i="4"/>
  <c r="E77" i="4"/>
  <c r="E76" i="4"/>
  <c r="E75" i="4"/>
  <c r="E74" i="4"/>
  <c r="E71" i="4"/>
  <c r="E65" i="4"/>
  <c r="E64" i="4"/>
  <c r="E59" i="4"/>
  <c r="E57" i="4"/>
  <c r="E56" i="4"/>
  <c r="E54" i="4"/>
  <c r="E47" i="4"/>
  <c r="E42" i="4"/>
  <c r="E37" i="4"/>
  <c r="E146" i="4" l="1"/>
  <c r="D161" i="4"/>
  <c r="D152" i="4"/>
  <c r="E152" i="4" s="1"/>
  <c r="D151" i="4"/>
  <c r="E151" i="4" s="1"/>
  <c r="E154" i="4" s="1"/>
  <c r="D150" i="4"/>
  <c r="E150" i="4" s="1"/>
  <c r="D146" i="4"/>
  <c r="D30" i="4" s="1"/>
  <c r="E30" i="4" s="1"/>
  <c r="D132" i="4"/>
  <c r="E132" i="4" s="1"/>
  <c r="D125" i="4"/>
  <c r="E125" i="4" s="1"/>
  <c r="D123" i="4"/>
  <c r="D115" i="4"/>
  <c r="E115" i="4" s="1"/>
  <c r="D114" i="4"/>
  <c r="E114" i="4" s="1"/>
  <c r="D108" i="4"/>
  <c r="E108" i="4" s="1"/>
  <c r="D102" i="4"/>
  <c r="E102" i="4" s="1"/>
  <c r="D100" i="4"/>
  <c r="E100" i="4" s="1"/>
  <c r="D98" i="4"/>
  <c r="D89" i="4"/>
  <c r="E89" i="4" s="1"/>
  <c r="D84" i="4"/>
  <c r="E84" i="4" s="1"/>
  <c r="D79" i="4"/>
  <c r="E79" i="4" s="1"/>
  <c r="D73" i="4"/>
  <c r="E73" i="4" s="1"/>
  <c r="D72" i="4"/>
  <c r="E72" i="4" s="1"/>
  <c r="D70" i="4"/>
  <c r="E70" i="4" s="1"/>
  <c r="D69" i="4"/>
  <c r="D63" i="4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D32" i="4"/>
  <c r="E32" i="4" s="1"/>
  <c r="D24" i="4"/>
  <c r="E24" i="4" s="1"/>
  <c r="D7" i="4"/>
  <c r="D66" i="4" l="1"/>
  <c r="D26" i="4" s="1"/>
  <c r="E26" i="4" s="1"/>
  <c r="E63" i="4"/>
  <c r="E66" i="4" s="1"/>
  <c r="D119" i="4"/>
  <c r="D28" i="4" s="1"/>
  <c r="E28" i="4" s="1"/>
  <c r="E98" i="4"/>
  <c r="E119" i="4" s="1"/>
  <c r="D95" i="4"/>
  <c r="D27" i="4" s="1"/>
  <c r="E27" i="4" s="1"/>
  <c r="E69" i="4"/>
  <c r="E95" i="4" s="1"/>
  <c r="D154" i="4"/>
  <c r="D31" i="4" s="1"/>
  <c r="E31" i="4" s="1"/>
  <c r="D60" i="4"/>
  <c r="D25" i="4" s="1"/>
  <c r="E25" i="4" s="1"/>
  <c r="E40" i="4"/>
  <c r="E60" i="4" s="1"/>
  <c r="D133" i="4"/>
  <c r="D29" i="4" s="1"/>
  <c r="E29" i="4" s="1"/>
  <c r="E123" i="4"/>
  <c r="E133" i="4" s="1"/>
  <c r="D33" i="4" l="1"/>
  <c r="D34" i="4"/>
  <c r="E33" i="4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<sst xmlns="http://schemas.openxmlformats.org/spreadsheetml/2006/main" count="391" uniqueCount="266">
  <si>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</si>
  <si>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</si>
  <si>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</si>
  <si>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</si>
  <si>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</si>
  <si>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</si>
  <si>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</si>
  <si>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</si>
  <si>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</si>
  <si>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</si>
  <si>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</si>
  <si>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</si>
  <si>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</si>
  <si>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</si>
  <si>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</si>
  <si>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</si>
  <si>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</si>
  <si>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</si>
  <si>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</si>
  <si>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</si>
  <si>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</si>
  <si>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</si>
  <si>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</si>
  <si>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</si>
  <si>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</si>
  <si>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</si>
  <si>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</si>
  <si>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</si>
  <si>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</si>
  <si>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</si>
  <si>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</si>
  <si>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</si>
  <si>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</si>
  <si>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</si>
  <si>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</si>
  <si>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</si>
  <si>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</si>
  <si>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</si>
  <si>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</si>
  <si>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</si>
  <si>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</si>
  <si>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</si>
  <si>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</si>
  <si>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</si>
  <si>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</si>
  <si>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</si>
  <si>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</si>
  <si>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</si>
  <si>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</si>
  <si>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</si>
  <si>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</si>
  <si>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</si>
  <si>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</si>
  <si>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</si>
  <si>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</si>
  <si>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</si>
  <si>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</si>
  <si>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</si>
  <si>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</si>
  <si>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</si>
  <si>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</si>
  <si>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</si>
  <si>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</si>
  <si>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</si>
  <si>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</si>
  <si>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</si>
  <si>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</si>
  <si>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</si>
  <si>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</si>
  <si>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</si>
  <si>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</si>
  <si>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</si>
  <si>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</si>
  <si>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</si>
  <si>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</si>
  <si>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</si>
  <si>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</si>
  <si>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</si>
  <si>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</si>
  <si>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</si>
  <si>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</si>
  <si>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</si>
  <si>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</si>
  <si>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</si>
  <si>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</si>
  <si>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</si>
  <si>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</si>
  <si>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</si>
  <si>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</si>
  <si>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</si>
  <si>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</si>
  <si>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</si>
  <si>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</si>
  <si>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</si>
  <si>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</si>
  <si>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</si>
  <si>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</si>
  <si>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</si>
  <si>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</si>
  <si>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</si>
  <si>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</si>
  <si>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</si>
  <si>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</si>
  <si>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</si>
  <si>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</si>
  <si>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</si>
  <si>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</si>
  <si>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</si>
  <si>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</si>
  <si>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</si>
  <si>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</si>
  <si>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</si>
  <si>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</si>
  <si>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</si>
  <si>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</si>
  <si>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</si>
  <si>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</si>
  <si>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</si>
  <si>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</si>
  <si>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</si>
  <si>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</si>
  <si>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</si>
  <si>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</si>
  <si>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</si>
  <si>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</si>
  <si>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</si>
  <si>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</si>
  <si>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</si>
  <si>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</si>
  <si>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</si>
  <si>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</si>
  <si>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</si>
  <si>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</si>
  <si>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</si>
  <si>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</si>
  <si>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</si>
  <si>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</si>
  <si>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</si>
  <si>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</si>
  <si>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</si>
  <si>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</si>
  <si>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</si>
  <si>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</si>
  <si>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</si>
  <si>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</si>
  <si>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</si>
  <si>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</si>
  <si>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</si>
  <si>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</si>
  <si>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</si>
  <si>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</si>
  <si>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</si>
  <si>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</si>
  <si>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</si>
  <si>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</si>
  <si>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</si>
  <si>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</si>
  <si>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</si>
  <si>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</si>
  <si>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</si>
  <si>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</si>
  <si>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</si>
  <si>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</si>
  <si>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</si>
  <si>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</si>
  <si>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</si>
  <si>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</si>
  <si>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</si>
  <si>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</si>
  <si>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</si>
  <si>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</si>
  <si>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</si>
  <si>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</si>
  <si>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</si>
  <si>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</si>
  <si>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</si>
  <si>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</si>
  <si>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</si>
  <si>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</si>
  <si>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</si>
  <si>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</si>
  <si>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</si>
  <si>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</si>
  <si>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</si>
  <si>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</si>
  <si>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</si>
  <si>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</si>
  <si>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</si>
  <si>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</si>
  <si>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</si>
  <si>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</si>
  <si>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</si>
  <si>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</si>
  <si>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</si>
  <si>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</si>
  <si>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</si>
  <si>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</si>
  <si>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</si>
  <si>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</si>
  <si>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</si>
  <si>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</si>
  <si>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</si>
  <si>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</si>
  <si>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</si>
  <si>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</si>
  <si>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</si>
  <si>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</si>
  <si>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</si>
  <si>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</si>
  <si>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</si>
  <si>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</si>
  <si>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</si>
  <si>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</si>
  <si>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</si>
  <si>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</si>
  <si>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</si>
  <si>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</si>
  <si>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</si>
  <si>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</si>
  <si>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</si>
  <si>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</si>
  <si>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</si>
  <si>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</si>
  <si>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</si>
  <si>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</si>
  <si>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</si>
  <si>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</si>
  <si>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</si>
  <si>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</si>
  <si>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</si>
  <si>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</si>
  <si>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</si>
  <si>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</si>
  <si>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</si>
  <si>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</si>
  <si>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</si>
  <si>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</si>
  <si>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</si>
  <si>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</si>
  <si>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</si>
  <si>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</si>
  <si>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</si>
  <si>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</si>
  <si>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</si>
  <si>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</si>
  <si>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기타</t>
  </si>
  <si>
    <t>00노인전문요양시설건축공사</t>
  </si>
  <si>
    <t>대전시</t>
  </si>
  <si>
    <t>평</t>
    <phoneticPr fontId="2" type="noConversion"/>
  </si>
  <si>
    <t>토공사,잡공사,골재비및운반비,조경공사</t>
    <phoneticPr fontId="2" type="noConversion"/>
  </si>
  <si>
    <t>급수/급탕/환탕배관공사</t>
  </si>
  <si>
    <t>난방설비공사,냉방설비공사</t>
    <phoneticPr fontId="2" type="noConversion"/>
  </si>
  <si>
    <t>기계실동력설비공사,주방동력설비공사</t>
    <phoneticPr fontId="2" type="noConversion"/>
  </si>
  <si>
    <t>보안등설비공사</t>
  </si>
  <si>
    <t>전화.TV공청 설비공사,LAN설비공사</t>
    <phoneticPr fontId="2" type="noConversion"/>
  </si>
  <si>
    <t>방송,CCTV설비공사</t>
    <phoneticPr fontId="2" type="noConversion"/>
  </si>
  <si>
    <t>인터폰설비공사</t>
  </si>
  <si>
    <t>배수공,부대공,자재대</t>
    <phoneticPr fontId="2" type="noConversion"/>
  </si>
  <si>
    <t>원 /평</t>
    <phoneticPr fontId="2" type="noConversion"/>
  </si>
  <si>
    <t>원 /평</t>
    <phoneticPr fontId="2" type="noConversion"/>
  </si>
  <si>
    <t>기계소화배관공사,전기소방공사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</si>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</sst>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1526</v>
      </c>
      <c r="D7" s="36">
        <f>+C7/3.3058</f>
        <v>461.61292274184763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258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399310</v>
      </c>
      <c r="E25" s="60">
        <f t="shared" si="0"/>
        <v>1320030</v>
      </c>
    </row>
    <row r="26" spans="1:5" x14ac:dyDescent="0.3">
      <c r="B26" s="2">
        <v>3</v>
      </c>
      <c r="C26" s="35" t="s">
        <v>95</v>
      </c>
      <c r="D26" s="45">
        <f>+D66</f>
        <v>13150</v>
      </c>
      <c r="E26" s="60">
        <f t="shared" si="0"/>
        <v>43470</v>
      </c>
    </row>
    <row r="27" spans="1:5" x14ac:dyDescent="0.3">
      <c r="B27" s="2">
        <v>4</v>
      </c>
      <c r="C27" s="35" t="s">
        <v>96</v>
      </c>
      <c r="D27" s="45">
        <f>+D95</f>
        <v>62510</v>
      </c>
      <c r="E27" s="60">
        <f t="shared" si="0"/>
        <v>206640</v>
      </c>
    </row>
    <row r="28" spans="1:5" x14ac:dyDescent="0.3">
      <c r="B28" s="2">
        <v>5</v>
      </c>
      <c r="C28" s="35" t="s">
        <v>97</v>
      </c>
      <c r="D28" s="45">
        <f>+D119</f>
        <v>117690</v>
      </c>
      <c r="E28" s="60">
        <f t="shared" si="0"/>
        <v>389050</v>
      </c>
    </row>
    <row r="29" spans="1:5" x14ac:dyDescent="0.3">
      <c r="B29" s="2">
        <v>6</v>
      </c>
      <c r="C29" s="35" t="s">
        <v>98</v>
      </c>
      <c r="D29" s="45">
        <f>+D133</f>
        <v>8890</v>
      </c>
      <c r="E29" s="60">
        <f t="shared" si="0"/>
        <v>29380</v>
      </c>
    </row>
    <row r="30" spans="1:5" x14ac:dyDescent="0.3">
      <c r="B30" s="2">
        <v>7</v>
      </c>
      <c r="C30" s="35" t="s">
        <v>99</v>
      </c>
      <c r="D30" s="45">
        <f>+D146</f>
        <v>31140</v>
      </c>
      <c r="E30" s="60">
        <f t="shared" si="0"/>
        <v>102940</v>
      </c>
    </row>
    <row r="31" spans="1:5" x14ac:dyDescent="0.3">
      <c r="B31" s="2">
        <v>8</v>
      </c>
      <c r="C31" s="35" t="s">
        <v>100</v>
      </c>
      <c r="D31" s="45">
        <f>+D154</f>
        <v>54880</v>
      </c>
      <c r="E31" s="60">
        <f t="shared" si="0"/>
        <v>181420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189080</v>
      </c>
      <c r="E33" s="61">
        <f t="shared" si="0"/>
        <v>625060</v>
      </c>
    </row>
    <row r="34" spans="1:7" x14ac:dyDescent="0.3">
      <c r="C34" s="35" t="s">
        <v>112</v>
      </c>
      <c r="D34" s="44">
        <f>SUM(D24:D33)</f>
        <v>876650</v>
      </c>
      <c r="E34" s="44">
        <f>SUM(E24:E33)</f>
        <v>2897990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235</v>
      </c>
      <c r="D36" s="56" t="s">
        <v>234</v>
      </c>
      <c r="E36" s="56" t="s">
        <v>258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TRUNC(38678.0904325033,-1)</f>
        <v>38670</v>
      </c>
      <c r="E40" s="63">
        <f t="shared" ref="E40:E59" si="1">TRUNC(+D40*3.3058,-1)</f>
        <v>127830</v>
      </c>
    </row>
    <row r="41" spans="1:7" x14ac:dyDescent="0.3">
      <c r="A41" s="2">
        <v>2</v>
      </c>
      <c r="C41" s="38" t="s">
        <v>13</v>
      </c>
      <c r="D41" s="42">
        <f>TRUNC(174205.696592398,-1)</f>
        <v>174200</v>
      </c>
      <c r="E41" s="64">
        <f t="shared" si="1"/>
        <v>575870</v>
      </c>
    </row>
    <row r="42" spans="1:7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f>TRUNC(17324.7844036697,-1)</f>
        <v>17320</v>
      </c>
      <c r="E43" s="64">
        <f t="shared" si="1"/>
        <v>57250</v>
      </c>
    </row>
    <row r="44" spans="1:7" x14ac:dyDescent="0.3">
      <c r="A44" s="2">
        <v>5</v>
      </c>
      <c r="C44" s="38" t="s">
        <v>17</v>
      </c>
      <c r="D44" s="42">
        <f>TRUNC(11547.4252948886,-1)</f>
        <v>11540</v>
      </c>
      <c r="E44" s="64">
        <f t="shared" si="1"/>
        <v>38140</v>
      </c>
    </row>
    <row r="45" spans="1:7" x14ac:dyDescent="0.3">
      <c r="A45" s="2">
        <v>6</v>
      </c>
      <c r="C45" s="38" t="s">
        <v>18</v>
      </c>
      <c r="D45" s="42">
        <f>TRUNC(13564.2935779817,-1)</f>
        <v>13560</v>
      </c>
      <c r="E45" s="64">
        <f t="shared" si="1"/>
        <v>44820</v>
      </c>
    </row>
    <row r="46" spans="1:7" x14ac:dyDescent="0.3">
      <c r="A46" s="2">
        <v>7</v>
      </c>
      <c r="C46" s="38" t="s">
        <v>19</v>
      </c>
      <c r="D46" s="42">
        <f>TRUNC(1800.12254259502,-1)</f>
        <v>1800</v>
      </c>
      <c r="E46" s="64">
        <f t="shared" si="1"/>
        <v>5950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TRUNC(17327.750982962,-1)</f>
        <v>17320</v>
      </c>
      <c r="E48" s="64">
        <f t="shared" si="1"/>
        <v>57250</v>
      </c>
    </row>
    <row r="49" spans="1:7" x14ac:dyDescent="0.3">
      <c r="A49" s="2">
        <v>10</v>
      </c>
      <c r="C49" s="38" t="s">
        <v>22</v>
      </c>
      <c r="D49" s="42">
        <f>TRUNC(45783.7090432503,-1)</f>
        <v>45780</v>
      </c>
      <c r="E49" s="64">
        <f t="shared" si="1"/>
        <v>151330</v>
      </c>
    </row>
    <row r="50" spans="1:7" x14ac:dyDescent="0.3">
      <c r="A50" s="2">
        <v>11</v>
      </c>
      <c r="C50" s="38" t="s">
        <v>154</v>
      </c>
      <c r="D50" s="42">
        <f>TRUNC(27826.625819135,-1)</f>
        <v>27820</v>
      </c>
      <c r="E50" s="64">
        <f t="shared" si="1"/>
        <v>91960</v>
      </c>
    </row>
    <row r="51" spans="1:7" x14ac:dyDescent="0.3">
      <c r="A51" s="2">
        <v>12</v>
      </c>
      <c r="C51" s="38" t="s">
        <v>23</v>
      </c>
      <c r="D51" s="42">
        <f>TRUNC(5801.33617300131,-1)</f>
        <v>5800</v>
      </c>
      <c r="E51" s="64">
        <f t="shared" si="1"/>
        <v>19170</v>
      </c>
    </row>
    <row r="52" spans="1:7" x14ac:dyDescent="0.3">
      <c r="A52" s="2">
        <v>13</v>
      </c>
      <c r="C52" s="38" t="s">
        <v>24</v>
      </c>
      <c r="D52" s="42">
        <f>TRUNC(8984.14351245085,-1)</f>
        <v>8980</v>
      </c>
      <c r="E52" s="64">
        <f t="shared" si="1"/>
        <v>29680</v>
      </c>
    </row>
    <row r="53" spans="1:7" x14ac:dyDescent="0.3">
      <c r="A53" s="2">
        <v>14</v>
      </c>
      <c r="C53" s="38" t="s">
        <v>25</v>
      </c>
      <c r="D53" s="42">
        <f>TRUNC(16454.7365661861,-1)</f>
        <v>16450</v>
      </c>
      <c r="E53" s="64">
        <f t="shared" si="1"/>
        <v>54380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TRUNC(1872.90956749672,-1)</f>
        <v>1870</v>
      </c>
      <c r="E55" s="64">
        <f t="shared" si="1"/>
        <v>6180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TRUNC(4565.47706422018+896.681520314548+
9171.84141546527+3575.49672346003,-1)</f>
        <v>18200</v>
      </c>
      <c r="E58" s="64">
        <f t="shared" si="1"/>
        <v>60160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5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399310</v>
      </c>
      <c r="E60" s="39">
        <f>SUM(E40:E59)</f>
        <v>1319970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236</v>
      </c>
      <c r="C62" s="55" t="s">
        <v>237</v>
      </c>
      <c r="D62" s="56" t="s">
        <v>234</v>
      </c>
      <c r="E62" s="56" t="s">
        <v>259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TRUNC(13150.9567496723,-1)</f>
        <v>13150</v>
      </c>
      <c r="E63" s="63">
        <f>TRUNC(+D63*3.3058,-1)</f>
        <v>43470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13150</v>
      </c>
      <c r="E66" s="57">
        <f>SUM(E63:E65)</f>
        <v>43470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238</v>
      </c>
      <c r="C68" s="55" t="s">
        <v>239</v>
      </c>
      <c r="D68" s="56" t="s">
        <v>234</v>
      </c>
      <c r="E68" s="56" t="s">
        <v>259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TRUNC(20529.498689384,-1)</f>
        <v>20520</v>
      </c>
      <c r="E69" s="63">
        <f>TRUNC(+D69*3.3058,-1)</f>
        <v>67830</v>
      </c>
    </row>
    <row r="70" spans="1:7" ht="16.5" customHeight="1" x14ac:dyDescent="0.3">
      <c r="A70" s="2">
        <v>2</v>
      </c>
      <c r="C70" s="38" t="s">
        <v>31</v>
      </c>
      <c r="D70" s="42">
        <f>TRUNC(3261.48230668414,-1)</f>
        <v>3260</v>
      </c>
      <c r="E70" s="64">
        <f>TRUNC(+D70*3.3058,-1)</f>
        <v>10770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f>TRUNC(1243.81323722149,-1)</f>
        <v>1240</v>
      </c>
      <c r="E72" s="64">
        <f t="shared" si="2"/>
        <v>4090</v>
      </c>
    </row>
    <row r="73" spans="1:7" x14ac:dyDescent="0.3">
      <c r="A73" s="2">
        <v>5</v>
      </c>
      <c r="C73" s="38" t="s">
        <v>34</v>
      </c>
      <c r="D73" s="42">
        <f>TRUNC(9845.51048492792,-1)</f>
        <v>9840</v>
      </c>
      <c r="E73" s="64">
        <f t="shared" si="2"/>
        <v>32520</v>
      </c>
      <c r="F73" s="2" t="s">
        <v>250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TRUNC(5511.53538663172,-1)</f>
        <v>5510</v>
      </c>
      <c r="E79" s="64">
        <f t="shared" si="3"/>
        <v>18210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TRUNC(18060.5373525557,-1)</f>
        <v>18060</v>
      </c>
      <c r="E84" s="64">
        <f>TRUNC(+D84*3.3058,-1)</f>
        <v>59700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f>TRUNC(4087.83813892529,-1)</f>
        <v>4080</v>
      </c>
      <c r="E89" s="64">
        <f t="shared" si="3"/>
        <v>13480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5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62510</v>
      </c>
      <c r="E95" s="39">
        <f>SUM(E69:E94)</f>
        <v>206600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240</v>
      </c>
      <c r="C97" s="55" t="s">
        <v>239</v>
      </c>
      <c r="D97" s="56" t="s">
        <v>234</v>
      </c>
      <c r="E97" s="56" t="s">
        <v>259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TRUNC(11227.5668414155,-1)</f>
        <v>11220</v>
      </c>
      <c r="E98" s="63">
        <f t="shared" ref="E98:E118" si="4">TRUNC(+D98*3.3058,-1)</f>
        <v>37090</v>
      </c>
    </row>
    <row r="99" spans="1:7" x14ac:dyDescent="0.3">
      <c r="A99" s="2">
        <v>2</v>
      </c>
      <c r="C99" s="38" t="s">
        <v>40</v>
      </c>
      <c r="D99" s="42">
        <f>TRUNC(534.492791612058+150.443643512451,-1)</f>
        <v>680</v>
      </c>
      <c r="E99" s="64">
        <f t="shared" si="4"/>
        <v>2240</v>
      </c>
      <c r="F99" s="2" t="s">
        <v>252</v>
      </c>
    </row>
    <row r="100" spans="1:7" x14ac:dyDescent="0.3">
      <c r="A100" s="2">
        <v>3</v>
      </c>
      <c r="C100" s="38" t="s">
        <v>41</v>
      </c>
      <c r="D100" s="42">
        <f>TRUNC(15639.4003931848,-1)</f>
        <v>15630</v>
      </c>
      <c r="E100" s="64">
        <f t="shared" si="4"/>
        <v>51660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TRUNC(3476.29488859764,-1)</f>
        <v>3470</v>
      </c>
      <c r="E102" s="64">
        <f t="shared" si="4"/>
        <v>11470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TRUNC(46305.7981651376+1163.1749672346,-1)</f>
        <v>47460</v>
      </c>
      <c r="E108" s="64">
        <f t="shared" si="4"/>
        <v>156890</v>
      </c>
      <c r="F108" s="2" t="s">
        <v>251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TRUNC(4279.98820445609,-1)</f>
        <v>4270</v>
      </c>
      <c r="E114" s="64">
        <f t="shared" si="4"/>
        <v>14110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f>TRUNC(34961.0203145478,-1)</f>
        <v>34960</v>
      </c>
      <c r="E115" s="64">
        <f t="shared" si="4"/>
        <v>115570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4">
        <f t="shared" si="4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5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117690</v>
      </c>
      <c r="E119" s="39">
        <f>SUM(E98:E118)</f>
        <v>389030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241</v>
      </c>
      <c r="C121" s="55" t="s">
        <v>239</v>
      </c>
      <c r="D121" s="56" t="s">
        <v>234</v>
      </c>
      <c r="E121" s="56" t="s">
        <v>259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f>TRUNC(5519.97968545216+621.467234600262,-1)</f>
        <v>6140</v>
      </c>
      <c r="E123" s="64">
        <f t="shared" si="5"/>
        <v>20290</v>
      </c>
      <c r="F123" s="2" t="s">
        <v>254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TRUNC(1644.49410222805,-1)</f>
        <v>1640</v>
      </c>
      <c r="E125" s="64">
        <f t="shared" si="5"/>
        <v>5420</v>
      </c>
      <c r="F125" s="2" t="s">
        <v>255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4">
        <f t="shared" si="5"/>
        <v>0</v>
      </c>
    </row>
    <row r="132" spans="1:7" ht="17.25" thickBot="1" x14ac:dyDescent="0.35">
      <c r="A132" s="2">
        <v>11</v>
      </c>
      <c r="C132" s="38" t="s">
        <v>47</v>
      </c>
      <c r="D132" s="43">
        <f>TRUNC(1116.11074705111,-1)</f>
        <v>1110</v>
      </c>
      <c r="E132" s="65">
        <f t="shared" si="5"/>
        <v>3660</v>
      </c>
      <c r="F132" s="2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8890</v>
      </c>
      <c r="E133" s="39">
        <f>SUM(E122:E132)</f>
        <v>29370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242</v>
      </c>
      <c r="C135" s="55" t="s">
        <v>239</v>
      </c>
      <c r="D135" s="56" t="s">
        <v>234</v>
      </c>
      <c r="E135" s="56" t="s">
        <v>259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TRUNC(24009.7870249017+7138.23066841415,-1)</f>
        <v>31140</v>
      </c>
      <c r="E137" s="64">
        <f t="shared" si="6"/>
        <v>102940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31140</v>
      </c>
      <c r="E146" s="39">
        <f>SUM(E136:E145)</f>
        <v>102940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243</v>
      </c>
      <c r="C148" s="55" t="s">
        <v>239</v>
      </c>
      <c r="D148" s="56" t="s">
        <v>234</v>
      </c>
      <c r="E148" s="56" t="s">
        <v>259</v>
      </c>
      <c r="F148" s="54"/>
      <c r="G148" s="54"/>
    </row>
    <row r="149" spans="1:7" x14ac:dyDescent="0.3">
      <c r="A149" s="2">
        <v>1</v>
      </c>
      <c r="C149" s="38" t="s">
        <v>48</v>
      </c>
      <c r="D149" s="40"/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TRUNC(1000.01507208388,-1)</f>
        <v>1000</v>
      </c>
      <c r="E150" s="64">
        <f>TRUNC(+D150*3.3058,-1)</f>
        <v>3300</v>
      </c>
    </row>
    <row r="151" spans="1:7" x14ac:dyDescent="0.3">
      <c r="A151" s="2">
        <v>3</v>
      </c>
      <c r="C151" s="38" t="s">
        <v>50</v>
      </c>
      <c r="D151" s="42">
        <f>TRUNC(24163.625819135,-1)</f>
        <v>24160</v>
      </c>
      <c r="E151" s="64">
        <f>TRUNC(+D151*3.3058,-1)</f>
        <v>79860</v>
      </c>
    </row>
    <row r="152" spans="1:7" x14ac:dyDescent="0.3">
      <c r="A152" s="2">
        <v>4</v>
      </c>
      <c r="C152" s="38" t="s">
        <v>47</v>
      </c>
      <c r="D152" s="42">
        <f>TRUNC(2853.07208387942+150.10878112713+26718.0602883355,-1)</f>
        <v>29720</v>
      </c>
      <c r="E152" s="64">
        <f>TRUNC(+D152*3.3058,-1)</f>
        <v>98240</v>
      </c>
      <c r="F152" s="58" t="s">
        <v>257</v>
      </c>
    </row>
    <row r="153" spans="1:7" ht="17.25" thickBot="1" x14ac:dyDescent="0.35">
      <c r="A153" s="2">
        <v>5</v>
      </c>
      <c r="C153" s="38" t="s">
        <v>148</v>
      </c>
      <c r="D153" s="43"/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54880</v>
      </c>
      <c r="E154" s="39">
        <f>SUM(E149:E153)</f>
        <v>181400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244</v>
      </c>
      <c r="C156" s="55" t="s">
        <v>239</v>
      </c>
      <c r="D156" s="56" t="s">
        <v>234</v>
      </c>
      <c r="E156" s="56" t="s">
        <v>259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2020-12-07T09:03:22Z</dcterms:modified>
</cp:coreProperties>
</file>