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84" i="4"/>
  <c r="D136" i="4" l="1"/>
  <c r="D137" i="4"/>
  <c r="D79" i="4" l="1"/>
  <c r="D132" i="4" l="1"/>
  <c r="D131" i="4"/>
  <c r="D128" i="4"/>
  <c r="D125" i="4"/>
  <c r="D123" i="4"/>
  <c r="D122" i="4"/>
  <c r="D118" i="4"/>
  <c r="D117" i="4"/>
  <c r="D115" i="4"/>
  <c r="D105" i="4"/>
  <c r="D104" i="4"/>
  <c r="D102" i="4"/>
  <c r="D101" i="4"/>
  <c r="D100" i="4"/>
  <c r="D99" i="4"/>
  <c r="D98" i="4"/>
  <c r="D90" i="4"/>
  <c r="D85" i="4"/>
  <c r="D72" i="4"/>
  <c r="D93" i="4"/>
  <c r="D71" i="4"/>
  <c r="D70" i="4"/>
  <c r="D69" i="4"/>
  <c r="D59" i="4"/>
  <c r="D58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146" i="4"/>
  <c r="E95" i="4"/>
  <c r="E60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<sst xmlns="http://schemas.openxmlformats.org/spreadsheetml/2006/main" count="388" uniqueCount="262">
  <si>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</si>
  <si>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</si>
  <si>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</si>
  <si>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</si>
  <si>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</si>
  <si>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</si>
  <si>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</si>
  <si>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</si>
  <si>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</si>
  <si>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</si>
  <si>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</si>
  <si>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</si>
  <si>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</si>
  <si>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</si>
  <si>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</si>
  <si>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</si>
  <si>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</si>
  <si>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</si>
  <si>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</si>
  <si>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</si>
  <si>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</si>
  <si>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</si>
  <si>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</si>
  <si>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</si>
  <si>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</si>
  <si>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</si>
  <si>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</si>
  <si>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</si>
  <si>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</si>
  <si>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</si>
  <si>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</si>
  <si>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</si>
  <si>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</si>
  <si>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</si>
  <si>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</si>
  <si>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</si>
  <si>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</si>
  <si>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</si>
  <si>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</si>
  <si>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</si>
  <si>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</si>
  <si>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</si>
  <si>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</si>
  <si>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</si>
  <si>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</si>
  <si>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</si>
  <si>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</si>
  <si>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</si>
  <si>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</si>
  <si>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</si>
  <si>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</si>
  <si>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</si>
  <si>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</si>
  <si>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</si>
  <si>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</si>
  <si>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</si>
  <si>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</si>
  <si>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</si>
  <si>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</si>
  <si>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</si>
  <si>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</si>
  <si>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</si>
  <si>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</si>
  <si>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</si>
  <si>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</si>
  <si>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</si>
  <si>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</si>
  <si>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</si>
  <si>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</si>
  <si>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</si>
  <si>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</si>
  <si>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</si>
  <si>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</si>
  <si>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</si>
  <si>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</si>
  <si>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</si>
  <si>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</si>
  <si>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</si>
  <si>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</si>
  <si>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</si>
  <si>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</si>
  <si>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</si>
  <si>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</si>
  <si>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</si>
  <si>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</si>
  <si>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</si>
  <si>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</si>
  <si>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</si>
  <si>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</si>
  <si>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</si>
  <si>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</si>
  <si>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</si>
  <si>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</si>
  <si>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</si>
  <si>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</si>
  <si>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</si>
  <si>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</si>
  <si>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</si>
  <si>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</si>
  <si>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</si>
  <si>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</si>
  <si>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</si>
  <si>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</si>
  <si>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</si>
  <si>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</si>
  <si>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</si>
  <si>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</si>
  <si>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</si>
  <si>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</si>
  <si>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</si>
  <si>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</si>
  <si>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</si>
  <si>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</si>
  <si>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</si>
  <si>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</si>
  <si>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</si>
  <si>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</si>
  <si>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</si>
  <si>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</si>
  <si>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</si>
  <si>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</si>
  <si>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</si>
  <si>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</si>
  <si>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</si>
  <si>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</si>
  <si>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</si>
  <si>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</si>
  <si>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</si>
  <si>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</si>
  <si>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</si>
  <si>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</si>
  <si>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</si>
  <si>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</si>
  <si>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</si>
  <si>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</si>
  <si>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</si>
  <si>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</si>
  <si>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</si>
  <si>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</si>
  <si>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</si>
  <si>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</si>
  <si>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</si>
  <si>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</si>
  <si>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</si>
  <si>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</si>
  <si>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</si>
  <si>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</si>
  <si>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</si>
  <si>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</si>
  <si>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</si>
  <si>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</si>
  <si>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</si>
  <si>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</si>
  <si>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</si>
  <si>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</si>
  <si>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</si>
  <si>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</si>
  <si>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</si>
  <si>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</si>
  <si>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</si>
  <si>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</si>
  <si>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</si>
  <si>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</si>
  <si>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</si>
  <si>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</si>
  <si>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</si>
  <si>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</si>
  <si>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</si>
  <si>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</si>
  <si>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</si>
  <si>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</si>
  <si>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</si>
  <si>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</si>
  <si>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</si>
  <si>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</si>
  <si>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</si>
  <si>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</si>
  <si>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</si>
  <si>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</si>
  <si>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</si>
  <si>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</si>
  <si>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</si>
  <si>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</si>
  <si>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</si>
  <si>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</si>
  <si>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</si>
  <si>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</si>
  <si>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</si>
  <si>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</si>
  <si>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</si>
  <si>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</si>
  <si>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</si>
  <si>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</si>
  <si>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</si>
  <si>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</si>
  <si>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</si>
  <si>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</si>
  <si>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</si>
  <si>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</si>
  <si>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</si>
  <si>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</si>
  <si>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</si>
  <si>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</si>
  <si>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</si>
  <si>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</si>
  <si>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</si>
  <si>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</si>
  <si>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</si>
  <si>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</si>
  <si>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</si>
  <si>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</si>
  <si>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</si>
  <si>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</si>
  <si>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</si>
  <si>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</si>
  <si>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</si>
  <si>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</si>
  <si>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</si>
  <si>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</si>
  <si>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</si>
  <si>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</si>
  <si>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</si>
  <si>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</si>
  <si>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</si>
  <si>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</si>
  <si>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</si>
  <si>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</si>
  <si>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</si>
  <si>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</si>
  <si>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</si>
  <si>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</si>
  <si>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</si>
  <si>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</si>
  <si>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</si>
  <si>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</si>
  <si>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</si>
  <si>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</si>
  <si>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</si>
  <si>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</si>
  <si>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</si>
  <si>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</si>
  <si>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</si>
  <si>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</si>
  <si>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</si>
  <si>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</si>
  <si>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</si>
  <si>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</si>
  <si>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</si>
  <si>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00학생기숙사 건립공사</t>
    <phoneticPr fontId="2" type="noConversion"/>
  </si>
  <si>
    <t>교육연구</t>
  </si>
  <si>
    <t>강원도</t>
  </si>
  <si>
    <t>토목공사</t>
    <phoneticPr fontId="2" type="noConversion"/>
  </si>
  <si>
    <t>토공사,기타공사,조립식욕실공사,골재비,운반비,가시설공사(토목),기타(PS,TAB등)</t>
    <phoneticPr fontId="2" type="noConversion"/>
  </si>
  <si>
    <t>누수감지센서설비공사</t>
    <phoneticPr fontId="2" type="noConversion"/>
  </si>
  <si>
    <t>CCTV설비공사</t>
    <phoneticPr fontId="2" type="noConversion"/>
  </si>
  <si>
    <t>전기 소방</t>
    <phoneticPr fontId="2" type="noConversion"/>
  </si>
  <si>
    <t>원/ m2</t>
  </si>
  <si>
    <t>원 /평</t>
  </si>
  <si>
    <t>바닥난방공사, 난방배관공사,위생배관공사,주방설치공사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</si>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</sst>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3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12403</v>
      </c>
      <c r="D7" s="36">
        <f>+C7/3.3058</f>
        <v>3751.8906164922255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807400</v>
      </c>
      <c r="E25" s="59">
        <f t="shared" si="0"/>
        <v>2669100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167560</v>
      </c>
      <c r="E27" s="59">
        <f t="shared" si="0"/>
        <v>553910</v>
      </c>
    </row>
    <row r="28" spans="1:5" x14ac:dyDescent="0.3">
      <c r="B28" s="2">
        <v>5</v>
      </c>
      <c r="C28" s="35" t="s">
        <v>97</v>
      </c>
      <c r="D28" s="45">
        <f>+D119</f>
        <v>166960</v>
      </c>
      <c r="E28" s="59">
        <f t="shared" si="0"/>
        <v>551930</v>
      </c>
    </row>
    <row r="29" spans="1:5" x14ac:dyDescent="0.3">
      <c r="B29" s="2">
        <v>6</v>
      </c>
      <c r="C29" s="35" t="s">
        <v>98</v>
      </c>
      <c r="D29" s="45">
        <f>+D133</f>
        <v>70920</v>
      </c>
      <c r="E29" s="59">
        <f t="shared" si="0"/>
        <v>234440</v>
      </c>
    </row>
    <row r="30" spans="1:5" x14ac:dyDescent="0.3">
      <c r="B30" s="2">
        <v>7</v>
      </c>
      <c r="C30" s="35" t="s">
        <v>99</v>
      </c>
      <c r="D30" s="45">
        <f>+D146</f>
        <v>77280</v>
      </c>
      <c r="E30" s="59">
        <f t="shared" si="0"/>
        <v>255470</v>
      </c>
    </row>
    <row r="31" spans="1:5" x14ac:dyDescent="0.3">
      <c r="B31" s="2">
        <v>8</v>
      </c>
      <c r="C31" s="35" t="s">
        <v>100</v>
      </c>
      <c r="D31" s="45">
        <f>+D154</f>
        <v>26980</v>
      </c>
      <c r="E31" s="59">
        <f t="shared" si="0"/>
        <v>89190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362200</v>
      </c>
      <c r="E33" s="60">
        <f t="shared" si="0"/>
        <v>1197360</v>
      </c>
    </row>
    <row r="34" spans="1:7" x14ac:dyDescent="0.3">
      <c r="C34" s="35" t="s">
        <v>112</v>
      </c>
      <c r="D34" s="44">
        <f>SUM(D24:D33)</f>
        <v>1679300</v>
      </c>
      <c r="E34" s="44">
        <f>SUM(E24:E33)</f>
        <v>5551400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f>TRUNC(60054,-1)</f>
        <v>60050</v>
      </c>
      <c r="E40" s="62">
        <f t="shared" ref="E40:E59" si="1">TRUNC(+D40*3.3058,-1)</f>
        <v>198510</v>
      </c>
    </row>
    <row r="41" spans="1:7" x14ac:dyDescent="0.3">
      <c r="A41" s="2">
        <v>2</v>
      </c>
      <c r="C41" s="38" t="s">
        <v>13</v>
      </c>
      <c r="D41" s="42">
        <f>TRUNC(136600,-1)</f>
        <v>136600</v>
      </c>
      <c r="E41" s="63">
        <f t="shared" si="1"/>
        <v>451570</v>
      </c>
    </row>
    <row r="42" spans="1:7" x14ac:dyDescent="0.3">
      <c r="A42" s="2">
        <v>3</v>
      </c>
      <c r="C42" s="38" t="s">
        <v>14</v>
      </c>
      <c r="D42" s="42">
        <f>TRUNC(3101,-1)</f>
        <v>3100</v>
      </c>
      <c r="E42" s="63">
        <f t="shared" si="1"/>
        <v>10240</v>
      </c>
    </row>
    <row r="43" spans="1:7" x14ac:dyDescent="0.3">
      <c r="A43" s="2">
        <v>4</v>
      </c>
      <c r="C43" s="38" t="s">
        <v>16</v>
      </c>
      <c r="D43" s="42">
        <f>TRUNC(18353,-1)</f>
        <v>18350</v>
      </c>
      <c r="E43" s="63">
        <f t="shared" si="1"/>
        <v>60660</v>
      </c>
    </row>
    <row r="44" spans="1:7" x14ac:dyDescent="0.3">
      <c r="A44" s="2">
        <v>5</v>
      </c>
      <c r="C44" s="38" t="s">
        <v>17</v>
      </c>
      <c r="D44" s="42">
        <f>TRUNC(17153,-1)</f>
        <v>17150</v>
      </c>
      <c r="E44" s="63">
        <f t="shared" si="1"/>
        <v>56690</v>
      </c>
    </row>
    <row r="45" spans="1:7" x14ac:dyDescent="0.3">
      <c r="A45" s="2">
        <v>6</v>
      </c>
      <c r="C45" s="38" t="s">
        <v>18</v>
      </c>
      <c r="D45" s="42">
        <f>TRUNC(5711,-1)</f>
        <v>5710</v>
      </c>
      <c r="E45" s="63">
        <f t="shared" si="1"/>
        <v>18870</v>
      </c>
    </row>
    <row r="46" spans="1:7" x14ac:dyDescent="0.3">
      <c r="A46" s="2">
        <v>7</v>
      </c>
      <c r="C46" s="38" t="s">
        <v>19</v>
      </c>
      <c r="D46" s="42">
        <f>TRUNC(31125,-1)</f>
        <v>31120</v>
      </c>
      <c r="E46" s="63">
        <f t="shared" si="1"/>
        <v>102870</v>
      </c>
    </row>
    <row r="47" spans="1:7" x14ac:dyDescent="0.3">
      <c r="A47" s="2">
        <v>8</v>
      </c>
      <c r="C47" s="38" t="s">
        <v>20</v>
      </c>
      <c r="D47" s="42">
        <f>TRUNC(15081,-1)</f>
        <v>15080</v>
      </c>
      <c r="E47" s="63">
        <f t="shared" si="1"/>
        <v>49850</v>
      </c>
    </row>
    <row r="48" spans="1:7" x14ac:dyDescent="0.3">
      <c r="A48" s="2">
        <v>9</v>
      </c>
      <c r="C48" s="38" t="s">
        <v>21</v>
      </c>
      <c r="D48" s="42">
        <f>TRUNC(63433,-1)</f>
        <v>63430</v>
      </c>
      <c r="E48" s="63">
        <f t="shared" si="1"/>
        <v>209680</v>
      </c>
    </row>
    <row r="49" spans="1:7" x14ac:dyDescent="0.3">
      <c r="A49" s="2">
        <v>10</v>
      </c>
      <c r="C49" s="38" t="s">
        <v>22</v>
      </c>
      <c r="D49" s="42">
        <f>TRUNC(46820,-1)</f>
        <v>46820</v>
      </c>
      <c r="E49" s="63">
        <f t="shared" si="1"/>
        <v>154770</v>
      </c>
    </row>
    <row r="50" spans="1:7" x14ac:dyDescent="0.3">
      <c r="A50" s="2">
        <v>11</v>
      </c>
      <c r="C50" s="38" t="s">
        <v>155</v>
      </c>
      <c r="D50" s="42">
        <f>TRUNC(30100,-1)</f>
        <v>30100</v>
      </c>
      <c r="E50" s="63">
        <f t="shared" si="1"/>
        <v>99500</v>
      </c>
    </row>
    <row r="51" spans="1:7" x14ac:dyDescent="0.3">
      <c r="A51" s="2">
        <v>12</v>
      </c>
      <c r="C51" s="38" t="s">
        <v>23</v>
      </c>
      <c r="D51" s="42">
        <f>TRUNC(18764,-1)</f>
        <v>18760</v>
      </c>
      <c r="E51" s="63">
        <f t="shared" si="1"/>
        <v>62010</v>
      </c>
    </row>
    <row r="52" spans="1:7" x14ac:dyDescent="0.3">
      <c r="A52" s="2">
        <v>13</v>
      </c>
      <c r="C52" s="38" t="s">
        <v>24</v>
      </c>
      <c r="D52" s="42">
        <f>TRUNC(15803,-1)</f>
        <v>15800</v>
      </c>
      <c r="E52" s="63">
        <f t="shared" si="1"/>
        <v>52230</v>
      </c>
    </row>
    <row r="53" spans="1:7" x14ac:dyDescent="0.3">
      <c r="A53" s="2">
        <v>14</v>
      </c>
      <c r="C53" s="38" t="s">
        <v>25</v>
      </c>
      <c r="D53" s="42">
        <f>TRUNC(55784,-1)</f>
        <v>55780</v>
      </c>
      <c r="E53" s="63">
        <f t="shared" si="1"/>
        <v>184390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TRUNC(5233+10225+1921+2984+8437+2928,-1)</f>
        <v>31720</v>
      </c>
      <c r="E58" s="63">
        <f t="shared" si="1"/>
        <v>104850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TRUNC(257831,-1)</f>
        <v>257830</v>
      </c>
      <c r="E59" s="64">
        <f t="shared" si="1"/>
        <v>852330</v>
      </c>
    </row>
    <row r="60" spans="1:7" x14ac:dyDescent="0.3">
      <c r="A60" s="2">
        <v>21</v>
      </c>
      <c r="C60" s="27" t="s">
        <v>112</v>
      </c>
      <c r="D60" s="39">
        <f>SUM(D40:D59)</f>
        <v>807400</v>
      </c>
      <c r="E60" s="39">
        <f>SUM(E40:E59)</f>
        <v>2669020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TRUNC(16495,-1)</f>
        <v>16490</v>
      </c>
      <c r="E69" s="62">
        <f t="shared" ref="E69:E94" si="2">TRUNC(+D69*3.3058,-1)</f>
        <v>54510</v>
      </c>
    </row>
    <row r="70" spans="1:7" ht="16.5" customHeight="1" x14ac:dyDescent="0.3">
      <c r="A70" s="2">
        <v>2</v>
      </c>
      <c r="C70" s="38" t="s">
        <v>31</v>
      </c>
      <c r="D70" s="42">
        <f>TRUNC(933,-1)</f>
        <v>930</v>
      </c>
      <c r="E70" s="63">
        <f t="shared" si="2"/>
        <v>3070</v>
      </c>
    </row>
    <row r="71" spans="1:7" x14ac:dyDescent="0.3">
      <c r="A71" s="2">
        <v>3</v>
      </c>
      <c r="C71" s="38" t="s">
        <v>32</v>
      </c>
      <c r="D71" s="42">
        <f>TRUNC(3677,-1)</f>
        <v>3670</v>
      </c>
      <c r="E71" s="63">
        <f t="shared" si="2"/>
        <v>12130</v>
      </c>
    </row>
    <row r="72" spans="1:7" x14ac:dyDescent="0.3">
      <c r="A72" s="2">
        <v>4</v>
      </c>
      <c r="C72" s="38" t="s">
        <v>33</v>
      </c>
      <c r="D72" s="42">
        <f>TRUNC(20597,-1)</f>
        <v>20590</v>
      </c>
      <c r="E72" s="63">
        <f t="shared" si="2"/>
        <v>68060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TRUNC(6577,-1)</f>
        <v>6570</v>
      </c>
      <c r="E79" s="63">
        <f t="shared" si="2"/>
        <v>21710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TRUNC(14481,-1)</f>
        <v>14480</v>
      </c>
      <c r="E84" s="63">
        <f t="shared" si="2"/>
        <v>47860</v>
      </c>
      <c r="F84" s="2" t="s">
        <v>122</v>
      </c>
    </row>
    <row r="85" spans="1:7" x14ac:dyDescent="0.3">
      <c r="A85" s="2">
        <v>17</v>
      </c>
      <c r="C85" s="38" t="s">
        <v>123</v>
      </c>
      <c r="D85" s="42">
        <f>TRUNC(49,-1)</f>
        <v>40</v>
      </c>
      <c r="E85" s="63">
        <f t="shared" si="2"/>
        <v>130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TRUNC(667,-1)</f>
        <v>660</v>
      </c>
      <c r="E90" s="63">
        <f t="shared" si="2"/>
        <v>2180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TRUNC(22192,-1)</f>
        <v>22190</v>
      </c>
      <c r="E93" s="63">
        <f t="shared" si="2"/>
        <v>73350</v>
      </c>
    </row>
    <row r="94" spans="1:7" ht="17.25" thickBot="1" x14ac:dyDescent="0.35">
      <c r="A94" s="2">
        <v>26</v>
      </c>
      <c r="C94" s="38" t="s">
        <v>47</v>
      </c>
      <c r="D94" s="43">
        <f>TRUNC(129+13086+34441+34291,-1)</f>
        <v>81940</v>
      </c>
      <c r="E94" s="64">
        <f t="shared" si="2"/>
        <v>270870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167560</v>
      </c>
      <c r="E95" s="39">
        <f>SUM(E69:E94)</f>
        <v>553870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TRUNC(10583,-1)</f>
        <v>10580</v>
      </c>
      <c r="E98" s="62">
        <f t="shared" ref="E98:E118" si="3">TRUNC(+D98*3.3058,-1)</f>
        <v>34970</v>
      </c>
    </row>
    <row r="99" spans="1:7" x14ac:dyDescent="0.3">
      <c r="A99" s="2">
        <v>2</v>
      </c>
      <c r="C99" s="38" t="s">
        <v>40</v>
      </c>
      <c r="D99" s="42">
        <f>TRUNC(3314,-1)</f>
        <v>3310</v>
      </c>
      <c r="E99" s="63">
        <f t="shared" si="3"/>
        <v>10940</v>
      </c>
    </row>
    <row r="100" spans="1:7" x14ac:dyDescent="0.3">
      <c r="A100" s="2">
        <v>3</v>
      </c>
      <c r="C100" s="38" t="s">
        <v>41</v>
      </c>
      <c r="D100" s="42">
        <f>TRUNC(37282,-1)</f>
        <v>37280</v>
      </c>
      <c r="E100" s="63">
        <f t="shared" si="3"/>
        <v>123240</v>
      </c>
    </row>
    <row r="101" spans="1:7" x14ac:dyDescent="0.3">
      <c r="A101" s="2">
        <v>4</v>
      </c>
      <c r="C101" s="38" t="s">
        <v>42</v>
      </c>
      <c r="D101" s="42">
        <f>TRUNC(1517,-1)</f>
        <v>1510</v>
      </c>
      <c r="E101" s="63">
        <f t="shared" si="3"/>
        <v>4990</v>
      </c>
    </row>
    <row r="102" spans="1:7" x14ac:dyDescent="0.3">
      <c r="A102" s="2">
        <v>5</v>
      </c>
      <c r="C102" s="38" t="s">
        <v>43</v>
      </c>
      <c r="D102" s="42">
        <f>TRUNC(23873,-1)</f>
        <v>23870</v>
      </c>
      <c r="E102" s="63">
        <f t="shared" si="3"/>
        <v>78900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TRUNC(2769,-1)</f>
        <v>2760</v>
      </c>
      <c r="E104" s="63">
        <f t="shared" si="3"/>
        <v>9120</v>
      </c>
    </row>
    <row r="105" spans="1:7" x14ac:dyDescent="0.3">
      <c r="A105" s="2">
        <v>8</v>
      </c>
      <c r="C105" s="38" t="s">
        <v>46</v>
      </c>
      <c r="D105" s="42">
        <f>TRUNC(3678,-1)</f>
        <v>3670</v>
      </c>
      <c r="E105" s="63">
        <f t="shared" si="3"/>
        <v>12130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TRUNC(5154,-1)</f>
        <v>5150</v>
      </c>
      <c r="E115" s="63">
        <f t="shared" si="3"/>
        <v>17020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TRUNC(76388,-1)</f>
        <v>76380</v>
      </c>
      <c r="E117" s="63">
        <f t="shared" si="3"/>
        <v>252490</v>
      </c>
    </row>
    <row r="118" spans="1:7" ht="17.25" thickBot="1" x14ac:dyDescent="0.35">
      <c r="A118" s="2">
        <v>21</v>
      </c>
      <c r="C118" s="38" t="s">
        <v>47</v>
      </c>
      <c r="D118" s="43">
        <f>TRUNC(2451,-1)</f>
        <v>2450</v>
      </c>
      <c r="E118" s="64">
        <f t="shared" si="3"/>
        <v>8090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166960</v>
      </c>
      <c r="E119" s="39">
        <f>SUM(E98:E118)</f>
        <v>551890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TRUNC(11297,-1)</f>
        <v>11290</v>
      </c>
      <c r="E122" s="62">
        <f t="shared" ref="E122:E132" si="4">TRUNC(+D122*3.3058,-1)</f>
        <v>37320</v>
      </c>
    </row>
    <row r="123" spans="1:7" x14ac:dyDescent="0.3">
      <c r="A123" s="2">
        <v>2</v>
      </c>
      <c r="C123" s="38" t="s">
        <v>124</v>
      </c>
      <c r="D123" s="42">
        <f>TRUNC(24820,-1)</f>
        <v>24820</v>
      </c>
      <c r="E123" s="63">
        <f t="shared" si="4"/>
        <v>82040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TRUNC(10486,-1)</f>
        <v>10480</v>
      </c>
      <c r="E125" s="63">
        <f t="shared" si="4"/>
        <v>34640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TRUNC(1714,-1)</f>
        <v>1710</v>
      </c>
      <c r="E128" s="63">
        <f t="shared" si="4"/>
        <v>5650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TRUNC(21164,-1)</f>
        <v>21160</v>
      </c>
      <c r="E131" s="63">
        <f t="shared" si="4"/>
        <v>69950</v>
      </c>
    </row>
    <row r="132" spans="1:7" ht="18" thickBot="1" x14ac:dyDescent="0.35">
      <c r="A132" s="2">
        <v>11</v>
      </c>
      <c r="C132" s="38" t="s">
        <v>47</v>
      </c>
      <c r="D132" s="43">
        <f>TRUNC(1469,-1)</f>
        <v>1460</v>
      </c>
      <c r="E132" s="64">
        <f t="shared" si="4"/>
        <v>4820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70920</v>
      </c>
      <c r="E133" s="39">
        <f>SUM(E122:E132)</f>
        <v>234420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TRUNC(56967,-1)</f>
        <v>56960</v>
      </c>
      <c r="E136" s="62">
        <f t="shared" ref="E136:E145" si="5">TRUNC(+D136*3.3058,-1)</f>
        <v>188290</v>
      </c>
    </row>
    <row r="137" spans="1:7" x14ac:dyDescent="0.3">
      <c r="A137" s="2">
        <v>2</v>
      </c>
      <c r="C137" s="38" t="s">
        <v>47</v>
      </c>
      <c r="D137" s="42">
        <f>TRUNC(20325,-1)</f>
        <v>20320</v>
      </c>
      <c r="E137" s="63">
        <f t="shared" si="5"/>
        <v>67170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77280</v>
      </c>
      <c r="E146" s="39">
        <f>SUM(E136:E145)</f>
        <v>255460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TRUNC(26984,-1)</f>
        <v>26980</v>
      </c>
      <c r="E152" s="63">
        <f>TRUNC(+D152*3.3058,-1)</f>
        <v>89190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26980</v>
      </c>
      <c r="E154" s="39">
        <f>SUM(E149:E153)</f>
        <v>89190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2020-12-07T09:36:40Z</dcterms:modified>
</cp:coreProperties>
</file>