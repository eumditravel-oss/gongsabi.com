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39" i="4"/>
  <c r="D141" i="4"/>
  <c r="D142" i="4"/>
  <c r="D137" i="4"/>
  <c r="D140" i="4"/>
  <c r="D132" i="4"/>
  <c r="D124" i="4"/>
  <c r="D125" i="4"/>
  <c r="D122" i="4"/>
  <c r="D130" i="4"/>
  <c r="D126" i="4"/>
  <c r="D118" i="4"/>
  <c r="D104" i="4"/>
  <c r="D103" i="4"/>
  <c r="D102" i="4"/>
  <c r="D101" i="4"/>
  <c r="D100" i="4"/>
  <c r="D99" i="4"/>
  <c r="D98" i="4"/>
  <c r="D114" i="4"/>
  <c r="D116" i="4"/>
  <c r="D94" i="4"/>
  <c r="D75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<sst xmlns="http://schemas.openxmlformats.org/spreadsheetml/2006/main" count="395" uniqueCount="270">
  <si>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</si>
  <si>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</si>
  <si>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</si>
  <si>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</si>
  <si>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</si>
  <si>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</si>
  <si>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</si>
  <si>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</si>
  <si>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</si>
  <si>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</si>
  <si>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</si>
  <si>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</si>
  <si>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</si>
  <si>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</si>
  <si>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</si>
  <si>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</si>
  <si>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</si>
  <si>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</si>
  <si>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</si>
  <si>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</si>
  <si>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</si>
  <si>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</si>
  <si>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</si>
  <si>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</si>
  <si>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</si>
  <si>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</si>
  <si>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</si>
  <si>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</si>
  <si>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</si>
  <si>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</si>
  <si>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</si>
  <si>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</si>
  <si>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</si>
  <si>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</si>
  <si>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</si>
  <si>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</si>
  <si>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</si>
  <si>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</si>
  <si>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</si>
  <si>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</si>
  <si>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</si>
  <si>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</si>
  <si>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</si>
  <si>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</si>
  <si>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</si>
  <si>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</si>
  <si>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</si>
  <si>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</si>
  <si>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</si>
  <si>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</si>
  <si>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</si>
  <si>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</si>
  <si>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</si>
  <si>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</si>
  <si>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</si>
  <si>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</si>
  <si>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</si>
  <si>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</si>
  <si>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</si>
  <si>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</si>
  <si>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</si>
  <si>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</si>
  <si>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</si>
  <si>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</si>
  <si>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</si>
  <si>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</si>
  <si>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</si>
  <si>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</si>
  <si>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</si>
  <si>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</si>
  <si>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</si>
  <si>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</si>
  <si>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</si>
  <si>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</si>
  <si>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</si>
  <si>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</si>
  <si>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</si>
  <si>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</si>
  <si>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</si>
  <si>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</si>
  <si>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</si>
  <si>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</si>
  <si>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</si>
  <si>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</si>
  <si>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</si>
  <si>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</si>
  <si>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</si>
  <si>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</si>
  <si>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</si>
  <si>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</si>
  <si>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</si>
  <si>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</si>
  <si>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</si>
  <si>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</si>
  <si>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</si>
  <si>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</si>
  <si>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</si>
  <si>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</si>
  <si>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</si>
  <si>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</si>
  <si>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</si>
  <si>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</si>
  <si>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</si>
  <si>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</si>
  <si>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</si>
  <si>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</si>
  <si>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</si>
  <si>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</si>
  <si>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</si>
  <si>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</si>
  <si>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</si>
  <si>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</si>
  <si>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</si>
  <si>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</si>
  <si>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</si>
  <si>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</si>
  <si>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</si>
  <si>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</si>
  <si>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</si>
  <si>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</si>
  <si>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</si>
  <si>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</si>
  <si>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</si>
  <si>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</si>
  <si>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</si>
  <si>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</si>
  <si>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</si>
  <si>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</si>
  <si>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</si>
  <si>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</si>
  <si>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</si>
  <si>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</si>
  <si>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</si>
  <si>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</si>
  <si>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</si>
  <si>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</si>
  <si>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</si>
  <si>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</si>
  <si>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</si>
  <si>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</si>
  <si>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</si>
  <si>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</si>
  <si>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</si>
  <si>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</si>
  <si>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</si>
  <si>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</si>
  <si>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</si>
  <si>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</si>
  <si>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</si>
  <si>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</si>
  <si>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</si>
  <si>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</si>
  <si>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</si>
  <si>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</si>
  <si>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</si>
  <si>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</si>
  <si>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</si>
  <si>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</si>
  <si>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</si>
  <si>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</si>
  <si>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</si>
  <si>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</si>
  <si>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</si>
  <si>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</si>
  <si>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</si>
  <si>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</si>
  <si>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</si>
  <si>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</si>
  <si>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</si>
  <si>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</si>
  <si>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</si>
  <si>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</si>
  <si>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</si>
  <si>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</si>
  <si>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</si>
  <si>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</si>
  <si>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</si>
  <si>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</si>
  <si>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</si>
  <si>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</si>
  <si>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</si>
  <si>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</si>
  <si>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</si>
  <si>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</si>
  <si>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</si>
  <si>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</si>
  <si>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</si>
  <si>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</si>
  <si>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</si>
  <si>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</si>
  <si>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</si>
  <si>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</si>
  <si>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</si>
  <si>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</si>
  <si>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</si>
  <si>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</si>
  <si>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</si>
  <si>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</si>
  <si>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</si>
  <si>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</si>
  <si>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</si>
  <si>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</si>
  <si>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</si>
  <si>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</si>
  <si>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</si>
  <si>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</si>
  <si>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</si>
  <si>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</si>
  <si>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</si>
  <si>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</si>
  <si>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</si>
  <si>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</si>
  <si>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</si>
  <si>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</si>
  <si>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</si>
  <si>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</si>
  <si>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</si>
  <si>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</si>
  <si>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</si>
  <si>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</si>
  <si>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</si>
  <si>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</si>
  <si>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</si>
  <si>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</si>
  <si>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</si>
  <si>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</si>
  <si>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</si>
  <si>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</si>
  <si>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</si>
  <si>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</si>
  <si>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</si>
  <si>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</si>
  <si>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</si>
  <si>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</si>
  <si>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</si>
  <si>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</si>
  <si>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</si>
  <si>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</si>
  <si>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</si>
  <si>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</si>
  <si>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</si>
  <si>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</si>
  <si>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</si>
  <si>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</si>
  <si>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</si>
  <si>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</si>
  <si>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</si>
  <si>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</si>
  <si>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청주실내빙상장 건립사업</t>
    <phoneticPr fontId="2" type="noConversion"/>
  </si>
  <si>
    <t>운동</t>
  </si>
  <si>
    <t>충청도</t>
  </si>
  <si>
    <r>
      <t>기초공사,골재비및운반비,작업부산물,</t>
    </r>
    <r>
      <rPr>
        <b/>
        <sz val="11"/>
        <color theme="1"/>
        <rFont val="맑은 고딕"/>
        <family val="3"/>
        <charset val="129"/>
        <scheme val="minor"/>
      </rPr>
      <t>기타공사</t>
    </r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</si>
  <si>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</si>
  <si>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</si>
  <si>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</si>
  <si>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우수처리시설공사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</si>
  <si>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</si>
  <si>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</si>
  <si>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</si>
  <si>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</si>
  <si>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</si>
  <si>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</si>
  <si>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운반비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</si>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</sst>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6677.07</v>
      </c>
      <c r="D7" s="36">
        <f>+C7/3.3058</f>
        <v>2019.8045858793635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1689060</v>
      </c>
      <c r="E25" s="59">
        <f t="shared" si="0"/>
        <v>5583690</v>
      </c>
    </row>
    <row r="26" spans="1:5" x14ac:dyDescent="0.3">
      <c r="B26" s="2">
        <v>3</v>
      </c>
      <c r="C26" s="35" t="s">
        <v>95</v>
      </c>
      <c r="D26" s="45">
        <f>+D66</f>
        <v>26540</v>
      </c>
      <c r="E26" s="59">
        <f t="shared" si="0"/>
        <v>87730</v>
      </c>
    </row>
    <row r="27" spans="1:5" x14ac:dyDescent="0.3">
      <c r="B27" s="2">
        <v>4</v>
      </c>
      <c r="C27" s="35" t="s">
        <v>96</v>
      </c>
      <c r="D27" s="45">
        <f>+D95</f>
        <v>79960</v>
      </c>
      <c r="E27" s="59">
        <f t="shared" si="0"/>
        <v>264330</v>
      </c>
    </row>
    <row r="28" spans="1:5" x14ac:dyDescent="0.3">
      <c r="B28" s="2">
        <v>5</v>
      </c>
      <c r="C28" s="35" t="s">
        <v>97</v>
      </c>
      <c r="D28" s="45">
        <f>+D119</f>
        <v>332260</v>
      </c>
      <c r="E28" s="59">
        <f t="shared" si="0"/>
        <v>1098380</v>
      </c>
    </row>
    <row r="29" spans="1:5" x14ac:dyDescent="0.3">
      <c r="B29" s="2">
        <v>6</v>
      </c>
      <c r="C29" s="35" t="s">
        <v>98</v>
      </c>
      <c r="D29" s="45">
        <f>+D133</f>
        <v>114290</v>
      </c>
      <c r="E29" s="59">
        <f t="shared" si="0"/>
        <v>377810</v>
      </c>
    </row>
    <row r="30" spans="1:5" x14ac:dyDescent="0.3">
      <c r="B30" s="2">
        <v>7</v>
      </c>
      <c r="C30" s="35" t="s">
        <v>99</v>
      </c>
      <c r="D30" s="45">
        <f>+D146</f>
        <v>70770</v>
      </c>
      <c r="E30" s="59">
        <f t="shared" si="0"/>
        <v>233950</v>
      </c>
    </row>
    <row r="31" spans="1:5" x14ac:dyDescent="0.3">
      <c r="B31" s="2">
        <v>8</v>
      </c>
      <c r="C31" s="35" t="s">
        <v>100</v>
      </c>
      <c r="D31" s="45">
        <f>+D154</f>
        <v>29960</v>
      </c>
      <c r="E31" s="59">
        <f t="shared" si="0"/>
        <v>99040</v>
      </c>
    </row>
    <row r="32" spans="1:5" x14ac:dyDescent="0.3">
      <c r="B32" s="2">
        <v>9</v>
      </c>
      <c r="C32" s="35" t="s">
        <v>101</v>
      </c>
      <c r="D32" s="45">
        <f>+D161</f>
        <v>23530</v>
      </c>
      <c r="E32" s="59">
        <f t="shared" si="0"/>
        <v>77780</v>
      </c>
    </row>
    <row r="33" spans="1:7" x14ac:dyDescent="0.3">
      <c r="B33" s="2">
        <v>10</v>
      </c>
      <c r="C33" s="35" t="s">
        <v>154</v>
      </c>
      <c r="D33" s="53">
        <f>TRUNC(SUM(D24:D32)*0.275,-1)</f>
        <v>650750</v>
      </c>
      <c r="E33" s="60">
        <f t="shared" si="0"/>
        <v>2151240</v>
      </c>
    </row>
    <row r="34" spans="1:7" x14ac:dyDescent="0.3">
      <c r="C34" s="35" t="s">
        <v>112</v>
      </c>
      <c r="D34" s="44">
        <f>SUM(D24:D33)</f>
        <v>3017120</v>
      </c>
      <c r="E34" s="44">
        <f>SUM(E24:E33)</f>
        <v>9973950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TRUNC(74220,-1)</f>
        <v>74220</v>
      </c>
      <c r="E40" s="62">
        <f t="shared" ref="E40:E59" si="1">TRUNC(+D40*3.3058,-1)</f>
        <v>245350</v>
      </c>
    </row>
    <row r="41" spans="1:7" x14ac:dyDescent="0.3">
      <c r="A41" s="2">
        <v>2</v>
      </c>
      <c r="C41" s="38" t="s">
        <v>13</v>
      </c>
      <c r="D41" s="42">
        <f>TRUNC(260334,-1)</f>
        <v>260330</v>
      </c>
      <c r="E41" s="63">
        <f t="shared" si="1"/>
        <v>860590</v>
      </c>
    </row>
    <row r="42" spans="1:7" x14ac:dyDescent="0.3">
      <c r="A42" s="2">
        <v>3</v>
      </c>
      <c r="C42" s="38" t="s">
        <v>14</v>
      </c>
      <c r="D42" s="42">
        <f>TRUNC(18959,-1)</f>
        <v>18950</v>
      </c>
      <c r="E42" s="63">
        <f t="shared" si="1"/>
        <v>62640</v>
      </c>
    </row>
    <row r="43" spans="1:7" x14ac:dyDescent="0.3">
      <c r="A43" s="2">
        <v>4</v>
      </c>
      <c r="C43" s="38" t="s">
        <v>16</v>
      </c>
      <c r="D43" s="42">
        <f>TRUNC(16045,-1)</f>
        <v>16040</v>
      </c>
      <c r="E43" s="63">
        <f t="shared" si="1"/>
        <v>53020</v>
      </c>
    </row>
    <row r="44" spans="1:7" x14ac:dyDescent="0.3">
      <c r="A44" s="2">
        <v>5</v>
      </c>
      <c r="C44" s="38" t="s">
        <v>17</v>
      </c>
      <c r="D44" s="42">
        <f>TRUNC(25577,-1)</f>
        <v>25570</v>
      </c>
      <c r="E44" s="63">
        <f t="shared" si="1"/>
        <v>84520</v>
      </c>
    </row>
    <row r="45" spans="1:7" x14ac:dyDescent="0.3">
      <c r="A45" s="2">
        <v>6</v>
      </c>
      <c r="C45" s="38" t="s">
        <v>18</v>
      </c>
      <c r="D45" s="42">
        <f>TRUNC(8162,-1)</f>
        <v>8160</v>
      </c>
      <c r="E45" s="63">
        <f t="shared" si="1"/>
        <v>26970</v>
      </c>
    </row>
    <row r="46" spans="1:7" x14ac:dyDescent="0.3">
      <c r="A46" s="2">
        <v>7</v>
      </c>
      <c r="C46" s="38" t="s">
        <v>19</v>
      </c>
      <c r="D46" s="42">
        <f>TRUNC(19139,-1)</f>
        <v>19130</v>
      </c>
      <c r="E46" s="63">
        <f t="shared" si="1"/>
        <v>63230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TRUNC(113157,-1)</f>
        <v>113150</v>
      </c>
      <c r="E48" s="63">
        <f t="shared" si="1"/>
        <v>374050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TRUNC(5631,-1)</f>
        <v>5630</v>
      </c>
      <c r="E49" s="63">
        <f t="shared" si="1"/>
        <v>18610</v>
      </c>
    </row>
    <row r="50" spans="1:7" x14ac:dyDescent="0.3">
      <c r="A50" s="2">
        <v>11</v>
      </c>
      <c r="C50" s="38" t="s">
        <v>155</v>
      </c>
      <c r="D50" s="42">
        <f>TRUNC(40509,-1)</f>
        <v>40500</v>
      </c>
      <c r="E50" s="63">
        <f t="shared" si="1"/>
        <v>133880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TRUNC(7512,-1)</f>
        <v>7510</v>
      </c>
      <c r="E52" s="63">
        <f t="shared" si="1"/>
        <v>24820</v>
      </c>
    </row>
    <row r="53" spans="1:7" x14ac:dyDescent="0.3">
      <c r="A53" s="2">
        <v>14</v>
      </c>
      <c r="C53" s="38" t="s">
        <v>25</v>
      </c>
      <c r="D53" s="42">
        <f>TRUNC(120383,-1)</f>
        <v>120380</v>
      </c>
      <c r="E53" s="63">
        <f t="shared" si="1"/>
        <v>397950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TRUNC(18693+4644-1452+11216,-1)</f>
        <v>33100</v>
      </c>
      <c r="E58" s="63">
        <f t="shared" si="1"/>
        <v>109420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TRUNC(946390,-1)</f>
        <v>946390</v>
      </c>
      <c r="E59" s="64">
        <f t="shared" si="1"/>
        <v>3128570</v>
      </c>
    </row>
    <row r="60" spans="1:7" x14ac:dyDescent="0.3">
      <c r="A60" s="2">
        <v>21</v>
      </c>
      <c r="C60" s="27" t="s">
        <v>112</v>
      </c>
      <c r="D60" s="39">
        <f>SUM(D40:D59)</f>
        <v>1689060</v>
      </c>
      <c r="E60" s="39">
        <f>SUM(E40:E59)</f>
        <v>5583620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TRUNC(26545,-1)</f>
        <v>26540</v>
      </c>
      <c r="E63" s="62">
        <f>TRUNC(+D63*3.3058,-1)</f>
        <v>87730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26540</v>
      </c>
      <c r="E66" s="65">
        <f>SUM(E63:E65)</f>
        <v>87730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TRUNC(11300,-1)</f>
        <v>11300</v>
      </c>
      <c r="E69" s="62">
        <f t="shared" ref="E69:E94" si="2">TRUNC(+D69*3.3058,-1)</f>
        <v>37350</v>
      </c>
    </row>
    <row r="70" spans="1:7" ht="16.5" customHeight="1" x14ac:dyDescent="0.3">
      <c r="A70" s="2">
        <v>2</v>
      </c>
      <c r="C70" s="38" t="s">
        <v>31</v>
      </c>
      <c r="D70" s="42">
        <f>TRUNC(3355,-1)</f>
        <v>3350</v>
      </c>
      <c r="E70" s="63">
        <f t="shared" si="2"/>
        <v>11070</v>
      </c>
    </row>
    <row r="71" spans="1:7" x14ac:dyDescent="0.3">
      <c r="A71" s="2">
        <v>3</v>
      </c>
      <c r="C71" s="38" t="s">
        <v>32</v>
      </c>
      <c r="D71" s="42">
        <f>TRUNC(8637,-1)</f>
        <v>8630</v>
      </c>
      <c r="E71" s="63">
        <f t="shared" si="2"/>
        <v>28520</v>
      </c>
    </row>
    <row r="72" spans="1:7" x14ac:dyDescent="0.3">
      <c r="A72" s="2">
        <v>4</v>
      </c>
      <c r="C72" s="38" t="s">
        <v>33</v>
      </c>
      <c r="D72" s="42">
        <f>TRUNC(3373,-1)</f>
        <v>3370</v>
      </c>
      <c r="E72" s="63">
        <f t="shared" si="2"/>
        <v>11140</v>
      </c>
    </row>
    <row r="73" spans="1:7" x14ac:dyDescent="0.3">
      <c r="A73" s="2">
        <v>5</v>
      </c>
      <c r="C73" s="38" t="s">
        <v>34</v>
      </c>
      <c r="D73" s="42">
        <f>TRUNC(6288,-1)</f>
        <v>6280</v>
      </c>
      <c r="E73" s="63">
        <f t="shared" si="2"/>
        <v>20760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TRUNC(2974,-1)</f>
        <v>2970</v>
      </c>
      <c r="E75" s="63">
        <f t="shared" si="2"/>
        <v>9810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TRUNC(5036,-1)</f>
        <v>5030</v>
      </c>
      <c r="E89" s="63">
        <f t="shared" si="2"/>
        <v>16620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TRUNC(27666,-1)</f>
        <v>27660</v>
      </c>
      <c r="E91" s="63">
        <f t="shared" si="2"/>
        <v>91430</v>
      </c>
    </row>
    <row r="92" spans="1:7" x14ac:dyDescent="0.3">
      <c r="A92" s="2">
        <v>24</v>
      </c>
      <c r="C92" s="38" t="s">
        <v>38</v>
      </c>
      <c r="D92" s="42">
        <f>TRUNC(4875,-1)</f>
        <v>4870</v>
      </c>
      <c r="E92" s="63">
        <f t="shared" si="2"/>
        <v>16090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TRUNC(6501,-1)</f>
        <v>6500</v>
      </c>
      <c r="E94" s="64">
        <f t="shared" si="2"/>
        <v>21480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79960</v>
      </c>
      <c r="E95" s="39">
        <f>SUM(E69:E94)</f>
        <v>264270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TRUNC(40617,-1)</f>
        <v>40610</v>
      </c>
      <c r="E98" s="62">
        <f t="shared" ref="E98:E118" si="3">TRUNC(+D98*3.3058,-1)</f>
        <v>134240</v>
      </c>
    </row>
    <row r="99" spans="1:7" x14ac:dyDescent="0.3">
      <c r="A99" s="2">
        <v>2</v>
      </c>
      <c r="C99" s="38" t="s">
        <v>40</v>
      </c>
      <c r="D99" s="42">
        <f>TRUNC(8996,-1)</f>
        <v>8990</v>
      </c>
      <c r="E99" s="63">
        <f t="shared" si="3"/>
        <v>29710</v>
      </c>
    </row>
    <row r="100" spans="1:7" x14ac:dyDescent="0.3">
      <c r="A100" s="2">
        <v>3</v>
      </c>
      <c r="C100" s="38" t="s">
        <v>41</v>
      </c>
      <c r="D100" s="42">
        <f>TRUNC(22244,-1)</f>
        <v>22240</v>
      </c>
      <c r="E100" s="63">
        <f t="shared" si="3"/>
        <v>73520</v>
      </c>
    </row>
    <row r="101" spans="1:7" x14ac:dyDescent="0.3">
      <c r="A101" s="2">
        <v>4</v>
      </c>
      <c r="C101" s="38" t="s">
        <v>42</v>
      </c>
      <c r="D101" s="42">
        <f>TRUNC(3607,-1)</f>
        <v>3600</v>
      </c>
      <c r="E101" s="63">
        <f t="shared" si="3"/>
        <v>11900</v>
      </c>
    </row>
    <row r="102" spans="1:7" x14ac:dyDescent="0.3">
      <c r="A102" s="2">
        <v>5</v>
      </c>
      <c r="C102" s="38" t="s">
        <v>43</v>
      </c>
      <c r="D102" s="42">
        <f>TRUNC(7886,-1)</f>
        <v>7880</v>
      </c>
      <c r="E102" s="63">
        <f t="shared" si="3"/>
        <v>26040</v>
      </c>
    </row>
    <row r="103" spans="1:7" x14ac:dyDescent="0.3">
      <c r="A103" s="2">
        <v>6</v>
      </c>
      <c r="C103" s="38" t="s">
        <v>44</v>
      </c>
      <c r="D103" s="42">
        <f>TRUNC(4698,-1)</f>
        <v>4690</v>
      </c>
      <c r="E103" s="63">
        <f t="shared" si="3"/>
        <v>15500</v>
      </c>
    </row>
    <row r="104" spans="1:7" x14ac:dyDescent="0.3">
      <c r="A104" s="2">
        <v>7</v>
      </c>
      <c r="C104" s="38" t="s">
        <v>45</v>
      </c>
      <c r="D104" s="42">
        <f>TRUNC(3644,-1)</f>
        <v>3640</v>
      </c>
      <c r="E104" s="63">
        <f t="shared" si="3"/>
        <v>12030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TRUNC(5876,-1)</f>
        <v>5870</v>
      </c>
      <c r="E114" s="63">
        <f t="shared" si="3"/>
        <v>19400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TRUNC(6798,-1)</f>
        <v>6790</v>
      </c>
      <c r="E116" s="63">
        <f t="shared" si="3"/>
        <v>22440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TRUNC(227386,-1)</f>
        <v>227380</v>
      </c>
      <c r="E117" s="63">
        <f t="shared" si="3"/>
        <v>751670</v>
      </c>
    </row>
    <row r="118" spans="1:7" ht="17.25" thickBot="1" x14ac:dyDescent="0.35">
      <c r="A118" s="2">
        <v>21</v>
      </c>
      <c r="C118" s="38" t="s">
        <v>47</v>
      </c>
      <c r="D118" s="43">
        <f>TRUNC(579,-1)</f>
        <v>570</v>
      </c>
      <c r="E118" s="64">
        <f t="shared" si="3"/>
        <v>1880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332260</v>
      </c>
      <c r="E119" s="39">
        <f>SUM(E98:E118)</f>
        <v>1098330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TRUNC(1397,-1)</f>
        <v>1390</v>
      </c>
      <c r="E122" s="62">
        <f t="shared" ref="E122:E132" si="4">TRUNC(+D122*3.3058,-1)</f>
        <v>4590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TRUNC(4983,-1)</f>
        <v>4980</v>
      </c>
      <c r="E124" s="63">
        <f t="shared" si="4"/>
        <v>16460</v>
      </c>
    </row>
    <row r="125" spans="1:7" x14ac:dyDescent="0.3">
      <c r="A125" s="2">
        <v>4</v>
      </c>
      <c r="C125" s="38" t="s">
        <v>138</v>
      </c>
      <c r="D125" s="42">
        <f>TRUNC(7756,-1)</f>
        <v>7750</v>
      </c>
      <c r="E125" s="63">
        <f t="shared" si="4"/>
        <v>25610</v>
      </c>
    </row>
    <row r="126" spans="1:7" x14ac:dyDescent="0.3">
      <c r="A126" s="2">
        <v>5</v>
      </c>
      <c r="C126" s="38" t="s">
        <v>53</v>
      </c>
      <c r="D126" s="42">
        <f>TRUNC(3657,-1)</f>
        <v>3650</v>
      </c>
      <c r="E126" s="63">
        <f t="shared" si="4"/>
        <v>12060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TRUNC(13742,-1)</f>
        <v>13740</v>
      </c>
      <c r="E130" s="63">
        <f t="shared" si="4"/>
        <v>45420</v>
      </c>
    </row>
    <row r="131" spans="1:7" x14ac:dyDescent="0.3">
      <c r="A131" s="2">
        <v>10</v>
      </c>
      <c r="C131" s="38" t="s">
        <v>148</v>
      </c>
      <c r="D131" s="42">
        <f>TRUNC(80184,-1)</f>
        <v>80180</v>
      </c>
      <c r="E131" s="63">
        <f t="shared" si="4"/>
        <v>265050</v>
      </c>
    </row>
    <row r="132" spans="1:7" ht="18" thickBot="1" x14ac:dyDescent="0.35">
      <c r="A132" s="2">
        <v>11</v>
      </c>
      <c r="C132" s="38" t="s">
        <v>47</v>
      </c>
      <c r="D132" s="43">
        <f>TRUNC(2608,-1)</f>
        <v>2600</v>
      </c>
      <c r="E132" s="64">
        <f t="shared" si="4"/>
        <v>8590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114290</v>
      </c>
      <c r="E133" s="39">
        <f>SUM(E122:E132)</f>
        <v>377780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TRUNC(197+4010+60,-1)</f>
        <v>4260</v>
      </c>
      <c r="E137" s="63">
        <f t="shared" si="5"/>
        <v>14080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TRUNC(3929,-1)</f>
        <v>3920</v>
      </c>
      <c r="E139" s="63">
        <f t="shared" si="5"/>
        <v>12950</v>
      </c>
    </row>
    <row r="140" spans="1:7" x14ac:dyDescent="0.3">
      <c r="A140" s="2">
        <v>5</v>
      </c>
      <c r="C140" s="38" t="s">
        <v>57</v>
      </c>
      <c r="D140" s="42">
        <f>TRUNC(3239,-1)</f>
        <v>3230</v>
      </c>
      <c r="E140" s="63">
        <f t="shared" si="5"/>
        <v>10670</v>
      </c>
    </row>
    <row r="141" spans="1:7" x14ac:dyDescent="0.3">
      <c r="A141" s="2">
        <v>6</v>
      </c>
      <c r="C141" s="38" t="s">
        <v>59</v>
      </c>
      <c r="D141" s="42">
        <f>TRUNC(25204,-1)</f>
        <v>25200</v>
      </c>
      <c r="E141" s="63">
        <f t="shared" si="5"/>
        <v>83300</v>
      </c>
    </row>
    <row r="142" spans="1:7" x14ac:dyDescent="0.3">
      <c r="A142" s="2">
        <v>7</v>
      </c>
      <c r="C142" s="38" t="s">
        <v>58</v>
      </c>
      <c r="D142" s="42">
        <f>TRUNC(6459,-1)</f>
        <v>6450</v>
      </c>
      <c r="E142" s="63">
        <f t="shared" si="5"/>
        <v>21320</v>
      </c>
    </row>
    <row r="143" spans="1:7" x14ac:dyDescent="0.3">
      <c r="A143" s="2">
        <v>8</v>
      </c>
      <c r="C143" s="38" t="s">
        <v>62</v>
      </c>
      <c r="D143" s="42">
        <f>TRUNC(7114,-1)</f>
        <v>7110</v>
      </c>
      <c r="E143" s="63">
        <f t="shared" si="5"/>
        <v>23500</v>
      </c>
    </row>
    <row r="144" spans="1:7" x14ac:dyDescent="0.3">
      <c r="A144" s="2">
        <v>9</v>
      </c>
      <c r="C144" s="38" t="s">
        <v>63</v>
      </c>
      <c r="D144" s="42">
        <f>TRUNC(20603,-1)</f>
        <v>20600</v>
      </c>
      <c r="E144" s="63">
        <f t="shared" si="5"/>
        <v>68090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70770</v>
      </c>
      <c r="E146" s="39">
        <f>SUM(E136:E145)</f>
        <v>233910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TRUNC(12846+1301,-1)</f>
        <v>14140</v>
      </c>
      <c r="E149" s="62">
        <f>TRUNC(+D149*3.3058,-1)</f>
        <v>46740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TRUNC(13196,-1)</f>
        <v>13190</v>
      </c>
      <c r="E150" s="63">
        <f>TRUNC(+D150*3.3058,-1)</f>
        <v>43600</v>
      </c>
    </row>
    <row r="151" spans="1:7" x14ac:dyDescent="0.3">
      <c r="A151" s="2">
        <v>3</v>
      </c>
      <c r="C151" s="38" t="s">
        <v>50</v>
      </c>
      <c r="D151" s="42">
        <f>TRUNC(2509,-1)</f>
        <v>2500</v>
      </c>
      <c r="E151" s="63">
        <f>TRUNC(+D151*3.3058,-1)</f>
        <v>8260</v>
      </c>
    </row>
    <row r="152" spans="1:7" x14ac:dyDescent="0.3">
      <c r="A152" s="2">
        <v>4</v>
      </c>
      <c r="C152" s="38" t="s">
        <v>47</v>
      </c>
      <c r="D152" s="42">
        <f>TRUNC(136,-1)</f>
        <v>130</v>
      </c>
      <c r="E152" s="63">
        <f>TRUNC(+D152*3.3058,-1)</f>
        <v>420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29960</v>
      </c>
      <c r="E154" s="39">
        <f>SUM(E149:E153)</f>
        <v>99020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TRUNC(14778,-1)</f>
        <v>14770</v>
      </c>
      <c r="E157" s="62">
        <f>TRUNC(+D157*3.3058,-1)</f>
        <v>48820</v>
      </c>
    </row>
    <row r="158" spans="1:7" x14ac:dyDescent="0.3">
      <c r="A158" s="2">
        <v>2</v>
      </c>
      <c r="C158" s="38" t="s">
        <v>52</v>
      </c>
      <c r="D158" s="42">
        <f>TRUNC(3041,-1)</f>
        <v>3040</v>
      </c>
      <c r="E158" s="63">
        <f>TRUNC(+D158*3.3058,-1)</f>
        <v>10040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TRUNC(5722,-1)</f>
        <v>5720</v>
      </c>
      <c r="E159" s="63">
        <f>TRUNC(+D159*3.3058,-1)</f>
        <v>18900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23530</v>
      </c>
      <c r="E161" s="39">
        <f>SUM(E157:E160)</f>
        <v>77760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2020-12-08T04:03:10Z</dcterms:modified>
</cp:coreProperties>
</file>