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33" i="4" l="1"/>
  <c r="E146" i="4"/>
  <c r="E119" i="4"/>
  <c r="E95" i="4"/>
  <c r="E154" i="4"/>
  <c r="D161" i="4" l="1"/>
  <c r="D32" i="4" s="1"/>
  <c r="E32" i="4" s="1"/>
  <c r="D154" i="4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31" i="4"/>
  <c r="E31" i="4" s="1"/>
  <c r="D30" i="4"/>
  <c r="E30" i="4" s="1"/>
  <c r="D26" i="4"/>
  <c r="E26" i="4" s="1"/>
  <c r="D24" i="4"/>
  <c r="D7" i="4"/>
  <c r="E24" i="4" l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  <c r="D34" i="4"/>
</calcChain>
</file>

<file path=xl/sharedStrings.xml><?xml version="1.0" encoding="utf-8"?>
<sst xmlns="http://schemas.openxmlformats.org/spreadsheetml/2006/main" count="384" uniqueCount="260">
  <si>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</si>
  <si>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</si>
  <si>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</si>
  <si>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</si>
  <si>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</si>
  <si>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</si>
  <si>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</si>
  <si>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</si>
  <si>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</si>
  <si>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</si>
  <si>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</si>
  <si>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</si>
  <si>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</si>
  <si>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</si>
  <si>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</si>
  <si>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</si>
  <si>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</si>
  <si>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</si>
  <si>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</si>
  <si>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</si>
  <si>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</si>
  <si>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</si>
  <si>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</si>
  <si>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</si>
  <si>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</si>
  <si>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</si>
  <si>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</si>
  <si>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</si>
  <si>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</si>
  <si>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</si>
  <si>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</si>
  <si>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</si>
  <si>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</si>
  <si>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</si>
  <si>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</si>
  <si>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</si>
  <si>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</si>
  <si>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</si>
  <si>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</si>
  <si>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</si>
  <si>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</si>
  <si>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</si>
  <si>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</si>
  <si>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</si>
  <si>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</si>
  <si>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</si>
  <si>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</si>
  <si>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</si>
  <si>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</si>
  <si>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</si>
  <si>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</si>
  <si>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</si>
  <si>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</si>
  <si>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</si>
  <si>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</si>
  <si>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</si>
  <si>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</si>
  <si>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</si>
  <si>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</si>
  <si>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</si>
  <si>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</si>
  <si>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</si>
  <si>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</si>
  <si>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</si>
  <si>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</si>
  <si>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</si>
  <si>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</si>
  <si>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</si>
  <si>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</si>
  <si>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</si>
  <si>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</si>
  <si>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</si>
  <si>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</si>
  <si>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</si>
  <si>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</si>
  <si>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</si>
  <si>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</si>
  <si>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</si>
  <si>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</si>
  <si>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</si>
  <si>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</si>
  <si>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</si>
  <si>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</si>
  <si>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</si>
  <si>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</si>
  <si>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</si>
  <si>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</si>
  <si>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</si>
  <si>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</si>
  <si>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</si>
  <si>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</si>
  <si>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</si>
  <si>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</si>
  <si>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</si>
  <si>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</si>
  <si>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</si>
  <si>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</si>
  <si>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</si>
  <si>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</si>
  <si>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</si>
  <si>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</si>
  <si>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</si>
  <si>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</si>
  <si>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</si>
  <si>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</si>
  <si>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</si>
  <si>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</si>
  <si>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</si>
  <si>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</si>
  <si>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</si>
  <si>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</si>
  <si>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</si>
  <si>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</si>
  <si>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</si>
  <si>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</si>
  <si>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</si>
  <si>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</si>
  <si>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</si>
  <si>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</si>
  <si>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</si>
  <si>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</si>
  <si>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</si>
  <si>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</si>
  <si>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</si>
  <si>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</si>
  <si>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</si>
  <si>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</si>
  <si>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</si>
  <si>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</si>
  <si>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</si>
  <si>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</si>
  <si>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</si>
  <si>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</si>
  <si>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</si>
  <si>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</si>
  <si>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</si>
  <si>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</si>
  <si>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</si>
  <si>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</si>
  <si>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</si>
  <si>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</si>
  <si>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</si>
  <si>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</si>
  <si>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</si>
  <si>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</si>
  <si>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</si>
  <si>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</si>
  <si>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</si>
  <si>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</si>
  <si>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</si>
  <si>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</si>
  <si>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</si>
  <si>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</si>
  <si>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</si>
  <si>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</si>
  <si>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</si>
  <si>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</si>
  <si>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</si>
  <si>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</si>
  <si>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</si>
  <si>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</si>
  <si>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</si>
  <si>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</si>
  <si>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</si>
  <si>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</si>
  <si>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</si>
  <si>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</si>
  <si>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</si>
  <si>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</si>
  <si>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</si>
  <si>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</si>
  <si>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</si>
  <si>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</si>
  <si>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</si>
  <si>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</si>
  <si>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</si>
  <si>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</si>
  <si>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</si>
  <si>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</si>
  <si>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</si>
  <si>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</si>
  <si>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</si>
  <si>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</si>
  <si>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</si>
  <si>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</si>
  <si>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</si>
  <si>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</si>
  <si>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</si>
  <si>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</si>
  <si>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</si>
  <si>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</si>
  <si>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</si>
  <si>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</si>
  <si>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</si>
  <si>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</si>
  <si>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</si>
  <si>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</si>
  <si>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</si>
  <si>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</si>
  <si>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</si>
  <si>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</si>
  <si>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</si>
  <si>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</si>
  <si>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</si>
  <si>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</si>
  <si>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</si>
  <si>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</si>
  <si>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</si>
  <si>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</si>
  <si>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</si>
  <si>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</si>
  <si>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</si>
  <si>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</si>
  <si>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</si>
  <si>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</si>
  <si>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</si>
  <si>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</si>
  <si>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</si>
  <si>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</si>
  <si>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</si>
  <si>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</si>
  <si>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</si>
  <si>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</si>
  <si>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</si>
  <si>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</si>
  <si>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</si>
  <si>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</si>
  <si>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</si>
  <si>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</si>
  <si>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</si>
  <si>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</si>
  <si>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</si>
  <si>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</si>
  <si>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</si>
  <si>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</si>
  <si>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</si>
  <si>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</si>
  <si>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</si>
  <si>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</si>
  <si>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</si>
  <si>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</si>
  <si>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</si>
  <si>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</si>
  <si>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</si>
  <si>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</si>
  <si>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</si>
  <si>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</si>
  <si>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</si>
  <si>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</si>
  <si>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</si>
  <si>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</si>
  <si>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</si>
  <si>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</si>
  <si>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</si>
  <si>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경기도 소재 00 중고등학교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</si>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</sst>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9996</v>
      </c>
      <c r="D7" s="36">
        <f>+C7/3.3058</f>
        <v>3023.7763930062315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414520</v>
      </c>
      <c r="E25" s="59">
        <f t="shared" si="0"/>
        <v>1370320</v>
      </c>
    </row>
    <row r="26" spans="1:5" x14ac:dyDescent="0.3">
      <c r="B26" s="2">
        <v>3</v>
      </c>
      <c r="C26" s="35" t="s">
        <v>95</v>
      </c>
      <c r="D26" s="45">
        <f>+D66</f>
        <v>20770</v>
      </c>
      <c r="E26" s="59">
        <f t="shared" si="0"/>
        <v>68660</v>
      </c>
    </row>
    <row r="27" spans="1:5" x14ac:dyDescent="0.3">
      <c r="B27" s="2">
        <v>4</v>
      </c>
      <c r="C27" s="35" t="s">
        <v>96</v>
      </c>
      <c r="D27" s="45">
        <f>+D95</f>
        <v>97290</v>
      </c>
      <c r="E27" s="59">
        <f t="shared" si="0"/>
        <v>321620</v>
      </c>
    </row>
    <row r="28" spans="1:5" x14ac:dyDescent="0.3">
      <c r="B28" s="2">
        <v>5</v>
      </c>
      <c r="C28" s="35" t="s">
        <v>97</v>
      </c>
      <c r="D28" s="45">
        <f>+D119</f>
        <v>54840</v>
      </c>
      <c r="E28" s="59">
        <f t="shared" si="0"/>
        <v>181290</v>
      </c>
    </row>
    <row r="29" spans="1:5" x14ac:dyDescent="0.3">
      <c r="B29" s="2">
        <v>6</v>
      </c>
      <c r="C29" s="35" t="s">
        <v>98</v>
      </c>
      <c r="D29" s="45">
        <f>+D133</f>
        <v>22650</v>
      </c>
      <c r="E29" s="59">
        <f t="shared" si="0"/>
        <v>74870</v>
      </c>
    </row>
    <row r="30" spans="1:5" x14ac:dyDescent="0.3">
      <c r="B30" s="2">
        <v>7</v>
      </c>
      <c r="C30" s="35" t="s">
        <v>99</v>
      </c>
      <c r="D30" s="45">
        <f>+D146</f>
        <v>9570</v>
      </c>
      <c r="E30" s="59">
        <f t="shared" si="0"/>
        <v>31630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170400</v>
      </c>
      <c r="E33" s="60">
        <f t="shared" si="0"/>
        <v>563300</v>
      </c>
    </row>
    <row r="34" spans="1:7" x14ac:dyDescent="0.3">
      <c r="C34" s="35" t="s">
        <v>112</v>
      </c>
      <c r="D34" s="44">
        <f>SUM(D24:D33)</f>
        <v>790040</v>
      </c>
      <c r="E34" s="44">
        <f>SUM(E24:E33)</f>
        <v>2611690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237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30990</v>
      </c>
      <c r="E40" s="62">
        <f t="shared" ref="E40:E59" si="1">TRUNC(+D40*3.3058,-1)</f>
        <v>102440</v>
      </c>
    </row>
    <row r="41" spans="1:7" x14ac:dyDescent="0.3">
      <c r="A41" s="2">
        <v>2</v>
      </c>
      <c r="C41" s="38" t="s">
        <v>13</v>
      </c>
      <c r="D41" s="42">
        <v>152560</v>
      </c>
      <c r="E41" s="63">
        <f t="shared" si="1"/>
        <v>504330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230970</v>
      </c>
      <c r="E58" s="63">
        <f t="shared" si="1"/>
        <v>763540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414520</v>
      </c>
      <c r="E60" s="39">
        <f>SUM(E40:E59)</f>
        <v>1370310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20770</v>
      </c>
      <c r="E63" s="62">
        <f>TRUNC(+D63*3.3058,-1)</f>
        <v>68660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20770</v>
      </c>
      <c r="E66" s="57">
        <f>SUM(E63:E65)</f>
        <v>68660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237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9920</v>
      </c>
      <c r="E69" s="62">
        <f>TRUNC(+D69*3.3058,-1)</f>
        <v>32790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430</v>
      </c>
      <c r="E90" s="63">
        <f>TRUNC(+D90*3.3058,-1)</f>
        <v>1420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24690</v>
      </c>
      <c r="E92" s="63">
        <f>TRUNC(+D92*3.3058,-1)</f>
        <v>81620</v>
      </c>
    </row>
    <row r="93" spans="1:7" x14ac:dyDescent="0.3">
      <c r="A93" s="2">
        <v>25</v>
      </c>
      <c r="C93" s="38" t="s">
        <v>148</v>
      </c>
      <c r="D93" s="42">
        <v>62250</v>
      </c>
      <c r="E93" s="63">
        <f>TRUNC(+D93*3.3058,-1)</f>
        <v>205780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97290</v>
      </c>
      <c r="E95" s="39">
        <f>SUM(E69:E94)</f>
        <v>321610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237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18540</v>
      </c>
      <c r="E100" s="63">
        <f t="shared" si="4"/>
        <v>61280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8780</v>
      </c>
      <c r="E116" s="63">
        <f t="shared" si="4"/>
        <v>29020</v>
      </c>
    </row>
    <row r="117" spans="1:7" x14ac:dyDescent="0.3">
      <c r="A117" s="2">
        <v>20</v>
      </c>
      <c r="C117" s="38" t="s">
        <v>148</v>
      </c>
      <c r="D117" s="42">
        <v>26290</v>
      </c>
      <c r="E117" s="63">
        <f t="shared" si="4"/>
        <v>86900</v>
      </c>
    </row>
    <row r="118" spans="1:7" ht="17.25" thickBot="1" x14ac:dyDescent="0.35">
      <c r="A118" s="2">
        <v>21</v>
      </c>
      <c r="C118" s="38" t="s">
        <v>47</v>
      </c>
      <c r="D118" s="43">
        <v>1230</v>
      </c>
      <c r="E118" s="64">
        <f t="shared" si="4"/>
        <v>4060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54840</v>
      </c>
      <c r="E119" s="39">
        <f>SUM(E98:E118)</f>
        <v>181260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237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2670</v>
      </c>
      <c r="E125" s="63">
        <f t="shared" si="5"/>
        <v>8820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10000</v>
      </c>
      <c r="E130" s="63">
        <f t="shared" si="5"/>
        <v>33050</v>
      </c>
    </row>
    <row r="131" spans="1:7" x14ac:dyDescent="0.3">
      <c r="A131" s="2">
        <v>10</v>
      </c>
      <c r="C131" s="38" t="s">
        <v>148</v>
      </c>
      <c r="D131" s="42">
        <v>6950</v>
      </c>
      <c r="E131" s="63">
        <f t="shared" si="5"/>
        <v>22970</v>
      </c>
    </row>
    <row r="132" spans="1:7" ht="17.25" thickBot="1" x14ac:dyDescent="0.35">
      <c r="A132" s="2">
        <v>11</v>
      </c>
      <c r="C132" s="38" t="s">
        <v>47</v>
      </c>
      <c r="D132" s="43">
        <v>3030</v>
      </c>
      <c r="E132" s="64">
        <f t="shared" si="5"/>
        <v>10010</v>
      </c>
    </row>
    <row r="133" spans="1:7" x14ac:dyDescent="0.3">
      <c r="A133" s="2">
        <v>12</v>
      </c>
      <c r="C133" s="27" t="s">
        <v>112</v>
      </c>
      <c r="D133" s="39">
        <f>SUM(D122:D132)</f>
        <v>22650</v>
      </c>
      <c r="E133" s="39">
        <f>SUM(E122:E132)</f>
        <v>74850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237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9570</v>
      </c>
      <c r="E136" s="62">
        <f t="shared" ref="E136:E145" si="6">TRUNC(+D136*3.3058,-1)</f>
        <v>31630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9570</v>
      </c>
      <c r="E146" s="39">
        <f>SUM(E136:E145)</f>
        <v>31630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237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237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2020-12-07T08:53:59Z</dcterms:modified>
</cp:coreProperties>
</file>