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33" i="4"/>
  <c r="E119" i="4" l="1"/>
  <c r="E146" i="4"/>
  <c r="E133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74" i="4"/>
  <c r="E74" i="4" s="1"/>
  <c r="E95" i="4" s="1"/>
  <c r="D66" i="4"/>
  <c r="D26" i="4" s="1"/>
  <c r="E26" i="4" s="1"/>
  <c r="D60" i="4"/>
  <c r="D25" i="4" s="1"/>
  <c r="E25" i="4" s="1"/>
  <c r="D24" i="4"/>
  <c r="E24" i="4" s="1"/>
  <c r="D7" i="4"/>
  <c r="D95" i="4" l="1"/>
  <c r="D27" i="4" s="1"/>
  <c r="E27" i="4" s="1"/>
  <c r="E34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<sst xmlns="http://schemas.openxmlformats.org/spreadsheetml/2006/main" count="387" uniqueCount="263">
  <si>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</si>
  <si>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</si>
  <si>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</si>
  <si>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</si>
  <si>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</si>
  <si>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</si>
  <si>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</si>
  <si>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</si>
  <si>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</si>
  <si>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</si>
  <si>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</si>
  <si>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</si>
  <si>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</si>
  <si>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</si>
  <si>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</si>
  <si>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</si>
  <si>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</si>
  <si>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</si>
  <si>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</si>
  <si>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</si>
  <si>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</si>
  <si>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</si>
  <si>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</si>
  <si>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</si>
  <si>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</si>
  <si>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</si>
  <si>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</si>
  <si>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</si>
  <si>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</si>
  <si>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</si>
  <si>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</si>
  <si>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</si>
  <si>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</si>
  <si>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</si>
  <si>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</si>
  <si>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</si>
  <si>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</si>
  <si>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</si>
  <si>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</si>
  <si>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</si>
  <si>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</si>
  <si>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</si>
  <si>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</si>
  <si>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</si>
  <si>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</si>
  <si>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</si>
  <si>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</si>
  <si>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</si>
  <si>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</si>
  <si>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</si>
  <si>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</si>
  <si>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</si>
  <si>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</si>
  <si>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</si>
  <si>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</si>
  <si>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</si>
  <si>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</si>
  <si>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</si>
  <si>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</si>
  <si>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</si>
  <si>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</si>
  <si>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</si>
  <si>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</si>
  <si>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</si>
  <si>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</si>
  <si>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</si>
  <si>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</si>
  <si>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</si>
  <si>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</si>
  <si>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</si>
  <si>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</si>
  <si>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</si>
  <si>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</si>
  <si>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</si>
  <si>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</si>
  <si>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</si>
  <si>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</si>
  <si>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</si>
  <si>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</si>
  <si>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</si>
  <si>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</si>
  <si>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</si>
  <si>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</si>
  <si>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</si>
  <si>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</si>
  <si>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</si>
  <si>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</si>
  <si>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</si>
  <si>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</si>
  <si>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</si>
  <si>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</si>
  <si>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</si>
  <si>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</si>
  <si>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</si>
  <si>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</si>
  <si>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</si>
  <si>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</si>
  <si>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</si>
  <si>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</si>
  <si>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</si>
  <si>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</si>
  <si>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</si>
  <si>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</si>
  <si>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</si>
  <si>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</si>
  <si>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</si>
  <si>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</si>
  <si>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</si>
  <si>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</si>
  <si>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</si>
  <si>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</si>
  <si>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</si>
  <si>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</si>
  <si>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</si>
  <si>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</si>
  <si>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</si>
  <si>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</si>
  <si>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</si>
  <si>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</si>
  <si>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</si>
  <si>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</si>
  <si>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</si>
  <si>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</si>
  <si>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</si>
  <si>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</si>
  <si>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</si>
  <si>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</si>
  <si>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</si>
  <si>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</si>
  <si>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</si>
  <si>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</si>
  <si>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</si>
  <si>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</si>
  <si>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</si>
  <si>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</si>
  <si>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</si>
  <si>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</si>
  <si>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</si>
  <si>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</si>
  <si>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</si>
  <si>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</si>
  <si>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</si>
  <si>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</si>
  <si>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</si>
  <si>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</si>
  <si>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</si>
  <si>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</si>
  <si>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</si>
  <si>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</si>
  <si>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</si>
  <si>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</si>
  <si>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</si>
  <si>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</si>
  <si>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</si>
  <si>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</si>
  <si>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</si>
  <si>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</si>
  <si>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</si>
  <si>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</si>
  <si>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</si>
  <si>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</si>
  <si>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</si>
  <si>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</si>
  <si>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</si>
  <si>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</si>
  <si>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</si>
  <si>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</si>
  <si>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</si>
  <si>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</si>
  <si>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</si>
  <si>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</si>
  <si>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</si>
  <si>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</si>
  <si>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</si>
  <si>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</si>
  <si>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</si>
  <si>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</si>
  <si>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</si>
  <si>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</si>
  <si>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</si>
  <si>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</si>
  <si>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</si>
  <si>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</si>
  <si>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</si>
  <si>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</si>
  <si>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</si>
  <si>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</si>
  <si>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</si>
  <si>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</si>
  <si>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</si>
  <si>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</si>
  <si>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</si>
  <si>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</si>
  <si>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</si>
  <si>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</si>
  <si>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</si>
  <si>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</si>
  <si>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</si>
  <si>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</si>
  <si>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</si>
  <si>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</si>
  <si>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</si>
  <si>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</si>
  <si>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</si>
  <si>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</si>
  <si>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</si>
  <si>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</si>
  <si>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</si>
  <si>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</si>
  <si>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</si>
  <si>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</si>
  <si>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</si>
  <si>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</si>
  <si>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</si>
  <si>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</si>
  <si>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</si>
  <si>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</si>
  <si>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</si>
  <si>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</si>
  <si>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</si>
  <si>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</si>
  <si>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</si>
  <si>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</si>
  <si>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</si>
  <si>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</si>
  <si>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</si>
  <si>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</si>
  <si>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</si>
  <si>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</si>
  <si>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</si>
  <si>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</si>
  <si>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</si>
  <si>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</si>
  <si>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</si>
  <si>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</si>
  <si>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</si>
  <si>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</si>
  <si>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</si>
  <si>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</si>
  <si>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</si>
  <si>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</si>
  <si>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</si>
  <si>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</si>
  <si>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</si>
  <si>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</si>
  <si>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</si>
  <si>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</si>
  <si>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</si>
  <si>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서울</t>
  </si>
  <si>
    <t>마감공사</t>
    <phoneticPr fontId="2" type="noConversion"/>
  </si>
  <si>
    <t>기타설비</t>
    <phoneticPr fontId="2" type="noConversion"/>
  </si>
  <si>
    <t>전등전열설비</t>
    <phoneticPr fontId="2" type="noConversion"/>
  </si>
  <si>
    <t>옥외인입공사</t>
  </si>
  <si>
    <t>기타설비</t>
  </si>
  <si>
    <t>전기소방</t>
  </si>
  <si>
    <t>서울시 소재 00중고등학교</t>
    <phoneticPr fontId="2" type="noConversion"/>
  </si>
  <si>
    <t>원/ m2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</si>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</sst>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6" sqref="G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11958</v>
      </c>
      <c r="D7" s="36">
        <f>+C7/3.3058</f>
        <v>3617.27872224575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257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421100</v>
      </c>
      <c r="E25" s="59">
        <f t="shared" si="0"/>
        <v>1392070</v>
      </c>
    </row>
    <row r="26" spans="1:5" x14ac:dyDescent="0.3">
      <c r="B26" s="2">
        <v>3</v>
      </c>
      <c r="C26" s="35" t="s">
        <v>95</v>
      </c>
      <c r="D26" s="45">
        <f>+D66</f>
        <v>2720</v>
      </c>
      <c r="E26" s="59">
        <f t="shared" si="0"/>
        <v>8990</v>
      </c>
    </row>
    <row r="27" spans="1:5" x14ac:dyDescent="0.3">
      <c r="B27" s="2">
        <v>4</v>
      </c>
      <c r="C27" s="35" t="s">
        <v>96</v>
      </c>
      <c r="D27" s="45">
        <f>+D95</f>
        <v>98500</v>
      </c>
      <c r="E27" s="59">
        <f t="shared" si="0"/>
        <v>325620</v>
      </c>
    </row>
    <row r="28" spans="1:5" x14ac:dyDescent="0.3">
      <c r="B28" s="2">
        <v>5</v>
      </c>
      <c r="C28" s="35" t="s">
        <v>97</v>
      </c>
      <c r="D28" s="45">
        <f>+D119</f>
        <v>64980</v>
      </c>
      <c r="E28" s="59">
        <f t="shared" si="0"/>
        <v>214810</v>
      </c>
    </row>
    <row r="29" spans="1:5" x14ac:dyDescent="0.3">
      <c r="B29" s="2">
        <v>6</v>
      </c>
      <c r="C29" s="35" t="s">
        <v>98</v>
      </c>
      <c r="D29" s="45">
        <f>+D133</f>
        <v>24790</v>
      </c>
      <c r="E29" s="59">
        <f t="shared" si="0"/>
        <v>81950</v>
      </c>
    </row>
    <row r="30" spans="1:5" x14ac:dyDescent="0.3">
      <c r="B30" s="2">
        <v>7</v>
      </c>
      <c r="C30" s="35" t="s">
        <v>99</v>
      </c>
      <c r="D30" s="45">
        <f>+D146</f>
        <v>11610</v>
      </c>
      <c r="E30" s="59">
        <f t="shared" si="0"/>
        <v>38380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v>320590</v>
      </c>
      <c r="E33" s="60">
        <f t="shared" si="0"/>
        <v>1059800</v>
      </c>
    </row>
    <row r="34" spans="1:7" x14ac:dyDescent="0.3">
      <c r="C34" s="35" t="s">
        <v>112</v>
      </c>
      <c r="D34" s="44">
        <f>SUM(D24:D33)</f>
        <v>944290</v>
      </c>
      <c r="E34" s="44">
        <f>SUM(E24:E33)</f>
        <v>3121620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256</v>
      </c>
      <c r="E36" s="56" t="s">
        <v>257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258</v>
      </c>
      <c r="E39" s="66" t="s">
        <v>259</v>
      </c>
      <c r="G39" s="67"/>
    </row>
    <row r="40" spans="1:7" x14ac:dyDescent="0.3">
      <c r="A40" s="2">
        <v>1</v>
      </c>
      <c r="C40" s="38" t="s">
        <v>15</v>
      </c>
      <c r="D40" s="40">
        <v>27690</v>
      </c>
      <c r="E40" s="62">
        <f t="shared" ref="E40:E59" si="1">TRUNC(+D40*3.3058,-1)</f>
        <v>91530</v>
      </c>
    </row>
    <row r="41" spans="1:7" x14ac:dyDescent="0.3">
      <c r="A41" s="2">
        <v>2</v>
      </c>
      <c r="C41" s="38" t="s">
        <v>13</v>
      </c>
      <c r="D41" s="42">
        <v>165450</v>
      </c>
      <c r="E41" s="63">
        <f t="shared" si="1"/>
        <v>546940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227960</v>
      </c>
      <c r="E58" s="63">
        <f t="shared" si="1"/>
        <v>753590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421100</v>
      </c>
      <c r="E60" s="39">
        <f>SUM(E40:E59)</f>
        <v>1392060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235</v>
      </c>
      <c r="E62" s="56" t="s">
        <v>257</v>
      </c>
      <c r="F62" s="54"/>
      <c r="G62" s="54"/>
    </row>
    <row r="63" spans="1:7" x14ac:dyDescent="0.3">
      <c r="A63" s="2">
        <v>1</v>
      </c>
      <c r="C63" s="38" t="s">
        <v>27</v>
      </c>
      <c r="D63" s="40">
        <v>2720</v>
      </c>
      <c r="E63" s="62">
        <f>TRUNC(+D63*3.3058,-1)</f>
        <v>8990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2720</v>
      </c>
      <c r="E66" s="57">
        <f>SUM(E63:E65)</f>
        <v>8990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235</v>
      </c>
      <c r="E68" s="56" t="s">
        <v>257</v>
      </c>
      <c r="F68" s="54"/>
      <c r="G68" s="54"/>
    </row>
    <row r="69" spans="1:7" x14ac:dyDescent="0.3">
      <c r="A69" s="2">
        <v>1</v>
      </c>
      <c r="C69" s="38" t="s">
        <v>30</v>
      </c>
      <c r="D69" s="40">
        <v>4400</v>
      </c>
      <c r="E69" s="62">
        <f>TRUNC(+D69*3.3058,-1)</f>
        <v>14540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f>1930</f>
        <v>1930</v>
      </c>
      <c r="E74" s="63">
        <f>TRUNC(+D74*3.3058,-1)</f>
        <v>6380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860</v>
      </c>
      <c r="E84" s="63">
        <f>TRUNC(+D84*3.3058,-1)</f>
        <v>2840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20060</v>
      </c>
      <c r="E92" s="63">
        <f>TRUNC(+D92*3.3058,-1)</f>
        <v>66310</v>
      </c>
    </row>
    <row r="93" spans="1:7" x14ac:dyDescent="0.3">
      <c r="A93" s="2">
        <v>25</v>
      </c>
      <c r="C93" s="38" t="s">
        <v>148</v>
      </c>
      <c r="D93" s="42">
        <v>68440</v>
      </c>
      <c r="E93" s="63">
        <f>TRUNC(+D93*3.3058,-1)</f>
        <v>226240</v>
      </c>
    </row>
    <row r="94" spans="1:7" ht="17.25" thickBot="1" x14ac:dyDescent="0.35">
      <c r="A94" s="2">
        <v>26</v>
      </c>
      <c r="C94" s="38" t="s">
        <v>47</v>
      </c>
      <c r="D94" s="43">
        <v>2810</v>
      </c>
      <c r="E94" s="64">
        <f>TRUNC(+D94*3.3058,-1)</f>
        <v>9280</v>
      </c>
      <c r="F94" s="2" t="s">
        <v>250</v>
      </c>
    </row>
    <row r="95" spans="1:7" x14ac:dyDescent="0.3">
      <c r="A95" s="2">
        <v>27</v>
      </c>
      <c r="C95" s="27" t="s">
        <v>112</v>
      </c>
      <c r="D95" s="39">
        <f>SUM(D69:D94)</f>
        <v>98500</v>
      </c>
      <c r="E95" s="39">
        <f>SUM(E69:E94)</f>
        <v>325590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235</v>
      </c>
      <c r="E97" s="56" t="s">
        <v>257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25940</v>
      </c>
      <c r="E100" s="63">
        <f t="shared" si="4"/>
        <v>85750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13470</v>
      </c>
      <c r="E116" s="63">
        <f t="shared" si="4"/>
        <v>44520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24880</v>
      </c>
      <c r="E117" s="63">
        <f t="shared" si="4"/>
        <v>82240</v>
      </c>
    </row>
    <row r="118" spans="1:7" ht="17.25" thickBot="1" x14ac:dyDescent="0.35">
      <c r="A118" s="2">
        <v>21</v>
      </c>
      <c r="C118" s="38" t="s">
        <v>47</v>
      </c>
      <c r="D118" s="43">
        <v>690</v>
      </c>
      <c r="E118" s="64">
        <f t="shared" si="4"/>
        <v>2280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64980</v>
      </c>
      <c r="E119" s="39">
        <f>SUM(E98:E118)</f>
        <v>214790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256</v>
      </c>
      <c r="E121" s="56" t="s">
        <v>257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3480</v>
      </c>
      <c r="E125" s="63">
        <f t="shared" si="5"/>
        <v>11500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11360</v>
      </c>
      <c r="E130" s="63">
        <f t="shared" si="5"/>
        <v>37550</v>
      </c>
    </row>
    <row r="131" spans="1:7" x14ac:dyDescent="0.3">
      <c r="A131" s="2">
        <v>10</v>
      </c>
      <c r="C131" s="38" t="s">
        <v>148</v>
      </c>
      <c r="D131" s="42">
        <v>9950</v>
      </c>
      <c r="E131" s="63">
        <f t="shared" si="5"/>
        <v>32890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4">
        <f t="shared" si="5"/>
        <v>0</v>
      </c>
    </row>
    <row r="133" spans="1:7" x14ac:dyDescent="0.3">
      <c r="A133" s="2">
        <v>12</v>
      </c>
      <c r="C133" s="27" t="s">
        <v>112</v>
      </c>
      <c r="D133" s="39">
        <f>SUM(D122:D132)</f>
        <v>24790</v>
      </c>
      <c r="E133" s="39">
        <f>SUM(E122:E132)</f>
        <v>81940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256</v>
      </c>
      <c r="E135" s="56" t="s">
        <v>257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7810</v>
      </c>
      <c r="E136" s="62">
        <f t="shared" ref="E136:E145" si="6">TRUNC(+D136*3.3058,-1)</f>
        <v>25810</v>
      </c>
    </row>
    <row r="137" spans="1:7" x14ac:dyDescent="0.3">
      <c r="A137" s="2">
        <v>2</v>
      </c>
      <c r="C137" s="38" t="s">
        <v>47</v>
      </c>
      <c r="D137" s="42">
        <v>3800</v>
      </c>
      <c r="E137" s="63">
        <f t="shared" si="6"/>
        <v>12560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11610</v>
      </c>
      <c r="E146" s="39">
        <f>SUM(E136:E145)</f>
        <v>38370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256</v>
      </c>
      <c r="E148" s="56" t="s">
        <v>257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256</v>
      </c>
      <c r="E156" s="56" t="s">
        <v>257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2020-12-07T08:47:47Z</dcterms:modified>
</cp:coreProperties>
</file>