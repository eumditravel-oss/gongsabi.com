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8" i="4" l="1"/>
  <c r="D124" i="4"/>
  <c r="D125" i="4"/>
  <c r="D127" i="4"/>
  <c r="D122" i="4"/>
  <c r="D130" i="4"/>
  <c r="D132" i="4"/>
  <c r="D118" i="4"/>
  <c r="D105" i="4"/>
  <c r="D104" i="4"/>
  <c r="D108" i="4"/>
  <c r="D102" i="4"/>
  <c r="D101" i="4"/>
  <c r="D100" i="4"/>
  <c r="D99" i="4"/>
  <c r="D98" i="4"/>
  <c r="D116" i="4"/>
  <c r="D94" i="4"/>
  <c r="D75" i="4"/>
  <c r="D90" i="4"/>
  <c r="D72" i="4"/>
  <c r="D78" i="4"/>
  <c r="D71" i="4"/>
  <c r="D70" i="4"/>
  <c r="D69" i="4"/>
  <c r="D58" i="4"/>
  <c r="D55" i="4"/>
  <c r="D53" i="4"/>
  <c r="D52" i="4"/>
  <c r="D50" i="4"/>
  <c r="D49" i="4"/>
  <c r="D48" i="4"/>
  <c r="D44" i="4"/>
  <c r="D47" i="4"/>
  <c r="D45" i="4"/>
  <c r="D46" i="4"/>
  <c r="D43" i="4"/>
  <c r="D42" i="4"/>
  <c r="D41" i="4"/>
  <c r="D40" i="4"/>
  <c r="D37" i="4"/>
  <c r="D159" i="4"/>
  <c r="D152" i="4"/>
  <c r="D137" i="4"/>
  <c r="D136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54" i="4"/>
  <c r="E146" i="4"/>
  <c r="D161" i="4"/>
  <c r="D154" i="4"/>
  <c r="D31" i="4" s="1"/>
  <c r="E31" i="4" s="1"/>
  <c r="D146" i="4"/>
  <c r="D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0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<sst xmlns="http://schemas.openxmlformats.org/spreadsheetml/2006/main" count="394" uniqueCount="269">
  <si>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</si>
  <si>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</si>
  <si>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</si>
  <si>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</si>
  <si>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</si>
  <si>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</si>
  <si>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</si>
  <si>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</si>
  <si>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</si>
  <si>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</si>
  <si>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</si>
  <si>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</si>
  <si>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</si>
  <si>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</si>
  <si>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</si>
  <si>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</si>
  <si>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</si>
  <si>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</si>
  <si>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</si>
  <si>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</si>
  <si>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</si>
  <si>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</si>
  <si>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</si>
  <si>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</si>
  <si>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</si>
  <si>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</si>
  <si>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</si>
  <si>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</si>
  <si>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</si>
  <si>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</si>
  <si>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</si>
  <si>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</si>
  <si>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</si>
  <si>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</si>
  <si>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</si>
  <si>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</si>
  <si>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</si>
  <si>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</si>
  <si>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</si>
  <si>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</si>
  <si>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</si>
  <si>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</si>
  <si>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</si>
  <si>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</si>
  <si>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</si>
  <si>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</si>
  <si>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</si>
  <si>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</si>
  <si>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</si>
  <si>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</si>
  <si>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</si>
  <si>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</si>
  <si>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</si>
  <si>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</si>
  <si>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</si>
  <si>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</si>
  <si>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</si>
  <si>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</si>
  <si>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</si>
  <si>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</si>
  <si>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</si>
  <si>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</si>
  <si>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</si>
  <si>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</si>
  <si>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</si>
  <si>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</si>
  <si>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</si>
  <si>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</si>
  <si>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</si>
  <si>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</si>
  <si>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</si>
  <si>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</si>
  <si>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</si>
  <si>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</si>
  <si>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</si>
  <si>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</si>
  <si>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</si>
  <si>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</si>
  <si>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</si>
  <si>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</si>
  <si>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</si>
  <si>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</si>
  <si>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</si>
  <si>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</si>
  <si>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</si>
  <si>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</si>
  <si>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</si>
  <si>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</si>
  <si>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</si>
  <si>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</si>
  <si>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</si>
  <si>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</si>
  <si>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</si>
  <si>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</si>
  <si>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</si>
  <si>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</si>
  <si>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</si>
  <si>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</si>
  <si>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</si>
  <si>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</si>
  <si>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</si>
  <si>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</si>
  <si>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</si>
  <si>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</si>
  <si>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</si>
  <si>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</si>
  <si>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</si>
  <si>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</si>
  <si>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</si>
  <si>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</si>
  <si>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</si>
  <si>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</si>
  <si>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</si>
  <si>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</si>
  <si>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</si>
  <si>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</si>
  <si>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</si>
  <si>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</si>
  <si>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</si>
  <si>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</si>
  <si>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</si>
  <si>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</si>
  <si>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</si>
  <si>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</si>
  <si>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</si>
  <si>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</si>
  <si>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</si>
  <si>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</si>
  <si>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</si>
  <si>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</si>
  <si>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</si>
  <si>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</si>
  <si>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</si>
  <si>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</si>
  <si>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</si>
  <si>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</si>
  <si>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</si>
  <si>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</si>
  <si>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</si>
  <si>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</si>
  <si>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</si>
  <si>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</si>
  <si>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</si>
  <si>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</si>
  <si>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</si>
  <si>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</si>
  <si>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</si>
  <si>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</si>
  <si>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</si>
  <si>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</si>
  <si>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</si>
  <si>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</si>
  <si>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</si>
  <si>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</si>
  <si>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</si>
  <si>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</si>
  <si>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</si>
  <si>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</si>
  <si>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</si>
  <si>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</si>
  <si>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</si>
  <si>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</si>
  <si>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</si>
  <si>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</si>
  <si>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</si>
  <si>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</si>
  <si>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</si>
  <si>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</si>
  <si>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</si>
  <si>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</si>
  <si>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</si>
  <si>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</si>
  <si>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</si>
  <si>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</si>
  <si>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</si>
  <si>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</si>
  <si>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</si>
  <si>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</si>
  <si>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</si>
  <si>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</si>
  <si>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</si>
  <si>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</si>
  <si>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</si>
  <si>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</si>
  <si>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</si>
  <si>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</si>
  <si>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</si>
  <si>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</si>
  <si>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</si>
  <si>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</si>
  <si>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</si>
  <si>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</si>
  <si>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</si>
  <si>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</si>
  <si>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</si>
  <si>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</si>
  <si>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</si>
  <si>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</si>
  <si>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</si>
  <si>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</si>
  <si>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</si>
  <si>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</si>
  <si>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</si>
  <si>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</si>
  <si>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</si>
  <si>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</si>
  <si>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</si>
  <si>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</si>
  <si>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</si>
  <si>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</si>
  <si>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</si>
  <si>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</si>
  <si>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</si>
  <si>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</si>
  <si>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</si>
  <si>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</si>
  <si>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</si>
  <si>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</si>
  <si>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</si>
  <si>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</si>
  <si>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</si>
  <si>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</si>
  <si>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</si>
  <si>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</si>
  <si>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</si>
  <si>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</si>
  <si>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</si>
  <si>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</si>
  <si>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</si>
  <si>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</si>
  <si>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</si>
  <si>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</si>
  <si>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</si>
  <si>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</si>
  <si>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</si>
  <si>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</si>
  <si>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</si>
  <si>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</si>
  <si>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</si>
  <si>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</si>
  <si>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</si>
  <si>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</si>
  <si>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</si>
  <si>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</si>
  <si>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</si>
  <si>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</si>
  <si>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</si>
  <si>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</si>
  <si>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00세무서 청사 신축공사</t>
    <phoneticPr fontId="2" type="noConversion"/>
  </si>
  <si>
    <t>업무</t>
  </si>
  <si>
    <t>경기도</t>
  </si>
  <si>
    <t>기계 소화설비공사</t>
    <phoneticPr fontId="2" type="noConversion"/>
  </si>
  <si>
    <t>전기 소방공사</t>
    <phoneticPr fontId="2" type="noConversion"/>
  </si>
  <si>
    <t>부대토목공사</t>
    <phoneticPr fontId="2" type="noConversion"/>
  </si>
  <si>
    <t>부대조경공사</t>
    <phoneticPr fontId="2" type="noConversion"/>
  </si>
  <si>
    <t>창호및유리공사</t>
    <phoneticPr fontId="2" type="noConversion"/>
  </si>
  <si>
    <t>품질시험비,지정공사,외부패널공사,철제칸막이공사,기타공사,국기게양대설치공사,골재비,운반비,작업부산물</t>
    <phoneticPr fontId="2" type="noConversion"/>
  </si>
  <si>
    <t>위생배관공사,전기온돌난방공사,사이포닉우수공사,주방기구설치공사</t>
    <phoneticPr fontId="2" type="noConversion"/>
  </si>
  <si>
    <t>전기인입공사</t>
    <phoneticPr fontId="2" type="noConversion"/>
  </si>
  <si>
    <t>전기실공사,옥외외등공사,원격검침,태양광설비공사</t>
    <phoneticPr fontId="2" type="noConversion"/>
  </si>
  <si>
    <t>전력제어공사,조명제어공사</t>
    <phoneticPr fontId="2" type="noConversion"/>
  </si>
  <si>
    <t>통신인입공사,CCTV설비공사,주차관제설비공사</t>
    <phoneticPr fontId="2" type="noConversion"/>
  </si>
  <si>
    <t>CATV설비공사</t>
    <phoneticPr fontId="2" type="noConversion"/>
  </si>
  <si>
    <t>비상방송설비공사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</si>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</sst>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6579</v>
      </c>
      <c r="D7" s="36">
        <f>+C7/3.3058</f>
        <v>1990.1385443765503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28370</v>
      </c>
      <c r="E24" s="58">
        <f t="shared" ref="E24:E33" si="0">TRUNC(+D24*3.3058,-1)</f>
        <v>93780</v>
      </c>
    </row>
    <row r="25" spans="1:5" x14ac:dyDescent="0.3">
      <c r="B25" s="2">
        <v>2</v>
      </c>
      <c r="C25" s="35" t="s">
        <v>111</v>
      </c>
      <c r="D25" s="45">
        <f>+D60</f>
        <v>658140</v>
      </c>
      <c r="E25" s="59">
        <f t="shared" si="0"/>
        <v>2175670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70630</v>
      </c>
      <c r="E27" s="59">
        <f t="shared" si="0"/>
        <v>233480</v>
      </c>
    </row>
    <row r="28" spans="1:5" x14ac:dyDescent="0.3">
      <c r="B28" s="2">
        <v>5</v>
      </c>
      <c r="C28" s="35" t="s">
        <v>97</v>
      </c>
      <c r="D28" s="45">
        <f>+D119</f>
        <v>83450</v>
      </c>
      <c r="E28" s="59">
        <f t="shared" si="0"/>
        <v>275860</v>
      </c>
    </row>
    <row r="29" spans="1:5" x14ac:dyDescent="0.3">
      <c r="B29" s="2">
        <v>6</v>
      </c>
      <c r="C29" s="35" t="s">
        <v>98</v>
      </c>
      <c r="D29" s="45">
        <f>+D133</f>
        <v>87270</v>
      </c>
      <c r="E29" s="59">
        <f t="shared" si="0"/>
        <v>288490</v>
      </c>
    </row>
    <row r="30" spans="1:5" x14ac:dyDescent="0.3">
      <c r="B30" s="2">
        <v>7</v>
      </c>
      <c r="C30" s="35" t="s">
        <v>99</v>
      </c>
      <c r="D30" s="45">
        <f>+D146</f>
        <v>17380</v>
      </c>
      <c r="E30" s="59">
        <f t="shared" si="0"/>
        <v>57450</v>
      </c>
    </row>
    <row r="31" spans="1:5" x14ac:dyDescent="0.3">
      <c r="B31" s="2">
        <v>8</v>
      </c>
      <c r="C31" s="35" t="s">
        <v>100</v>
      </c>
      <c r="D31" s="45">
        <f>+D154</f>
        <v>50940</v>
      </c>
      <c r="E31" s="59">
        <f t="shared" si="0"/>
        <v>168390</v>
      </c>
    </row>
    <row r="32" spans="1:5" x14ac:dyDescent="0.3">
      <c r="B32" s="2">
        <v>9</v>
      </c>
      <c r="C32" s="35" t="s">
        <v>101</v>
      </c>
      <c r="D32" s="45">
        <f>+D161</f>
        <v>74930</v>
      </c>
      <c r="E32" s="59">
        <f t="shared" si="0"/>
        <v>247700</v>
      </c>
    </row>
    <row r="33" spans="1:7" x14ac:dyDescent="0.3">
      <c r="B33" s="2">
        <v>10</v>
      </c>
      <c r="C33" s="35" t="s">
        <v>154</v>
      </c>
      <c r="D33" s="53">
        <f>TRUNC(SUM(D24:D32)*0.275,-1)</f>
        <v>294550</v>
      </c>
      <c r="E33" s="60">
        <f t="shared" si="0"/>
        <v>973720</v>
      </c>
    </row>
    <row r="34" spans="1:7" x14ac:dyDescent="0.3">
      <c r="C34" s="35" t="s">
        <v>112</v>
      </c>
      <c r="D34" s="44">
        <f>SUM(D24:D33)</f>
        <v>1365660</v>
      </c>
      <c r="E34" s="44">
        <f>SUM(E24:E33)</f>
        <v>4514540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TRUNC(28375,-1)</f>
        <v>28370</v>
      </c>
      <c r="E37" s="61">
        <f>TRUNC(+D37*3.3058,-1)</f>
        <v>93780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TRUNC(31158,-1)</f>
        <v>31150</v>
      </c>
      <c r="E40" s="62">
        <f t="shared" ref="E40:E59" si="1">TRUNC(+D40*3.3058,-1)</f>
        <v>102970</v>
      </c>
    </row>
    <row r="41" spans="1:7" x14ac:dyDescent="0.3">
      <c r="A41" s="2">
        <v>2</v>
      </c>
      <c r="C41" s="38" t="s">
        <v>13</v>
      </c>
      <c r="D41" s="42">
        <f>TRUNC(91432,-1)</f>
        <v>91430</v>
      </c>
      <c r="E41" s="63">
        <f t="shared" si="1"/>
        <v>302240</v>
      </c>
    </row>
    <row r="42" spans="1:7" x14ac:dyDescent="0.3">
      <c r="A42" s="2">
        <v>3</v>
      </c>
      <c r="C42" s="38" t="s">
        <v>14</v>
      </c>
      <c r="D42" s="42">
        <f>TRUNC(4328,-1)</f>
        <v>4320</v>
      </c>
      <c r="E42" s="63">
        <f t="shared" si="1"/>
        <v>14280</v>
      </c>
    </row>
    <row r="43" spans="1:7" x14ac:dyDescent="0.3">
      <c r="A43" s="2">
        <v>4</v>
      </c>
      <c r="C43" s="38" t="s">
        <v>16</v>
      </c>
      <c r="D43" s="42">
        <f>TRUNC(33944,-1)</f>
        <v>33940</v>
      </c>
      <c r="E43" s="63">
        <f t="shared" si="1"/>
        <v>112190</v>
      </c>
    </row>
    <row r="44" spans="1:7" x14ac:dyDescent="0.3">
      <c r="A44" s="2">
        <v>5</v>
      </c>
      <c r="C44" s="38" t="s">
        <v>17</v>
      </c>
      <c r="D44" s="42">
        <f>TRUNC(23594,-1)</f>
        <v>23590</v>
      </c>
      <c r="E44" s="63">
        <f t="shared" si="1"/>
        <v>77980</v>
      </c>
    </row>
    <row r="45" spans="1:7" x14ac:dyDescent="0.3">
      <c r="A45" s="2">
        <v>6</v>
      </c>
      <c r="C45" s="38" t="s">
        <v>18</v>
      </c>
      <c r="D45" s="42">
        <f>TRUNC(10193,-1)</f>
        <v>10190</v>
      </c>
      <c r="E45" s="63">
        <f t="shared" si="1"/>
        <v>33680</v>
      </c>
    </row>
    <row r="46" spans="1:7" x14ac:dyDescent="0.3">
      <c r="A46" s="2">
        <v>7</v>
      </c>
      <c r="C46" s="38" t="s">
        <v>19</v>
      </c>
      <c r="D46" s="42">
        <f>TRUNC(19689,-1)</f>
        <v>19680</v>
      </c>
      <c r="E46" s="63">
        <f t="shared" si="1"/>
        <v>65050</v>
      </c>
    </row>
    <row r="47" spans="1:7" x14ac:dyDescent="0.3">
      <c r="A47" s="2">
        <v>8</v>
      </c>
      <c r="C47" s="38" t="s">
        <v>20</v>
      </c>
      <c r="D47" s="42">
        <f>TRUNC(1274,-1)</f>
        <v>1270</v>
      </c>
      <c r="E47" s="63">
        <f t="shared" si="1"/>
        <v>4190</v>
      </c>
    </row>
    <row r="48" spans="1:7" x14ac:dyDescent="0.3">
      <c r="A48" s="2">
        <v>9</v>
      </c>
      <c r="C48" s="38" t="s">
        <v>21</v>
      </c>
      <c r="D48" s="42">
        <f>TRUNC(37001,-1)</f>
        <v>37000</v>
      </c>
      <c r="E48" s="63">
        <f t="shared" si="1"/>
        <v>122310</v>
      </c>
    </row>
    <row r="49" spans="1:7" x14ac:dyDescent="0.3">
      <c r="A49" s="2">
        <v>10</v>
      </c>
      <c r="C49" s="38" t="s">
        <v>22</v>
      </c>
      <c r="D49" s="42">
        <f>TRUNC(19769,-1)</f>
        <v>19760</v>
      </c>
      <c r="E49" s="63">
        <f t="shared" si="1"/>
        <v>65320</v>
      </c>
    </row>
    <row r="50" spans="1:7" x14ac:dyDescent="0.3">
      <c r="A50" s="2">
        <v>11</v>
      </c>
      <c r="C50" s="38" t="s">
        <v>155</v>
      </c>
      <c r="D50" s="42">
        <f>TRUNC(52746,-1)</f>
        <v>52740</v>
      </c>
      <c r="E50" s="63">
        <f t="shared" si="1"/>
        <v>174340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TRUNC(9647,-1)</f>
        <v>9640</v>
      </c>
      <c r="E52" s="63">
        <f t="shared" si="1"/>
        <v>31860</v>
      </c>
    </row>
    <row r="53" spans="1:7" x14ac:dyDescent="0.3">
      <c r="A53" s="2">
        <v>14</v>
      </c>
      <c r="C53" s="38" t="s">
        <v>25</v>
      </c>
      <c r="D53" s="42">
        <f>TRUNC(60595,-1)</f>
        <v>60590</v>
      </c>
      <c r="E53" s="63">
        <f t="shared" si="1"/>
        <v>200290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TRUNC(1499,-1)</f>
        <v>1490</v>
      </c>
      <c r="E55" s="63">
        <f t="shared" si="1"/>
        <v>4920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TRUNC(278+1045+214621+37553+5061+262+1784+1473-721,-1)</f>
        <v>261350</v>
      </c>
      <c r="E58" s="63">
        <f t="shared" si="1"/>
        <v>863970</v>
      </c>
      <c r="F58" s="2" t="s">
        <v>256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658140</v>
      </c>
      <c r="E60" s="39">
        <f>SUM(E40:E59)</f>
        <v>2175590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TRUNC(9465,-1)</f>
        <v>9460</v>
      </c>
      <c r="E69" s="62">
        <f t="shared" ref="E69:E94" si="2">TRUNC(+D69*3.3058,-1)</f>
        <v>31270</v>
      </c>
    </row>
    <row r="70" spans="1:7" ht="16.5" customHeight="1" x14ac:dyDescent="0.3">
      <c r="A70" s="2">
        <v>2</v>
      </c>
      <c r="C70" s="38" t="s">
        <v>31</v>
      </c>
      <c r="D70" s="42">
        <f>TRUNC(947,-1)</f>
        <v>940</v>
      </c>
      <c r="E70" s="63">
        <f t="shared" si="2"/>
        <v>3100</v>
      </c>
    </row>
    <row r="71" spans="1:7" x14ac:dyDescent="0.3">
      <c r="A71" s="2">
        <v>3</v>
      </c>
      <c r="C71" s="38" t="s">
        <v>32</v>
      </c>
      <c r="D71" s="42">
        <f>TRUNC(3102,-1)</f>
        <v>3100</v>
      </c>
      <c r="E71" s="63">
        <f t="shared" si="2"/>
        <v>10240</v>
      </c>
    </row>
    <row r="72" spans="1:7" x14ac:dyDescent="0.3">
      <c r="A72" s="2">
        <v>4</v>
      </c>
      <c r="C72" s="38" t="s">
        <v>33</v>
      </c>
      <c r="D72" s="42">
        <f>TRUNC(2773,-1)</f>
        <v>2770</v>
      </c>
      <c r="E72" s="63">
        <f t="shared" si="2"/>
        <v>9150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TRUNC(1764,-1)</f>
        <v>1760</v>
      </c>
      <c r="E75" s="63">
        <f t="shared" si="2"/>
        <v>5810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TRUNC(17937,-1)</f>
        <v>17930</v>
      </c>
      <c r="E78" s="63">
        <f t="shared" si="2"/>
        <v>59270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TRUNC(2221,-1)</f>
        <v>2220</v>
      </c>
      <c r="E90" s="63">
        <f t="shared" si="2"/>
        <v>7330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TRUNC(18379+203+7306+6565,-1)</f>
        <v>32450</v>
      </c>
      <c r="E94" s="64">
        <f t="shared" si="2"/>
        <v>107270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70630</v>
      </c>
      <c r="E95" s="39">
        <f>SUM(E69:E94)</f>
        <v>233440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TRUNC(8335,-1)</f>
        <v>8330</v>
      </c>
      <c r="E98" s="62">
        <f t="shared" ref="E98:E118" si="3">TRUNC(+D98*3.3058,-1)</f>
        <v>27530</v>
      </c>
    </row>
    <row r="99" spans="1:7" x14ac:dyDescent="0.3">
      <c r="A99" s="2">
        <v>2</v>
      </c>
      <c r="C99" s="38" t="s">
        <v>40</v>
      </c>
      <c r="D99" s="42">
        <f>TRUNC(3846,-1)</f>
        <v>3840</v>
      </c>
      <c r="E99" s="63">
        <f t="shared" si="3"/>
        <v>12690</v>
      </c>
    </row>
    <row r="100" spans="1:7" x14ac:dyDescent="0.3">
      <c r="A100" s="2">
        <v>3</v>
      </c>
      <c r="C100" s="38" t="s">
        <v>41</v>
      </c>
      <c r="D100" s="42">
        <f>TRUNC(25845,-1)</f>
        <v>25840</v>
      </c>
      <c r="E100" s="63">
        <f t="shared" si="3"/>
        <v>85420</v>
      </c>
    </row>
    <row r="101" spans="1:7" x14ac:dyDescent="0.3">
      <c r="A101" s="2">
        <v>4</v>
      </c>
      <c r="C101" s="38" t="s">
        <v>42</v>
      </c>
      <c r="D101" s="42">
        <f>TRUNC(91+772,-1)</f>
        <v>860</v>
      </c>
      <c r="E101" s="63">
        <f t="shared" si="3"/>
        <v>2840</v>
      </c>
      <c r="F101" s="2" t="s">
        <v>260</v>
      </c>
    </row>
    <row r="102" spans="1:7" x14ac:dyDescent="0.3">
      <c r="A102" s="2">
        <v>5</v>
      </c>
      <c r="C102" s="38" t="s">
        <v>43</v>
      </c>
      <c r="D102" s="42">
        <f>TRUNC(16917,-1)</f>
        <v>16910</v>
      </c>
      <c r="E102" s="63">
        <f t="shared" si="3"/>
        <v>55900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TRUNC(7458,-1)</f>
        <v>7450</v>
      </c>
      <c r="E104" s="63">
        <f t="shared" si="3"/>
        <v>24620</v>
      </c>
    </row>
    <row r="105" spans="1:7" x14ac:dyDescent="0.3">
      <c r="A105" s="2">
        <v>8</v>
      </c>
      <c r="C105" s="38" t="s">
        <v>46</v>
      </c>
      <c r="D105" s="42">
        <f>TRUNC(4010,-1)</f>
        <v>4010</v>
      </c>
      <c r="E105" s="63">
        <f t="shared" si="3"/>
        <v>13250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TRUNC(3025,-1)</f>
        <v>3020</v>
      </c>
      <c r="E108" s="63">
        <f t="shared" si="3"/>
        <v>9980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TRUNC(2377,-1)</f>
        <v>2370</v>
      </c>
      <c r="E116" s="63">
        <f t="shared" si="3"/>
        <v>7830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TRUNC(1519+4247+3115+1940,-1)</f>
        <v>10820</v>
      </c>
      <c r="E118" s="64">
        <f t="shared" si="3"/>
        <v>35760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83450</v>
      </c>
      <c r="E119" s="39">
        <f>SUM(E98:E118)</f>
        <v>275820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TRUNC(8717,-1)</f>
        <v>8710</v>
      </c>
      <c r="E122" s="62">
        <f t="shared" ref="E122:E132" si="4">TRUNC(+D122*3.3058,-1)</f>
        <v>28790</v>
      </c>
      <c r="F122" s="2" t="s">
        <v>262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TRUNC(1015,-1)</f>
        <v>1010</v>
      </c>
      <c r="E124" s="63">
        <f t="shared" si="4"/>
        <v>3330</v>
      </c>
    </row>
    <row r="125" spans="1:7" x14ac:dyDescent="0.3">
      <c r="A125" s="2">
        <v>4</v>
      </c>
      <c r="C125" s="38" t="s">
        <v>138</v>
      </c>
      <c r="D125" s="42">
        <f>TRUNC(4981,-1)</f>
        <v>4980</v>
      </c>
      <c r="E125" s="63">
        <f t="shared" si="4"/>
        <v>16460</v>
      </c>
      <c r="F125" s="2" t="s">
        <v>263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TRUNC(3770,-1)</f>
        <v>3770</v>
      </c>
      <c r="E127" s="63">
        <f t="shared" si="4"/>
        <v>12460</v>
      </c>
    </row>
    <row r="128" spans="1:7" x14ac:dyDescent="0.3">
      <c r="A128" s="2">
        <v>7</v>
      </c>
      <c r="C128" s="38" t="s">
        <v>46</v>
      </c>
      <c r="D128" s="42">
        <f>TRUNC(6745,-1)</f>
        <v>6740</v>
      </c>
      <c r="E128" s="63">
        <f t="shared" si="4"/>
        <v>22280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TRUNC(53208,-1)</f>
        <v>53200</v>
      </c>
      <c r="E130" s="63">
        <f t="shared" si="4"/>
        <v>175860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TRUNC(2195+2831+3841,-1)</f>
        <v>8860</v>
      </c>
      <c r="E132" s="64">
        <f t="shared" si="4"/>
        <v>29280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87270</v>
      </c>
      <c r="E133" s="39">
        <f>SUM(E122:E132)</f>
        <v>288460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TRUNC(8338,-1)</f>
        <v>8330</v>
      </c>
      <c r="E136" s="62">
        <f t="shared" ref="E136:E145" si="5">TRUNC(+D136*3.3058,-1)</f>
        <v>27530</v>
      </c>
      <c r="F136" s="2" t="s">
        <v>251</v>
      </c>
    </row>
    <row r="137" spans="1:7" x14ac:dyDescent="0.3">
      <c r="A137" s="2">
        <v>2</v>
      </c>
      <c r="C137" s="38" t="s">
        <v>47</v>
      </c>
      <c r="D137" s="42">
        <f>TRUNC(9051,-1)</f>
        <v>9050</v>
      </c>
      <c r="E137" s="63">
        <f t="shared" si="5"/>
        <v>29910</v>
      </c>
      <c r="F137" s="2" t="s">
        <v>252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17380</v>
      </c>
      <c r="E146" s="39">
        <f>SUM(E136:E145)</f>
        <v>57440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TRUNC(50949,-1)</f>
        <v>50940</v>
      </c>
      <c r="E152" s="63">
        <f>TRUNC(+D152*3.3058,-1)</f>
        <v>168390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50940</v>
      </c>
      <c r="E154" s="39">
        <f>SUM(E149:E153)</f>
        <v>168390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TRUNC(74937,-1)</f>
        <v>74930</v>
      </c>
      <c r="E159" s="63">
        <f>TRUNC(+D159*3.3058,-1)</f>
        <v>247700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74930</v>
      </c>
      <c r="E161" s="39">
        <f>SUM(E157:E160)</f>
        <v>247700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2020-12-07T09:46:32Z</dcterms:modified>
</cp:coreProperties>
</file>