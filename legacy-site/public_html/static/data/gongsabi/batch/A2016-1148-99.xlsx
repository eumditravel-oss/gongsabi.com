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61" i="4" s="1"/>
  <c r="D152" i="4"/>
  <c r="D151" i="4"/>
  <c r="D150" i="4"/>
  <c r="D149" i="4"/>
  <c r="D144" i="4"/>
  <c r="D143" i="4"/>
  <c r="D142" i="4"/>
  <c r="D140" i="4"/>
  <c r="D137" i="4"/>
  <c r="D132" i="4"/>
  <c r="D131" i="4"/>
  <c r="D130" i="4"/>
  <c r="D128" i="4"/>
  <c r="D125" i="4"/>
  <c r="D124" i="4"/>
  <c r="D122" i="4"/>
  <c r="D118" i="4"/>
  <c r="D117" i="4"/>
  <c r="D114" i="4"/>
  <c r="D105" i="4"/>
  <c r="D104" i="4"/>
  <c r="D103" i="4"/>
  <c r="D102" i="4"/>
  <c r="D100" i="4"/>
  <c r="D99" i="4"/>
  <c r="D94" i="4"/>
  <c r="D93" i="4"/>
  <c r="D92" i="4"/>
  <c r="D91" i="4"/>
  <c r="D89" i="4"/>
  <c r="D76" i="4"/>
  <c r="D73" i="4"/>
  <c r="D72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0" i="4" l="1"/>
  <c r="E160" i="4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32" i="4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25" i="4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<sst xmlns="http://schemas.openxmlformats.org/spreadsheetml/2006/main" count="393" uniqueCount="267">
  <si>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</si>
  <si>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</si>
  <si>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</si>
  <si>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</si>
  <si>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</si>
  <si>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</si>
  <si>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</si>
  <si>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</si>
  <si>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</si>
  <si>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</si>
  <si>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</si>
  <si>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</si>
  <si>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</si>
  <si>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</si>
  <si>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</si>
  <si>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</si>
  <si>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</si>
  <si>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</si>
  <si>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</si>
  <si>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</si>
  <si>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</si>
  <si>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</si>
  <si>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</si>
  <si>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</si>
  <si>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</si>
  <si>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</si>
  <si>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</si>
  <si>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</si>
  <si>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</si>
  <si>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</si>
  <si>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</si>
  <si>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</si>
  <si>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</si>
  <si>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</si>
  <si>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</si>
  <si>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</si>
  <si>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</si>
  <si>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</si>
  <si>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</si>
  <si>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</si>
  <si>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</si>
  <si>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</si>
  <si>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</si>
  <si>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</si>
  <si>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</si>
  <si>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</si>
  <si>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</si>
  <si>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</si>
  <si>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</si>
  <si>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</si>
  <si>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</si>
  <si>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</si>
  <si>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</si>
  <si>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</si>
  <si>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</si>
  <si>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</si>
  <si>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</si>
  <si>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</si>
  <si>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</si>
  <si>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</si>
  <si>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</si>
  <si>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</si>
  <si>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</si>
  <si>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</si>
  <si>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</si>
  <si>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</si>
  <si>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</si>
  <si>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</si>
  <si>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</si>
  <si>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</si>
  <si>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</si>
  <si>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</si>
  <si>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</si>
  <si>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</si>
  <si>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</si>
  <si>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</si>
  <si>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</si>
  <si>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</si>
  <si>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</si>
  <si>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</si>
  <si>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</si>
  <si>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</si>
  <si>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</si>
  <si>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</si>
  <si>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</si>
  <si>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</si>
  <si>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</si>
  <si>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</si>
  <si>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</si>
  <si>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</si>
  <si>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</si>
  <si>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</si>
  <si>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</si>
  <si>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</si>
  <si>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</si>
  <si>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</si>
  <si>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</si>
  <si>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</si>
  <si>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</si>
  <si>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</si>
  <si>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</si>
  <si>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</si>
  <si>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</si>
  <si>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</si>
  <si>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</si>
  <si>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</si>
  <si>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</si>
  <si>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</si>
  <si>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</si>
  <si>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</si>
  <si>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</si>
  <si>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</si>
  <si>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</si>
  <si>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</si>
  <si>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</si>
  <si>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</si>
  <si>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</si>
  <si>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</si>
  <si>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</si>
  <si>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</si>
  <si>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</si>
  <si>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</si>
  <si>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</si>
  <si>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</si>
  <si>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</si>
  <si>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</si>
  <si>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</si>
  <si>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</si>
  <si>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</si>
  <si>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</si>
  <si>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</si>
  <si>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</si>
  <si>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</si>
  <si>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</si>
  <si>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</si>
  <si>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</si>
  <si>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</si>
  <si>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</si>
  <si>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</si>
  <si>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</si>
  <si>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</si>
  <si>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</si>
  <si>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</si>
  <si>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</si>
  <si>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</si>
  <si>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</si>
  <si>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</si>
  <si>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</si>
  <si>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</si>
  <si>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</si>
  <si>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</si>
  <si>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</si>
  <si>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</si>
  <si>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</si>
  <si>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</si>
  <si>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</si>
  <si>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</si>
  <si>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</si>
  <si>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</si>
  <si>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</si>
  <si>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</si>
  <si>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</si>
  <si>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</si>
  <si>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</si>
  <si>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</si>
  <si>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</si>
  <si>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</si>
  <si>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</si>
  <si>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</si>
  <si>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</si>
  <si>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</si>
  <si>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</si>
  <si>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</si>
  <si>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</si>
  <si>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</si>
  <si>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</si>
  <si>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</si>
  <si>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</si>
  <si>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</si>
  <si>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</si>
  <si>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</si>
  <si>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</si>
  <si>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</si>
  <si>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</si>
  <si>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</si>
  <si>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</si>
  <si>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</si>
  <si>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</si>
  <si>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</si>
  <si>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</si>
  <si>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</si>
  <si>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</si>
  <si>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</si>
  <si>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</si>
  <si>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</si>
  <si>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</si>
  <si>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</si>
  <si>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</si>
  <si>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</si>
  <si>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</si>
  <si>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</si>
  <si>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</si>
  <si>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</si>
  <si>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</si>
  <si>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</si>
  <si>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</si>
  <si>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</si>
  <si>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</si>
  <si>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</si>
  <si>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</si>
  <si>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</si>
  <si>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</si>
  <si>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</si>
  <si>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</si>
  <si>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</si>
  <si>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</si>
  <si>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</si>
  <si>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</si>
  <si>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</si>
  <si>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</si>
  <si>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</si>
  <si>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</si>
  <si>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</si>
  <si>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</si>
  <si>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</si>
  <si>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</si>
  <si>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</si>
  <si>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</si>
  <si>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</si>
  <si>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</si>
  <si>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</si>
  <si>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</si>
  <si>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</si>
  <si>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</si>
  <si>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</si>
  <si>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</si>
  <si>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</si>
  <si>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</si>
  <si>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</si>
  <si>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</si>
  <si>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</si>
  <si>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</si>
  <si>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</si>
  <si>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</si>
  <si>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</si>
  <si>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</si>
  <si>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</si>
  <si>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</si>
  <si>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</si>
  <si>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</si>
  <si>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</si>
  <si>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</si>
  <si>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</si>
  <si>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</si>
  <si>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</si>
  <si>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</si>
  <si>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</si>
  <si>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세종시</t>
  </si>
  <si>
    <t>공조배관공사, 난방배관공사, 기타공사</t>
    <phoneticPr fontId="2" type="noConversion"/>
  </si>
  <si>
    <t>CCTV설비공사</t>
    <phoneticPr fontId="2" type="noConversion"/>
  </si>
  <si>
    <t>옥외소화배관공사, 기타공사</t>
    <phoneticPr fontId="2" type="noConversion"/>
  </si>
  <si>
    <t>사급자재비, 기타공사</t>
    <phoneticPr fontId="2" type="noConversion"/>
  </si>
  <si>
    <t>기초공사, 골재비및운반비, 작업부산물, 기타공사</t>
    <phoneticPr fontId="2" type="noConversion"/>
  </si>
  <si>
    <t>세종예술고등학교 신축공사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</si>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</sst>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11642.09</v>
      </c>
      <c r="D7" s="36">
        <f>+C7/3.3058</f>
        <v>3521.7163772763024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1042260</v>
      </c>
      <c r="E25" s="59">
        <f t="shared" si="0"/>
        <v>3445500</v>
      </c>
    </row>
    <row r="26" spans="1:5" x14ac:dyDescent="0.3">
      <c r="B26" s="2">
        <v>3</v>
      </c>
      <c r="C26" s="35" t="s">
        <v>95</v>
      </c>
      <c r="D26" s="45">
        <f>+D66</f>
        <v>15090</v>
      </c>
      <c r="E26" s="59">
        <f t="shared" si="0"/>
        <v>49880</v>
      </c>
    </row>
    <row r="27" spans="1:5" x14ac:dyDescent="0.3">
      <c r="B27" s="2">
        <v>4</v>
      </c>
      <c r="C27" s="35" t="s">
        <v>96</v>
      </c>
      <c r="D27" s="45">
        <f>+D95</f>
        <v>211190</v>
      </c>
      <c r="E27" s="59">
        <f t="shared" si="0"/>
        <v>698150</v>
      </c>
    </row>
    <row r="28" spans="1:5" x14ac:dyDescent="0.3">
      <c r="B28" s="2">
        <v>5</v>
      </c>
      <c r="C28" s="35" t="s">
        <v>97</v>
      </c>
      <c r="D28" s="45">
        <f>+D119</f>
        <v>165260</v>
      </c>
      <c r="E28" s="59">
        <f t="shared" si="0"/>
        <v>546310</v>
      </c>
    </row>
    <row r="29" spans="1:5" x14ac:dyDescent="0.3">
      <c r="B29" s="2">
        <v>6</v>
      </c>
      <c r="C29" s="35" t="s">
        <v>98</v>
      </c>
      <c r="D29" s="45">
        <f>+D133</f>
        <v>50440</v>
      </c>
      <c r="E29" s="59">
        <f t="shared" si="0"/>
        <v>166740</v>
      </c>
    </row>
    <row r="30" spans="1:5" x14ac:dyDescent="0.3">
      <c r="B30" s="2">
        <v>7</v>
      </c>
      <c r="C30" s="35" t="s">
        <v>99</v>
      </c>
      <c r="D30" s="45">
        <f>+D146</f>
        <v>41900</v>
      </c>
      <c r="E30" s="59">
        <f t="shared" si="0"/>
        <v>138510</v>
      </c>
    </row>
    <row r="31" spans="1:5" x14ac:dyDescent="0.3">
      <c r="B31" s="2">
        <v>8</v>
      </c>
      <c r="C31" s="35" t="s">
        <v>100</v>
      </c>
      <c r="D31" s="45">
        <f>+D154</f>
        <v>36790</v>
      </c>
      <c r="E31" s="59">
        <f t="shared" si="0"/>
        <v>121620</v>
      </c>
    </row>
    <row r="32" spans="1:5" x14ac:dyDescent="0.3">
      <c r="B32" s="2">
        <v>9</v>
      </c>
      <c r="C32" s="35" t="s">
        <v>101</v>
      </c>
      <c r="D32" s="45">
        <f>+D161</f>
        <v>57630</v>
      </c>
      <c r="E32" s="59">
        <f t="shared" si="0"/>
        <v>190510</v>
      </c>
    </row>
    <row r="33" spans="1:7" x14ac:dyDescent="0.3">
      <c r="B33" s="2">
        <v>10</v>
      </c>
      <c r="C33" s="35" t="s">
        <v>155</v>
      </c>
      <c r="D33" s="53">
        <f>TRUNC(SUM(D24:D32)*0.275,-1)</f>
        <v>445650</v>
      </c>
      <c r="E33" s="60">
        <f t="shared" si="0"/>
        <v>1473220</v>
      </c>
    </row>
    <row r="34" spans="1:7" x14ac:dyDescent="0.3">
      <c r="C34" s="35" t="s">
        <v>112</v>
      </c>
      <c r="D34" s="44">
        <f>SUM(D24:D33)</f>
        <v>2066210</v>
      </c>
      <c r="E34" s="44">
        <f>SUM(E24:E33)</f>
        <v>6830440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TRUNC(63102,-1)</f>
        <v>63100</v>
      </c>
      <c r="E40" s="62">
        <f t="shared" ref="E40:E59" si="1">TRUNC(+D40*3.3058,-1)</f>
        <v>208590</v>
      </c>
    </row>
    <row r="41" spans="1:7" x14ac:dyDescent="0.3">
      <c r="A41" s="2">
        <v>2</v>
      </c>
      <c r="C41" s="38" t="s">
        <v>13</v>
      </c>
      <c r="D41" s="42">
        <f>TRUNC(169367,-1)</f>
        <v>169360</v>
      </c>
      <c r="E41" s="63">
        <f t="shared" si="1"/>
        <v>559870</v>
      </c>
    </row>
    <row r="42" spans="1:7" x14ac:dyDescent="0.3">
      <c r="A42" s="2">
        <v>3</v>
      </c>
      <c r="C42" s="38" t="s">
        <v>14</v>
      </c>
      <c r="D42" s="42">
        <f>TRUNC(9393,-1)</f>
        <v>9390</v>
      </c>
      <c r="E42" s="63">
        <f t="shared" si="1"/>
        <v>31040</v>
      </c>
    </row>
    <row r="43" spans="1:7" x14ac:dyDescent="0.3">
      <c r="A43" s="2">
        <v>4</v>
      </c>
      <c r="C43" s="38" t="s">
        <v>16</v>
      </c>
      <c r="D43" s="42">
        <f>TRUNC(33868,-1)</f>
        <v>33860</v>
      </c>
      <c r="E43" s="63">
        <f t="shared" si="1"/>
        <v>111930</v>
      </c>
    </row>
    <row r="44" spans="1:7" x14ac:dyDescent="0.3">
      <c r="A44" s="2">
        <v>5</v>
      </c>
      <c r="C44" s="38" t="s">
        <v>17</v>
      </c>
      <c r="D44" s="42">
        <f>TRUNC(26324,-1)</f>
        <v>26320</v>
      </c>
      <c r="E44" s="63">
        <f t="shared" si="1"/>
        <v>87000</v>
      </c>
    </row>
    <row r="45" spans="1:7" x14ac:dyDescent="0.3">
      <c r="A45" s="2">
        <v>6</v>
      </c>
      <c r="C45" s="38" t="s">
        <v>18</v>
      </c>
      <c r="D45" s="42">
        <f>TRUNC(6784,-1)</f>
        <v>6780</v>
      </c>
      <c r="E45" s="63">
        <f t="shared" si="1"/>
        <v>22410</v>
      </c>
    </row>
    <row r="46" spans="1:7" x14ac:dyDescent="0.3">
      <c r="A46" s="2">
        <v>7</v>
      </c>
      <c r="C46" s="38" t="s">
        <v>19</v>
      </c>
      <c r="D46" s="42">
        <f>TRUNC(57255,-1)</f>
        <v>57250</v>
      </c>
      <c r="E46" s="63">
        <f t="shared" si="1"/>
        <v>189250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TRUNC(61125,-1)</f>
        <v>61120</v>
      </c>
      <c r="E48" s="63">
        <f t="shared" si="1"/>
        <v>202050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TRUNC(25491,-1)</f>
        <v>25490</v>
      </c>
      <c r="E49" s="63">
        <f t="shared" si="1"/>
        <v>84260</v>
      </c>
    </row>
    <row r="50" spans="1:7" x14ac:dyDescent="0.3">
      <c r="A50" s="2">
        <v>11</v>
      </c>
      <c r="C50" s="38" t="s">
        <v>156</v>
      </c>
      <c r="D50" s="42">
        <f>TRUNC(66525,-1)</f>
        <v>66520</v>
      </c>
      <c r="E50" s="63">
        <f t="shared" si="1"/>
        <v>219900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TRUNC(10307,-1)</f>
        <v>10300</v>
      </c>
      <c r="E52" s="63">
        <f t="shared" si="1"/>
        <v>34040</v>
      </c>
    </row>
    <row r="53" spans="1:7" x14ac:dyDescent="0.3">
      <c r="A53" s="2">
        <v>14</v>
      </c>
      <c r="C53" s="38" t="s">
        <v>25</v>
      </c>
      <c r="D53" s="42">
        <f>TRUNC(109807,-1)</f>
        <v>109800</v>
      </c>
      <c r="E53" s="63">
        <f t="shared" si="1"/>
        <v>362970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TRUNC(33730+7895-629+14066,-1)</f>
        <v>55060</v>
      </c>
      <c r="E58" s="63">
        <f t="shared" si="1"/>
        <v>182010</v>
      </c>
      <c r="F58" s="2" t="s">
        <v>262</v>
      </c>
    </row>
    <row r="59" spans="1:7" ht="17.25" thickBot="1" x14ac:dyDescent="0.35">
      <c r="A59" s="2">
        <v>20</v>
      </c>
      <c r="C59" s="38" t="s">
        <v>149</v>
      </c>
      <c r="D59" s="43">
        <f>TRUNC(347919,-1)</f>
        <v>347910</v>
      </c>
      <c r="E59" s="64">
        <f t="shared" si="1"/>
        <v>1150120</v>
      </c>
    </row>
    <row r="60" spans="1:7" x14ac:dyDescent="0.3">
      <c r="A60" s="2">
        <v>21</v>
      </c>
      <c r="C60" s="27" t="s">
        <v>112</v>
      </c>
      <c r="D60" s="39">
        <f>SUM(D40:D59)</f>
        <v>1042260</v>
      </c>
      <c r="E60" s="39">
        <f>SUM(E40:E59)</f>
        <v>3445440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TRUNC(15092,-1)</f>
        <v>15090</v>
      </c>
      <c r="E63" s="62">
        <f>TRUNC(+D63*3.3058,-1)</f>
        <v>49880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15090</v>
      </c>
      <c r="E66" s="65">
        <f>SUM(E63:E65)</f>
        <v>49880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TRUNC(8821,-1)</f>
        <v>8820</v>
      </c>
      <c r="E69" s="62">
        <f t="shared" ref="E69:E94" si="2">TRUNC(+D69*3.3058,-1)</f>
        <v>29150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TRUNC(1562,-1)</f>
        <v>1560</v>
      </c>
      <c r="E72" s="63">
        <f t="shared" si="2"/>
        <v>5150</v>
      </c>
    </row>
    <row r="73" spans="1:7" x14ac:dyDescent="0.3">
      <c r="A73" s="2">
        <v>5</v>
      </c>
      <c r="C73" s="38" t="s">
        <v>34</v>
      </c>
      <c r="D73" s="42">
        <f>TRUNC(16123,-1)</f>
        <v>16120</v>
      </c>
      <c r="E73" s="63">
        <f t="shared" si="2"/>
        <v>53280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TRUNC(50743,-1)</f>
        <v>50740</v>
      </c>
      <c r="E76" s="63">
        <f t="shared" si="2"/>
        <v>167730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TRUNC(8789,-1)</f>
        <v>8780</v>
      </c>
      <c r="E89" s="63">
        <f t="shared" si="2"/>
        <v>29020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TRUNC(5715,-1)</f>
        <v>5710</v>
      </c>
      <c r="E91" s="63">
        <f t="shared" si="2"/>
        <v>18870</v>
      </c>
    </row>
    <row r="92" spans="1:7" x14ac:dyDescent="0.3">
      <c r="A92" s="2">
        <v>24</v>
      </c>
      <c r="C92" s="38" t="s">
        <v>38</v>
      </c>
      <c r="D92" s="42">
        <f>TRUNC(10162,-1)</f>
        <v>10160</v>
      </c>
      <c r="E92" s="63">
        <f t="shared" si="2"/>
        <v>33580</v>
      </c>
    </row>
    <row r="93" spans="1:7" x14ac:dyDescent="0.3">
      <c r="A93" s="2">
        <v>25</v>
      </c>
      <c r="C93" s="38" t="s">
        <v>149</v>
      </c>
      <c r="D93" s="42">
        <f>TRUNC(88781,-1)</f>
        <v>88780</v>
      </c>
      <c r="E93" s="63">
        <f t="shared" si="2"/>
        <v>293480</v>
      </c>
    </row>
    <row r="94" spans="1:7" ht="17.25" thickBot="1" x14ac:dyDescent="0.35">
      <c r="A94" s="2">
        <v>26</v>
      </c>
      <c r="C94" s="38" t="s">
        <v>47</v>
      </c>
      <c r="D94" s="43">
        <f>TRUNC(885+1419+18218,-1)</f>
        <v>20520</v>
      </c>
      <c r="E94" s="64">
        <f t="shared" si="2"/>
        <v>67830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211190</v>
      </c>
      <c r="E95" s="39">
        <f>SUM(E69:E94)</f>
        <v>698090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v>16080</v>
      </c>
      <c r="E98" s="62">
        <f t="shared" ref="E98:E118" si="3">TRUNC(+D98*3.3058,-1)</f>
        <v>53150</v>
      </c>
    </row>
    <row r="99" spans="1:7" x14ac:dyDescent="0.3">
      <c r="A99" s="2">
        <v>2</v>
      </c>
      <c r="C99" s="38" t="s">
        <v>40</v>
      </c>
      <c r="D99" s="42">
        <f>TRUNC(4781,-1)</f>
        <v>4780</v>
      </c>
      <c r="E99" s="63">
        <f t="shared" si="3"/>
        <v>15800</v>
      </c>
    </row>
    <row r="100" spans="1:7" x14ac:dyDescent="0.3">
      <c r="A100" s="2">
        <v>3</v>
      </c>
      <c r="C100" s="38" t="s">
        <v>41</v>
      </c>
      <c r="D100" s="42">
        <f>TRUNC(26442,-1)</f>
        <v>26440</v>
      </c>
      <c r="E100" s="63">
        <f t="shared" si="3"/>
        <v>87400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TRUNC(11758,-1)</f>
        <v>11750</v>
      </c>
      <c r="E102" s="63">
        <f t="shared" si="3"/>
        <v>38840</v>
      </c>
    </row>
    <row r="103" spans="1:7" x14ac:dyDescent="0.3">
      <c r="A103" s="2">
        <v>6</v>
      </c>
      <c r="C103" s="38" t="s">
        <v>44</v>
      </c>
      <c r="D103" s="42">
        <f>TRUNC(12631,-1)</f>
        <v>12630</v>
      </c>
      <c r="E103" s="63">
        <f t="shared" si="3"/>
        <v>41750</v>
      </c>
    </row>
    <row r="104" spans="1:7" x14ac:dyDescent="0.3">
      <c r="A104" s="2">
        <v>7</v>
      </c>
      <c r="C104" s="38" t="s">
        <v>45</v>
      </c>
      <c r="D104" s="42">
        <f>TRUNC(4258,-1)</f>
        <v>4250</v>
      </c>
      <c r="E104" s="63">
        <f t="shared" si="3"/>
        <v>14040</v>
      </c>
    </row>
    <row r="105" spans="1:7" x14ac:dyDescent="0.3">
      <c r="A105" s="2">
        <v>8</v>
      </c>
      <c r="C105" s="38" t="s">
        <v>46</v>
      </c>
      <c r="D105" s="42">
        <f>TRUNC(13313,-1)</f>
        <v>13310</v>
      </c>
      <c r="E105" s="63">
        <f t="shared" si="3"/>
        <v>44000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TRUNC(5238,-1)</f>
        <v>5230</v>
      </c>
      <c r="E114" s="63">
        <f t="shared" si="3"/>
        <v>17280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2520</v>
      </c>
      <c r="E116" s="63">
        <f t="shared" si="3"/>
        <v>8330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TRUNC(64898,-1)</f>
        <v>64890</v>
      </c>
      <c r="E117" s="63">
        <f t="shared" si="3"/>
        <v>214510</v>
      </c>
    </row>
    <row r="118" spans="1:7" ht="17.25" thickBot="1" x14ac:dyDescent="0.35">
      <c r="A118" s="2">
        <v>21</v>
      </c>
      <c r="C118" s="38" t="s">
        <v>47</v>
      </c>
      <c r="D118" s="43">
        <f>TRUNC(3385,-1)</f>
        <v>3380</v>
      </c>
      <c r="E118" s="64">
        <f t="shared" si="3"/>
        <v>11170</v>
      </c>
    </row>
    <row r="119" spans="1:7" x14ac:dyDescent="0.3">
      <c r="A119" s="2">
        <v>22</v>
      </c>
      <c r="C119" s="27" t="s">
        <v>112</v>
      </c>
      <c r="D119" s="39">
        <f>SUM(D98:D118)</f>
        <v>165260</v>
      </c>
      <c r="E119" s="39">
        <f>SUM(E98:E118)</f>
        <v>546270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TRUNC(2301,-1)</f>
        <v>2300</v>
      </c>
      <c r="E122" s="62">
        <f t="shared" ref="E122:E132" si="4">TRUNC(+D122*3.3058,-1)</f>
        <v>7600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TRUNC(1074,-1)</f>
        <v>1070</v>
      </c>
      <c r="E124" s="63">
        <f t="shared" si="4"/>
        <v>3530</v>
      </c>
    </row>
    <row r="125" spans="1:7" x14ac:dyDescent="0.3">
      <c r="A125" s="2">
        <v>4</v>
      </c>
      <c r="C125" s="38" t="s">
        <v>138</v>
      </c>
      <c r="D125" s="42">
        <f>TRUNC(7817,-1)</f>
        <v>7810</v>
      </c>
      <c r="E125" s="63">
        <f t="shared" si="4"/>
        <v>25810</v>
      </c>
    </row>
    <row r="126" spans="1:7" x14ac:dyDescent="0.3">
      <c r="A126" s="2">
        <v>5</v>
      </c>
      <c r="C126" s="38" t="s">
        <v>53</v>
      </c>
      <c r="D126" s="42">
        <v>2360</v>
      </c>
      <c r="E126" s="63">
        <f t="shared" si="4"/>
        <v>7800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TRUNC(8077,-1)</f>
        <v>8070</v>
      </c>
      <c r="E128" s="63">
        <f t="shared" si="4"/>
        <v>26670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TRUNC(15955,-1)</f>
        <v>15950</v>
      </c>
      <c r="E130" s="63">
        <f t="shared" si="4"/>
        <v>52720</v>
      </c>
    </row>
    <row r="131" spans="1:7" x14ac:dyDescent="0.3">
      <c r="A131" s="2">
        <v>10</v>
      </c>
      <c r="C131" s="38" t="s">
        <v>149</v>
      </c>
      <c r="D131" s="42">
        <f>TRUNC(10676,-1)</f>
        <v>10670</v>
      </c>
      <c r="E131" s="63">
        <f t="shared" si="4"/>
        <v>35270</v>
      </c>
    </row>
    <row r="132" spans="1:7" ht="18" thickBot="1" x14ac:dyDescent="0.35">
      <c r="A132" s="2">
        <v>11</v>
      </c>
      <c r="C132" s="38" t="s">
        <v>47</v>
      </c>
      <c r="D132" s="43">
        <f>TRUNC(2211,-1)</f>
        <v>2210</v>
      </c>
      <c r="E132" s="64">
        <f t="shared" si="4"/>
        <v>7300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50440</v>
      </c>
      <c r="E133" s="39">
        <f>SUM(E122:E132)</f>
        <v>166700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TRUNC(11621+11654,-1)</f>
        <v>23270</v>
      </c>
      <c r="E137" s="63">
        <f t="shared" si="5"/>
        <v>76920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TRUNC(1235,-1)</f>
        <v>1230</v>
      </c>
      <c r="E140" s="63">
        <f t="shared" si="5"/>
        <v>4060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TRUNC(2708,-1)</f>
        <v>2700</v>
      </c>
      <c r="E142" s="63">
        <f t="shared" si="5"/>
        <v>8920</v>
      </c>
    </row>
    <row r="143" spans="1:7" x14ac:dyDescent="0.3">
      <c r="A143" s="2">
        <v>8</v>
      </c>
      <c r="C143" s="38" t="s">
        <v>62</v>
      </c>
      <c r="D143" s="42">
        <f>TRUNC(4554,-1)</f>
        <v>4550</v>
      </c>
      <c r="E143" s="63">
        <f t="shared" si="5"/>
        <v>15040</v>
      </c>
    </row>
    <row r="144" spans="1:7" x14ac:dyDescent="0.3">
      <c r="A144" s="2">
        <v>9</v>
      </c>
      <c r="C144" s="38" t="s">
        <v>63</v>
      </c>
      <c r="D144" s="42">
        <f>TRUNC(10158,-1)</f>
        <v>10150</v>
      </c>
      <c r="E144" s="63">
        <f t="shared" si="5"/>
        <v>33550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41900</v>
      </c>
      <c r="E146" s="39">
        <f>SUM(E136:E145)</f>
        <v>138490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TRUNC(8300+1539,-1)</f>
        <v>9830</v>
      </c>
      <c r="E149" s="62">
        <f>TRUNC(+D149*3.3058,-1)</f>
        <v>32490</v>
      </c>
    </row>
    <row r="150" spans="1:7" x14ac:dyDescent="0.3">
      <c r="A150" s="2">
        <v>2</v>
      </c>
      <c r="C150" s="38" t="s">
        <v>49</v>
      </c>
      <c r="D150" s="42">
        <f>TRUNC(11767,-1)</f>
        <v>11760</v>
      </c>
      <c r="E150" s="63">
        <f>TRUNC(+D150*3.3058,-1)</f>
        <v>38870</v>
      </c>
    </row>
    <row r="151" spans="1:7" x14ac:dyDescent="0.3">
      <c r="A151" s="2">
        <v>3</v>
      </c>
      <c r="C151" s="38" t="s">
        <v>50</v>
      </c>
      <c r="D151" s="42">
        <f>TRUNC(7452,-1)</f>
        <v>7450</v>
      </c>
      <c r="E151" s="63">
        <f>TRUNC(+D151*3.3058,-1)</f>
        <v>24620</v>
      </c>
    </row>
    <row r="152" spans="1:7" x14ac:dyDescent="0.3">
      <c r="A152" s="2">
        <v>4</v>
      </c>
      <c r="C152" s="38" t="s">
        <v>47</v>
      </c>
      <c r="D152" s="42">
        <f>TRUNC(5404+2352,-1)</f>
        <v>7750</v>
      </c>
      <c r="E152" s="63">
        <f>TRUNC(+D152*3.3058,-1)</f>
        <v>25610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36790</v>
      </c>
      <c r="E154" s="39">
        <f>SUM(E149:E153)</f>
        <v>121590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TRUNC(32874,-1)</f>
        <v>32870</v>
      </c>
      <c r="E157" s="62">
        <f>TRUNC(+D157*3.3058,-1)</f>
        <v>108660</v>
      </c>
    </row>
    <row r="158" spans="1:7" x14ac:dyDescent="0.3">
      <c r="A158" s="2">
        <v>2</v>
      </c>
      <c r="C158" s="38" t="s">
        <v>52</v>
      </c>
      <c r="D158" s="42">
        <f>TRUNC(19007,-1)</f>
        <v>19000</v>
      </c>
      <c r="E158" s="63">
        <f>TRUNC(+D158*3.3058,-1)</f>
        <v>62810</v>
      </c>
    </row>
    <row r="159" spans="1:7" x14ac:dyDescent="0.3">
      <c r="A159" s="2">
        <v>3</v>
      </c>
      <c r="C159" s="38" t="s">
        <v>47</v>
      </c>
      <c r="D159" s="42">
        <f>TRUNC(5763+1,-1)</f>
        <v>5760</v>
      </c>
      <c r="E159" s="63">
        <f>TRUNC(+D159*3.3058,-1)</f>
        <v>19040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57630</v>
      </c>
      <c r="E161" s="39">
        <f>SUM(E157:E160)</f>
        <v>190510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2020-12-08T01:21:10Z</dcterms:modified>
</cp:coreProperties>
</file>