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49" i="4"/>
  <c r="E145" i="4"/>
  <c r="E143" i="4"/>
  <c r="E139" i="4"/>
  <c r="E138" i="4"/>
  <c r="E136" i="4"/>
  <c r="E129" i="4"/>
  <c r="E128" i="4"/>
  <c r="E127" i="4"/>
  <c r="E124" i="4"/>
  <c r="E123" i="4"/>
  <c r="E116" i="4"/>
  <c r="E115" i="4"/>
  <c r="E113" i="4"/>
  <c r="E112" i="4"/>
  <c r="E111" i="4"/>
  <c r="E110" i="4"/>
  <c r="E109" i="4"/>
  <c r="E108" i="4"/>
  <c r="E107" i="4"/>
  <c r="E106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65" i="4"/>
  <c r="E64" i="4"/>
  <c r="E57" i="4"/>
  <c r="E56" i="4"/>
  <c r="E55" i="4"/>
  <c r="E54" i="4"/>
  <c r="E52" i="4"/>
  <c r="E51" i="4"/>
  <c r="E47" i="4"/>
  <c r="E44" i="4"/>
  <c r="E37" i="4"/>
  <c r="D158" i="4" l="1"/>
  <c r="E158" i="4" s="1"/>
  <c r="D157" i="4"/>
  <c r="E157" i="4" s="1"/>
  <c r="E161" i="4" s="1"/>
  <c r="D153" i="4"/>
  <c r="E153" i="4" s="1"/>
  <c r="D151" i="4"/>
  <c r="E151" i="4" s="1"/>
  <c r="D150" i="4"/>
  <c r="E150" i="4" s="1"/>
  <c r="D144" i="4"/>
  <c r="E144" i="4" s="1"/>
  <c r="D142" i="4"/>
  <c r="E142" i="4" s="1"/>
  <c r="D141" i="4"/>
  <c r="E141" i="4" s="1"/>
  <c r="D140" i="4"/>
  <c r="E140" i="4" s="1"/>
  <c r="D137" i="4"/>
  <c r="E137" i="4" s="1"/>
  <c r="E146" i="4" s="1"/>
  <c r="D132" i="4"/>
  <c r="E132" i="4" s="1"/>
  <c r="D131" i="4"/>
  <c r="E131" i="4" s="1"/>
  <c r="D130" i="4"/>
  <c r="E130" i="4" s="1"/>
  <c r="D126" i="4"/>
  <c r="E126" i="4" s="1"/>
  <c r="D125" i="4"/>
  <c r="E125" i="4" s="1"/>
  <c r="D122" i="4"/>
  <c r="E122" i="4" s="1"/>
  <c r="D118" i="4"/>
  <c r="E118" i="4" s="1"/>
  <c r="D117" i="4"/>
  <c r="E117" i="4" s="1"/>
  <c r="D114" i="4"/>
  <c r="E114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E100" i="4" s="1"/>
  <c r="D99" i="4"/>
  <c r="E99" i="4" s="1"/>
  <c r="D98" i="4"/>
  <c r="E98" i="4" s="1"/>
  <c r="E119" i="4" s="1"/>
  <c r="D94" i="4"/>
  <c r="E94" i="4" s="1"/>
  <c r="D93" i="4"/>
  <c r="E93" i="4" s="1"/>
  <c r="D92" i="4"/>
  <c r="E92" i="4" s="1"/>
  <c r="D91" i="4"/>
  <c r="E91" i="4" s="1"/>
  <c r="D90" i="4"/>
  <c r="E90" i="4" s="1"/>
  <c r="D89" i="4"/>
  <c r="E89" i="4" s="1"/>
  <c r="D75" i="4"/>
  <c r="E75" i="4" s="1"/>
  <c r="D73" i="4"/>
  <c r="E73" i="4" s="1"/>
  <c r="D72" i="4"/>
  <c r="E72" i="4" s="1"/>
  <c r="D71" i="4"/>
  <c r="E71" i="4" s="1"/>
  <c r="D70" i="4"/>
  <c r="E70" i="4" s="1"/>
  <c r="D69" i="4"/>
  <c r="E69" i="4" s="1"/>
  <c r="E95" i="4" s="1"/>
  <c r="D63" i="4"/>
  <c r="E63" i="4" s="1"/>
  <c r="E66" i="4" s="1"/>
  <c r="D59" i="4"/>
  <c r="E59" i="4" s="1"/>
  <c r="D58" i="4"/>
  <c r="E58" i="4" s="1"/>
  <c r="D53" i="4"/>
  <c r="E53" i="4" s="1"/>
  <c r="D50" i="4"/>
  <c r="E50" i="4" s="1"/>
  <c r="D49" i="4"/>
  <c r="E49" i="4" s="1"/>
  <c r="D48" i="4"/>
  <c r="E48" i="4" s="1"/>
  <c r="D46" i="4"/>
  <c r="E46" i="4" s="1"/>
  <c r="D45" i="4"/>
  <c r="E45" i="4" s="1"/>
  <c r="D43" i="4"/>
  <c r="E43" i="4" s="1"/>
  <c r="D42" i="4"/>
  <c r="E42" i="4" s="1"/>
  <c r="D41" i="4"/>
  <c r="E41" i="4" s="1"/>
  <c r="D40" i="4"/>
  <c r="E40" i="4" s="1"/>
  <c r="D159" i="4"/>
  <c r="E159" i="4" s="1"/>
  <c r="D152" i="4"/>
  <c r="E152" i="4" s="1"/>
  <c r="E154" i="4" l="1"/>
  <c r="E60" i="4"/>
  <c r="E133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<sst xmlns="http://schemas.openxmlformats.org/spreadsheetml/2006/main" count="396" uniqueCount="267">
  <si>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</si>
  <si>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</si>
  <si>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</si>
  <si>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</si>
  <si>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</si>
  <si>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</si>
  <si>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</si>
  <si>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</si>
  <si>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</si>
  <si>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</si>
  <si>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</si>
  <si>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</si>
  <si>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</si>
  <si>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</si>
  <si>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</si>
  <si>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</si>
  <si>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</si>
  <si>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</si>
  <si>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</si>
  <si>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</si>
  <si>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</si>
  <si>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</si>
  <si>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</si>
  <si>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</si>
  <si>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</si>
  <si>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</si>
  <si>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</si>
  <si>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</si>
  <si>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</si>
  <si>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</si>
  <si>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</si>
  <si>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</si>
  <si>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</si>
  <si>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</si>
  <si>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</si>
  <si>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</si>
  <si>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</si>
  <si>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</si>
  <si>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</si>
  <si>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</si>
  <si>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</si>
  <si>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</si>
  <si>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</si>
  <si>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</si>
  <si>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</si>
  <si>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</si>
  <si>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</si>
  <si>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</si>
  <si>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</si>
  <si>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</si>
  <si>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</si>
  <si>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</si>
  <si>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</si>
  <si>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</si>
  <si>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</si>
  <si>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</si>
  <si>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</si>
  <si>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</si>
  <si>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</si>
  <si>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</si>
  <si>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</si>
  <si>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</si>
  <si>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</si>
  <si>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</si>
  <si>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</si>
  <si>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</si>
  <si>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</si>
  <si>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</si>
  <si>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</si>
  <si>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</si>
  <si>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</si>
  <si>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</si>
  <si>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</si>
  <si>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</si>
  <si>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</si>
  <si>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</si>
  <si>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</si>
  <si>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</si>
  <si>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</si>
  <si>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</si>
  <si>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</si>
  <si>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</si>
  <si>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</si>
  <si>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</si>
  <si>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</si>
  <si>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</si>
  <si>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</si>
  <si>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</si>
  <si>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</si>
  <si>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</si>
  <si>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</si>
  <si>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</si>
  <si>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</si>
  <si>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</si>
  <si>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</si>
  <si>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</si>
  <si>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</si>
  <si>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</si>
  <si>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</si>
  <si>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</si>
  <si>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</si>
  <si>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</si>
  <si>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</si>
  <si>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</si>
  <si>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</si>
  <si>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</si>
  <si>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</si>
  <si>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</si>
  <si>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</si>
  <si>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</si>
  <si>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</si>
  <si>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</si>
  <si>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</si>
  <si>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</si>
  <si>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</si>
  <si>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</si>
  <si>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</si>
  <si>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</si>
  <si>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</si>
  <si>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</si>
  <si>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</si>
  <si>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</si>
  <si>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</si>
  <si>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</si>
  <si>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</si>
  <si>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</si>
  <si>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</si>
  <si>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</si>
  <si>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</si>
  <si>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</si>
  <si>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</si>
  <si>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</si>
  <si>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</si>
  <si>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</si>
  <si>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</si>
  <si>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</si>
  <si>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</si>
  <si>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</si>
  <si>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</si>
  <si>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</si>
  <si>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</si>
  <si>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</si>
  <si>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</si>
  <si>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</si>
  <si>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</si>
  <si>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</si>
  <si>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</si>
  <si>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</si>
  <si>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</si>
  <si>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</si>
  <si>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</si>
  <si>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</si>
  <si>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</si>
  <si>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</si>
  <si>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</si>
  <si>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</si>
  <si>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</si>
  <si>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</si>
  <si>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</si>
  <si>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</si>
  <si>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</si>
  <si>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</si>
  <si>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</si>
  <si>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</si>
  <si>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</si>
  <si>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</si>
  <si>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</si>
  <si>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</si>
  <si>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</si>
  <si>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</si>
  <si>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</si>
  <si>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</si>
  <si>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</si>
  <si>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</si>
  <si>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</si>
  <si>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</si>
  <si>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</si>
  <si>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</si>
  <si>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</si>
  <si>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</si>
  <si>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</si>
  <si>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</si>
  <si>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</si>
  <si>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</si>
  <si>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</si>
  <si>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</si>
  <si>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</si>
  <si>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</si>
  <si>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</si>
  <si>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</si>
  <si>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</si>
  <si>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</si>
  <si>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</si>
  <si>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</si>
  <si>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</si>
  <si>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</si>
  <si>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</si>
  <si>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</si>
  <si>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</si>
  <si>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</si>
  <si>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</si>
  <si>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</si>
  <si>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</si>
  <si>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</si>
  <si>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</si>
  <si>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</si>
  <si>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</si>
  <si>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</si>
  <si>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</si>
  <si>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</si>
  <si>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</si>
  <si>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</si>
  <si>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</si>
  <si>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</si>
  <si>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</si>
  <si>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</si>
  <si>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</si>
  <si>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</si>
  <si>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</si>
  <si>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</si>
  <si>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</si>
  <si>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</si>
  <si>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</si>
  <si>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</si>
  <si>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</si>
  <si>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</si>
  <si>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</si>
  <si>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</si>
  <si>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</si>
  <si>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</si>
  <si>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</si>
  <si>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</si>
  <si>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</si>
  <si>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</si>
  <si>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</si>
  <si>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</si>
  <si>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</si>
  <si>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</si>
  <si>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</si>
  <si>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</si>
  <si>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</si>
  <si>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</si>
  <si>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</si>
  <si>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</si>
  <si>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</si>
  <si>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</si>
  <si>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</si>
  <si>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</si>
  <si>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</si>
  <si>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</si>
  <si>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</si>
  <si>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기초공사,골재비및운반비, 작업부산물, 기타공사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</si>
  <si>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</si>
  <si>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</si>
  <si>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토목 사급자재비, 운반비, 기타공사</t>
    <phoneticPr fontId="2" type="noConversion"/>
  </si>
  <si>
    <t>포장공사</t>
    <phoneticPr fontId="2" type="noConversion"/>
  </si>
  <si>
    <t>송악 문화스포츠센터 신축공사</t>
    <phoneticPr fontId="2" type="noConversion"/>
  </si>
  <si>
    <t>운동</t>
  </si>
  <si>
    <t>충청도</t>
  </si>
  <si>
    <t>난방배관공사, 우수처리시설, 바닥난방공사, 기타공사</t>
    <phoneticPr fontId="2" type="noConversion"/>
  </si>
  <si>
    <t>CCTV설비공사</t>
    <phoneticPr fontId="2" type="noConversion"/>
  </si>
  <si>
    <t>펌프실배관공사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</si>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</sst>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6571.63</v>
      </c>
      <c r="D7" s="36">
        <f>+C7/3.3058</f>
        <v>1987.9091294089176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1158710</v>
      </c>
      <c r="E25" s="58">
        <f t="shared" si="0"/>
        <v>3830460</v>
      </c>
    </row>
    <row r="26" spans="1:5" x14ac:dyDescent="0.3">
      <c r="B26" s="2">
        <v>3</v>
      </c>
      <c r="C26" s="35" t="s">
        <v>95</v>
      </c>
      <c r="D26" s="45">
        <f>+D66</f>
        <v>110</v>
      </c>
      <c r="E26" s="58">
        <f t="shared" si="0"/>
        <v>360</v>
      </c>
    </row>
    <row r="27" spans="1:5" x14ac:dyDescent="0.3">
      <c r="B27" s="2">
        <v>4</v>
      </c>
      <c r="C27" s="35" t="s">
        <v>96</v>
      </c>
      <c r="D27" s="45">
        <f>+D95</f>
        <v>399160</v>
      </c>
      <c r="E27" s="58">
        <f t="shared" si="0"/>
        <v>1319540</v>
      </c>
    </row>
    <row r="28" spans="1:5" x14ac:dyDescent="0.3">
      <c r="B28" s="2">
        <v>5</v>
      </c>
      <c r="C28" s="35" t="s">
        <v>97</v>
      </c>
      <c r="D28" s="45">
        <f>+D119</f>
        <v>204660</v>
      </c>
      <c r="E28" s="58">
        <f t="shared" si="0"/>
        <v>676560</v>
      </c>
    </row>
    <row r="29" spans="1:5" x14ac:dyDescent="0.3">
      <c r="B29" s="2">
        <v>6</v>
      </c>
      <c r="C29" s="35" t="s">
        <v>98</v>
      </c>
      <c r="D29" s="45">
        <f>+D133</f>
        <v>67930</v>
      </c>
      <c r="E29" s="58">
        <f t="shared" si="0"/>
        <v>224560</v>
      </c>
    </row>
    <row r="30" spans="1:5" x14ac:dyDescent="0.3">
      <c r="B30" s="2">
        <v>7</v>
      </c>
      <c r="C30" s="35" t="s">
        <v>99</v>
      </c>
      <c r="D30" s="45">
        <f>+D146</f>
        <v>52220</v>
      </c>
      <c r="E30" s="58">
        <f t="shared" si="0"/>
        <v>172620</v>
      </c>
    </row>
    <row r="31" spans="1:5" x14ac:dyDescent="0.3">
      <c r="B31" s="2">
        <v>8</v>
      </c>
      <c r="C31" s="35" t="s">
        <v>100</v>
      </c>
      <c r="D31" s="45">
        <f>+D154</f>
        <v>140480</v>
      </c>
      <c r="E31" s="58">
        <f t="shared" si="0"/>
        <v>464390</v>
      </c>
    </row>
    <row r="32" spans="1:5" x14ac:dyDescent="0.3">
      <c r="B32" s="2">
        <v>9</v>
      </c>
      <c r="C32" s="35" t="s">
        <v>101</v>
      </c>
      <c r="D32" s="45">
        <f>+D161</f>
        <v>45220</v>
      </c>
      <c r="E32" s="58">
        <f t="shared" si="0"/>
        <v>149480</v>
      </c>
    </row>
    <row r="33" spans="1:7" x14ac:dyDescent="0.3">
      <c r="B33" s="2">
        <v>10</v>
      </c>
      <c r="C33" s="35" t="s">
        <v>154</v>
      </c>
      <c r="D33" s="53">
        <f>TRUNC(SUM(D24:D32)*0.275,-1)</f>
        <v>568830</v>
      </c>
      <c r="E33" s="59">
        <f t="shared" si="0"/>
        <v>1880430</v>
      </c>
    </row>
    <row r="34" spans="1:7" x14ac:dyDescent="0.3">
      <c r="C34" s="35" t="s">
        <v>112</v>
      </c>
      <c r="D34" s="44">
        <f>SUM(D24:D33)</f>
        <v>2637320</v>
      </c>
      <c r="E34" s="44">
        <f>SUM(E24:E33)</f>
        <v>8718400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262</v>
      </c>
      <c r="E39" s="66" t="s">
        <v>263</v>
      </c>
      <c r="G39" s="67"/>
    </row>
    <row r="40" spans="1:7" x14ac:dyDescent="0.3">
      <c r="A40" s="2">
        <v>1</v>
      </c>
      <c r="C40" s="38" t="s">
        <v>15</v>
      </c>
      <c r="D40" s="40">
        <f>TRUNC(79033,-1)</f>
        <v>79030</v>
      </c>
      <c r="E40" s="61">
        <f t="shared" ref="E40:E59" si="1">TRUNC(+D40*3.3058,-1)</f>
        <v>261250</v>
      </c>
    </row>
    <row r="41" spans="1:7" x14ac:dyDescent="0.3">
      <c r="A41" s="2">
        <v>2</v>
      </c>
      <c r="C41" s="38" t="s">
        <v>13</v>
      </c>
      <c r="D41" s="42">
        <f>TRUNC(179522,-1)</f>
        <v>179520</v>
      </c>
      <c r="E41" s="62">
        <f t="shared" si="1"/>
        <v>593450</v>
      </c>
    </row>
    <row r="42" spans="1:7" x14ac:dyDescent="0.3">
      <c r="A42" s="2">
        <v>3</v>
      </c>
      <c r="C42" s="38" t="s">
        <v>14</v>
      </c>
      <c r="D42" s="42">
        <f>TRUNC(46782,-1)</f>
        <v>46780</v>
      </c>
      <c r="E42" s="62">
        <f t="shared" si="1"/>
        <v>154640</v>
      </c>
    </row>
    <row r="43" spans="1:7" x14ac:dyDescent="0.3">
      <c r="A43" s="2">
        <v>4</v>
      </c>
      <c r="C43" s="38" t="s">
        <v>16</v>
      </c>
      <c r="D43" s="42">
        <f>TRUNC(15422,-1)</f>
        <v>15420</v>
      </c>
      <c r="E43" s="62">
        <f t="shared" si="1"/>
        <v>50970</v>
      </c>
    </row>
    <row r="44" spans="1:7" x14ac:dyDescent="0.3">
      <c r="A44" s="2">
        <v>5</v>
      </c>
      <c r="C44" s="38" t="s">
        <v>17</v>
      </c>
      <c r="D44" s="42">
        <v>56080</v>
      </c>
      <c r="E44" s="62">
        <f t="shared" si="1"/>
        <v>185380</v>
      </c>
    </row>
    <row r="45" spans="1:7" x14ac:dyDescent="0.3">
      <c r="A45" s="2">
        <v>6</v>
      </c>
      <c r="C45" s="38" t="s">
        <v>18</v>
      </c>
      <c r="D45" s="42">
        <f>TRUNC(39301,-1)</f>
        <v>39300</v>
      </c>
      <c r="E45" s="62">
        <f t="shared" si="1"/>
        <v>129910</v>
      </c>
    </row>
    <row r="46" spans="1:7" x14ac:dyDescent="0.3">
      <c r="A46" s="2">
        <v>7</v>
      </c>
      <c r="C46" s="38" t="s">
        <v>19</v>
      </c>
      <c r="D46" s="42">
        <f>TRUNC(45891,-1)</f>
        <v>45890</v>
      </c>
      <c r="E46" s="62">
        <f t="shared" si="1"/>
        <v>151700</v>
      </c>
    </row>
    <row r="47" spans="1:7" x14ac:dyDescent="0.3">
      <c r="A47" s="2">
        <v>8</v>
      </c>
      <c r="C47" s="38" t="s">
        <v>20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21</v>
      </c>
      <c r="D48" s="42">
        <f>TRUNC(150279,-1)</f>
        <v>150270</v>
      </c>
      <c r="E48" s="62">
        <f t="shared" si="1"/>
        <v>496760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TRUNC(23988,-1)</f>
        <v>23980</v>
      </c>
      <c r="E49" s="62">
        <f t="shared" si="1"/>
        <v>79270</v>
      </c>
    </row>
    <row r="50" spans="1:7" x14ac:dyDescent="0.3">
      <c r="A50" s="2">
        <v>11</v>
      </c>
      <c r="C50" s="38" t="s">
        <v>155</v>
      </c>
      <c r="D50" s="42">
        <f>TRUNC(38709,-1)</f>
        <v>38700</v>
      </c>
      <c r="E50" s="62">
        <f t="shared" si="1"/>
        <v>127930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24</v>
      </c>
      <c r="D52" s="42">
        <v>6150</v>
      </c>
      <c r="E52" s="62">
        <f t="shared" si="1"/>
        <v>20330</v>
      </c>
    </row>
    <row r="53" spans="1:7" x14ac:dyDescent="0.3">
      <c r="A53" s="2">
        <v>14</v>
      </c>
      <c r="C53" s="38" t="s">
        <v>25</v>
      </c>
      <c r="D53" s="42">
        <f>TRUNC(127786,-1)</f>
        <v>127780</v>
      </c>
      <c r="E53" s="62">
        <f t="shared" si="1"/>
        <v>422410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TRUNC(22546+4526-704+35665,-1)</f>
        <v>62030</v>
      </c>
      <c r="E58" s="62">
        <f t="shared" si="1"/>
        <v>205050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TRUNC(287782,-1)</f>
        <v>287780</v>
      </c>
      <c r="E59" s="63">
        <f t="shared" si="1"/>
        <v>951340</v>
      </c>
    </row>
    <row r="60" spans="1:7" x14ac:dyDescent="0.3">
      <c r="A60" s="2">
        <v>21</v>
      </c>
      <c r="C60" s="27" t="s">
        <v>112</v>
      </c>
      <c r="D60" s="39">
        <f>SUM(D40:D59)</f>
        <v>1158710</v>
      </c>
      <c r="E60" s="39">
        <f>SUM(E40:E59)</f>
        <v>3830390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237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TRUNC(115,-1)</f>
        <v>110</v>
      </c>
      <c r="E63" s="61">
        <f>TRUNC(+D63*3.3058,-1)</f>
        <v>360</v>
      </c>
    </row>
    <row r="64" spans="1:7" x14ac:dyDescent="0.3">
      <c r="A64" s="2">
        <v>2</v>
      </c>
      <c r="C64" s="38" t="s">
        <v>29</v>
      </c>
      <c r="D64" s="42">
        <v>0</v>
      </c>
      <c r="E64" s="62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3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110</v>
      </c>
      <c r="E66" s="64">
        <f>SUM(E63:E65)</f>
        <v>360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TRUNC(12273,-1)</f>
        <v>12270</v>
      </c>
      <c r="E69" s="61">
        <f t="shared" ref="E69:E94" si="2">TRUNC(+D69*3.3058,-1)</f>
        <v>40560</v>
      </c>
    </row>
    <row r="70" spans="1:7" ht="16.5" customHeight="1" x14ac:dyDescent="0.3">
      <c r="A70" s="2">
        <v>2</v>
      </c>
      <c r="C70" s="38" t="s">
        <v>31</v>
      </c>
      <c r="D70" s="42">
        <f>TRUNC(148,-1)</f>
        <v>140</v>
      </c>
      <c r="E70" s="62">
        <f t="shared" si="2"/>
        <v>460</v>
      </c>
    </row>
    <row r="71" spans="1:7" x14ac:dyDescent="0.3">
      <c r="A71" s="2">
        <v>3</v>
      </c>
      <c r="C71" s="38" t="s">
        <v>32</v>
      </c>
      <c r="D71" s="42">
        <f>TRUNC(18888,-1)</f>
        <v>18880</v>
      </c>
      <c r="E71" s="62">
        <f t="shared" si="2"/>
        <v>62410</v>
      </c>
    </row>
    <row r="72" spans="1:7" x14ac:dyDescent="0.3">
      <c r="A72" s="2">
        <v>4</v>
      </c>
      <c r="C72" s="38" t="s">
        <v>33</v>
      </c>
      <c r="D72" s="42">
        <f>TRUNC(4514,-1)</f>
        <v>4510</v>
      </c>
      <c r="E72" s="62">
        <f t="shared" si="2"/>
        <v>14900</v>
      </c>
    </row>
    <row r="73" spans="1:7" x14ac:dyDescent="0.3">
      <c r="A73" s="2">
        <v>5</v>
      </c>
      <c r="C73" s="38" t="s">
        <v>34</v>
      </c>
      <c r="D73" s="42">
        <f>TRUNC(8371,-1)</f>
        <v>8370</v>
      </c>
      <c r="E73" s="62">
        <f t="shared" si="2"/>
        <v>27660</v>
      </c>
    </row>
    <row r="74" spans="1:7" x14ac:dyDescent="0.3">
      <c r="A74" s="2">
        <v>6</v>
      </c>
      <c r="C74" s="38" t="s">
        <v>176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TRUNC(172,-1)</f>
        <v>170</v>
      </c>
      <c r="E75" s="62">
        <f t="shared" si="2"/>
        <v>560</v>
      </c>
    </row>
    <row r="76" spans="1:7" x14ac:dyDescent="0.3">
      <c r="A76" s="2">
        <v>8</v>
      </c>
      <c r="C76" s="38" t="s">
        <v>119</v>
      </c>
      <c r="D76" s="42">
        <v>69670</v>
      </c>
      <c r="E76" s="62">
        <f t="shared" si="2"/>
        <v>230310</v>
      </c>
    </row>
    <row r="77" spans="1:7" x14ac:dyDescent="0.3">
      <c r="A77" s="2">
        <v>9</v>
      </c>
      <c r="C77" s="38" t="s">
        <v>152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TRUNC(9513,-1)</f>
        <v>9510</v>
      </c>
      <c r="E89" s="62">
        <f t="shared" si="2"/>
        <v>31430</v>
      </c>
    </row>
    <row r="90" spans="1:7" x14ac:dyDescent="0.3">
      <c r="A90" s="2">
        <v>22</v>
      </c>
      <c r="C90" s="38" t="s">
        <v>36</v>
      </c>
      <c r="D90" s="42">
        <f>TRUNC(4674,-1)</f>
        <v>4670</v>
      </c>
      <c r="E90" s="62">
        <f t="shared" si="2"/>
        <v>15430</v>
      </c>
    </row>
    <row r="91" spans="1:7" x14ac:dyDescent="0.3">
      <c r="A91" s="2">
        <v>23</v>
      </c>
      <c r="C91" s="38" t="s">
        <v>37</v>
      </c>
      <c r="D91" s="42">
        <f>TRUNC(23098,-1)</f>
        <v>23090</v>
      </c>
      <c r="E91" s="62">
        <f t="shared" si="2"/>
        <v>76330</v>
      </c>
    </row>
    <row r="92" spans="1:7" x14ac:dyDescent="0.3">
      <c r="A92" s="2">
        <v>24</v>
      </c>
      <c r="C92" s="38" t="s">
        <v>38</v>
      </c>
      <c r="D92" s="42">
        <f>TRUNC(6265,-1)</f>
        <v>6260</v>
      </c>
      <c r="E92" s="62">
        <f t="shared" si="2"/>
        <v>20690</v>
      </c>
    </row>
    <row r="93" spans="1:7" x14ac:dyDescent="0.3">
      <c r="A93" s="2">
        <v>25</v>
      </c>
      <c r="C93" s="38" t="s">
        <v>148</v>
      </c>
      <c r="D93" s="42">
        <f>TRUNC(224314,-1)</f>
        <v>224310</v>
      </c>
      <c r="E93" s="62">
        <f t="shared" si="2"/>
        <v>741520</v>
      </c>
    </row>
    <row r="94" spans="1:7" ht="17.25" thickBot="1" x14ac:dyDescent="0.35">
      <c r="A94" s="2">
        <v>26</v>
      </c>
      <c r="C94" s="38" t="s">
        <v>47</v>
      </c>
      <c r="D94" s="43">
        <f>TRUNC(10324+4969+852+1168,-1)</f>
        <v>17310</v>
      </c>
      <c r="E94" s="63">
        <f t="shared" si="2"/>
        <v>57220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399160</v>
      </c>
      <c r="E95" s="39">
        <f>SUM(E69:E94)</f>
        <v>1319480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TRUNC(13229,-1)</f>
        <v>13220</v>
      </c>
      <c r="E98" s="61">
        <f t="shared" ref="E98:E118" si="3">TRUNC(+D98*3.3058,-1)</f>
        <v>43700</v>
      </c>
    </row>
    <row r="99" spans="1:7" x14ac:dyDescent="0.3">
      <c r="A99" s="2">
        <v>2</v>
      </c>
      <c r="C99" s="38" t="s">
        <v>40</v>
      </c>
      <c r="D99" s="42">
        <f>TRUNC(2191,-1)</f>
        <v>2190</v>
      </c>
      <c r="E99" s="62">
        <f t="shared" si="3"/>
        <v>7230</v>
      </c>
    </row>
    <row r="100" spans="1:7" x14ac:dyDescent="0.3">
      <c r="A100" s="2">
        <v>3</v>
      </c>
      <c r="C100" s="38" t="s">
        <v>41</v>
      </c>
      <c r="D100" s="42">
        <f>TRUNC(31844,-1)</f>
        <v>31840</v>
      </c>
      <c r="E100" s="62">
        <f t="shared" si="3"/>
        <v>105250</v>
      </c>
    </row>
    <row r="101" spans="1:7" x14ac:dyDescent="0.3">
      <c r="A101" s="2">
        <v>4</v>
      </c>
      <c r="C101" s="38" t="s">
        <v>42</v>
      </c>
      <c r="D101" s="42">
        <f>TRUNC(4763,-1)</f>
        <v>4760</v>
      </c>
      <c r="E101" s="62">
        <f t="shared" si="3"/>
        <v>15730</v>
      </c>
    </row>
    <row r="102" spans="1:7" x14ac:dyDescent="0.3">
      <c r="A102" s="2">
        <v>5</v>
      </c>
      <c r="C102" s="38" t="s">
        <v>43</v>
      </c>
      <c r="D102" s="42">
        <f>TRUNC(8307,-1)</f>
        <v>8300</v>
      </c>
      <c r="E102" s="62">
        <f t="shared" si="3"/>
        <v>27430</v>
      </c>
    </row>
    <row r="103" spans="1:7" x14ac:dyDescent="0.3">
      <c r="A103" s="2">
        <v>6</v>
      </c>
      <c r="C103" s="38" t="s">
        <v>44</v>
      </c>
      <c r="D103" s="42">
        <f>TRUNC(6041,-1)</f>
        <v>6040</v>
      </c>
      <c r="E103" s="62">
        <f t="shared" si="3"/>
        <v>19960</v>
      </c>
    </row>
    <row r="104" spans="1:7" x14ac:dyDescent="0.3">
      <c r="A104" s="2">
        <v>7</v>
      </c>
      <c r="C104" s="38" t="s">
        <v>45</v>
      </c>
      <c r="D104" s="42">
        <f>TRUNC(2884,-1)</f>
        <v>2880</v>
      </c>
      <c r="E104" s="62">
        <f t="shared" si="3"/>
        <v>9520</v>
      </c>
    </row>
    <row r="105" spans="1:7" x14ac:dyDescent="0.3">
      <c r="A105" s="2">
        <v>8</v>
      </c>
      <c r="C105" s="38" t="s">
        <v>46</v>
      </c>
      <c r="D105" s="42">
        <f>TRUNC(4936,-1)</f>
        <v>4930</v>
      </c>
      <c r="E105" s="62">
        <f t="shared" si="3"/>
        <v>16290</v>
      </c>
    </row>
    <row r="106" spans="1:7" x14ac:dyDescent="0.3">
      <c r="A106" s="2">
        <v>9</v>
      </c>
      <c r="C106" s="38" t="s">
        <v>135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TRUNC(13664,-1)</f>
        <v>13660</v>
      </c>
      <c r="E114" s="62">
        <f t="shared" si="3"/>
        <v>45150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2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TRUNC(111296,-1)</f>
        <v>111290</v>
      </c>
      <c r="E117" s="62">
        <f t="shared" si="3"/>
        <v>367900</v>
      </c>
    </row>
    <row r="118" spans="1:7" ht="17.25" thickBot="1" x14ac:dyDescent="0.35">
      <c r="A118" s="2">
        <v>21</v>
      </c>
      <c r="C118" s="38" t="s">
        <v>47</v>
      </c>
      <c r="D118" s="43">
        <f>TRUNC(5555,-1)</f>
        <v>5550</v>
      </c>
      <c r="E118" s="63">
        <f t="shared" si="3"/>
        <v>18340</v>
      </c>
    </row>
    <row r="119" spans="1:7" x14ac:dyDescent="0.3">
      <c r="A119" s="2">
        <v>22</v>
      </c>
      <c r="C119" s="27" t="s">
        <v>112</v>
      </c>
      <c r="D119" s="39">
        <f>SUM(D98:D118)</f>
        <v>204660</v>
      </c>
      <c r="E119" s="39">
        <f>SUM(E98:E118)</f>
        <v>676500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TRUNC(2441,-1)</f>
        <v>2440</v>
      </c>
      <c r="E122" s="61">
        <f t="shared" ref="E122:E132" si="4">TRUNC(+D122*3.3058,-1)</f>
        <v>8060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2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TRUNC(6542,-1)</f>
        <v>6540</v>
      </c>
      <c r="E125" s="62">
        <f t="shared" si="4"/>
        <v>21610</v>
      </c>
    </row>
    <row r="126" spans="1:7" x14ac:dyDescent="0.3">
      <c r="A126" s="2">
        <v>5</v>
      </c>
      <c r="C126" s="38" t="s">
        <v>53</v>
      </c>
      <c r="D126" s="42">
        <f>TRUNC(3094,-1)</f>
        <v>3090</v>
      </c>
      <c r="E126" s="62">
        <f t="shared" si="4"/>
        <v>10210</v>
      </c>
    </row>
    <row r="127" spans="1:7" x14ac:dyDescent="0.3">
      <c r="A127" s="2">
        <v>6</v>
      </c>
      <c r="C127" s="38" t="s">
        <v>56</v>
      </c>
      <c r="D127" s="42">
        <v>0</v>
      </c>
      <c r="E127" s="62">
        <f t="shared" si="4"/>
        <v>0</v>
      </c>
    </row>
    <row r="128" spans="1:7" x14ac:dyDescent="0.3">
      <c r="A128" s="2">
        <v>7</v>
      </c>
      <c r="C128" s="38" t="s">
        <v>46</v>
      </c>
      <c r="D128" s="42">
        <v>3010</v>
      </c>
      <c r="E128" s="62">
        <f t="shared" si="4"/>
        <v>9950</v>
      </c>
    </row>
    <row r="129" spans="1:7" x14ac:dyDescent="0.3">
      <c r="A129" s="2">
        <v>8</v>
      </c>
      <c r="C129" s="38" t="s">
        <v>126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TRUNC(11806,-1)</f>
        <v>11800</v>
      </c>
      <c r="E130" s="62">
        <f t="shared" si="4"/>
        <v>39000</v>
      </c>
    </row>
    <row r="131" spans="1:7" x14ac:dyDescent="0.3">
      <c r="A131" s="2">
        <v>10</v>
      </c>
      <c r="C131" s="38" t="s">
        <v>148</v>
      </c>
      <c r="D131" s="42">
        <f>TRUNC(36494,-1)</f>
        <v>36490</v>
      </c>
      <c r="E131" s="62">
        <f t="shared" si="4"/>
        <v>120620</v>
      </c>
    </row>
    <row r="132" spans="1:7" ht="17.25" thickBot="1" x14ac:dyDescent="0.35">
      <c r="A132" s="2">
        <v>11</v>
      </c>
      <c r="C132" s="38" t="s">
        <v>47</v>
      </c>
      <c r="D132" s="43">
        <f>TRUNC(4569,-1)</f>
        <v>4560</v>
      </c>
      <c r="E132" s="63">
        <f t="shared" si="4"/>
        <v>15070</v>
      </c>
      <c r="F132" s="2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67930</v>
      </c>
      <c r="E133" s="39">
        <f>SUM(E122:E132)</f>
        <v>224520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TRUNC(2447,-1)</f>
        <v>2440</v>
      </c>
      <c r="E137" s="62">
        <f t="shared" si="5"/>
        <v>8060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2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2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TRUNC(3105,-1)</f>
        <v>3100</v>
      </c>
      <c r="E140" s="62">
        <f t="shared" si="5"/>
        <v>10240</v>
      </c>
    </row>
    <row r="141" spans="1:7" x14ac:dyDescent="0.3">
      <c r="A141" s="2">
        <v>6</v>
      </c>
      <c r="C141" s="38" t="s">
        <v>59</v>
      </c>
      <c r="D141" s="42">
        <f>TRUNC(22134,-1)</f>
        <v>22130</v>
      </c>
      <c r="E141" s="62">
        <f t="shared" si="5"/>
        <v>73150</v>
      </c>
    </row>
    <row r="142" spans="1:7" x14ac:dyDescent="0.3">
      <c r="A142" s="2">
        <v>7</v>
      </c>
      <c r="C142" s="38" t="s">
        <v>58</v>
      </c>
      <c r="D142" s="42">
        <f>TRUNC(4809,-1)</f>
        <v>4800</v>
      </c>
      <c r="E142" s="62">
        <f t="shared" si="5"/>
        <v>15860</v>
      </c>
    </row>
    <row r="143" spans="1:7" x14ac:dyDescent="0.3">
      <c r="A143" s="2">
        <v>8</v>
      </c>
      <c r="C143" s="38" t="s">
        <v>62</v>
      </c>
      <c r="D143" s="42">
        <v>4140</v>
      </c>
      <c r="E143" s="62">
        <f t="shared" si="5"/>
        <v>13680</v>
      </c>
    </row>
    <row r="144" spans="1:7" x14ac:dyDescent="0.3">
      <c r="A144" s="2">
        <v>9</v>
      </c>
      <c r="C144" s="38" t="s">
        <v>63</v>
      </c>
      <c r="D144" s="42">
        <f>TRUNC(15618,-1)</f>
        <v>15610</v>
      </c>
      <c r="E144" s="62">
        <f t="shared" si="5"/>
        <v>51600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3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52220</v>
      </c>
      <c r="E146" s="39">
        <f>SUM(E136:E145)</f>
        <v>172590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1">
        <f>TRUNC(+D149*3.3058,-1)</f>
        <v>0</v>
      </c>
      <c r="F149" s="2" t="s">
        <v>232</v>
      </c>
    </row>
    <row r="150" spans="1:7" x14ac:dyDescent="0.3">
      <c r="A150" s="2">
        <v>2</v>
      </c>
      <c r="C150" s="38" t="s">
        <v>49</v>
      </c>
      <c r="D150" s="42">
        <f>TRUNC(13315,-1)</f>
        <v>13310</v>
      </c>
      <c r="E150" s="62">
        <f>TRUNC(+D150*3.3058,-1)</f>
        <v>44000</v>
      </c>
      <c r="F150" s="2" t="s">
        <v>232</v>
      </c>
    </row>
    <row r="151" spans="1:7" x14ac:dyDescent="0.3">
      <c r="A151" s="2">
        <v>3</v>
      </c>
      <c r="C151" s="38" t="s">
        <v>50</v>
      </c>
      <c r="D151" s="42">
        <f>TRUNC(22649,-1)</f>
        <v>22640</v>
      </c>
      <c r="E151" s="62">
        <f>TRUNC(+D151*3.3058,-1)</f>
        <v>74840</v>
      </c>
      <c r="F151" s="2" t="s">
        <v>232</v>
      </c>
    </row>
    <row r="152" spans="1:7" x14ac:dyDescent="0.3">
      <c r="A152" s="2">
        <v>4</v>
      </c>
      <c r="C152" s="38" t="s">
        <v>47</v>
      </c>
      <c r="D152" s="42">
        <f>3946+4042+2622</f>
        <v>10610</v>
      </c>
      <c r="E152" s="62">
        <f>TRUNC(+D152*3.3058,-1)</f>
        <v>35070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f>TRUNC(93927,-1)</f>
        <v>93920</v>
      </c>
      <c r="E153" s="63">
        <f>TRUNC(+D153*3.3058,-1)</f>
        <v>310480</v>
      </c>
      <c r="F153" s="2" t="s">
        <v>232</v>
      </c>
    </row>
    <row r="154" spans="1:7" x14ac:dyDescent="0.3">
      <c r="A154" s="2">
        <v>6</v>
      </c>
      <c r="C154" s="27" t="s">
        <v>112</v>
      </c>
      <c r="D154" s="39">
        <f>SUM(D149:D153)</f>
        <v>140480</v>
      </c>
      <c r="E154" s="39">
        <f>SUM(E149:E153)</f>
        <v>464390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TRUNC(12586,-1)</f>
        <v>12580</v>
      </c>
      <c r="E157" s="61">
        <f>TRUNC(+D157*3.3058,-1)</f>
        <v>41580</v>
      </c>
    </row>
    <row r="158" spans="1:7" x14ac:dyDescent="0.3">
      <c r="A158" s="2">
        <v>2</v>
      </c>
      <c r="C158" s="38" t="s">
        <v>52</v>
      </c>
      <c r="D158" s="42">
        <f>TRUNC(27103,-1)</f>
        <v>27100</v>
      </c>
      <c r="E158" s="62">
        <f>TRUNC(+D158*3.3058,-1)</f>
        <v>89580</v>
      </c>
    </row>
    <row r="159" spans="1:7" x14ac:dyDescent="0.3">
      <c r="A159" s="2">
        <v>3</v>
      </c>
      <c r="C159" s="38" t="s">
        <v>47</v>
      </c>
      <c r="D159" s="42">
        <f>TRUNC(5541,-1)</f>
        <v>5540</v>
      </c>
      <c r="E159" s="62">
        <f>TRUNC(+D159*3.3058,-1)</f>
        <v>18310</v>
      </c>
      <c r="F159" s="2" t="s">
        <v>255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3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45220</v>
      </c>
      <c r="E161" s="39">
        <f>SUM(E157:E160)</f>
        <v>149470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2020-12-07T10:18:34Z</dcterms:modified>
</cp:coreProperties>
</file>