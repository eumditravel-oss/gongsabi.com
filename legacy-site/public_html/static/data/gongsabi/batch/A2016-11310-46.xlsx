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7" i="4"/>
  <c r="D132" i="4"/>
  <c r="D131" i="4"/>
  <c r="D130" i="4"/>
  <c r="D128" i="4"/>
  <c r="D125" i="4"/>
  <c r="D124" i="4"/>
  <c r="D122" i="4"/>
  <c r="D118" i="4"/>
  <c r="D116" i="4"/>
  <c r="D114" i="4"/>
  <c r="D105" i="4"/>
  <c r="D104" i="4"/>
  <c r="D103" i="4"/>
  <c r="D102" i="4"/>
  <c r="D101" i="4"/>
  <c r="D100" i="4"/>
  <c r="D98" i="4"/>
  <c r="D94" i="4"/>
  <c r="D93" i="4"/>
  <c r="D92" i="4"/>
  <c r="D91" i="4"/>
  <c r="D89" i="4"/>
  <c r="D75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<sst xmlns="http://schemas.openxmlformats.org/spreadsheetml/2006/main" count="391" uniqueCount="265">
  <si>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</si>
  <si>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</si>
  <si>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</si>
  <si>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</si>
  <si>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</si>
  <si>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</si>
  <si>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</si>
  <si>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</si>
  <si>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</si>
  <si>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</si>
  <si>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</si>
  <si>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</si>
  <si>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</si>
  <si>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</si>
  <si>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</si>
  <si>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</si>
  <si>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</si>
  <si>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</si>
  <si>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</si>
  <si>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</si>
  <si>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</si>
  <si>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</si>
  <si>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</si>
  <si>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</si>
  <si>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</si>
  <si>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</si>
  <si>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</si>
  <si>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</si>
  <si>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</si>
  <si>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</si>
  <si>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</si>
  <si>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</si>
  <si>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</si>
  <si>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</si>
  <si>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</si>
  <si>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</si>
  <si>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</si>
  <si>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</si>
  <si>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</si>
  <si>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</si>
  <si>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</si>
  <si>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</si>
  <si>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</si>
  <si>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</si>
  <si>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</si>
  <si>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</si>
  <si>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</si>
  <si>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</si>
  <si>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</si>
  <si>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</si>
  <si>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</si>
  <si>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</si>
  <si>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</si>
  <si>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</si>
  <si>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</si>
  <si>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</si>
  <si>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</si>
  <si>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</si>
  <si>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</si>
  <si>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</si>
  <si>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</si>
  <si>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</si>
  <si>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</si>
  <si>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</si>
  <si>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</si>
  <si>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</si>
  <si>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</si>
  <si>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</si>
  <si>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</si>
  <si>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</si>
  <si>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</si>
  <si>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</si>
  <si>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</si>
  <si>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</si>
  <si>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</si>
  <si>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</si>
  <si>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</si>
  <si>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</si>
  <si>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</si>
  <si>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</si>
  <si>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</si>
  <si>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</si>
  <si>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</si>
  <si>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</si>
  <si>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</si>
  <si>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</si>
  <si>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</si>
  <si>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</si>
  <si>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</si>
  <si>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</si>
  <si>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</si>
  <si>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</si>
  <si>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</si>
  <si>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</si>
  <si>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</si>
  <si>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</si>
  <si>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</si>
  <si>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</si>
  <si>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</si>
  <si>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</si>
  <si>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</si>
  <si>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</si>
  <si>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</si>
  <si>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</si>
  <si>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</si>
  <si>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</si>
  <si>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</si>
  <si>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</si>
  <si>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</si>
  <si>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</si>
  <si>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</si>
  <si>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</si>
  <si>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</si>
  <si>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</si>
  <si>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</si>
  <si>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</si>
  <si>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</si>
  <si>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</si>
  <si>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</si>
  <si>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</si>
  <si>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</si>
  <si>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</si>
  <si>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</si>
  <si>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</si>
  <si>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</si>
  <si>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</si>
  <si>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</si>
  <si>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</si>
  <si>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</si>
  <si>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</si>
  <si>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</si>
  <si>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</si>
  <si>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</si>
  <si>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</si>
  <si>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</si>
  <si>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</si>
  <si>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</si>
  <si>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</si>
  <si>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</si>
  <si>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</si>
  <si>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</si>
  <si>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</si>
  <si>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</si>
  <si>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</si>
  <si>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</si>
  <si>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</si>
  <si>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</si>
  <si>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</si>
  <si>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</si>
  <si>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</si>
  <si>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</si>
  <si>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</si>
  <si>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</si>
  <si>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</si>
  <si>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</si>
  <si>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</si>
  <si>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</si>
  <si>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</si>
  <si>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</si>
  <si>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</si>
  <si>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</si>
  <si>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</si>
  <si>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</si>
  <si>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</si>
  <si>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</si>
  <si>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</si>
  <si>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</si>
  <si>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</si>
  <si>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</si>
  <si>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</si>
  <si>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</si>
  <si>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</si>
  <si>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</si>
  <si>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</si>
  <si>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</si>
  <si>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</si>
  <si>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</si>
  <si>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</si>
  <si>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</si>
  <si>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</si>
  <si>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</si>
  <si>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</si>
  <si>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</si>
  <si>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</si>
  <si>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</si>
  <si>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</si>
  <si>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</si>
  <si>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</si>
  <si>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</si>
  <si>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</si>
  <si>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</si>
  <si>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</si>
  <si>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</si>
  <si>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</si>
  <si>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</si>
  <si>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</si>
  <si>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</si>
  <si>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</si>
  <si>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</si>
  <si>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</si>
  <si>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</si>
  <si>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</si>
  <si>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</si>
  <si>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</si>
  <si>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</si>
  <si>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</si>
  <si>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</si>
  <si>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</si>
  <si>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</si>
  <si>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</si>
  <si>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</si>
  <si>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</si>
  <si>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</si>
  <si>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</si>
  <si>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</si>
  <si>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</si>
  <si>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</si>
  <si>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</si>
  <si>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</si>
  <si>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</si>
  <si>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</si>
  <si>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</si>
  <si>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</si>
  <si>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</si>
  <si>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</si>
  <si>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</si>
  <si>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</si>
  <si>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</si>
  <si>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</si>
  <si>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</si>
  <si>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</si>
  <si>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</si>
  <si>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</si>
  <si>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</si>
  <si>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</si>
  <si>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</si>
  <si>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</si>
  <si>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</si>
  <si>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</si>
  <si>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</si>
  <si>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</si>
  <si>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</si>
  <si>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</si>
  <si>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</si>
  <si>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</si>
  <si>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</si>
  <si>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</si>
  <si>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</si>
  <si>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</si>
  <si>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</si>
  <si>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</si>
  <si>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</si>
  <si>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</si>
  <si>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</si>
  <si>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</si>
  <si>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</si>
  <si>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</si>
  <si>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교육연구</t>
  </si>
  <si>
    <t>그린에너지연구관 신축 공사</t>
    <phoneticPr fontId="2" type="noConversion"/>
  </si>
  <si>
    <t>강원도</t>
  </si>
  <si>
    <t>펌프실배관공사, 제연덕트설치공사,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</si>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</sst>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9970.75</v>
      </c>
      <c r="D7" s="36">
        <f>+C7/3.3058</f>
        <v>3016.1383023776393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748120</v>
      </c>
      <c r="E25" s="59">
        <f t="shared" si="0"/>
        <v>2473130</v>
      </c>
    </row>
    <row r="26" spans="1:5" x14ac:dyDescent="0.3">
      <c r="B26" s="2">
        <v>3</v>
      </c>
      <c r="C26" s="35" t="s">
        <v>95</v>
      </c>
      <c r="D26" s="45">
        <f>+D66</f>
        <v>12410</v>
      </c>
      <c r="E26" s="59">
        <f t="shared" si="0"/>
        <v>41020</v>
      </c>
    </row>
    <row r="27" spans="1:5" x14ac:dyDescent="0.3">
      <c r="B27" s="2">
        <v>4</v>
      </c>
      <c r="C27" s="35" t="s">
        <v>96</v>
      </c>
      <c r="D27" s="45">
        <f>+D95</f>
        <v>191010</v>
      </c>
      <c r="E27" s="59">
        <f t="shared" si="0"/>
        <v>631440</v>
      </c>
    </row>
    <row r="28" spans="1:5" x14ac:dyDescent="0.3">
      <c r="B28" s="2">
        <v>5</v>
      </c>
      <c r="C28" s="35" t="s">
        <v>97</v>
      </c>
      <c r="D28" s="45">
        <f>+D119</f>
        <v>235870</v>
      </c>
      <c r="E28" s="59">
        <f t="shared" si="0"/>
        <v>779730</v>
      </c>
    </row>
    <row r="29" spans="1:5" x14ac:dyDescent="0.3">
      <c r="B29" s="2">
        <v>6</v>
      </c>
      <c r="C29" s="35" t="s">
        <v>98</v>
      </c>
      <c r="D29" s="45">
        <f>+D133</f>
        <v>91740</v>
      </c>
      <c r="E29" s="59">
        <f t="shared" si="0"/>
        <v>303270</v>
      </c>
    </row>
    <row r="30" spans="1:5" x14ac:dyDescent="0.3">
      <c r="B30" s="2">
        <v>7</v>
      </c>
      <c r="C30" s="35" t="s">
        <v>99</v>
      </c>
      <c r="D30" s="45">
        <f>+D146</f>
        <v>34440</v>
      </c>
      <c r="E30" s="59">
        <f t="shared" si="0"/>
        <v>113850</v>
      </c>
    </row>
    <row r="31" spans="1:5" x14ac:dyDescent="0.3">
      <c r="B31" s="2">
        <v>8</v>
      </c>
      <c r="C31" s="35" t="s">
        <v>100</v>
      </c>
      <c r="D31" s="45">
        <f>+D154</f>
        <v>87550</v>
      </c>
      <c r="E31" s="59">
        <f t="shared" si="0"/>
        <v>289420</v>
      </c>
    </row>
    <row r="32" spans="1:5" x14ac:dyDescent="0.3">
      <c r="B32" s="2">
        <v>9</v>
      </c>
      <c r="C32" s="35" t="s">
        <v>101</v>
      </c>
      <c r="D32" s="45">
        <f>+D161</f>
        <v>9700</v>
      </c>
      <c r="E32" s="59">
        <f t="shared" si="0"/>
        <v>32060</v>
      </c>
    </row>
    <row r="33" spans="1:7" x14ac:dyDescent="0.3">
      <c r="B33" s="2">
        <v>10</v>
      </c>
      <c r="C33" s="35" t="s">
        <v>155</v>
      </c>
      <c r="D33" s="53">
        <f>TRUNC(SUM(D24:D32)*0.275,-1)</f>
        <v>387980</v>
      </c>
      <c r="E33" s="60">
        <f t="shared" si="0"/>
        <v>1282580</v>
      </c>
    </row>
    <row r="34" spans="1:7" x14ac:dyDescent="0.3">
      <c r="C34" s="35" t="s">
        <v>112</v>
      </c>
      <c r="D34" s="44">
        <f>SUM(D24:D33)</f>
        <v>1798820</v>
      </c>
      <c r="E34" s="44">
        <f>SUM(E24:E33)</f>
        <v>5946500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TRUNC(65416,-1)</f>
        <v>65410</v>
      </c>
      <c r="E40" s="62">
        <f t="shared" ref="E40:E59" si="1">TRUNC(+D40*3.3058,-1)</f>
        <v>216230</v>
      </c>
    </row>
    <row r="41" spans="1:7" x14ac:dyDescent="0.3">
      <c r="A41" s="2">
        <v>2</v>
      </c>
      <c r="C41" s="38" t="s">
        <v>13</v>
      </c>
      <c r="D41" s="42">
        <f>TRUNC(142176,-1)</f>
        <v>142170</v>
      </c>
      <c r="E41" s="63">
        <f t="shared" si="1"/>
        <v>469980</v>
      </c>
    </row>
    <row r="42" spans="1:7" x14ac:dyDescent="0.3">
      <c r="A42" s="2">
        <v>3</v>
      </c>
      <c r="C42" s="38" t="s">
        <v>14</v>
      </c>
      <c r="D42" s="42">
        <f>TRUNC(6745,-1)</f>
        <v>6740</v>
      </c>
      <c r="E42" s="63">
        <f t="shared" si="1"/>
        <v>22280</v>
      </c>
    </row>
    <row r="43" spans="1:7" x14ac:dyDescent="0.3">
      <c r="A43" s="2">
        <v>4</v>
      </c>
      <c r="C43" s="38" t="s">
        <v>16</v>
      </c>
      <c r="D43" s="42">
        <f>TRUNC(22439,-1)</f>
        <v>22430</v>
      </c>
      <c r="E43" s="63">
        <f t="shared" si="1"/>
        <v>74140</v>
      </c>
    </row>
    <row r="44" spans="1:7" x14ac:dyDescent="0.3">
      <c r="A44" s="2">
        <v>5</v>
      </c>
      <c r="C44" s="38" t="s">
        <v>17</v>
      </c>
      <c r="D44" s="42">
        <f>TRUNC(15927,-1)</f>
        <v>15920</v>
      </c>
      <c r="E44" s="63">
        <f t="shared" si="1"/>
        <v>52620</v>
      </c>
    </row>
    <row r="45" spans="1:7" x14ac:dyDescent="0.3">
      <c r="A45" s="2">
        <v>6</v>
      </c>
      <c r="C45" s="38" t="s">
        <v>18</v>
      </c>
      <c r="D45" s="42">
        <f>TRUNC(13185,-1)</f>
        <v>13180</v>
      </c>
      <c r="E45" s="63">
        <f t="shared" si="1"/>
        <v>43570</v>
      </c>
    </row>
    <row r="46" spans="1:7" x14ac:dyDescent="0.3">
      <c r="A46" s="2">
        <v>7</v>
      </c>
      <c r="C46" s="38" t="s">
        <v>19</v>
      </c>
      <c r="D46" s="42">
        <f>TRUNC(90406,-1)</f>
        <v>90400</v>
      </c>
      <c r="E46" s="63">
        <f t="shared" si="1"/>
        <v>298840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TRUNC(24872,-1)</f>
        <v>24870</v>
      </c>
      <c r="E48" s="63">
        <f t="shared" si="1"/>
        <v>82210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TRUNC(22191,-1)</f>
        <v>22190</v>
      </c>
      <c r="E49" s="63">
        <f t="shared" si="1"/>
        <v>73350</v>
      </c>
    </row>
    <row r="50" spans="1:7" x14ac:dyDescent="0.3">
      <c r="A50" s="2">
        <v>11</v>
      </c>
      <c r="C50" s="38" t="s">
        <v>156</v>
      </c>
      <c r="D50" s="42">
        <f>TRUNC(51087,-1)</f>
        <v>51080</v>
      </c>
      <c r="E50" s="63">
        <f t="shared" si="1"/>
        <v>168860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TRUNC(8574,-1)</f>
        <v>8570</v>
      </c>
      <c r="E52" s="63">
        <f t="shared" si="1"/>
        <v>28330</v>
      </c>
    </row>
    <row r="53" spans="1:7" x14ac:dyDescent="0.3">
      <c r="A53" s="2">
        <v>14</v>
      </c>
      <c r="C53" s="38" t="s">
        <v>25</v>
      </c>
      <c r="D53" s="42">
        <f>TRUNC(69593,-1)</f>
        <v>69590</v>
      </c>
      <c r="E53" s="63">
        <f t="shared" si="1"/>
        <v>230050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TRUNC(786+4695-360+10761,-1)</f>
        <v>15880</v>
      </c>
      <c r="E58" s="63">
        <f t="shared" si="1"/>
        <v>52490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TRUNC(199696,-1)</f>
        <v>199690</v>
      </c>
      <c r="E59" s="64">
        <f t="shared" si="1"/>
        <v>660130</v>
      </c>
    </row>
    <row r="60" spans="1:7" x14ac:dyDescent="0.3">
      <c r="A60" s="2">
        <v>21</v>
      </c>
      <c r="C60" s="27" t="s">
        <v>112</v>
      </c>
      <c r="D60" s="39">
        <f>SUM(D40:D59)</f>
        <v>748120</v>
      </c>
      <c r="E60" s="39">
        <f>SUM(E40:E59)</f>
        <v>2473080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TRUNC(12418,-1)</f>
        <v>12410</v>
      </c>
      <c r="E63" s="62">
        <f>TRUNC(+D63*3.3058,-1)</f>
        <v>41020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12410</v>
      </c>
      <c r="E66" s="65">
        <f>SUM(E63:E65)</f>
        <v>41020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TRUNC(8373,-1)</f>
        <v>8370</v>
      </c>
      <c r="E69" s="62">
        <f t="shared" ref="E69:E94" si="2">TRUNC(+D69*3.3058,-1)</f>
        <v>27660</v>
      </c>
    </row>
    <row r="70" spans="1:7" ht="16.5" customHeight="1" x14ac:dyDescent="0.3">
      <c r="A70" s="2">
        <v>2</v>
      </c>
      <c r="C70" s="38" t="s">
        <v>31</v>
      </c>
      <c r="D70" s="42">
        <f>TRUNC(2674,-1)</f>
        <v>2670</v>
      </c>
      <c r="E70" s="63">
        <f t="shared" si="2"/>
        <v>8820</v>
      </c>
    </row>
    <row r="71" spans="1:7" x14ac:dyDescent="0.3">
      <c r="A71" s="2">
        <v>3</v>
      </c>
      <c r="C71" s="38" t="s">
        <v>32</v>
      </c>
      <c r="D71" s="42">
        <f>TRUNC(4752,-1)</f>
        <v>4750</v>
      </c>
      <c r="E71" s="63">
        <f t="shared" si="2"/>
        <v>15700</v>
      </c>
    </row>
    <row r="72" spans="1:7" x14ac:dyDescent="0.3">
      <c r="A72" s="2">
        <v>4</v>
      </c>
      <c r="C72" s="38" t="s">
        <v>33</v>
      </c>
      <c r="D72" s="42">
        <f>TRUNC(15823,-1)</f>
        <v>15820</v>
      </c>
      <c r="E72" s="63">
        <f t="shared" si="2"/>
        <v>52290</v>
      </c>
    </row>
    <row r="73" spans="1:7" x14ac:dyDescent="0.3">
      <c r="A73" s="2">
        <v>5</v>
      </c>
      <c r="C73" s="38" t="s">
        <v>34</v>
      </c>
      <c r="D73" s="42">
        <f>TRUNC(15477,-1)</f>
        <v>15470</v>
      </c>
      <c r="E73" s="63">
        <f t="shared" si="2"/>
        <v>51140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TRUNC(928,-1)</f>
        <v>920</v>
      </c>
      <c r="E75" s="63">
        <f t="shared" si="2"/>
        <v>3040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TRUNC(5693,-1)</f>
        <v>5690</v>
      </c>
      <c r="E89" s="63">
        <f t="shared" si="2"/>
        <v>18810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TRUNC(10647,-1)</f>
        <v>10640</v>
      </c>
      <c r="E91" s="63">
        <f t="shared" si="2"/>
        <v>35170</v>
      </c>
    </row>
    <row r="92" spans="1:7" x14ac:dyDescent="0.3">
      <c r="A92" s="2">
        <v>24</v>
      </c>
      <c r="C92" s="38" t="s">
        <v>38</v>
      </c>
      <c r="D92" s="42">
        <f>TRUNC(8359,-1)</f>
        <v>8350</v>
      </c>
      <c r="E92" s="63">
        <f t="shared" si="2"/>
        <v>27600</v>
      </c>
    </row>
    <row r="93" spans="1:7" x14ac:dyDescent="0.3">
      <c r="A93" s="2">
        <v>25</v>
      </c>
      <c r="C93" s="38" t="s">
        <v>149</v>
      </c>
      <c r="D93" s="42">
        <f>TRUNC(110323,-1)</f>
        <v>110320</v>
      </c>
      <c r="E93" s="63">
        <f t="shared" si="2"/>
        <v>364690</v>
      </c>
    </row>
    <row r="94" spans="1:7" ht="17.25" thickBot="1" x14ac:dyDescent="0.35">
      <c r="A94" s="2">
        <v>26</v>
      </c>
      <c r="C94" s="38" t="s">
        <v>47</v>
      </c>
      <c r="D94" s="43">
        <f>TRUNC(8011,-1)</f>
        <v>8010</v>
      </c>
      <c r="E94" s="64">
        <f t="shared" si="2"/>
        <v>26470</v>
      </c>
    </row>
    <row r="95" spans="1:7" x14ac:dyDescent="0.3">
      <c r="A95" s="2">
        <v>27</v>
      </c>
      <c r="C95" s="27" t="s">
        <v>112</v>
      </c>
      <c r="D95" s="39">
        <f>SUM(D69:D94)</f>
        <v>191010</v>
      </c>
      <c r="E95" s="39">
        <f>SUM(E69:E94)</f>
        <v>631390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TRUNC(12299,-1)</f>
        <v>12290</v>
      </c>
      <c r="E98" s="62">
        <f t="shared" ref="E98:E118" si="3">TRUNC(+D98*3.3058,-1)</f>
        <v>40620</v>
      </c>
    </row>
    <row r="99" spans="1:7" x14ac:dyDescent="0.3">
      <c r="A99" s="2">
        <v>2</v>
      </c>
      <c r="C99" s="38" t="s">
        <v>40</v>
      </c>
      <c r="D99" s="42">
        <v>5250</v>
      </c>
      <c r="E99" s="63">
        <f t="shared" si="3"/>
        <v>17350</v>
      </c>
    </row>
    <row r="100" spans="1:7" x14ac:dyDescent="0.3">
      <c r="A100" s="2">
        <v>3</v>
      </c>
      <c r="C100" s="38" t="s">
        <v>41</v>
      </c>
      <c r="D100" s="42">
        <f>TRUNC(24292,-1)</f>
        <v>24290</v>
      </c>
      <c r="E100" s="63">
        <f t="shared" si="3"/>
        <v>80290</v>
      </c>
    </row>
    <row r="101" spans="1:7" x14ac:dyDescent="0.3">
      <c r="A101" s="2">
        <v>4</v>
      </c>
      <c r="C101" s="38" t="s">
        <v>42</v>
      </c>
      <c r="D101" s="42">
        <f>TRUNC(678,-1)</f>
        <v>670</v>
      </c>
      <c r="E101" s="63">
        <f t="shared" si="3"/>
        <v>2210</v>
      </c>
    </row>
    <row r="102" spans="1:7" x14ac:dyDescent="0.3">
      <c r="A102" s="2">
        <v>5</v>
      </c>
      <c r="C102" s="38" t="s">
        <v>43</v>
      </c>
      <c r="D102" s="42">
        <f>TRUNC(13229,-1)</f>
        <v>13220</v>
      </c>
      <c r="E102" s="63">
        <f t="shared" si="3"/>
        <v>43700</v>
      </c>
    </row>
    <row r="103" spans="1:7" x14ac:dyDescent="0.3">
      <c r="A103" s="2">
        <v>6</v>
      </c>
      <c r="C103" s="38" t="s">
        <v>44</v>
      </c>
      <c r="D103" s="42">
        <f>TRUNC(6817,-1)</f>
        <v>6810</v>
      </c>
      <c r="E103" s="63">
        <f t="shared" si="3"/>
        <v>22510</v>
      </c>
    </row>
    <row r="104" spans="1:7" x14ac:dyDescent="0.3">
      <c r="A104" s="2">
        <v>7</v>
      </c>
      <c r="C104" s="38" t="s">
        <v>45</v>
      </c>
      <c r="D104" s="42">
        <f>TRUNC(1873,-1)</f>
        <v>1870</v>
      </c>
      <c r="E104" s="63">
        <f t="shared" si="3"/>
        <v>6180</v>
      </c>
    </row>
    <row r="105" spans="1:7" x14ac:dyDescent="0.3">
      <c r="A105" s="2">
        <v>8</v>
      </c>
      <c r="C105" s="38" t="s">
        <v>46</v>
      </c>
      <c r="D105" s="42">
        <f>TRUNC(9151,-1)</f>
        <v>9150</v>
      </c>
      <c r="E105" s="63">
        <f t="shared" si="3"/>
        <v>30240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TRUNC(1391,-1)</f>
        <v>1390</v>
      </c>
      <c r="E114" s="63">
        <f t="shared" si="3"/>
        <v>4590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TRUNC(5426,-1)</f>
        <v>5420</v>
      </c>
      <c r="E116" s="63">
        <f t="shared" si="3"/>
        <v>17910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v>152290</v>
      </c>
      <c r="E117" s="63">
        <f t="shared" si="3"/>
        <v>503440</v>
      </c>
    </row>
    <row r="118" spans="1:7" ht="17.25" thickBot="1" x14ac:dyDescent="0.35">
      <c r="A118" s="2">
        <v>21</v>
      </c>
      <c r="C118" s="38" t="s">
        <v>47</v>
      </c>
      <c r="D118" s="43">
        <f>TRUNC(3226,-1)</f>
        <v>3220</v>
      </c>
      <c r="E118" s="64">
        <f t="shared" si="3"/>
        <v>10640</v>
      </c>
    </row>
    <row r="119" spans="1:7" x14ac:dyDescent="0.3">
      <c r="A119" s="2">
        <v>22</v>
      </c>
      <c r="C119" s="27" t="s">
        <v>112</v>
      </c>
      <c r="D119" s="39">
        <f>SUM(D98:D118)</f>
        <v>235870</v>
      </c>
      <c r="E119" s="39">
        <f>SUM(E98:E118)</f>
        <v>779680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TRUNC(3756,-1)</f>
        <v>3750</v>
      </c>
      <c r="E122" s="62">
        <f t="shared" ref="E122:E132" si="4">TRUNC(+D122*3.3058,-1)</f>
        <v>12390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TRUNC(3067,-1)</f>
        <v>3060</v>
      </c>
      <c r="E124" s="63">
        <f t="shared" si="4"/>
        <v>10110</v>
      </c>
    </row>
    <row r="125" spans="1:7" x14ac:dyDescent="0.3">
      <c r="A125" s="2">
        <v>4</v>
      </c>
      <c r="C125" s="38" t="s">
        <v>138</v>
      </c>
      <c r="D125" s="42">
        <f>TRUNC(4704,-1)</f>
        <v>4700</v>
      </c>
      <c r="E125" s="63">
        <f t="shared" si="4"/>
        <v>15530</v>
      </c>
    </row>
    <row r="126" spans="1:7" x14ac:dyDescent="0.3">
      <c r="A126" s="2">
        <v>5</v>
      </c>
      <c r="C126" s="38" t="s">
        <v>53</v>
      </c>
      <c r="D126" s="42">
        <v>6020</v>
      </c>
      <c r="E126" s="63">
        <f t="shared" si="4"/>
        <v>19900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TRUNC(4444,-1)</f>
        <v>4440</v>
      </c>
      <c r="E128" s="63">
        <f t="shared" si="4"/>
        <v>14670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TRUNC(11055,-1)</f>
        <v>11050</v>
      </c>
      <c r="E130" s="63">
        <f t="shared" si="4"/>
        <v>36520</v>
      </c>
    </row>
    <row r="131" spans="1:7" x14ac:dyDescent="0.3">
      <c r="A131" s="2">
        <v>10</v>
      </c>
      <c r="C131" s="38" t="s">
        <v>149</v>
      </c>
      <c r="D131" s="42">
        <f>TRUNC(55338,-1)</f>
        <v>55330</v>
      </c>
      <c r="E131" s="63">
        <f t="shared" si="4"/>
        <v>182900</v>
      </c>
    </row>
    <row r="132" spans="1:7" ht="18" thickBot="1" x14ac:dyDescent="0.35">
      <c r="A132" s="2">
        <v>11</v>
      </c>
      <c r="C132" s="38" t="s">
        <v>47</v>
      </c>
      <c r="D132" s="43">
        <f>TRUNC(1847+1545,-1)</f>
        <v>3390</v>
      </c>
      <c r="E132" s="64">
        <f t="shared" si="4"/>
        <v>11200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91740</v>
      </c>
      <c r="E133" s="39">
        <f>SUM(E122:E132)</f>
        <v>303220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TRUNC(1622+2751+261,-1)</f>
        <v>4630</v>
      </c>
      <c r="E137" s="63">
        <f t="shared" si="5"/>
        <v>15300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TRUNC(2535,-1)</f>
        <v>2530</v>
      </c>
      <c r="E140" s="63">
        <f t="shared" si="5"/>
        <v>8360</v>
      </c>
    </row>
    <row r="141" spans="1:7" x14ac:dyDescent="0.3">
      <c r="A141" s="2">
        <v>6</v>
      </c>
      <c r="C141" s="38" t="s">
        <v>59</v>
      </c>
      <c r="D141" s="42">
        <f>TRUNC(2239,-1)</f>
        <v>2230</v>
      </c>
      <c r="E141" s="63">
        <f t="shared" si="5"/>
        <v>7370</v>
      </c>
    </row>
    <row r="142" spans="1:7" x14ac:dyDescent="0.3">
      <c r="A142" s="2">
        <v>7</v>
      </c>
      <c r="C142" s="38" t="s">
        <v>58</v>
      </c>
      <c r="D142" s="42">
        <f>TRUNC(5403,-1)</f>
        <v>5400</v>
      </c>
      <c r="E142" s="63">
        <f t="shared" si="5"/>
        <v>17850</v>
      </c>
    </row>
    <row r="143" spans="1:7" x14ac:dyDescent="0.3">
      <c r="A143" s="2">
        <v>8</v>
      </c>
      <c r="C143" s="38" t="s">
        <v>62</v>
      </c>
      <c r="D143" s="42">
        <f>TRUNC(6782,-1)</f>
        <v>6780</v>
      </c>
      <c r="E143" s="63">
        <f t="shared" si="5"/>
        <v>22410</v>
      </c>
    </row>
    <row r="144" spans="1:7" x14ac:dyDescent="0.3">
      <c r="A144" s="2">
        <v>9</v>
      </c>
      <c r="C144" s="38" t="s">
        <v>63</v>
      </c>
      <c r="D144" s="42">
        <f>TRUNC(12879,-1)</f>
        <v>12870</v>
      </c>
      <c r="E144" s="63">
        <f t="shared" si="5"/>
        <v>42540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34440</v>
      </c>
      <c r="E146" s="39">
        <f>SUM(E136:E145)</f>
        <v>113830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TRUNC(4291+781,-1)</f>
        <v>5070</v>
      </c>
      <c r="E149" s="62">
        <f>TRUNC(+D149*3.3058,-1)</f>
        <v>16760</v>
      </c>
    </row>
    <row r="150" spans="1:7" x14ac:dyDescent="0.3">
      <c r="A150" s="2">
        <v>2</v>
      </c>
      <c r="C150" s="38" t="s">
        <v>49</v>
      </c>
      <c r="D150" s="42">
        <f>TRUNC(2669,-1)</f>
        <v>2660</v>
      </c>
      <c r="E150" s="63">
        <f>TRUNC(+D150*3.3058,-1)</f>
        <v>8790</v>
      </c>
    </row>
    <row r="151" spans="1:7" x14ac:dyDescent="0.3">
      <c r="A151" s="2">
        <v>3</v>
      </c>
      <c r="C151" s="38" t="s">
        <v>50</v>
      </c>
      <c r="D151" s="42">
        <f>TRUNC(78541,-1)</f>
        <v>78540</v>
      </c>
      <c r="E151" s="63">
        <f>TRUNC(+D151*3.3058,-1)</f>
        <v>259630</v>
      </c>
    </row>
    <row r="152" spans="1:7" x14ac:dyDescent="0.3">
      <c r="A152" s="2">
        <v>4</v>
      </c>
      <c r="C152" s="38" t="s">
        <v>47</v>
      </c>
      <c r="D152" s="42">
        <f>TRUNC(1282,-1)</f>
        <v>1280</v>
      </c>
      <c r="E152" s="63">
        <f>TRUNC(+D152*3.3058,-1)</f>
        <v>4230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87550</v>
      </c>
      <c r="E154" s="39">
        <f>SUM(E149:E153)</f>
        <v>289410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TRUNC(4905,-1)</f>
        <v>4900</v>
      </c>
      <c r="E157" s="62">
        <f>TRUNC(+D157*3.3058,-1)</f>
        <v>16190</v>
      </c>
    </row>
    <row r="158" spans="1:7" x14ac:dyDescent="0.3">
      <c r="A158" s="2">
        <v>2</v>
      </c>
      <c r="C158" s="38" t="s">
        <v>52</v>
      </c>
      <c r="D158" s="42">
        <f>TRUNC(1733,-1)</f>
        <v>1730</v>
      </c>
      <c r="E158" s="63">
        <f>TRUNC(+D158*3.3058,-1)</f>
        <v>5710</v>
      </c>
    </row>
    <row r="159" spans="1:7" x14ac:dyDescent="0.3">
      <c r="A159" s="2">
        <v>3</v>
      </c>
      <c r="C159" s="38" t="s">
        <v>47</v>
      </c>
      <c r="D159" s="42">
        <f>TRUNC(3071,-1)</f>
        <v>3070</v>
      </c>
      <c r="E159" s="63">
        <f>TRUNC(+D159*3.3058,-1)</f>
        <v>10140</v>
      </c>
      <c r="F159" s="2" t="s">
        <v>261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9700</v>
      </c>
      <c r="E161" s="39">
        <f>SUM(E157:E160)</f>
        <v>32040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2020-12-08T01:24:27Z</dcterms:modified>
</cp:coreProperties>
</file>