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39" i="4"/>
  <c r="E136" i="4"/>
  <c r="E130" i="4"/>
  <c r="E129" i="4"/>
  <c r="E128" i="4"/>
  <c r="E123" i="4"/>
  <c r="E118" i="4"/>
  <c r="E115" i="4"/>
  <c r="E113" i="4"/>
  <c r="E112" i="4"/>
  <c r="E111" i="4"/>
  <c r="E110" i="4"/>
  <c r="E109" i="4"/>
  <c r="E108" i="4"/>
  <c r="E107" i="4"/>
  <c r="E106" i="4"/>
  <c r="E105" i="4"/>
  <c r="E101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D153" i="4"/>
  <c r="E153" i="4" s="1"/>
  <c r="D152" i="4"/>
  <c r="E152" i="4" s="1"/>
  <c r="D150" i="4"/>
  <c r="E150" i="4" s="1"/>
  <c r="D149" i="4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D132" i="4"/>
  <c r="E132" i="4" s="1"/>
  <c r="D131" i="4"/>
  <c r="E131" i="4" s="1"/>
  <c r="D127" i="4"/>
  <c r="E127" i="4" s="1"/>
  <c r="D126" i="4"/>
  <c r="E126" i="4" s="1"/>
  <c r="D125" i="4"/>
  <c r="E125" i="4" s="1"/>
  <c r="D124" i="4"/>
  <c r="D122" i="4"/>
  <c r="E122" i="4" s="1"/>
  <c r="D117" i="4"/>
  <c r="E117" i="4" s="1"/>
  <c r="D116" i="4"/>
  <c r="E116" i="4" s="1"/>
  <c r="D114" i="4"/>
  <c r="E114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89" i="4"/>
  <c r="E89" i="4" s="1"/>
  <c r="D84" i="4"/>
  <c r="E84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D95" i="4" l="1"/>
  <c r="D27" i="4" s="1"/>
  <c r="E27" i="4" s="1"/>
  <c r="E69" i="4"/>
  <c r="E95" i="4" s="1"/>
  <c r="E60" i="4"/>
  <c r="D66" i="4"/>
  <c r="D26" i="4" s="1"/>
  <c r="E26" i="4" s="1"/>
  <c r="E63" i="4"/>
  <c r="E66" i="4" s="1"/>
  <c r="E133" i="4"/>
  <c r="D161" i="4"/>
  <c r="D32" i="4" s="1"/>
  <c r="E32" i="4" s="1"/>
  <c r="D60" i="4"/>
  <c r="D25" i="4" s="1"/>
  <c r="E25" i="4" s="1"/>
  <c r="E41" i="4"/>
  <c r="D133" i="4"/>
  <c r="D29" i="4" s="1"/>
  <c r="E29" i="4" s="1"/>
  <c r="E124" i="4"/>
  <c r="D119" i="4"/>
  <c r="D28" i="4" s="1"/>
  <c r="E28" i="4" s="1"/>
  <c r="E98" i="4"/>
  <c r="E119" i="4" s="1"/>
  <c r="D146" i="4"/>
  <c r="D30" i="4" s="1"/>
  <c r="E30" i="4" s="1"/>
  <c r="E137" i="4"/>
  <c r="E146" i="4" s="1"/>
  <c r="D154" i="4"/>
  <c r="D31" i="4" s="1"/>
  <c r="E31" i="4" s="1"/>
  <c r="E149" i="4"/>
  <c r="E154" i="4" s="1"/>
  <c r="E161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<sst xmlns="http://schemas.openxmlformats.org/spreadsheetml/2006/main" count="395" uniqueCount="268">
  <si>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</si>
  <si>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</si>
  <si>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</si>
  <si>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</si>
  <si>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</si>
  <si>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</si>
  <si>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</si>
  <si>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</si>
  <si>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</si>
  <si>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</si>
  <si>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</si>
  <si>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</si>
  <si>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</si>
  <si>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</si>
  <si>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</si>
  <si>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</si>
  <si>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</si>
  <si>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</si>
  <si>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</si>
  <si>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</si>
  <si>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</si>
  <si>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</si>
  <si>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</si>
  <si>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</si>
  <si>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</si>
  <si>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</si>
  <si>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</si>
  <si>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</si>
  <si>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</si>
  <si>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</si>
  <si>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</si>
  <si>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</si>
  <si>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</si>
  <si>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</si>
  <si>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</si>
  <si>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</si>
  <si>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</si>
  <si>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</si>
  <si>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</si>
  <si>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</si>
  <si>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</si>
  <si>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</si>
  <si>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</si>
  <si>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</si>
  <si>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</si>
  <si>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</si>
  <si>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</si>
  <si>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</si>
  <si>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</si>
  <si>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</si>
  <si>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</si>
  <si>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</si>
  <si>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</si>
  <si>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</si>
  <si>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</si>
  <si>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</si>
  <si>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</si>
  <si>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</si>
  <si>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</si>
  <si>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</si>
  <si>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</si>
  <si>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</si>
  <si>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</si>
  <si>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</si>
  <si>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</si>
  <si>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</si>
  <si>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</si>
  <si>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</si>
  <si>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</si>
  <si>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</si>
  <si>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</si>
  <si>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</si>
  <si>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</si>
  <si>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</si>
  <si>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</si>
  <si>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</si>
  <si>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</si>
  <si>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</si>
  <si>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</si>
  <si>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</si>
  <si>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</si>
  <si>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</si>
  <si>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</si>
  <si>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</si>
  <si>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</si>
  <si>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</si>
  <si>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</si>
  <si>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</si>
  <si>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</si>
  <si>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</si>
  <si>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</si>
  <si>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</si>
  <si>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</si>
  <si>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</si>
  <si>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</si>
  <si>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</si>
  <si>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</si>
  <si>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</si>
  <si>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</si>
  <si>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</si>
  <si>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</si>
  <si>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</si>
  <si>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</si>
  <si>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</si>
  <si>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</si>
  <si>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</si>
  <si>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</si>
  <si>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</si>
  <si>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</si>
  <si>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</si>
  <si>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</si>
  <si>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</si>
  <si>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</si>
  <si>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</si>
  <si>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</si>
  <si>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</si>
  <si>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</si>
  <si>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</si>
  <si>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</si>
  <si>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</si>
  <si>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</si>
  <si>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</si>
  <si>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</si>
  <si>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</si>
  <si>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</si>
  <si>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</si>
  <si>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</si>
  <si>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</si>
  <si>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</si>
  <si>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</si>
  <si>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</si>
  <si>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</si>
  <si>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</si>
  <si>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</si>
  <si>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</si>
  <si>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</si>
  <si>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</si>
  <si>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</si>
  <si>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</si>
  <si>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</si>
  <si>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</si>
  <si>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</si>
  <si>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</si>
  <si>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</si>
  <si>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</si>
  <si>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</si>
  <si>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</si>
  <si>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</si>
  <si>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</si>
  <si>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</si>
  <si>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</si>
  <si>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</si>
  <si>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</si>
  <si>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</si>
  <si>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</si>
  <si>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</si>
  <si>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</si>
  <si>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</si>
  <si>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</si>
  <si>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</si>
  <si>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</si>
  <si>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</si>
  <si>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</si>
  <si>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</si>
  <si>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</si>
  <si>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</si>
  <si>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</si>
  <si>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</si>
  <si>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</si>
  <si>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</si>
  <si>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</si>
  <si>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</si>
  <si>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</si>
  <si>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</si>
  <si>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</si>
  <si>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</si>
  <si>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</si>
  <si>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</si>
  <si>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</si>
  <si>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</si>
  <si>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</si>
  <si>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</si>
  <si>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</si>
  <si>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</si>
  <si>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</si>
  <si>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</si>
  <si>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</si>
  <si>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</si>
  <si>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</si>
  <si>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</si>
  <si>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</si>
  <si>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</si>
  <si>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</si>
  <si>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</si>
  <si>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</si>
  <si>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</si>
  <si>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</si>
  <si>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</si>
  <si>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</si>
  <si>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</si>
  <si>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</si>
  <si>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</si>
  <si>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</si>
  <si>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</si>
  <si>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</si>
  <si>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</si>
  <si>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</si>
  <si>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</si>
  <si>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</si>
  <si>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</si>
  <si>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</si>
  <si>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</si>
  <si>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</si>
  <si>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</si>
  <si>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</si>
  <si>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</si>
  <si>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</si>
  <si>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</si>
  <si>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</si>
  <si>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</si>
  <si>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</si>
  <si>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</si>
  <si>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</si>
  <si>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</si>
  <si>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</si>
  <si>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</si>
  <si>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</si>
  <si>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</si>
  <si>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</si>
  <si>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</si>
  <si>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</si>
  <si>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</si>
  <si>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</si>
  <si>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</si>
  <si>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</si>
  <si>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</si>
  <si>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</si>
  <si>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</si>
  <si>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</si>
  <si>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</si>
  <si>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</si>
  <si>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</si>
  <si>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</si>
  <si>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</si>
  <si>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</si>
  <si>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</si>
  <si>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한국인터넷진흥원 지방이전 청사 신축공사</t>
  </si>
  <si>
    <t>업무</t>
  </si>
  <si>
    <t>전라도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</si>
  <si>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</si>
  <si>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</si>
  <si>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</si>
  <si>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</si>
  <si>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</si>
  <si>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기초공사,골재비및운반비,품질시험비</t>
    <phoneticPr fontId="2" type="noConversion"/>
  </si>
  <si>
    <t>공조배관공사,우수처리시설공사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</si>
  <si>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</si>
  <si>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</si>
  <si>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CCTV설비공사,주차관제설비공사</t>
    <phoneticPr fontId="2" type="noConversion"/>
  </si>
  <si>
    <t>옥외소화배관공사,펌프실배관공사,제연덕트설치공사,기타공사</t>
    <phoneticPr fontId="2" type="noConversion"/>
  </si>
  <si>
    <t xml:space="preserve">토목 </t>
    <phoneticPr fontId="2" type="noConversion"/>
  </si>
  <si>
    <t>토목 상수도공사, 토목 사급자재비, 토목 운반비,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</si>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</sst>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16656.46</v>
      </c>
      <c r="D7" s="36">
        <f>+C7/3.3058</f>
        <v>5038.5564764958553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787900</v>
      </c>
      <c r="E25" s="60">
        <f t="shared" si="0"/>
        <v>2604630</v>
      </c>
    </row>
    <row r="26" spans="1:5" x14ac:dyDescent="0.3">
      <c r="B26" s="2">
        <v>3</v>
      </c>
      <c r="C26" s="35" t="s">
        <v>95</v>
      </c>
      <c r="D26" s="45">
        <f>+D66</f>
        <v>9870</v>
      </c>
      <c r="E26" s="60">
        <f t="shared" si="0"/>
        <v>32620</v>
      </c>
    </row>
    <row r="27" spans="1:5" x14ac:dyDescent="0.3">
      <c r="B27" s="2">
        <v>4</v>
      </c>
      <c r="C27" s="35" t="s">
        <v>96</v>
      </c>
      <c r="D27" s="45">
        <f>+D95</f>
        <v>362230</v>
      </c>
      <c r="E27" s="60">
        <f t="shared" si="0"/>
        <v>1197450</v>
      </c>
    </row>
    <row r="28" spans="1:5" x14ac:dyDescent="0.3">
      <c r="B28" s="2">
        <v>5</v>
      </c>
      <c r="C28" s="35" t="s">
        <v>97</v>
      </c>
      <c r="D28" s="45">
        <f>+D119</f>
        <v>206390</v>
      </c>
      <c r="E28" s="60">
        <f t="shared" si="0"/>
        <v>682280</v>
      </c>
    </row>
    <row r="29" spans="1:5" x14ac:dyDescent="0.3">
      <c r="B29" s="2">
        <v>6</v>
      </c>
      <c r="C29" s="35" t="s">
        <v>98</v>
      </c>
      <c r="D29" s="45">
        <f>+D133</f>
        <v>125540</v>
      </c>
      <c r="E29" s="60">
        <f t="shared" si="0"/>
        <v>415010</v>
      </c>
    </row>
    <row r="30" spans="1:5" x14ac:dyDescent="0.3">
      <c r="B30" s="2">
        <v>7</v>
      </c>
      <c r="C30" s="35" t="s">
        <v>99</v>
      </c>
      <c r="D30" s="45">
        <f>+D146</f>
        <v>69870</v>
      </c>
      <c r="E30" s="60">
        <f t="shared" si="0"/>
        <v>230970</v>
      </c>
    </row>
    <row r="31" spans="1:5" x14ac:dyDescent="0.3">
      <c r="B31" s="2">
        <v>8</v>
      </c>
      <c r="C31" s="35" t="s">
        <v>100</v>
      </c>
      <c r="D31" s="45">
        <f>+D154</f>
        <v>38970</v>
      </c>
      <c r="E31" s="60">
        <f t="shared" si="0"/>
        <v>128820</v>
      </c>
    </row>
    <row r="32" spans="1:5" x14ac:dyDescent="0.3">
      <c r="B32" s="2">
        <v>9</v>
      </c>
      <c r="C32" s="35" t="s">
        <v>101</v>
      </c>
      <c r="D32" s="45">
        <f>+D161</f>
        <v>44070</v>
      </c>
      <c r="E32" s="60">
        <f t="shared" si="0"/>
        <v>145680</v>
      </c>
    </row>
    <row r="33" spans="1:7" x14ac:dyDescent="0.3">
      <c r="B33" s="2">
        <v>10</v>
      </c>
      <c r="C33" s="35" t="s">
        <v>154</v>
      </c>
      <c r="D33" s="53">
        <f>TRUNC(SUM(D24:D32)*0.275,-1)</f>
        <v>452330</v>
      </c>
      <c r="E33" s="61">
        <f t="shared" si="0"/>
        <v>1495310</v>
      </c>
    </row>
    <row r="34" spans="1:7" x14ac:dyDescent="0.3">
      <c r="C34" s="35" t="s">
        <v>112</v>
      </c>
      <c r="D34" s="44">
        <f>SUM(D24:D33)</f>
        <v>2097170</v>
      </c>
      <c r="E34" s="44">
        <f>SUM(E24:E33)</f>
        <v>6932770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TRUNC(54757,-1)</f>
        <v>54750</v>
      </c>
      <c r="E40" s="63">
        <f t="shared" ref="E40:E59" si="1">TRUNC(+D40*3.3058,-1)</f>
        <v>180990</v>
      </c>
    </row>
    <row r="41" spans="1:7" x14ac:dyDescent="0.3">
      <c r="A41" s="2">
        <v>2</v>
      </c>
      <c r="C41" s="38" t="s">
        <v>13</v>
      </c>
      <c r="D41" s="42">
        <f>TRUNC(83456,-1)</f>
        <v>83450</v>
      </c>
      <c r="E41" s="64">
        <f t="shared" si="1"/>
        <v>275860</v>
      </c>
    </row>
    <row r="42" spans="1:7" x14ac:dyDescent="0.3">
      <c r="A42" s="2">
        <v>3</v>
      </c>
      <c r="C42" s="38" t="s">
        <v>14</v>
      </c>
      <c r="D42" s="42">
        <f>TRUNC(13820,-1)</f>
        <v>13820</v>
      </c>
      <c r="E42" s="64">
        <f t="shared" si="1"/>
        <v>45680</v>
      </c>
    </row>
    <row r="43" spans="1:7" x14ac:dyDescent="0.3">
      <c r="A43" s="2">
        <v>4</v>
      </c>
      <c r="C43" s="38" t="s">
        <v>16</v>
      </c>
      <c r="D43" s="42">
        <f>TRUNC(22137,-1)</f>
        <v>22130</v>
      </c>
      <c r="E43" s="64">
        <f t="shared" si="1"/>
        <v>73150</v>
      </c>
    </row>
    <row r="44" spans="1:7" x14ac:dyDescent="0.3">
      <c r="A44" s="2">
        <v>5</v>
      </c>
      <c r="C44" s="38" t="s">
        <v>17</v>
      </c>
      <c r="D44" s="42">
        <f>TRUNC(16910,-1)</f>
        <v>16910</v>
      </c>
      <c r="E44" s="64">
        <f t="shared" si="1"/>
        <v>55900</v>
      </c>
    </row>
    <row r="45" spans="1:7" x14ac:dyDescent="0.3">
      <c r="A45" s="2">
        <v>6</v>
      </c>
      <c r="C45" s="38" t="s">
        <v>18</v>
      </c>
      <c r="D45" s="42">
        <f>TRUNC(9864,-1)</f>
        <v>9860</v>
      </c>
      <c r="E45" s="64">
        <f t="shared" si="1"/>
        <v>32590</v>
      </c>
    </row>
    <row r="46" spans="1:7" x14ac:dyDescent="0.3">
      <c r="A46" s="2">
        <v>7</v>
      </c>
      <c r="C46" s="38" t="s">
        <v>19</v>
      </c>
      <c r="D46" s="42">
        <f>TRUNC(3773,-1)</f>
        <v>3770</v>
      </c>
      <c r="E46" s="64">
        <f t="shared" si="1"/>
        <v>12460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TRUNC(86498,-1)</f>
        <v>86490</v>
      </c>
      <c r="E48" s="64">
        <f t="shared" si="1"/>
        <v>285910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TRUNC(11649,-1)</f>
        <v>11640</v>
      </c>
      <c r="E49" s="64">
        <f t="shared" si="1"/>
        <v>38470</v>
      </c>
    </row>
    <row r="50" spans="1:7" x14ac:dyDescent="0.3">
      <c r="A50" s="2">
        <v>11</v>
      </c>
      <c r="C50" s="38" t="s">
        <v>155</v>
      </c>
      <c r="D50" s="42">
        <f>TRUNC(53734,-1)</f>
        <v>53730</v>
      </c>
      <c r="E50" s="64">
        <f t="shared" si="1"/>
        <v>177620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TRUNC(7932,-1)</f>
        <v>7930</v>
      </c>
      <c r="E52" s="64">
        <f t="shared" si="1"/>
        <v>26210</v>
      </c>
    </row>
    <row r="53" spans="1:7" x14ac:dyDescent="0.3">
      <c r="A53" s="2">
        <v>14</v>
      </c>
      <c r="C53" s="38" t="s">
        <v>25</v>
      </c>
      <c r="D53" s="42">
        <f>TRUNC(104564,-1)</f>
        <v>104560</v>
      </c>
      <c r="E53" s="64">
        <f t="shared" si="1"/>
        <v>345650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TRUNC(22767+3207+620,-1)</f>
        <v>26590</v>
      </c>
      <c r="E58" s="64">
        <f t="shared" si="1"/>
        <v>87900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TRUNC(292274,-1)</f>
        <v>292270</v>
      </c>
      <c r="E59" s="65">
        <f t="shared" si="1"/>
        <v>966180</v>
      </c>
    </row>
    <row r="60" spans="1:7" x14ac:dyDescent="0.3">
      <c r="A60" s="2">
        <v>21</v>
      </c>
      <c r="C60" s="27" t="s">
        <v>112</v>
      </c>
      <c r="D60" s="39">
        <f>SUM(D40:D59)</f>
        <v>787900</v>
      </c>
      <c r="E60" s="39">
        <f>SUM(E40:E59)</f>
        <v>2604570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TRUNC(9873,-1)</f>
        <v>9870</v>
      </c>
      <c r="E63" s="63">
        <f>TRUNC(+D63*3.3058,-1)</f>
        <v>32620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9870</v>
      </c>
      <c r="E66" s="57">
        <f>SUM(E63:E65)</f>
        <v>32620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TRUNC(14580,-1)</f>
        <v>14580</v>
      </c>
      <c r="E69" s="63">
        <f t="shared" ref="E69:E94" si="2">TRUNC(+D69*3.3058,-1)</f>
        <v>48190</v>
      </c>
    </row>
    <row r="70" spans="1:7" ht="16.5" customHeight="1" x14ac:dyDescent="0.3">
      <c r="A70" s="2">
        <v>2</v>
      </c>
      <c r="C70" s="38" t="s">
        <v>31</v>
      </c>
      <c r="D70" s="42">
        <f>TRUNC(171,-1)</f>
        <v>170</v>
      </c>
      <c r="E70" s="64">
        <f t="shared" si="2"/>
        <v>560</v>
      </c>
    </row>
    <row r="71" spans="1:7" x14ac:dyDescent="0.3">
      <c r="A71" s="2">
        <v>3</v>
      </c>
      <c r="C71" s="38" t="s">
        <v>32</v>
      </c>
      <c r="D71" s="42">
        <f>TRUNC(23377,-1)</f>
        <v>23370</v>
      </c>
      <c r="E71" s="64">
        <f t="shared" si="2"/>
        <v>77250</v>
      </c>
    </row>
    <row r="72" spans="1:7" x14ac:dyDescent="0.3">
      <c r="A72" s="2">
        <v>4</v>
      </c>
      <c r="C72" s="38" t="s">
        <v>33</v>
      </c>
      <c r="D72" s="42">
        <f>TRUNC(1296,-1)</f>
        <v>1290</v>
      </c>
      <c r="E72" s="64">
        <f t="shared" si="2"/>
        <v>4260</v>
      </c>
    </row>
    <row r="73" spans="1:7" x14ac:dyDescent="0.3">
      <c r="A73" s="2">
        <v>5</v>
      </c>
      <c r="C73" s="38" t="s">
        <v>34</v>
      </c>
      <c r="D73" s="42">
        <f>TRUNC(8391,-1)</f>
        <v>8390</v>
      </c>
      <c r="E73" s="64">
        <f t="shared" si="2"/>
        <v>27730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TRUNC(5445,-1)</f>
        <v>5440</v>
      </c>
      <c r="E75" s="64">
        <f t="shared" si="2"/>
        <v>17980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TRUNC(76,-1)</f>
        <v>70</v>
      </c>
      <c r="E84" s="64">
        <f t="shared" si="2"/>
        <v>230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TRUNC(9885,-1)</f>
        <v>9880</v>
      </c>
      <c r="E89" s="64">
        <f t="shared" si="2"/>
        <v>32660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TRUNC(49832,-1)</f>
        <v>49830</v>
      </c>
      <c r="E91" s="64">
        <f t="shared" si="2"/>
        <v>164720</v>
      </c>
    </row>
    <row r="92" spans="1:7" x14ac:dyDescent="0.3">
      <c r="A92" s="2">
        <v>24</v>
      </c>
      <c r="C92" s="38" t="s">
        <v>38</v>
      </c>
      <c r="D92" s="42">
        <f>TRUNC(4276,-1)</f>
        <v>4270</v>
      </c>
      <c r="E92" s="64">
        <f t="shared" si="2"/>
        <v>14110</v>
      </c>
    </row>
    <row r="93" spans="1:7" x14ac:dyDescent="0.3">
      <c r="A93" s="2">
        <v>25</v>
      </c>
      <c r="C93" s="38" t="s">
        <v>148</v>
      </c>
      <c r="D93" s="42">
        <f>TRUNC(194929,-1)</f>
        <v>194920</v>
      </c>
      <c r="E93" s="64">
        <f t="shared" si="2"/>
        <v>644360</v>
      </c>
    </row>
    <row r="94" spans="1:7" ht="17.25" thickBot="1" x14ac:dyDescent="0.35">
      <c r="A94" s="2">
        <v>26</v>
      </c>
      <c r="C94" s="38" t="s">
        <v>47</v>
      </c>
      <c r="D94" s="43">
        <f>TRUNC(32972+4121+12933,-1)</f>
        <v>50020</v>
      </c>
      <c r="E94" s="65">
        <f t="shared" si="2"/>
        <v>165350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362230</v>
      </c>
      <c r="E95" s="39">
        <f>SUM(E69:E94)</f>
        <v>1197400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TRUNC(11979,-1)</f>
        <v>11970</v>
      </c>
      <c r="E98" s="63">
        <f t="shared" ref="E98:E118" si="3">TRUNC(+D98*3.3058,-1)</f>
        <v>39570</v>
      </c>
    </row>
    <row r="99" spans="1:7" x14ac:dyDescent="0.3">
      <c r="A99" s="2">
        <v>2</v>
      </c>
      <c r="C99" s="38" t="s">
        <v>40</v>
      </c>
      <c r="D99" s="42">
        <f>TRUNC(4048,-1)</f>
        <v>4040</v>
      </c>
      <c r="E99" s="64">
        <f t="shared" si="3"/>
        <v>13350</v>
      </c>
    </row>
    <row r="100" spans="1:7" x14ac:dyDescent="0.3">
      <c r="A100" s="2">
        <v>3</v>
      </c>
      <c r="C100" s="38" t="s">
        <v>41</v>
      </c>
      <c r="D100" s="42">
        <f>TRUNC(28882,-1)</f>
        <v>28880</v>
      </c>
      <c r="E100" s="64">
        <f t="shared" si="3"/>
        <v>95470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TRUNC(10580,-1)</f>
        <v>10580</v>
      </c>
      <c r="E102" s="64">
        <f t="shared" si="3"/>
        <v>34970</v>
      </c>
    </row>
    <row r="103" spans="1:7" x14ac:dyDescent="0.3">
      <c r="A103" s="2">
        <v>6</v>
      </c>
      <c r="C103" s="38" t="s">
        <v>44</v>
      </c>
      <c r="D103" s="42">
        <f>TRUNC(3250,-1)</f>
        <v>3250</v>
      </c>
      <c r="E103" s="64">
        <f t="shared" si="3"/>
        <v>10740</v>
      </c>
    </row>
    <row r="104" spans="1:7" x14ac:dyDescent="0.3">
      <c r="A104" s="2">
        <v>7</v>
      </c>
      <c r="C104" s="38" t="s">
        <v>45</v>
      </c>
      <c r="D104" s="42">
        <f>TRUNC(2629,-1)</f>
        <v>2620</v>
      </c>
      <c r="E104" s="64">
        <f t="shared" si="3"/>
        <v>8660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TRUNC(1055,-1)</f>
        <v>1050</v>
      </c>
      <c r="E114" s="64">
        <f t="shared" si="3"/>
        <v>3470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TRUNC(13610,-1)</f>
        <v>13610</v>
      </c>
      <c r="E116" s="64">
        <f t="shared" si="3"/>
        <v>44990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TRUNC(130395,-1)</f>
        <v>130390</v>
      </c>
      <c r="E117" s="64">
        <f t="shared" si="3"/>
        <v>431040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206390</v>
      </c>
      <c r="E119" s="39">
        <f>SUM(E98:E118)</f>
        <v>682260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TRUNC(6837,-1)</f>
        <v>6830</v>
      </c>
      <c r="E122" s="63">
        <f t="shared" ref="E122:E132" si="4">TRUNC(+D122*3.3058,-1)</f>
        <v>22570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TRUNC(1811,-1)</f>
        <v>1810</v>
      </c>
      <c r="E124" s="64">
        <f t="shared" si="4"/>
        <v>5980</v>
      </c>
    </row>
    <row r="125" spans="1:7" x14ac:dyDescent="0.3">
      <c r="A125" s="2">
        <v>4</v>
      </c>
      <c r="C125" s="38" t="s">
        <v>138</v>
      </c>
      <c r="D125" s="42">
        <f>TRUNC(4508,-1)</f>
        <v>4500</v>
      </c>
      <c r="E125" s="64">
        <f t="shared" si="4"/>
        <v>14870</v>
      </c>
    </row>
    <row r="126" spans="1:7" x14ac:dyDescent="0.3">
      <c r="A126" s="2">
        <v>5</v>
      </c>
      <c r="C126" s="38" t="s">
        <v>53</v>
      </c>
      <c r="D126" s="42">
        <f>TRUNC(50797,-1)</f>
        <v>50790</v>
      </c>
      <c r="E126" s="64">
        <f t="shared" si="4"/>
        <v>167900</v>
      </c>
    </row>
    <row r="127" spans="1:7" x14ac:dyDescent="0.3">
      <c r="A127" s="2">
        <v>6</v>
      </c>
      <c r="C127" s="38" t="s">
        <v>56</v>
      </c>
      <c r="D127" s="42">
        <f>TRUNC(3299,-1)</f>
        <v>3290</v>
      </c>
      <c r="E127" s="64">
        <f t="shared" si="4"/>
        <v>10870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TRUNC(55540,-1)</f>
        <v>55540</v>
      </c>
      <c r="E131" s="64">
        <f t="shared" si="4"/>
        <v>183600</v>
      </c>
    </row>
    <row r="132" spans="1:7" ht="17.25" thickBot="1" x14ac:dyDescent="0.35">
      <c r="A132" s="2">
        <v>11</v>
      </c>
      <c r="C132" s="38" t="s">
        <v>47</v>
      </c>
      <c r="D132" s="43">
        <f>TRUNC(2349+439,-1)</f>
        <v>2780</v>
      </c>
      <c r="E132" s="65">
        <f t="shared" si="4"/>
        <v>9190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125540</v>
      </c>
      <c r="E133" s="39">
        <f>SUM(E122:E132)</f>
        <v>414980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TRUNC(78+2845+3482+4928,-1)</f>
        <v>11330</v>
      </c>
      <c r="E137" s="64">
        <f t="shared" si="5"/>
        <v>37450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TRUNC(14009,-1)</f>
        <v>14000</v>
      </c>
      <c r="E138" s="64">
        <f t="shared" si="5"/>
        <v>46280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TRUNC(2297,-1)</f>
        <v>2290</v>
      </c>
      <c r="E140" s="64">
        <f t="shared" si="5"/>
        <v>7570</v>
      </c>
    </row>
    <row r="141" spans="1:7" x14ac:dyDescent="0.3">
      <c r="A141" s="2">
        <v>6</v>
      </c>
      <c r="C141" s="38" t="s">
        <v>59</v>
      </c>
      <c r="D141" s="42">
        <f>TRUNC(22509,-1)</f>
        <v>22500</v>
      </c>
      <c r="E141" s="64">
        <f t="shared" si="5"/>
        <v>74380</v>
      </c>
    </row>
    <row r="142" spans="1:7" x14ac:dyDescent="0.3">
      <c r="A142" s="2">
        <v>7</v>
      </c>
      <c r="C142" s="38" t="s">
        <v>58</v>
      </c>
      <c r="D142" s="42">
        <f>TRUNC(6768,-1)</f>
        <v>6760</v>
      </c>
      <c r="E142" s="64">
        <f t="shared" si="5"/>
        <v>22340</v>
      </c>
    </row>
    <row r="143" spans="1:7" x14ac:dyDescent="0.3">
      <c r="A143" s="2">
        <v>8</v>
      </c>
      <c r="C143" s="38" t="s">
        <v>62</v>
      </c>
      <c r="D143" s="42">
        <f>TRUNC(2541,-1)</f>
        <v>2540</v>
      </c>
      <c r="E143" s="64">
        <f t="shared" si="5"/>
        <v>8390</v>
      </c>
    </row>
    <row r="144" spans="1:7" x14ac:dyDescent="0.3">
      <c r="A144" s="2">
        <v>9</v>
      </c>
      <c r="C144" s="38" t="s">
        <v>63</v>
      </c>
      <c r="D144" s="42">
        <f>TRUNC(4092,-1)</f>
        <v>4090</v>
      </c>
      <c r="E144" s="64">
        <f t="shared" si="5"/>
        <v>13520</v>
      </c>
    </row>
    <row r="145" spans="1:7" ht="17.25" thickBot="1" x14ac:dyDescent="0.35">
      <c r="A145" s="2">
        <v>10</v>
      </c>
      <c r="C145" s="38" t="s">
        <v>148</v>
      </c>
      <c r="D145" s="43">
        <f>TRUNC(6364,-1)</f>
        <v>6360</v>
      </c>
      <c r="E145" s="65">
        <f t="shared" si="5"/>
        <v>21020</v>
      </c>
    </row>
    <row r="146" spans="1:7" x14ac:dyDescent="0.3">
      <c r="A146" s="2">
        <v>11</v>
      </c>
      <c r="C146" s="27" t="s">
        <v>112</v>
      </c>
      <c r="D146" s="39">
        <f>SUM(D136:D145)</f>
        <v>69870</v>
      </c>
      <c r="E146" s="39">
        <f>SUM(E136:E145)</f>
        <v>230950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TRUNC(6045+1574,-1)</f>
        <v>7610</v>
      </c>
      <c r="E149" s="63">
        <f>TRUNC(+D149*3.3058,-1)</f>
        <v>25150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TRUNC(2598,-1)</f>
        <v>2590</v>
      </c>
      <c r="E150" s="64">
        <f>TRUNC(+D150*3.3058,-1)</f>
        <v>8560</v>
      </c>
      <c r="F150" s="2" t="s">
        <v>260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TRUNC(297+10640+136+603,-1)</f>
        <v>11670</v>
      </c>
      <c r="E152" s="64">
        <f>TRUNC(+D152*3.3058,-1)</f>
        <v>38570</v>
      </c>
      <c r="F152" s="58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TRUNC(17103,-1)</f>
        <v>17100</v>
      </c>
      <c r="E153" s="65">
        <f>TRUNC(+D153*3.3058,-1)</f>
        <v>56520</v>
      </c>
      <c r="F153" s="2" t="s">
        <v>260</v>
      </c>
    </row>
    <row r="154" spans="1:7" x14ac:dyDescent="0.3">
      <c r="A154" s="2">
        <v>6</v>
      </c>
      <c r="C154" s="27" t="s">
        <v>112</v>
      </c>
      <c r="D154" s="39">
        <f>SUM(D149:D153)</f>
        <v>38970</v>
      </c>
      <c r="E154" s="39">
        <f>SUM(E149:E153)</f>
        <v>128800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TRUNC(25651,-1)</f>
        <v>25650</v>
      </c>
      <c r="E157" s="63">
        <f>TRUNC(+D157*3.3058,-1)</f>
        <v>84790</v>
      </c>
    </row>
    <row r="158" spans="1:7" x14ac:dyDescent="0.3">
      <c r="A158" s="2">
        <v>2</v>
      </c>
      <c r="C158" s="38" t="s">
        <v>52</v>
      </c>
      <c r="D158" s="42">
        <f>TRUNC(8010,-1)</f>
        <v>8010</v>
      </c>
      <c r="E158" s="64">
        <f>TRUNC(+D158*3.3058,-1)</f>
        <v>26470</v>
      </c>
    </row>
    <row r="159" spans="1:7" x14ac:dyDescent="0.3">
      <c r="A159" s="2">
        <v>3</v>
      </c>
      <c r="C159" s="38" t="s">
        <v>47</v>
      </c>
      <c r="D159" s="42">
        <f>TRUNC(10172+241,-1)</f>
        <v>10410</v>
      </c>
      <c r="E159" s="64">
        <f>TRUNC(+D159*3.3058,-1)</f>
        <v>34410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44070</v>
      </c>
      <c r="E161" s="39">
        <f>SUM(E157:E160)</f>
        <v>145670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2020-12-07T10:16:35Z</dcterms:modified>
</cp:coreProperties>
</file>