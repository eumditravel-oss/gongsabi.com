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1" i="4"/>
  <c r="D150" i="4"/>
  <c r="D149" i="4"/>
  <c r="D144" i="4"/>
  <c r="D143" i="4"/>
  <c r="D142" i="4"/>
  <c r="D141" i="4"/>
  <c r="D140" i="4"/>
  <c r="D137" i="4"/>
  <c r="D132" i="4"/>
  <c r="D131" i="4"/>
  <c r="D130" i="4"/>
  <c r="D128" i="4"/>
  <c r="D125" i="4"/>
  <c r="D124" i="4"/>
  <c r="D122" i="4"/>
  <c r="D117" i="4"/>
  <c r="D116" i="4"/>
  <c r="D114" i="4"/>
  <c r="D104" i="4"/>
  <c r="D102" i="4"/>
  <c r="D101" i="4"/>
  <c r="D100" i="4"/>
  <c r="D98" i="4"/>
  <c r="D94" i="4"/>
  <c r="D93" i="4"/>
  <c r="D92" i="4"/>
  <c r="D91" i="4"/>
  <c r="D90" i="4"/>
  <c r="D89" i="4"/>
  <c r="D76" i="4"/>
  <c r="D75" i="4"/>
  <c r="D73" i="4"/>
  <c r="D72" i="4"/>
  <c r="D71" i="4"/>
  <c r="D70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54" i="4"/>
  <c r="E66" i="4"/>
  <c r="E146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<sst xmlns="http://schemas.openxmlformats.org/spreadsheetml/2006/main" count="393" uniqueCount="269">
  <si>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</si>
  <si>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</si>
  <si>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</si>
  <si>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</si>
  <si>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</si>
  <si>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</si>
  <si>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</si>
  <si>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</si>
  <si>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</si>
  <si>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</si>
  <si>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</si>
  <si>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</si>
  <si>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</si>
  <si>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</si>
  <si>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</si>
  <si>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</si>
  <si>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</si>
  <si>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</si>
  <si>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</si>
  <si>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</si>
  <si>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</si>
  <si>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</si>
  <si>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</si>
  <si>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</si>
  <si>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</si>
  <si>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</si>
  <si>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</si>
  <si>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</si>
  <si>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</si>
  <si>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</si>
  <si>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</si>
  <si>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</si>
  <si>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</si>
  <si>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</si>
  <si>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</si>
  <si>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</si>
  <si>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</si>
  <si>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</si>
  <si>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</si>
  <si>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</si>
  <si>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</si>
  <si>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</si>
  <si>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</si>
  <si>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</si>
  <si>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</si>
  <si>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</si>
  <si>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</si>
  <si>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</si>
  <si>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</si>
  <si>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</si>
  <si>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</si>
  <si>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</si>
  <si>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</si>
  <si>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</si>
  <si>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</si>
  <si>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</si>
  <si>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</si>
  <si>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</si>
  <si>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</si>
  <si>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</si>
  <si>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</si>
  <si>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</si>
  <si>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</si>
  <si>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</si>
  <si>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</si>
  <si>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</si>
  <si>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</si>
  <si>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</si>
  <si>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</si>
  <si>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</si>
  <si>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</si>
  <si>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</si>
  <si>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</si>
  <si>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</si>
  <si>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</si>
  <si>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</si>
  <si>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</si>
  <si>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</si>
  <si>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</si>
  <si>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</si>
  <si>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</si>
  <si>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</si>
  <si>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</si>
  <si>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</si>
  <si>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</si>
  <si>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</si>
  <si>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</si>
  <si>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</si>
  <si>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</si>
  <si>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</si>
  <si>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</si>
  <si>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</si>
  <si>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</si>
  <si>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</si>
  <si>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</si>
  <si>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</si>
  <si>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</si>
  <si>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</si>
  <si>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</si>
  <si>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</si>
  <si>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</si>
  <si>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</si>
  <si>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</si>
  <si>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</si>
  <si>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</si>
  <si>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</si>
  <si>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</si>
  <si>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</si>
  <si>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</si>
  <si>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</si>
  <si>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</si>
  <si>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</si>
  <si>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</si>
  <si>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</si>
  <si>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</si>
  <si>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</si>
  <si>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</si>
  <si>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</si>
  <si>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</si>
  <si>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</si>
  <si>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</si>
  <si>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</si>
  <si>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</si>
  <si>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</si>
  <si>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</si>
  <si>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</si>
  <si>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</si>
  <si>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</si>
  <si>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</si>
  <si>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</si>
  <si>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</si>
  <si>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</si>
  <si>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</si>
  <si>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</si>
  <si>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</si>
  <si>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</si>
  <si>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</si>
  <si>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</si>
  <si>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</si>
  <si>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</si>
  <si>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</si>
  <si>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</si>
  <si>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</si>
  <si>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</si>
  <si>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</si>
  <si>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</si>
  <si>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</si>
  <si>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</si>
  <si>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</si>
  <si>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</si>
  <si>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</si>
  <si>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</si>
  <si>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</si>
  <si>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</si>
  <si>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</si>
  <si>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</si>
  <si>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</si>
  <si>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</si>
  <si>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</si>
  <si>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</si>
  <si>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</si>
  <si>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</si>
  <si>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</si>
  <si>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</si>
  <si>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</si>
  <si>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</si>
  <si>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</si>
  <si>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</si>
  <si>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</si>
  <si>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</si>
  <si>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</si>
  <si>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</si>
  <si>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</si>
  <si>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</si>
  <si>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</si>
  <si>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</si>
  <si>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</si>
  <si>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</si>
  <si>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</si>
  <si>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</si>
  <si>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</si>
  <si>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</si>
  <si>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</si>
  <si>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</si>
  <si>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</si>
  <si>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</si>
  <si>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</si>
  <si>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</si>
  <si>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</si>
  <si>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</si>
  <si>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</si>
  <si>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</si>
  <si>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</si>
  <si>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</si>
  <si>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</si>
  <si>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</si>
  <si>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</si>
  <si>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</si>
  <si>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</si>
  <si>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</si>
  <si>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</si>
  <si>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</si>
  <si>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</si>
  <si>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</si>
  <si>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</si>
  <si>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</si>
  <si>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</si>
  <si>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</si>
  <si>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</si>
  <si>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</si>
  <si>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</si>
  <si>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</si>
  <si>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</si>
  <si>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</si>
  <si>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</si>
  <si>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</si>
  <si>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</si>
  <si>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</si>
  <si>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</si>
  <si>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</si>
  <si>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</si>
  <si>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</si>
  <si>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</si>
  <si>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</si>
  <si>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</si>
  <si>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</si>
  <si>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</si>
  <si>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</si>
  <si>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</si>
  <si>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</si>
  <si>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</si>
  <si>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</si>
  <si>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</si>
  <si>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</si>
  <si>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</si>
  <si>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</si>
  <si>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</si>
  <si>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</si>
  <si>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</si>
  <si>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</si>
  <si>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</si>
  <si>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</si>
  <si>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</si>
  <si>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</si>
  <si>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</si>
  <si>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</si>
  <si>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</si>
  <si>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</si>
  <si>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</si>
  <si>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</si>
  <si>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</si>
  <si>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</si>
  <si>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</si>
  <si>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</si>
  <si>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</si>
  <si>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</si>
  <si>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운동</t>
  </si>
  <si>
    <t>월계동 제2구민체육센터 신축공사</t>
    <phoneticPr fontId="2" type="noConversion"/>
  </si>
  <si>
    <t>서울</t>
  </si>
  <si>
    <t>골재비및운반비, 작업부산물, 품질시험비, 기타공사</t>
    <phoneticPr fontId="2" type="noConversion"/>
  </si>
  <si>
    <t>난방배관공사, 우수처리시설공사, 기타공사</t>
    <phoneticPr fontId="2" type="noConversion"/>
  </si>
  <si>
    <t>옥외보안등설비공사</t>
    <phoneticPr fontId="2" type="noConversion"/>
  </si>
  <si>
    <t>CCTV설비공사,주차관제설비공사,기타공사</t>
    <phoneticPr fontId="2" type="noConversion"/>
  </si>
  <si>
    <t>펌프실배관공사, 무선통신보조설비공사</t>
    <phoneticPr fontId="2" type="noConversion"/>
  </si>
  <si>
    <t>상수도공사, 사급자재비, 기타공사</t>
    <phoneticPr fontId="2" type="noConversion"/>
  </si>
  <si>
    <t>포장공사,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</si>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</sst>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7996.83</v>
      </c>
      <c r="D7" s="36">
        <f>+C7/3.3058</f>
        <v>2419.0301893641476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1248900</v>
      </c>
      <c r="E25" s="59">
        <f t="shared" si="0"/>
        <v>4128610</v>
      </c>
    </row>
    <row r="26" spans="1:5" x14ac:dyDescent="0.3">
      <c r="B26" s="2">
        <v>3</v>
      </c>
      <c r="C26" s="35" t="s">
        <v>95</v>
      </c>
      <c r="D26" s="45">
        <f>+D66</f>
        <v>173580</v>
      </c>
      <c r="E26" s="59">
        <f t="shared" si="0"/>
        <v>573820</v>
      </c>
    </row>
    <row r="27" spans="1:5" x14ac:dyDescent="0.3">
      <c r="B27" s="2">
        <v>4</v>
      </c>
      <c r="C27" s="35" t="s">
        <v>96</v>
      </c>
      <c r="D27" s="45">
        <f>+D95</f>
        <v>335010</v>
      </c>
      <c r="E27" s="59">
        <f t="shared" si="0"/>
        <v>1107470</v>
      </c>
    </row>
    <row r="28" spans="1:5" x14ac:dyDescent="0.3">
      <c r="B28" s="2">
        <v>5</v>
      </c>
      <c r="C28" s="35" t="s">
        <v>97</v>
      </c>
      <c r="D28" s="45">
        <f>+D119</f>
        <v>237900</v>
      </c>
      <c r="E28" s="59">
        <f t="shared" si="0"/>
        <v>786440</v>
      </c>
    </row>
    <row r="29" spans="1:5" x14ac:dyDescent="0.3">
      <c r="B29" s="2">
        <v>6</v>
      </c>
      <c r="C29" s="35" t="s">
        <v>98</v>
      </c>
      <c r="D29" s="45">
        <f>+D133</f>
        <v>146080</v>
      </c>
      <c r="E29" s="59">
        <f t="shared" si="0"/>
        <v>482910</v>
      </c>
    </row>
    <row r="30" spans="1:5" x14ac:dyDescent="0.3">
      <c r="B30" s="2">
        <v>7</v>
      </c>
      <c r="C30" s="35" t="s">
        <v>99</v>
      </c>
      <c r="D30" s="45">
        <f>+D146</f>
        <v>47900</v>
      </c>
      <c r="E30" s="59">
        <f t="shared" si="0"/>
        <v>158340</v>
      </c>
    </row>
    <row r="31" spans="1:5" x14ac:dyDescent="0.3">
      <c r="B31" s="2">
        <v>8</v>
      </c>
      <c r="C31" s="35" t="s">
        <v>100</v>
      </c>
      <c r="D31" s="45">
        <f>+D154</f>
        <v>28480</v>
      </c>
      <c r="E31" s="59">
        <f t="shared" si="0"/>
        <v>94140</v>
      </c>
    </row>
    <row r="32" spans="1:5" x14ac:dyDescent="0.3">
      <c r="B32" s="2">
        <v>9</v>
      </c>
      <c r="C32" s="35" t="s">
        <v>101</v>
      </c>
      <c r="D32" s="45">
        <f>+D161</f>
        <v>58680</v>
      </c>
      <c r="E32" s="59">
        <f t="shared" si="0"/>
        <v>193980</v>
      </c>
    </row>
    <row r="33" spans="1:7" x14ac:dyDescent="0.3">
      <c r="B33" s="2">
        <v>10</v>
      </c>
      <c r="C33" s="35" t="s">
        <v>154</v>
      </c>
      <c r="D33" s="53">
        <f>TRUNC(SUM(D24:D32)*0.275,-1)</f>
        <v>626040</v>
      </c>
      <c r="E33" s="60">
        <f t="shared" si="0"/>
        <v>2069560</v>
      </c>
    </row>
    <row r="34" spans="1:7" x14ac:dyDescent="0.3">
      <c r="C34" s="35" t="s">
        <v>112</v>
      </c>
      <c r="D34" s="44">
        <f>SUM(D24:D33)</f>
        <v>2902570</v>
      </c>
      <c r="E34" s="44">
        <f>SUM(E24:E33)</f>
        <v>9595270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248</v>
      </c>
      <c r="D39" s="57" t="s">
        <v>249</v>
      </c>
      <c r="E39" s="57" t="s">
        <v>250</v>
      </c>
      <c r="G39" s="55"/>
    </row>
    <row r="40" spans="1:7" x14ac:dyDescent="0.3">
      <c r="A40" s="2">
        <v>1</v>
      </c>
      <c r="C40" s="38" t="s">
        <v>15</v>
      </c>
      <c r="D40" s="40">
        <f>TRUNC(78899,-1)</f>
        <v>78890</v>
      </c>
      <c r="E40" s="62">
        <f t="shared" ref="E40:E59" si="1">TRUNC(+D40*3.3058,-1)</f>
        <v>260790</v>
      </c>
    </row>
    <row r="41" spans="1:7" x14ac:dyDescent="0.3">
      <c r="A41" s="2">
        <v>2</v>
      </c>
      <c r="C41" s="38" t="s">
        <v>13</v>
      </c>
      <c r="D41" s="42">
        <f>TRUNC(157995,-1)</f>
        <v>157990</v>
      </c>
      <c r="E41" s="63">
        <f t="shared" si="1"/>
        <v>522280</v>
      </c>
    </row>
    <row r="42" spans="1:7" x14ac:dyDescent="0.3">
      <c r="A42" s="2">
        <v>3</v>
      </c>
      <c r="C42" s="38" t="s">
        <v>14</v>
      </c>
      <c r="D42" s="42">
        <f>TRUNC(137238,-1)</f>
        <v>137230</v>
      </c>
      <c r="E42" s="63">
        <f t="shared" si="1"/>
        <v>453650</v>
      </c>
    </row>
    <row r="43" spans="1:7" x14ac:dyDescent="0.3">
      <c r="A43" s="2">
        <v>4</v>
      </c>
      <c r="C43" s="38" t="s">
        <v>16</v>
      </c>
      <c r="D43" s="42">
        <f>TRUNC(21697,-1)</f>
        <v>21690</v>
      </c>
      <c r="E43" s="63">
        <f t="shared" si="1"/>
        <v>71700</v>
      </c>
    </row>
    <row r="44" spans="1:7" x14ac:dyDescent="0.3">
      <c r="A44" s="2">
        <v>5</v>
      </c>
      <c r="C44" s="38" t="s">
        <v>17</v>
      </c>
      <c r="D44" s="42">
        <f>TRUNC(47991,-1)</f>
        <v>47990</v>
      </c>
      <c r="E44" s="63">
        <f t="shared" si="1"/>
        <v>158640</v>
      </c>
    </row>
    <row r="45" spans="1:7" x14ac:dyDescent="0.3">
      <c r="A45" s="2">
        <v>6</v>
      </c>
      <c r="C45" s="38" t="s">
        <v>18</v>
      </c>
      <c r="D45" s="42">
        <f>TRUNC(27625,-1)</f>
        <v>27620</v>
      </c>
      <c r="E45" s="63">
        <f t="shared" si="1"/>
        <v>91300</v>
      </c>
    </row>
    <row r="46" spans="1:7" x14ac:dyDescent="0.3">
      <c r="A46" s="2">
        <v>7</v>
      </c>
      <c r="C46" s="38" t="s">
        <v>19</v>
      </c>
      <c r="D46" s="42">
        <f>TRUNC(17945,-1)</f>
        <v>17940</v>
      </c>
      <c r="E46" s="63">
        <f t="shared" si="1"/>
        <v>59300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TRUNC(64012,-1)</f>
        <v>64010</v>
      </c>
      <c r="E48" s="63">
        <f t="shared" si="1"/>
        <v>211600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TRUNC(12031,-1)</f>
        <v>12030</v>
      </c>
      <c r="E49" s="63">
        <f t="shared" si="1"/>
        <v>39760</v>
      </c>
    </row>
    <row r="50" spans="1:7" x14ac:dyDescent="0.3">
      <c r="A50" s="2">
        <v>11</v>
      </c>
      <c r="C50" s="38" t="s">
        <v>155</v>
      </c>
      <c r="D50" s="42">
        <f>TRUNC(42555,-1)</f>
        <v>42550</v>
      </c>
      <c r="E50" s="63">
        <f t="shared" si="1"/>
        <v>140660</v>
      </c>
      <c r="F50" s="2" t="s">
        <v>254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TRUNC(14773,-1)</f>
        <v>14770</v>
      </c>
      <c r="E52" s="63">
        <f t="shared" si="1"/>
        <v>48820</v>
      </c>
    </row>
    <row r="53" spans="1:7" x14ac:dyDescent="0.3">
      <c r="A53" s="2">
        <v>14</v>
      </c>
      <c r="C53" s="38" t="s">
        <v>25</v>
      </c>
      <c r="D53" s="42">
        <f>TRUNC(313401,-1)</f>
        <v>313400</v>
      </c>
      <c r="E53" s="63">
        <f t="shared" si="1"/>
        <v>1036030</v>
      </c>
      <c r="F53" s="2" t="s">
        <v>255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TRUNC(11669-1438+976+36252,-1)</f>
        <v>47450</v>
      </c>
      <c r="E58" s="63">
        <f t="shared" si="1"/>
        <v>156860</v>
      </c>
      <c r="F58" s="2" t="s">
        <v>259</v>
      </c>
    </row>
    <row r="59" spans="1:7" ht="17.25" thickBot="1" x14ac:dyDescent="0.35">
      <c r="A59" s="2">
        <v>20</v>
      </c>
      <c r="C59" s="38" t="s">
        <v>148</v>
      </c>
      <c r="D59" s="43">
        <f>TRUNC(265345,-1)</f>
        <v>265340</v>
      </c>
      <c r="E59" s="64">
        <f t="shared" si="1"/>
        <v>877160</v>
      </c>
    </row>
    <row r="60" spans="1:7" x14ac:dyDescent="0.3">
      <c r="A60" s="2">
        <v>21</v>
      </c>
      <c r="C60" s="27" t="s">
        <v>112</v>
      </c>
      <c r="D60" s="39">
        <f>SUM(D40:D59)</f>
        <v>1248900</v>
      </c>
      <c r="E60" s="39">
        <f>SUM(E40:E59)</f>
        <v>4128550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TRUNC(412,-1)</f>
        <v>410</v>
      </c>
      <c r="E63" s="62">
        <f>TRUNC(+D63*3.3058,-1)</f>
        <v>1350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TRUNC(173178,-1)</f>
        <v>173170</v>
      </c>
      <c r="E65" s="64">
        <f>TRUNC(+D65*3.3058,-1)</f>
        <v>572460</v>
      </c>
    </row>
    <row r="66" spans="1:7" x14ac:dyDescent="0.3">
      <c r="A66" s="2">
        <v>4</v>
      </c>
      <c r="C66" s="27" t="s">
        <v>112</v>
      </c>
      <c r="D66" s="39">
        <f>SUM(D63:D65)</f>
        <v>173580</v>
      </c>
      <c r="E66" s="65">
        <f>SUM(E63:E65)</f>
        <v>573810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TRUNC(29453,-1)</f>
        <v>29450</v>
      </c>
      <c r="E69" s="62">
        <f t="shared" ref="E69:E94" si="2">TRUNC(+D69*3.3058,-1)</f>
        <v>97350</v>
      </c>
    </row>
    <row r="70" spans="1:7" ht="16.5" customHeight="1" x14ac:dyDescent="0.3">
      <c r="A70" s="2">
        <v>2</v>
      </c>
      <c r="C70" s="38" t="s">
        <v>31</v>
      </c>
      <c r="D70" s="42">
        <f>TRUNC(11229,-1)</f>
        <v>11220</v>
      </c>
      <c r="E70" s="63">
        <f t="shared" si="2"/>
        <v>37090</v>
      </c>
    </row>
    <row r="71" spans="1:7" x14ac:dyDescent="0.3">
      <c r="A71" s="2">
        <v>3</v>
      </c>
      <c r="C71" s="38" t="s">
        <v>32</v>
      </c>
      <c r="D71" s="42">
        <f>TRUNC(24475,-1)</f>
        <v>24470</v>
      </c>
      <c r="E71" s="63">
        <f t="shared" si="2"/>
        <v>80890</v>
      </c>
    </row>
    <row r="72" spans="1:7" x14ac:dyDescent="0.3">
      <c r="A72" s="2">
        <v>4</v>
      </c>
      <c r="C72" s="38" t="s">
        <v>33</v>
      </c>
      <c r="D72" s="42">
        <f>TRUNC(3956,-1)</f>
        <v>3950</v>
      </c>
      <c r="E72" s="63">
        <f t="shared" si="2"/>
        <v>13050</v>
      </c>
    </row>
    <row r="73" spans="1:7" x14ac:dyDescent="0.3">
      <c r="A73" s="2">
        <v>5</v>
      </c>
      <c r="C73" s="38" t="s">
        <v>34</v>
      </c>
      <c r="D73" s="42">
        <f>TRUNC(11317,-1)</f>
        <v>11310</v>
      </c>
      <c r="E73" s="63">
        <f t="shared" si="2"/>
        <v>37380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TRUNC(2031,-1)</f>
        <v>2030</v>
      </c>
      <c r="E75" s="63">
        <f t="shared" si="2"/>
        <v>6710</v>
      </c>
    </row>
    <row r="76" spans="1:7" x14ac:dyDescent="0.3">
      <c r="A76" s="2">
        <v>8</v>
      </c>
      <c r="C76" s="38" t="s">
        <v>119</v>
      </c>
      <c r="D76" s="42">
        <f>TRUNC(36038,-1)</f>
        <v>36030</v>
      </c>
      <c r="E76" s="63">
        <f t="shared" si="2"/>
        <v>119100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TRUNC(15243,-1)</f>
        <v>15240</v>
      </c>
      <c r="E89" s="63">
        <f t="shared" si="2"/>
        <v>50380</v>
      </c>
    </row>
    <row r="90" spans="1:7" x14ac:dyDescent="0.3">
      <c r="A90" s="2">
        <v>22</v>
      </c>
      <c r="C90" s="38" t="s">
        <v>36</v>
      </c>
      <c r="D90" s="42">
        <f>TRUNC(4094,-1)</f>
        <v>4090</v>
      </c>
      <c r="E90" s="63">
        <f t="shared" si="2"/>
        <v>13520</v>
      </c>
    </row>
    <row r="91" spans="1:7" x14ac:dyDescent="0.3">
      <c r="A91" s="2">
        <v>23</v>
      </c>
      <c r="C91" s="38" t="s">
        <v>37</v>
      </c>
      <c r="D91" s="42">
        <f>TRUNC(22515,-1)</f>
        <v>22510</v>
      </c>
      <c r="E91" s="63">
        <f t="shared" si="2"/>
        <v>74410</v>
      </c>
    </row>
    <row r="92" spans="1:7" x14ac:dyDescent="0.3">
      <c r="A92" s="2">
        <v>24</v>
      </c>
      <c r="C92" s="38" t="s">
        <v>38</v>
      </c>
      <c r="D92" s="42">
        <f>TRUNC(6494,-1)</f>
        <v>6490</v>
      </c>
      <c r="E92" s="63">
        <f t="shared" si="2"/>
        <v>21450</v>
      </c>
    </row>
    <row r="93" spans="1:7" x14ac:dyDescent="0.3">
      <c r="A93" s="2">
        <v>25</v>
      </c>
      <c r="C93" s="38" t="s">
        <v>148</v>
      </c>
      <c r="D93" s="42">
        <f>TRUNC(153841,-1)</f>
        <v>153840</v>
      </c>
      <c r="E93" s="63">
        <f t="shared" si="2"/>
        <v>508560</v>
      </c>
    </row>
    <row r="94" spans="1:7" ht="17.25" thickBot="1" x14ac:dyDescent="0.35">
      <c r="A94" s="2">
        <v>26</v>
      </c>
      <c r="C94" s="38" t="s">
        <v>47</v>
      </c>
      <c r="D94" s="43">
        <f>TRUNC(2331+3596+8461,-1)</f>
        <v>14380</v>
      </c>
      <c r="E94" s="64">
        <f t="shared" si="2"/>
        <v>47530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335010</v>
      </c>
      <c r="E95" s="39">
        <f>SUM(E69:E94)</f>
        <v>1107420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TRUNC(20355,-1)</f>
        <v>20350</v>
      </c>
      <c r="E98" s="62">
        <f t="shared" ref="E98:E118" si="3">TRUNC(+D98*3.3058,-1)</f>
        <v>67270</v>
      </c>
    </row>
    <row r="99" spans="1:7" x14ac:dyDescent="0.3">
      <c r="A99" s="2">
        <v>2</v>
      </c>
      <c r="C99" s="38" t="s">
        <v>40</v>
      </c>
      <c r="D99" s="42">
        <v>12010</v>
      </c>
      <c r="E99" s="63">
        <f t="shared" si="3"/>
        <v>39700</v>
      </c>
    </row>
    <row r="100" spans="1:7" x14ac:dyDescent="0.3">
      <c r="A100" s="2">
        <v>3</v>
      </c>
      <c r="C100" s="38" t="s">
        <v>41</v>
      </c>
      <c r="D100" s="42">
        <f>TRUNC(25624,-1)</f>
        <v>25620</v>
      </c>
      <c r="E100" s="63">
        <f t="shared" si="3"/>
        <v>84690</v>
      </c>
    </row>
    <row r="101" spans="1:7" x14ac:dyDescent="0.3">
      <c r="A101" s="2">
        <v>4</v>
      </c>
      <c r="C101" s="38" t="s">
        <v>42</v>
      </c>
      <c r="D101" s="42">
        <f>TRUNC(2556,-1)</f>
        <v>2550</v>
      </c>
      <c r="E101" s="63">
        <f t="shared" si="3"/>
        <v>8420</v>
      </c>
    </row>
    <row r="102" spans="1:7" x14ac:dyDescent="0.3">
      <c r="A102" s="2">
        <v>5</v>
      </c>
      <c r="C102" s="38" t="s">
        <v>43</v>
      </c>
      <c r="D102" s="42">
        <f>TRUNC(5453,-1)</f>
        <v>5450</v>
      </c>
      <c r="E102" s="63">
        <f t="shared" si="3"/>
        <v>18010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TRUNC(4442,-1)</f>
        <v>4440</v>
      </c>
      <c r="E104" s="63">
        <f t="shared" si="3"/>
        <v>14670</v>
      </c>
    </row>
    <row r="105" spans="1:7" x14ac:dyDescent="0.3">
      <c r="A105" s="2">
        <v>8</v>
      </c>
      <c r="C105" s="38" t="s">
        <v>46</v>
      </c>
      <c r="D105" s="42">
        <v>3430</v>
      </c>
      <c r="E105" s="63">
        <f t="shared" si="3"/>
        <v>11330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TRUNC(889,-1)</f>
        <v>880</v>
      </c>
      <c r="E114" s="63">
        <f t="shared" si="3"/>
        <v>2900</v>
      </c>
      <c r="F114" s="2" t="s">
        <v>261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TRUNC(4618,-1)</f>
        <v>4610</v>
      </c>
      <c r="E116" s="63">
        <f t="shared" si="3"/>
        <v>15230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TRUNC(158563,-1)</f>
        <v>158560</v>
      </c>
      <c r="E117" s="63">
        <f t="shared" si="3"/>
        <v>524160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237900</v>
      </c>
      <c r="E119" s="39">
        <f>SUM(E98:E118)</f>
        <v>786380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TRUNC(3437,-1)</f>
        <v>3430</v>
      </c>
      <c r="E122" s="62">
        <f t="shared" ref="E122:E132" si="4">TRUNC(+D122*3.3058,-1)</f>
        <v>11330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TRUNC(2243,-1)</f>
        <v>2240</v>
      </c>
      <c r="E124" s="63">
        <f t="shared" si="4"/>
        <v>7400</v>
      </c>
    </row>
    <row r="125" spans="1:7" x14ac:dyDescent="0.3">
      <c r="A125" s="2">
        <v>4</v>
      </c>
      <c r="C125" s="38" t="s">
        <v>138</v>
      </c>
      <c r="D125" s="42">
        <f>TRUNC(3615,-1)</f>
        <v>3610</v>
      </c>
      <c r="E125" s="63">
        <f t="shared" si="4"/>
        <v>11930</v>
      </c>
    </row>
    <row r="126" spans="1:7" x14ac:dyDescent="0.3">
      <c r="A126" s="2">
        <v>5</v>
      </c>
      <c r="C126" s="38" t="s">
        <v>53</v>
      </c>
      <c r="D126" s="42">
        <v>1040</v>
      </c>
      <c r="E126" s="63">
        <f t="shared" si="4"/>
        <v>3430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TRUNC(907,-1)</f>
        <v>900</v>
      </c>
      <c r="E128" s="63">
        <f t="shared" si="4"/>
        <v>2970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TRUNC(4156,-1)</f>
        <v>4150</v>
      </c>
      <c r="E130" s="63">
        <f t="shared" si="4"/>
        <v>13710</v>
      </c>
    </row>
    <row r="131" spans="1:7" x14ac:dyDescent="0.3">
      <c r="A131" s="2">
        <v>10</v>
      </c>
      <c r="C131" s="38" t="s">
        <v>148</v>
      </c>
      <c r="D131" s="42">
        <f>TRUNC(123245,-1)</f>
        <v>123240</v>
      </c>
      <c r="E131" s="63">
        <f t="shared" si="4"/>
        <v>407400</v>
      </c>
    </row>
    <row r="132" spans="1:7" ht="18" thickBot="1" x14ac:dyDescent="0.35">
      <c r="A132" s="2">
        <v>11</v>
      </c>
      <c r="C132" s="38" t="s">
        <v>47</v>
      </c>
      <c r="D132" s="43">
        <f>TRUNC(4647+2389+438,-1)</f>
        <v>7470</v>
      </c>
      <c r="E132" s="64">
        <f t="shared" si="4"/>
        <v>24690</v>
      </c>
      <c r="F132" s="54" t="s">
        <v>262</v>
      </c>
    </row>
    <row r="133" spans="1:7" x14ac:dyDescent="0.3">
      <c r="A133" s="2">
        <v>12</v>
      </c>
      <c r="C133" s="27" t="s">
        <v>112</v>
      </c>
      <c r="D133" s="39">
        <f>SUM(D122:D132)</f>
        <v>146080</v>
      </c>
      <c r="E133" s="39">
        <f>SUM(E122:E132)</f>
        <v>482860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TRUNC(2922+1824,-1)</f>
        <v>4740</v>
      </c>
      <c r="E137" s="63">
        <f t="shared" si="5"/>
        <v>15660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TRUNC(2457,-1)</f>
        <v>2450</v>
      </c>
      <c r="E140" s="63">
        <f t="shared" si="5"/>
        <v>8090</v>
      </c>
    </row>
    <row r="141" spans="1:7" x14ac:dyDescent="0.3">
      <c r="A141" s="2">
        <v>6</v>
      </c>
      <c r="C141" s="38" t="s">
        <v>59</v>
      </c>
      <c r="D141" s="42">
        <f>TRUNC(18432,-1)</f>
        <v>18430</v>
      </c>
      <c r="E141" s="63">
        <f t="shared" si="5"/>
        <v>60920</v>
      </c>
    </row>
    <row r="142" spans="1:7" x14ac:dyDescent="0.3">
      <c r="A142" s="2">
        <v>7</v>
      </c>
      <c r="C142" s="38" t="s">
        <v>58</v>
      </c>
      <c r="D142" s="42">
        <f>TRUNC(4789,-1)</f>
        <v>4780</v>
      </c>
      <c r="E142" s="63">
        <f t="shared" si="5"/>
        <v>15800</v>
      </c>
    </row>
    <row r="143" spans="1:7" x14ac:dyDescent="0.3">
      <c r="A143" s="2">
        <v>8</v>
      </c>
      <c r="C143" s="38" t="s">
        <v>62</v>
      </c>
      <c r="D143" s="42">
        <f>TRUNC(3625,-1)</f>
        <v>3620</v>
      </c>
      <c r="E143" s="63">
        <f t="shared" si="5"/>
        <v>11960</v>
      </c>
    </row>
    <row r="144" spans="1:7" x14ac:dyDescent="0.3">
      <c r="A144" s="2">
        <v>9</v>
      </c>
      <c r="C144" s="38" t="s">
        <v>63</v>
      </c>
      <c r="D144" s="42">
        <f>TRUNC(13882,-1)</f>
        <v>13880</v>
      </c>
      <c r="E144" s="63">
        <f t="shared" si="5"/>
        <v>45880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47900</v>
      </c>
      <c r="E146" s="39">
        <f>SUM(E136:E145)</f>
        <v>158310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TRUNC(6663+1075,-1)</f>
        <v>7730</v>
      </c>
      <c r="E149" s="62">
        <f>TRUNC(+D149*3.3058,-1)</f>
        <v>25550</v>
      </c>
    </row>
    <row r="150" spans="1:7" x14ac:dyDescent="0.3">
      <c r="A150" s="2">
        <v>2</v>
      </c>
      <c r="C150" s="38" t="s">
        <v>49</v>
      </c>
      <c r="D150" s="42">
        <f>TRUNC(549,-1)</f>
        <v>540</v>
      </c>
      <c r="E150" s="63">
        <f>TRUNC(+D150*3.3058,-1)</f>
        <v>1780</v>
      </c>
    </row>
    <row r="151" spans="1:7" x14ac:dyDescent="0.3">
      <c r="A151" s="2">
        <v>3</v>
      </c>
      <c r="C151" s="38" t="s">
        <v>50</v>
      </c>
      <c r="D151" s="42">
        <f>TRUNC(2439,-1)</f>
        <v>2430</v>
      </c>
      <c r="E151" s="63">
        <f>TRUNC(+D151*3.3058,-1)</f>
        <v>8030</v>
      </c>
    </row>
    <row r="152" spans="1:7" x14ac:dyDescent="0.3">
      <c r="A152" s="2">
        <v>4</v>
      </c>
      <c r="C152" s="38" t="s">
        <v>47</v>
      </c>
      <c r="D152" s="42">
        <f>TRUNC(380+1822+25,-1)</f>
        <v>2220</v>
      </c>
      <c r="E152" s="63">
        <f>TRUNC(+D152*3.3058,-1)</f>
        <v>7330</v>
      </c>
      <c r="F152" s="2" t="s">
        <v>264</v>
      </c>
    </row>
    <row r="153" spans="1:7" ht="17.25" thickBot="1" x14ac:dyDescent="0.35">
      <c r="A153" s="2">
        <v>5</v>
      </c>
      <c r="C153" s="38" t="s">
        <v>148</v>
      </c>
      <c r="D153" s="43">
        <f>TRUNC(15563,-1)</f>
        <v>15560</v>
      </c>
      <c r="E153" s="64">
        <f>TRUNC(+D153*3.3058,-1)</f>
        <v>51430</v>
      </c>
    </row>
    <row r="154" spans="1:7" x14ac:dyDescent="0.3">
      <c r="A154" s="2">
        <v>6</v>
      </c>
      <c r="C154" s="27" t="s">
        <v>112</v>
      </c>
      <c r="D154" s="39">
        <f>SUM(D149:D153)</f>
        <v>28480</v>
      </c>
      <c r="E154" s="39">
        <f>SUM(E149:E153)</f>
        <v>94120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TRUNC(12924,-1)</f>
        <v>12920</v>
      </c>
      <c r="E157" s="62">
        <f>TRUNC(+D157*3.3058,-1)</f>
        <v>42710</v>
      </c>
    </row>
    <row r="158" spans="1:7" x14ac:dyDescent="0.3">
      <c r="A158" s="2">
        <v>2</v>
      </c>
      <c r="C158" s="38" t="s">
        <v>52</v>
      </c>
      <c r="D158" s="42">
        <f>TRUNC(26479,-1)</f>
        <v>26470</v>
      </c>
      <c r="E158" s="63">
        <f>TRUNC(+D158*3.3058,-1)</f>
        <v>87500</v>
      </c>
    </row>
    <row r="159" spans="1:7" x14ac:dyDescent="0.3">
      <c r="A159" s="2">
        <v>3</v>
      </c>
      <c r="C159" s="38" t="s">
        <v>47</v>
      </c>
      <c r="D159" s="42">
        <f>TRUNC(13197+6097,-1)</f>
        <v>19290</v>
      </c>
      <c r="E159" s="63">
        <f>TRUNC(+D159*3.3058,-1)</f>
        <v>63760</v>
      </c>
      <c r="F159" s="2" t="s">
        <v>265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58680</v>
      </c>
      <c r="E161" s="39">
        <f>SUM(E157:E160)</f>
        <v>193970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2020-12-07T10:01:14Z</dcterms:modified>
</cp:coreProperties>
</file>