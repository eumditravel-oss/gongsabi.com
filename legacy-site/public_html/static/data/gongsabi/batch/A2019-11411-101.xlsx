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89" i="4"/>
  <c r="D76" i="4"/>
  <c r="D73" i="4"/>
  <c r="D72" i="4"/>
  <c r="D71" i="4"/>
  <c r="D70" i="4"/>
  <c r="D69" i="4"/>
  <c r="D63" i="4"/>
  <c r="D59" i="4"/>
  <c r="D53" i="4"/>
  <c r="D52" i="4"/>
  <c r="D50" i="4"/>
  <c r="D49" i="4"/>
  <c r="D46" i="4"/>
  <c r="D45" i="4"/>
  <c r="D44" i="4"/>
  <c r="D43" i="4"/>
  <c r="D42" i="4"/>
  <c r="D41" i="4"/>
  <c r="D40" i="4"/>
  <c r="D149" i="4" l="1"/>
  <c r="D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<sst xmlns="http://schemas.openxmlformats.org/spreadsheetml/2006/main" count="393" uniqueCount="267">
  <si>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</si>
  <si>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</si>
  <si>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</si>
  <si>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</si>
  <si>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</si>
  <si>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</si>
  <si>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</si>
  <si>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</si>
  <si>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</si>
  <si>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</si>
  <si>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</si>
  <si>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</si>
  <si>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</si>
  <si>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</si>
  <si>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</si>
  <si>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</si>
  <si>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</si>
  <si>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</si>
  <si>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</si>
  <si>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</si>
  <si>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</si>
  <si>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</si>
  <si>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</si>
  <si>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</si>
  <si>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</si>
  <si>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</si>
  <si>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</si>
  <si>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</si>
  <si>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</si>
  <si>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</si>
  <si>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</si>
  <si>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</si>
  <si>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</si>
  <si>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</si>
  <si>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</si>
  <si>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</si>
  <si>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</si>
  <si>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</si>
  <si>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</si>
  <si>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</si>
  <si>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</si>
  <si>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</si>
  <si>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</si>
  <si>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</si>
  <si>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</si>
  <si>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</si>
  <si>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</si>
  <si>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</si>
  <si>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</si>
  <si>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</si>
  <si>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</si>
  <si>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</si>
  <si>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</si>
  <si>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</si>
  <si>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</si>
  <si>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</si>
  <si>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</si>
  <si>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</si>
  <si>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</si>
  <si>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</si>
  <si>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</si>
  <si>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</si>
  <si>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</si>
  <si>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</si>
  <si>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</si>
  <si>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</si>
  <si>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</si>
  <si>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</si>
  <si>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</si>
  <si>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</si>
  <si>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</si>
  <si>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</si>
  <si>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</si>
  <si>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</si>
  <si>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</si>
  <si>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</si>
  <si>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</si>
  <si>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</si>
  <si>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</si>
  <si>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</si>
  <si>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</si>
  <si>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</si>
  <si>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</si>
  <si>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</si>
  <si>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</si>
  <si>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</si>
  <si>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</si>
  <si>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</si>
  <si>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</si>
  <si>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</si>
  <si>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</si>
  <si>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</si>
  <si>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</si>
  <si>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</si>
  <si>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</si>
  <si>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</si>
  <si>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</si>
  <si>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</si>
  <si>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</si>
  <si>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</si>
  <si>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</si>
  <si>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</si>
  <si>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</si>
  <si>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</si>
  <si>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</si>
  <si>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</si>
  <si>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</si>
  <si>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</si>
  <si>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</si>
  <si>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</si>
  <si>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</si>
  <si>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</si>
  <si>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</si>
  <si>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</si>
  <si>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</si>
  <si>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</si>
  <si>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</si>
  <si>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</si>
  <si>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</si>
  <si>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</si>
  <si>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</si>
  <si>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</si>
  <si>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</si>
  <si>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</si>
  <si>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</si>
  <si>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</si>
  <si>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</si>
  <si>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</si>
  <si>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</si>
  <si>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</si>
  <si>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</si>
  <si>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</si>
  <si>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</si>
  <si>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</si>
  <si>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</si>
  <si>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</si>
  <si>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</si>
  <si>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</si>
  <si>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</si>
  <si>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</si>
  <si>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</si>
  <si>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</si>
  <si>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</si>
  <si>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</si>
  <si>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</si>
  <si>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</si>
  <si>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</si>
  <si>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</si>
  <si>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</si>
  <si>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</si>
  <si>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</si>
  <si>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</si>
  <si>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</si>
  <si>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</si>
  <si>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</si>
  <si>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</si>
  <si>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</si>
  <si>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</si>
  <si>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</si>
  <si>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</si>
  <si>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</si>
  <si>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</si>
  <si>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</si>
  <si>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</si>
  <si>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</si>
  <si>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</si>
  <si>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</si>
  <si>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</si>
  <si>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</si>
  <si>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</si>
  <si>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</si>
  <si>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</si>
  <si>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</si>
  <si>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</si>
  <si>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</si>
  <si>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</si>
  <si>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</si>
  <si>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</si>
  <si>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</si>
  <si>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</si>
  <si>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</si>
  <si>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</si>
  <si>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</si>
  <si>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</si>
  <si>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</si>
  <si>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</si>
  <si>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</si>
  <si>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</si>
  <si>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</si>
  <si>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</si>
  <si>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</si>
  <si>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</si>
  <si>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</si>
  <si>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</si>
  <si>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</si>
  <si>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</si>
  <si>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</si>
  <si>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</si>
  <si>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</si>
  <si>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</si>
  <si>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</si>
  <si>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</si>
  <si>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</si>
  <si>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</si>
  <si>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</si>
  <si>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</si>
  <si>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</si>
  <si>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</si>
  <si>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</si>
  <si>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</si>
  <si>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</si>
  <si>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</si>
  <si>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</si>
  <si>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</si>
  <si>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</si>
  <si>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</si>
  <si>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</si>
  <si>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</si>
  <si>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</si>
  <si>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</si>
  <si>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</si>
  <si>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</si>
  <si>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</si>
  <si>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</si>
  <si>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</si>
  <si>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</si>
  <si>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</si>
  <si>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</si>
  <si>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</si>
  <si>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</si>
  <si>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</si>
  <si>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</si>
  <si>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</si>
  <si>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</si>
  <si>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</si>
  <si>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</si>
  <si>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</si>
  <si>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</si>
  <si>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</si>
  <si>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</si>
  <si>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</si>
  <si>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</si>
  <si>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</si>
  <si>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</si>
  <si>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</si>
  <si>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</si>
  <si>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</si>
  <si>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</si>
  <si>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</si>
  <si>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</si>
  <si>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</si>
  <si>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</si>
  <si>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</si>
  <si>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</si>
  <si>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충청도</t>
  </si>
  <si>
    <t>창호및유리공사</t>
    <phoneticPr fontId="2" type="noConversion"/>
  </si>
  <si>
    <t>(가칭)청원2초중학교 신축공사(계속비공사)</t>
    <phoneticPr fontId="2" type="noConversion"/>
  </si>
  <si>
    <t>기초공사, 골재비및운반비, 작업부산물, 품질시험비, 기타공사</t>
    <phoneticPr fontId="2" type="noConversion"/>
  </si>
  <si>
    <t>공조배관공사, 난방배관공사,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</si>
  <si>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</si>
  <si>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</si>
  <si>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원격검침 설비공사, 기타공사</t>
    <phoneticPr fontId="2" type="noConversion"/>
  </si>
  <si>
    <t>옥외소화배관공사, 펌프실배관공사, 기타공사</t>
    <phoneticPr fontId="2" type="noConversion"/>
  </si>
  <si>
    <t>상수도공사,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</si>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</sst>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14125.87</v>
      </c>
      <c r="D7" s="36">
        <f>+C7/3.3058</f>
        <v>4273.0564462459924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801860</v>
      </c>
      <c r="E25" s="59">
        <f t="shared" si="0"/>
        <v>2650780</v>
      </c>
    </row>
    <row r="26" spans="1:5" x14ac:dyDescent="0.3">
      <c r="B26" s="2">
        <v>3</v>
      </c>
      <c r="C26" s="35" t="s">
        <v>95</v>
      </c>
      <c r="D26" s="45">
        <f>+D66</f>
        <v>3250</v>
      </c>
      <c r="E26" s="59">
        <f t="shared" si="0"/>
        <v>10740</v>
      </c>
    </row>
    <row r="27" spans="1:5" x14ac:dyDescent="0.3">
      <c r="B27" s="2">
        <v>4</v>
      </c>
      <c r="C27" s="35" t="s">
        <v>96</v>
      </c>
      <c r="D27" s="45">
        <f>+D95</f>
        <v>227430</v>
      </c>
      <c r="E27" s="59">
        <f t="shared" si="0"/>
        <v>751830</v>
      </c>
    </row>
    <row r="28" spans="1:5" x14ac:dyDescent="0.3">
      <c r="B28" s="2">
        <v>5</v>
      </c>
      <c r="C28" s="35" t="s">
        <v>97</v>
      </c>
      <c r="D28" s="45">
        <f>+D119</f>
        <v>166050</v>
      </c>
      <c r="E28" s="59">
        <f t="shared" si="0"/>
        <v>548920</v>
      </c>
    </row>
    <row r="29" spans="1:5" x14ac:dyDescent="0.3">
      <c r="B29" s="2">
        <v>6</v>
      </c>
      <c r="C29" s="35" t="s">
        <v>98</v>
      </c>
      <c r="D29" s="45">
        <f>+D133</f>
        <v>60760</v>
      </c>
      <c r="E29" s="59">
        <f t="shared" si="0"/>
        <v>200860</v>
      </c>
    </row>
    <row r="30" spans="1:5" x14ac:dyDescent="0.3">
      <c r="B30" s="2">
        <v>7</v>
      </c>
      <c r="C30" s="35" t="s">
        <v>99</v>
      </c>
      <c r="D30" s="45">
        <f>+D146</f>
        <v>58900</v>
      </c>
      <c r="E30" s="59">
        <f t="shared" si="0"/>
        <v>194710</v>
      </c>
    </row>
    <row r="31" spans="1:5" x14ac:dyDescent="0.3">
      <c r="B31" s="2">
        <v>8</v>
      </c>
      <c r="C31" s="35" t="s">
        <v>100</v>
      </c>
      <c r="D31" s="45">
        <f>+D154</f>
        <v>49330</v>
      </c>
      <c r="E31" s="59">
        <f t="shared" si="0"/>
        <v>163070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376080</v>
      </c>
      <c r="E33" s="60">
        <f t="shared" si="0"/>
        <v>1243240</v>
      </c>
    </row>
    <row r="34" spans="1:7" x14ac:dyDescent="0.3">
      <c r="C34" s="35" t="s">
        <v>112</v>
      </c>
      <c r="D34" s="44">
        <f>SUM(D24:D33)</f>
        <v>1743660</v>
      </c>
      <c r="E34" s="44">
        <f>SUM(E24:E33)</f>
        <v>5764150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TRUNC(39566,-1)</f>
        <v>39560</v>
      </c>
      <c r="E40" s="62">
        <f t="shared" ref="E40:E59" si="1">TRUNC(+D40*3.3058,-1)</f>
        <v>130770</v>
      </c>
    </row>
    <row r="41" spans="1:7" x14ac:dyDescent="0.3">
      <c r="A41" s="2">
        <v>2</v>
      </c>
      <c r="C41" s="38" t="s">
        <v>13</v>
      </c>
      <c r="D41" s="42">
        <f>TRUNC(145399,-1)</f>
        <v>145390</v>
      </c>
      <c r="E41" s="63">
        <f t="shared" si="1"/>
        <v>480630</v>
      </c>
    </row>
    <row r="42" spans="1:7" x14ac:dyDescent="0.3">
      <c r="A42" s="2">
        <v>3</v>
      </c>
      <c r="C42" s="38" t="s">
        <v>14</v>
      </c>
      <c r="D42" s="42">
        <f>TRUNC(7284,-1)</f>
        <v>7280</v>
      </c>
      <c r="E42" s="63">
        <f t="shared" si="1"/>
        <v>24060</v>
      </c>
    </row>
    <row r="43" spans="1:7" x14ac:dyDescent="0.3">
      <c r="A43" s="2">
        <v>4</v>
      </c>
      <c r="C43" s="38" t="s">
        <v>16</v>
      </c>
      <c r="D43" s="42">
        <f>TRUNC(51018,-1)</f>
        <v>51010</v>
      </c>
      <c r="E43" s="63">
        <f t="shared" si="1"/>
        <v>168620</v>
      </c>
    </row>
    <row r="44" spans="1:7" x14ac:dyDescent="0.3">
      <c r="A44" s="2">
        <v>5</v>
      </c>
      <c r="C44" s="38" t="s">
        <v>17</v>
      </c>
      <c r="D44" s="42">
        <f>TRUNC(24063,-1)</f>
        <v>24060</v>
      </c>
      <c r="E44" s="63">
        <f t="shared" si="1"/>
        <v>79530</v>
      </c>
    </row>
    <row r="45" spans="1:7" x14ac:dyDescent="0.3">
      <c r="A45" s="2">
        <v>6</v>
      </c>
      <c r="C45" s="38" t="s">
        <v>18</v>
      </c>
      <c r="D45" s="42">
        <f>TRUNC(10607,-1)</f>
        <v>10600</v>
      </c>
      <c r="E45" s="63">
        <f t="shared" si="1"/>
        <v>35040</v>
      </c>
    </row>
    <row r="46" spans="1:7" x14ac:dyDescent="0.3">
      <c r="A46" s="2">
        <v>7</v>
      </c>
      <c r="C46" s="38" t="s">
        <v>19</v>
      </c>
      <c r="D46" s="42">
        <f>TRUNC(17203,-1)</f>
        <v>17200</v>
      </c>
      <c r="E46" s="63">
        <f t="shared" si="1"/>
        <v>56850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48500</v>
      </c>
      <c r="E48" s="63">
        <f t="shared" si="1"/>
        <v>160330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TRUNC(18454,-1)</f>
        <v>18450</v>
      </c>
      <c r="E49" s="63">
        <f t="shared" si="1"/>
        <v>60990</v>
      </c>
    </row>
    <row r="50" spans="1:7" x14ac:dyDescent="0.3">
      <c r="A50" s="2">
        <v>11</v>
      </c>
      <c r="C50" s="38" t="s">
        <v>156</v>
      </c>
      <c r="D50" s="42">
        <f>TRUNC(77082,-1)</f>
        <v>77080</v>
      </c>
      <c r="E50" s="63">
        <f t="shared" si="1"/>
        <v>254810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TRUNC(8197,-1)</f>
        <v>8190</v>
      </c>
      <c r="E52" s="63">
        <f t="shared" si="1"/>
        <v>27070</v>
      </c>
    </row>
    <row r="53" spans="1:7" x14ac:dyDescent="0.3">
      <c r="A53" s="2">
        <v>14</v>
      </c>
      <c r="C53" s="38" t="s">
        <v>25</v>
      </c>
      <c r="D53" s="42">
        <f>TRUNC(84627,-1)</f>
        <v>84620</v>
      </c>
      <c r="E53" s="63">
        <f t="shared" si="1"/>
        <v>279730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9934+5056-832+1352+5260</f>
        <v>20770</v>
      </c>
      <c r="E58" s="63">
        <f t="shared" si="1"/>
        <v>68660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TRUNC(249152,-1)</f>
        <v>249150</v>
      </c>
      <c r="E59" s="64">
        <f t="shared" si="1"/>
        <v>823640</v>
      </c>
    </row>
    <row r="60" spans="1:7" x14ac:dyDescent="0.3">
      <c r="A60" s="2">
        <v>21</v>
      </c>
      <c r="C60" s="27" t="s">
        <v>112</v>
      </c>
      <c r="D60" s="39">
        <f>SUM(D40:D59)</f>
        <v>801860</v>
      </c>
      <c r="E60" s="39">
        <f>SUM(E40:E59)</f>
        <v>2650730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TRUNC(3253,-1)</f>
        <v>3250</v>
      </c>
      <c r="E63" s="62">
        <f>TRUNC(+D63*3.3058,-1)</f>
        <v>10740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3250</v>
      </c>
      <c r="E66" s="65">
        <f>SUM(E63:E65)</f>
        <v>10740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TRUNC(8309,-1)</f>
        <v>8300</v>
      </c>
      <c r="E69" s="62">
        <f t="shared" ref="E69:E94" si="2">TRUNC(+D69*3.3058,-1)</f>
        <v>27430</v>
      </c>
    </row>
    <row r="70" spans="1:7" ht="16.5" customHeight="1" x14ac:dyDescent="0.3">
      <c r="A70" s="2">
        <v>2</v>
      </c>
      <c r="C70" s="38" t="s">
        <v>31</v>
      </c>
      <c r="D70" s="42">
        <f>TRUNC(1888,-1)</f>
        <v>1880</v>
      </c>
      <c r="E70" s="63">
        <f t="shared" si="2"/>
        <v>6210</v>
      </c>
    </row>
    <row r="71" spans="1:7" x14ac:dyDescent="0.3">
      <c r="A71" s="2">
        <v>3</v>
      </c>
      <c r="C71" s="38" t="s">
        <v>32</v>
      </c>
      <c r="D71" s="42">
        <f>TRUNC(7233,-1)</f>
        <v>7230</v>
      </c>
      <c r="E71" s="63">
        <f t="shared" si="2"/>
        <v>23900</v>
      </c>
    </row>
    <row r="72" spans="1:7" x14ac:dyDescent="0.3">
      <c r="A72" s="2">
        <v>4</v>
      </c>
      <c r="C72" s="38" t="s">
        <v>33</v>
      </c>
      <c r="D72" s="42">
        <f>TRUNC(6989,-1)</f>
        <v>6980</v>
      </c>
      <c r="E72" s="63">
        <f t="shared" si="2"/>
        <v>23070</v>
      </c>
    </row>
    <row r="73" spans="1:7" x14ac:dyDescent="0.3">
      <c r="A73" s="2">
        <v>5</v>
      </c>
      <c r="C73" s="38" t="s">
        <v>34</v>
      </c>
      <c r="D73" s="42">
        <f>TRUNC(17913,-1)</f>
        <v>17910</v>
      </c>
      <c r="E73" s="63">
        <f t="shared" si="2"/>
        <v>59200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TRUNC(24986,-1)</f>
        <v>24980</v>
      </c>
      <c r="E76" s="63">
        <f t="shared" si="2"/>
        <v>82570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TRUNC(9314,-1)</f>
        <v>9310</v>
      </c>
      <c r="E89" s="63">
        <f t="shared" si="2"/>
        <v>30770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TRUNC(5186,-1)</f>
        <v>5180</v>
      </c>
      <c r="E91" s="63">
        <f t="shared" si="2"/>
        <v>17120</v>
      </c>
    </row>
    <row r="92" spans="1:7" x14ac:dyDescent="0.3">
      <c r="A92" s="2">
        <v>24</v>
      </c>
      <c r="C92" s="38" t="s">
        <v>38</v>
      </c>
      <c r="D92" s="42">
        <f>TRUNC(15329,-1)</f>
        <v>15320</v>
      </c>
      <c r="E92" s="63">
        <f t="shared" si="2"/>
        <v>50640</v>
      </c>
    </row>
    <row r="93" spans="1:7" x14ac:dyDescent="0.3">
      <c r="A93" s="2">
        <v>25</v>
      </c>
      <c r="C93" s="38" t="s">
        <v>149</v>
      </c>
      <c r="D93" s="42">
        <f>TRUNC(124422,-1)</f>
        <v>124420</v>
      </c>
      <c r="E93" s="63">
        <f t="shared" si="2"/>
        <v>411300</v>
      </c>
    </row>
    <row r="94" spans="1:7" ht="17.25" thickBot="1" x14ac:dyDescent="0.35">
      <c r="A94" s="2">
        <v>26</v>
      </c>
      <c r="C94" s="38" t="s">
        <v>47</v>
      </c>
      <c r="D94" s="43">
        <f>TRUNC(367+2336+3221,-1)</f>
        <v>5920</v>
      </c>
      <c r="E94" s="64">
        <f t="shared" si="2"/>
        <v>19570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227430</v>
      </c>
      <c r="E95" s="39">
        <f>SUM(E69:E94)</f>
        <v>751780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TRUNC(12778,-1)</f>
        <v>12770</v>
      </c>
      <c r="E98" s="62">
        <f t="shared" ref="E98:E118" si="3">TRUNC(+D98*3.3058,-1)</f>
        <v>42210</v>
      </c>
    </row>
    <row r="99" spans="1:7" x14ac:dyDescent="0.3">
      <c r="A99" s="2">
        <v>2</v>
      </c>
      <c r="C99" s="38" t="s">
        <v>40</v>
      </c>
      <c r="D99" s="42">
        <f>TRUNC(3029,-1)</f>
        <v>3020</v>
      </c>
      <c r="E99" s="63">
        <f t="shared" si="3"/>
        <v>9980</v>
      </c>
    </row>
    <row r="100" spans="1:7" x14ac:dyDescent="0.3">
      <c r="A100" s="2">
        <v>3</v>
      </c>
      <c r="C100" s="38" t="s">
        <v>41</v>
      </c>
      <c r="D100" s="42">
        <f>TRUNC(30179,-1)</f>
        <v>30170</v>
      </c>
      <c r="E100" s="63">
        <f t="shared" si="3"/>
        <v>99730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TRUNC(19632,-1)</f>
        <v>19630</v>
      </c>
      <c r="E102" s="63">
        <f t="shared" si="3"/>
        <v>64890</v>
      </c>
    </row>
    <row r="103" spans="1:7" x14ac:dyDescent="0.3">
      <c r="A103" s="2">
        <v>6</v>
      </c>
      <c r="C103" s="38" t="s">
        <v>44</v>
      </c>
      <c r="D103" s="42">
        <f>TRUNC(10988,-1)</f>
        <v>10980</v>
      </c>
      <c r="E103" s="63">
        <f t="shared" si="3"/>
        <v>36290</v>
      </c>
    </row>
    <row r="104" spans="1:7" x14ac:dyDescent="0.3">
      <c r="A104" s="2">
        <v>7</v>
      </c>
      <c r="C104" s="38" t="s">
        <v>45</v>
      </c>
      <c r="D104" s="42">
        <f>TRUNC(2378,-1)</f>
        <v>2370</v>
      </c>
      <c r="E104" s="63">
        <f t="shared" si="3"/>
        <v>7830</v>
      </c>
    </row>
    <row r="105" spans="1:7" x14ac:dyDescent="0.3">
      <c r="A105" s="2">
        <v>8</v>
      </c>
      <c r="C105" s="38" t="s">
        <v>46</v>
      </c>
      <c r="D105" s="42">
        <f>TRUNC(12038,-1)</f>
        <v>12030</v>
      </c>
      <c r="E105" s="63">
        <f t="shared" si="3"/>
        <v>39760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TRUNC(3259,-1)</f>
        <v>3250</v>
      </c>
      <c r="E114" s="63">
        <f t="shared" si="3"/>
        <v>10740</v>
      </c>
      <c r="F114" s="2" t="s">
        <v>260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TRUNC(972,-1)</f>
        <v>970</v>
      </c>
      <c r="E116" s="63">
        <f t="shared" si="3"/>
        <v>3200</v>
      </c>
      <c r="F116" s="2" t="s">
        <v>259</v>
      </c>
    </row>
    <row r="117" spans="1:7" x14ac:dyDescent="0.3">
      <c r="A117" s="2">
        <v>20</v>
      </c>
      <c r="C117" s="38" t="s">
        <v>149</v>
      </c>
      <c r="D117" s="42">
        <f>TRUNC(68588,-1)</f>
        <v>68580</v>
      </c>
      <c r="E117" s="63">
        <f t="shared" si="3"/>
        <v>226710</v>
      </c>
    </row>
    <row r="118" spans="1:7" ht="17.25" thickBot="1" x14ac:dyDescent="0.35">
      <c r="A118" s="2">
        <v>21</v>
      </c>
      <c r="C118" s="38" t="s">
        <v>47</v>
      </c>
      <c r="D118" s="43">
        <f>TRUNC(1162+1126,-1)</f>
        <v>2280</v>
      </c>
      <c r="E118" s="64">
        <f t="shared" si="3"/>
        <v>7530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166050</v>
      </c>
      <c r="E119" s="39">
        <f>SUM(E98:E118)</f>
        <v>548870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TRUNC(4549,-1)</f>
        <v>4540</v>
      </c>
      <c r="E122" s="62">
        <f t="shared" ref="E122:E132" si="4">TRUNC(+D122*3.3058,-1)</f>
        <v>15000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TRUNC(1189,-1)</f>
        <v>1180</v>
      </c>
      <c r="E124" s="63">
        <f t="shared" si="4"/>
        <v>3900</v>
      </c>
    </row>
    <row r="125" spans="1:7" x14ac:dyDescent="0.3">
      <c r="A125" s="2">
        <v>4</v>
      </c>
      <c r="C125" s="38" t="s">
        <v>138</v>
      </c>
      <c r="D125" s="42">
        <f>TRUNC(8218,-1)</f>
        <v>8210</v>
      </c>
      <c r="E125" s="63">
        <f t="shared" si="4"/>
        <v>27140</v>
      </c>
    </row>
    <row r="126" spans="1:7" x14ac:dyDescent="0.3">
      <c r="A126" s="2">
        <v>5</v>
      </c>
      <c r="C126" s="38" t="s">
        <v>53</v>
      </c>
      <c r="D126" s="42">
        <f>TRUNC(1889,-1)</f>
        <v>1880</v>
      </c>
      <c r="E126" s="63">
        <f t="shared" si="4"/>
        <v>6210</v>
      </c>
    </row>
    <row r="127" spans="1:7" x14ac:dyDescent="0.3">
      <c r="A127" s="2">
        <v>6</v>
      </c>
      <c r="C127" s="38" t="s">
        <v>56</v>
      </c>
      <c r="D127" s="42">
        <f>TRUNC(529,-1)</f>
        <v>520</v>
      </c>
      <c r="E127" s="63">
        <f t="shared" si="4"/>
        <v>1710</v>
      </c>
    </row>
    <row r="128" spans="1:7" x14ac:dyDescent="0.3">
      <c r="A128" s="2">
        <v>7</v>
      </c>
      <c r="C128" s="38" t="s">
        <v>46</v>
      </c>
      <c r="D128" s="42">
        <f>TRUNC(6959,-1)</f>
        <v>6950</v>
      </c>
      <c r="E128" s="63">
        <f t="shared" si="4"/>
        <v>22970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TRUNC(20284,-1)</f>
        <v>20280</v>
      </c>
      <c r="E130" s="63">
        <f t="shared" si="4"/>
        <v>67040</v>
      </c>
    </row>
    <row r="131" spans="1:7" x14ac:dyDescent="0.3">
      <c r="A131" s="2">
        <v>10</v>
      </c>
      <c r="C131" s="38" t="s">
        <v>149</v>
      </c>
      <c r="D131" s="42">
        <f>TRUNC(16091,-1)</f>
        <v>16090</v>
      </c>
      <c r="E131" s="63">
        <f t="shared" si="4"/>
        <v>53190</v>
      </c>
    </row>
    <row r="132" spans="1:7" ht="18" thickBot="1" x14ac:dyDescent="0.35">
      <c r="A132" s="2">
        <v>11</v>
      </c>
      <c r="C132" s="38" t="s">
        <v>47</v>
      </c>
      <c r="D132" s="43">
        <f>TRUNC(1025+91,-1)</f>
        <v>1110</v>
      </c>
      <c r="E132" s="64">
        <f t="shared" si="4"/>
        <v>3660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60760</v>
      </c>
      <c r="E133" s="39">
        <f>SUM(E122:E132)</f>
        <v>200820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TRUNC(593+303+53,-1)</f>
        <v>940</v>
      </c>
      <c r="E137" s="63">
        <f t="shared" si="5"/>
        <v>3100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TRUNC(2631,-1)</f>
        <v>2630</v>
      </c>
      <c r="E139" s="63">
        <f t="shared" si="5"/>
        <v>8690</v>
      </c>
    </row>
    <row r="140" spans="1:7" x14ac:dyDescent="0.3">
      <c r="A140" s="2">
        <v>5</v>
      </c>
      <c r="C140" s="38" t="s">
        <v>57</v>
      </c>
      <c r="D140" s="42">
        <f>TRUNC(5023,-1)</f>
        <v>5020</v>
      </c>
      <c r="E140" s="63">
        <f t="shared" si="5"/>
        <v>16590</v>
      </c>
    </row>
    <row r="141" spans="1:7" x14ac:dyDescent="0.3">
      <c r="A141" s="2">
        <v>6</v>
      </c>
      <c r="C141" s="38" t="s">
        <v>59</v>
      </c>
      <c r="D141" s="42">
        <f>TRUNC(13241,-1)</f>
        <v>13240</v>
      </c>
      <c r="E141" s="63">
        <f t="shared" si="5"/>
        <v>43760</v>
      </c>
    </row>
    <row r="142" spans="1:7" x14ac:dyDescent="0.3">
      <c r="A142" s="2">
        <v>7</v>
      </c>
      <c r="C142" s="38" t="s">
        <v>58</v>
      </c>
      <c r="D142" s="42">
        <f>TRUNC(8329,-1)</f>
        <v>8320</v>
      </c>
      <c r="E142" s="63">
        <f t="shared" si="5"/>
        <v>27500</v>
      </c>
    </row>
    <row r="143" spans="1:7" x14ac:dyDescent="0.3">
      <c r="A143" s="2">
        <v>8</v>
      </c>
      <c r="C143" s="38" t="s">
        <v>62</v>
      </c>
      <c r="D143" s="42">
        <f>TRUNC(12493,-1)</f>
        <v>12490</v>
      </c>
      <c r="E143" s="63">
        <f t="shared" si="5"/>
        <v>41280</v>
      </c>
    </row>
    <row r="144" spans="1:7" x14ac:dyDescent="0.3">
      <c r="A144" s="2">
        <v>9</v>
      </c>
      <c r="C144" s="38" t="s">
        <v>63</v>
      </c>
      <c r="D144" s="42">
        <f>TRUNC(16267,-1)</f>
        <v>16260</v>
      </c>
      <c r="E144" s="63">
        <f t="shared" si="5"/>
        <v>53750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58900</v>
      </c>
      <c r="E146" s="39">
        <f>SUM(E136:E145)</f>
        <v>194670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7482+2958</f>
        <v>10440</v>
      </c>
      <c r="E149" s="62">
        <f>TRUNC(+D149*3.3058,-1)</f>
        <v>34510</v>
      </c>
    </row>
    <row r="150" spans="1:7" x14ac:dyDescent="0.3">
      <c r="A150" s="2">
        <v>2</v>
      </c>
      <c r="C150" s="38" t="s">
        <v>49</v>
      </c>
      <c r="D150" s="42">
        <f>TRUNC(8453,-1)</f>
        <v>8450</v>
      </c>
      <c r="E150" s="63">
        <f>TRUNC(+D150*3.3058,-1)</f>
        <v>27930</v>
      </c>
    </row>
    <row r="151" spans="1:7" x14ac:dyDescent="0.3">
      <c r="A151" s="2">
        <v>3</v>
      </c>
      <c r="C151" s="38" t="s">
        <v>50</v>
      </c>
      <c r="D151" s="42">
        <f>TRUNC(1310,-1)</f>
        <v>1310</v>
      </c>
      <c r="E151" s="63">
        <f>TRUNC(+D151*3.3058,-1)</f>
        <v>4330</v>
      </c>
    </row>
    <row r="152" spans="1:7" x14ac:dyDescent="0.3">
      <c r="A152" s="2">
        <v>4</v>
      </c>
      <c r="C152" s="38" t="s">
        <v>47</v>
      </c>
      <c r="D152" s="42">
        <f>TRUNC(204+119+3059,-1)</f>
        <v>3380</v>
      </c>
      <c r="E152" s="63">
        <f>TRUNC(+D152*3.3058,-1)</f>
        <v>11170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TRUNC(25759,-1)</f>
        <v>25750</v>
      </c>
      <c r="E153" s="64">
        <f>TRUNC(+D153*3.3058,-1)</f>
        <v>85120</v>
      </c>
    </row>
    <row r="154" spans="1:7" x14ac:dyDescent="0.3">
      <c r="A154" s="2">
        <v>6</v>
      </c>
      <c r="C154" s="27" t="s">
        <v>112</v>
      </c>
      <c r="D154" s="39">
        <f>SUM(D149:D153)</f>
        <v>49330</v>
      </c>
      <c r="E154" s="39">
        <f>SUM(E149:E153)</f>
        <v>163060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2020-12-08T04:38:02Z</dcterms:modified>
</cp:coreProperties>
</file>