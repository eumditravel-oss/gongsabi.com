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59" i="4"/>
  <c r="D159" i="4"/>
  <c r="D158" i="4"/>
  <c r="D157" i="4"/>
  <c r="D152" i="4"/>
  <c r="D150" i="4"/>
  <c r="D149" i="4"/>
  <c r="D139" i="4"/>
  <c r="D137" i="4"/>
  <c r="D144" i="4"/>
  <c r="D143" i="4"/>
  <c r="D141" i="4"/>
  <c r="D142" i="4"/>
  <c r="D140" i="4"/>
  <c r="D132" i="4"/>
  <c r="D128" i="4"/>
  <c r="D125" i="4"/>
  <c r="D122" i="4"/>
  <c r="D130" i="4"/>
  <c r="D105" i="4"/>
  <c r="D104" i="4"/>
  <c r="D103" i="4"/>
  <c r="D102" i="4"/>
  <c r="D99" i="4"/>
  <c r="D114" i="4"/>
  <c r="D116" i="4"/>
  <c r="D94" i="4"/>
  <c r="D76" i="4"/>
  <c r="D92" i="4"/>
  <c r="D91" i="4"/>
  <c r="D89" i="4"/>
  <c r="D73" i="4"/>
  <c r="D72" i="4"/>
  <c r="D71" i="4"/>
  <c r="D69" i="4"/>
  <c r="D63" i="4"/>
  <c r="D58" i="4"/>
  <c r="D53" i="4"/>
  <c r="D52" i="4"/>
  <c r="D50" i="4"/>
  <c r="D48" i="4"/>
  <c r="D49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<sst xmlns="http://schemas.openxmlformats.org/spreadsheetml/2006/main" count="394" uniqueCount="270">
  <si>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</si>
  <si>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</si>
  <si>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</si>
  <si>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</si>
  <si>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</si>
  <si>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</si>
  <si>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</si>
  <si>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</si>
  <si>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</si>
  <si>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</si>
  <si>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</si>
  <si>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</si>
  <si>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</si>
  <si>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</si>
  <si>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</si>
  <si>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</si>
  <si>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</si>
  <si>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</si>
  <si>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</si>
  <si>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</si>
  <si>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</si>
  <si>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</si>
  <si>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</si>
  <si>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</si>
  <si>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</si>
  <si>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</si>
  <si>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</si>
  <si>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</si>
  <si>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</si>
  <si>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</si>
  <si>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</si>
  <si>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</si>
  <si>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</si>
  <si>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</si>
  <si>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</si>
  <si>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</si>
  <si>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</si>
  <si>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</si>
  <si>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</si>
  <si>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</si>
  <si>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</si>
  <si>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</si>
  <si>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</si>
  <si>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</si>
  <si>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</si>
  <si>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</si>
  <si>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</si>
  <si>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</si>
  <si>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</si>
  <si>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</si>
  <si>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</si>
  <si>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</si>
  <si>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</si>
  <si>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</si>
  <si>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</si>
  <si>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</si>
  <si>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</si>
  <si>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</si>
  <si>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</si>
  <si>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</si>
  <si>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</si>
  <si>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</si>
  <si>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</si>
  <si>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</si>
  <si>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</si>
  <si>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</si>
  <si>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</si>
  <si>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</si>
  <si>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</si>
  <si>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</si>
  <si>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</si>
  <si>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</si>
  <si>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</si>
  <si>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</si>
  <si>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</si>
  <si>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</si>
  <si>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</si>
  <si>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</si>
  <si>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</si>
  <si>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</si>
  <si>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</si>
  <si>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</si>
  <si>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</si>
  <si>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</si>
  <si>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</si>
  <si>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</si>
  <si>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</si>
  <si>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</si>
  <si>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</si>
  <si>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</si>
  <si>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</si>
  <si>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</si>
  <si>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</si>
  <si>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</si>
  <si>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</si>
  <si>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</si>
  <si>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</si>
  <si>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</si>
  <si>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</si>
  <si>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</si>
  <si>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</si>
  <si>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</si>
  <si>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</si>
  <si>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</si>
  <si>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</si>
  <si>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</si>
  <si>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</si>
  <si>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</si>
  <si>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</si>
  <si>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</si>
  <si>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</si>
  <si>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</si>
  <si>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</si>
  <si>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</si>
  <si>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</si>
  <si>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</si>
  <si>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</si>
  <si>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</si>
  <si>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</si>
  <si>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</si>
  <si>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</si>
  <si>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</si>
  <si>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</si>
  <si>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</si>
  <si>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</si>
  <si>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</si>
  <si>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</si>
  <si>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</si>
  <si>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</si>
  <si>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</si>
  <si>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</si>
  <si>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</si>
  <si>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</si>
  <si>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</si>
  <si>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</si>
  <si>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</si>
  <si>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</si>
  <si>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</si>
  <si>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</si>
  <si>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</si>
  <si>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</si>
  <si>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</si>
  <si>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</si>
  <si>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</si>
  <si>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</si>
  <si>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</si>
  <si>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</si>
  <si>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</si>
  <si>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</si>
  <si>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</si>
  <si>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</si>
  <si>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</si>
  <si>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</si>
  <si>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</si>
  <si>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</si>
  <si>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</si>
  <si>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</si>
  <si>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</si>
  <si>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</si>
  <si>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</si>
  <si>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</si>
  <si>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</si>
  <si>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</si>
  <si>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</si>
  <si>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</si>
  <si>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</si>
  <si>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</si>
  <si>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</si>
  <si>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</si>
  <si>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</si>
  <si>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</si>
  <si>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</si>
  <si>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</si>
  <si>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</si>
  <si>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</si>
  <si>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</si>
  <si>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</si>
  <si>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</si>
  <si>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</si>
  <si>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</si>
  <si>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</si>
  <si>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</si>
  <si>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</si>
  <si>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</si>
  <si>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</si>
  <si>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</si>
  <si>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</si>
  <si>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</si>
  <si>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</si>
  <si>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</si>
  <si>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</si>
  <si>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</si>
  <si>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</si>
  <si>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</si>
  <si>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</si>
  <si>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</si>
  <si>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</si>
  <si>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</si>
  <si>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</si>
  <si>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</si>
  <si>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</si>
  <si>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</si>
  <si>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</si>
  <si>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</si>
  <si>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</si>
  <si>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</si>
  <si>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</si>
  <si>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</si>
  <si>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</si>
  <si>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</si>
  <si>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</si>
  <si>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</si>
  <si>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</si>
  <si>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</si>
  <si>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</si>
  <si>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</si>
  <si>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</si>
  <si>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</si>
  <si>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</si>
  <si>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</si>
  <si>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</si>
  <si>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</si>
  <si>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</si>
  <si>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</si>
  <si>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</si>
  <si>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</si>
  <si>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</si>
  <si>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</si>
  <si>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</si>
  <si>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</si>
  <si>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</si>
  <si>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</si>
  <si>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</si>
  <si>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</si>
  <si>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</si>
  <si>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</si>
  <si>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</si>
  <si>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</si>
  <si>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</si>
  <si>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</si>
  <si>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</si>
  <si>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</si>
  <si>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</si>
  <si>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</si>
  <si>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</si>
  <si>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</si>
  <si>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</si>
  <si>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</si>
  <si>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(가칭)익산솜리유치원 신축공사</t>
    <phoneticPr fontId="2" type="noConversion"/>
  </si>
  <si>
    <t>기타</t>
  </si>
  <si>
    <t>전라도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</si>
  <si>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</si>
  <si>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</si>
  <si>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</si>
  <si>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기초공사,해체및철거공사,골재비및운반비,품질시험비,기타공사</t>
    <phoneticPr fontId="2" type="noConversion"/>
  </si>
  <si>
    <t>난방배관공사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</si>
  <si>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</si>
  <si>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</si>
  <si>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</si>
  <si>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기타공사</t>
    <phoneticPr fontId="2" type="noConversion"/>
  </si>
  <si>
    <t>우수공사</t>
    <phoneticPr fontId="2" type="noConversion"/>
  </si>
  <si>
    <t>조경시설물</t>
    <phoneticPr fontId="2" type="noConversion"/>
  </si>
  <si>
    <t>포장공사,기타공사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</si>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</sst>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3451.06</v>
      </c>
      <c r="D7" s="36">
        <f>+C7/3.3058</f>
        <v>1043.9409522657147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1251430</v>
      </c>
      <c r="E25" s="59">
        <f t="shared" si="0"/>
        <v>4136970</v>
      </c>
    </row>
    <row r="26" spans="1:5" x14ac:dyDescent="0.3">
      <c r="B26" s="2">
        <v>3</v>
      </c>
      <c r="C26" s="35" t="s">
        <v>95</v>
      </c>
      <c r="D26" s="45">
        <f>+D66</f>
        <v>4090</v>
      </c>
      <c r="E26" s="59">
        <f t="shared" si="0"/>
        <v>13520</v>
      </c>
    </row>
    <row r="27" spans="1:5" x14ac:dyDescent="0.3">
      <c r="B27" s="2">
        <v>4</v>
      </c>
      <c r="C27" s="35" t="s">
        <v>96</v>
      </c>
      <c r="D27" s="45">
        <f>+D95</f>
        <v>172040</v>
      </c>
      <c r="E27" s="59">
        <f t="shared" si="0"/>
        <v>568720</v>
      </c>
    </row>
    <row r="28" spans="1:5" x14ac:dyDescent="0.3">
      <c r="B28" s="2">
        <v>5</v>
      </c>
      <c r="C28" s="35" t="s">
        <v>97</v>
      </c>
      <c r="D28" s="45">
        <f>+D119</f>
        <v>165210</v>
      </c>
      <c r="E28" s="59">
        <f t="shared" si="0"/>
        <v>546150</v>
      </c>
    </row>
    <row r="29" spans="1:5" x14ac:dyDescent="0.3">
      <c r="B29" s="2">
        <v>6</v>
      </c>
      <c r="C29" s="35" t="s">
        <v>98</v>
      </c>
      <c r="D29" s="45">
        <f>+D133</f>
        <v>43120</v>
      </c>
      <c r="E29" s="59">
        <f t="shared" si="0"/>
        <v>142540</v>
      </c>
    </row>
    <row r="30" spans="1:5" x14ac:dyDescent="0.3">
      <c r="B30" s="2">
        <v>7</v>
      </c>
      <c r="C30" s="35" t="s">
        <v>99</v>
      </c>
      <c r="D30" s="45">
        <f>+D146</f>
        <v>51630</v>
      </c>
      <c r="E30" s="59">
        <f t="shared" si="0"/>
        <v>170670</v>
      </c>
    </row>
    <row r="31" spans="1:5" x14ac:dyDescent="0.3">
      <c r="B31" s="2">
        <v>8</v>
      </c>
      <c r="C31" s="35" t="s">
        <v>100</v>
      </c>
      <c r="D31" s="45">
        <f>+D154</f>
        <v>117420</v>
      </c>
      <c r="E31" s="59">
        <f t="shared" si="0"/>
        <v>388160</v>
      </c>
    </row>
    <row r="32" spans="1:5" x14ac:dyDescent="0.3">
      <c r="B32" s="2">
        <v>9</v>
      </c>
      <c r="C32" s="35" t="s">
        <v>101</v>
      </c>
      <c r="D32" s="45">
        <f>+D161</f>
        <v>60300</v>
      </c>
      <c r="E32" s="59">
        <f t="shared" si="0"/>
        <v>199330</v>
      </c>
    </row>
    <row r="33" spans="1:7" x14ac:dyDescent="0.3">
      <c r="B33" s="2">
        <v>10</v>
      </c>
      <c r="C33" s="35" t="s">
        <v>154</v>
      </c>
      <c r="D33" s="53">
        <f>TRUNC(SUM(D24:D32)*0.275,-1)</f>
        <v>512940</v>
      </c>
      <c r="E33" s="60">
        <f t="shared" si="0"/>
        <v>1695670</v>
      </c>
    </row>
    <row r="34" spans="1:7" x14ac:dyDescent="0.3">
      <c r="C34" s="35" t="s">
        <v>112</v>
      </c>
      <c r="D34" s="44">
        <f>SUM(D24:D33)</f>
        <v>2378180</v>
      </c>
      <c r="E34" s="44">
        <f>SUM(E24:E33)</f>
        <v>7861730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263</v>
      </c>
      <c r="C39" s="56" t="s">
        <v>264</v>
      </c>
      <c r="D39" s="57" t="s">
        <v>265</v>
      </c>
      <c r="E39" s="57" t="s">
        <v>266</v>
      </c>
      <c r="G39" s="55"/>
    </row>
    <row r="40" spans="1:7" x14ac:dyDescent="0.3">
      <c r="A40" s="2">
        <v>1</v>
      </c>
      <c r="C40" s="38" t="s">
        <v>15</v>
      </c>
      <c r="D40" s="40">
        <f>TRUNC(51904,-1)</f>
        <v>51900</v>
      </c>
      <c r="E40" s="62">
        <f t="shared" ref="E40:E59" si="1">TRUNC(+D40*3.3058,-1)</f>
        <v>171570</v>
      </c>
    </row>
    <row r="41" spans="1:7" x14ac:dyDescent="0.3">
      <c r="A41" s="2">
        <v>2</v>
      </c>
      <c r="C41" s="38" t="s">
        <v>13</v>
      </c>
      <c r="D41" s="42">
        <f>TRUNC(209141,-1)</f>
        <v>209140</v>
      </c>
      <c r="E41" s="63">
        <f t="shared" si="1"/>
        <v>691370</v>
      </c>
    </row>
    <row r="42" spans="1:7" x14ac:dyDescent="0.3">
      <c r="A42" s="2">
        <v>3</v>
      </c>
      <c r="C42" s="38" t="s">
        <v>14</v>
      </c>
      <c r="D42" s="42">
        <f>TRUNC(1102,-1)</f>
        <v>1100</v>
      </c>
      <c r="E42" s="63">
        <f t="shared" si="1"/>
        <v>3630</v>
      </c>
    </row>
    <row r="43" spans="1:7" x14ac:dyDescent="0.3">
      <c r="A43" s="2">
        <v>4</v>
      </c>
      <c r="C43" s="38" t="s">
        <v>16</v>
      </c>
      <c r="D43" s="42">
        <f>TRUNC(49898,-1)</f>
        <v>49890</v>
      </c>
      <c r="E43" s="63">
        <f t="shared" si="1"/>
        <v>164920</v>
      </c>
    </row>
    <row r="44" spans="1:7" x14ac:dyDescent="0.3">
      <c r="A44" s="2">
        <v>5</v>
      </c>
      <c r="C44" s="38" t="s">
        <v>17</v>
      </c>
      <c r="D44" s="42">
        <f>TRUNC(31974,-1)</f>
        <v>31970</v>
      </c>
      <c r="E44" s="63">
        <f t="shared" si="1"/>
        <v>105680</v>
      </c>
    </row>
    <row r="45" spans="1:7" x14ac:dyDescent="0.3">
      <c r="A45" s="2">
        <v>6</v>
      </c>
      <c r="C45" s="38" t="s">
        <v>18</v>
      </c>
      <c r="D45" s="42">
        <f>TRUNC(15080,-1)</f>
        <v>15080</v>
      </c>
      <c r="E45" s="63">
        <f t="shared" si="1"/>
        <v>49850</v>
      </c>
    </row>
    <row r="46" spans="1:7" x14ac:dyDescent="0.3">
      <c r="A46" s="2">
        <v>7</v>
      </c>
      <c r="C46" s="38" t="s">
        <v>19</v>
      </c>
      <c r="D46" s="42">
        <f>TRUNC(1499,-1)</f>
        <v>1490</v>
      </c>
      <c r="E46" s="63">
        <f t="shared" si="1"/>
        <v>4920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TRUNC(115479,-1)</f>
        <v>115470</v>
      </c>
      <c r="E48" s="63">
        <f t="shared" si="1"/>
        <v>381720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TRUNC(33979,-1)</f>
        <v>33970</v>
      </c>
      <c r="E49" s="63">
        <f t="shared" si="1"/>
        <v>112290</v>
      </c>
    </row>
    <row r="50" spans="1:7" x14ac:dyDescent="0.3">
      <c r="A50" s="2">
        <v>11</v>
      </c>
      <c r="C50" s="38" t="s">
        <v>155</v>
      </c>
      <c r="D50" s="42">
        <f>TRUNC(38866,-1)</f>
        <v>38860</v>
      </c>
      <c r="E50" s="63">
        <f t="shared" si="1"/>
        <v>128460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TRUNC(18176,-1)</f>
        <v>18170</v>
      </c>
      <c r="E52" s="63">
        <f t="shared" si="1"/>
        <v>60060</v>
      </c>
    </row>
    <row r="53" spans="1:7" x14ac:dyDescent="0.3">
      <c r="A53" s="2">
        <v>14</v>
      </c>
      <c r="C53" s="38" t="s">
        <v>25</v>
      </c>
      <c r="D53" s="42">
        <f>TRUNC(119429,-1)</f>
        <v>119420</v>
      </c>
      <c r="E53" s="63">
        <f t="shared" si="1"/>
        <v>394770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TRUNC(52167+14018+10320+1225+36643,-1)</f>
        <v>114370</v>
      </c>
      <c r="E58" s="63">
        <f t="shared" si="1"/>
        <v>378080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TRUNC(450607,-1)</f>
        <v>450600</v>
      </c>
      <c r="E59" s="64">
        <f t="shared" si="1"/>
        <v>1489590</v>
      </c>
    </row>
    <row r="60" spans="1:7" x14ac:dyDescent="0.3">
      <c r="A60" s="2">
        <v>21</v>
      </c>
      <c r="C60" s="27" t="s">
        <v>112</v>
      </c>
      <c r="D60" s="39">
        <f>SUM(D40:D59)</f>
        <v>1251430</v>
      </c>
      <c r="E60" s="39">
        <f>SUM(E40:E59)</f>
        <v>4136910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TRUNC(4090,-1)</f>
        <v>4090</v>
      </c>
      <c r="E63" s="62">
        <f>TRUNC(+D63*3.3058,-1)</f>
        <v>13520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4090</v>
      </c>
      <c r="E66" s="65">
        <f>SUM(E63:E65)</f>
        <v>13520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TRUNC(14633,-1)</f>
        <v>14630</v>
      </c>
      <c r="E69" s="62">
        <f t="shared" ref="E69:E94" si="2">TRUNC(+D69*3.3058,-1)</f>
        <v>48360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TRUNC(7933,-1)</f>
        <v>7930</v>
      </c>
      <c r="E71" s="63">
        <f t="shared" si="2"/>
        <v>26210</v>
      </c>
    </row>
    <row r="72" spans="1:7" x14ac:dyDescent="0.3">
      <c r="A72" s="2">
        <v>4</v>
      </c>
      <c r="C72" s="38" t="s">
        <v>33</v>
      </c>
      <c r="D72" s="42">
        <f>TRUNC(5243,-1)</f>
        <v>5240</v>
      </c>
      <c r="E72" s="63">
        <f t="shared" si="2"/>
        <v>17320</v>
      </c>
    </row>
    <row r="73" spans="1:7" x14ac:dyDescent="0.3">
      <c r="A73" s="2">
        <v>5</v>
      </c>
      <c r="C73" s="38" t="s">
        <v>34</v>
      </c>
      <c r="D73" s="42">
        <f>TRUNC(29760,-1)</f>
        <v>29760</v>
      </c>
      <c r="E73" s="63">
        <f t="shared" si="2"/>
        <v>98380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TRUNC(63255,-1)</f>
        <v>63250</v>
      </c>
      <c r="E76" s="63">
        <f t="shared" si="2"/>
        <v>209090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TRUNC(5565,-1)</f>
        <v>5560</v>
      </c>
      <c r="E89" s="63">
        <f t="shared" si="2"/>
        <v>18380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TRUNC(5960,-1)</f>
        <v>5960</v>
      </c>
      <c r="E91" s="63">
        <f t="shared" si="2"/>
        <v>19700</v>
      </c>
    </row>
    <row r="92" spans="1:7" x14ac:dyDescent="0.3">
      <c r="A92" s="2">
        <v>24</v>
      </c>
      <c r="C92" s="38" t="s">
        <v>38</v>
      </c>
      <c r="D92" s="42">
        <f>TRUNC(9123,-1)</f>
        <v>9120</v>
      </c>
      <c r="E92" s="63">
        <f t="shared" si="2"/>
        <v>30140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TRUNC(30591,-1)</f>
        <v>30590</v>
      </c>
      <c r="E94" s="64">
        <f t="shared" si="2"/>
        <v>101120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172040</v>
      </c>
      <c r="E95" s="39">
        <f>SUM(E69:E94)</f>
        <v>568700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f>TRUNC(1021,-1)</f>
        <v>1020</v>
      </c>
      <c r="E99" s="63">
        <f t="shared" si="3"/>
        <v>3370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TRUNC(17301,-1)</f>
        <v>17300</v>
      </c>
      <c r="E102" s="63">
        <f t="shared" si="3"/>
        <v>57190</v>
      </c>
    </row>
    <row r="103" spans="1:7" x14ac:dyDescent="0.3">
      <c r="A103" s="2">
        <v>6</v>
      </c>
      <c r="C103" s="38" t="s">
        <v>44</v>
      </c>
      <c r="D103" s="42">
        <f>TRUNC(7978,-1)</f>
        <v>7970</v>
      </c>
      <c r="E103" s="63">
        <f t="shared" si="3"/>
        <v>26340</v>
      </c>
    </row>
    <row r="104" spans="1:7" x14ac:dyDescent="0.3">
      <c r="A104" s="2">
        <v>7</v>
      </c>
      <c r="C104" s="38" t="s">
        <v>45</v>
      </c>
      <c r="D104" s="42">
        <f>TRUNC(9308,-1)</f>
        <v>9300</v>
      </c>
      <c r="E104" s="63">
        <f t="shared" si="3"/>
        <v>30740</v>
      </c>
    </row>
    <row r="105" spans="1:7" x14ac:dyDescent="0.3">
      <c r="A105" s="2">
        <v>8</v>
      </c>
      <c r="C105" s="38" t="s">
        <v>46</v>
      </c>
      <c r="D105" s="42">
        <f>TRUNC(3173,-1)</f>
        <v>3170</v>
      </c>
      <c r="E105" s="63">
        <f t="shared" si="3"/>
        <v>10470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TRUNC(32054,-1)</f>
        <v>32050</v>
      </c>
      <c r="E114" s="63">
        <f t="shared" si="3"/>
        <v>105950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TRUNC(20817,-1)</f>
        <v>20810</v>
      </c>
      <c r="E116" s="63">
        <f t="shared" si="3"/>
        <v>68790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TRUNC(73594,-1)</f>
        <v>73590</v>
      </c>
      <c r="E117" s="63">
        <f t="shared" si="3"/>
        <v>243270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165210</v>
      </c>
      <c r="E119" s="39">
        <f>SUM(E98:E118)</f>
        <v>546120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TRUNC(5129,-1)</f>
        <v>5120</v>
      </c>
      <c r="E122" s="62">
        <f t="shared" ref="E122:E132" si="4">TRUNC(+D122*3.3058,-1)</f>
        <v>16920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TRUNC(8523,-1)</f>
        <v>8520</v>
      </c>
      <c r="E125" s="63">
        <f t="shared" si="4"/>
        <v>28160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TRUNC(3833,-1)</f>
        <v>3830</v>
      </c>
      <c r="E128" s="63">
        <f t="shared" si="4"/>
        <v>12660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TRUNC(10238,-1)</f>
        <v>10230</v>
      </c>
      <c r="E130" s="63">
        <f t="shared" si="4"/>
        <v>33810</v>
      </c>
    </row>
    <row r="131" spans="1:7" x14ac:dyDescent="0.3">
      <c r="A131" s="2">
        <v>10</v>
      </c>
      <c r="C131" s="38" t="s">
        <v>148</v>
      </c>
      <c r="D131" s="42">
        <f>TRUNC(13489,-1)</f>
        <v>13480</v>
      </c>
      <c r="E131" s="63">
        <f t="shared" si="4"/>
        <v>44560</v>
      </c>
    </row>
    <row r="132" spans="1:7" ht="18" thickBot="1" x14ac:dyDescent="0.35">
      <c r="A132" s="2">
        <v>11</v>
      </c>
      <c r="C132" s="38" t="s">
        <v>47</v>
      </c>
      <c r="D132" s="43">
        <f>TRUNC(1949,-1)</f>
        <v>1940</v>
      </c>
      <c r="E132" s="64">
        <f t="shared" si="4"/>
        <v>6410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43120</v>
      </c>
      <c r="E133" s="39">
        <f>SUM(E122:E132)</f>
        <v>142520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TRUNC(4718,-1)</f>
        <v>4710</v>
      </c>
      <c r="E137" s="63">
        <f t="shared" si="5"/>
        <v>15570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TRUNC(3349,-1)</f>
        <v>3340</v>
      </c>
      <c r="E139" s="63">
        <f t="shared" si="5"/>
        <v>11040</v>
      </c>
    </row>
    <row r="140" spans="1:7" x14ac:dyDescent="0.3">
      <c r="A140" s="2">
        <v>5</v>
      </c>
      <c r="C140" s="38" t="s">
        <v>57</v>
      </c>
      <c r="D140" s="42">
        <f>TRUNC(5451,-1)</f>
        <v>5450</v>
      </c>
      <c r="E140" s="63">
        <f t="shared" si="5"/>
        <v>18010</v>
      </c>
    </row>
    <row r="141" spans="1:7" x14ac:dyDescent="0.3">
      <c r="A141" s="2">
        <v>6</v>
      </c>
      <c r="C141" s="38" t="s">
        <v>59</v>
      </c>
      <c r="D141" s="42">
        <f>TRUNC(25135,-1)</f>
        <v>25130</v>
      </c>
      <c r="E141" s="63">
        <f t="shared" si="5"/>
        <v>83070</v>
      </c>
    </row>
    <row r="142" spans="1:7" x14ac:dyDescent="0.3">
      <c r="A142" s="2">
        <v>7</v>
      </c>
      <c r="C142" s="38" t="s">
        <v>58</v>
      </c>
      <c r="D142" s="42">
        <f>TRUNC(2029,-1)</f>
        <v>2020</v>
      </c>
      <c r="E142" s="63">
        <f t="shared" si="5"/>
        <v>6670</v>
      </c>
    </row>
    <row r="143" spans="1:7" x14ac:dyDescent="0.3">
      <c r="A143" s="2">
        <v>8</v>
      </c>
      <c r="C143" s="38" t="s">
        <v>62</v>
      </c>
      <c r="D143" s="42">
        <f>TRUNC(2666,-1)</f>
        <v>2660</v>
      </c>
      <c r="E143" s="63">
        <f t="shared" si="5"/>
        <v>8790</v>
      </c>
    </row>
    <row r="144" spans="1:7" x14ac:dyDescent="0.3">
      <c r="A144" s="2">
        <v>9</v>
      </c>
      <c r="C144" s="38" t="s">
        <v>63</v>
      </c>
      <c r="D144" s="42">
        <f>TRUNC(8327,-1)</f>
        <v>8320</v>
      </c>
      <c r="E144" s="63">
        <f t="shared" si="5"/>
        <v>27500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51630</v>
      </c>
      <c r="E146" s="39">
        <f>SUM(E136:E145)</f>
        <v>170650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TRUNC(23358,-1)</f>
        <v>23350</v>
      </c>
      <c r="E149" s="62">
        <f>TRUNC(+D149*3.3058,-1)</f>
        <v>77190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TRUNC(72037,-1)</f>
        <v>72030</v>
      </c>
      <c r="E150" s="63">
        <f>TRUNC(+D150*3.3058,-1)</f>
        <v>238110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TRUNC(22042,-1)</f>
        <v>22040</v>
      </c>
      <c r="E152" s="63">
        <f>TRUNC(+D152*3.3058,-1)</f>
        <v>72850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117420</v>
      </c>
      <c r="E154" s="39">
        <f>SUM(E149:E153)</f>
        <v>388150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TRUNC(39372,-1)</f>
        <v>39370</v>
      </c>
      <c r="E157" s="62">
        <f>TRUNC(+D157*3.3058,-1)</f>
        <v>130140</v>
      </c>
    </row>
    <row r="158" spans="1:7" x14ac:dyDescent="0.3">
      <c r="A158" s="2">
        <v>2</v>
      </c>
      <c r="C158" s="38" t="s">
        <v>52</v>
      </c>
      <c r="D158" s="42">
        <f>TRUNC(10296,-1)</f>
        <v>10290</v>
      </c>
      <c r="E158" s="63">
        <f>TRUNC(+D158*3.3058,-1)</f>
        <v>34010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TRUNC(7331+3312,-1)</f>
        <v>10640</v>
      </c>
      <c r="E159" s="63">
        <f>TRUNC(+D159*3.3058,-1)</f>
        <v>35170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60300</v>
      </c>
      <c r="E161" s="39">
        <f>SUM(E157:E160)</f>
        <v>199320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2020-12-08T02:05:59Z</dcterms:modified>
</cp:coreProperties>
</file>