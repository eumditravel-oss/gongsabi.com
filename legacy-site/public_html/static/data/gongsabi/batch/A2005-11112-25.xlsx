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74" i="4" l="1"/>
  <c r="D94" i="4"/>
  <c r="E160" i="4" l="1"/>
  <c r="E158" i="4"/>
  <c r="E157" i="4"/>
  <c r="E153" i="4"/>
  <c r="E151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29" i="4"/>
  <c r="E128" i="4"/>
  <c r="E127" i="4"/>
  <c r="E126" i="4"/>
  <c r="E125" i="4"/>
  <c r="E124" i="4"/>
  <c r="E123" i="4"/>
  <c r="E116" i="4"/>
  <c r="E114" i="4"/>
  <c r="E113" i="4"/>
  <c r="E112" i="4"/>
  <c r="E111" i="4"/>
  <c r="E110" i="4"/>
  <c r="E109" i="4"/>
  <c r="E107" i="4"/>
  <c r="E106" i="4"/>
  <c r="E105" i="4"/>
  <c r="E103" i="4"/>
  <c r="E101" i="4"/>
  <c r="E99" i="4"/>
  <c r="E94" i="4"/>
  <c r="E91" i="4"/>
  <c r="E90" i="4"/>
  <c r="E89" i="4"/>
  <c r="E88" i="4"/>
  <c r="E87" i="4"/>
  <c r="E86" i="4"/>
  <c r="E85" i="4"/>
  <c r="E83" i="4"/>
  <c r="E82" i="4"/>
  <c r="E81" i="4"/>
  <c r="E80" i="4"/>
  <c r="E78" i="4"/>
  <c r="E77" i="4"/>
  <c r="E76" i="4"/>
  <c r="E75" i="4"/>
  <c r="E74" i="4"/>
  <c r="E73" i="4"/>
  <c r="E72" i="4"/>
  <c r="E71" i="4"/>
  <c r="E70" i="4"/>
  <c r="E65" i="4"/>
  <c r="E66" i="4" s="1"/>
  <c r="E64" i="4"/>
  <c r="E63" i="4"/>
  <c r="E57" i="4"/>
  <c r="E56" i="4"/>
  <c r="E55" i="4"/>
  <c r="E54" i="4"/>
  <c r="E47" i="4"/>
  <c r="E44" i="4"/>
  <c r="E37" i="4"/>
  <c r="E146" i="4" l="1"/>
  <c r="D59" i="4"/>
  <c r="E59" i="4" s="1"/>
  <c r="D159" i="4"/>
  <c r="E159" i="4" s="1"/>
  <c r="E161" i="4" s="1"/>
  <c r="D154" i="4"/>
  <c r="D31" i="4"/>
  <c r="E31" i="4" s="1"/>
  <c r="D152" i="4"/>
  <c r="E152" i="4" s="1"/>
  <c r="D150" i="4"/>
  <c r="E150" i="4" s="1"/>
  <c r="E154" i="4" s="1"/>
  <c r="D146" i="4"/>
  <c r="D30" i="4" s="1"/>
  <c r="E30" i="4" s="1"/>
  <c r="D133" i="4"/>
  <c r="D29" i="4" s="1"/>
  <c r="E29" i="4" s="1"/>
  <c r="D132" i="4"/>
  <c r="E132" i="4" s="1"/>
  <c r="D130" i="4"/>
  <c r="E130" i="4" s="1"/>
  <c r="D122" i="4"/>
  <c r="E122" i="4" s="1"/>
  <c r="E133" i="4" s="1"/>
  <c r="D118" i="4"/>
  <c r="E118" i="4" s="1"/>
  <c r="D117" i="4"/>
  <c r="E117" i="4" s="1"/>
  <c r="D115" i="4"/>
  <c r="E115" i="4" s="1"/>
  <c r="D108" i="4"/>
  <c r="E108" i="4" s="1"/>
  <c r="D104" i="4"/>
  <c r="E104" i="4" s="1"/>
  <c r="D102" i="4"/>
  <c r="E102" i="4" s="1"/>
  <c r="D100" i="4"/>
  <c r="E100" i="4" s="1"/>
  <c r="D98" i="4"/>
  <c r="E98" i="4" s="1"/>
  <c r="D119" i="4"/>
  <c r="D28" i="4" s="1"/>
  <c r="E28" i="4" s="1"/>
  <c r="D93" i="4"/>
  <c r="E93" i="4" s="1"/>
  <c r="D92" i="4"/>
  <c r="E92" i="4" s="1"/>
  <c r="D84" i="4"/>
  <c r="E84" i="4" s="1"/>
  <c r="D79" i="4"/>
  <c r="E79" i="4" s="1"/>
  <c r="D69" i="4"/>
  <c r="E69" i="4" s="1"/>
  <c r="E95" i="4" s="1"/>
  <c r="D66" i="4"/>
  <c r="D26" i="4" s="1"/>
  <c r="E26" i="4" s="1"/>
  <c r="D58" i="4"/>
  <c r="E58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6" i="4"/>
  <c r="E46" i="4" s="1"/>
  <c r="D45" i="4"/>
  <c r="E45" i="4" s="1"/>
  <c r="D43" i="4"/>
  <c r="E43" i="4" s="1"/>
  <c r="D42" i="4"/>
  <c r="E42" i="4" s="1"/>
  <c r="D41" i="4"/>
  <c r="E41" i="4" s="1"/>
  <c r="D40" i="4"/>
  <c r="E40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119" i="4" l="1"/>
  <c r="D161" i="4"/>
  <c r="D32" i="4" s="1"/>
  <c r="E32" i="4" s="1"/>
  <c r="D60" i="4"/>
  <c r="D25" i="4" s="1"/>
  <c r="E25" i="4" s="1"/>
  <c r="D95" i="4"/>
  <c r="D27" i="4" s="1"/>
  <c r="E27" i="4" s="1"/>
  <c r="E60" i="4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<sst xmlns="http://schemas.openxmlformats.org/spreadsheetml/2006/main" count="394" uniqueCount="269">
  <si>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</si>
  <si>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</si>
  <si>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</si>
  <si>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</si>
  <si>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</si>
  <si>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</si>
  <si>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</si>
  <si>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</si>
  <si>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</si>
  <si>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</si>
  <si>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</si>
  <si>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</si>
  <si>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</si>
  <si>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</si>
  <si>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</si>
  <si>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</si>
  <si>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</si>
  <si>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</si>
  <si>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</si>
  <si>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</si>
  <si>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</si>
  <si>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</si>
  <si>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</si>
  <si>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</si>
  <si>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</si>
  <si>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</si>
  <si>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</si>
  <si>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</si>
  <si>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</si>
  <si>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</si>
  <si>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</si>
  <si>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</si>
  <si>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</si>
  <si>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</si>
  <si>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</si>
  <si>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</si>
  <si>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</si>
  <si>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</si>
  <si>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</si>
  <si>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</si>
  <si>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</si>
  <si>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</si>
  <si>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</si>
  <si>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</si>
  <si>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</si>
  <si>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</si>
  <si>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</si>
  <si>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</si>
  <si>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</si>
  <si>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</si>
  <si>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</si>
  <si>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</si>
  <si>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</si>
  <si>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</si>
  <si>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</si>
  <si>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</si>
  <si>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</si>
  <si>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</si>
  <si>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</si>
  <si>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</si>
  <si>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</si>
  <si>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</si>
  <si>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</si>
  <si>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</si>
  <si>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</si>
  <si>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</si>
  <si>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</si>
  <si>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</si>
  <si>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</si>
  <si>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</si>
  <si>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</si>
  <si>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</si>
  <si>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</si>
  <si>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</si>
  <si>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</si>
  <si>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</si>
  <si>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</si>
  <si>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</si>
  <si>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</si>
  <si>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</si>
  <si>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</si>
  <si>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</si>
  <si>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</si>
  <si>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</si>
  <si>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</si>
  <si>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</si>
  <si>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</si>
  <si>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</si>
  <si>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</si>
  <si>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</si>
  <si>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</si>
  <si>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</si>
  <si>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</si>
  <si>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</si>
  <si>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</si>
  <si>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</si>
  <si>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</si>
  <si>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</si>
  <si>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</si>
  <si>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</si>
  <si>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</si>
  <si>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</si>
  <si>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</si>
  <si>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</si>
  <si>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</si>
  <si>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</si>
  <si>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</si>
  <si>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</si>
  <si>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</si>
  <si>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</si>
  <si>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</si>
  <si>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</si>
  <si>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</si>
  <si>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</si>
  <si>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</si>
  <si>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</si>
  <si>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</si>
  <si>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</si>
  <si>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</si>
  <si>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</si>
  <si>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</si>
  <si>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</si>
  <si>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</si>
  <si>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</si>
  <si>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</si>
  <si>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</si>
  <si>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</si>
  <si>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</si>
  <si>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</si>
  <si>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</si>
  <si>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</si>
  <si>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</si>
  <si>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</si>
  <si>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</si>
  <si>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</si>
  <si>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</si>
  <si>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</si>
  <si>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</si>
  <si>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</si>
  <si>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</si>
  <si>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</si>
  <si>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</si>
  <si>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</si>
  <si>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</si>
  <si>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</si>
  <si>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</si>
  <si>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</si>
  <si>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</si>
  <si>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</si>
  <si>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</si>
  <si>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</si>
  <si>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</si>
  <si>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</si>
  <si>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</si>
  <si>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</si>
  <si>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</si>
  <si>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</si>
  <si>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</si>
  <si>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</si>
  <si>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</si>
  <si>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</si>
  <si>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</si>
  <si>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</si>
  <si>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</si>
  <si>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</si>
  <si>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</si>
  <si>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</si>
  <si>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</si>
  <si>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</si>
  <si>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</si>
  <si>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</si>
  <si>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</si>
  <si>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</si>
  <si>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</si>
  <si>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</si>
  <si>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</si>
  <si>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</si>
  <si>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</si>
  <si>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</si>
  <si>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</si>
  <si>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</si>
  <si>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</si>
  <si>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</si>
  <si>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</si>
  <si>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</si>
  <si>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</si>
  <si>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</si>
  <si>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</si>
  <si>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</si>
  <si>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</si>
  <si>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</si>
  <si>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</si>
  <si>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</si>
  <si>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</si>
  <si>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</si>
  <si>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</si>
  <si>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</si>
  <si>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</si>
  <si>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</si>
  <si>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</si>
  <si>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</si>
  <si>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</si>
  <si>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</si>
  <si>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</si>
  <si>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</si>
  <si>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</si>
  <si>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</si>
  <si>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</si>
  <si>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</si>
  <si>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</si>
  <si>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</si>
  <si>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</si>
  <si>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</si>
  <si>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</si>
  <si>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</si>
  <si>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</si>
  <si>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</si>
  <si>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</si>
  <si>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</si>
  <si>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</si>
  <si>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</si>
  <si>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</si>
  <si>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</si>
  <si>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</si>
  <si>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</si>
  <si>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</si>
  <si>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</si>
  <si>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</si>
  <si>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</si>
  <si>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</si>
  <si>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</si>
  <si>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</si>
  <si>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</si>
  <si>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</si>
  <si>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</si>
  <si>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</si>
  <si>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</si>
  <si>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</si>
  <si>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</si>
  <si>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</si>
  <si>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</si>
  <si>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</si>
  <si>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</si>
  <si>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</si>
  <si>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</si>
  <si>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</si>
  <si>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</si>
  <si>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</si>
  <si>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석공사,타일및석공사</t>
    <phoneticPr fontId="2" type="noConversion"/>
  </si>
  <si>
    <t>미장및방수공사</t>
    <phoneticPr fontId="2" type="noConversion"/>
  </si>
  <si>
    <t>기초및토공사,기타공사,자재대및운반공사</t>
    <phoneticPr fontId="2" type="noConversion"/>
  </si>
  <si>
    <t>환기배관공사</t>
    <phoneticPr fontId="2" type="noConversion"/>
  </si>
  <si>
    <t>옥외외등설비,자동화재탐지설비</t>
    <phoneticPr fontId="2" type="noConversion"/>
  </si>
  <si>
    <t>CATV설비공사</t>
  </si>
  <si>
    <t>인터폰 설비공사,CCTV 설비공사</t>
    <phoneticPr fontId="2" type="noConversion"/>
  </si>
  <si>
    <t>쇄석깔기,I.L.P 블럭포장(소형고압),인조화강석경계석설치,흄관부설,오수관매설,우수받이(기성품),맨홀설치,간이침전조설치,투시형담장설치,PVC코팅휀스설치,자재운반,사급자재대</t>
    <phoneticPr fontId="2" type="noConversion"/>
  </si>
  <si>
    <t>조경공사</t>
    <phoneticPr fontId="2" type="noConversion"/>
  </si>
  <si>
    <t>경상도</t>
  </si>
  <si>
    <t>원/ m2</t>
    <phoneticPr fontId="2" type="noConversion"/>
  </si>
  <si>
    <t>경상도 소재 00청사 신축공사</t>
    <phoneticPr fontId="2" type="noConversion"/>
  </si>
  <si>
    <t>도급자설치 관급자재</t>
  </si>
  <si>
    <t>관급자설치</t>
    <phoneticPr fontId="2" type="noConversion"/>
  </si>
  <si>
    <t>도급자설치, 관급자설치</t>
    <phoneticPr fontId="2" type="noConversion"/>
  </si>
  <si>
    <t>위생배관공사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</si>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</sst>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0" xfId="0" applyFill="1" applyBorder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894</v>
      </c>
      <c r="D7" s="36">
        <f>+C7/3.3058</f>
        <v>270.43378304797631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616980</v>
      </c>
      <c r="E25" s="60">
        <f t="shared" si="0"/>
        <v>2039610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60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84870</v>
      </c>
      <c r="E27" s="60">
        <f t="shared" si="0"/>
        <v>280560</v>
      </c>
    </row>
    <row r="28" spans="1:5" x14ac:dyDescent="0.3">
      <c r="B28" s="2">
        <v>5</v>
      </c>
      <c r="C28" s="35" t="s">
        <v>97</v>
      </c>
      <c r="D28" s="45">
        <f>+D119</f>
        <v>104740</v>
      </c>
      <c r="E28" s="60">
        <f t="shared" si="0"/>
        <v>346240</v>
      </c>
    </row>
    <row r="29" spans="1:5" x14ac:dyDescent="0.3">
      <c r="B29" s="2">
        <v>6</v>
      </c>
      <c r="C29" s="35" t="s">
        <v>98</v>
      </c>
      <c r="D29" s="45">
        <f>+D133</f>
        <v>25090</v>
      </c>
      <c r="E29" s="60">
        <f t="shared" si="0"/>
        <v>82940</v>
      </c>
    </row>
    <row r="30" spans="1:5" x14ac:dyDescent="0.3">
      <c r="B30" s="2">
        <v>7</v>
      </c>
      <c r="C30" s="35" t="s">
        <v>99</v>
      </c>
      <c r="D30" s="45">
        <f>+D146</f>
        <v>0</v>
      </c>
      <c r="E30" s="60">
        <f t="shared" si="0"/>
        <v>0</v>
      </c>
    </row>
    <row r="31" spans="1:5" x14ac:dyDescent="0.3">
      <c r="B31" s="2">
        <v>8</v>
      </c>
      <c r="C31" s="35" t="s">
        <v>100</v>
      </c>
      <c r="D31" s="45">
        <f>+D154</f>
        <v>54440</v>
      </c>
      <c r="E31" s="60">
        <f t="shared" si="0"/>
        <v>179960</v>
      </c>
    </row>
    <row r="32" spans="1:5" x14ac:dyDescent="0.3">
      <c r="B32" s="2">
        <v>9</v>
      </c>
      <c r="C32" s="35" t="s">
        <v>101</v>
      </c>
      <c r="D32" s="45">
        <f>+D161</f>
        <v>20580</v>
      </c>
      <c r="E32" s="60">
        <f t="shared" si="0"/>
        <v>68030</v>
      </c>
    </row>
    <row r="33" spans="1:7" x14ac:dyDescent="0.3">
      <c r="B33" s="2">
        <v>10</v>
      </c>
      <c r="C33" s="35" t="s">
        <v>154</v>
      </c>
      <c r="D33" s="53">
        <f>TRUNC(SUM(D24:D32)*0.275,-1)</f>
        <v>249340</v>
      </c>
      <c r="E33" s="61">
        <f t="shared" si="0"/>
        <v>824260</v>
      </c>
    </row>
    <row r="34" spans="1:7" x14ac:dyDescent="0.3">
      <c r="C34" s="35" t="s">
        <v>112</v>
      </c>
      <c r="D34" s="44">
        <f>SUM(D24:D33)</f>
        <v>1156040</v>
      </c>
      <c r="E34" s="44">
        <f>SUM(E24:E33)</f>
        <v>3821600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237</v>
      </c>
      <c r="D36" s="56" t="s">
        <v>235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241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TRUNC(39762.3859060403,-1)</f>
        <v>39760</v>
      </c>
      <c r="E40" s="63">
        <f t="shared" ref="E40:E59" si="1">TRUNC(+D40*3.3058,-1)</f>
        <v>131430</v>
      </c>
    </row>
    <row r="41" spans="1:7" x14ac:dyDescent="0.3">
      <c r="A41" s="2">
        <v>2</v>
      </c>
      <c r="C41" s="38" t="s">
        <v>13</v>
      </c>
      <c r="D41" s="42">
        <f>TRUNC(137669.842281879,-1)</f>
        <v>137660</v>
      </c>
      <c r="E41" s="64">
        <f t="shared" si="1"/>
        <v>455070</v>
      </c>
    </row>
    <row r="42" spans="1:7" x14ac:dyDescent="0.3">
      <c r="A42" s="2">
        <v>3</v>
      </c>
      <c r="C42" s="38" t="s">
        <v>14</v>
      </c>
      <c r="D42" s="42">
        <f>TRUNC(1604.75055928412,-1)</f>
        <v>1600</v>
      </c>
      <c r="E42" s="64">
        <f t="shared" si="1"/>
        <v>5280</v>
      </c>
    </row>
    <row r="43" spans="1:7" x14ac:dyDescent="0.3">
      <c r="A43" s="2">
        <v>4</v>
      </c>
      <c r="C43" s="38" t="s">
        <v>16</v>
      </c>
      <c r="D43" s="42">
        <f>TRUNC(16574.2796420582,-1)</f>
        <v>16570</v>
      </c>
      <c r="E43" s="64">
        <f t="shared" si="1"/>
        <v>54770</v>
      </c>
    </row>
    <row r="44" spans="1:7" x14ac:dyDescent="0.3">
      <c r="A44" s="2">
        <v>5</v>
      </c>
      <c r="C44" s="38" t="s">
        <v>17</v>
      </c>
      <c r="D44" s="42">
        <v>0</v>
      </c>
      <c r="E44" s="64">
        <f t="shared" si="1"/>
        <v>0</v>
      </c>
    </row>
    <row r="45" spans="1:7" x14ac:dyDescent="0.3">
      <c r="A45" s="2">
        <v>6</v>
      </c>
      <c r="C45" s="38" t="s">
        <v>18</v>
      </c>
      <c r="D45" s="42">
        <f>TRUNC(5158.88590604027,-1)</f>
        <v>5150</v>
      </c>
      <c r="E45" s="64">
        <f t="shared" si="1"/>
        <v>17020</v>
      </c>
    </row>
    <row r="46" spans="1:7" x14ac:dyDescent="0.3">
      <c r="A46" s="2">
        <v>7</v>
      </c>
      <c r="C46" s="38" t="s">
        <v>19</v>
      </c>
      <c r="D46" s="42">
        <f>TRUNC(1963.08724832215+43381.9798657718,-1)</f>
        <v>45340</v>
      </c>
      <c r="E46" s="64">
        <f t="shared" si="1"/>
        <v>149880</v>
      </c>
      <c r="F46" s="2" t="s">
        <v>248</v>
      </c>
    </row>
    <row r="47" spans="1:7" x14ac:dyDescent="0.3">
      <c r="A47" s="2">
        <v>8</v>
      </c>
      <c r="C47" s="38" t="s">
        <v>20</v>
      </c>
      <c r="D47" s="42">
        <v>0</v>
      </c>
      <c r="E47" s="64">
        <f t="shared" si="1"/>
        <v>0</v>
      </c>
    </row>
    <row r="48" spans="1:7" x14ac:dyDescent="0.3">
      <c r="A48" s="2">
        <v>9</v>
      </c>
      <c r="C48" s="38" t="s">
        <v>21</v>
      </c>
      <c r="D48" s="42">
        <f>TRUNC(24662.5738255034,-1)</f>
        <v>24660</v>
      </c>
      <c r="E48" s="64">
        <f t="shared" si="1"/>
        <v>81520</v>
      </c>
    </row>
    <row r="49" spans="1:7" x14ac:dyDescent="0.3">
      <c r="A49" s="2">
        <v>10</v>
      </c>
      <c r="C49" s="38" t="s">
        <v>22</v>
      </c>
      <c r="D49" s="42">
        <f>TRUNC(45021.6655480984,-1)</f>
        <v>45020</v>
      </c>
      <c r="E49" s="64">
        <f t="shared" si="1"/>
        <v>148820</v>
      </c>
      <c r="F49" s="2" t="s">
        <v>249</v>
      </c>
    </row>
    <row r="50" spans="1:7" x14ac:dyDescent="0.3">
      <c r="A50" s="2">
        <v>11</v>
      </c>
      <c r="C50" s="38" t="s">
        <v>155</v>
      </c>
      <c r="D50" s="42">
        <f>TRUNC(73455.8389261745,-1)</f>
        <v>73450</v>
      </c>
      <c r="E50" s="64">
        <f t="shared" si="1"/>
        <v>242810</v>
      </c>
    </row>
    <row r="51" spans="1:7" x14ac:dyDescent="0.3">
      <c r="A51" s="2">
        <v>12</v>
      </c>
      <c r="C51" s="38" t="s">
        <v>23</v>
      </c>
      <c r="D51" s="42">
        <f>TRUNC(10367.2494407159,-1)</f>
        <v>10360</v>
      </c>
      <c r="E51" s="64">
        <f t="shared" si="1"/>
        <v>34240</v>
      </c>
    </row>
    <row r="52" spans="1:7" x14ac:dyDescent="0.3">
      <c r="A52" s="2">
        <v>13</v>
      </c>
      <c r="C52" s="38" t="s">
        <v>24</v>
      </c>
      <c r="D52" s="42">
        <f>TRUNC(26801.0167785235,-1)</f>
        <v>26800</v>
      </c>
      <c r="E52" s="64">
        <f t="shared" si="1"/>
        <v>88590</v>
      </c>
    </row>
    <row r="53" spans="1:7" x14ac:dyDescent="0.3">
      <c r="A53" s="2">
        <v>14</v>
      </c>
      <c r="C53" s="38" t="s">
        <v>25</v>
      </c>
      <c r="D53" s="42">
        <f>TRUNC(34530.2729306488,-1)</f>
        <v>34530</v>
      </c>
      <c r="E53" s="64">
        <f t="shared" si="1"/>
        <v>114140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4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TRUNC(5284.78747203579+33407.1711409396+4287.60402684564,-1)</f>
        <v>42970</v>
      </c>
      <c r="E58" s="64">
        <f t="shared" si="1"/>
        <v>142050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f>TRUNC(113112.975391499,-1)</f>
        <v>113110</v>
      </c>
      <c r="E59" s="65">
        <f t="shared" si="1"/>
        <v>373910</v>
      </c>
      <c r="F59" s="2" t="s">
        <v>260</v>
      </c>
    </row>
    <row r="60" spans="1:7" x14ac:dyDescent="0.3">
      <c r="A60" s="2">
        <v>21</v>
      </c>
      <c r="C60" s="27" t="s">
        <v>112</v>
      </c>
      <c r="D60" s="39">
        <f>SUM(D40:D59)</f>
        <v>616980</v>
      </c>
      <c r="E60" s="39">
        <f>SUM(E40:E59)</f>
        <v>2039530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238</v>
      </c>
      <c r="C62" s="55" t="s">
        <v>239</v>
      </c>
      <c r="D62" s="56" t="s">
        <v>258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v>0</v>
      </c>
      <c r="E63" s="63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8">
        <f>SUM(D63:D65)</f>
        <v>0</v>
      </c>
      <c r="E66" s="58">
        <f>SUM(E63:E65)</f>
        <v>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240</v>
      </c>
      <c r="C68" s="55" t="s">
        <v>241</v>
      </c>
      <c r="D68" s="56" t="s">
        <v>258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TRUNC(9137.58389261745,-1)</f>
        <v>9130</v>
      </c>
      <c r="E69" s="63">
        <f>TRUNC(+D69*3.3058,-1)</f>
        <v>30180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4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4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4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4">
        <f t="shared" si="2"/>
        <v>0</v>
      </c>
    </row>
    <row r="74" spans="1:7" x14ac:dyDescent="0.3">
      <c r="A74" s="2">
        <v>6</v>
      </c>
      <c r="C74" s="38" t="s">
        <v>176</v>
      </c>
      <c r="D74" s="42">
        <f>TRUNC(6529.08277404922,-1)</f>
        <v>6520</v>
      </c>
      <c r="E74" s="64">
        <f>TRUNC(+D74*3.3058,-1)</f>
        <v>21550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3"/>
        <v>0</v>
      </c>
    </row>
    <row r="79" spans="1:7" x14ac:dyDescent="0.3">
      <c r="A79" s="2">
        <v>11</v>
      </c>
      <c r="C79" s="38" t="s">
        <v>133</v>
      </c>
      <c r="D79" s="42">
        <f>TRUNC(1951.90156599553,-1)</f>
        <v>1950</v>
      </c>
      <c r="E79" s="64">
        <f t="shared" si="3"/>
        <v>6440</v>
      </c>
      <c r="F79" s="2" t="s">
        <v>251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3"/>
        <v>0</v>
      </c>
    </row>
    <row r="84" spans="1:7" x14ac:dyDescent="0.3">
      <c r="A84" s="2">
        <v>16</v>
      </c>
      <c r="C84" s="38" t="s">
        <v>122</v>
      </c>
      <c r="D84" s="42">
        <f>TRUNC(6536.91275167785,-1)</f>
        <v>6530</v>
      </c>
      <c r="E84" s="64">
        <f>TRUNC(+D84*3.3058,-1)</f>
        <v>21580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4">
        <f t="shared" si="3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4">
        <f>TRUNC(+D90*3.3058,-1)</f>
        <v>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>TRUNC(+D91*3.3058,-1)</f>
        <v>0</v>
      </c>
    </row>
    <row r="92" spans="1:7" x14ac:dyDescent="0.3">
      <c r="A92" s="2">
        <v>24</v>
      </c>
      <c r="C92" s="38" t="s">
        <v>38</v>
      </c>
      <c r="D92" s="42">
        <f>TRUNC(9230.42505592841,-1)</f>
        <v>9230</v>
      </c>
      <c r="E92" s="64">
        <f>TRUNC(+D92*3.3058,-1)</f>
        <v>30510</v>
      </c>
    </row>
    <row r="93" spans="1:7" x14ac:dyDescent="0.3">
      <c r="A93" s="2">
        <v>25</v>
      </c>
      <c r="C93" s="38" t="s">
        <v>148</v>
      </c>
      <c r="D93" s="42">
        <f>TRUNC(30171.1409395973,-1)</f>
        <v>30170</v>
      </c>
      <c r="E93" s="64">
        <f>TRUNC(+D93*3.3058,-1)</f>
        <v>99730</v>
      </c>
      <c r="F93" s="2" t="s">
        <v>261</v>
      </c>
    </row>
    <row r="94" spans="1:7" ht="17.25" thickBot="1" x14ac:dyDescent="0.35">
      <c r="A94" s="2">
        <v>26</v>
      </c>
      <c r="C94" s="38" t="s">
        <v>47</v>
      </c>
      <c r="D94" s="43">
        <f>TRUNC(21342.2818791946,-1)</f>
        <v>21340</v>
      </c>
      <c r="E94" s="65">
        <f>TRUNC(+D94*3.3058,-1)</f>
        <v>70540</v>
      </c>
      <c r="F94" s="2" t="s">
        <v>263</v>
      </c>
    </row>
    <row r="95" spans="1:7" x14ac:dyDescent="0.3">
      <c r="A95" s="2">
        <v>27</v>
      </c>
      <c r="C95" s="27" t="s">
        <v>112</v>
      </c>
      <c r="D95" s="39">
        <f>SUM(D69:D94)</f>
        <v>84870</v>
      </c>
      <c r="E95" s="39">
        <f>SUM(E69:E94)</f>
        <v>280530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242</v>
      </c>
      <c r="C97" s="55" t="s">
        <v>241</v>
      </c>
      <c r="D97" s="56" t="s">
        <v>258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TRUNC(6509.52908277405,-1)</f>
        <v>6500</v>
      </c>
      <c r="E98" s="63">
        <f t="shared" ref="E98:E118" si="4">TRUNC(+D98*3.3058,-1)</f>
        <v>21480</v>
      </c>
    </row>
    <row r="99" spans="1:7" x14ac:dyDescent="0.3">
      <c r="A99" s="2">
        <v>2</v>
      </c>
      <c r="C99" s="38" t="s">
        <v>40</v>
      </c>
      <c r="D99" s="42">
        <v>0</v>
      </c>
      <c r="E99" s="64">
        <f t="shared" si="4"/>
        <v>0</v>
      </c>
    </row>
    <row r="100" spans="1:7" x14ac:dyDescent="0.3">
      <c r="A100" s="2">
        <v>3</v>
      </c>
      <c r="C100" s="38" t="s">
        <v>41</v>
      </c>
      <c r="D100" s="42">
        <f>TRUNC(16887.6543624161,-1)</f>
        <v>16880</v>
      </c>
      <c r="E100" s="64">
        <f t="shared" si="4"/>
        <v>55800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TRUNC(9799.77628635347,-1)</f>
        <v>9790</v>
      </c>
      <c r="E102" s="64">
        <f t="shared" si="4"/>
        <v>32360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4"/>
        <v>0</v>
      </c>
    </row>
    <row r="104" spans="1:7" x14ac:dyDescent="0.3">
      <c r="A104" s="2">
        <v>7</v>
      </c>
      <c r="C104" s="38" t="s">
        <v>45</v>
      </c>
      <c r="D104" s="42">
        <f>TRUNC(2136.5581655481,-1)</f>
        <v>2130</v>
      </c>
      <c r="E104" s="64">
        <f t="shared" si="4"/>
        <v>7040</v>
      </c>
    </row>
    <row r="105" spans="1:7" x14ac:dyDescent="0.3">
      <c r="A105" s="2">
        <v>8</v>
      </c>
      <c r="C105" s="38" t="s">
        <v>46</v>
      </c>
      <c r="D105" s="42">
        <v>0</v>
      </c>
      <c r="E105" s="64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4"/>
        <v>0</v>
      </c>
    </row>
    <row r="108" spans="1:7" x14ac:dyDescent="0.3">
      <c r="A108" s="2">
        <v>11</v>
      </c>
      <c r="C108" s="38" t="s">
        <v>120</v>
      </c>
      <c r="D108" s="42">
        <f>TRUNC(1188.25950782998,-1)</f>
        <v>1180</v>
      </c>
      <c r="E108" s="64">
        <f t="shared" si="4"/>
        <v>3900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4">
        <f t="shared" si="4"/>
        <v>0</v>
      </c>
    </row>
    <row r="115" spans="1:7" x14ac:dyDescent="0.3">
      <c r="A115" s="2">
        <v>18</v>
      </c>
      <c r="C115" s="38" t="s">
        <v>116</v>
      </c>
      <c r="D115" s="42">
        <f>TRUNC(3876.79977628635,-1)</f>
        <v>3870</v>
      </c>
      <c r="E115" s="64">
        <f t="shared" si="4"/>
        <v>12790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TRUNC(23628.6353467562+29899.3288590604,-1)</f>
        <v>53520</v>
      </c>
      <c r="E117" s="64">
        <f t="shared" si="4"/>
        <v>176920</v>
      </c>
      <c r="F117" s="2" t="s">
        <v>262</v>
      </c>
    </row>
    <row r="118" spans="1:7" ht="17.25" thickBot="1" x14ac:dyDescent="0.35">
      <c r="A118" s="2">
        <v>21</v>
      </c>
      <c r="C118" s="38" t="s">
        <v>47</v>
      </c>
      <c r="D118" s="43">
        <f>TRUNC(3519.66331096197+7353.63422818792,-1)</f>
        <v>10870</v>
      </c>
      <c r="E118" s="65">
        <f t="shared" si="4"/>
        <v>35930</v>
      </c>
      <c r="F118" s="2" t="s">
        <v>252</v>
      </c>
    </row>
    <row r="119" spans="1:7" x14ac:dyDescent="0.3">
      <c r="A119" s="2">
        <v>22</v>
      </c>
      <c r="C119" s="27" t="s">
        <v>112</v>
      </c>
      <c r="D119" s="39">
        <f>SUM(D98:D118)</f>
        <v>104740</v>
      </c>
      <c r="E119" s="39">
        <f>SUM(E98:E118)</f>
        <v>346220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243</v>
      </c>
      <c r="C121" s="55" t="s">
        <v>241</v>
      </c>
      <c r="D121" s="56" t="s">
        <v>258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TRUNC(4584.63646532438,-1)</f>
        <v>4580</v>
      </c>
      <c r="E122" s="63">
        <f t="shared" ref="E122:E132" si="5">TRUNC(+D122*3.3058,-1)</f>
        <v>15140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5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4">
        <f t="shared" si="5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4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TRUNC(13229.0939597315,-1)</f>
        <v>13220</v>
      </c>
      <c r="E130" s="64">
        <f t="shared" si="5"/>
        <v>43700</v>
      </c>
    </row>
    <row r="131" spans="1:7" x14ac:dyDescent="0.3">
      <c r="A131" s="2">
        <v>10</v>
      </c>
      <c r="C131" s="38" t="s">
        <v>148</v>
      </c>
      <c r="D131" s="42">
        <v>0</v>
      </c>
      <c r="E131" s="64">
        <f t="shared" si="5"/>
        <v>0</v>
      </c>
    </row>
    <row r="132" spans="1:7" ht="17.25" thickBot="1" x14ac:dyDescent="0.35">
      <c r="A132" s="2">
        <v>11</v>
      </c>
      <c r="C132" s="38" t="s">
        <v>47</v>
      </c>
      <c r="D132" s="43">
        <f>TRUNC(2687.61521252796+4612.04362416107,-1)</f>
        <v>7290</v>
      </c>
      <c r="E132" s="65">
        <f t="shared" si="5"/>
        <v>24090</v>
      </c>
      <c r="F132" s="2" t="s">
        <v>254</v>
      </c>
    </row>
    <row r="133" spans="1:7" x14ac:dyDescent="0.3">
      <c r="A133" s="2">
        <v>12</v>
      </c>
      <c r="C133" s="27" t="s">
        <v>112</v>
      </c>
      <c r="D133" s="39">
        <f>SUM(D122:D132)</f>
        <v>25090</v>
      </c>
      <c r="E133" s="39">
        <f>SUM(E122:E132)</f>
        <v>82930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244</v>
      </c>
      <c r="C135" s="55" t="s">
        <v>241</v>
      </c>
      <c r="D135" s="56" t="s">
        <v>235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6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4">
        <f t="shared" si="6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0</v>
      </c>
      <c r="E146" s="39">
        <f>SUM(E136:E145)</f>
        <v>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245</v>
      </c>
      <c r="C148" s="55" t="s">
        <v>241</v>
      </c>
      <c r="D148" s="56" t="s">
        <v>235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3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f>TRUNC(15913.3232662192,-1)</f>
        <v>15910</v>
      </c>
      <c r="E150" s="64">
        <f>TRUNC(+D150*3.3058,-1)</f>
        <v>52590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TRUNC(103.751677852349+12.7326621923937+2554.26733780761+10547.5872483221+1972.56375838926+359.229306487696+1461.03355704698+7286.02013422819+6980.81543624161+1378.81208053691+5876.12080536913,-1)</f>
        <v>38530</v>
      </c>
      <c r="E152" s="64">
        <f>TRUNC(+D152*3.3058,-1)</f>
        <v>127370</v>
      </c>
      <c r="F152" s="57" t="s">
        <v>255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54440</v>
      </c>
      <c r="E154" s="39">
        <f>SUM(E149:E153)</f>
        <v>179960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246</v>
      </c>
      <c r="C156" s="55" t="s">
        <v>241</v>
      </c>
      <c r="D156" s="56" t="s">
        <v>235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3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4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TRUNC(20587.0302013423,-1)</f>
        <v>20580</v>
      </c>
      <c r="E159" s="64">
        <f>TRUNC(+D159*3.3058,-1)</f>
        <v>68030</v>
      </c>
      <c r="F159" s="2" t="s">
        <v>256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20580</v>
      </c>
      <c r="E161" s="39">
        <f>SUM(E157:E160)</f>
        <v>68030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2020-12-07T09:03:47Z</dcterms:modified>
</cp:coreProperties>
</file>