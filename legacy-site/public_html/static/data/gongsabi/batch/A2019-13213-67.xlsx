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50" i="4"/>
  <c r="D149" i="4"/>
  <c r="D143" i="4"/>
  <c r="D142" i="4"/>
  <c r="D140" i="4"/>
  <c r="D139" i="4"/>
  <c r="D137" i="4"/>
  <c r="D131" i="4"/>
  <c r="D130" i="4"/>
  <c r="D128" i="4"/>
  <c r="D127" i="4"/>
  <c r="D125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91" i="4"/>
  <c r="D89" i="4"/>
  <c r="D73" i="4"/>
  <c r="D70" i="4"/>
  <c r="D69" i="4"/>
  <c r="D63" i="4"/>
  <c r="D59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<sst xmlns="http://schemas.openxmlformats.org/spreadsheetml/2006/main" count="391" uniqueCount="265">
  <si>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</si>
  <si>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</si>
  <si>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</si>
  <si>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</si>
  <si>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</si>
  <si>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</si>
  <si>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</si>
  <si>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</si>
  <si>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</si>
  <si>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</si>
  <si>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</si>
  <si>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</si>
  <si>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</si>
  <si>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</si>
  <si>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</si>
  <si>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</si>
  <si>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</si>
  <si>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</si>
  <si>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</si>
  <si>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</si>
  <si>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</si>
  <si>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</si>
  <si>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</si>
  <si>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</si>
  <si>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</si>
  <si>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</si>
  <si>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</si>
  <si>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</si>
  <si>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</si>
  <si>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</si>
  <si>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</si>
  <si>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</si>
  <si>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</si>
  <si>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</si>
  <si>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</si>
  <si>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</si>
  <si>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</si>
  <si>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</si>
  <si>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</si>
  <si>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</si>
  <si>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</si>
  <si>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</si>
  <si>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</si>
  <si>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</si>
  <si>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</si>
  <si>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</si>
  <si>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</si>
  <si>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</si>
  <si>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</si>
  <si>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</si>
  <si>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</si>
  <si>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</si>
  <si>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</si>
  <si>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</si>
  <si>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</si>
  <si>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</si>
  <si>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</si>
  <si>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</si>
  <si>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</si>
  <si>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</si>
  <si>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</si>
  <si>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</si>
  <si>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</si>
  <si>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</si>
  <si>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</si>
  <si>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</si>
  <si>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</si>
  <si>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</si>
  <si>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</si>
  <si>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</si>
  <si>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</si>
  <si>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</si>
  <si>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</si>
  <si>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</si>
  <si>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</si>
  <si>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</si>
  <si>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</si>
  <si>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</si>
  <si>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</si>
  <si>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</si>
  <si>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</si>
  <si>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</si>
  <si>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</si>
  <si>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</si>
  <si>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</si>
  <si>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</si>
  <si>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</si>
  <si>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</si>
  <si>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</si>
  <si>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</si>
  <si>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</si>
  <si>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</si>
  <si>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</si>
  <si>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</si>
  <si>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</si>
  <si>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</si>
  <si>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</si>
  <si>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</si>
  <si>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</si>
  <si>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</si>
  <si>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</si>
  <si>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</si>
  <si>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</si>
  <si>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</si>
  <si>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</si>
  <si>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</si>
  <si>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</si>
  <si>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</si>
  <si>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</si>
  <si>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</si>
  <si>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</si>
  <si>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</si>
  <si>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</si>
  <si>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</si>
  <si>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</si>
  <si>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</si>
  <si>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</si>
  <si>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</si>
  <si>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</si>
  <si>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</si>
  <si>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</si>
  <si>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</si>
  <si>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</si>
  <si>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</si>
  <si>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</si>
  <si>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</si>
  <si>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</si>
  <si>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</si>
  <si>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</si>
  <si>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</si>
  <si>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</si>
  <si>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</si>
  <si>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</si>
  <si>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</si>
  <si>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</si>
  <si>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</si>
  <si>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</si>
  <si>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</si>
  <si>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</si>
  <si>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</si>
  <si>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</si>
  <si>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</si>
  <si>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</si>
  <si>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</si>
  <si>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</si>
  <si>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</si>
  <si>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</si>
  <si>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</si>
  <si>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</si>
  <si>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</si>
  <si>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</si>
  <si>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</si>
  <si>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</si>
  <si>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</si>
  <si>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</si>
  <si>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</si>
  <si>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</si>
  <si>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</si>
  <si>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</si>
  <si>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</si>
  <si>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</si>
  <si>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</si>
  <si>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</si>
  <si>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</si>
  <si>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</si>
  <si>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</si>
  <si>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</si>
  <si>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</si>
  <si>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</si>
  <si>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</si>
  <si>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</si>
  <si>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</si>
  <si>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</si>
  <si>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</si>
  <si>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</si>
  <si>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</si>
  <si>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</si>
  <si>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</si>
  <si>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</si>
  <si>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</si>
  <si>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</si>
  <si>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</si>
  <si>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</si>
  <si>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</si>
  <si>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</si>
  <si>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</si>
  <si>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</si>
  <si>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</si>
  <si>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</si>
  <si>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</si>
  <si>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</si>
  <si>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</si>
  <si>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</si>
  <si>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</si>
  <si>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</si>
  <si>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</si>
  <si>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</si>
  <si>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</si>
  <si>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</si>
  <si>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</si>
  <si>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</si>
  <si>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</si>
  <si>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</si>
  <si>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</si>
  <si>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</si>
  <si>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</si>
  <si>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</si>
  <si>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</si>
  <si>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</si>
  <si>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</si>
  <si>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</si>
  <si>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</si>
  <si>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</si>
  <si>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</si>
  <si>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</si>
  <si>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</si>
  <si>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</si>
  <si>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</si>
  <si>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</si>
  <si>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</si>
  <si>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</si>
  <si>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</si>
  <si>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</si>
  <si>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</si>
  <si>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</si>
  <si>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</si>
  <si>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</si>
  <si>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</si>
  <si>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</si>
  <si>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</si>
  <si>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</si>
  <si>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</si>
  <si>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</si>
  <si>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</si>
  <si>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</si>
  <si>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</si>
  <si>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</si>
  <si>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</si>
  <si>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</si>
  <si>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</si>
  <si>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</si>
  <si>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</si>
  <si>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</si>
  <si>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</si>
  <si>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</si>
  <si>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</si>
  <si>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</si>
  <si>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</si>
  <si>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</si>
  <si>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</si>
  <si>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</si>
  <si>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</si>
  <si>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</si>
  <si>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</si>
  <si>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</si>
  <si>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</si>
  <si>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 xml:space="preserve"> 국민건강보험공단 목포지사 사옥신축공사(건축)</t>
    <phoneticPr fontId="2" type="noConversion"/>
  </si>
  <si>
    <t>전라도</t>
  </si>
  <si>
    <t>기초공사, 폐기물처리비, 골재비및운반비, 작업부산물, 기타공사</t>
    <phoneticPr fontId="2" type="noConversion"/>
  </si>
  <si>
    <t>난방배관공사, 기타공사</t>
    <phoneticPr fontId="2" type="noConversion"/>
  </si>
  <si>
    <t>펌프실배관공사,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</si>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</sst>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2991.41</v>
      </c>
      <c r="D7" s="36">
        <f>+C7/3.3058</f>
        <v>904.89745296146157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1371480</v>
      </c>
      <c r="E25" s="59">
        <f t="shared" si="0"/>
        <v>4533830</v>
      </c>
    </row>
    <row r="26" spans="1:5" x14ac:dyDescent="0.3">
      <c r="B26" s="2">
        <v>3</v>
      </c>
      <c r="C26" s="35" t="s">
        <v>95</v>
      </c>
      <c r="D26" s="45">
        <f>+D66</f>
        <v>19710</v>
      </c>
      <c r="E26" s="59">
        <f t="shared" si="0"/>
        <v>65150</v>
      </c>
    </row>
    <row r="27" spans="1:5" x14ac:dyDescent="0.3">
      <c r="B27" s="2">
        <v>4</v>
      </c>
      <c r="C27" s="35" t="s">
        <v>96</v>
      </c>
      <c r="D27" s="45">
        <f>+D95</f>
        <v>223630</v>
      </c>
      <c r="E27" s="59">
        <f t="shared" si="0"/>
        <v>739270</v>
      </c>
    </row>
    <row r="28" spans="1:5" x14ac:dyDescent="0.3">
      <c r="B28" s="2">
        <v>5</v>
      </c>
      <c r="C28" s="35" t="s">
        <v>97</v>
      </c>
      <c r="D28" s="45">
        <f>+D119</f>
        <v>261830</v>
      </c>
      <c r="E28" s="59">
        <f t="shared" si="0"/>
        <v>865550</v>
      </c>
    </row>
    <row r="29" spans="1:5" x14ac:dyDescent="0.3">
      <c r="B29" s="2">
        <v>6</v>
      </c>
      <c r="C29" s="35" t="s">
        <v>98</v>
      </c>
      <c r="D29" s="45">
        <f>+D133</f>
        <v>101630</v>
      </c>
      <c r="E29" s="59">
        <f t="shared" si="0"/>
        <v>335960</v>
      </c>
    </row>
    <row r="30" spans="1:5" x14ac:dyDescent="0.3">
      <c r="B30" s="2">
        <v>7</v>
      </c>
      <c r="C30" s="35" t="s">
        <v>99</v>
      </c>
      <c r="D30" s="45">
        <f>+D146</f>
        <v>32790</v>
      </c>
      <c r="E30" s="59">
        <f t="shared" si="0"/>
        <v>108390</v>
      </c>
    </row>
    <row r="31" spans="1:5" x14ac:dyDescent="0.3">
      <c r="B31" s="2">
        <v>8</v>
      </c>
      <c r="C31" s="35" t="s">
        <v>100</v>
      </c>
      <c r="D31" s="45">
        <f>+D154</f>
        <v>92350</v>
      </c>
      <c r="E31" s="59">
        <f t="shared" si="0"/>
        <v>305290</v>
      </c>
    </row>
    <row r="32" spans="1:5" x14ac:dyDescent="0.3">
      <c r="B32" s="2">
        <v>9</v>
      </c>
      <c r="C32" s="35" t="s">
        <v>101</v>
      </c>
      <c r="D32" s="45">
        <f>+D161</f>
        <v>53870</v>
      </c>
      <c r="E32" s="59">
        <f t="shared" si="0"/>
        <v>178080</v>
      </c>
    </row>
    <row r="33" spans="1:7" x14ac:dyDescent="0.3">
      <c r="B33" s="2">
        <v>10</v>
      </c>
      <c r="C33" s="35" t="s">
        <v>155</v>
      </c>
      <c r="D33" s="53">
        <f>TRUNC(SUM(D24:D32)*0.275,-1)</f>
        <v>593250</v>
      </c>
      <c r="E33" s="60">
        <f t="shared" si="0"/>
        <v>1961160</v>
      </c>
    </row>
    <row r="34" spans="1:7" x14ac:dyDescent="0.3">
      <c r="C34" s="35" t="s">
        <v>112</v>
      </c>
      <c r="D34" s="44">
        <f>SUM(D24:D33)</f>
        <v>2750540</v>
      </c>
      <c r="E34" s="44">
        <f>SUM(E24:E33)</f>
        <v>9092680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TRUNC(78522,-1)</f>
        <v>78520</v>
      </c>
      <c r="E40" s="62">
        <f t="shared" ref="E40:E59" si="1">TRUNC(+D40*3.3058,-1)</f>
        <v>259570</v>
      </c>
    </row>
    <row r="41" spans="1:7" x14ac:dyDescent="0.3">
      <c r="A41" s="2">
        <v>2</v>
      </c>
      <c r="C41" s="38" t="s">
        <v>13</v>
      </c>
      <c r="D41" s="42">
        <f>TRUNC(215469,-1)</f>
        <v>215460</v>
      </c>
      <c r="E41" s="63">
        <f t="shared" si="1"/>
        <v>712260</v>
      </c>
    </row>
    <row r="42" spans="1:7" x14ac:dyDescent="0.3">
      <c r="A42" s="2">
        <v>3</v>
      </c>
      <c r="C42" s="38" t="s">
        <v>14</v>
      </c>
      <c r="D42" s="42">
        <f>TRUNC(4699,-1)</f>
        <v>4690</v>
      </c>
      <c r="E42" s="63">
        <f t="shared" si="1"/>
        <v>15500</v>
      </c>
    </row>
    <row r="43" spans="1:7" x14ac:dyDescent="0.3">
      <c r="A43" s="2">
        <v>4</v>
      </c>
      <c r="C43" s="38" t="s">
        <v>16</v>
      </c>
      <c r="D43" s="42">
        <f>TRUNC(36649,-1)</f>
        <v>36640</v>
      </c>
      <c r="E43" s="63">
        <f t="shared" si="1"/>
        <v>121120</v>
      </c>
    </row>
    <row r="44" spans="1:7" x14ac:dyDescent="0.3">
      <c r="A44" s="2">
        <v>5</v>
      </c>
      <c r="C44" s="38" t="s">
        <v>17</v>
      </c>
      <c r="D44" s="42">
        <f>TRUNC(43383,-1)</f>
        <v>43380</v>
      </c>
      <c r="E44" s="63">
        <f t="shared" si="1"/>
        <v>143400</v>
      </c>
    </row>
    <row r="45" spans="1:7" x14ac:dyDescent="0.3">
      <c r="A45" s="2">
        <v>6</v>
      </c>
      <c r="C45" s="38" t="s">
        <v>18</v>
      </c>
      <c r="D45" s="42">
        <v>22070</v>
      </c>
      <c r="E45" s="63">
        <f t="shared" si="1"/>
        <v>72950</v>
      </c>
    </row>
    <row r="46" spans="1:7" x14ac:dyDescent="0.3">
      <c r="A46" s="2">
        <v>7</v>
      </c>
      <c r="C46" s="38" t="s">
        <v>19</v>
      </c>
      <c r="D46" s="42">
        <f>TRUNC(108411,-1)</f>
        <v>108410</v>
      </c>
      <c r="E46" s="63">
        <f t="shared" si="1"/>
        <v>358380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TRUNC(41417,-1)</f>
        <v>41410</v>
      </c>
      <c r="E48" s="63">
        <f t="shared" si="1"/>
        <v>136890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TRUNC(16305,-1)</f>
        <v>16300</v>
      </c>
      <c r="E49" s="63">
        <f t="shared" si="1"/>
        <v>53880</v>
      </c>
    </row>
    <row r="50" spans="1:7" x14ac:dyDescent="0.3">
      <c r="A50" s="2">
        <v>11</v>
      </c>
      <c r="C50" s="38" t="s">
        <v>156</v>
      </c>
      <c r="D50" s="42">
        <f>TRUNC(89116,-1)</f>
        <v>89110</v>
      </c>
      <c r="E50" s="63">
        <f t="shared" si="1"/>
        <v>294570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TRUNC(5031,-1)</f>
        <v>5030</v>
      </c>
      <c r="E52" s="63">
        <f t="shared" si="1"/>
        <v>16620</v>
      </c>
    </row>
    <row r="53" spans="1:7" x14ac:dyDescent="0.3">
      <c r="A53" s="2">
        <v>14</v>
      </c>
      <c r="C53" s="38" t="s">
        <v>25</v>
      </c>
      <c r="D53" s="42">
        <f>TRUNC(239793,-1)</f>
        <v>239790</v>
      </c>
      <c r="E53" s="63">
        <f t="shared" si="1"/>
        <v>792690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TRUNC(68101+1855+4349-763+4160,-1)</f>
        <v>77700</v>
      </c>
      <c r="E58" s="63">
        <f t="shared" si="1"/>
        <v>256860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TRUNC(392977,-1)</f>
        <v>392970</v>
      </c>
      <c r="E59" s="64">
        <f t="shared" si="1"/>
        <v>1299080</v>
      </c>
    </row>
    <row r="60" spans="1:7" x14ac:dyDescent="0.3">
      <c r="A60" s="2">
        <v>21</v>
      </c>
      <c r="C60" s="27" t="s">
        <v>112</v>
      </c>
      <c r="D60" s="39">
        <f>SUM(D40:D59)</f>
        <v>1371480</v>
      </c>
      <c r="E60" s="39">
        <f>SUM(E40:E59)</f>
        <v>4533770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TRUNC(19718,-1)</f>
        <v>19710</v>
      </c>
      <c r="E63" s="62">
        <f>TRUNC(+D63*3.3058,-1)</f>
        <v>65150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19710</v>
      </c>
      <c r="E66" s="65">
        <f>SUM(E63:E65)</f>
        <v>65150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TRUNC(6043,-1)</f>
        <v>6040</v>
      </c>
      <c r="E69" s="62">
        <f t="shared" ref="E69:E94" si="2">TRUNC(+D69*3.3058,-1)</f>
        <v>19960</v>
      </c>
    </row>
    <row r="70" spans="1:7" ht="16.5" customHeight="1" x14ac:dyDescent="0.3">
      <c r="A70" s="2">
        <v>2</v>
      </c>
      <c r="C70" s="38" t="s">
        <v>31</v>
      </c>
      <c r="D70" s="42">
        <f>TRUNC(5275,-1)</f>
        <v>5270</v>
      </c>
      <c r="E70" s="63">
        <f t="shared" si="2"/>
        <v>17420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12480</v>
      </c>
      <c r="E72" s="63">
        <f t="shared" si="2"/>
        <v>41250</v>
      </c>
    </row>
    <row r="73" spans="1:7" x14ac:dyDescent="0.3">
      <c r="A73" s="2">
        <v>5</v>
      </c>
      <c r="C73" s="38" t="s">
        <v>34</v>
      </c>
      <c r="D73" s="42">
        <f>TRUNC(17081,-1)</f>
        <v>17080</v>
      </c>
      <c r="E73" s="63">
        <f t="shared" si="2"/>
        <v>56460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TRUNC(16174,-1)</f>
        <v>16170</v>
      </c>
      <c r="E89" s="63">
        <f t="shared" si="2"/>
        <v>53450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TRUNC(18266,-1)</f>
        <v>18260</v>
      </c>
      <c r="E91" s="63">
        <f t="shared" si="2"/>
        <v>60360</v>
      </c>
    </row>
    <row r="92" spans="1:7" x14ac:dyDescent="0.3">
      <c r="A92" s="2">
        <v>24</v>
      </c>
      <c r="C92" s="38" t="s">
        <v>38</v>
      </c>
      <c r="D92" s="42">
        <v>16300</v>
      </c>
      <c r="E92" s="63">
        <f t="shared" si="2"/>
        <v>53880</v>
      </c>
    </row>
    <row r="93" spans="1:7" x14ac:dyDescent="0.3">
      <c r="A93" s="2">
        <v>25</v>
      </c>
      <c r="C93" s="38" t="s">
        <v>149</v>
      </c>
      <c r="D93" s="42">
        <v>119030</v>
      </c>
      <c r="E93" s="63">
        <f t="shared" si="2"/>
        <v>393480</v>
      </c>
    </row>
    <row r="94" spans="1:7" ht="17.25" thickBot="1" x14ac:dyDescent="0.35">
      <c r="A94" s="2">
        <v>26</v>
      </c>
      <c r="C94" s="38" t="s">
        <v>47</v>
      </c>
      <c r="D94" s="43">
        <f>TRUNC(6212+6792,-1)</f>
        <v>13000</v>
      </c>
      <c r="E94" s="64">
        <f t="shared" si="2"/>
        <v>42970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223630</v>
      </c>
      <c r="E95" s="39">
        <f>SUM(E69:E94)</f>
        <v>739230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TRUNC(31233,-1)</f>
        <v>31230</v>
      </c>
      <c r="E98" s="62">
        <f t="shared" ref="E98:E118" si="3">TRUNC(+D98*3.3058,-1)</f>
        <v>103240</v>
      </c>
    </row>
    <row r="99" spans="1:7" x14ac:dyDescent="0.3">
      <c r="A99" s="2">
        <v>2</v>
      </c>
      <c r="C99" s="38" t="s">
        <v>40</v>
      </c>
      <c r="D99" s="42">
        <f>TRUNC(641,-1)</f>
        <v>640</v>
      </c>
      <c r="E99" s="63">
        <f t="shared" si="3"/>
        <v>2110</v>
      </c>
    </row>
    <row r="100" spans="1:7" x14ac:dyDescent="0.3">
      <c r="A100" s="2">
        <v>3</v>
      </c>
      <c r="C100" s="38" t="s">
        <v>41</v>
      </c>
      <c r="D100" s="42">
        <f>TRUNC(39354,-1)</f>
        <v>39350</v>
      </c>
      <c r="E100" s="63">
        <f t="shared" si="3"/>
        <v>130080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TRUNC(25172,-1)</f>
        <v>25170</v>
      </c>
      <c r="E102" s="63">
        <f t="shared" si="3"/>
        <v>83200</v>
      </c>
    </row>
    <row r="103" spans="1:7" x14ac:dyDescent="0.3">
      <c r="A103" s="2">
        <v>6</v>
      </c>
      <c r="C103" s="38" t="s">
        <v>44</v>
      </c>
      <c r="D103" s="42">
        <f>TRUNC(9263,-1)</f>
        <v>9260</v>
      </c>
      <c r="E103" s="63">
        <f t="shared" si="3"/>
        <v>30610</v>
      </c>
    </row>
    <row r="104" spans="1:7" x14ac:dyDescent="0.3">
      <c r="A104" s="2">
        <v>7</v>
      </c>
      <c r="C104" s="38" t="s">
        <v>45</v>
      </c>
      <c r="D104" s="42">
        <f>TRUNC(5472,-1)</f>
        <v>5470</v>
      </c>
      <c r="E104" s="63">
        <f t="shared" si="3"/>
        <v>18080</v>
      </c>
    </row>
    <row r="105" spans="1:7" x14ac:dyDescent="0.3">
      <c r="A105" s="2">
        <v>8</v>
      </c>
      <c r="C105" s="38" t="s">
        <v>46</v>
      </c>
      <c r="D105" s="42">
        <f>TRUNC(1375,-1)</f>
        <v>1370</v>
      </c>
      <c r="E105" s="63">
        <f t="shared" si="3"/>
        <v>4520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TRUNC(4063,-1)</f>
        <v>4060</v>
      </c>
      <c r="E114" s="63">
        <f t="shared" si="3"/>
        <v>13420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TRUNC(140107,-1)</f>
        <v>140100</v>
      </c>
      <c r="E117" s="63">
        <f t="shared" si="3"/>
        <v>463140</v>
      </c>
    </row>
    <row r="118" spans="1:7" ht="17.25" thickBot="1" x14ac:dyDescent="0.35">
      <c r="A118" s="2">
        <v>21</v>
      </c>
      <c r="C118" s="38" t="s">
        <v>47</v>
      </c>
      <c r="D118" s="43">
        <f>TRUNC(5189,-1)</f>
        <v>5180</v>
      </c>
      <c r="E118" s="64">
        <f t="shared" si="3"/>
        <v>17120</v>
      </c>
    </row>
    <row r="119" spans="1:7" x14ac:dyDescent="0.3">
      <c r="A119" s="2">
        <v>22</v>
      </c>
      <c r="C119" s="27" t="s">
        <v>112</v>
      </c>
      <c r="D119" s="39">
        <f>SUM(D98:D118)</f>
        <v>261830</v>
      </c>
      <c r="E119" s="39">
        <f>SUM(E98:E118)</f>
        <v>865520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TRUNC(6746,-1)</f>
        <v>6740</v>
      </c>
      <c r="E122" s="62">
        <f t="shared" ref="E122:E132" si="4">TRUNC(+D122*3.3058,-1)</f>
        <v>22280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TRUNC(11288,-1)</f>
        <v>11280</v>
      </c>
      <c r="E125" s="63">
        <f t="shared" si="4"/>
        <v>37280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TRUNC(598,-1)</f>
        <v>590</v>
      </c>
      <c r="E127" s="63">
        <f t="shared" si="4"/>
        <v>1950</v>
      </c>
    </row>
    <row r="128" spans="1:7" x14ac:dyDescent="0.3">
      <c r="A128" s="2">
        <v>7</v>
      </c>
      <c r="C128" s="38" t="s">
        <v>46</v>
      </c>
      <c r="D128" s="42">
        <f>TRUNC(5644,-1)</f>
        <v>5640</v>
      </c>
      <c r="E128" s="63">
        <f t="shared" si="4"/>
        <v>18640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TRUNC(49126,-1)</f>
        <v>49120</v>
      </c>
      <c r="E130" s="63">
        <f t="shared" si="4"/>
        <v>162380</v>
      </c>
    </row>
    <row r="131" spans="1:7" x14ac:dyDescent="0.3">
      <c r="A131" s="2">
        <v>10</v>
      </c>
      <c r="C131" s="38" t="s">
        <v>149</v>
      </c>
      <c r="D131" s="42">
        <f>TRUNC(28269,-1)</f>
        <v>28260</v>
      </c>
      <c r="E131" s="63">
        <f t="shared" si="4"/>
        <v>93420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101630</v>
      </c>
      <c r="E133" s="39">
        <f>SUM(E122:E132)</f>
        <v>335950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TRUNC(3304+4799,-1)</f>
        <v>8100</v>
      </c>
      <c r="E137" s="63">
        <f t="shared" si="5"/>
        <v>26770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TRUNC(331,-1)</f>
        <v>330</v>
      </c>
      <c r="E139" s="63">
        <f t="shared" si="5"/>
        <v>1090</v>
      </c>
    </row>
    <row r="140" spans="1:7" x14ac:dyDescent="0.3">
      <c r="A140" s="2">
        <v>5</v>
      </c>
      <c r="C140" s="38" t="s">
        <v>57</v>
      </c>
      <c r="D140" s="42">
        <f>TRUNC(3072,-1)</f>
        <v>3070</v>
      </c>
      <c r="E140" s="63">
        <f t="shared" si="5"/>
        <v>10140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TRUNC(4759,-1)</f>
        <v>4750</v>
      </c>
      <c r="E142" s="63">
        <f t="shared" si="5"/>
        <v>15700</v>
      </c>
    </row>
    <row r="143" spans="1:7" x14ac:dyDescent="0.3">
      <c r="A143" s="2">
        <v>8</v>
      </c>
      <c r="C143" s="38" t="s">
        <v>62</v>
      </c>
      <c r="D143" s="42">
        <f>TRUNC(3883,-1)</f>
        <v>3880</v>
      </c>
      <c r="E143" s="63">
        <f t="shared" si="5"/>
        <v>12820</v>
      </c>
    </row>
    <row r="144" spans="1:7" x14ac:dyDescent="0.3">
      <c r="A144" s="2">
        <v>9</v>
      </c>
      <c r="C144" s="38" t="s">
        <v>63</v>
      </c>
      <c r="D144" s="42">
        <v>12660</v>
      </c>
      <c r="E144" s="63">
        <f t="shared" si="5"/>
        <v>41850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32790</v>
      </c>
      <c r="E146" s="39">
        <f>SUM(E136:E145)</f>
        <v>108370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TRUNC(16515+8072,-1)</f>
        <v>24580</v>
      </c>
      <c r="E149" s="62">
        <f>TRUNC(+D149*3.3058,-1)</f>
        <v>81250</v>
      </c>
    </row>
    <row r="150" spans="1:7" x14ac:dyDescent="0.3">
      <c r="A150" s="2">
        <v>2</v>
      </c>
      <c r="C150" s="38" t="s">
        <v>49</v>
      </c>
      <c r="D150" s="42">
        <f>TRUNC(22028,-1)</f>
        <v>22020</v>
      </c>
      <c r="E150" s="63">
        <f>TRUNC(+D150*3.3058,-1)</f>
        <v>72790</v>
      </c>
    </row>
    <row r="151" spans="1:7" x14ac:dyDescent="0.3">
      <c r="A151" s="2">
        <v>3</v>
      </c>
      <c r="C151" s="38" t="s">
        <v>50</v>
      </c>
      <c r="D151" s="42">
        <f>TRUNC(8629,-1)</f>
        <v>8620</v>
      </c>
      <c r="E151" s="63">
        <f>TRUNC(+D151*3.3058,-1)</f>
        <v>28490</v>
      </c>
    </row>
    <row r="152" spans="1:7" x14ac:dyDescent="0.3">
      <c r="A152" s="2">
        <v>4</v>
      </c>
      <c r="C152" s="38" t="s">
        <v>47</v>
      </c>
      <c r="D152" s="42">
        <f>TRUNC(4477+5090,-1)</f>
        <v>9560</v>
      </c>
      <c r="E152" s="63">
        <f>TRUNC(+D152*3.3058,-1)</f>
        <v>31600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TRUNC(27578,-1)</f>
        <v>27570</v>
      </c>
      <c r="E153" s="64">
        <f>TRUNC(+D153*3.3058,-1)</f>
        <v>91140</v>
      </c>
    </row>
    <row r="154" spans="1:7" x14ac:dyDescent="0.3">
      <c r="A154" s="2">
        <v>6</v>
      </c>
      <c r="C154" s="27" t="s">
        <v>112</v>
      </c>
      <c r="D154" s="39">
        <f>SUM(D149:D153)</f>
        <v>92350</v>
      </c>
      <c r="E154" s="39">
        <f>SUM(E149:E153)</f>
        <v>305270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TRUNC(37238,-1)</f>
        <v>37230</v>
      </c>
      <c r="E157" s="62">
        <f>TRUNC(+D157*3.3058,-1)</f>
        <v>123070</v>
      </c>
    </row>
    <row r="158" spans="1:7" x14ac:dyDescent="0.3">
      <c r="A158" s="2">
        <v>2</v>
      </c>
      <c r="C158" s="38" t="s">
        <v>52</v>
      </c>
      <c r="D158" s="42">
        <v>6400</v>
      </c>
      <c r="E158" s="63">
        <f>TRUNC(+D158*3.3058,-1)</f>
        <v>21150</v>
      </c>
    </row>
    <row r="159" spans="1:7" x14ac:dyDescent="0.3">
      <c r="A159" s="2">
        <v>3</v>
      </c>
      <c r="C159" s="38" t="s">
        <v>47</v>
      </c>
      <c r="D159" s="42">
        <f>TRUNC(5302+1,-1)</f>
        <v>5300</v>
      </c>
      <c r="E159" s="63">
        <f>TRUNC(+D159*3.3058,-1)</f>
        <v>17520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v>4940</v>
      </c>
      <c r="E160" s="64">
        <f>TRUNC(+D160*3.3058,-1)</f>
        <v>16330</v>
      </c>
    </row>
    <row r="161" spans="1:5" x14ac:dyDescent="0.3">
      <c r="A161" s="2">
        <v>5</v>
      </c>
      <c r="C161" s="27" t="s">
        <v>112</v>
      </c>
      <c r="D161" s="39">
        <f>SUM(D157:D160)</f>
        <v>53870</v>
      </c>
      <c r="E161" s="39">
        <f>SUM(E157:E160)</f>
        <v>178070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2020-12-08T04:50:28Z</dcterms:modified>
</cp:coreProperties>
</file>