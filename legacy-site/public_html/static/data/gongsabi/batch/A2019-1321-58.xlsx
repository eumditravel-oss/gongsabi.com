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60" i="4"/>
  <c r="D157" i="4"/>
  <c r="D153" i="4"/>
  <c r="D150" i="4"/>
  <c r="D144" i="4"/>
  <c r="D143" i="4"/>
  <c r="D142" i="4"/>
  <c r="D140" i="4"/>
  <c r="D139" i="4"/>
  <c r="D137" i="4"/>
  <c r="D132" i="4"/>
  <c r="D131" i="4"/>
  <c r="D130" i="4"/>
  <c r="D128" i="4"/>
  <c r="D127" i="4"/>
  <c r="D125" i="4"/>
  <c r="D124" i="4"/>
  <c r="D122" i="4"/>
  <c r="D118" i="4"/>
  <c r="D116" i="4"/>
  <c r="D114" i="4"/>
  <c r="D105" i="4"/>
  <c r="D104" i="4"/>
  <c r="D103" i="4"/>
  <c r="D102" i="4"/>
  <c r="D100" i="4"/>
  <c r="D99" i="4"/>
  <c r="D98" i="4"/>
  <c r="D94" i="4"/>
  <c r="D93" i="4"/>
  <c r="D92" i="4"/>
  <c r="D91" i="4"/>
  <c r="D90" i="4"/>
  <c r="D73" i="4"/>
  <c r="D72" i="4"/>
  <c r="D71" i="4"/>
  <c r="D70" i="4"/>
  <c r="D59" i="4"/>
  <c r="D58" i="4"/>
  <c r="D53" i="4"/>
  <c r="D52" i="4"/>
  <c r="D50" i="4"/>
  <c r="D49" i="4"/>
  <c r="D48" i="4"/>
  <c r="D45" i="4"/>
  <c r="D44" i="4"/>
  <c r="D43" i="4"/>
  <c r="D41" i="4"/>
  <c r="D40" i="4"/>
  <c r="D152" i="4"/>
  <c r="D149" i="4"/>
  <c r="D60" i="4" l="1"/>
  <c r="E160" i="4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66" i="4"/>
  <c r="E161" i="4"/>
  <c r="E154" i="4"/>
  <c r="E146" i="4"/>
  <c r="E133" i="4"/>
  <c r="E119" i="4"/>
  <c r="E95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25" i="4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<sst xmlns="http://schemas.openxmlformats.org/spreadsheetml/2006/main" count="394" uniqueCount="268">
  <si>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</si>
  <si>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</si>
  <si>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</si>
  <si>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</si>
  <si>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</si>
  <si>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</si>
  <si>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</si>
  <si>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</si>
  <si>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</si>
  <si>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</si>
  <si>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</si>
  <si>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</si>
  <si>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</si>
  <si>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</si>
  <si>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</si>
  <si>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</si>
  <si>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</si>
  <si>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</si>
  <si>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</si>
  <si>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</si>
  <si>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</si>
  <si>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</si>
  <si>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</si>
  <si>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</si>
  <si>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</si>
  <si>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</si>
  <si>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</si>
  <si>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</si>
  <si>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</si>
  <si>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</si>
  <si>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</si>
  <si>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</si>
  <si>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</si>
  <si>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</si>
  <si>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</si>
  <si>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</si>
  <si>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</si>
  <si>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</si>
  <si>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</si>
  <si>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</si>
  <si>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</si>
  <si>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</si>
  <si>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</si>
  <si>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</si>
  <si>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</si>
  <si>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</si>
  <si>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</si>
  <si>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</si>
  <si>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</si>
  <si>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</si>
  <si>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</si>
  <si>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</si>
  <si>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</si>
  <si>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</si>
  <si>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</si>
  <si>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</si>
  <si>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</si>
  <si>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</si>
  <si>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</si>
  <si>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</si>
  <si>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</si>
  <si>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</si>
  <si>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</si>
  <si>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</si>
  <si>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</si>
  <si>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</si>
  <si>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</si>
  <si>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</si>
  <si>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</si>
  <si>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</si>
  <si>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</si>
  <si>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</si>
  <si>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</si>
  <si>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</si>
  <si>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</si>
  <si>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</si>
  <si>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</si>
  <si>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</si>
  <si>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</si>
  <si>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</si>
  <si>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</si>
  <si>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</si>
  <si>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</si>
  <si>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</si>
  <si>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</si>
  <si>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</si>
  <si>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</si>
  <si>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</si>
  <si>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</si>
  <si>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</si>
  <si>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</si>
  <si>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</si>
  <si>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</si>
  <si>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</si>
  <si>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</si>
  <si>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</si>
  <si>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</si>
  <si>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</si>
  <si>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</si>
  <si>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</si>
  <si>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</si>
  <si>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</si>
  <si>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</si>
  <si>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</si>
  <si>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</si>
  <si>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</si>
  <si>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</si>
  <si>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</si>
  <si>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</si>
  <si>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</si>
  <si>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</si>
  <si>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</si>
  <si>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</si>
  <si>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</si>
  <si>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</si>
  <si>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</si>
  <si>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</si>
  <si>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</si>
  <si>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</si>
  <si>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</si>
  <si>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</si>
  <si>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</si>
  <si>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</si>
  <si>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</si>
  <si>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</si>
  <si>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</si>
  <si>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</si>
  <si>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</si>
  <si>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</si>
  <si>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</si>
  <si>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</si>
  <si>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</si>
  <si>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</si>
  <si>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</si>
  <si>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</si>
  <si>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</si>
  <si>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</si>
  <si>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</si>
  <si>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</si>
  <si>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</si>
  <si>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</si>
  <si>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</si>
  <si>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</si>
  <si>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</si>
  <si>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</si>
  <si>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</si>
  <si>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</si>
  <si>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</si>
  <si>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</si>
  <si>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</si>
  <si>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</si>
  <si>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</si>
  <si>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</si>
  <si>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</si>
  <si>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</si>
  <si>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</si>
  <si>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</si>
  <si>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</si>
  <si>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</si>
  <si>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</si>
  <si>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</si>
  <si>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</si>
  <si>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</si>
  <si>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</si>
  <si>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</si>
  <si>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</si>
  <si>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</si>
  <si>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</si>
  <si>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</si>
  <si>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</si>
  <si>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</si>
  <si>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</si>
  <si>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</si>
  <si>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</si>
  <si>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</si>
  <si>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</si>
  <si>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</si>
  <si>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</si>
  <si>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</si>
  <si>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</si>
  <si>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</si>
  <si>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</si>
  <si>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</si>
  <si>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</si>
  <si>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</si>
  <si>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</si>
  <si>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</si>
  <si>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</si>
  <si>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</si>
  <si>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</si>
  <si>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</si>
  <si>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</si>
  <si>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</si>
  <si>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</si>
  <si>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</si>
  <si>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</si>
  <si>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</si>
  <si>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</si>
  <si>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</si>
  <si>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</si>
  <si>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</si>
  <si>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</si>
  <si>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</si>
  <si>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</si>
  <si>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</si>
  <si>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</si>
  <si>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</si>
  <si>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</si>
  <si>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</si>
  <si>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</si>
  <si>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</si>
  <si>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</si>
  <si>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</si>
  <si>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</si>
  <si>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</si>
  <si>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</si>
  <si>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</si>
  <si>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</si>
  <si>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</si>
  <si>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</si>
  <si>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</si>
  <si>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</si>
  <si>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</si>
  <si>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</si>
  <si>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</si>
  <si>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</si>
  <si>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</si>
  <si>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</si>
  <si>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</si>
  <si>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</si>
  <si>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</si>
  <si>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</si>
  <si>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</si>
  <si>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</si>
  <si>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</si>
  <si>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</si>
  <si>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</si>
  <si>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</si>
  <si>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</si>
  <si>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</si>
  <si>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</si>
  <si>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</si>
  <si>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</si>
  <si>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</si>
  <si>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</si>
  <si>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</si>
  <si>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</si>
  <si>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</si>
  <si>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</si>
  <si>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</si>
  <si>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</si>
  <si>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</si>
  <si>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</si>
  <si>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</si>
  <si>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</si>
  <si>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부산지방기상청 청사 신축 공사(건축)</t>
    <phoneticPr fontId="2" type="noConversion"/>
  </si>
  <si>
    <t>서울</t>
  </si>
  <si>
    <t>업무</t>
  </si>
  <si>
    <t>기초공사, 폐기물처리비, 골재비및운반비, 품질시험비, 기타공사</t>
    <phoneticPr fontId="2" type="noConversion"/>
  </si>
  <si>
    <t>난방배관공사,바닥난방공사, 기타공사</t>
    <phoneticPr fontId="2" type="noConversion"/>
  </si>
  <si>
    <t>원격검침 설비공사, 기타공사</t>
    <phoneticPr fontId="2" type="noConversion"/>
  </si>
  <si>
    <t>CCTV설비공사, 주차관제설비공사, 기타공사</t>
    <phoneticPr fontId="2" type="noConversion"/>
  </si>
  <si>
    <t>펌프실배관공사, 기타공사</t>
    <phoneticPr fontId="2" type="noConversion"/>
  </si>
  <si>
    <t>상수도공사, 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</si>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</sst>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157</v>
      </c>
      <c r="B2" s="73" t="s">
        <v>0</v>
      </c>
      <c r="C2" s="74"/>
      <c r="D2" s="73" t="s">
        <v>1</v>
      </c>
      <c r="E2" s="74"/>
      <c r="F2" s="73" t="s">
        <v>158</v>
      </c>
      <c r="G2" s="74"/>
      <c r="H2" s="73" t="s">
        <v>2</v>
      </c>
      <c r="I2" s="74"/>
      <c r="J2" s="73" t="s">
        <v>3</v>
      </c>
      <c r="K2" s="74"/>
      <c r="L2" s="73" t="s">
        <v>159</v>
      </c>
      <c r="M2" s="74"/>
      <c r="N2" s="73" t="s">
        <v>160</v>
      </c>
      <c r="O2" s="74"/>
      <c r="P2" s="73" t="s">
        <v>5</v>
      </c>
      <c r="Q2" s="74"/>
      <c r="R2" s="67" t="s">
        <v>94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9" width="7.5" style="55" customWidth="1"/>
    <col min="10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3317.52</v>
      </c>
      <c r="D7" s="36">
        <f>+C7/3.3058</f>
        <v>1003.5452840462218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1496600</v>
      </c>
      <c r="E25" s="60">
        <f t="shared" si="0"/>
        <v>4947460</v>
      </c>
    </row>
    <row r="26" spans="1:5" x14ac:dyDescent="0.3">
      <c r="B26" s="2">
        <v>3</v>
      </c>
      <c r="C26" s="35" t="s">
        <v>95</v>
      </c>
      <c r="D26" s="45">
        <f>+D66</f>
        <v>48030</v>
      </c>
      <c r="E26" s="60">
        <f t="shared" si="0"/>
        <v>158770</v>
      </c>
    </row>
    <row r="27" spans="1:5" x14ac:dyDescent="0.3">
      <c r="B27" s="2">
        <v>4</v>
      </c>
      <c r="C27" s="35" t="s">
        <v>96</v>
      </c>
      <c r="D27" s="45">
        <f>+D95</f>
        <v>218940</v>
      </c>
      <c r="E27" s="60">
        <f t="shared" si="0"/>
        <v>723770</v>
      </c>
    </row>
    <row r="28" spans="1:5" x14ac:dyDescent="0.3">
      <c r="B28" s="2">
        <v>5</v>
      </c>
      <c r="C28" s="35" t="s">
        <v>97</v>
      </c>
      <c r="D28" s="45">
        <f>+D119</f>
        <v>335580</v>
      </c>
      <c r="E28" s="60">
        <f t="shared" si="0"/>
        <v>1109360</v>
      </c>
    </row>
    <row r="29" spans="1:5" x14ac:dyDescent="0.3">
      <c r="B29" s="2">
        <v>6</v>
      </c>
      <c r="C29" s="35" t="s">
        <v>98</v>
      </c>
      <c r="D29" s="45">
        <f>+D133</f>
        <v>122350</v>
      </c>
      <c r="E29" s="60">
        <f t="shared" si="0"/>
        <v>404460</v>
      </c>
    </row>
    <row r="30" spans="1:5" x14ac:dyDescent="0.3">
      <c r="B30" s="2">
        <v>7</v>
      </c>
      <c r="C30" s="35" t="s">
        <v>99</v>
      </c>
      <c r="D30" s="45">
        <f>+D146</f>
        <v>47030</v>
      </c>
      <c r="E30" s="60">
        <f t="shared" si="0"/>
        <v>155470</v>
      </c>
    </row>
    <row r="31" spans="1:5" x14ac:dyDescent="0.3">
      <c r="B31" s="2">
        <v>8</v>
      </c>
      <c r="C31" s="35" t="s">
        <v>100</v>
      </c>
      <c r="D31" s="45">
        <f>+D154</f>
        <v>51220</v>
      </c>
      <c r="E31" s="60">
        <f t="shared" si="0"/>
        <v>169320</v>
      </c>
    </row>
    <row r="32" spans="1:5" x14ac:dyDescent="0.3">
      <c r="B32" s="2">
        <v>9</v>
      </c>
      <c r="C32" s="35" t="s">
        <v>101</v>
      </c>
      <c r="D32" s="45">
        <f>+D161</f>
        <v>83430</v>
      </c>
      <c r="E32" s="60">
        <f t="shared" si="0"/>
        <v>275800</v>
      </c>
    </row>
    <row r="33" spans="1:9" x14ac:dyDescent="0.3">
      <c r="B33" s="2">
        <v>10</v>
      </c>
      <c r="C33" s="35" t="s">
        <v>155</v>
      </c>
      <c r="D33" s="53">
        <f>TRUNC(SUM(D24:D32)*0.275,-1)</f>
        <v>660870</v>
      </c>
      <c r="E33" s="61">
        <f t="shared" si="0"/>
        <v>2184700</v>
      </c>
    </row>
    <row r="34" spans="1:9" x14ac:dyDescent="0.3">
      <c r="C34" s="35" t="s">
        <v>112</v>
      </c>
      <c r="D34" s="44">
        <f>SUM(D24:D33)</f>
        <v>3064050</v>
      </c>
      <c r="E34" s="44">
        <f>SUM(E24:E33)</f>
        <v>10129110</v>
      </c>
    </row>
    <row r="35" spans="1:9" s="57" customFormat="1" x14ac:dyDescent="0.3">
      <c r="C35" s="58"/>
      <c r="D35" s="58"/>
      <c r="E35" s="58"/>
      <c r="G35" s="56"/>
      <c r="H35" s="56"/>
      <c r="I35" s="56"/>
    </row>
    <row r="36" spans="1:9" s="57" customFormat="1" ht="17.25" thickBot="1" x14ac:dyDescent="0.35">
      <c r="B36" s="57" t="s">
        <v>12</v>
      </c>
      <c r="C36" s="57" t="s">
        <v>239</v>
      </c>
      <c r="D36" s="58" t="s">
        <v>236</v>
      </c>
      <c r="E36" s="58" t="s">
        <v>154</v>
      </c>
      <c r="G36" s="56"/>
      <c r="H36" s="56"/>
      <c r="I36" s="56"/>
    </row>
    <row r="37" spans="1:9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9" s="57" customFormat="1" x14ac:dyDescent="0.3">
      <c r="C38" s="58"/>
      <c r="D38" s="58"/>
      <c r="E38" s="58"/>
      <c r="G38" s="56"/>
      <c r="H38" s="56"/>
      <c r="I38" s="56"/>
    </row>
    <row r="39" spans="1:9" s="57" customFormat="1" ht="17.25" thickBot="1" x14ac:dyDescent="0.35">
      <c r="B39" s="57" t="s">
        <v>144</v>
      </c>
      <c r="C39" s="58" t="s">
        <v>113</v>
      </c>
      <c r="D39" s="58" t="s">
        <v>238</v>
      </c>
      <c r="E39" s="58" t="s">
        <v>154</v>
      </c>
      <c r="G39" s="56"/>
      <c r="H39" s="56"/>
      <c r="I39" s="56"/>
    </row>
    <row r="40" spans="1:9" x14ac:dyDescent="0.3">
      <c r="A40" s="2">
        <v>1</v>
      </c>
      <c r="C40" s="38" t="s">
        <v>15</v>
      </c>
      <c r="D40" s="40">
        <f>TRUNC(84706,-1)</f>
        <v>84700</v>
      </c>
      <c r="E40" s="63">
        <f t="shared" ref="E40:E59" si="1">TRUNC(+D40*3.3058,-1)</f>
        <v>280000</v>
      </c>
    </row>
    <row r="41" spans="1:9" x14ac:dyDescent="0.3">
      <c r="A41" s="2">
        <v>2</v>
      </c>
      <c r="C41" s="38" t="s">
        <v>13</v>
      </c>
      <c r="D41" s="42">
        <f>TRUNC(204773,-1)</f>
        <v>204770</v>
      </c>
      <c r="E41" s="64">
        <f t="shared" si="1"/>
        <v>676920</v>
      </c>
    </row>
    <row r="42" spans="1:9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9" x14ac:dyDescent="0.3">
      <c r="A43" s="2">
        <v>4</v>
      </c>
      <c r="C43" s="38" t="s">
        <v>16</v>
      </c>
      <c r="D43" s="42">
        <f>TRUNC(21187,-1)</f>
        <v>21180</v>
      </c>
      <c r="E43" s="64">
        <f t="shared" si="1"/>
        <v>70010</v>
      </c>
    </row>
    <row r="44" spans="1:9" x14ac:dyDescent="0.3">
      <c r="A44" s="2">
        <v>5</v>
      </c>
      <c r="C44" s="38" t="s">
        <v>17</v>
      </c>
      <c r="D44" s="42">
        <f>TRUNC(35388,-1)</f>
        <v>35380</v>
      </c>
      <c r="E44" s="64">
        <f t="shared" si="1"/>
        <v>116950</v>
      </c>
    </row>
    <row r="45" spans="1:9" x14ac:dyDescent="0.3">
      <c r="A45" s="2">
        <v>6</v>
      </c>
      <c r="C45" s="38" t="s">
        <v>18</v>
      </c>
      <c r="D45" s="42">
        <f>TRUNC(15632,-1)</f>
        <v>15630</v>
      </c>
      <c r="E45" s="64">
        <f t="shared" si="1"/>
        <v>51660</v>
      </c>
    </row>
    <row r="46" spans="1:9" x14ac:dyDescent="0.3">
      <c r="A46" s="2">
        <v>7</v>
      </c>
      <c r="C46" s="38" t="s">
        <v>19</v>
      </c>
      <c r="D46" s="42">
        <v>23040</v>
      </c>
      <c r="E46" s="64">
        <f t="shared" si="1"/>
        <v>76160</v>
      </c>
    </row>
    <row r="47" spans="1:9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9" x14ac:dyDescent="0.3">
      <c r="A48" s="2">
        <v>9</v>
      </c>
      <c r="C48" s="38" t="s">
        <v>21</v>
      </c>
      <c r="D48" s="42">
        <f>TRUNC(34191,-1)</f>
        <v>34190</v>
      </c>
      <c r="E48" s="64">
        <f t="shared" si="1"/>
        <v>113020</v>
      </c>
      <c r="F48" s="2" t="s">
        <v>249</v>
      </c>
    </row>
    <row r="49" spans="1:9" x14ac:dyDescent="0.3">
      <c r="A49" s="2">
        <v>10</v>
      </c>
      <c r="C49" s="38" t="s">
        <v>22</v>
      </c>
      <c r="D49" s="42">
        <f>TRUNC(34224,-1)</f>
        <v>34220</v>
      </c>
      <c r="E49" s="64">
        <f t="shared" si="1"/>
        <v>113120</v>
      </c>
    </row>
    <row r="50" spans="1:9" x14ac:dyDescent="0.3">
      <c r="A50" s="2">
        <v>11</v>
      </c>
      <c r="C50" s="38" t="s">
        <v>156</v>
      </c>
      <c r="D50" s="42">
        <f>TRUNC(95054,-1)</f>
        <v>95050</v>
      </c>
      <c r="E50" s="64">
        <f t="shared" si="1"/>
        <v>314210</v>
      </c>
      <c r="F50" s="2" t="s">
        <v>250</v>
      </c>
    </row>
    <row r="51" spans="1:9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9" x14ac:dyDescent="0.3">
      <c r="A52" s="2">
        <v>13</v>
      </c>
      <c r="C52" s="38" t="s">
        <v>24</v>
      </c>
      <c r="D52" s="42">
        <f>TRUNC(23281,-1)</f>
        <v>23280</v>
      </c>
      <c r="E52" s="64">
        <f t="shared" si="1"/>
        <v>76950</v>
      </c>
    </row>
    <row r="53" spans="1:9" x14ac:dyDescent="0.3">
      <c r="A53" s="2">
        <v>14</v>
      </c>
      <c r="C53" s="38" t="s">
        <v>25</v>
      </c>
      <c r="D53" s="42">
        <f>TRUNC(158172,-1)</f>
        <v>158170</v>
      </c>
      <c r="E53" s="64">
        <f t="shared" si="1"/>
        <v>522870</v>
      </c>
      <c r="F53" s="2" t="s">
        <v>251</v>
      </c>
    </row>
    <row r="54" spans="1:9" x14ac:dyDescent="0.3">
      <c r="A54" s="2">
        <v>15</v>
      </c>
      <c r="C54" s="38" t="s">
        <v>148</v>
      </c>
      <c r="D54" s="42">
        <v>0</v>
      </c>
      <c r="E54" s="64">
        <f t="shared" si="1"/>
        <v>0</v>
      </c>
    </row>
    <row r="55" spans="1:9" x14ac:dyDescent="0.3">
      <c r="A55" s="2">
        <v>16</v>
      </c>
      <c r="C55" s="38" t="s">
        <v>145</v>
      </c>
      <c r="D55" s="42">
        <v>0</v>
      </c>
      <c r="E55" s="64">
        <f t="shared" si="1"/>
        <v>0</v>
      </c>
    </row>
    <row r="56" spans="1:9" x14ac:dyDescent="0.3">
      <c r="A56" s="2">
        <v>17</v>
      </c>
      <c r="C56" s="38" t="s">
        <v>146</v>
      </c>
      <c r="D56" s="42">
        <v>0</v>
      </c>
      <c r="E56" s="64">
        <f t="shared" si="1"/>
        <v>0</v>
      </c>
    </row>
    <row r="57" spans="1:9" x14ac:dyDescent="0.3">
      <c r="A57" s="2">
        <v>18</v>
      </c>
      <c r="C57" s="38" t="s">
        <v>147</v>
      </c>
      <c r="D57" s="42">
        <v>0</v>
      </c>
      <c r="E57" s="64">
        <f t="shared" si="1"/>
        <v>0</v>
      </c>
    </row>
    <row r="58" spans="1:9" x14ac:dyDescent="0.3">
      <c r="A58" s="2">
        <v>19</v>
      </c>
      <c r="C58" s="38" t="s">
        <v>26</v>
      </c>
      <c r="D58" s="42">
        <f>TRUNC(435738+1238+9614+1177+61678,-1)</f>
        <v>509440</v>
      </c>
      <c r="E58" s="64">
        <f t="shared" si="1"/>
        <v>1684100</v>
      </c>
      <c r="F58" s="2" t="s">
        <v>258</v>
      </c>
    </row>
    <row r="59" spans="1:9" ht="17.25" thickBot="1" x14ac:dyDescent="0.35">
      <c r="A59" s="2">
        <v>20</v>
      </c>
      <c r="C59" s="38" t="s">
        <v>149</v>
      </c>
      <c r="D59" s="43">
        <f>TRUNC(257553,-1)</f>
        <v>257550</v>
      </c>
      <c r="E59" s="65">
        <f t="shared" si="1"/>
        <v>851400</v>
      </c>
    </row>
    <row r="60" spans="1:9" x14ac:dyDescent="0.3">
      <c r="A60" s="2">
        <v>21</v>
      </c>
      <c r="C60" s="27" t="s">
        <v>112</v>
      </c>
      <c r="D60" s="39">
        <f>SUM(D40:D59)</f>
        <v>1496600</v>
      </c>
      <c r="E60" s="39">
        <f>SUM(E40:E59)</f>
        <v>4947370</v>
      </c>
    </row>
    <row r="61" spans="1:9" s="57" customFormat="1" x14ac:dyDescent="0.3">
      <c r="C61" s="58"/>
      <c r="D61" s="58"/>
      <c r="E61" s="58"/>
      <c r="G61" s="56"/>
      <c r="H61" s="56"/>
      <c r="I61" s="56"/>
    </row>
    <row r="62" spans="1:9" s="57" customFormat="1" ht="17.25" thickBot="1" x14ac:dyDescent="0.35">
      <c r="B62" s="57" t="s">
        <v>240</v>
      </c>
      <c r="C62" s="57" t="s">
        <v>241</v>
      </c>
      <c r="D62" s="58" t="s">
        <v>238</v>
      </c>
      <c r="E62" s="58" t="s">
        <v>154</v>
      </c>
      <c r="G62" s="56"/>
      <c r="H62" s="56"/>
      <c r="I62" s="56"/>
    </row>
    <row r="63" spans="1:9" x14ac:dyDescent="0.3">
      <c r="A63" s="2">
        <v>1</v>
      </c>
      <c r="C63" s="38" t="s">
        <v>27</v>
      </c>
      <c r="D63" s="40">
        <v>48030</v>
      </c>
      <c r="E63" s="63">
        <f>TRUNC(+D63*3.3058,-1)</f>
        <v>158770</v>
      </c>
    </row>
    <row r="64" spans="1:9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9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9" x14ac:dyDescent="0.3">
      <c r="A66" s="2">
        <v>4</v>
      </c>
      <c r="C66" s="27" t="s">
        <v>112</v>
      </c>
      <c r="D66" s="39">
        <f>SUM(D63:D65)</f>
        <v>48030</v>
      </c>
      <c r="E66" s="66">
        <f>SUM(E63:E65)</f>
        <v>158770</v>
      </c>
    </row>
    <row r="67" spans="1:9" s="57" customFormat="1" x14ac:dyDescent="0.3">
      <c r="C67" s="58"/>
      <c r="D67" s="58"/>
      <c r="E67" s="58"/>
      <c r="G67" s="56"/>
      <c r="H67" s="56"/>
      <c r="I67" s="56"/>
    </row>
    <row r="68" spans="1:9" s="57" customFormat="1" ht="17.25" thickBot="1" x14ac:dyDescent="0.35">
      <c r="B68" s="57" t="s">
        <v>242</v>
      </c>
      <c r="C68" s="57" t="s">
        <v>243</v>
      </c>
      <c r="D68" s="58" t="s">
        <v>236</v>
      </c>
      <c r="E68" s="58" t="s">
        <v>154</v>
      </c>
      <c r="G68" s="56"/>
      <c r="H68" s="56"/>
      <c r="I68" s="56"/>
    </row>
    <row r="69" spans="1:9" x14ac:dyDescent="0.3">
      <c r="A69" s="2">
        <v>1</v>
      </c>
      <c r="C69" s="38" t="s">
        <v>30</v>
      </c>
      <c r="D69" s="40">
        <v>14400</v>
      </c>
      <c r="E69" s="63">
        <f t="shared" ref="E69:E94" si="2">TRUNC(+D69*3.3058,-1)</f>
        <v>47600</v>
      </c>
    </row>
    <row r="70" spans="1:9" ht="16.5" customHeight="1" x14ac:dyDescent="0.3">
      <c r="A70" s="2">
        <v>2</v>
      </c>
      <c r="C70" s="38" t="s">
        <v>31</v>
      </c>
      <c r="D70" s="42">
        <f>TRUNC(4318,-1)</f>
        <v>4310</v>
      </c>
      <c r="E70" s="64">
        <f t="shared" si="2"/>
        <v>14240</v>
      </c>
    </row>
    <row r="71" spans="1:9" x14ac:dyDescent="0.3">
      <c r="A71" s="2">
        <v>3</v>
      </c>
      <c r="C71" s="38" t="s">
        <v>32</v>
      </c>
      <c r="D71" s="42">
        <f>TRUNC(7523,-1)</f>
        <v>7520</v>
      </c>
      <c r="E71" s="64">
        <f t="shared" si="2"/>
        <v>24850</v>
      </c>
    </row>
    <row r="72" spans="1:9" x14ac:dyDescent="0.3">
      <c r="A72" s="2">
        <v>4</v>
      </c>
      <c r="C72" s="38" t="s">
        <v>33</v>
      </c>
      <c r="D72" s="42">
        <f>TRUNC(6732,-1)</f>
        <v>6730</v>
      </c>
      <c r="E72" s="64">
        <f t="shared" si="2"/>
        <v>22240</v>
      </c>
    </row>
    <row r="73" spans="1:9" x14ac:dyDescent="0.3">
      <c r="A73" s="2">
        <v>5</v>
      </c>
      <c r="C73" s="38" t="s">
        <v>34</v>
      </c>
      <c r="D73" s="42">
        <f>TRUNC(15443,-1)</f>
        <v>15440</v>
      </c>
      <c r="E73" s="64">
        <f t="shared" si="2"/>
        <v>51040</v>
      </c>
    </row>
    <row r="74" spans="1:9" x14ac:dyDescent="0.3">
      <c r="A74" s="2">
        <v>6</v>
      </c>
      <c r="C74" s="38" t="s">
        <v>177</v>
      </c>
      <c r="D74" s="42">
        <v>0</v>
      </c>
      <c r="E74" s="64">
        <f t="shared" si="2"/>
        <v>0</v>
      </c>
    </row>
    <row r="75" spans="1:9" x14ac:dyDescent="0.3">
      <c r="A75" s="2">
        <v>7</v>
      </c>
      <c r="C75" s="38" t="s">
        <v>140</v>
      </c>
      <c r="D75" s="42">
        <v>130</v>
      </c>
      <c r="E75" s="64">
        <f t="shared" si="2"/>
        <v>420</v>
      </c>
    </row>
    <row r="76" spans="1:9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9" x14ac:dyDescent="0.3">
      <c r="A77" s="2">
        <v>9</v>
      </c>
      <c r="C77" s="38" t="s">
        <v>153</v>
      </c>
      <c r="D77" s="42">
        <v>0</v>
      </c>
      <c r="E77" s="64">
        <f t="shared" si="2"/>
        <v>0</v>
      </c>
    </row>
    <row r="78" spans="1:9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9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9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9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9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9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9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9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9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9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9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9" x14ac:dyDescent="0.3">
      <c r="A89" s="2">
        <v>21</v>
      </c>
      <c r="C89" s="38" t="s">
        <v>35</v>
      </c>
      <c r="D89" s="42">
        <v>26510</v>
      </c>
      <c r="E89" s="64">
        <f t="shared" si="2"/>
        <v>87630</v>
      </c>
    </row>
    <row r="90" spans="1:9" x14ac:dyDescent="0.3">
      <c r="A90" s="2">
        <v>22</v>
      </c>
      <c r="C90" s="38" t="s">
        <v>36</v>
      </c>
      <c r="D90" s="42">
        <f>TRUNC(3078,-1)</f>
        <v>3070</v>
      </c>
      <c r="E90" s="64">
        <f t="shared" si="2"/>
        <v>10140</v>
      </c>
    </row>
    <row r="91" spans="1:9" x14ac:dyDescent="0.3">
      <c r="A91" s="2">
        <v>23</v>
      </c>
      <c r="C91" s="38" t="s">
        <v>37</v>
      </c>
      <c r="D91" s="42">
        <f>TRUNC(12112,-1)</f>
        <v>12110</v>
      </c>
      <c r="E91" s="64">
        <f t="shared" si="2"/>
        <v>40030</v>
      </c>
    </row>
    <row r="92" spans="1:9" x14ac:dyDescent="0.3">
      <c r="A92" s="2">
        <v>24</v>
      </c>
      <c r="C92" s="38" t="s">
        <v>38</v>
      </c>
      <c r="D92" s="42">
        <f>TRUNC(7687,-1)</f>
        <v>7680</v>
      </c>
      <c r="E92" s="64">
        <f t="shared" si="2"/>
        <v>25380</v>
      </c>
    </row>
    <row r="93" spans="1:9" x14ac:dyDescent="0.3">
      <c r="A93" s="2">
        <v>25</v>
      </c>
      <c r="C93" s="38" t="s">
        <v>149</v>
      </c>
      <c r="D93" s="42">
        <f>TRUNC(117439,-1)</f>
        <v>117430</v>
      </c>
      <c r="E93" s="64">
        <f t="shared" si="2"/>
        <v>388200</v>
      </c>
    </row>
    <row r="94" spans="1:9" ht="17.25" thickBot="1" x14ac:dyDescent="0.35">
      <c r="A94" s="2">
        <v>26</v>
      </c>
      <c r="C94" s="38" t="s">
        <v>47</v>
      </c>
      <c r="D94" s="43">
        <f>TRUNC(1858+868+892,-1)</f>
        <v>3610</v>
      </c>
      <c r="E94" s="65">
        <f t="shared" si="2"/>
        <v>11930</v>
      </c>
      <c r="F94" s="2" t="s">
        <v>259</v>
      </c>
    </row>
    <row r="95" spans="1:9" x14ac:dyDescent="0.3">
      <c r="A95" s="2">
        <v>27</v>
      </c>
      <c r="C95" s="27" t="s">
        <v>112</v>
      </c>
      <c r="D95" s="39">
        <f>SUM(D69:D94)</f>
        <v>218940</v>
      </c>
      <c r="E95" s="39">
        <f>SUM(E69:E94)</f>
        <v>723700</v>
      </c>
    </row>
    <row r="96" spans="1:9" s="57" customFormat="1" x14ac:dyDescent="0.3">
      <c r="C96" s="58"/>
      <c r="D96" s="58"/>
      <c r="E96" s="58"/>
      <c r="G96" s="56"/>
      <c r="H96" s="56"/>
      <c r="I96" s="56"/>
    </row>
    <row r="97" spans="1:9" s="57" customFormat="1" ht="17.25" thickBot="1" x14ac:dyDescent="0.35">
      <c r="B97" s="57" t="s">
        <v>244</v>
      </c>
      <c r="C97" s="57" t="s">
        <v>243</v>
      </c>
      <c r="D97" s="58" t="s">
        <v>236</v>
      </c>
      <c r="E97" s="58" t="s">
        <v>154</v>
      </c>
      <c r="G97" s="56"/>
      <c r="H97" s="56"/>
      <c r="I97" s="56"/>
    </row>
    <row r="98" spans="1:9" x14ac:dyDescent="0.3">
      <c r="A98" s="2">
        <v>1</v>
      </c>
      <c r="C98" s="38" t="s">
        <v>39</v>
      </c>
      <c r="D98" s="40">
        <f>TRUNC(26157,-1)</f>
        <v>26150</v>
      </c>
      <c r="E98" s="63">
        <f t="shared" ref="E98:E118" si="3">TRUNC(+D98*3.3058,-1)</f>
        <v>86440</v>
      </c>
    </row>
    <row r="99" spans="1:9" x14ac:dyDescent="0.3">
      <c r="A99" s="2">
        <v>2</v>
      </c>
      <c r="C99" s="38" t="s">
        <v>40</v>
      </c>
      <c r="D99" s="42">
        <f>TRUNC(5084,-1)</f>
        <v>5080</v>
      </c>
      <c r="E99" s="64">
        <f t="shared" si="3"/>
        <v>16790</v>
      </c>
    </row>
    <row r="100" spans="1:9" x14ac:dyDescent="0.3">
      <c r="A100" s="2">
        <v>3</v>
      </c>
      <c r="C100" s="38" t="s">
        <v>41</v>
      </c>
      <c r="D100" s="42">
        <f>TRUNC(40559,-1)</f>
        <v>40550</v>
      </c>
      <c r="E100" s="64">
        <f t="shared" si="3"/>
        <v>134050</v>
      </c>
    </row>
    <row r="101" spans="1:9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9" x14ac:dyDescent="0.3">
      <c r="A102" s="2">
        <v>5</v>
      </c>
      <c r="C102" s="38" t="s">
        <v>43</v>
      </c>
      <c r="D102" s="42">
        <f>TRUNC(23033,-1)</f>
        <v>23030</v>
      </c>
      <c r="E102" s="64">
        <f t="shared" si="3"/>
        <v>76130</v>
      </c>
    </row>
    <row r="103" spans="1:9" x14ac:dyDescent="0.3">
      <c r="A103" s="2">
        <v>6</v>
      </c>
      <c r="C103" s="38" t="s">
        <v>44</v>
      </c>
      <c r="D103" s="42">
        <f>TRUNC(9401,-1)</f>
        <v>9400</v>
      </c>
      <c r="E103" s="64">
        <f t="shared" si="3"/>
        <v>31070</v>
      </c>
    </row>
    <row r="104" spans="1:9" x14ac:dyDescent="0.3">
      <c r="A104" s="2">
        <v>7</v>
      </c>
      <c r="C104" s="38" t="s">
        <v>45</v>
      </c>
      <c r="D104" s="42">
        <f>TRUNC(8673,-1)</f>
        <v>8670</v>
      </c>
      <c r="E104" s="64">
        <f t="shared" si="3"/>
        <v>28660</v>
      </c>
    </row>
    <row r="105" spans="1:9" x14ac:dyDescent="0.3">
      <c r="A105" s="2">
        <v>8</v>
      </c>
      <c r="C105" s="38" t="s">
        <v>46</v>
      </c>
      <c r="D105" s="42">
        <f>TRUNC(9963,-1)</f>
        <v>9960</v>
      </c>
      <c r="E105" s="64">
        <f t="shared" si="3"/>
        <v>32920</v>
      </c>
    </row>
    <row r="106" spans="1:9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9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9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9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9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9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9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9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9" x14ac:dyDescent="0.3">
      <c r="A114" s="2">
        <v>17</v>
      </c>
      <c r="C114" s="38" t="s">
        <v>130</v>
      </c>
      <c r="D114" s="42">
        <f>TRUNC(4733,-1)</f>
        <v>4730</v>
      </c>
      <c r="E114" s="64">
        <f t="shared" si="3"/>
        <v>15630</v>
      </c>
      <c r="F114" s="2" t="s">
        <v>252</v>
      </c>
    </row>
    <row r="115" spans="1:9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9" x14ac:dyDescent="0.3">
      <c r="A116" s="2">
        <v>19</v>
      </c>
      <c r="C116" s="38" t="s">
        <v>115</v>
      </c>
      <c r="D116" s="42">
        <f>TRUNC(9702,-1)</f>
        <v>9700</v>
      </c>
      <c r="E116" s="64">
        <f t="shared" si="3"/>
        <v>32060</v>
      </c>
      <c r="F116" s="2" t="s">
        <v>253</v>
      </c>
    </row>
    <row r="117" spans="1:9" x14ac:dyDescent="0.3">
      <c r="A117" s="2">
        <v>20</v>
      </c>
      <c r="C117" s="38" t="s">
        <v>149</v>
      </c>
      <c r="D117" s="42">
        <v>183930</v>
      </c>
      <c r="E117" s="64">
        <f t="shared" si="3"/>
        <v>608030</v>
      </c>
    </row>
    <row r="118" spans="1:9" ht="17.25" thickBot="1" x14ac:dyDescent="0.35">
      <c r="A118" s="2">
        <v>21</v>
      </c>
      <c r="C118" s="38" t="s">
        <v>47</v>
      </c>
      <c r="D118" s="43">
        <f>TRUNC(5422+8965,-1)</f>
        <v>14380</v>
      </c>
      <c r="E118" s="65">
        <f t="shared" si="3"/>
        <v>47530</v>
      </c>
      <c r="F118" s="2" t="s">
        <v>260</v>
      </c>
    </row>
    <row r="119" spans="1:9" x14ac:dyDescent="0.3">
      <c r="A119" s="2">
        <v>22</v>
      </c>
      <c r="C119" s="27" t="s">
        <v>112</v>
      </c>
      <c r="D119" s="39">
        <f>SUM(D98:D118)</f>
        <v>335580</v>
      </c>
      <c r="E119" s="39">
        <f>SUM(E98:E118)</f>
        <v>1109310</v>
      </c>
    </row>
    <row r="120" spans="1:9" s="57" customFormat="1" x14ac:dyDescent="0.3">
      <c r="C120" s="58"/>
      <c r="D120" s="58"/>
      <c r="E120" s="58"/>
      <c r="G120" s="56"/>
      <c r="H120" s="56"/>
      <c r="I120" s="56"/>
    </row>
    <row r="121" spans="1:9" s="57" customFormat="1" ht="17.25" thickBot="1" x14ac:dyDescent="0.35">
      <c r="B121" s="57" t="s">
        <v>245</v>
      </c>
      <c r="C121" s="57" t="s">
        <v>243</v>
      </c>
      <c r="D121" s="58" t="s">
        <v>236</v>
      </c>
      <c r="E121" s="58" t="s">
        <v>154</v>
      </c>
      <c r="G121" s="56"/>
      <c r="H121" s="56"/>
      <c r="I121" s="56"/>
    </row>
    <row r="122" spans="1:9" x14ac:dyDescent="0.3">
      <c r="A122" s="2">
        <v>1</v>
      </c>
      <c r="C122" s="38" t="s">
        <v>55</v>
      </c>
      <c r="D122" s="40">
        <f>TRUNC(6816,-1)</f>
        <v>6810</v>
      </c>
      <c r="E122" s="63">
        <f t="shared" ref="E122:E132" si="4">TRUNC(+D122*3.3058,-1)</f>
        <v>22510</v>
      </c>
      <c r="F122" s="2" t="s">
        <v>254</v>
      </c>
    </row>
    <row r="123" spans="1:9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9" x14ac:dyDescent="0.3">
      <c r="A124" s="2">
        <v>3</v>
      </c>
      <c r="C124" s="38" t="s">
        <v>152</v>
      </c>
      <c r="D124" s="42">
        <f>TRUNC(3622,-1)</f>
        <v>3620</v>
      </c>
      <c r="E124" s="64">
        <f t="shared" si="4"/>
        <v>11960</v>
      </c>
    </row>
    <row r="125" spans="1:9" x14ac:dyDescent="0.3">
      <c r="A125" s="2">
        <v>4</v>
      </c>
      <c r="C125" s="38" t="s">
        <v>138</v>
      </c>
      <c r="D125" s="42">
        <f>TRUNC(5385,-1)</f>
        <v>5380</v>
      </c>
      <c r="E125" s="64">
        <f t="shared" si="4"/>
        <v>17780</v>
      </c>
    </row>
    <row r="126" spans="1:9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9" x14ac:dyDescent="0.3">
      <c r="A127" s="2">
        <v>6</v>
      </c>
      <c r="C127" s="38" t="s">
        <v>56</v>
      </c>
      <c r="D127" s="42">
        <f>TRUNC(2966,-1)</f>
        <v>2960</v>
      </c>
      <c r="E127" s="64">
        <f t="shared" si="4"/>
        <v>9780</v>
      </c>
    </row>
    <row r="128" spans="1:9" x14ac:dyDescent="0.3">
      <c r="A128" s="2">
        <v>7</v>
      </c>
      <c r="C128" s="38" t="s">
        <v>46</v>
      </c>
      <c r="D128" s="42">
        <f>TRUNC(8681,-1)</f>
        <v>8680</v>
      </c>
      <c r="E128" s="64">
        <f t="shared" si="4"/>
        <v>28690</v>
      </c>
    </row>
    <row r="129" spans="1:9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9" ht="17.25" customHeight="1" x14ac:dyDescent="0.3">
      <c r="A130" s="2">
        <v>9</v>
      </c>
      <c r="C130" s="38" t="s">
        <v>54</v>
      </c>
      <c r="D130" s="42">
        <f>TRUNC(54304,-1)</f>
        <v>54300</v>
      </c>
      <c r="E130" s="64">
        <f t="shared" si="4"/>
        <v>179500</v>
      </c>
    </row>
    <row r="131" spans="1:9" x14ac:dyDescent="0.3">
      <c r="A131" s="2">
        <v>10</v>
      </c>
      <c r="C131" s="38" t="s">
        <v>149</v>
      </c>
      <c r="D131" s="42">
        <f>TRUNC(32989,-1)</f>
        <v>32980</v>
      </c>
      <c r="E131" s="64">
        <f t="shared" si="4"/>
        <v>109020</v>
      </c>
    </row>
    <row r="132" spans="1:9" ht="18" thickBot="1" x14ac:dyDescent="0.35">
      <c r="A132" s="2">
        <v>11</v>
      </c>
      <c r="C132" s="38" t="s">
        <v>47</v>
      </c>
      <c r="D132" s="43">
        <f>TRUNC(5328+1656+642,-1)</f>
        <v>7620</v>
      </c>
      <c r="E132" s="65">
        <f t="shared" si="4"/>
        <v>25190</v>
      </c>
      <c r="F132" s="54" t="s">
        <v>261</v>
      </c>
    </row>
    <row r="133" spans="1:9" x14ac:dyDescent="0.3">
      <c r="A133" s="2">
        <v>12</v>
      </c>
      <c r="C133" s="27" t="s">
        <v>112</v>
      </c>
      <c r="D133" s="39">
        <f>SUM(D122:D132)</f>
        <v>122350</v>
      </c>
      <c r="E133" s="39">
        <f>SUM(E122:E132)</f>
        <v>404430</v>
      </c>
    </row>
    <row r="134" spans="1:9" s="57" customFormat="1" x14ac:dyDescent="0.3">
      <c r="C134" s="58"/>
      <c r="D134" s="58"/>
      <c r="E134" s="58"/>
      <c r="G134" s="56"/>
      <c r="H134" s="56"/>
      <c r="I134" s="56"/>
    </row>
    <row r="135" spans="1:9" s="57" customFormat="1" ht="17.25" thickBot="1" x14ac:dyDescent="0.35">
      <c r="B135" s="57" t="s">
        <v>246</v>
      </c>
      <c r="C135" s="57" t="s">
        <v>243</v>
      </c>
      <c r="D135" s="58" t="s">
        <v>236</v>
      </c>
      <c r="E135" s="58" t="s">
        <v>154</v>
      </c>
      <c r="G135" s="56"/>
      <c r="H135" s="56"/>
      <c r="I135" s="56"/>
    </row>
    <row r="136" spans="1:9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9" x14ac:dyDescent="0.3">
      <c r="A137" s="2">
        <v>2</v>
      </c>
      <c r="C137" s="38" t="s">
        <v>47</v>
      </c>
      <c r="D137" s="42">
        <f>TRUNC(2865+1262,-1)</f>
        <v>4120</v>
      </c>
      <c r="E137" s="64">
        <f t="shared" si="5"/>
        <v>13610</v>
      </c>
      <c r="F137" s="2" t="s">
        <v>262</v>
      </c>
    </row>
    <row r="138" spans="1:9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9" x14ac:dyDescent="0.3">
      <c r="A139" s="2">
        <v>4</v>
      </c>
      <c r="C139" s="38" t="s">
        <v>61</v>
      </c>
      <c r="D139" s="42">
        <f>TRUNC(1079,-1)</f>
        <v>1070</v>
      </c>
      <c r="E139" s="64">
        <f t="shared" si="5"/>
        <v>3530</v>
      </c>
    </row>
    <row r="140" spans="1:9" x14ac:dyDescent="0.3">
      <c r="A140" s="2">
        <v>5</v>
      </c>
      <c r="C140" s="38" t="s">
        <v>57</v>
      </c>
      <c r="D140" s="42">
        <f>TRUNC(2974,-1)</f>
        <v>2970</v>
      </c>
      <c r="E140" s="64">
        <f t="shared" si="5"/>
        <v>9810</v>
      </c>
    </row>
    <row r="141" spans="1:9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9" x14ac:dyDescent="0.3">
      <c r="A142" s="2">
        <v>7</v>
      </c>
      <c r="C142" s="38" t="s">
        <v>58</v>
      </c>
      <c r="D142" s="42">
        <f>TRUNC(5919,-1)</f>
        <v>5910</v>
      </c>
      <c r="E142" s="64">
        <f t="shared" si="5"/>
        <v>19530</v>
      </c>
    </row>
    <row r="143" spans="1:9" x14ac:dyDescent="0.3">
      <c r="A143" s="2">
        <v>8</v>
      </c>
      <c r="C143" s="38" t="s">
        <v>62</v>
      </c>
      <c r="D143" s="42">
        <f>TRUNC(5486,-1)</f>
        <v>5480</v>
      </c>
      <c r="E143" s="64">
        <f t="shared" si="5"/>
        <v>18110</v>
      </c>
    </row>
    <row r="144" spans="1:9" x14ac:dyDescent="0.3">
      <c r="A144" s="2">
        <v>9</v>
      </c>
      <c r="C144" s="38" t="s">
        <v>63</v>
      </c>
      <c r="D144" s="42">
        <f>TRUNC(27488,-1)</f>
        <v>27480</v>
      </c>
      <c r="E144" s="64">
        <f t="shared" si="5"/>
        <v>90840</v>
      </c>
    </row>
    <row r="145" spans="1:9" ht="17.25" thickBot="1" x14ac:dyDescent="0.35">
      <c r="A145" s="2">
        <v>10</v>
      </c>
      <c r="C145" s="38" t="s">
        <v>149</v>
      </c>
      <c r="D145" s="43">
        <v>0</v>
      </c>
      <c r="E145" s="65">
        <f t="shared" si="5"/>
        <v>0</v>
      </c>
    </row>
    <row r="146" spans="1:9" x14ac:dyDescent="0.3">
      <c r="A146" s="2">
        <v>11</v>
      </c>
      <c r="C146" s="27" t="s">
        <v>112</v>
      </c>
      <c r="D146" s="39">
        <f>SUM(D136:D145)</f>
        <v>47030</v>
      </c>
      <c r="E146" s="39">
        <f>SUM(E136:E145)</f>
        <v>155430</v>
      </c>
    </row>
    <row r="147" spans="1:9" s="57" customFormat="1" x14ac:dyDescent="0.3">
      <c r="C147" s="58"/>
      <c r="D147" s="58"/>
      <c r="E147" s="58"/>
      <c r="G147" s="56"/>
      <c r="H147" s="56"/>
      <c r="I147" s="56"/>
    </row>
    <row r="148" spans="1:9" s="57" customFormat="1" ht="17.25" thickBot="1" x14ac:dyDescent="0.35">
      <c r="B148" s="57" t="s">
        <v>247</v>
      </c>
      <c r="C148" s="57" t="s">
        <v>243</v>
      </c>
      <c r="D148" s="58" t="s">
        <v>236</v>
      </c>
      <c r="E148" s="58" t="s">
        <v>154</v>
      </c>
      <c r="G148" s="56"/>
      <c r="H148" s="56"/>
      <c r="I148" s="56"/>
    </row>
    <row r="149" spans="1:9" x14ac:dyDescent="0.3">
      <c r="A149" s="2">
        <v>1</v>
      </c>
      <c r="C149" s="38" t="s">
        <v>48</v>
      </c>
      <c r="D149" s="40">
        <f>18628+3312</f>
        <v>21940</v>
      </c>
      <c r="E149" s="63">
        <f>TRUNC(+D149*3.3058,-1)</f>
        <v>72520</v>
      </c>
    </row>
    <row r="150" spans="1:9" x14ac:dyDescent="0.3">
      <c r="A150" s="2">
        <v>2</v>
      </c>
      <c r="C150" s="38" t="s">
        <v>49</v>
      </c>
      <c r="D150" s="42">
        <f>TRUNC(13545,-1)</f>
        <v>13540</v>
      </c>
      <c r="E150" s="64">
        <f>TRUNC(+D150*3.3058,-1)</f>
        <v>44760</v>
      </c>
    </row>
    <row r="151" spans="1:9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9" x14ac:dyDescent="0.3">
      <c r="A152" s="2">
        <v>4</v>
      </c>
      <c r="C152" s="38" t="s">
        <v>47</v>
      </c>
      <c r="D152" s="42">
        <f>159+7792+269</f>
        <v>8220</v>
      </c>
      <c r="E152" s="64">
        <f>TRUNC(+D152*3.3058,-1)</f>
        <v>27170</v>
      </c>
      <c r="F152" s="2" t="s">
        <v>263</v>
      </c>
    </row>
    <row r="153" spans="1:9" ht="17.25" thickBot="1" x14ac:dyDescent="0.35">
      <c r="A153" s="2">
        <v>5</v>
      </c>
      <c r="C153" s="38" t="s">
        <v>149</v>
      </c>
      <c r="D153" s="43">
        <f>TRUNC(7526,-1)</f>
        <v>7520</v>
      </c>
      <c r="E153" s="65">
        <f>TRUNC(+D153*3.3058,-1)</f>
        <v>24850</v>
      </c>
    </row>
    <row r="154" spans="1:9" x14ac:dyDescent="0.3">
      <c r="A154" s="2">
        <v>6</v>
      </c>
      <c r="C154" s="27" t="s">
        <v>112</v>
      </c>
      <c r="D154" s="39">
        <f>SUM(D149:D153)</f>
        <v>51220</v>
      </c>
      <c r="E154" s="39">
        <f>SUM(E149:E153)</f>
        <v>169300</v>
      </c>
    </row>
    <row r="155" spans="1:9" s="57" customFormat="1" x14ac:dyDescent="0.3">
      <c r="C155" s="58"/>
      <c r="D155" s="58"/>
      <c r="E155" s="58"/>
      <c r="G155" s="56"/>
      <c r="H155" s="56"/>
      <c r="I155" s="56"/>
    </row>
    <row r="156" spans="1:9" s="57" customFormat="1" ht="17.25" thickBot="1" x14ac:dyDescent="0.35">
      <c r="B156" s="57" t="s">
        <v>248</v>
      </c>
      <c r="C156" s="57" t="s">
        <v>243</v>
      </c>
      <c r="D156" s="58" t="s">
        <v>236</v>
      </c>
      <c r="E156" s="58" t="s">
        <v>154</v>
      </c>
      <c r="G156" s="56"/>
      <c r="H156" s="56"/>
      <c r="I156" s="56"/>
    </row>
    <row r="157" spans="1:9" x14ac:dyDescent="0.3">
      <c r="A157" s="2">
        <v>1</v>
      </c>
      <c r="C157" s="38" t="s">
        <v>51</v>
      </c>
      <c r="D157" s="40">
        <f>TRUNC(42828,-1)</f>
        <v>42820</v>
      </c>
      <c r="E157" s="63">
        <f>TRUNC(+D157*3.3058,-1)</f>
        <v>141550</v>
      </c>
    </row>
    <row r="158" spans="1:9" x14ac:dyDescent="0.3">
      <c r="A158" s="2">
        <v>2</v>
      </c>
      <c r="C158" s="38" t="s">
        <v>52</v>
      </c>
      <c r="D158" s="42">
        <v>3400</v>
      </c>
      <c r="E158" s="64">
        <f>TRUNC(+D158*3.3058,-1)</f>
        <v>11230</v>
      </c>
    </row>
    <row r="159" spans="1:9" x14ac:dyDescent="0.3">
      <c r="A159" s="2">
        <v>3</v>
      </c>
      <c r="C159" s="38" t="s">
        <v>47</v>
      </c>
      <c r="D159" s="42">
        <f>TRUNC(18307,-1)</f>
        <v>18300</v>
      </c>
      <c r="E159" s="64">
        <f>TRUNC(+D159*3.3058,-1)</f>
        <v>60490</v>
      </c>
      <c r="F159" s="2" t="s">
        <v>264</v>
      </c>
    </row>
    <row r="160" spans="1:9" ht="17.25" thickBot="1" x14ac:dyDescent="0.35">
      <c r="A160" s="2">
        <v>4</v>
      </c>
      <c r="C160" s="38" t="s">
        <v>149</v>
      </c>
      <c r="D160" s="43">
        <f>TRUNC(18914,-1)</f>
        <v>18910</v>
      </c>
      <c r="E160" s="65">
        <f>TRUNC(+D160*3.3058,-1)</f>
        <v>62510</v>
      </c>
    </row>
    <row r="161" spans="1:5" x14ac:dyDescent="0.3">
      <c r="A161" s="2">
        <v>5</v>
      </c>
      <c r="C161" s="27" t="s">
        <v>112</v>
      </c>
      <c r="D161" s="39">
        <f>SUM(D157:D160)</f>
        <v>83430</v>
      </c>
      <c r="E161" s="39">
        <f>SUM(E157:E160)</f>
        <v>275780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2020-12-08T04:34:47Z</dcterms:modified>
</cp:coreProperties>
</file>