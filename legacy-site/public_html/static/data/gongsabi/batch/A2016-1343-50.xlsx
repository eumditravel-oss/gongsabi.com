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5" i="4"/>
  <c r="D144" i="4"/>
  <c r="D143" i="4"/>
  <c r="D142" i="4"/>
  <c r="D141" i="4"/>
  <c r="D140" i="4"/>
  <c r="D138" i="4"/>
  <c r="E138" i="4" s="1"/>
  <c r="D137" i="4"/>
  <c r="D132" i="4"/>
  <c r="D131" i="4"/>
  <c r="E131" i="4" s="1"/>
  <c r="D130" i="4"/>
  <c r="D128" i="4"/>
  <c r="D125" i="4"/>
  <c r="D124" i="4"/>
  <c r="D118" i="4"/>
  <c r="E118" i="4" s="1"/>
  <c r="D117" i="4"/>
  <c r="E117" i="4" s="1"/>
  <c r="D105" i="4"/>
  <c r="D104" i="4"/>
  <c r="D102" i="4"/>
  <c r="E102" i="4" s="1"/>
  <c r="D99" i="4"/>
  <c r="D98" i="4"/>
  <c r="D94" i="4"/>
  <c r="D93" i="4"/>
  <c r="E93" i="4" s="1"/>
  <c r="D92" i="4"/>
  <c r="E92" i="4" s="1"/>
  <c r="D91" i="4"/>
  <c r="D90" i="4"/>
  <c r="D89" i="4"/>
  <c r="D75" i="4"/>
  <c r="D73" i="4"/>
  <c r="D72" i="4"/>
  <c r="D71" i="4"/>
  <c r="E71" i="4" s="1"/>
  <c r="D70" i="4"/>
  <c r="D63" i="4"/>
  <c r="D59" i="4"/>
  <c r="D53" i="4"/>
  <c r="E53" i="4" s="1"/>
  <c r="D52" i="4"/>
  <c r="D50" i="4"/>
  <c r="D49" i="4"/>
  <c r="D48" i="4"/>
  <c r="E48" i="4" s="1"/>
  <c r="D46" i="4"/>
  <c r="D45" i="4"/>
  <c r="D44" i="4"/>
  <c r="D43" i="4"/>
  <c r="D42" i="4"/>
  <c r="D41" i="4"/>
  <c r="D40" i="4"/>
  <c r="E40" i="4"/>
  <c r="E160" i="4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7" i="4"/>
  <c r="E136" i="4"/>
  <c r="E132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1" i="4"/>
  <c r="E100" i="4"/>
  <c r="E99" i="4"/>
  <c r="E98" i="4"/>
  <c r="E94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0" i="4"/>
  <c r="E69" i="4"/>
  <c r="E65" i="4"/>
  <c r="E64" i="4"/>
  <c r="E63" i="4"/>
  <c r="E59" i="4"/>
  <c r="E57" i="4"/>
  <c r="E56" i="4"/>
  <c r="E55" i="4"/>
  <c r="E54" i="4"/>
  <c r="E52" i="4"/>
  <c r="E51" i="4"/>
  <c r="E50" i="4"/>
  <c r="E49" i="4"/>
  <c r="E47" i="4"/>
  <c r="E46" i="4"/>
  <c r="E45" i="4"/>
  <c r="E44" i="4"/>
  <c r="E43" i="4"/>
  <c r="E42" i="4"/>
  <c r="E41" i="4"/>
  <c r="E37" i="4"/>
  <c r="E66" i="4" l="1"/>
  <c r="E133" i="4"/>
  <c r="E119" i="4"/>
  <c r="E154" i="4"/>
  <c r="E146" i="4"/>
  <c r="E95" i="4"/>
  <c r="D58" i="4" l="1"/>
  <c r="E58" i="4" s="1"/>
  <c r="E60" i="4" s="1"/>
  <c r="D161" i="4" l="1"/>
  <c r="D154" i="4"/>
  <c r="D146" i="4"/>
  <c r="D133" i="4"/>
  <c r="D119" i="4"/>
  <c r="D95" i="4"/>
  <c r="D66" i="4"/>
  <c r="D60" i="4"/>
  <c r="D24" i="4"/>
  <c r="E24" i="4" s="1"/>
  <c r="D31" i="4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0" i="4"/>
  <c r="D27" i="4"/>
  <c r="D25" i="4"/>
  <c r="D32" i="4"/>
  <c r="E32" i="4" s="1"/>
  <c r="D26" i="4"/>
  <c r="E26" i="4" s="1"/>
  <c r="D29" i="4"/>
  <c r="E29" i="4" s="1"/>
  <c r="D28" i="4"/>
  <c r="E28" i="4" s="1"/>
  <c r="E30" i="4" l="1"/>
  <c r="E27" i="4"/>
  <c r="E25" i="4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<sst xmlns="http://schemas.openxmlformats.org/spreadsheetml/2006/main" count="393" uniqueCount="268">
  <si>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</si>
  <si>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</si>
  <si>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</si>
  <si>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</si>
  <si>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</si>
  <si>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</si>
  <si>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</si>
  <si>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</si>
  <si>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</si>
  <si>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</si>
  <si>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</si>
  <si>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</si>
  <si>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</si>
  <si>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</si>
  <si>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</si>
  <si>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</si>
  <si>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</si>
  <si>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</si>
  <si>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</si>
  <si>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</si>
  <si>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</si>
  <si>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</si>
  <si>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</si>
  <si>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</si>
  <si>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</si>
  <si>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</si>
  <si>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</si>
  <si>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</si>
  <si>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</si>
  <si>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</si>
  <si>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</si>
  <si>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</si>
  <si>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</si>
  <si>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</si>
  <si>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</si>
  <si>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</si>
  <si>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</si>
  <si>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</si>
  <si>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</si>
  <si>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</si>
  <si>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</si>
  <si>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</si>
  <si>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</si>
  <si>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</si>
  <si>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</si>
  <si>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</si>
  <si>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</si>
  <si>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</si>
  <si>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</si>
  <si>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</si>
  <si>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</si>
  <si>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</si>
  <si>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</si>
  <si>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</si>
  <si>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</si>
  <si>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</si>
  <si>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</si>
  <si>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</si>
  <si>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</si>
  <si>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</si>
  <si>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</si>
  <si>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</si>
  <si>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</si>
  <si>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</si>
  <si>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</si>
  <si>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</si>
  <si>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</si>
  <si>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</si>
  <si>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</si>
  <si>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</si>
  <si>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</si>
  <si>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</si>
  <si>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</si>
  <si>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</si>
  <si>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</si>
  <si>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</si>
  <si>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</si>
  <si>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</si>
  <si>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</si>
  <si>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</si>
  <si>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</si>
  <si>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</si>
  <si>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</si>
  <si>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</si>
  <si>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</si>
  <si>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</si>
  <si>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</si>
  <si>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</si>
  <si>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</si>
  <si>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</si>
  <si>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</si>
  <si>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</si>
  <si>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</si>
  <si>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</si>
  <si>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</si>
  <si>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</si>
  <si>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</si>
  <si>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</si>
  <si>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</si>
  <si>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</si>
  <si>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</si>
  <si>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</si>
  <si>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</si>
  <si>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</si>
  <si>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</si>
  <si>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</si>
  <si>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</si>
  <si>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</si>
  <si>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</si>
  <si>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</si>
  <si>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</si>
  <si>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</si>
  <si>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</si>
  <si>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</si>
  <si>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</si>
  <si>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</si>
  <si>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</si>
  <si>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</si>
  <si>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</si>
  <si>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</si>
  <si>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</si>
  <si>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</si>
  <si>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</si>
  <si>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</si>
  <si>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</si>
  <si>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</si>
  <si>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</si>
  <si>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</si>
  <si>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</si>
  <si>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</si>
  <si>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</si>
  <si>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</si>
  <si>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</si>
  <si>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</si>
  <si>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</si>
  <si>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</si>
  <si>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</si>
  <si>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</si>
  <si>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</si>
  <si>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</si>
  <si>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</si>
  <si>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</si>
  <si>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</si>
  <si>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</si>
  <si>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</si>
  <si>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</si>
  <si>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</si>
  <si>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</si>
  <si>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</si>
  <si>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</si>
  <si>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</si>
  <si>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</si>
  <si>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</si>
  <si>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</si>
  <si>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</si>
  <si>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</si>
  <si>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</si>
  <si>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</si>
  <si>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</si>
  <si>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</si>
  <si>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</si>
  <si>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</si>
  <si>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</si>
  <si>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</si>
  <si>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</si>
  <si>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</si>
  <si>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</si>
  <si>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</si>
  <si>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</si>
  <si>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</si>
  <si>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</si>
  <si>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</si>
  <si>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</si>
  <si>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</si>
  <si>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</si>
  <si>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</si>
  <si>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</si>
  <si>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</si>
  <si>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</si>
  <si>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</si>
  <si>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</si>
  <si>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</si>
  <si>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</si>
  <si>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</si>
  <si>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</si>
  <si>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</si>
  <si>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</si>
  <si>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</si>
  <si>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</si>
  <si>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</si>
  <si>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</si>
  <si>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</si>
  <si>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</si>
  <si>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</si>
  <si>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</si>
  <si>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</si>
  <si>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</si>
  <si>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</si>
  <si>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</si>
  <si>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</si>
  <si>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</si>
  <si>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</si>
  <si>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</si>
  <si>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</si>
  <si>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</si>
  <si>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</si>
  <si>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</si>
  <si>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</si>
  <si>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</si>
  <si>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</si>
  <si>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</si>
  <si>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</si>
  <si>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</si>
  <si>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</si>
  <si>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</si>
  <si>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</si>
  <si>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</si>
  <si>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</si>
  <si>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</si>
  <si>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</si>
  <si>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</si>
  <si>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</si>
  <si>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</si>
  <si>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</si>
  <si>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</si>
  <si>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</si>
  <si>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</si>
  <si>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</si>
  <si>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</si>
  <si>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</si>
  <si>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</si>
  <si>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</si>
  <si>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</si>
  <si>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</si>
  <si>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</si>
  <si>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</si>
  <si>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</si>
  <si>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</si>
  <si>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</si>
  <si>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</si>
  <si>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</si>
  <si>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</si>
  <si>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</si>
  <si>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</si>
  <si>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</si>
  <si>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</si>
  <si>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</si>
  <si>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</si>
  <si>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</si>
  <si>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</si>
  <si>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</si>
  <si>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</si>
  <si>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</si>
  <si>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인천시</t>
  </si>
  <si>
    <t>해체및철거공사, 골재비및운반비, 작업부산물, 기타공사</t>
    <phoneticPr fontId="2" type="noConversion"/>
  </si>
  <si>
    <t>공조배관공사, 우수처리시설공사, 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</si>
  <si>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</si>
  <si>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</si>
  <si>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</si>
  <si>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</si>
  <si>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상수도공사, 기타공사</t>
    <phoneticPr fontId="2" type="noConversion"/>
  </si>
  <si>
    <t>포장공사</t>
    <phoneticPr fontId="2" type="noConversion"/>
  </si>
  <si>
    <t>인천보훈병원 건립공사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</si>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</sst>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10979.59</v>
      </c>
      <c r="D7" s="36">
        <f>+C7/3.3058</f>
        <v>3321.3110291003691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780750</v>
      </c>
      <c r="E25" s="59">
        <f t="shared" si="0"/>
        <v>2581000</v>
      </c>
    </row>
    <row r="26" spans="1:5" x14ac:dyDescent="0.3">
      <c r="B26" s="2">
        <v>3</v>
      </c>
      <c r="C26" s="35" t="s">
        <v>95</v>
      </c>
      <c r="D26" s="45">
        <f>+D66</f>
        <v>91260</v>
      </c>
      <c r="E26" s="59">
        <f t="shared" si="0"/>
        <v>301680</v>
      </c>
    </row>
    <row r="27" spans="1:5" x14ac:dyDescent="0.3">
      <c r="B27" s="2">
        <v>4</v>
      </c>
      <c r="C27" s="35" t="s">
        <v>96</v>
      </c>
      <c r="D27" s="45">
        <f>+D95</f>
        <v>486920</v>
      </c>
      <c r="E27" s="59">
        <f t="shared" si="0"/>
        <v>1609660</v>
      </c>
    </row>
    <row r="28" spans="1:5" x14ac:dyDescent="0.3">
      <c r="B28" s="2">
        <v>5</v>
      </c>
      <c r="C28" s="35" t="s">
        <v>97</v>
      </c>
      <c r="D28" s="45">
        <f>+D119</f>
        <v>183380</v>
      </c>
      <c r="E28" s="59">
        <f t="shared" si="0"/>
        <v>606210</v>
      </c>
    </row>
    <row r="29" spans="1:5" x14ac:dyDescent="0.3">
      <c r="B29" s="2">
        <v>6</v>
      </c>
      <c r="C29" s="35" t="s">
        <v>98</v>
      </c>
      <c r="D29" s="45">
        <f>+D133</f>
        <v>83400</v>
      </c>
      <c r="E29" s="59">
        <f t="shared" si="0"/>
        <v>275700</v>
      </c>
    </row>
    <row r="30" spans="1:5" x14ac:dyDescent="0.3">
      <c r="B30" s="2">
        <v>7</v>
      </c>
      <c r="C30" s="35" t="s">
        <v>99</v>
      </c>
      <c r="D30" s="45">
        <f>+D146</f>
        <v>69370</v>
      </c>
      <c r="E30" s="59">
        <f t="shared" si="0"/>
        <v>229320</v>
      </c>
    </row>
    <row r="31" spans="1:5" x14ac:dyDescent="0.3">
      <c r="B31" s="2">
        <v>8</v>
      </c>
      <c r="C31" s="35" t="s">
        <v>100</v>
      </c>
      <c r="D31" s="45">
        <f>+D154</f>
        <v>63030</v>
      </c>
      <c r="E31" s="59">
        <f t="shared" si="0"/>
        <v>208360</v>
      </c>
    </row>
    <row r="32" spans="1:5" x14ac:dyDescent="0.3">
      <c r="B32" s="2">
        <v>9</v>
      </c>
      <c r="C32" s="35" t="s">
        <v>101</v>
      </c>
      <c r="D32" s="45">
        <f>+D161</f>
        <v>11500</v>
      </c>
      <c r="E32" s="59">
        <f t="shared" si="0"/>
        <v>38010</v>
      </c>
    </row>
    <row r="33" spans="1:7" x14ac:dyDescent="0.3">
      <c r="B33" s="2">
        <v>10</v>
      </c>
      <c r="C33" s="35" t="s">
        <v>154</v>
      </c>
      <c r="D33" s="53">
        <f>TRUNC(SUM(D24:D32)*0.275,-1)</f>
        <v>486640</v>
      </c>
      <c r="E33" s="60">
        <f t="shared" si="0"/>
        <v>1608730</v>
      </c>
    </row>
    <row r="34" spans="1:7" x14ac:dyDescent="0.3">
      <c r="C34" s="35" t="s">
        <v>112</v>
      </c>
      <c r="D34" s="44">
        <f>SUM(D24:D33)</f>
        <v>2256250</v>
      </c>
      <c r="E34" s="44">
        <f>SUM(E24:E33)</f>
        <v>7458670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TRUNC(59224,-1)</f>
        <v>59220</v>
      </c>
      <c r="E40" s="62">
        <f t="shared" ref="E40:E59" si="1">TRUNC(+D40*3.3058,-1)</f>
        <v>195760</v>
      </c>
    </row>
    <row r="41" spans="1:7" x14ac:dyDescent="0.3">
      <c r="A41" s="2">
        <v>2</v>
      </c>
      <c r="C41" s="38" t="s">
        <v>13</v>
      </c>
      <c r="D41" s="42">
        <f>TRUNC(143119,-1)</f>
        <v>143110</v>
      </c>
      <c r="E41" s="63">
        <f t="shared" si="1"/>
        <v>473090</v>
      </c>
    </row>
    <row r="42" spans="1:7" x14ac:dyDescent="0.3">
      <c r="A42" s="2">
        <v>3</v>
      </c>
      <c r="C42" s="38" t="s">
        <v>14</v>
      </c>
      <c r="D42" s="42">
        <f>TRUNC(4722,-1)</f>
        <v>4720</v>
      </c>
      <c r="E42" s="63">
        <f t="shared" si="1"/>
        <v>15600</v>
      </c>
    </row>
    <row r="43" spans="1:7" x14ac:dyDescent="0.3">
      <c r="A43" s="2">
        <v>4</v>
      </c>
      <c r="C43" s="38" t="s">
        <v>16</v>
      </c>
      <c r="D43" s="42">
        <f>TRUNC(28966,-1)</f>
        <v>28960</v>
      </c>
      <c r="E43" s="63">
        <f t="shared" si="1"/>
        <v>95730</v>
      </c>
    </row>
    <row r="44" spans="1:7" x14ac:dyDescent="0.3">
      <c r="A44" s="2">
        <v>5</v>
      </c>
      <c r="C44" s="38" t="s">
        <v>17</v>
      </c>
      <c r="D44" s="42">
        <f>TRUNC(26985,-1)</f>
        <v>26980</v>
      </c>
      <c r="E44" s="63">
        <f t="shared" si="1"/>
        <v>89190</v>
      </c>
    </row>
    <row r="45" spans="1:7" x14ac:dyDescent="0.3">
      <c r="A45" s="2">
        <v>6</v>
      </c>
      <c r="C45" s="38" t="s">
        <v>18</v>
      </c>
      <c r="D45" s="42">
        <f>TRUNC(12283,-1)</f>
        <v>12280</v>
      </c>
      <c r="E45" s="63">
        <f t="shared" si="1"/>
        <v>40590</v>
      </c>
    </row>
    <row r="46" spans="1:7" x14ac:dyDescent="0.3">
      <c r="A46" s="2">
        <v>7</v>
      </c>
      <c r="C46" s="38" t="s">
        <v>19</v>
      </c>
      <c r="D46" s="42">
        <f>TRUNC(17151,-1)</f>
        <v>17150</v>
      </c>
      <c r="E46" s="63">
        <f t="shared" si="1"/>
        <v>56690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TRUNC(51223,-1)</f>
        <v>51220</v>
      </c>
      <c r="E48" s="63">
        <f t="shared" si="1"/>
        <v>169320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TRUNC(17686,-1)</f>
        <v>17680</v>
      </c>
      <c r="E49" s="63">
        <f t="shared" si="1"/>
        <v>58440</v>
      </c>
    </row>
    <row r="50" spans="1:7" x14ac:dyDescent="0.3">
      <c r="A50" s="2">
        <v>11</v>
      </c>
      <c r="C50" s="38" t="s">
        <v>155</v>
      </c>
      <c r="D50" s="42">
        <f>TRUNC(52162,-1)</f>
        <v>52160</v>
      </c>
      <c r="E50" s="63">
        <f t="shared" si="1"/>
        <v>172430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TRUNC(17121,-1)</f>
        <v>17120</v>
      </c>
      <c r="E52" s="63">
        <f t="shared" si="1"/>
        <v>56590</v>
      </c>
    </row>
    <row r="53" spans="1:7" x14ac:dyDescent="0.3">
      <c r="A53" s="2">
        <v>14</v>
      </c>
      <c r="C53" s="38" t="s">
        <v>25</v>
      </c>
      <c r="D53" s="42">
        <f>TRUNC(96413,-1)</f>
        <v>96410</v>
      </c>
      <c r="E53" s="63">
        <f t="shared" si="1"/>
        <v>318710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3437+3339-431+67955</f>
        <v>74300</v>
      </c>
      <c r="E58" s="63">
        <f t="shared" si="1"/>
        <v>245620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TRUNC(179443,-1)</f>
        <v>179440</v>
      </c>
      <c r="E59" s="64">
        <f t="shared" si="1"/>
        <v>593190</v>
      </c>
    </row>
    <row r="60" spans="1:7" x14ac:dyDescent="0.3">
      <c r="A60" s="2">
        <v>21</v>
      </c>
      <c r="C60" s="27" t="s">
        <v>112</v>
      </c>
      <c r="D60" s="39">
        <f>SUM(D40:D59)</f>
        <v>780750</v>
      </c>
      <c r="E60" s="39">
        <f>SUM(E40:E59)</f>
        <v>2580950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TRUNC(91263,-1)</f>
        <v>91260</v>
      </c>
      <c r="E63" s="62">
        <f>TRUNC(+D63*3.3058,-1)</f>
        <v>301680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91260</v>
      </c>
      <c r="E66" s="65">
        <f>SUM(E63:E65)</f>
        <v>301680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17190</v>
      </c>
      <c r="E69" s="62">
        <f t="shared" ref="E69:E94" si="2">TRUNC(+D69*3.3058,-1)</f>
        <v>56820</v>
      </c>
    </row>
    <row r="70" spans="1:7" ht="16.5" customHeight="1" x14ac:dyDescent="0.3">
      <c r="A70" s="2">
        <v>2</v>
      </c>
      <c r="C70" s="38" t="s">
        <v>31</v>
      </c>
      <c r="D70" s="42">
        <f>TRUNC(155,-1)</f>
        <v>150</v>
      </c>
      <c r="E70" s="63">
        <f t="shared" si="2"/>
        <v>490</v>
      </c>
    </row>
    <row r="71" spans="1:7" x14ac:dyDescent="0.3">
      <c r="A71" s="2">
        <v>3</v>
      </c>
      <c r="C71" s="38" t="s">
        <v>32</v>
      </c>
      <c r="D71" s="42">
        <f>TRUNC(11107,-1)</f>
        <v>11100</v>
      </c>
      <c r="E71" s="63">
        <f t="shared" si="2"/>
        <v>36690</v>
      </c>
    </row>
    <row r="72" spans="1:7" x14ac:dyDescent="0.3">
      <c r="A72" s="2">
        <v>4</v>
      </c>
      <c r="C72" s="38" t="s">
        <v>33</v>
      </c>
      <c r="D72" s="42">
        <f>TRUNC(29074,-1)</f>
        <v>29070</v>
      </c>
      <c r="E72" s="63">
        <f t="shared" si="2"/>
        <v>96090</v>
      </c>
    </row>
    <row r="73" spans="1:7" x14ac:dyDescent="0.3">
      <c r="A73" s="2">
        <v>5</v>
      </c>
      <c r="C73" s="38" t="s">
        <v>34</v>
      </c>
      <c r="D73" s="42">
        <f>TRUNC(13362,-1)</f>
        <v>13360</v>
      </c>
      <c r="E73" s="63">
        <f t="shared" si="2"/>
        <v>44160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TRUNC(2235,-1)</f>
        <v>2230</v>
      </c>
      <c r="E75" s="63">
        <f t="shared" si="2"/>
        <v>7370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TRUNC(20737,-1)</f>
        <v>20730</v>
      </c>
      <c r="E89" s="63">
        <f t="shared" si="2"/>
        <v>68520</v>
      </c>
    </row>
    <row r="90" spans="1:7" x14ac:dyDescent="0.3">
      <c r="A90" s="2">
        <v>22</v>
      </c>
      <c r="C90" s="38" t="s">
        <v>36</v>
      </c>
      <c r="D90" s="42">
        <f>TRUNC(3335,-1)</f>
        <v>3330</v>
      </c>
      <c r="E90" s="63">
        <f t="shared" si="2"/>
        <v>11000</v>
      </c>
    </row>
    <row r="91" spans="1:7" x14ac:dyDescent="0.3">
      <c r="A91" s="2">
        <v>23</v>
      </c>
      <c r="C91" s="38" t="s">
        <v>37</v>
      </c>
      <c r="D91" s="42">
        <f>TRUNC(63245,-1)</f>
        <v>63240</v>
      </c>
      <c r="E91" s="63">
        <f t="shared" si="2"/>
        <v>209050</v>
      </c>
    </row>
    <row r="92" spans="1:7" x14ac:dyDescent="0.3">
      <c r="A92" s="2">
        <v>24</v>
      </c>
      <c r="C92" s="38" t="s">
        <v>38</v>
      </c>
      <c r="D92" s="42">
        <f>TRUNC(9861,-1)</f>
        <v>9860</v>
      </c>
      <c r="E92" s="63">
        <f t="shared" si="2"/>
        <v>32590</v>
      </c>
    </row>
    <row r="93" spans="1:7" x14ac:dyDescent="0.3">
      <c r="A93" s="2">
        <v>25</v>
      </c>
      <c r="C93" s="38" t="s">
        <v>148</v>
      </c>
      <c r="D93" s="42">
        <f>TRUNC(272236,-1)</f>
        <v>272230</v>
      </c>
      <c r="E93" s="63">
        <f t="shared" si="2"/>
        <v>899930</v>
      </c>
    </row>
    <row r="94" spans="1:7" ht="17.25" thickBot="1" x14ac:dyDescent="0.35">
      <c r="A94" s="2">
        <v>26</v>
      </c>
      <c r="C94" s="38" t="s">
        <v>47</v>
      </c>
      <c r="D94" s="43">
        <f>TRUNC(10970+25392+8070,-1)</f>
        <v>44430</v>
      </c>
      <c r="E94" s="64">
        <f t="shared" si="2"/>
        <v>146870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486920</v>
      </c>
      <c r="E95" s="39">
        <f>SUM(E69:E94)</f>
        <v>1609580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TRUNC(14069,-1)</f>
        <v>14060</v>
      </c>
      <c r="E98" s="62">
        <f t="shared" ref="E98:E118" si="3">TRUNC(+D98*3.3058,-1)</f>
        <v>46470</v>
      </c>
    </row>
    <row r="99" spans="1:7" x14ac:dyDescent="0.3">
      <c r="A99" s="2">
        <v>2</v>
      </c>
      <c r="C99" s="38" t="s">
        <v>40</v>
      </c>
      <c r="D99" s="42">
        <f>TRUNC(11095,-1)</f>
        <v>11090</v>
      </c>
      <c r="E99" s="63">
        <f t="shared" si="3"/>
        <v>36660</v>
      </c>
    </row>
    <row r="100" spans="1:7" x14ac:dyDescent="0.3">
      <c r="A100" s="2">
        <v>3</v>
      </c>
      <c r="C100" s="38" t="s">
        <v>41</v>
      </c>
      <c r="D100" s="42">
        <v>29610</v>
      </c>
      <c r="E100" s="63">
        <f t="shared" si="3"/>
        <v>97880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TRUNC(17045,-1)</f>
        <v>17040</v>
      </c>
      <c r="E102" s="63">
        <f t="shared" si="3"/>
        <v>56330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TRUNC(2846,-1)</f>
        <v>2840</v>
      </c>
      <c r="E104" s="63">
        <f t="shared" si="3"/>
        <v>9380</v>
      </c>
    </row>
    <row r="105" spans="1:7" x14ac:dyDescent="0.3">
      <c r="A105" s="2">
        <v>8</v>
      </c>
      <c r="C105" s="38" t="s">
        <v>46</v>
      </c>
      <c r="D105" s="42">
        <f>TRUNC(7315,-1)</f>
        <v>7310</v>
      </c>
      <c r="E105" s="63">
        <f t="shared" si="3"/>
        <v>24160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9520</v>
      </c>
      <c r="E116" s="63">
        <f t="shared" si="3"/>
        <v>31470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TRUNC(83849,-1)</f>
        <v>83840</v>
      </c>
      <c r="E117" s="63">
        <f t="shared" si="3"/>
        <v>277150</v>
      </c>
    </row>
    <row r="118" spans="1:7" ht="17.25" thickBot="1" x14ac:dyDescent="0.35">
      <c r="A118" s="2">
        <v>21</v>
      </c>
      <c r="C118" s="38" t="s">
        <v>47</v>
      </c>
      <c r="D118" s="43">
        <f>TRUNC(8071,-1)</f>
        <v>8070</v>
      </c>
      <c r="E118" s="64">
        <f t="shared" si="3"/>
        <v>26670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183380</v>
      </c>
      <c r="E119" s="39">
        <f>SUM(E98:E118)</f>
        <v>606170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5920</v>
      </c>
      <c r="E122" s="62">
        <f t="shared" ref="E122:E132" si="4">TRUNC(+D122*3.3058,-1)</f>
        <v>19570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TRUNC(583,-1)</f>
        <v>580</v>
      </c>
      <c r="E124" s="63">
        <f t="shared" si="4"/>
        <v>1910</v>
      </c>
    </row>
    <row r="125" spans="1:7" x14ac:dyDescent="0.3">
      <c r="A125" s="2">
        <v>4</v>
      </c>
      <c r="C125" s="38" t="s">
        <v>138</v>
      </c>
      <c r="D125" s="42">
        <f>TRUNC(7226,-1)</f>
        <v>7220</v>
      </c>
      <c r="E125" s="63">
        <f t="shared" si="4"/>
        <v>23860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TRUNC(7643,-1)</f>
        <v>7640</v>
      </c>
      <c r="E128" s="63">
        <f t="shared" si="4"/>
        <v>25250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TRUNC(22598,-1)</f>
        <v>22590</v>
      </c>
      <c r="E130" s="63">
        <f t="shared" si="4"/>
        <v>74670</v>
      </c>
    </row>
    <row r="131" spans="1:7" x14ac:dyDescent="0.3">
      <c r="A131" s="2">
        <v>10</v>
      </c>
      <c r="C131" s="38" t="s">
        <v>148</v>
      </c>
      <c r="D131" s="42">
        <f>TRUNC(20599,-1)</f>
        <v>20590</v>
      </c>
      <c r="E131" s="63">
        <f t="shared" si="4"/>
        <v>68060</v>
      </c>
    </row>
    <row r="132" spans="1:7" ht="18" thickBot="1" x14ac:dyDescent="0.35">
      <c r="A132" s="2">
        <v>11</v>
      </c>
      <c r="C132" s="38" t="s">
        <v>47</v>
      </c>
      <c r="D132" s="43">
        <f>TRUNC(3237+723+14903,-1)</f>
        <v>18860</v>
      </c>
      <c r="E132" s="64">
        <f t="shared" si="4"/>
        <v>62340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83400</v>
      </c>
      <c r="E133" s="39">
        <f>SUM(E122:E132)</f>
        <v>275660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TRUNC(278+2405+172,-1)</f>
        <v>2850</v>
      </c>
      <c r="E137" s="63">
        <f t="shared" si="5"/>
        <v>9420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TRUNC(6803,-1)</f>
        <v>6800</v>
      </c>
      <c r="E138" s="63">
        <f t="shared" si="5"/>
        <v>22470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TRUNC(3366,-1)</f>
        <v>3360</v>
      </c>
      <c r="E140" s="63">
        <f t="shared" si="5"/>
        <v>11100</v>
      </c>
    </row>
    <row r="141" spans="1:7" x14ac:dyDescent="0.3">
      <c r="A141" s="2">
        <v>6</v>
      </c>
      <c r="C141" s="38" t="s">
        <v>59</v>
      </c>
      <c r="D141" s="42">
        <f>TRUNC(22912,-1)</f>
        <v>22910</v>
      </c>
      <c r="E141" s="63">
        <f t="shared" si="5"/>
        <v>75730</v>
      </c>
    </row>
    <row r="142" spans="1:7" x14ac:dyDescent="0.3">
      <c r="A142" s="2">
        <v>7</v>
      </c>
      <c r="C142" s="38" t="s">
        <v>58</v>
      </c>
      <c r="D142" s="42">
        <f>TRUNC(5072,-1)</f>
        <v>5070</v>
      </c>
      <c r="E142" s="63">
        <f t="shared" si="5"/>
        <v>16760</v>
      </c>
    </row>
    <row r="143" spans="1:7" x14ac:dyDescent="0.3">
      <c r="A143" s="2">
        <v>8</v>
      </c>
      <c r="C143" s="38" t="s">
        <v>62</v>
      </c>
      <c r="D143" s="42">
        <f>TRUNC(5757,-1)</f>
        <v>5750</v>
      </c>
      <c r="E143" s="63">
        <f t="shared" si="5"/>
        <v>19000</v>
      </c>
    </row>
    <row r="144" spans="1:7" x14ac:dyDescent="0.3">
      <c r="A144" s="2">
        <v>9</v>
      </c>
      <c r="C144" s="38" t="s">
        <v>63</v>
      </c>
      <c r="D144" s="42">
        <f>TRUNC(17578,-1)</f>
        <v>17570</v>
      </c>
      <c r="E144" s="63">
        <f t="shared" si="5"/>
        <v>58080</v>
      </c>
    </row>
    <row r="145" spans="1:7" ht="17.25" thickBot="1" x14ac:dyDescent="0.35">
      <c r="A145" s="2">
        <v>10</v>
      </c>
      <c r="C145" s="38" t="s">
        <v>148</v>
      </c>
      <c r="D145" s="43">
        <f>TRUNC(5064,-1)</f>
        <v>5060</v>
      </c>
      <c r="E145" s="64">
        <f t="shared" si="5"/>
        <v>16720</v>
      </c>
    </row>
    <row r="146" spans="1:7" x14ac:dyDescent="0.3">
      <c r="A146" s="2">
        <v>11</v>
      </c>
      <c r="C146" s="27" t="s">
        <v>112</v>
      </c>
      <c r="D146" s="39">
        <f>SUM(D136:D145)</f>
        <v>69370</v>
      </c>
      <c r="E146" s="39">
        <f>SUM(E136:E145)</f>
        <v>229280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TRUNC(13705+2603,-1)</f>
        <v>16300</v>
      </c>
      <c r="E149" s="62">
        <f>TRUNC(+D149*3.3058,-1)</f>
        <v>53880</v>
      </c>
    </row>
    <row r="150" spans="1:7" x14ac:dyDescent="0.3">
      <c r="A150" s="2">
        <v>2</v>
      </c>
      <c r="C150" s="38" t="s">
        <v>49</v>
      </c>
      <c r="D150" s="42">
        <f>TRUNC(6881,-1)</f>
        <v>6880</v>
      </c>
      <c r="E150" s="63">
        <f>TRUNC(+D150*3.3058,-1)</f>
        <v>22740</v>
      </c>
    </row>
    <row r="151" spans="1:7" x14ac:dyDescent="0.3">
      <c r="A151" s="2">
        <v>3</v>
      </c>
      <c r="C151" s="38" t="s">
        <v>50</v>
      </c>
      <c r="D151" s="42">
        <f>TRUNC(12944,-1)</f>
        <v>12940</v>
      </c>
      <c r="E151" s="63">
        <f>TRUNC(+D151*3.3058,-1)</f>
        <v>42770</v>
      </c>
    </row>
    <row r="152" spans="1:7" x14ac:dyDescent="0.3">
      <c r="A152" s="2">
        <v>4</v>
      </c>
      <c r="C152" s="38" t="s">
        <v>47</v>
      </c>
      <c r="D152" s="42">
        <f>TRUNC(757+5667,-1)</f>
        <v>6420</v>
      </c>
      <c r="E152" s="63">
        <f>TRUNC(+D152*3.3058,-1)</f>
        <v>21220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TRUNC(20493,-1)</f>
        <v>20490</v>
      </c>
      <c r="E153" s="64">
        <f>TRUNC(+D153*3.3058,-1)</f>
        <v>67730</v>
      </c>
    </row>
    <row r="154" spans="1:7" x14ac:dyDescent="0.3">
      <c r="A154" s="2">
        <v>6</v>
      </c>
      <c r="C154" s="27" t="s">
        <v>112</v>
      </c>
      <c r="D154" s="39">
        <f>SUM(D149:D153)</f>
        <v>63030</v>
      </c>
      <c r="E154" s="39">
        <f>SUM(E149:E153)</f>
        <v>208340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TRUNC(7181,-1)</f>
        <v>7180</v>
      </c>
      <c r="E157" s="62">
        <f>TRUNC(+D157*3.3058,-1)</f>
        <v>23730</v>
      </c>
    </row>
    <row r="158" spans="1:7" x14ac:dyDescent="0.3">
      <c r="A158" s="2">
        <v>2</v>
      </c>
      <c r="C158" s="38" t="s">
        <v>52</v>
      </c>
      <c r="D158" s="42">
        <f>TRUNC(1505,-1)</f>
        <v>1500</v>
      </c>
      <c r="E158" s="63">
        <f>TRUNC(+D158*3.3058,-1)</f>
        <v>4950</v>
      </c>
    </row>
    <row r="159" spans="1:7" x14ac:dyDescent="0.3">
      <c r="A159" s="2">
        <v>3</v>
      </c>
      <c r="C159" s="38" t="s">
        <v>47</v>
      </c>
      <c r="D159" s="42">
        <f>TRUNC(2825,-1)</f>
        <v>2820</v>
      </c>
      <c r="E159" s="63">
        <f>TRUNC(+D159*3.3058,-1)</f>
        <v>9320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11500</v>
      </c>
      <c r="E161" s="39">
        <f>SUM(E157:E160)</f>
        <v>38000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2020-12-08T01:19:02Z</dcterms:modified>
</cp:coreProperties>
</file>