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3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 l="1"/>
  <c r="D79" i="4"/>
  <c r="D94" i="4"/>
  <c r="D59" i="4" l="1"/>
  <c r="D93" i="4"/>
  <c r="D117" i="4"/>
  <c r="D131" i="4"/>
  <c r="D132" i="4"/>
  <c r="D130" i="4"/>
  <c r="D128" i="4"/>
  <c r="D125" i="4"/>
  <c r="D122" i="4"/>
  <c r="D115" i="4"/>
  <c r="D114" i="4"/>
  <c r="D105" i="4"/>
  <c r="D104" i="4"/>
  <c r="D102" i="4"/>
  <c r="D100" i="4"/>
  <c r="D99" i="4"/>
  <c r="D98" i="4"/>
  <c r="D72" i="4"/>
  <c r="D71" i="4"/>
  <c r="D70" i="4"/>
  <c r="D69" i="4"/>
  <c r="D159" i="4"/>
  <c r="D152" i="4"/>
  <c r="D58" i="4"/>
  <c r="D55" i="4"/>
  <c r="D53" i="4"/>
  <c r="D52" i="4"/>
  <c r="D51" i="4"/>
  <c r="D50" i="4"/>
  <c r="D49" i="4"/>
  <c r="D48" i="4"/>
  <c r="D46" i="4"/>
  <c r="D45" i="4"/>
  <c r="D44" i="4"/>
  <c r="D43" i="4"/>
  <c r="D42" i="4"/>
  <c r="D41" i="4"/>
  <c r="D40" i="4"/>
  <c r="D37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33" i="4"/>
  <c r="E146" i="4"/>
  <c r="E119" i="4"/>
  <c r="E95" i="4"/>
  <c r="E154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<sst xmlns="http://schemas.openxmlformats.org/spreadsheetml/2006/main" count="389" uniqueCount="264">
  <si>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</si>
  <si>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</si>
  <si>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</si>
  <si>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</si>
  <si>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</si>
  <si>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</si>
  <si>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</si>
  <si>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</si>
  <si>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</si>
  <si>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</si>
  <si>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</si>
  <si>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</si>
  <si>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</si>
  <si>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</si>
  <si>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</si>
  <si>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</si>
  <si>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</si>
  <si>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</si>
  <si>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</si>
  <si>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</si>
  <si>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</si>
  <si>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</si>
  <si>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</si>
  <si>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</si>
  <si>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</si>
  <si>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</si>
  <si>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</si>
  <si>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</si>
  <si>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</si>
  <si>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</si>
  <si>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</si>
  <si>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</si>
  <si>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</si>
  <si>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</si>
  <si>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</si>
  <si>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</si>
  <si>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</si>
  <si>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</si>
  <si>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</si>
  <si>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</si>
  <si>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</si>
  <si>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</si>
  <si>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</si>
  <si>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</si>
  <si>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</si>
  <si>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</si>
  <si>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</si>
  <si>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</si>
  <si>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</si>
  <si>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</si>
  <si>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</si>
  <si>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</si>
  <si>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</si>
  <si>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</si>
  <si>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</si>
  <si>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</si>
  <si>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</si>
  <si>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</si>
  <si>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</si>
  <si>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</si>
  <si>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</si>
  <si>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</si>
  <si>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</si>
  <si>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</si>
  <si>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</si>
  <si>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</si>
  <si>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</si>
  <si>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</si>
  <si>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</si>
  <si>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</si>
  <si>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</si>
  <si>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</si>
  <si>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</si>
  <si>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</si>
  <si>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</si>
  <si>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</si>
  <si>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</si>
  <si>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</si>
  <si>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</si>
  <si>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</si>
  <si>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</si>
  <si>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</si>
  <si>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</si>
  <si>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</si>
  <si>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</si>
  <si>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</si>
  <si>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</si>
  <si>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</si>
  <si>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</si>
  <si>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</si>
  <si>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</si>
  <si>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</si>
  <si>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</si>
  <si>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</si>
  <si>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</si>
  <si>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</si>
  <si>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</si>
  <si>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</si>
  <si>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</si>
  <si>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</si>
  <si>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</si>
  <si>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</si>
  <si>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</si>
  <si>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</si>
  <si>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</si>
  <si>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</si>
  <si>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</si>
  <si>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</si>
  <si>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</si>
  <si>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</si>
  <si>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</si>
  <si>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</si>
  <si>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</si>
  <si>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</si>
  <si>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</si>
  <si>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</si>
  <si>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</si>
  <si>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</si>
  <si>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</si>
  <si>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</si>
  <si>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</si>
  <si>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</si>
  <si>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</si>
  <si>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</si>
  <si>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</si>
  <si>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</si>
  <si>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</si>
  <si>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</si>
  <si>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</si>
  <si>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</si>
  <si>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</si>
  <si>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</si>
  <si>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</si>
  <si>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</si>
  <si>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</si>
  <si>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</si>
  <si>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</si>
  <si>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</si>
  <si>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</si>
  <si>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</si>
  <si>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</si>
  <si>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</si>
  <si>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</si>
  <si>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</si>
  <si>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</si>
  <si>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</si>
  <si>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</si>
  <si>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</si>
  <si>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</si>
  <si>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</si>
  <si>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</si>
  <si>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</si>
  <si>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</si>
  <si>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</si>
  <si>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</si>
  <si>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</si>
  <si>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</si>
  <si>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</si>
  <si>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</si>
  <si>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</si>
  <si>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</si>
  <si>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</si>
  <si>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</si>
  <si>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</si>
  <si>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</si>
  <si>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</si>
  <si>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</si>
  <si>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</si>
  <si>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</si>
  <si>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</si>
  <si>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</si>
  <si>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</si>
  <si>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</si>
  <si>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</si>
  <si>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</si>
  <si>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</si>
  <si>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</si>
  <si>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</si>
  <si>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</si>
  <si>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</si>
  <si>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</si>
  <si>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</si>
  <si>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</si>
  <si>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</si>
  <si>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</si>
  <si>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</si>
  <si>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</si>
  <si>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</si>
  <si>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</si>
  <si>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</si>
  <si>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</si>
  <si>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</si>
  <si>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</si>
  <si>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</si>
  <si>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</si>
  <si>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</si>
  <si>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</si>
  <si>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</si>
  <si>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</si>
  <si>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</si>
  <si>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</si>
  <si>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</si>
  <si>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</si>
  <si>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</si>
  <si>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</si>
  <si>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</si>
  <si>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</si>
  <si>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</si>
  <si>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</si>
  <si>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</si>
  <si>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</si>
  <si>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</si>
  <si>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</si>
  <si>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</si>
  <si>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</si>
  <si>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</si>
  <si>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</si>
  <si>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</si>
  <si>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</si>
  <si>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</si>
  <si>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</si>
  <si>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</si>
  <si>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</si>
  <si>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</si>
  <si>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</si>
  <si>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</si>
  <si>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</si>
  <si>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</si>
  <si>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</si>
  <si>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</si>
  <si>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</si>
  <si>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</si>
  <si>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</si>
  <si>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</si>
  <si>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</si>
  <si>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</si>
  <si>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</si>
  <si>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</si>
  <si>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</si>
  <si>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</si>
  <si>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</si>
  <si>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</si>
  <si>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</si>
  <si>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</si>
  <si>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</si>
  <si>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</si>
  <si>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</si>
  <si>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</si>
  <si>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00연구센터 건립공사</t>
    <phoneticPr fontId="2" type="noConversion"/>
  </si>
  <si>
    <t>교육연구</t>
  </si>
  <si>
    <t>강원도</t>
  </si>
  <si>
    <t>토및지정공사,판넬공사,골재비,작업부산물,운반비,PS(기반시설)</t>
    <phoneticPr fontId="2" type="noConversion"/>
  </si>
  <si>
    <t>부대토목공사</t>
    <phoneticPr fontId="2" type="noConversion"/>
  </si>
  <si>
    <t>조경공사</t>
    <phoneticPr fontId="2" type="noConversion"/>
  </si>
  <si>
    <t>CCTV설비공사</t>
    <phoneticPr fontId="2" type="noConversion"/>
  </si>
  <si>
    <t>공조배관공사,위생배관공사,태양열설치공사,항온항습기설치공사</t>
    <phoneticPr fontId="2" type="noConversion"/>
  </si>
  <si>
    <t>환기덕트설치공사</t>
    <phoneticPr fontId="2" type="noConversion"/>
  </si>
  <si>
    <t>전기 소방설비공사</t>
    <phoneticPr fontId="2" type="noConversion"/>
  </si>
  <si>
    <t>기계 소화설비공사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</si>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</sst>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topLeftCell="A10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4340</v>
      </c>
      <c r="D7" s="36">
        <f>+C7/3.3058</f>
        <v>1312.844092201585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11090</v>
      </c>
      <c r="E24" s="58">
        <f t="shared" ref="E24:E33" si="0">TRUNC(+D24*3.3058,-1)</f>
        <v>36660</v>
      </c>
    </row>
    <row r="25" spans="1:5" x14ac:dyDescent="0.3">
      <c r="B25" s="2">
        <v>2</v>
      </c>
      <c r="C25" s="35" t="s">
        <v>111</v>
      </c>
      <c r="D25" s="45">
        <f>+D60</f>
        <v>2040600</v>
      </c>
      <c r="E25" s="59">
        <f t="shared" si="0"/>
        <v>6745810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329570</v>
      </c>
      <c r="E27" s="59">
        <f t="shared" si="0"/>
        <v>1089490</v>
      </c>
    </row>
    <row r="28" spans="1:5" x14ac:dyDescent="0.3">
      <c r="B28" s="2">
        <v>5</v>
      </c>
      <c r="C28" s="35" t="s">
        <v>97</v>
      </c>
      <c r="D28" s="45">
        <f>+D119</f>
        <v>632690</v>
      </c>
      <c r="E28" s="59">
        <f t="shared" si="0"/>
        <v>2091540</v>
      </c>
    </row>
    <row r="29" spans="1:5" x14ac:dyDescent="0.3">
      <c r="B29" s="2">
        <v>6</v>
      </c>
      <c r="C29" s="35" t="s">
        <v>98</v>
      </c>
      <c r="D29" s="45">
        <f>+D133</f>
        <v>241920</v>
      </c>
      <c r="E29" s="59">
        <f t="shared" si="0"/>
        <v>799730</v>
      </c>
    </row>
    <row r="30" spans="1:5" x14ac:dyDescent="0.3">
      <c r="B30" s="2">
        <v>7</v>
      </c>
      <c r="C30" s="35" t="s">
        <v>99</v>
      </c>
      <c r="D30" s="45">
        <f>+D146</f>
        <v>33330</v>
      </c>
      <c r="E30" s="59">
        <f t="shared" si="0"/>
        <v>110180</v>
      </c>
    </row>
    <row r="31" spans="1:5" x14ac:dyDescent="0.3">
      <c r="B31" s="2">
        <v>8</v>
      </c>
      <c r="C31" s="35" t="s">
        <v>100</v>
      </c>
      <c r="D31" s="45">
        <f>+D154</f>
        <v>245490</v>
      </c>
      <c r="E31" s="59">
        <f t="shared" si="0"/>
        <v>811540</v>
      </c>
    </row>
    <row r="32" spans="1:5" x14ac:dyDescent="0.3">
      <c r="B32" s="2">
        <v>9</v>
      </c>
      <c r="C32" s="35" t="s">
        <v>101</v>
      </c>
      <c r="D32" s="45">
        <f>+D161</f>
        <v>133060</v>
      </c>
      <c r="E32" s="59">
        <f t="shared" si="0"/>
        <v>439860</v>
      </c>
    </row>
    <row r="33" spans="1:7" x14ac:dyDescent="0.3">
      <c r="B33" s="2">
        <v>10</v>
      </c>
      <c r="C33" s="35" t="s">
        <v>154</v>
      </c>
      <c r="D33" s="53">
        <f>TRUNC(SUM(D24:D32)*0.275,-1)</f>
        <v>1008630</v>
      </c>
      <c r="E33" s="60">
        <f t="shared" si="0"/>
        <v>3334320</v>
      </c>
    </row>
    <row r="34" spans="1:7" x14ac:dyDescent="0.3">
      <c r="C34" s="35" t="s">
        <v>112</v>
      </c>
      <c r="D34" s="44">
        <f>SUM(D24:D33)</f>
        <v>4676380</v>
      </c>
      <c r="E34" s="44">
        <f>SUM(E24:E33)</f>
        <v>15459130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TRUNC(11098,-1)</f>
        <v>11090</v>
      </c>
      <c r="E37" s="61">
        <f>TRUNC(+D37*3.3058,-1)</f>
        <v>36660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TRUNC(94166,-1)</f>
        <v>94160</v>
      </c>
      <c r="E40" s="62">
        <f t="shared" ref="E40:E59" si="1">TRUNC(+D40*3.3058,-1)</f>
        <v>311270</v>
      </c>
    </row>
    <row r="41" spans="1:7" x14ac:dyDescent="0.3">
      <c r="A41" s="2">
        <v>2</v>
      </c>
      <c r="C41" s="38" t="s">
        <v>13</v>
      </c>
      <c r="D41" s="42">
        <f>TRUNC(352249,-1)</f>
        <v>352240</v>
      </c>
      <c r="E41" s="63">
        <f t="shared" si="1"/>
        <v>1164430</v>
      </c>
    </row>
    <row r="42" spans="1:7" x14ac:dyDescent="0.3">
      <c r="A42" s="2">
        <v>3</v>
      </c>
      <c r="C42" s="38" t="s">
        <v>14</v>
      </c>
      <c r="D42" s="42">
        <f>TRUNC(50337,-1)</f>
        <v>50330</v>
      </c>
      <c r="E42" s="63">
        <f t="shared" si="1"/>
        <v>166380</v>
      </c>
    </row>
    <row r="43" spans="1:7" x14ac:dyDescent="0.3">
      <c r="A43" s="2">
        <v>4</v>
      </c>
      <c r="C43" s="38" t="s">
        <v>16</v>
      </c>
      <c r="D43" s="42">
        <f>TRUNC(14670,-1)</f>
        <v>14670</v>
      </c>
      <c r="E43" s="63">
        <f t="shared" si="1"/>
        <v>48490</v>
      </c>
    </row>
    <row r="44" spans="1:7" x14ac:dyDescent="0.3">
      <c r="A44" s="2">
        <v>5</v>
      </c>
      <c r="C44" s="38" t="s">
        <v>17</v>
      </c>
      <c r="D44" s="42">
        <f>TRUNC(42731,-1)</f>
        <v>42730</v>
      </c>
      <c r="E44" s="63">
        <f t="shared" si="1"/>
        <v>141250</v>
      </c>
    </row>
    <row r="45" spans="1:7" x14ac:dyDescent="0.3">
      <c r="A45" s="2">
        <v>6</v>
      </c>
      <c r="C45" s="38" t="s">
        <v>18</v>
      </c>
      <c r="D45" s="42">
        <f>TRUNC(5718,-1)</f>
        <v>5710</v>
      </c>
      <c r="E45" s="63">
        <f t="shared" si="1"/>
        <v>18870</v>
      </c>
    </row>
    <row r="46" spans="1:7" x14ac:dyDescent="0.3">
      <c r="A46" s="2">
        <v>7</v>
      </c>
      <c r="C46" s="38" t="s">
        <v>19</v>
      </c>
      <c r="D46" s="42">
        <f>TRUNC(13196,-1)</f>
        <v>13190</v>
      </c>
      <c r="E46" s="63">
        <f t="shared" si="1"/>
        <v>43600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TRUNC(227380,-1)</f>
        <v>227380</v>
      </c>
      <c r="E48" s="63">
        <f t="shared" si="1"/>
        <v>751670</v>
      </c>
    </row>
    <row r="49" spans="1:7" x14ac:dyDescent="0.3">
      <c r="A49" s="2">
        <v>10</v>
      </c>
      <c r="C49" s="38" t="s">
        <v>22</v>
      </c>
      <c r="D49" s="42">
        <f>TRUNC(41989,-1)</f>
        <v>41980</v>
      </c>
      <c r="E49" s="63">
        <f t="shared" si="1"/>
        <v>138770</v>
      </c>
    </row>
    <row r="50" spans="1:7" x14ac:dyDescent="0.3">
      <c r="A50" s="2">
        <v>11</v>
      </c>
      <c r="C50" s="38" t="s">
        <v>155</v>
      </c>
      <c r="D50" s="42">
        <f>TRUNC(53513,-1)</f>
        <v>53510</v>
      </c>
      <c r="E50" s="63">
        <f t="shared" si="1"/>
        <v>176890</v>
      </c>
    </row>
    <row r="51" spans="1:7" x14ac:dyDescent="0.3">
      <c r="A51" s="2">
        <v>12</v>
      </c>
      <c r="C51" s="38" t="s">
        <v>23</v>
      </c>
      <c r="D51" s="42">
        <f>TRUNC(36104,-1)</f>
        <v>36100</v>
      </c>
      <c r="E51" s="63">
        <f t="shared" si="1"/>
        <v>119330</v>
      </c>
    </row>
    <row r="52" spans="1:7" x14ac:dyDescent="0.3">
      <c r="A52" s="2">
        <v>13</v>
      </c>
      <c r="C52" s="38" t="s">
        <v>24</v>
      </c>
      <c r="D52" s="42">
        <f>TRUNC(26199,-1)</f>
        <v>26190</v>
      </c>
      <c r="E52" s="63">
        <f t="shared" si="1"/>
        <v>86570</v>
      </c>
    </row>
    <row r="53" spans="1:7" x14ac:dyDescent="0.3">
      <c r="A53" s="2">
        <v>14</v>
      </c>
      <c r="C53" s="38" t="s">
        <v>25</v>
      </c>
      <c r="D53" s="42">
        <f>TRUNC(48294,-1)</f>
        <v>48290</v>
      </c>
      <c r="E53" s="63">
        <f t="shared" si="1"/>
        <v>159630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TRUNC(6152,-1)</f>
        <v>6150</v>
      </c>
      <c r="E55" s="63">
        <f t="shared" si="1"/>
        <v>20330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TRUNC(64918+76977+3309-4074+4473+234572,-1)</f>
        <v>380170</v>
      </c>
      <c r="E58" s="63">
        <f t="shared" si="1"/>
        <v>1256760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TRUNC(647808,-1)</f>
        <v>647800</v>
      </c>
      <c r="E59" s="64">
        <f t="shared" si="1"/>
        <v>2141490</v>
      </c>
    </row>
    <row r="60" spans="1:7" x14ac:dyDescent="0.3">
      <c r="A60" s="2">
        <v>21</v>
      </c>
      <c r="C60" s="27" t="s">
        <v>112</v>
      </c>
      <c r="D60" s="39">
        <f>SUM(D40:D59)</f>
        <v>2040600</v>
      </c>
      <c r="E60" s="39">
        <f>SUM(E40:E59)</f>
        <v>6745730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TRUNC(21215,-1)</f>
        <v>21210</v>
      </c>
      <c r="E69" s="62">
        <f t="shared" ref="E69:E94" si="2">TRUNC(+D69*3.3058,-1)</f>
        <v>70110</v>
      </c>
    </row>
    <row r="70" spans="1:7" ht="16.5" customHeight="1" x14ac:dyDescent="0.3">
      <c r="A70" s="2">
        <v>2</v>
      </c>
      <c r="C70" s="38" t="s">
        <v>31</v>
      </c>
      <c r="D70" s="42">
        <f>TRUNC(4325,-1)</f>
        <v>4320</v>
      </c>
      <c r="E70" s="63">
        <f t="shared" si="2"/>
        <v>14280</v>
      </c>
    </row>
    <row r="71" spans="1:7" x14ac:dyDescent="0.3">
      <c r="A71" s="2">
        <v>3</v>
      </c>
      <c r="C71" s="38" t="s">
        <v>32</v>
      </c>
      <c r="D71" s="42">
        <f>TRUNC(6602,-1)</f>
        <v>6600</v>
      </c>
      <c r="E71" s="63">
        <f t="shared" si="2"/>
        <v>21810</v>
      </c>
    </row>
    <row r="72" spans="1:7" x14ac:dyDescent="0.3">
      <c r="A72" s="2">
        <v>4</v>
      </c>
      <c r="C72" s="38" t="s">
        <v>33</v>
      </c>
      <c r="D72" s="42">
        <f>TRUNC(2610,-1)</f>
        <v>2610</v>
      </c>
      <c r="E72" s="63">
        <f t="shared" si="2"/>
        <v>8620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TRUNC(9705,-1)</f>
        <v>9700</v>
      </c>
      <c r="E79" s="63">
        <f t="shared" si="2"/>
        <v>32060</v>
      </c>
      <c r="F79" s="2" t="s">
        <v>256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TRUNC(237810,-1)</f>
        <v>237810</v>
      </c>
      <c r="E93" s="63">
        <f t="shared" si="2"/>
        <v>786150</v>
      </c>
    </row>
    <row r="94" spans="1:7" ht="17.25" thickBot="1" x14ac:dyDescent="0.35">
      <c r="A94" s="2">
        <v>26</v>
      </c>
      <c r="C94" s="38" t="s">
        <v>47</v>
      </c>
      <c r="D94" s="43">
        <f>TRUNC(6802+25852+13407+1262,-1)</f>
        <v>47320</v>
      </c>
      <c r="E94" s="64">
        <f t="shared" si="2"/>
        <v>156430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329570</v>
      </c>
      <c r="E95" s="39">
        <f>SUM(E69:E94)</f>
        <v>1089460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TRUNC(66238,-1)</f>
        <v>66230</v>
      </c>
      <c r="E98" s="62">
        <f t="shared" ref="E98:E118" si="3">TRUNC(+D98*3.3058,-1)</f>
        <v>218940</v>
      </c>
    </row>
    <row r="99" spans="1:7" x14ac:dyDescent="0.3">
      <c r="A99" s="2">
        <v>2</v>
      </c>
      <c r="C99" s="38" t="s">
        <v>40</v>
      </c>
      <c r="D99" s="42">
        <f>TRUNC(14868,-1)</f>
        <v>14860</v>
      </c>
      <c r="E99" s="63">
        <f t="shared" si="3"/>
        <v>49120</v>
      </c>
    </row>
    <row r="100" spans="1:7" x14ac:dyDescent="0.3">
      <c r="A100" s="2">
        <v>3</v>
      </c>
      <c r="C100" s="38" t="s">
        <v>41</v>
      </c>
      <c r="D100" s="42">
        <f>TRUNC(28714,-1)</f>
        <v>28710</v>
      </c>
      <c r="E100" s="63">
        <f t="shared" si="3"/>
        <v>94900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TRUNC(12537,-1)</f>
        <v>12530</v>
      </c>
      <c r="E102" s="63">
        <f t="shared" si="3"/>
        <v>41420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TRUNC(30729,-1)</f>
        <v>30720</v>
      </c>
      <c r="E104" s="63">
        <f t="shared" si="3"/>
        <v>101550</v>
      </c>
    </row>
    <row r="105" spans="1:7" x14ac:dyDescent="0.3">
      <c r="A105" s="2">
        <v>8</v>
      </c>
      <c r="C105" s="38" t="s">
        <v>46</v>
      </c>
      <c r="D105" s="42">
        <f>TRUNC(3109,-1)</f>
        <v>3100</v>
      </c>
      <c r="E105" s="63">
        <f t="shared" si="3"/>
        <v>10240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TRUNC(7950,-1)</f>
        <v>7950</v>
      </c>
      <c r="E114" s="63">
        <f t="shared" si="3"/>
        <v>26280</v>
      </c>
    </row>
    <row r="115" spans="1:7" x14ac:dyDescent="0.3">
      <c r="A115" s="2">
        <v>18</v>
      </c>
      <c r="C115" s="38" t="s">
        <v>116</v>
      </c>
      <c r="D115" s="42">
        <f>TRUNC(32964,-1)</f>
        <v>32960</v>
      </c>
      <c r="E115" s="63">
        <f t="shared" si="3"/>
        <v>108950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TRUNC(435632,-1)</f>
        <v>435630</v>
      </c>
      <c r="E117" s="63">
        <f t="shared" si="3"/>
        <v>1440100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632690</v>
      </c>
      <c r="E119" s="39">
        <f>SUM(E98:E118)</f>
        <v>2091500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TRUNC(17459,-1)</f>
        <v>17450</v>
      </c>
      <c r="E122" s="62">
        <f t="shared" ref="E122:E132" si="4">TRUNC(+D122*3.3058,-1)</f>
        <v>57680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TRUNC(18970,-1)</f>
        <v>18970</v>
      </c>
      <c r="E125" s="63">
        <f t="shared" si="4"/>
        <v>62710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TRUNC(3470,-1)</f>
        <v>3470</v>
      </c>
      <c r="E128" s="63">
        <f t="shared" si="4"/>
        <v>11470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TRUNC(129263,-1)</f>
        <v>129260</v>
      </c>
      <c r="E130" s="63">
        <f t="shared" si="4"/>
        <v>427300</v>
      </c>
    </row>
    <row r="131" spans="1:7" x14ac:dyDescent="0.3">
      <c r="A131" s="2">
        <v>10</v>
      </c>
      <c r="C131" s="38" t="s">
        <v>148</v>
      </c>
      <c r="D131" s="42">
        <f>TRUNC(63004,-1)</f>
        <v>63000</v>
      </c>
      <c r="E131" s="63">
        <f t="shared" si="4"/>
        <v>208260</v>
      </c>
    </row>
    <row r="132" spans="1:7" ht="18" thickBot="1" x14ac:dyDescent="0.35">
      <c r="A132" s="2">
        <v>11</v>
      </c>
      <c r="C132" s="38" t="s">
        <v>47</v>
      </c>
      <c r="D132" s="43">
        <f>TRUNC(9778,-1)</f>
        <v>9770</v>
      </c>
      <c r="E132" s="64">
        <f t="shared" si="4"/>
        <v>32290</v>
      </c>
      <c r="F132" s="54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241920</v>
      </c>
      <c r="E133" s="39">
        <f>SUM(E122:E132)</f>
        <v>799710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TRUNC(18745,-1)</f>
        <v>18740</v>
      </c>
      <c r="E136" s="62">
        <f t="shared" ref="E136:E145" si="5">TRUNC(+D136*3.3058,-1)</f>
        <v>61950</v>
      </c>
      <c r="F136" s="2" t="s">
        <v>258</v>
      </c>
    </row>
    <row r="137" spans="1:7" x14ac:dyDescent="0.3">
      <c r="A137" s="2">
        <v>2</v>
      </c>
      <c r="C137" s="38" t="s">
        <v>47</v>
      </c>
      <c r="D137" s="42">
        <f>TRUNC(14596,-1)</f>
        <v>14590</v>
      </c>
      <c r="E137" s="63">
        <f t="shared" si="5"/>
        <v>48230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33330</v>
      </c>
      <c r="E146" s="39">
        <f>SUM(E136:E145)</f>
        <v>110180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TRUNC(245494,-1)</f>
        <v>245490</v>
      </c>
      <c r="E152" s="63">
        <f>TRUNC(+D152*3.3058,-1)</f>
        <v>811540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245490</v>
      </c>
      <c r="E154" s="39">
        <f>SUM(E149:E153)</f>
        <v>811540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TRUNC(133061,-1)</f>
        <v>133060</v>
      </c>
      <c r="E159" s="63">
        <f>TRUNC(+D159*3.3058,-1)</f>
        <v>439860</v>
      </c>
      <c r="F159" s="2" t="s">
        <v>253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133060</v>
      </c>
      <c r="E161" s="39">
        <f>SUM(E157:E160)</f>
        <v>439860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2020-12-07T09:36:01Z</dcterms:modified>
</cp:coreProperties>
</file>