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9" i="4" l="1"/>
  <c r="D93" i="4"/>
  <c r="D117" i="4"/>
  <c r="D131" i="4"/>
  <c r="D145" i="4"/>
  <c r="D153" i="4"/>
  <c r="D160" i="4"/>
  <c r="D159" i="4"/>
  <c r="D158" i="4"/>
  <c r="D157" i="4"/>
  <c r="D152" i="4"/>
  <c r="D151" i="4"/>
  <c r="D150" i="4"/>
  <c r="D149" i="4"/>
  <c r="D137" i="4"/>
  <c r="D144" i="4"/>
  <c r="D143" i="4"/>
  <c r="D139" i="4"/>
  <c r="D138" i="4"/>
  <c r="D141" i="4"/>
  <c r="D142" i="4"/>
  <c r="D140" i="4"/>
  <c r="D132" i="4"/>
  <c r="D128" i="4"/>
  <c r="D127" i="4"/>
  <c r="D124" i="4"/>
  <c r="D125" i="4"/>
  <c r="D122" i="4"/>
  <c r="D130" i="4"/>
  <c r="D126" i="4"/>
  <c r="D118" i="4"/>
  <c r="D105" i="4"/>
  <c r="D104" i="4"/>
  <c r="D103" i="4"/>
  <c r="D102" i="4"/>
  <c r="D101" i="4"/>
  <c r="D100" i="4"/>
  <c r="D99" i="4"/>
  <c r="D114" i="4"/>
  <c r="D98" i="4"/>
  <c r="D116" i="4"/>
  <c r="D75" i="4"/>
  <c r="D92" i="4"/>
  <c r="D91" i="4"/>
  <c r="D90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<sst xmlns="http://schemas.openxmlformats.org/spreadsheetml/2006/main" count="395" uniqueCount="272">
  <si>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</si>
  <si>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</si>
  <si>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</si>
  <si>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</si>
  <si>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</si>
  <si>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</si>
  <si>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</si>
  <si>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</si>
  <si>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</si>
  <si>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</si>
  <si>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</si>
  <si>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</si>
  <si>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</si>
  <si>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</si>
  <si>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</si>
  <si>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</si>
  <si>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</si>
  <si>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</si>
  <si>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</si>
  <si>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</si>
  <si>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</si>
  <si>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</si>
  <si>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</si>
  <si>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</si>
  <si>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</si>
  <si>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</si>
  <si>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</si>
  <si>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</si>
  <si>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</si>
  <si>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</si>
  <si>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</si>
  <si>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</si>
  <si>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</si>
  <si>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</si>
  <si>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</si>
  <si>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</si>
  <si>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</si>
  <si>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</si>
  <si>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</si>
  <si>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</si>
  <si>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</si>
  <si>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</si>
  <si>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</si>
  <si>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</si>
  <si>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</si>
  <si>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</si>
  <si>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</si>
  <si>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</si>
  <si>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</si>
  <si>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</si>
  <si>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</si>
  <si>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</si>
  <si>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</si>
  <si>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</si>
  <si>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</si>
  <si>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</si>
  <si>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</si>
  <si>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</si>
  <si>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</si>
  <si>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</si>
  <si>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</si>
  <si>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</si>
  <si>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</si>
  <si>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</si>
  <si>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</si>
  <si>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</si>
  <si>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</si>
  <si>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</si>
  <si>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</si>
  <si>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</si>
  <si>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</si>
  <si>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</si>
  <si>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</si>
  <si>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</si>
  <si>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</si>
  <si>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</si>
  <si>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</si>
  <si>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</si>
  <si>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</si>
  <si>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</si>
  <si>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</si>
  <si>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</si>
  <si>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</si>
  <si>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</si>
  <si>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</si>
  <si>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</si>
  <si>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</si>
  <si>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</si>
  <si>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</si>
  <si>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</si>
  <si>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</si>
  <si>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</si>
  <si>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</si>
  <si>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</si>
  <si>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</si>
  <si>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</si>
  <si>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</si>
  <si>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</si>
  <si>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</si>
  <si>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</si>
  <si>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</si>
  <si>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</si>
  <si>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</si>
  <si>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</si>
  <si>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</si>
  <si>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</si>
  <si>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</si>
  <si>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</si>
  <si>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</si>
  <si>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</si>
  <si>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</si>
  <si>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</si>
  <si>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</si>
  <si>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</si>
  <si>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</si>
  <si>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</si>
  <si>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</si>
  <si>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</si>
  <si>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</si>
  <si>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</si>
  <si>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</si>
  <si>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</si>
  <si>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</si>
  <si>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</si>
  <si>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</si>
  <si>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</si>
  <si>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</si>
  <si>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</si>
  <si>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</si>
  <si>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</si>
  <si>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</si>
  <si>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</si>
  <si>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</si>
  <si>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</si>
  <si>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</si>
  <si>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</si>
  <si>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</si>
  <si>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</si>
  <si>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</si>
  <si>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</si>
  <si>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</si>
  <si>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</si>
  <si>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</si>
  <si>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</si>
  <si>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</si>
  <si>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</si>
  <si>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</si>
  <si>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</si>
  <si>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</si>
  <si>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</si>
  <si>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</si>
  <si>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</si>
  <si>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</si>
  <si>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</si>
  <si>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</si>
  <si>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</si>
  <si>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</si>
  <si>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</si>
  <si>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</si>
  <si>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</si>
  <si>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</si>
  <si>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</si>
  <si>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</si>
  <si>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</si>
  <si>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</si>
  <si>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</si>
  <si>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</si>
  <si>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</si>
  <si>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</si>
  <si>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</si>
  <si>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</si>
  <si>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</si>
  <si>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</si>
  <si>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</si>
  <si>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</si>
  <si>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</si>
  <si>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</si>
  <si>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</si>
  <si>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</si>
  <si>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</si>
  <si>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</si>
  <si>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</si>
  <si>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</si>
  <si>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</si>
  <si>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</si>
  <si>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</si>
  <si>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</si>
  <si>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</si>
  <si>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</si>
  <si>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</si>
  <si>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</si>
  <si>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</si>
  <si>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</si>
  <si>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</si>
  <si>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</si>
  <si>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</si>
  <si>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</si>
  <si>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</si>
  <si>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</si>
  <si>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</si>
  <si>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</si>
  <si>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</si>
  <si>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</si>
  <si>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</si>
  <si>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</si>
  <si>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</si>
  <si>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</si>
  <si>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</si>
  <si>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</si>
  <si>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</si>
  <si>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</si>
  <si>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</si>
  <si>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</si>
  <si>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</si>
  <si>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</si>
  <si>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</si>
  <si>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</si>
  <si>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</si>
  <si>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</si>
  <si>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</si>
  <si>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</si>
  <si>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</si>
  <si>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</si>
  <si>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</si>
  <si>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</si>
  <si>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</si>
  <si>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</si>
  <si>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</si>
  <si>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</si>
  <si>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</si>
  <si>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</si>
  <si>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</si>
  <si>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</si>
  <si>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</si>
  <si>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</si>
  <si>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</si>
  <si>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</si>
  <si>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</si>
  <si>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</si>
  <si>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</si>
  <si>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</si>
  <si>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</si>
  <si>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</si>
  <si>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</si>
  <si>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</si>
  <si>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</si>
  <si>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</si>
  <si>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</si>
  <si>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</si>
  <si>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농업역사문화전시체험관 건립 공사</t>
    <phoneticPr fontId="2" type="noConversion"/>
  </si>
  <si>
    <t>문화및집회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</si>
  <si>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</si>
  <si>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</si>
  <si>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</si>
  <si>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기초공사,해체및철거공사,폐기물처리비,골재비및운반비,작업부산물,기타공사</t>
    <phoneticPr fontId="2" type="noConversion"/>
  </si>
  <si>
    <t>전기인입 및 수변전 설비공사</t>
    <phoneticPr fontId="2" type="noConversion"/>
  </si>
  <si>
    <t>원격검침 설비공사,기타공사</t>
    <phoneticPr fontId="2" type="noConversion"/>
  </si>
  <si>
    <t>CATV 및 TV 설비공사</t>
    <phoneticPr fontId="2" type="noConversion"/>
  </si>
  <si>
    <t>CCTV설비공사,주차관제설비공사</t>
    <phoneticPr fontId="2" type="noConversion"/>
  </si>
  <si>
    <t>옥외소화배관공사펌프실배관공사,기타공사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</si>
  <si>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</si>
  <si>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</si>
  <si>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</si>
  <si>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</si>
  <si>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</si>
  <si>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</si>
  <si>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</si>
  <si>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</si>
  <si>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바닥난방공사, 공조배관공사,기타공사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</si>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</sst>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19003</v>
      </c>
      <c r="D7" s="36">
        <f>+C7/3.3058</f>
        <v>5748.3816322826542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1094310</v>
      </c>
      <c r="E25" s="59">
        <f t="shared" si="0"/>
        <v>3617560</v>
      </c>
    </row>
    <row r="26" spans="1:5" x14ac:dyDescent="0.3">
      <c r="B26" s="2">
        <v>3</v>
      </c>
      <c r="C26" s="35" t="s">
        <v>95</v>
      </c>
      <c r="D26" s="45">
        <f>+D66</f>
        <v>38250</v>
      </c>
      <c r="E26" s="59">
        <f t="shared" si="0"/>
        <v>126440</v>
      </c>
    </row>
    <row r="27" spans="1:5" x14ac:dyDescent="0.3">
      <c r="B27" s="2">
        <v>4</v>
      </c>
      <c r="C27" s="35" t="s">
        <v>96</v>
      </c>
      <c r="D27" s="45">
        <f>+D95</f>
        <v>444710</v>
      </c>
      <c r="E27" s="59">
        <f t="shared" si="0"/>
        <v>1470120</v>
      </c>
    </row>
    <row r="28" spans="1:5" x14ac:dyDescent="0.3">
      <c r="B28" s="2">
        <v>5</v>
      </c>
      <c r="C28" s="35" t="s">
        <v>97</v>
      </c>
      <c r="D28" s="45">
        <f>+D119</f>
        <v>258150</v>
      </c>
      <c r="E28" s="59">
        <f t="shared" si="0"/>
        <v>853390</v>
      </c>
    </row>
    <row r="29" spans="1:5" x14ac:dyDescent="0.3">
      <c r="B29" s="2">
        <v>6</v>
      </c>
      <c r="C29" s="35" t="s">
        <v>98</v>
      </c>
      <c r="D29" s="45">
        <f>+D133</f>
        <v>70910</v>
      </c>
      <c r="E29" s="59">
        <f t="shared" si="0"/>
        <v>234410</v>
      </c>
    </row>
    <row r="30" spans="1:5" x14ac:dyDescent="0.3">
      <c r="B30" s="2">
        <v>7</v>
      </c>
      <c r="C30" s="35" t="s">
        <v>99</v>
      </c>
      <c r="D30" s="45">
        <f>+D146</f>
        <v>120290</v>
      </c>
      <c r="E30" s="59">
        <f t="shared" si="0"/>
        <v>397650</v>
      </c>
    </row>
    <row r="31" spans="1:5" x14ac:dyDescent="0.3">
      <c r="B31" s="2">
        <v>8</v>
      </c>
      <c r="C31" s="35" t="s">
        <v>100</v>
      </c>
      <c r="D31" s="45">
        <f>+D154</f>
        <v>99180</v>
      </c>
      <c r="E31" s="59">
        <f t="shared" si="0"/>
        <v>327860</v>
      </c>
    </row>
    <row r="32" spans="1:5" x14ac:dyDescent="0.3">
      <c r="B32" s="2">
        <v>9</v>
      </c>
      <c r="C32" s="35" t="s">
        <v>101</v>
      </c>
      <c r="D32" s="45">
        <f>+D161</f>
        <v>401430</v>
      </c>
      <c r="E32" s="59">
        <f t="shared" si="0"/>
        <v>1327040</v>
      </c>
    </row>
    <row r="33" spans="1:7" x14ac:dyDescent="0.3">
      <c r="B33" s="2">
        <v>10</v>
      </c>
      <c r="C33" s="35" t="s">
        <v>154</v>
      </c>
      <c r="D33" s="53">
        <f>TRUNC(SUM(D24:D32)*0.275,-1)</f>
        <v>694980</v>
      </c>
      <c r="E33" s="60">
        <f t="shared" si="0"/>
        <v>2297460</v>
      </c>
    </row>
    <row r="34" spans="1:7" x14ac:dyDescent="0.3">
      <c r="C34" s="35" t="s">
        <v>112</v>
      </c>
      <c r="D34" s="44">
        <f>SUM(D24:D33)</f>
        <v>3222210</v>
      </c>
      <c r="E34" s="44">
        <f>SUM(E24:E33)</f>
        <v>10651930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264</v>
      </c>
      <c r="C39" s="56" t="s">
        <v>265</v>
      </c>
      <c r="D39" s="57" t="s">
        <v>266</v>
      </c>
      <c r="E39" s="57" t="s">
        <v>267</v>
      </c>
      <c r="G39" s="55"/>
    </row>
    <row r="40" spans="1:7" x14ac:dyDescent="0.3">
      <c r="A40" s="2">
        <v>1</v>
      </c>
      <c r="C40" s="38" t="s">
        <v>15</v>
      </c>
      <c r="D40" s="40">
        <f>TRUNC(81628,-1)</f>
        <v>81620</v>
      </c>
      <c r="E40" s="62">
        <f t="shared" ref="E40:E59" si="1">TRUNC(+D40*3.3058,-1)</f>
        <v>269810</v>
      </c>
    </row>
    <row r="41" spans="1:7" x14ac:dyDescent="0.3">
      <c r="A41" s="2">
        <v>2</v>
      </c>
      <c r="C41" s="38" t="s">
        <v>13</v>
      </c>
      <c r="D41" s="42">
        <f>TRUNC(87999,-1)</f>
        <v>87990</v>
      </c>
      <c r="E41" s="63">
        <f t="shared" si="1"/>
        <v>290870</v>
      </c>
    </row>
    <row r="42" spans="1:7" x14ac:dyDescent="0.3">
      <c r="A42" s="2">
        <v>3</v>
      </c>
      <c r="C42" s="38" t="s">
        <v>14</v>
      </c>
      <c r="D42" s="42">
        <f>TRUNC(107613,-1)</f>
        <v>107610</v>
      </c>
      <c r="E42" s="63">
        <f t="shared" si="1"/>
        <v>355730</v>
      </c>
    </row>
    <row r="43" spans="1:7" x14ac:dyDescent="0.3">
      <c r="A43" s="2">
        <v>4</v>
      </c>
      <c r="C43" s="38" t="s">
        <v>16</v>
      </c>
      <c r="D43" s="42">
        <f>TRUNC(36046,-1)</f>
        <v>36040</v>
      </c>
      <c r="E43" s="63">
        <f t="shared" si="1"/>
        <v>119140</v>
      </c>
    </row>
    <row r="44" spans="1:7" x14ac:dyDescent="0.3">
      <c r="A44" s="2">
        <v>5</v>
      </c>
      <c r="C44" s="38" t="s">
        <v>17</v>
      </c>
      <c r="D44" s="42">
        <f>TRUNC(41160,-1)</f>
        <v>41160</v>
      </c>
      <c r="E44" s="63">
        <f t="shared" si="1"/>
        <v>136060</v>
      </c>
    </row>
    <row r="45" spans="1:7" x14ac:dyDescent="0.3">
      <c r="A45" s="2">
        <v>6</v>
      </c>
      <c r="C45" s="38" t="s">
        <v>18</v>
      </c>
      <c r="D45" s="42">
        <f>TRUNC(2127,-1)</f>
        <v>2120</v>
      </c>
      <c r="E45" s="63">
        <f t="shared" si="1"/>
        <v>7000</v>
      </c>
    </row>
    <row r="46" spans="1:7" x14ac:dyDescent="0.3">
      <c r="A46" s="2">
        <v>7</v>
      </c>
      <c r="C46" s="38" t="s">
        <v>19</v>
      </c>
      <c r="D46" s="42">
        <f>TRUNC(3122,-1)</f>
        <v>3120</v>
      </c>
      <c r="E46" s="63">
        <f t="shared" si="1"/>
        <v>10310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TRUNC(29835,-1)</f>
        <v>29830</v>
      </c>
      <c r="E48" s="63">
        <f t="shared" si="1"/>
        <v>98610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TRUNC(13098,-1)</f>
        <v>13090</v>
      </c>
      <c r="E49" s="63">
        <f t="shared" si="1"/>
        <v>43270</v>
      </c>
    </row>
    <row r="50" spans="1:7" x14ac:dyDescent="0.3">
      <c r="A50" s="2">
        <v>11</v>
      </c>
      <c r="C50" s="38" t="s">
        <v>155</v>
      </c>
      <c r="D50" s="42">
        <f>TRUNC(71860,-1)</f>
        <v>71860</v>
      </c>
      <c r="E50" s="63">
        <f t="shared" si="1"/>
        <v>237550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TRUNC(12910,-1)</f>
        <v>12910</v>
      </c>
      <c r="E52" s="63">
        <f t="shared" si="1"/>
        <v>42670</v>
      </c>
    </row>
    <row r="53" spans="1:7" x14ac:dyDescent="0.3">
      <c r="A53" s="2">
        <v>14</v>
      </c>
      <c r="C53" s="38" t="s">
        <v>25</v>
      </c>
      <c r="D53" s="42">
        <f>TRUNC(109745,-1)</f>
        <v>109740</v>
      </c>
      <c r="E53" s="63">
        <f t="shared" si="1"/>
        <v>362770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TRUNC(10380+75501+92370+7280-934+47051,-1)</f>
        <v>231640</v>
      </c>
      <c r="E58" s="63">
        <f t="shared" si="1"/>
        <v>765750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TRUNC(265583,-1)</f>
        <v>265580</v>
      </c>
      <c r="E59" s="64">
        <f t="shared" si="1"/>
        <v>877950</v>
      </c>
    </row>
    <row r="60" spans="1:7" x14ac:dyDescent="0.3">
      <c r="A60" s="2">
        <v>21</v>
      </c>
      <c r="C60" s="27" t="s">
        <v>112</v>
      </c>
      <c r="D60" s="39">
        <f>SUM(D40:D59)</f>
        <v>1094310</v>
      </c>
      <c r="E60" s="39">
        <f>SUM(E40:E59)</f>
        <v>3617490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TRUNC(38257,-1)</f>
        <v>38250</v>
      </c>
      <c r="E63" s="62">
        <f>TRUNC(+D63*3.3058,-1)</f>
        <v>126440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38250</v>
      </c>
      <c r="E66" s="65">
        <f>SUM(E63:E65)</f>
        <v>126440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TRUNC(46041,-1)</f>
        <v>46040</v>
      </c>
      <c r="E69" s="62">
        <f t="shared" ref="E69:E94" si="2">TRUNC(+D69*3.3058,-1)</f>
        <v>152190</v>
      </c>
    </row>
    <row r="70" spans="1:7" ht="16.5" customHeight="1" x14ac:dyDescent="0.3">
      <c r="A70" s="2">
        <v>2</v>
      </c>
      <c r="C70" s="38" t="s">
        <v>31</v>
      </c>
      <c r="D70" s="42">
        <f>TRUNC(572,-1)</f>
        <v>570</v>
      </c>
      <c r="E70" s="63">
        <f t="shared" si="2"/>
        <v>1880</v>
      </c>
    </row>
    <row r="71" spans="1:7" x14ac:dyDescent="0.3">
      <c r="A71" s="2">
        <v>3</v>
      </c>
      <c r="C71" s="38" t="s">
        <v>32</v>
      </c>
      <c r="D71" s="42">
        <f>TRUNC(20910,-1)</f>
        <v>20910</v>
      </c>
      <c r="E71" s="63">
        <f t="shared" si="2"/>
        <v>69120</v>
      </c>
    </row>
    <row r="72" spans="1:7" x14ac:dyDescent="0.3">
      <c r="A72" s="2">
        <v>4</v>
      </c>
      <c r="C72" s="38" t="s">
        <v>33</v>
      </c>
      <c r="D72" s="42">
        <f>TRUNC(2733,-1)</f>
        <v>2730</v>
      </c>
      <c r="E72" s="63">
        <f t="shared" si="2"/>
        <v>9020</v>
      </c>
    </row>
    <row r="73" spans="1:7" x14ac:dyDescent="0.3">
      <c r="A73" s="2">
        <v>5</v>
      </c>
      <c r="C73" s="38" t="s">
        <v>34</v>
      </c>
      <c r="D73" s="42">
        <f>TRUNC(5543,-1)</f>
        <v>5540</v>
      </c>
      <c r="E73" s="63">
        <f t="shared" si="2"/>
        <v>18310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TRUNC(4421,-1)</f>
        <v>4420</v>
      </c>
      <c r="E75" s="63">
        <f t="shared" si="2"/>
        <v>14610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TRUNC(6515,-1)</f>
        <v>6510</v>
      </c>
      <c r="E89" s="63">
        <f t="shared" si="2"/>
        <v>21520</v>
      </c>
    </row>
    <row r="90" spans="1:7" x14ac:dyDescent="0.3">
      <c r="A90" s="2">
        <v>22</v>
      </c>
      <c r="C90" s="38" t="s">
        <v>36</v>
      </c>
      <c r="D90" s="42">
        <f>TRUNC(1500,-1)</f>
        <v>1500</v>
      </c>
      <c r="E90" s="63">
        <f t="shared" si="2"/>
        <v>4950</v>
      </c>
    </row>
    <row r="91" spans="1:7" x14ac:dyDescent="0.3">
      <c r="A91" s="2">
        <v>23</v>
      </c>
      <c r="C91" s="38" t="s">
        <v>37</v>
      </c>
      <c r="D91" s="42">
        <f>TRUNC(41816,-1)</f>
        <v>41810</v>
      </c>
      <c r="E91" s="63">
        <f t="shared" si="2"/>
        <v>138210</v>
      </c>
    </row>
    <row r="92" spans="1:7" x14ac:dyDescent="0.3">
      <c r="A92" s="2">
        <v>24</v>
      </c>
      <c r="C92" s="38" t="s">
        <v>38</v>
      </c>
      <c r="D92" s="42">
        <f>TRUNC(2660,-1)</f>
        <v>2660</v>
      </c>
      <c r="E92" s="63">
        <f t="shared" si="2"/>
        <v>8790</v>
      </c>
    </row>
    <row r="93" spans="1:7" x14ac:dyDescent="0.3">
      <c r="A93" s="2">
        <v>25</v>
      </c>
      <c r="C93" s="38" t="s">
        <v>148</v>
      </c>
      <c r="D93" s="42">
        <f>TRUNC(283316,-1)</f>
        <v>283310</v>
      </c>
      <c r="E93" s="63">
        <f t="shared" si="2"/>
        <v>936560</v>
      </c>
    </row>
    <row r="94" spans="1:7" ht="17.25" thickBot="1" x14ac:dyDescent="0.35">
      <c r="A94" s="2">
        <v>26</v>
      </c>
      <c r="C94" s="38" t="s">
        <v>47</v>
      </c>
      <c r="D94" s="43">
        <f>TRUNC(98+14784+13833,-1)</f>
        <v>28710</v>
      </c>
      <c r="E94" s="64">
        <f t="shared" si="2"/>
        <v>94900</v>
      </c>
      <c r="F94" s="2" t="s">
        <v>268</v>
      </c>
    </row>
    <row r="95" spans="1:7" x14ac:dyDescent="0.3">
      <c r="A95" s="2">
        <v>27</v>
      </c>
      <c r="C95" s="27" t="s">
        <v>112</v>
      </c>
      <c r="D95" s="39">
        <f>SUM(D69:D94)</f>
        <v>444710</v>
      </c>
      <c r="E95" s="39">
        <f>SUM(E69:E94)</f>
        <v>1470060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TRUNC(26672,-1)</f>
        <v>26670</v>
      </c>
      <c r="E98" s="62">
        <f t="shared" ref="E98:E118" si="3">TRUNC(+D98*3.3058,-1)</f>
        <v>88160</v>
      </c>
    </row>
    <row r="99" spans="1:7" x14ac:dyDescent="0.3">
      <c r="A99" s="2">
        <v>2</v>
      </c>
      <c r="C99" s="38" t="s">
        <v>40</v>
      </c>
      <c r="D99" s="42">
        <f>TRUNC(6793,-1)</f>
        <v>6790</v>
      </c>
      <c r="E99" s="63">
        <f t="shared" si="3"/>
        <v>22440</v>
      </c>
    </row>
    <row r="100" spans="1:7" x14ac:dyDescent="0.3">
      <c r="A100" s="2">
        <v>3</v>
      </c>
      <c r="C100" s="38" t="s">
        <v>41</v>
      </c>
      <c r="D100" s="42">
        <f>TRUNC(28726,-1)</f>
        <v>28720</v>
      </c>
      <c r="E100" s="63">
        <f t="shared" si="3"/>
        <v>94940</v>
      </c>
    </row>
    <row r="101" spans="1:7" x14ac:dyDescent="0.3">
      <c r="A101" s="2">
        <v>4</v>
      </c>
      <c r="C101" s="38" t="s">
        <v>42</v>
      </c>
      <c r="D101" s="42">
        <f>TRUNC(6137,-1)</f>
        <v>6130</v>
      </c>
      <c r="E101" s="63">
        <f t="shared" si="3"/>
        <v>20260</v>
      </c>
    </row>
    <row r="102" spans="1:7" x14ac:dyDescent="0.3">
      <c r="A102" s="2">
        <v>5</v>
      </c>
      <c r="C102" s="38" t="s">
        <v>43</v>
      </c>
      <c r="D102" s="42">
        <f>TRUNC(10736,-1)</f>
        <v>10730</v>
      </c>
      <c r="E102" s="63">
        <f t="shared" si="3"/>
        <v>35470</v>
      </c>
    </row>
    <row r="103" spans="1:7" x14ac:dyDescent="0.3">
      <c r="A103" s="2">
        <v>6</v>
      </c>
      <c r="C103" s="38" t="s">
        <v>44</v>
      </c>
      <c r="D103" s="42">
        <f>TRUNC(6420,-1)</f>
        <v>6420</v>
      </c>
      <c r="E103" s="63">
        <f t="shared" si="3"/>
        <v>21220</v>
      </c>
    </row>
    <row r="104" spans="1:7" x14ac:dyDescent="0.3">
      <c r="A104" s="2">
        <v>7</v>
      </c>
      <c r="C104" s="38" t="s">
        <v>45</v>
      </c>
      <c r="D104" s="42">
        <f>TRUNC(4136,-1)</f>
        <v>4130</v>
      </c>
      <c r="E104" s="63">
        <f t="shared" si="3"/>
        <v>13650</v>
      </c>
    </row>
    <row r="105" spans="1:7" x14ac:dyDescent="0.3">
      <c r="A105" s="2">
        <v>8</v>
      </c>
      <c r="C105" s="38" t="s">
        <v>46</v>
      </c>
      <c r="D105" s="42">
        <f>TRUNC(4816,-1)</f>
        <v>4810</v>
      </c>
      <c r="E105" s="63">
        <f t="shared" si="3"/>
        <v>15900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TRUNC(18010,-1)</f>
        <v>18010</v>
      </c>
      <c r="E114" s="63">
        <f t="shared" si="3"/>
        <v>59530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TRUNC(1348,-1)</f>
        <v>1340</v>
      </c>
      <c r="E116" s="63">
        <f t="shared" si="3"/>
        <v>4420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TRUNC(132368,-1)</f>
        <v>132360</v>
      </c>
      <c r="E117" s="63">
        <f t="shared" si="3"/>
        <v>437550</v>
      </c>
    </row>
    <row r="118" spans="1:7" ht="17.25" thickBot="1" x14ac:dyDescent="0.35">
      <c r="A118" s="2">
        <v>21</v>
      </c>
      <c r="C118" s="38" t="s">
        <v>47</v>
      </c>
      <c r="D118" s="43">
        <f>TRUNC(1904+10141,-1)</f>
        <v>12040</v>
      </c>
      <c r="E118" s="64">
        <f t="shared" si="3"/>
        <v>39800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258150</v>
      </c>
      <c r="E119" s="39">
        <f>SUM(E98:E118)</f>
        <v>853340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TRUNC(4324,-1)</f>
        <v>4320</v>
      </c>
      <c r="E122" s="62">
        <f t="shared" ref="E122:E132" si="4">TRUNC(+D122*3.3058,-1)</f>
        <v>14280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TRUNC(528,-1)</f>
        <v>520</v>
      </c>
      <c r="E124" s="63">
        <f t="shared" si="4"/>
        <v>1710</v>
      </c>
    </row>
    <row r="125" spans="1:7" x14ac:dyDescent="0.3">
      <c r="A125" s="2">
        <v>4</v>
      </c>
      <c r="C125" s="38" t="s">
        <v>138</v>
      </c>
      <c r="D125" s="42">
        <f>TRUNC(5466,-1)</f>
        <v>5460</v>
      </c>
      <c r="E125" s="63">
        <f t="shared" si="4"/>
        <v>18040</v>
      </c>
    </row>
    <row r="126" spans="1:7" x14ac:dyDescent="0.3">
      <c r="A126" s="2">
        <v>5</v>
      </c>
      <c r="C126" s="38" t="s">
        <v>53</v>
      </c>
      <c r="D126" s="42">
        <f>TRUNC(10380,-1)</f>
        <v>10380</v>
      </c>
      <c r="E126" s="63">
        <f t="shared" si="4"/>
        <v>34310</v>
      </c>
    </row>
    <row r="127" spans="1:7" x14ac:dyDescent="0.3">
      <c r="A127" s="2">
        <v>6</v>
      </c>
      <c r="C127" s="38" t="s">
        <v>56</v>
      </c>
      <c r="D127" s="42">
        <f>TRUNC(2287,-1)</f>
        <v>2280</v>
      </c>
      <c r="E127" s="63">
        <f t="shared" si="4"/>
        <v>7530</v>
      </c>
    </row>
    <row r="128" spans="1:7" x14ac:dyDescent="0.3">
      <c r="A128" s="2">
        <v>7</v>
      </c>
      <c r="C128" s="38" t="s">
        <v>46</v>
      </c>
      <c r="D128" s="42">
        <f>TRUNC(3322,-1)</f>
        <v>3320</v>
      </c>
      <c r="E128" s="63">
        <f t="shared" si="4"/>
        <v>10970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TRUNC(10633,-1)</f>
        <v>10630</v>
      </c>
      <c r="E130" s="63">
        <f t="shared" si="4"/>
        <v>35140</v>
      </c>
    </row>
    <row r="131" spans="1:7" x14ac:dyDescent="0.3">
      <c r="A131" s="2">
        <v>10</v>
      </c>
      <c r="C131" s="38" t="s">
        <v>148</v>
      </c>
      <c r="D131" s="42">
        <f>TRUNC(31933,-1)</f>
        <v>31930</v>
      </c>
      <c r="E131" s="63">
        <f t="shared" si="4"/>
        <v>105550</v>
      </c>
    </row>
    <row r="132" spans="1:7" ht="18" thickBot="1" x14ac:dyDescent="0.35">
      <c r="A132" s="2">
        <v>11</v>
      </c>
      <c r="C132" s="38" t="s">
        <v>47</v>
      </c>
      <c r="D132" s="43">
        <f>TRUNC(1423+652,-1)</f>
        <v>2070</v>
      </c>
      <c r="E132" s="64">
        <f t="shared" si="4"/>
        <v>6840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70910</v>
      </c>
      <c r="E133" s="39">
        <f>SUM(E122:E132)</f>
        <v>234370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TRUNC(311+2019+2289,-1)</f>
        <v>4610</v>
      </c>
      <c r="E137" s="63">
        <f t="shared" si="5"/>
        <v>15230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TRUNC(24533,-1)</f>
        <v>24530</v>
      </c>
      <c r="E138" s="63">
        <f t="shared" si="5"/>
        <v>81090</v>
      </c>
    </row>
    <row r="139" spans="1:7" x14ac:dyDescent="0.3">
      <c r="A139" s="2">
        <v>4</v>
      </c>
      <c r="C139" s="38" t="s">
        <v>61</v>
      </c>
      <c r="D139" s="42">
        <f>TRUNC(4298,-1)</f>
        <v>4290</v>
      </c>
      <c r="E139" s="63">
        <f t="shared" si="5"/>
        <v>14180</v>
      </c>
    </row>
    <row r="140" spans="1:7" x14ac:dyDescent="0.3">
      <c r="A140" s="2">
        <v>5</v>
      </c>
      <c r="C140" s="38" t="s">
        <v>57</v>
      </c>
      <c r="D140" s="42">
        <f>TRUNC(150,-1)</f>
        <v>150</v>
      </c>
      <c r="E140" s="63">
        <f t="shared" si="5"/>
        <v>490</v>
      </c>
    </row>
    <row r="141" spans="1:7" x14ac:dyDescent="0.3">
      <c r="A141" s="2">
        <v>6</v>
      </c>
      <c r="C141" s="38" t="s">
        <v>59</v>
      </c>
      <c r="D141" s="42">
        <f>TRUNC(31582,-1)</f>
        <v>31580</v>
      </c>
      <c r="E141" s="63">
        <f t="shared" si="5"/>
        <v>104390</v>
      </c>
    </row>
    <row r="142" spans="1:7" x14ac:dyDescent="0.3">
      <c r="A142" s="2">
        <v>7</v>
      </c>
      <c r="C142" s="38" t="s">
        <v>58</v>
      </c>
      <c r="D142" s="42">
        <f>TRUNC(5350,-1)</f>
        <v>5350</v>
      </c>
      <c r="E142" s="63">
        <f t="shared" si="5"/>
        <v>17680</v>
      </c>
    </row>
    <row r="143" spans="1:7" x14ac:dyDescent="0.3">
      <c r="A143" s="2">
        <v>8</v>
      </c>
      <c r="C143" s="38" t="s">
        <v>62</v>
      </c>
      <c r="D143" s="42">
        <f>TRUNC(5056,-1)</f>
        <v>5050</v>
      </c>
      <c r="E143" s="63">
        <f t="shared" si="5"/>
        <v>16690</v>
      </c>
    </row>
    <row r="144" spans="1:7" x14ac:dyDescent="0.3">
      <c r="A144" s="2">
        <v>9</v>
      </c>
      <c r="C144" s="38" t="s">
        <v>63</v>
      </c>
      <c r="D144" s="42">
        <f>TRUNC(33389,-1)</f>
        <v>33380</v>
      </c>
      <c r="E144" s="63">
        <f t="shared" si="5"/>
        <v>110340</v>
      </c>
    </row>
    <row r="145" spans="1:7" ht="17.25" thickBot="1" x14ac:dyDescent="0.35">
      <c r="A145" s="2">
        <v>10</v>
      </c>
      <c r="C145" s="38" t="s">
        <v>148</v>
      </c>
      <c r="D145" s="43">
        <f>TRUNC(11359,-1)</f>
        <v>11350</v>
      </c>
      <c r="E145" s="64">
        <f t="shared" si="5"/>
        <v>37520</v>
      </c>
    </row>
    <row r="146" spans="1:7" x14ac:dyDescent="0.3">
      <c r="A146" s="2">
        <v>11</v>
      </c>
      <c r="C146" s="27" t="s">
        <v>112</v>
      </c>
      <c r="D146" s="39">
        <f>SUM(D136:D145)</f>
        <v>120290</v>
      </c>
      <c r="E146" s="39">
        <f>SUM(E136:E145)</f>
        <v>397610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TRUNC(17576+3813,-1)</f>
        <v>21380</v>
      </c>
      <c r="E149" s="62">
        <f>TRUNC(+D149*3.3058,-1)</f>
        <v>70670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TRUNC(16724,-1)</f>
        <v>16720</v>
      </c>
      <c r="E150" s="63">
        <f>TRUNC(+D150*3.3058,-1)</f>
        <v>55270</v>
      </c>
    </row>
    <row r="151" spans="1:7" x14ac:dyDescent="0.3">
      <c r="A151" s="2">
        <v>3</v>
      </c>
      <c r="C151" s="38" t="s">
        <v>50</v>
      </c>
      <c r="D151" s="42">
        <f>TRUNC(4956,-1)</f>
        <v>4950</v>
      </c>
      <c r="E151" s="63">
        <f>TRUNC(+D151*3.3058,-1)</f>
        <v>16360</v>
      </c>
    </row>
    <row r="152" spans="1:7" x14ac:dyDescent="0.3">
      <c r="A152" s="2">
        <v>4</v>
      </c>
      <c r="C152" s="38" t="s">
        <v>47</v>
      </c>
      <c r="D152" s="42">
        <f>TRUNC(815+5457+244+6620,-1)</f>
        <v>13130</v>
      </c>
      <c r="E152" s="63">
        <f>TRUNC(+D152*3.3058,-1)</f>
        <v>43400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TRUNC(43006,-1)</f>
        <v>43000</v>
      </c>
      <c r="E153" s="64">
        <f>TRUNC(+D153*3.3058,-1)</f>
        <v>142140</v>
      </c>
    </row>
    <row r="154" spans="1:7" x14ac:dyDescent="0.3">
      <c r="A154" s="2">
        <v>6</v>
      </c>
      <c r="C154" s="27" t="s">
        <v>112</v>
      </c>
      <c r="D154" s="39">
        <f>SUM(D149:D153)</f>
        <v>99180</v>
      </c>
      <c r="E154" s="39">
        <f>SUM(E149:E153)</f>
        <v>327840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TRUNC(150649,-1)</f>
        <v>150640</v>
      </c>
      <c r="E157" s="62">
        <f>TRUNC(+D157*3.3058,-1)</f>
        <v>497980</v>
      </c>
    </row>
    <row r="158" spans="1:7" x14ac:dyDescent="0.3">
      <c r="A158" s="2">
        <v>2</v>
      </c>
      <c r="C158" s="38" t="s">
        <v>52</v>
      </c>
      <c r="D158" s="42">
        <f>TRUNC(24183,-1)</f>
        <v>24180</v>
      </c>
      <c r="E158" s="63">
        <f>TRUNC(+D158*3.3058,-1)</f>
        <v>79930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TRUNC(78989+39338,-1)</f>
        <v>118320</v>
      </c>
      <c r="E159" s="63">
        <f>TRUNC(+D159*3.3058,-1)</f>
        <v>391140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TRUNC(108297,-1)</f>
        <v>108290</v>
      </c>
      <c r="E160" s="64">
        <f>TRUNC(+D160*3.3058,-1)</f>
        <v>357980</v>
      </c>
    </row>
    <row r="161" spans="1:5" x14ac:dyDescent="0.3">
      <c r="A161" s="2">
        <v>5</v>
      </c>
      <c r="C161" s="27" t="s">
        <v>112</v>
      </c>
      <c r="D161" s="39">
        <f>SUM(D157:D160)</f>
        <v>401430</v>
      </c>
      <c r="E161" s="39">
        <f>SUM(E157:E160)</f>
        <v>1327030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2020-12-08T04:24:10Z</dcterms:modified>
</cp:coreProperties>
</file>